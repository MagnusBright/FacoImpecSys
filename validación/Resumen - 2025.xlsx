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FACO\validación\"/>
    </mc:Choice>
  </mc:AlternateContent>
  <xr:revisionPtr revIDLastSave="0" documentId="13_ncr:1_{CB4E3437-7ACB-44E7-A88C-DD672C16719D}" xr6:coauthVersionLast="47" xr6:coauthVersionMax="47" xr10:uidLastSave="{00000000-0000-0000-0000-000000000000}"/>
  <bookViews>
    <workbookView xWindow="-120" yWindow="-120" windowWidth="29040" windowHeight="15720" activeTab="1" xr2:uid="{C4980844-11B2-4780-AA72-88BE51361CDC}"/>
  </bookViews>
  <sheets>
    <sheet name="General" sheetId="1" r:id="rId1"/>
    <sheet name="Mezclado" sheetId="3" r:id="rId2"/>
    <sheet name="Laminado" sheetId="6" r:id="rId3"/>
    <sheet name="Molido" sheetId="7" r:id="rId4"/>
    <sheet name="Tostado" sheetId="8" r:id="rId5"/>
    <sheet name="Limpieza" sheetId="10" r:id="rId6"/>
    <sheet name="Deshidratado" sheetId="16" r:id="rId7"/>
    <sheet name="Materia Prima" sheetId="5" r:id="rId8"/>
    <sheet name="Resumen" sheetId="19" r:id="rId9"/>
    <sheet name="Formula" sheetId="4" r:id="rId10"/>
    <sheet name="Procesos" sheetId="9" r:id="rId11"/>
    <sheet name="Hoja2" sheetId="2" r:id="rId12"/>
  </sheets>
  <definedNames>
    <definedName name="_xlnm._FilterDatabase" localSheetId="6" hidden="1">Deshidratado!$A$1:$E$59</definedName>
    <definedName name="_xlnm._FilterDatabase" localSheetId="0" hidden="1">General!$A$1:$J$74</definedName>
    <definedName name="_xlnm._FilterDatabase" localSheetId="2" hidden="1">Laminado!$A$1:$F$64</definedName>
    <definedName name="_xlnm._FilterDatabase" localSheetId="5" hidden="1">Limpieza!$A$1:$F$63</definedName>
    <definedName name="_xlnm._FilterDatabase" localSheetId="7" hidden="1">'Materia Prima'!$A$1:$AB$74</definedName>
    <definedName name="_xlnm._FilterDatabase" localSheetId="1" hidden="1">Mezclado!$A$1:$X$61</definedName>
    <definedName name="_xlnm._FilterDatabase" localSheetId="3" hidden="1">Molido!$A$1:$L$59</definedName>
    <definedName name="_xlnm._FilterDatabase" localSheetId="8" hidden="1">Resumen!$A$5:$G$30</definedName>
    <definedName name="_xlnm._FilterDatabase" localSheetId="4" hidden="1">Tostado!$A$1:$J$59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2" i="3" l="1"/>
  <c r="D80" i="3"/>
  <c r="C80" i="3"/>
  <c r="D2" i="19"/>
  <c r="C30" i="19" s="1" a="1"/>
  <c r="C30" i="19" s="1"/>
  <c r="U2" i="5" a="1"/>
  <c r="U2" i="5" s="1"/>
  <c r="R2" i="5" a="1"/>
  <c r="R2" i="5" s="1"/>
  <c r="Q2" i="5" a="1"/>
  <c r="Q2" i="5" s="1"/>
  <c r="M2" i="5" a="1"/>
  <c r="M2" i="5" s="1"/>
  <c r="B2" i="5" a="1"/>
  <c r="B2" i="5" s="1"/>
  <c r="A2" i="5" a="1"/>
  <c r="A2" i="5" s="1"/>
  <c r="A2" i="16" a="1"/>
  <c r="A2" i="16" s="1"/>
  <c r="A3" i="10" a="1"/>
  <c r="A3" i="10" s="1"/>
  <c r="A2" i="8" a="1"/>
  <c r="A2" i="8" s="1"/>
  <c r="L2" i="7" a="1"/>
  <c r="L2" i="7" s="1"/>
  <c r="D60" i="7" a="1"/>
  <c r="D60" i="7" s="1"/>
  <c r="E60" i="7" a="1"/>
  <c r="E60" i="7" s="1"/>
  <c r="F60" i="7" a="1"/>
  <c r="F60" i="7" s="1"/>
  <c r="G60" i="7" a="1"/>
  <c r="G60" i="7" s="1"/>
  <c r="H60" i="7" a="1"/>
  <c r="H60" i="7" s="1"/>
  <c r="I60" i="7" a="1"/>
  <c r="I60" i="7" s="1"/>
  <c r="J60" i="7" a="1"/>
  <c r="J60" i="7" s="1"/>
  <c r="K60" i="7" a="1"/>
  <c r="K60" i="7" s="1"/>
  <c r="D61" i="7" a="1"/>
  <c r="D61" i="7" s="1"/>
  <c r="E61" i="7" a="1"/>
  <c r="E61" i="7" s="1"/>
  <c r="F61" i="7" a="1"/>
  <c r="F61" i="7" s="1"/>
  <c r="G61" i="7" a="1"/>
  <c r="G61" i="7" s="1"/>
  <c r="H61" i="7" a="1"/>
  <c r="H61" i="7" s="1"/>
  <c r="I61" i="7" a="1"/>
  <c r="I61" i="7"/>
  <c r="J61" i="7" a="1"/>
  <c r="J61" i="7" s="1"/>
  <c r="K61" i="7" a="1"/>
  <c r="K61" i="7" s="1"/>
  <c r="D62" i="7" a="1"/>
  <c r="D62" i="7" s="1"/>
  <c r="E62" i="7" a="1"/>
  <c r="E62" i="7" s="1"/>
  <c r="F62" i="7" a="1"/>
  <c r="F62" i="7" s="1"/>
  <c r="G62" i="7" a="1"/>
  <c r="G62" i="7"/>
  <c r="H62" i="7" a="1"/>
  <c r="H62" i="7" s="1"/>
  <c r="I62" i="7" a="1"/>
  <c r="I62" i="7" s="1"/>
  <c r="J62" i="7" a="1"/>
  <c r="J62" i="7" s="1"/>
  <c r="K62" i="7" a="1"/>
  <c r="K62" i="7" s="1"/>
  <c r="D63" i="7" a="1"/>
  <c r="D63" i="7" s="1"/>
  <c r="E63" i="7" a="1"/>
  <c r="E63" i="7"/>
  <c r="F63" i="7" a="1"/>
  <c r="F63" i="7" s="1"/>
  <c r="G63" i="7" a="1"/>
  <c r="G63" i="7" s="1"/>
  <c r="H63" i="7" a="1"/>
  <c r="H63" i="7" s="1"/>
  <c r="I63" i="7" a="1"/>
  <c r="I63" i="7" s="1"/>
  <c r="J63" i="7" a="1"/>
  <c r="J63" i="7" s="1"/>
  <c r="K63" i="7" a="1"/>
  <c r="K63" i="7"/>
  <c r="D64" i="7" a="1"/>
  <c r="D64" i="7" s="1"/>
  <c r="E64" i="7" a="1"/>
  <c r="E64" i="7" s="1"/>
  <c r="F64" i="7" a="1"/>
  <c r="F64" i="7" s="1"/>
  <c r="G64" i="7" a="1"/>
  <c r="G64" i="7" s="1"/>
  <c r="H64" i="7" a="1"/>
  <c r="H64" i="7" s="1"/>
  <c r="I64" i="7" a="1"/>
  <c r="I64" i="7" s="1"/>
  <c r="J64" i="7" a="1"/>
  <c r="J64" i="7" s="1"/>
  <c r="K64" i="7" a="1"/>
  <c r="K64" i="7" s="1"/>
  <c r="D65" i="7" a="1"/>
  <c r="D65" i="7" s="1"/>
  <c r="E65" i="7" a="1"/>
  <c r="E65" i="7" s="1"/>
  <c r="F65" i="7" a="1"/>
  <c r="F65" i="7" s="1"/>
  <c r="G65" i="7" a="1"/>
  <c r="G65" i="7" s="1"/>
  <c r="H65" i="7" a="1"/>
  <c r="H65" i="7" s="1"/>
  <c r="I65" i="7" a="1"/>
  <c r="I65" i="7" s="1"/>
  <c r="J65" i="7" a="1"/>
  <c r="J65" i="7" s="1"/>
  <c r="K65" i="7" a="1"/>
  <c r="K65" i="7" s="1"/>
  <c r="D66" i="7" a="1"/>
  <c r="D66" i="7" s="1"/>
  <c r="E66" i="7" a="1"/>
  <c r="E66" i="7" s="1"/>
  <c r="F66" i="7" a="1"/>
  <c r="F66" i="7" s="1"/>
  <c r="G66" i="7" a="1"/>
  <c r="G66" i="7" s="1"/>
  <c r="H66" i="7" a="1"/>
  <c r="H66" i="7" s="1"/>
  <c r="I66" i="7" a="1"/>
  <c r="I66" i="7" s="1"/>
  <c r="J66" i="7" a="1"/>
  <c r="J66" i="7" s="1"/>
  <c r="K66" i="7" a="1"/>
  <c r="K66" i="7" s="1"/>
  <c r="D67" i="7" a="1"/>
  <c r="D67" i="7" s="1"/>
  <c r="E67" i="7" a="1"/>
  <c r="E67" i="7" s="1"/>
  <c r="F67" i="7" a="1"/>
  <c r="F67" i="7" s="1"/>
  <c r="G67" i="7" a="1"/>
  <c r="G67" i="7" s="1"/>
  <c r="H67" i="7" a="1"/>
  <c r="H67" i="7" s="1"/>
  <c r="N67" i="5" s="1"/>
  <c r="I67" i="7" a="1"/>
  <c r="I67" i="7" s="1"/>
  <c r="J67" i="7" a="1"/>
  <c r="J67" i="7" s="1"/>
  <c r="K67" i="7" a="1"/>
  <c r="K67" i="7" s="1"/>
  <c r="D68" i="7" a="1"/>
  <c r="D68" i="7" s="1"/>
  <c r="E68" i="7" a="1"/>
  <c r="E68" i="7" s="1"/>
  <c r="F68" i="7" a="1"/>
  <c r="F68" i="7" s="1"/>
  <c r="G68" i="7" a="1"/>
  <c r="G68" i="7" s="1"/>
  <c r="H68" i="7" a="1"/>
  <c r="H68" i="7" s="1"/>
  <c r="I68" i="7" a="1"/>
  <c r="I68" i="7" s="1"/>
  <c r="J68" i="7" a="1"/>
  <c r="J68" i="7" s="1"/>
  <c r="K68" i="7" a="1"/>
  <c r="K68" i="7" s="1"/>
  <c r="D69" i="7" a="1"/>
  <c r="D69" i="7" s="1"/>
  <c r="E69" i="7" a="1"/>
  <c r="E69" i="7" s="1"/>
  <c r="F69" i="7" a="1"/>
  <c r="F69" i="7" s="1"/>
  <c r="G69" i="7" a="1"/>
  <c r="G69" i="7" s="1"/>
  <c r="H69" i="7" a="1"/>
  <c r="H69" i="7" s="1"/>
  <c r="I69" i="7" a="1"/>
  <c r="I69" i="7" s="1"/>
  <c r="J69" i="7" a="1"/>
  <c r="J69" i="7" s="1"/>
  <c r="K69" i="7" a="1"/>
  <c r="K69" i="7" s="1"/>
  <c r="D70" i="7" a="1"/>
  <c r="D70" i="7" s="1"/>
  <c r="E70" i="7" a="1"/>
  <c r="E70" i="7" s="1"/>
  <c r="F70" i="7" a="1"/>
  <c r="F70" i="7" s="1"/>
  <c r="G70" i="7" a="1"/>
  <c r="G70" i="7" s="1"/>
  <c r="H70" i="7" a="1"/>
  <c r="H70" i="7" s="1"/>
  <c r="I70" i="7" a="1"/>
  <c r="I70" i="7" s="1"/>
  <c r="J70" i="7" a="1"/>
  <c r="J70" i="7" s="1"/>
  <c r="K70" i="7" a="1"/>
  <c r="K70" i="7" s="1"/>
  <c r="D71" i="7" a="1"/>
  <c r="D71" i="7" s="1"/>
  <c r="E71" i="7" a="1"/>
  <c r="E71" i="7" s="1"/>
  <c r="F71" i="7" a="1"/>
  <c r="F71" i="7" s="1"/>
  <c r="G71" i="7" a="1"/>
  <c r="G71" i="7" s="1"/>
  <c r="H71" i="7" a="1"/>
  <c r="H71" i="7" s="1"/>
  <c r="I71" i="7" a="1"/>
  <c r="I71" i="7" s="1"/>
  <c r="J71" i="7" a="1"/>
  <c r="J71" i="7" s="1"/>
  <c r="K71" i="7" a="1"/>
  <c r="K71" i="7" s="1"/>
  <c r="D72" i="7" a="1"/>
  <c r="D72" i="7" s="1"/>
  <c r="E72" i="7" a="1"/>
  <c r="E72" i="7" s="1"/>
  <c r="F72" i="7" a="1"/>
  <c r="F72" i="7" s="1"/>
  <c r="G72" i="7" a="1"/>
  <c r="G72" i="7" s="1"/>
  <c r="H72" i="7" a="1"/>
  <c r="H72" i="7" s="1"/>
  <c r="I72" i="7" a="1"/>
  <c r="I72" i="7" s="1"/>
  <c r="J72" i="7" a="1"/>
  <c r="J72" i="7" s="1"/>
  <c r="K72" i="7" a="1"/>
  <c r="K72" i="7" s="1"/>
  <c r="D73" i="7" a="1"/>
  <c r="D73" i="7" s="1"/>
  <c r="E73" i="7" a="1"/>
  <c r="E73" i="7" s="1"/>
  <c r="F73" i="7" a="1"/>
  <c r="F73" i="7" s="1"/>
  <c r="G73" i="7" a="1"/>
  <c r="G73" i="7" s="1"/>
  <c r="H73" i="7" a="1"/>
  <c r="H73" i="7" s="1"/>
  <c r="I73" i="7" a="1"/>
  <c r="I73" i="7" s="1"/>
  <c r="J73" i="7" a="1"/>
  <c r="J73" i="7" s="1"/>
  <c r="K73" i="7" a="1"/>
  <c r="K73" i="7" s="1"/>
  <c r="D74" i="7" a="1"/>
  <c r="D74" i="7" s="1"/>
  <c r="E74" i="7" a="1"/>
  <c r="E74" i="7" s="1"/>
  <c r="H74" i="5" s="1"/>
  <c r="F74" i="7" a="1"/>
  <c r="F74" i="7" s="1"/>
  <c r="G74" i="7" a="1"/>
  <c r="G74" i="7" s="1"/>
  <c r="H74" i="7" a="1"/>
  <c r="H74" i="7" s="1"/>
  <c r="I74" i="7" a="1"/>
  <c r="I74" i="7" s="1"/>
  <c r="J74" i="7" a="1"/>
  <c r="J74" i="7" s="1"/>
  <c r="K74" i="7" a="1"/>
  <c r="K74" i="7" s="1"/>
  <c r="A2" i="7" a="1"/>
  <c r="A2" i="7" s="1"/>
  <c r="D60" i="6" a="1"/>
  <c r="D60" i="6" s="1"/>
  <c r="E60" i="6" a="1"/>
  <c r="E60" i="6" s="1"/>
  <c r="D60" i="8" s="1"/>
  <c r="F60" i="6" a="1"/>
  <c r="F60" i="6"/>
  <c r="E60" i="8" s="1"/>
  <c r="D61" i="6" a="1"/>
  <c r="D61" i="6" s="1"/>
  <c r="E61" i="6" a="1"/>
  <c r="E61" i="6" s="1"/>
  <c r="D61" i="8" s="1"/>
  <c r="F61" i="6" a="1"/>
  <c r="F61" i="6"/>
  <c r="E61" i="8" s="1"/>
  <c r="D62" i="6" a="1"/>
  <c r="D62" i="6" s="1"/>
  <c r="E62" i="6" a="1"/>
  <c r="E62" i="6" s="1"/>
  <c r="E62" i="5" s="1"/>
  <c r="F62" i="6" a="1"/>
  <c r="F62" i="6" s="1"/>
  <c r="H62" i="5" s="1"/>
  <c r="D63" i="6" a="1"/>
  <c r="D63" i="6" s="1"/>
  <c r="E63" i="6" a="1"/>
  <c r="E63" i="6"/>
  <c r="E63" i="5" s="1"/>
  <c r="F63" i="6" a="1"/>
  <c r="F63" i="6" s="1"/>
  <c r="H63" i="5" s="1"/>
  <c r="D64" i="6" a="1"/>
  <c r="D64" i="6" s="1"/>
  <c r="E64" i="6" a="1"/>
  <c r="E64" i="6" s="1"/>
  <c r="D64" i="8" s="1"/>
  <c r="F64" i="6" a="1"/>
  <c r="F64" i="6" s="1"/>
  <c r="H64" i="5" s="1"/>
  <c r="D65" i="6" a="1"/>
  <c r="D65" i="6" s="1"/>
  <c r="E65" i="6" a="1"/>
  <c r="E65" i="6" s="1"/>
  <c r="D65" i="8" s="1"/>
  <c r="F65" i="6" a="1"/>
  <c r="F65" i="6"/>
  <c r="E65" i="8" s="1"/>
  <c r="D66" i="6" a="1"/>
  <c r="D66" i="6" s="1"/>
  <c r="E66" i="6" a="1"/>
  <c r="E66" i="6"/>
  <c r="D66" i="8" s="1"/>
  <c r="F66" i="6" a="1"/>
  <c r="F66" i="6" s="1"/>
  <c r="E66" i="8" s="1"/>
  <c r="D67" i="6" a="1"/>
  <c r="D67" i="6" s="1"/>
  <c r="E67" i="6" a="1"/>
  <c r="E67" i="6"/>
  <c r="D67" i="8" s="1"/>
  <c r="F67" i="6" a="1"/>
  <c r="F67" i="6" s="1"/>
  <c r="E67" i="8" s="1"/>
  <c r="D68" i="6" a="1"/>
  <c r="D68" i="6" s="1"/>
  <c r="E68" i="6" a="1"/>
  <c r="E68" i="6"/>
  <c r="D68" i="8" s="1"/>
  <c r="G68" i="5" s="1"/>
  <c r="F68" i="6" a="1"/>
  <c r="F68" i="6" s="1"/>
  <c r="E68" i="8" s="1"/>
  <c r="D69" i="6" a="1"/>
  <c r="D69" i="6" s="1"/>
  <c r="E69" i="6" a="1"/>
  <c r="E69" i="6" s="1"/>
  <c r="D69" i="8" s="1"/>
  <c r="F69" i="5" s="1" a="1"/>
  <c r="F69" i="5" s="1"/>
  <c r="F69" i="6" a="1"/>
  <c r="F69" i="6" s="1"/>
  <c r="E69" i="8" s="1"/>
  <c r="D70" i="6" a="1"/>
  <c r="D70" i="6" s="1"/>
  <c r="E70" i="6" a="1"/>
  <c r="E70" i="6" s="1"/>
  <c r="D70" i="8" s="1"/>
  <c r="F70" i="6" a="1"/>
  <c r="F70" i="6" s="1"/>
  <c r="E70" i="8" s="1"/>
  <c r="D71" i="6" a="1"/>
  <c r="D71" i="6" s="1"/>
  <c r="E71" i="6" a="1"/>
  <c r="E71" i="6" s="1"/>
  <c r="D71" i="8" s="1"/>
  <c r="F71" i="6" a="1"/>
  <c r="F71" i="6" s="1"/>
  <c r="E71" i="8" s="1"/>
  <c r="D72" i="6" a="1"/>
  <c r="D72" i="6" s="1"/>
  <c r="E72" i="6" a="1"/>
  <c r="E72" i="6"/>
  <c r="D72" i="8" s="1"/>
  <c r="G72" i="5" s="1"/>
  <c r="F72" i="6" a="1"/>
  <c r="F72" i="6" s="1"/>
  <c r="E72" i="8" s="1"/>
  <c r="D73" i="6" a="1"/>
  <c r="D73" i="6" s="1"/>
  <c r="E73" i="6" a="1"/>
  <c r="E73" i="6" s="1"/>
  <c r="D73" i="8" s="1"/>
  <c r="F73" i="5" s="1" a="1"/>
  <c r="F73" i="5" s="1"/>
  <c r="F73" i="6" a="1"/>
  <c r="F73" i="6"/>
  <c r="E73" i="8" s="1"/>
  <c r="D74" i="6" a="1"/>
  <c r="D74" i="6" s="1"/>
  <c r="E74" i="6" a="1"/>
  <c r="E74" i="6" s="1"/>
  <c r="E74" i="5" s="1"/>
  <c r="F74" i="6" a="1"/>
  <c r="F74" i="6" s="1"/>
  <c r="A2" i="6" a="1"/>
  <c r="A2" i="6" s="1"/>
  <c r="D60" i="3"/>
  <c r="E60" i="3" s="1" a="1"/>
  <c r="E60" i="3" s="1"/>
  <c r="D61" i="3"/>
  <c r="E61" i="3" s="1" a="1"/>
  <c r="E61" i="3" s="1"/>
  <c r="D62" i="3"/>
  <c r="E62" i="3" s="1" a="1"/>
  <c r="E62" i="3" s="1"/>
  <c r="D63" i="3"/>
  <c r="E63" i="3" s="1" a="1"/>
  <c r="E63" i="3" s="1"/>
  <c r="D64" i="3"/>
  <c r="E64" i="3" s="1" a="1"/>
  <c r="E64" i="3" s="1"/>
  <c r="D65" i="3"/>
  <c r="E65" i="3" s="1" a="1"/>
  <c r="E65" i="3" s="1"/>
  <c r="D66" i="3"/>
  <c r="E66" i="3" s="1" a="1"/>
  <c r="E66" i="3" s="1"/>
  <c r="D67" i="3"/>
  <c r="E67" i="3" s="1" a="1"/>
  <c r="E67" i="3" s="1"/>
  <c r="D68" i="3"/>
  <c r="E68" i="3" s="1" a="1"/>
  <c r="E68" i="3" s="1"/>
  <c r="D69" i="3"/>
  <c r="E69" i="3" s="1" a="1"/>
  <c r="E69" i="3" s="1"/>
  <c r="D70" i="3"/>
  <c r="E70" i="3" s="1" a="1"/>
  <c r="E70" i="3" s="1"/>
  <c r="D71" i="3"/>
  <c r="E71" i="3" s="1" a="1"/>
  <c r="E71" i="3" s="1"/>
  <c r="D72" i="3"/>
  <c r="E72" i="3" s="1" a="1"/>
  <c r="E72" i="3" s="1"/>
  <c r="D73" i="3"/>
  <c r="E73" i="3" s="1" a="1"/>
  <c r="E73" i="3" s="1"/>
  <c r="D74" i="3"/>
  <c r="E74" i="3" s="1" a="1"/>
  <c r="E74" i="3" s="1"/>
  <c r="B2" i="3" a="1"/>
  <c r="B2" i="3" s="1"/>
  <c r="A2" i="3" a="1"/>
  <c r="A2" i="3" s="1"/>
  <c r="E84" i="3" a="1"/>
  <c r="E84" i="3" s="1"/>
  <c r="C15" i="19" l="1" a="1"/>
  <c r="C15" i="19" s="1"/>
  <c r="C19" i="19" a="1"/>
  <c r="C19" i="19" s="1"/>
  <c r="C20" i="19" a="1"/>
  <c r="C20" i="19" s="1"/>
  <c r="C21" i="19" a="1"/>
  <c r="C21" i="19" s="1"/>
  <c r="C23" i="19" a="1"/>
  <c r="C23" i="19" s="1"/>
  <c r="C24" i="19" a="1"/>
  <c r="C24" i="19" s="1"/>
  <c r="C25" i="19" a="1"/>
  <c r="C25" i="19" s="1"/>
  <c r="C26" i="19" a="1"/>
  <c r="C26" i="19" s="1"/>
  <c r="C27" i="19" a="1"/>
  <c r="C27" i="19" s="1"/>
  <c r="C28" i="19" a="1"/>
  <c r="C28" i="19" s="1"/>
  <c r="C29" i="19" a="1"/>
  <c r="C29" i="19" s="1"/>
  <c r="D84" i="10"/>
  <c r="E81" i="10"/>
  <c r="D81" i="10"/>
  <c r="B6" i="19" l="1" a="1"/>
  <c r="B6" i="19" s="1"/>
  <c r="E79" i="3" a="1"/>
  <c r="E79" i="3" s="1"/>
  <c r="E80" i="3" a="1"/>
  <c r="E80" i="3" s="1"/>
  <c r="E81" i="3" a="1"/>
  <c r="E81" i="3" s="1"/>
  <c r="E82" i="3" a="1"/>
  <c r="E82" i="3" s="1"/>
  <c r="E83" i="3" a="1"/>
  <c r="E83" i="3" s="1"/>
  <c r="E85" i="3" a="1"/>
  <c r="E85" i="3" s="1"/>
  <c r="E86" i="3" a="1"/>
  <c r="E86" i="3" s="1"/>
  <c r="E87" i="3" a="1"/>
  <c r="E87" i="3" s="1"/>
  <c r="E88" i="3" a="1"/>
  <c r="E88" i="3" s="1"/>
  <c r="E89" i="3" a="1"/>
  <c r="E89" i="3" s="1"/>
  <c r="D24" i="3" l="1"/>
  <c r="E24" i="3" s="1" a="1"/>
  <c r="F24" i="7" s="1" a="1"/>
  <c r="F24" i="7" s="1"/>
  <c r="F59" i="6" a="1"/>
  <c r="F59" i="6" s="1"/>
  <c r="E58" i="7" a="1"/>
  <c r="E58" i="7" s="1"/>
  <c r="G56" i="7" a="1"/>
  <c r="G56" i="7" s="1"/>
  <c r="J58" i="7" a="1"/>
  <c r="J58" i="7" s="1"/>
  <c r="J56" i="7" a="1"/>
  <c r="J56" i="7" s="1"/>
  <c r="E57" i="7" a="1"/>
  <c r="E57" i="7" s="1"/>
  <c r="H58" i="7" a="1"/>
  <c r="H58" i="7" s="1"/>
  <c r="H56" i="7" a="1"/>
  <c r="H56" i="7" s="1"/>
  <c r="K59" i="7" a="1"/>
  <c r="K59" i="7" s="1"/>
  <c r="D59" i="3"/>
  <c r="K58" i="7" a="1"/>
  <c r="K58" i="7" s="1"/>
  <c r="D58" i="3"/>
  <c r="D59" i="7" a="1"/>
  <c r="D59" i="7" s="1"/>
  <c r="I59" i="7" a="1"/>
  <c r="I59" i="7" s="1"/>
  <c r="H57" i="7" a="1"/>
  <c r="H57" i="7" s="1"/>
  <c r="D57" i="3"/>
  <c r="E57" i="3" s="1" a="1"/>
  <c r="I57" i="7" s="1" a="1"/>
  <c r="I57" i="7" s="1"/>
  <c r="D58" i="7" a="1"/>
  <c r="D58" i="7" s="1"/>
  <c r="I58" i="7" a="1"/>
  <c r="I58" i="7" s="1"/>
  <c r="D56" i="3"/>
  <c r="D57" i="7" a="1"/>
  <c r="D57" i="7" s="1"/>
  <c r="J59" i="7" a="1"/>
  <c r="J59" i="7" s="1"/>
  <c r="D56" i="7" a="1"/>
  <c r="D56" i="7" s="1"/>
  <c r="J57" i="7" a="1"/>
  <c r="J57" i="7" s="1"/>
  <c r="K13" i="7" a="1"/>
  <c r="K13" i="7" s="1"/>
  <c r="K26" i="7" a="1"/>
  <c r="K26" i="7" s="1"/>
  <c r="K33" i="7" a="1"/>
  <c r="K33" i="7" s="1"/>
  <c r="K46" i="7" a="1"/>
  <c r="K46" i="7" s="1"/>
  <c r="K53" i="7" a="1"/>
  <c r="K53" i="7" s="1"/>
  <c r="J6" i="7" a="1"/>
  <c r="J6" i="7" s="1"/>
  <c r="J19" i="7" a="1"/>
  <c r="J19" i="7" s="1"/>
  <c r="J26" i="7" a="1"/>
  <c r="J26" i="7" s="1"/>
  <c r="I8" i="7" a="1"/>
  <c r="I8" i="7" s="1"/>
  <c r="I15" i="7" a="1"/>
  <c r="I15" i="7" s="1"/>
  <c r="I22" i="7" a="1"/>
  <c r="I22" i="7" s="1"/>
  <c r="I37" i="7" a="1"/>
  <c r="I37" i="7" s="1"/>
  <c r="H6" i="7" a="1"/>
  <c r="H6" i="7" s="1"/>
  <c r="H15" i="7" a="1"/>
  <c r="H15" i="7" s="1"/>
  <c r="H24" i="7" a="1"/>
  <c r="H24" i="7" s="1"/>
  <c r="H33" i="7" a="1"/>
  <c r="H33" i="7" s="1"/>
  <c r="H51" i="7" a="1"/>
  <c r="H51" i="7" s="1"/>
  <c r="G38" i="7" a="1"/>
  <c r="G38" i="7" s="1"/>
  <c r="G47" i="7" a="1"/>
  <c r="G47" i="7" s="1"/>
  <c r="E8" i="7" a="1"/>
  <c r="E8" i="7" s="1"/>
  <c r="E44" i="7" a="1"/>
  <c r="E44" i="7" s="1"/>
  <c r="E54" i="7" a="1"/>
  <c r="E54" i="7" s="1"/>
  <c r="K20" i="7" a="1"/>
  <c r="K20" i="7" s="1"/>
  <c r="K47" i="7" a="1"/>
  <c r="K47" i="7" s="1"/>
  <c r="J13" i="7" a="1"/>
  <c r="J13" i="7" s="1"/>
  <c r="J33" i="7" a="1"/>
  <c r="J33" i="7" s="1"/>
  <c r="J48" i="7" a="1"/>
  <c r="J48" i="7" s="1"/>
  <c r="J55" i="7" a="1"/>
  <c r="J55" i="7" s="1"/>
  <c r="I23" i="7" a="1"/>
  <c r="I23" i="7" s="1"/>
  <c r="I38" i="7" a="1"/>
  <c r="I38" i="7" s="1"/>
  <c r="I45" i="7" a="1"/>
  <c r="I45" i="7" s="1"/>
  <c r="I52" i="7" a="1"/>
  <c r="I52" i="7" s="1"/>
  <c r="H7" i="7" a="1"/>
  <c r="H7" i="7" s="1"/>
  <c r="H25" i="7" a="1"/>
  <c r="H25" i="7" s="1"/>
  <c r="H43" i="7" a="1"/>
  <c r="H43" i="7" s="1"/>
  <c r="H52" i="7" a="1"/>
  <c r="H52" i="7" s="1"/>
  <c r="G7" i="7" a="1"/>
  <c r="G7" i="7" s="1"/>
  <c r="G31" i="7" a="1"/>
  <c r="G31" i="7" s="1"/>
  <c r="G39" i="7" a="1"/>
  <c r="G39" i="7" s="1"/>
  <c r="E26" i="7" a="1"/>
  <c r="E26" i="7" s="1"/>
  <c r="E55" i="7" a="1"/>
  <c r="E55" i="7" s="1"/>
  <c r="D8" i="7" a="1"/>
  <c r="D8" i="7" s="1"/>
  <c r="D15" i="7" a="1"/>
  <c r="D15" i="7" s="1"/>
  <c r="D22" i="7" a="1"/>
  <c r="D22" i="7" s="1"/>
  <c r="K14" i="7" a="1"/>
  <c r="K14" i="7" s="1"/>
  <c r="K41" i="7" a="1"/>
  <c r="K41" i="7" s="1"/>
  <c r="K54" i="7" a="1"/>
  <c r="K54" i="7" s="1"/>
  <c r="J7" i="7" a="1"/>
  <c r="J7" i="7" s="1"/>
  <c r="J20" i="7" a="1"/>
  <c r="J20" i="7" s="1"/>
  <c r="J27" i="7" a="1"/>
  <c r="J27" i="7" s="1"/>
  <c r="J34" i="7" a="1"/>
  <c r="J34" i="7" s="1"/>
  <c r="I9" i="7" a="1"/>
  <c r="I9" i="7" s="1"/>
  <c r="I53" i="7" a="1"/>
  <c r="I53" i="7" s="1"/>
  <c r="H16" i="7" a="1"/>
  <c r="H16" i="7" s="1"/>
  <c r="H34" i="7" a="1"/>
  <c r="H34" i="7" s="1"/>
  <c r="H53" i="7" a="1"/>
  <c r="H53" i="7" s="1"/>
  <c r="G24" i="7" a="1"/>
  <c r="G24" i="7" s="1"/>
  <c r="G40" i="7" a="1"/>
  <c r="G40" i="7" s="1"/>
  <c r="G48" i="7" a="1"/>
  <c r="G48" i="7" s="1"/>
  <c r="E18" i="7" a="1"/>
  <c r="E18" i="7" s="1"/>
  <c r="E45" i="7" a="1"/>
  <c r="E45" i="7" s="1"/>
  <c r="D9" i="7" a="1"/>
  <c r="D9" i="7" s="1"/>
  <c r="D16" i="7" a="1"/>
  <c r="D16" i="7" s="1"/>
  <c r="K8" i="7" a="1"/>
  <c r="K8" i="7" s="1"/>
  <c r="K21" i="7" a="1"/>
  <c r="K21" i="7" s="1"/>
  <c r="K35" i="7" a="1"/>
  <c r="K35" i="7" s="1"/>
  <c r="K48" i="7" a="1"/>
  <c r="K48" i="7" s="1"/>
  <c r="J14" i="7" a="1"/>
  <c r="J14" i="7" s="1"/>
  <c r="J35" i="7" a="1"/>
  <c r="J35" i="7" s="1"/>
  <c r="J49" i="7" a="1"/>
  <c r="J49" i="7" s="1"/>
  <c r="I17" i="7" a="1"/>
  <c r="I17" i="7" s="1"/>
  <c r="I39" i="7" a="1"/>
  <c r="I39" i="7" s="1"/>
  <c r="I46" i="7" a="1"/>
  <c r="I46" i="7" s="1"/>
  <c r="I54" i="7" a="1"/>
  <c r="I54" i="7" s="1"/>
  <c r="H8" i="7" a="1"/>
  <c r="H8" i="7" s="1"/>
  <c r="H17" i="7" a="1"/>
  <c r="H17" i="7" s="1"/>
  <c r="H26" i="7" a="1"/>
  <c r="H26" i="7" s="1"/>
  <c r="H35" i="7" a="1"/>
  <c r="H35" i="7" s="1"/>
  <c r="H44" i="7" a="1"/>
  <c r="H44" i="7" s="1"/>
  <c r="H54" i="7" a="1"/>
  <c r="H54" i="7" s="1"/>
  <c r="G32" i="7" a="1"/>
  <c r="G32" i="7" s="1"/>
  <c r="F54" i="7" a="1"/>
  <c r="F54" i="7" s="1"/>
  <c r="E10" i="7" a="1"/>
  <c r="E10" i="7" s="1"/>
  <c r="E19" i="7" a="1"/>
  <c r="E19" i="7" s="1"/>
  <c r="E27" i="7" a="1"/>
  <c r="E27" i="7" s="1"/>
  <c r="D10" i="7" a="1"/>
  <c r="D10" i="7" s="1"/>
  <c r="D23" i="7" a="1"/>
  <c r="D23" i="7" s="1"/>
  <c r="K15" i="7" a="1"/>
  <c r="K15" i="7" s="1"/>
  <c r="K42" i="7" a="1"/>
  <c r="K42" i="7" s="1"/>
  <c r="K55" i="7" a="1"/>
  <c r="K55" i="7" s="1"/>
  <c r="J8" i="7" a="1"/>
  <c r="J8" i="7" s="1"/>
  <c r="J28" i="7" a="1"/>
  <c r="J28" i="7" s="1"/>
  <c r="I3" i="7" a="1"/>
  <c r="I3" i="7" s="1"/>
  <c r="I10" i="7" a="1"/>
  <c r="I10" i="7" s="1"/>
  <c r="I18" i="7" a="1"/>
  <c r="I18" i="7" s="1"/>
  <c r="I25" i="7" a="1"/>
  <c r="I25" i="7" s="1"/>
  <c r="I32" i="7" a="1"/>
  <c r="I32" i="7" s="1"/>
  <c r="I47" i="7" a="1"/>
  <c r="I47" i="7" s="1"/>
  <c r="H9" i="7" a="1"/>
  <c r="H9" i="7" s="1"/>
  <c r="H18" i="7" a="1"/>
  <c r="H18" i="7" s="1"/>
  <c r="H27" i="7" a="1"/>
  <c r="H27" i="7" s="1"/>
  <c r="H36" i="7" a="1"/>
  <c r="H36" i="7" s="1"/>
  <c r="H45" i="7" a="1"/>
  <c r="H45" i="7" s="1"/>
  <c r="G9" i="7" a="1"/>
  <c r="G9" i="7" s="1"/>
  <c r="G33" i="7" a="1"/>
  <c r="G33" i="7" s="1"/>
  <c r="F55" i="7" a="1"/>
  <c r="F55" i="7" s="1"/>
  <c r="E28" i="7" a="1"/>
  <c r="E28" i="7" s="1"/>
  <c r="D17" i="7" a="1"/>
  <c r="D17" i="7" s="1"/>
  <c r="D30" i="7" a="1"/>
  <c r="D30" i="7" s="1"/>
  <c r="K9" i="7" a="1"/>
  <c r="K9" i="7" s="1"/>
  <c r="K22" i="7" a="1"/>
  <c r="K22" i="7" s="1"/>
  <c r="K36" i="7" a="1"/>
  <c r="K36" i="7" s="1"/>
  <c r="K49" i="7" a="1"/>
  <c r="K49" i="7" s="1"/>
  <c r="J15" i="7" a="1"/>
  <c r="J15" i="7" s="1"/>
  <c r="J29" i="7" a="1"/>
  <c r="J29" i="7" s="1"/>
  <c r="J36" i="7" a="1"/>
  <c r="J36" i="7" s="1"/>
  <c r="J43" i="7" a="1"/>
  <c r="J43" i="7" s="1"/>
  <c r="J50" i="7" a="1"/>
  <c r="J50" i="7" s="1"/>
  <c r="I48" i="7" a="1"/>
  <c r="I48" i="7" s="1"/>
  <c r="I55" i="7" a="1"/>
  <c r="I55" i="7" s="1"/>
  <c r="H19" i="7" a="1"/>
  <c r="H19" i="7" s="1"/>
  <c r="H37" i="7" a="1"/>
  <c r="H37" i="7" s="1"/>
  <c r="G34" i="7" a="1"/>
  <c r="G34" i="7" s="1"/>
  <c r="G42" i="7" a="1"/>
  <c r="G42" i="7" s="1"/>
  <c r="E11" i="7" a="1"/>
  <c r="E11" i="7" s="1"/>
  <c r="E20" i="7" a="1"/>
  <c r="E20" i="7" s="1"/>
  <c r="E29" i="7" a="1"/>
  <c r="E29" i="7" s="1"/>
  <c r="E48" i="7" a="1"/>
  <c r="E48" i="7" s="1"/>
  <c r="D4" i="7" a="1"/>
  <c r="D4" i="7" s="1"/>
  <c r="D11" i="7" a="1"/>
  <c r="D11" i="7" s="1"/>
  <c r="D24" i="7" a="1"/>
  <c r="D24" i="7" s="1"/>
  <c r="K3" i="7" a="1"/>
  <c r="K3" i="7" s="1"/>
  <c r="K23" i="7" a="1"/>
  <c r="K23" i="7" s="1"/>
  <c r="K43" i="7" a="1"/>
  <c r="K43" i="7" s="1"/>
  <c r="J9" i="7" a="1"/>
  <c r="J9" i="7" s="1"/>
  <c r="J22" i="7" a="1"/>
  <c r="J22" i="7" s="1"/>
  <c r="I4" i="7" a="1"/>
  <c r="I4" i="7" s="1"/>
  <c r="I12" i="7" a="1"/>
  <c r="I12" i="7" s="1"/>
  <c r="I19" i="7" a="1"/>
  <c r="I19" i="7" s="1"/>
  <c r="I33" i="7" a="1"/>
  <c r="I33" i="7" s="1"/>
  <c r="I41" i="7" a="1"/>
  <c r="I41" i="7" s="1"/>
  <c r="H10" i="7" a="1"/>
  <c r="H10" i="7" s="1"/>
  <c r="H28" i="7" a="1"/>
  <c r="H28" i="7" s="1"/>
  <c r="H46" i="7" a="1"/>
  <c r="H46" i="7" s="1"/>
  <c r="G11" i="7" a="1"/>
  <c r="G11" i="7" s="1"/>
  <c r="G26" i="7" a="1"/>
  <c r="G26" i="7" s="1"/>
  <c r="E12" i="7" a="1"/>
  <c r="E12" i="7" s="1"/>
  <c r="D18" i="7" a="1"/>
  <c r="D18" i="7" s="1"/>
  <c r="K10" i="7" a="1"/>
  <c r="K10" i="7" s="1"/>
  <c r="K17" i="7" a="1"/>
  <c r="K17" i="7" s="1"/>
  <c r="K37" i="7" a="1"/>
  <c r="K37" i="7" s="1"/>
  <c r="K50" i="7" a="1"/>
  <c r="K50" i="7" s="1"/>
  <c r="J16" i="7" a="1"/>
  <c r="J16" i="7" s="1"/>
  <c r="J23" i="7" a="1"/>
  <c r="J23" i="7" s="1"/>
  <c r="J30" i="7" a="1"/>
  <c r="J30" i="7" s="1"/>
  <c r="J37" i="7" a="1"/>
  <c r="J37" i="7" s="1"/>
  <c r="J44" i="7" a="1"/>
  <c r="J44" i="7" s="1"/>
  <c r="J51" i="7" a="1"/>
  <c r="J51" i="7" s="1"/>
  <c r="I5" i="7" a="1"/>
  <c r="I5" i="7" s="1"/>
  <c r="I42" i="7" a="1"/>
  <c r="I42" i="7" s="1"/>
  <c r="I49" i="7" a="1"/>
  <c r="I49" i="7" s="1"/>
  <c r="H11" i="7" a="1"/>
  <c r="H11" i="7" s="1"/>
  <c r="H20" i="7" a="1"/>
  <c r="H20" i="7" s="1"/>
  <c r="H29" i="7" a="1"/>
  <c r="H29" i="7" s="1"/>
  <c r="H38" i="7" a="1"/>
  <c r="H38" i="7" s="1"/>
  <c r="H47" i="7" a="1"/>
  <c r="H47" i="7" s="1"/>
  <c r="G3" i="7" a="1"/>
  <c r="G3" i="7" s="1"/>
  <c r="G27" i="7" a="1"/>
  <c r="G27" i="7" s="1"/>
  <c r="E4" i="7" a="1"/>
  <c r="E4" i="7" s="1"/>
  <c r="E50" i="7" a="1"/>
  <c r="E50" i="7" s="1"/>
  <c r="D5" i="7" a="1"/>
  <c r="D5" i="7" s="1"/>
  <c r="D12" i="7" a="1"/>
  <c r="D12" i="7" s="1"/>
  <c r="D25" i="7" a="1"/>
  <c r="D25" i="7" s="1"/>
  <c r="K4" i="7" a="1"/>
  <c r="K4" i="7" s="1"/>
  <c r="K44" i="7" a="1"/>
  <c r="K44" i="7" s="1"/>
  <c r="J10" i="7" a="1"/>
  <c r="J10" i="7" s="1"/>
  <c r="J17" i="7" a="1"/>
  <c r="J17" i="7" s="1"/>
  <c r="J52" i="7" a="1"/>
  <c r="J52" i="7" s="1"/>
  <c r="I6" i="7" a="1"/>
  <c r="I6" i="7" s="1"/>
  <c r="I13" i="7" a="1"/>
  <c r="I13" i="7" s="1"/>
  <c r="I20" i="7" a="1"/>
  <c r="I20" i="7" s="1"/>
  <c r="H3" i="7" a="1"/>
  <c r="H3" i="7" s="1"/>
  <c r="H21" i="7" a="1"/>
  <c r="H21" i="7" s="1"/>
  <c r="H30" i="7" a="1"/>
  <c r="H30" i="7" s="1"/>
  <c r="H39" i="7" a="1"/>
  <c r="H39" i="7" s="1"/>
  <c r="H48" i="7" a="1"/>
  <c r="H48" i="7" s="1"/>
  <c r="F13" i="7" a="1"/>
  <c r="F13" i="7" s="1"/>
  <c r="E22" i="7" a="1"/>
  <c r="E22" i="7" s="1"/>
  <c r="D19" i="7" a="1"/>
  <c r="D19" i="7" s="1"/>
  <c r="K5" i="7" a="1"/>
  <c r="K5" i="7" s="1"/>
  <c r="K18" i="7" a="1"/>
  <c r="K18" i="7" s="1"/>
  <c r="K38" i="7" a="1"/>
  <c r="K38" i="7" s="1"/>
  <c r="J4" i="7" a="1"/>
  <c r="J4" i="7" s="1"/>
  <c r="J11" i="7" a="1"/>
  <c r="J11" i="7" s="1"/>
  <c r="J24" i="7" a="1"/>
  <c r="J24" i="7" s="1"/>
  <c r="J31" i="7" a="1"/>
  <c r="J31" i="7" s="1"/>
  <c r="J38" i="7" a="1"/>
  <c r="J38" i="7" s="1"/>
  <c r="J45" i="7" a="1"/>
  <c r="J45" i="7" s="1"/>
  <c r="J53" i="7" a="1"/>
  <c r="J53" i="7" s="1"/>
  <c r="I35" i="7" a="1"/>
  <c r="I35" i="7" s="1"/>
  <c r="I43" i="7" a="1"/>
  <c r="I43" i="7" s="1"/>
  <c r="I50" i="7" a="1"/>
  <c r="I50" i="7" s="1"/>
  <c r="H13" i="7" a="1"/>
  <c r="H13" i="7" s="1"/>
  <c r="H31" i="7" a="1"/>
  <c r="H31" i="7" s="1"/>
  <c r="H49" i="7" a="1"/>
  <c r="H49" i="7" s="1"/>
  <c r="F50" i="7" a="1"/>
  <c r="F50" i="7" s="1"/>
  <c r="E5" i="7" a="1"/>
  <c r="E5" i="7" s="1"/>
  <c r="E32" i="7" a="1"/>
  <c r="E32" i="7" s="1"/>
  <c r="E51" i="7" a="1"/>
  <c r="E51" i="7" s="1"/>
  <c r="D6" i="7" a="1"/>
  <c r="D6" i="7" s="1"/>
  <c r="D13" i="7" a="1"/>
  <c r="D13" i="7" s="1"/>
  <c r="D26" i="7" a="1"/>
  <c r="D26" i="7" s="1"/>
  <c r="K12" i="7" a="1"/>
  <c r="K12" i="7" s="1"/>
  <c r="K25" i="7" a="1"/>
  <c r="K25" i="7" s="1"/>
  <c r="K45" i="7" a="1"/>
  <c r="K45" i="7" s="1"/>
  <c r="J5" i="7" a="1"/>
  <c r="J5" i="7" s="1"/>
  <c r="J18" i="7" a="1"/>
  <c r="J18" i="7" s="1"/>
  <c r="J25" i="7" a="1"/>
  <c r="J25" i="7" s="1"/>
  <c r="J46" i="7" a="1"/>
  <c r="J46" i="7" s="1"/>
  <c r="I14" i="7" a="1"/>
  <c r="I14" i="7" s="1"/>
  <c r="I21" i="7" a="1"/>
  <c r="I21" i="7" s="1"/>
  <c r="I36" i="7" a="1"/>
  <c r="I36" i="7" s="1"/>
  <c r="H4" i="7" a="1"/>
  <c r="H4" i="7" s="1"/>
  <c r="H40" i="7" a="1"/>
  <c r="H40" i="7" s="1"/>
  <c r="E24" i="7" a="1"/>
  <c r="E24" i="7" s="1"/>
  <c r="E52" i="7" a="1"/>
  <c r="E52" i="7" s="1"/>
  <c r="D20" i="7" a="1"/>
  <c r="D20" i="7" s="1"/>
  <c r="K6" i="7" a="1"/>
  <c r="K6" i="7" s="1"/>
  <c r="K19" i="7" a="1"/>
  <c r="K19" i="7" s="1"/>
  <c r="K39" i="7" a="1"/>
  <c r="K39" i="7" s="1"/>
  <c r="K52" i="7" a="1"/>
  <c r="K52" i="7" s="1"/>
  <c r="J12" i="7" a="1"/>
  <c r="J12" i="7" s="1"/>
  <c r="J32" i="7" a="1"/>
  <c r="J32" i="7" s="1"/>
  <c r="J39" i="7" a="1"/>
  <c r="J39" i="7" s="1"/>
  <c r="J54" i="7" a="1"/>
  <c r="J54" i="7" s="1"/>
  <c r="I29" i="7" a="1"/>
  <c r="I29" i="7" s="1"/>
  <c r="I44" i="7" a="1"/>
  <c r="I44" i="7" s="1"/>
  <c r="H5" i="7" a="1"/>
  <c r="H5" i="7" s="1"/>
  <c r="H14" i="7" a="1"/>
  <c r="H14" i="7" s="1"/>
  <c r="H23" i="7" a="1"/>
  <c r="H23" i="7" s="1"/>
  <c r="H32" i="7" a="1"/>
  <c r="H32" i="7" s="1"/>
  <c r="H41" i="7" a="1"/>
  <c r="H41" i="7" s="1"/>
  <c r="H50" i="7" a="1"/>
  <c r="H50" i="7" s="1"/>
  <c r="G6" i="7" a="1"/>
  <c r="G6" i="7" s="1"/>
  <c r="E7" i="7" a="1"/>
  <c r="E7" i="7" s="1"/>
  <c r="E25" i="7" a="1"/>
  <c r="E25" i="7" s="1"/>
  <c r="E43" i="7" a="1"/>
  <c r="E43" i="7" s="1"/>
  <c r="D7" i="7" a="1"/>
  <c r="D7" i="7" s="1"/>
  <c r="D14" i="7" a="1"/>
  <c r="D14" i="7" s="1"/>
  <c r="D27" i="7" a="1"/>
  <c r="D27" i="7" s="1"/>
  <c r="D29" i="7" a="1"/>
  <c r="D29" i="7" s="1"/>
  <c r="D44" i="7" a="1"/>
  <c r="D44" i="7" s="1"/>
  <c r="D31" i="7" a="1"/>
  <c r="D31" i="7" s="1"/>
  <c r="D38" i="7" a="1"/>
  <c r="D38" i="7" s="1"/>
  <c r="D51" i="7" a="1"/>
  <c r="D51" i="7" s="1"/>
  <c r="D45" i="7" a="1"/>
  <c r="D45" i="7" s="1"/>
  <c r="D52" i="7" a="1"/>
  <c r="D52" i="7" s="1"/>
  <c r="D32" i="7" a="1"/>
  <c r="D32" i="7" s="1"/>
  <c r="D39" i="7" a="1"/>
  <c r="D39" i="7" s="1"/>
  <c r="D46" i="7" a="1"/>
  <c r="D46" i="7" s="1"/>
  <c r="D33" i="7" a="1"/>
  <c r="D33" i="7" s="1"/>
  <c r="D53" i="7" a="1"/>
  <c r="D53" i="7" s="1"/>
  <c r="D34" i="7" a="1"/>
  <c r="D34" i="7" s="1"/>
  <c r="D54" i="7" a="1"/>
  <c r="D54" i="7" s="1"/>
  <c r="D35" i="7" a="1"/>
  <c r="D35" i="7" s="1"/>
  <c r="D48" i="7" a="1"/>
  <c r="D48" i="7" s="1"/>
  <c r="D55" i="7" a="1"/>
  <c r="D55" i="7" s="1"/>
  <c r="D36" i="7" a="1"/>
  <c r="D36" i="7" s="1"/>
  <c r="D49" i="7" a="1"/>
  <c r="D49" i="7" s="1"/>
  <c r="D28" i="7" a="1"/>
  <c r="D28" i="7" s="1"/>
  <c r="D43" i="7" a="1"/>
  <c r="D43" i="7" s="1"/>
  <c r="D37" i="7" a="1"/>
  <c r="D37" i="7" s="1"/>
  <c r="D50" i="7" a="1"/>
  <c r="D50" i="7" s="1"/>
  <c r="F47" i="6" a="1"/>
  <c r="F47" i="6" s="1"/>
  <c r="F9" i="6" a="1"/>
  <c r="F9" i="6" s="1"/>
  <c r="F17" i="6" a="1"/>
  <c r="F17" i="6" s="1"/>
  <c r="F39" i="6" a="1"/>
  <c r="F39" i="6" s="1"/>
  <c r="F12" i="6" a="1"/>
  <c r="F12" i="6" s="1"/>
  <c r="F35" i="6" a="1"/>
  <c r="F35" i="6" s="1"/>
  <c r="F42" i="6" a="1"/>
  <c r="F42" i="6" s="1"/>
  <c r="E40" i="6" a="1"/>
  <c r="E40" i="6" s="1"/>
  <c r="E47" i="6" a="1"/>
  <c r="E47" i="6" s="1"/>
  <c r="F21" i="6" a="1"/>
  <c r="F21" i="6" s="1"/>
  <c r="F14" i="6" a="1"/>
  <c r="F14" i="6" s="1"/>
  <c r="F22" i="6" a="1"/>
  <c r="F22" i="6" s="1"/>
  <c r="F37" i="6" a="1"/>
  <c r="F37" i="6" s="1"/>
  <c r="F23" i="6" a="1"/>
  <c r="F23" i="6" s="1"/>
  <c r="F8" i="6" a="1"/>
  <c r="F8" i="6" s="1"/>
  <c r="F15" i="6" a="1"/>
  <c r="F15" i="6" s="1"/>
  <c r="F38" i="6" a="1"/>
  <c r="F38" i="6" s="1"/>
  <c r="F46" i="6" a="1"/>
  <c r="F46" i="6" s="1"/>
  <c r="D2" i="3"/>
  <c r="D3" i="3"/>
  <c r="E3" i="3" s="1" a="1"/>
  <c r="E3" i="3" s="1"/>
  <c r="D3" i="6" s="1" a="1"/>
  <c r="D3" i="6" s="1"/>
  <c r="D4" i="3"/>
  <c r="E4" i="3" s="1" a="1"/>
  <c r="F4" i="7" s="1" a="1"/>
  <c r="F4" i="7" s="1"/>
  <c r="D5" i="3"/>
  <c r="E5" i="3" s="1" a="1"/>
  <c r="E5" i="3" s="1"/>
  <c r="D5" i="6" s="1" a="1"/>
  <c r="D5" i="6" s="1"/>
  <c r="D6" i="3"/>
  <c r="E6" i="3" s="1" a="1"/>
  <c r="E6" i="7" s="1" a="1"/>
  <c r="E6" i="7" s="1"/>
  <c r="D7" i="3"/>
  <c r="E7" i="3" s="1" a="1"/>
  <c r="E7" i="3" s="1"/>
  <c r="D7" i="6" s="1" a="1"/>
  <c r="D7" i="6" s="1"/>
  <c r="D8" i="3"/>
  <c r="E8" i="3" s="1" a="1"/>
  <c r="E8" i="3" s="1"/>
  <c r="D8" i="6" s="1" a="1"/>
  <c r="D8" i="6" s="1"/>
  <c r="D9" i="3"/>
  <c r="E9" i="3" s="1" a="1"/>
  <c r="E9" i="3" s="1"/>
  <c r="D9" i="6" s="1" a="1"/>
  <c r="D9" i="6" s="1"/>
  <c r="D10" i="3"/>
  <c r="E10" i="3" s="1" a="1"/>
  <c r="E10" i="3" s="1"/>
  <c r="D10" i="6" s="1" a="1"/>
  <c r="D10" i="6" s="1"/>
  <c r="D22" i="3"/>
  <c r="D34" i="3"/>
  <c r="E34" i="3" s="1" a="1"/>
  <c r="E34" i="7" s="1" a="1"/>
  <c r="E34" i="7" s="1"/>
  <c r="D46" i="3"/>
  <c r="E46" i="3" s="1" a="1"/>
  <c r="E46" i="3" s="1"/>
  <c r="D46" i="6" s="1" a="1"/>
  <c r="D46" i="6" s="1"/>
  <c r="D11" i="3"/>
  <c r="E11" i="3" s="1" a="1"/>
  <c r="K11" i="7" s="1" a="1"/>
  <c r="K11" i="7" s="1"/>
  <c r="D23" i="3"/>
  <c r="E23" i="3" s="1" a="1"/>
  <c r="G23" i="7" s="1" a="1"/>
  <c r="G23" i="7" s="1"/>
  <c r="D35" i="3"/>
  <c r="E35" i="3" s="1" a="1"/>
  <c r="E35" i="7" s="1" a="1"/>
  <c r="E35" i="7" s="1"/>
  <c r="D47" i="3"/>
  <c r="D12" i="3"/>
  <c r="E12" i="3" s="1" a="1"/>
  <c r="H12" i="7" s="1" a="1"/>
  <c r="H12" i="7" s="1"/>
  <c r="D36" i="3"/>
  <c r="E36" i="3" s="1" a="1"/>
  <c r="D48" i="3"/>
  <c r="D13" i="3"/>
  <c r="E13" i="3" s="1" a="1"/>
  <c r="G13" i="7" s="1" a="1"/>
  <c r="G13" i="7" s="1"/>
  <c r="D25" i="3"/>
  <c r="D37" i="3"/>
  <c r="E37" i="3" s="1" a="1"/>
  <c r="D49" i="3"/>
  <c r="E49" i="3" s="1" a="1"/>
  <c r="E49" i="7" s="1" a="1"/>
  <c r="E49" i="7" s="1"/>
  <c r="H49" i="5" s="1" a="1"/>
  <c r="H49" i="5" s="1"/>
  <c r="D14" i="3"/>
  <c r="E14" i="3" s="1" a="1"/>
  <c r="F14" i="7" s="1" a="1"/>
  <c r="F14" i="7" s="1"/>
  <c r="D26" i="3"/>
  <c r="E26" i="3" s="1" a="1"/>
  <c r="E26" i="6" s="1" a="1"/>
  <c r="E26" i="6" s="1"/>
  <c r="D38" i="3"/>
  <c r="D50" i="3"/>
  <c r="E50" i="3" s="1" a="1"/>
  <c r="E50" i="3" s="1"/>
  <c r="D50" i="6" s="1" a="1"/>
  <c r="D50" i="6" s="1"/>
  <c r="D15" i="3"/>
  <c r="E15" i="3" s="1" a="1"/>
  <c r="G15" i="7" s="1" a="1"/>
  <c r="G15" i="7" s="1"/>
  <c r="D27" i="3"/>
  <c r="E27" i="3" s="1" a="1"/>
  <c r="E27" i="3" s="1"/>
  <c r="D27" i="6" s="1" a="1"/>
  <c r="D27" i="6" s="1"/>
  <c r="D39" i="3"/>
  <c r="E39" i="3" s="1" a="1"/>
  <c r="D51" i="3"/>
  <c r="D16" i="3"/>
  <c r="E16" i="3" s="1" a="1"/>
  <c r="E16" i="7" s="1" a="1"/>
  <c r="E16" i="7" s="1"/>
  <c r="D28" i="3"/>
  <c r="E28" i="3" s="1" a="1"/>
  <c r="E28" i="6" s="1" a="1"/>
  <c r="E28" i="6" s="1"/>
  <c r="D40" i="3"/>
  <c r="E40" i="3" s="1" a="1"/>
  <c r="E40" i="7" s="1" a="1"/>
  <c r="E40" i="7" s="1"/>
  <c r="D52" i="3"/>
  <c r="D17" i="3"/>
  <c r="E17" i="3" s="1" a="1"/>
  <c r="F17" i="7" s="1" a="1"/>
  <c r="F17" i="7" s="1"/>
  <c r="D29" i="3"/>
  <c r="E29" i="3" s="1" a="1"/>
  <c r="K29" i="7" s="1" a="1"/>
  <c r="K29" i="7" s="1"/>
  <c r="D41" i="3"/>
  <c r="E41" i="3" s="1" a="1"/>
  <c r="E41" i="3" s="1"/>
  <c r="D41" i="6" s="1" a="1"/>
  <c r="D41" i="6" s="1"/>
  <c r="D53" i="3"/>
  <c r="E53" i="3" s="1" a="1"/>
  <c r="G53" i="7" s="1" a="1"/>
  <c r="G53" i="7" s="1"/>
  <c r="D18" i="3"/>
  <c r="E18" i="3" s="1" a="1"/>
  <c r="E18" i="3" s="1"/>
  <c r="D18" i="6" s="1" a="1"/>
  <c r="D18" i="6" s="1"/>
  <c r="D30" i="3"/>
  <c r="D42" i="3"/>
  <c r="D54" i="3"/>
  <c r="D19" i="3"/>
  <c r="E19" i="3" s="1" a="1"/>
  <c r="E19" i="3" s="1"/>
  <c r="D19" i="6" s="1" a="1"/>
  <c r="D19" i="6" s="1"/>
  <c r="D31" i="3"/>
  <c r="E31" i="3" s="1" a="1"/>
  <c r="E31" i="6" s="1" a="1"/>
  <c r="E31" i="6" s="1"/>
  <c r="D43" i="3"/>
  <c r="E43" i="3" s="1" a="1"/>
  <c r="E43" i="3" s="1"/>
  <c r="D43" i="6" s="1" a="1"/>
  <c r="D43" i="6" s="1"/>
  <c r="D55" i="3"/>
  <c r="D20" i="3"/>
  <c r="E20" i="3" s="1" a="1"/>
  <c r="F20" i="6" s="1" a="1"/>
  <c r="F20" i="6" s="1"/>
  <c r="D32" i="3"/>
  <c r="E32" i="3" s="1" a="1"/>
  <c r="E32" i="6" s="1" a="1"/>
  <c r="E32" i="6" s="1"/>
  <c r="D44" i="3"/>
  <c r="E44" i="3" s="1" a="1"/>
  <c r="E44" i="3" s="1"/>
  <c r="D44" i="6" s="1" a="1"/>
  <c r="D44" i="6" s="1"/>
  <c r="D21" i="3"/>
  <c r="E21" i="3" s="1" a="1"/>
  <c r="G21" i="7" s="1" a="1"/>
  <c r="G21" i="7" s="1"/>
  <c r="D33" i="3"/>
  <c r="E33" i="3" s="1" a="1"/>
  <c r="E33" i="7" s="1" a="1"/>
  <c r="E33" i="7" s="1"/>
  <c r="D45" i="3"/>
  <c r="E45" i="3" s="1" a="1"/>
  <c r="E45" i="3" s="1"/>
  <c r="D45" i="6" s="1" a="1"/>
  <c r="D45" i="6" s="1"/>
  <c r="E42" i="3" a="1"/>
  <c r="E42" i="3" s="1"/>
  <c r="D42" i="6" s="1" a="1"/>
  <c r="D42" i="6" s="1"/>
  <c r="F57" i="6" l="1" a="1"/>
  <c r="F57" i="6" s="1"/>
  <c r="K57" i="7" a="1"/>
  <c r="K57" i="7" s="1"/>
  <c r="E38" i="3" a="1"/>
  <c r="E38" i="7" s="1" a="1"/>
  <c r="E38" i="7" s="1"/>
  <c r="E38" i="8" s="1"/>
  <c r="E92" i="3" a="1"/>
  <c r="E92" i="3" s="1"/>
  <c r="E30" i="3" a="1"/>
  <c r="E30" i="6" s="1" a="1"/>
  <c r="E30" i="6" s="1"/>
  <c r="D30" i="8" s="1"/>
  <c r="E25" i="3" a="1"/>
  <c r="F25" i="6" s="1" a="1"/>
  <c r="F25" i="6" s="1"/>
  <c r="E25" i="8" s="1"/>
  <c r="E22" i="3" a="1"/>
  <c r="E22" i="3" s="1"/>
  <c r="D22" i="6" s="1" a="1"/>
  <c r="D22" i="6" s="1"/>
  <c r="E47" i="3" a="1"/>
  <c r="E47" i="3" s="1"/>
  <c r="D47" i="6" s="1" a="1"/>
  <c r="D47" i="6" s="1"/>
  <c r="E58" i="3" a="1"/>
  <c r="E59" i="3" a="1"/>
  <c r="E56" i="3" a="1"/>
  <c r="E57" i="3"/>
  <c r="D57" i="6" s="1" a="1"/>
  <c r="D57" i="6" s="1"/>
  <c r="F57" i="7" a="1"/>
  <c r="F57" i="7" s="1"/>
  <c r="E57" i="6" a="1"/>
  <c r="E57" i="6" s="1"/>
  <c r="D57" i="8" s="1"/>
  <c r="G57" i="7" a="1"/>
  <c r="G57" i="7" s="1"/>
  <c r="E57" i="8"/>
  <c r="E55" i="3" a="1"/>
  <c r="G55" i="7" s="1" a="1"/>
  <c r="G55" i="7" s="1"/>
  <c r="E54" i="3" a="1"/>
  <c r="E54" i="3" s="1"/>
  <c r="D54" i="6" s="1" a="1"/>
  <c r="D54" i="6" s="1"/>
  <c r="D28" i="8"/>
  <c r="E20" i="8"/>
  <c r="F45" i="6" a="1"/>
  <c r="F45" i="6" s="1"/>
  <c r="E45" i="8" s="1"/>
  <c r="F10" i="7" a="1"/>
  <c r="F10" i="7" s="1"/>
  <c r="E45" i="6" a="1"/>
  <c r="E45" i="6" s="1"/>
  <c r="D45" i="8" s="1"/>
  <c r="F19" i="6" a="1"/>
  <c r="F19" i="6" s="1"/>
  <c r="E19" i="8" s="1"/>
  <c r="F10" i="6" a="1"/>
  <c r="F10" i="6" s="1"/>
  <c r="H10" i="5" s="1"/>
  <c r="G10" i="7" a="1"/>
  <c r="G10" i="7" s="1"/>
  <c r="E52" i="3" a="1"/>
  <c r="G52" i="7" s="1" a="1"/>
  <c r="G52" i="7" s="1"/>
  <c r="E51" i="3" a="1"/>
  <c r="E48" i="3" a="1"/>
  <c r="E48" i="3" s="1"/>
  <c r="D48" i="6" s="1" a="1"/>
  <c r="D48" i="6" s="1"/>
  <c r="E3" i="7" a="1"/>
  <c r="E3" i="7" s="1"/>
  <c r="K40" i="7" a="1"/>
  <c r="K40" i="7" s="1"/>
  <c r="F26" i="7" a="1"/>
  <c r="F26" i="7" s="1"/>
  <c r="E8" i="8"/>
  <c r="F49" i="7" a="1"/>
  <c r="F49" i="7" s="1"/>
  <c r="J21" i="7" a="1"/>
  <c r="J21" i="7" s="1"/>
  <c r="G8" i="7" a="1"/>
  <c r="G8" i="7" s="1"/>
  <c r="E22" i="8"/>
  <c r="F35" i="7" a="1"/>
  <c r="F35" i="7" s="1"/>
  <c r="D26" i="8"/>
  <c r="E23" i="7" a="1"/>
  <c r="E23" i="7" s="1"/>
  <c r="H22" i="5" s="1" a="1"/>
  <c r="H22" i="5" s="1"/>
  <c r="J3" i="7" a="1"/>
  <c r="J3" i="7" s="1"/>
  <c r="G29" i="7" a="1"/>
  <c r="G29" i="7" s="1"/>
  <c r="E35" i="8"/>
  <c r="E53" i="7" a="1"/>
  <c r="E53" i="7" s="1"/>
  <c r="E12" i="8"/>
  <c r="E42" i="6" a="1"/>
  <c r="E42" i="6" s="1"/>
  <c r="I34" i="7" a="1"/>
  <c r="I34" i="7" s="1"/>
  <c r="E37" i="3"/>
  <c r="D37" i="6" s="1" a="1"/>
  <c r="D37" i="6" s="1"/>
  <c r="G37" i="7" a="1"/>
  <c r="G37" i="7" s="1"/>
  <c r="E36" i="3"/>
  <c r="D36" i="6" s="1" a="1"/>
  <c r="D36" i="6" s="1"/>
  <c r="G36" i="7" a="1"/>
  <c r="G36" i="7" s="1"/>
  <c r="G35" i="7" a="1"/>
  <c r="G35" i="7" s="1"/>
  <c r="F11" i="7" a="1"/>
  <c r="F11" i="7" s="1"/>
  <c r="G17" i="7" a="1"/>
  <c r="G17" i="7" s="1"/>
  <c r="D21" i="7" a="1"/>
  <c r="D21" i="7" s="1"/>
  <c r="K7" i="7" a="1"/>
  <c r="K7" i="7" s="1"/>
  <c r="G28" i="7" a="1"/>
  <c r="G28" i="7" s="1"/>
  <c r="E31" i="7" a="1"/>
  <c r="E31" i="7" s="1"/>
  <c r="H31" i="5" s="1"/>
  <c r="E46" i="7" a="1"/>
  <c r="E46" i="7" s="1"/>
  <c r="E46" i="8" s="1"/>
  <c r="K16" i="7" a="1"/>
  <c r="K16" i="7" s="1"/>
  <c r="F44" i="7" a="1"/>
  <c r="F44" i="7" s="1"/>
  <c r="F43" i="7" a="1"/>
  <c r="F43" i="7" s="1"/>
  <c r="F21" i="7" a="1"/>
  <c r="F21" i="7" s="1"/>
  <c r="G12" i="7" a="1"/>
  <c r="G12" i="7" s="1"/>
  <c r="E21" i="7" a="1"/>
  <c r="E21" i="7" s="1"/>
  <c r="E21" i="8" s="1"/>
  <c r="D3" i="7" a="1"/>
  <c r="D3" i="7" s="1"/>
  <c r="I7" i="7" a="1"/>
  <c r="I7" i="7" s="1"/>
  <c r="K34" i="7" a="1"/>
  <c r="K34" i="7" s="1"/>
  <c r="I40" i="7" a="1"/>
  <c r="I40" i="7" s="1"/>
  <c r="I24" i="7" a="1"/>
  <c r="I24" i="7" s="1"/>
  <c r="F53" i="7" a="1"/>
  <c r="F53" i="7" s="1"/>
  <c r="F16" i="7" a="1"/>
  <c r="F16" i="7" s="1"/>
  <c r="F8" i="7" a="1"/>
  <c r="F8" i="7" s="1"/>
  <c r="F7" i="7" a="1"/>
  <c r="F7" i="7" s="1"/>
  <c r="G4" i="7" a="1"/>
  <c r="G4" i="7" s="1"/>
  <c r="G46" i="7" a="1"/>
  <c r="G46" i="7" s="1"/>
  <c r="G20" i="7" a="1"/>
  <c r="G20" i="7" s="1"/>
  <c r="I11" i="7" a="1"/>
  <c r="I11" i="7" s="1"/>
  <c r="I16" i="7" a="1"/>
  <c r="I16" i="7" s="1"/>
  <c r="F9" i="7" a="1"/>
  <c r="F9" i="7" s="1"/>
  <c r="H42" i="7" a="1"/>
  <c r="H42" i="7" s="1"/>
  <c r="G5" i="7" a="1"/>
  <c r="G5" i="7" s="1"/>
  <c r="K24" i="7" a="1"/>
  <c r="K24" i="7" s="1"/>
  <c r="F34" i="7" a="1"/>
  <c r="F34" i="7" s="1"/>
  <c r="E9" i="7" a="1"/>
  <c r="E9" i="7" s="1"/>
  <c r="H9" i="5" s="1"/>
  <c r="F12" i="7" a="1"/>
  <c r="F12" i="7" s="1"/>
  <c r="G41" i="7" a="1"/>
  <c r="G41" i="7" s="1"/>
  <c r="F46" i="7" a="1"/>
  <c r="F46" i="7" s="1"/>
  <c r="E39" i="3"/>
  <c r="D39" i="6" s="1" a="1"/>
  <c r="D39" i="6" s="1"/>
  <c r="E39" i="7" a="1"/>
  <c r="E39" i="7" s="1"/>
  <c r="F39" i="7" a="1"/>
  <c r="F39" i="7" s="1"/>
  <c r="E6" i="3"/>
  <c r="D6" i="6" s="1" a="1"/>
  <c r="D6" i="6" s="1"/>
  <c r="F6" i="7" a="1"/>
  <c r="F6" i="7" s="1"/>
  <c r="E49" i="3"/>
  <c r="D49" i="6" s="1" a="1"/>
  <c r="D49" i="6" s="1"/>
  <c r="G49" i="7" a="1"/>
  <c r="G49" i="7" s="1"/>
  <c r="F42" i="7" a="1"/>
  <c r="F42" i="7" s="1"/>
  <c r="F40" i="7" a="1"/>
  <c r="F40" i="7" s="1"/>
  <c r="F37" i="7" a="1"/>
  <c r="F37" i="7" s="1"/>
  <c r="K31" i="7" a="1"/>
  <c r="K31" i="7" s="1"/>
  <c r="K28" i="7" a="1"/>
  <c r="K28" i="7" s="1"/>
  <c r="F15" i="7" a="1"/>
  <c r="F15" i="7" s="1"/>
  <c r="D40" i="7" a="1"/>
  <c r="D40" i="7" s="1"/>
  <c r="D40" i="8" s="1"/>
  <c r="G45" i="7" a="1"/>
  <c r="G45" i="7" s="1"/>
  <c r="E41" i="7" a="1"/>
  <c r="E41" i="7" s="1"/>
  <c r="F28" i="7" a="1"/>
  <c r="F28" i="7" s="1"/>
  <c r="E13" i="7" a="1"/>
  <c r="E13" i="7" s="1"/>
  <c r="F41" i="7" a="1"/>
  <c r="F41" i="7" s="1"/>
  <c r="F33" i="7" a="1"/>
  <c r="F33" i="7" s="1"/>
  <c r="F18" i="7" a="1"/>
  <c r="F18" i="7" s="1"/>
  <c r="E17" i="7" a="1"/>
  <c r="E17" i="7" s="1"/>
  <c r="E17" i="8" s="1"/>
  <c r="F23" i="7" a="1"/>
  <c r="F23" i="7" s="1"/>
  <c r="E42" i="7" a="1"/>
  <c r="E42" i="7" s="1"/>
  <c r="E42" i="8" s="1"/>
  <c r="F27" i="7" a="1"/>
  <c r="F27" i="7" s="1"/>
  <c r="F19" i="7" a="1"/>
  <c r="F19" i="7" s="1"/>
  <c r="I26" i="7" a="1"/>
  <c r="I26" i="7" s="1"/>
  <c r="G50" i="7" a="1"/>
  <c r="G50" i="7" s="1"/>
  <c r="E37" i="7" a="1"/>
  <c r="E37" i="7" s="1"/>
  <c r="E37" i="8" s="1"/>
  <c r="J42" i="7" a="1"/>
  <c r="J42" i="7" s="1"/>
  <c r="G16" i="7" a="1"/>
  <c r="G16" i="7" s="1"/>
  <c r="F45" i="7" a="1"/>
  <c r="F45" i="7" s="1"/>
  <c r="I30" i="7" a="1"/>
  <c r="I30" i="7" s="1"/>
  <c r="G22" i="7" a="1"/>
  <c r="G22" i="7" s="1"/>
  <c r="E14" i="7" a="1"/>
  <c r="E14" i="7" s="1"/>
  <c r="H14" i="5" s="1"/>
  <c r="I27" i="7" a="1"/>
  <c r="I27" i="7" s="1"/>
  <c r="F20" i="7" a="1"/>
  <c r="F20" i="7" s="1"/>
  <c r="E36" i="7" a="1"/>
  <c r="E36" i="7" s="1"/>
  <c r="F38" i="7" a="1"/>
  <c r="F38" i="7" s="1"/>
  <c r="E34" i="6" a="1"/>
  <c r="E34" i="6" s="1"/>
  <c r="D34" i="8" s="1"/>
  <c r="D42" i="7" a="1"/>
  <c r="D42" i="7" s="1"/>
  <c r="F5" i="7" a="1"/>
  <c r="F5" i="7" s="1"/>
  <c r="G25" i="7" a="1"/>
  <c r="G25" i="7" s="1"/>
  <c r="K32" i="7" a="1"/>
  <c r="K32" i="7" s="1"/>
  <c r="G43" i="7" a="1"/>
  <c r="G43" i="7" s="1"/>
  <c r="G18" i="7" a="1"/>
  <c r="G18" i="7" s="1"/>
  <c r="J2" i="7" a="1"/>
  <c r="J2" i="7" s="1"/>
  <c r="E2" i="7" a="1"/>
  <c r="E2" i="7" s="1"/>
  <c r="K2" i="7" a="1"/>
  <c r="K2" i="7" s="1"/>
  <c r="H2" i="7" a="1"/>
  <c r="H2" i="7" s="1"/>
  <c r="I2" i="7" a="1"/>
  <c r="I2" i="7" s="1"/>
  <c r="D2" i="7" a="1"/>
  <c r="D2" i="7" s="1"/>
  <c r="K27" i="7" a="1"/>
  <c r="K27" i="7" s="1"/>
  <c r="G14" i="7" a="1"/>
  <c r="G14" i="7" s="1"/>
  <c r="J40" i="7" a="1"/>
  <c r="J40" i="7" s="1"/>
  <c r="E15" i="7" a="1"/>
  <c r="E15" i="7" s="1"/>
  <c r="E15" i="8" s="1"/>
  <c r="F36" i="7" a="1"/>
  <c r="F36" i="7" s="1"/>
  <c r="G19" i="7" a="1"/>
  <c r="G19" i="7" s="1"/>
  <c r="F31" i="7" a="1"/>
  <c r="F31" i="7" s="1"/>
  <c r="I31" i="7" a="1"/>
  <c r="I31" i="7" s="1"/>
  <c r="J41" i="7" a="1"/>
  <c r="J41" i="7" s="1"/>
  <c r="D41" i="7" a="1"/>
  <c r="D41" i="7" s="1"/>
  <c r="F29" i="7" a="1"/>
  <c r="F29" i="7" s="1"/>
  <c r="I28" i="7" a="1"/>
  <c r="I28" i="7" s="1"/>
  <c r="G44" i="7" a="1"/>
  <c r="G44" i="7" s="1"/>
  <c r="F32" i="7" a="1"/>
  <c r="F32" i="7" s="1"/>
  <c r="F22" i="7" a="1"/>
  <c r="F22" i="7" s="1"/>
  <c r="K30" i="7" a="1"/>
  <c r="K30" i="7" s="1"/>
  <c r="F3" i="7" a="1"/>
  <c r="F3" i="7" s="1"/>
  <c r="E33" i="3"/>
  <c r="D33" i="6" s="1" a="1"/>
  <c r="D33" i="6" s="1"/>
  <c r="F33" i="6" a="1"/>
  <c r="F33" i="6" s="1"/>
  <c r="E29" i="3"/>
  <c r="D29" i="6" s="1" a="1"/>
  <c r="D29" i="6" s="1"/>
  <c r="E29" i="6" a="1"/>
  <c r="E29" i="6" s="1"/>
  <c r="D29" i="8" s="1"/>
  <c r="E15" i="3"/>
  <c r="D15" i="6" s="1" a="1"/>
  <c r="D15" i="6" s="1"/>
  <c r="E40" i="3"/>
  <c r="D40" i="6" s="1" a="1"/>
  <c r="D40" i="6" s="1"/>
  <c r="F40" i="6" a="1"/>
  <c r="F40" i="6" s="1"/>
  <c r="H40" i="5" s="1" a="1"/>
  <c r="H40" i="5" s="1"/>
  <c r="E34" i="3"/>
  <c r="D34" i="6" s="1" a="1"/>
  <c r="D34" i="6" s="1"/>
  <c r="F34" i="6" a="1"/>
  <c r="F34" i="6" s="1"/>
  <c r="E24" i="3"/>
  <c r="D24" i="6" s="1" a="1"/>
  <c r="D24" i="6" s="1"/>
  <c r="F24" i="6" a="1"/>
  <c r="F24" i="6" s="1"/>
  <c r="H24" i="5" s="1"/>
  <c r="E16" i="3"/>
  <c r="D16" i="6" s="1" a="1"/>
  <c r="D16" i="6" s="1"/>
  <c r="F16" i="6" a="1"/>
  <c r="F16" i="6" s="1"/>
  <c r="E16" i="8" s="1"/>
  <c r="E12" i="3"/>
  <c r="D12" i="6" s="1" a="1"/>
  <c r="D12" i="6" s="1"/>
  <c r="E13" i="3"/>
  <c r="D13" i="6" s="1" a="1"/>
  <c r="D13" i="6" s="1"/>
  <c r="F13" i="6" a="1"/>
  <c r="F13" i="6" s="1"/>
  <c r="E41" i="6" a="1"/>
  <c r="E41" i="6" s="1"/>
  <c r="F41" i="6" a="1"/>
  <c r="F41" i="6" s="1"/>
  <c r="E27" i="6" a="1"/>
  <c r="E27" i="6" s="1"/>
  <c r="D27" i="8" s="1"/>
  <c r="F36" i="6" a="1"/>
  <c r="F36" i="6" s="1"/>
  <c r="E46" i="6" a="1"/>
  <c r="E46" i="6" s="1"/>
  <c r="D46" i="8" s="1"/>
  <c r="F18" i="6" a="1"/>
  <c r="F18" i="6" s="1"/>
  <c r="E18" i="8" s="1"/>
  <c r="E50" i="6" a="1"/>
  <c r="E50" i="6" s="1"/>
  <c r="D50" i="8" s="1"/>
  <c r="F11" i="6" a="1"/>
  <c r="F11" i="6" s="1"/>
  <c r="E11" i="8" s="1"/>
  <c r="E20" i="3"/>
  <c r="D20" i="6" s="1" a="1"/>
  <c r="D20" i="6" s="1"/>
  <c r="E20" i="6" a="1"/>
  <c r="E20" i="6" s="1"/>
  <c r="D20" i="8" s="1"/>
  <c r="E17" i="3"/>
  <c r="D17" i="6" s="1" a="1"/>
  <c r="D17" i="6" s="1"/>
  <c r="E17" i="6" a="1"/>
  <c r="E17" i="6" s="1"/>
  <c r="D17" i="8" s="1"/>
  <c r="E14" i="3"/>
  <c r="D14" i="6" s="1" a="1"/>
  <c r="D14" i="6" s="1"/>
  <c r="E14" i="6" a="1"/>
  <c r="E14" i="6" s="1"/>
  <c r="E14" i="5" s="1"/>
  <c r="E11" i="3"/>
  <c r="D11" i="6" s="1" a="1"/>
  <c r="D11" i="6" s="1"/>
  <c r="E11" i="6" a="1"/>
  <c r="E11" i="6" s="1"/>
  <c r="D11" i="8" s="1"/>
  <c r="F52" i="6" a="1"/>
  <c r="F52" i="6" s="1"/>
  <c r="E52" i="8" s="1"/>
  <c r="E31" i="3"/>
  <c r="D31" i="6" s="1" a="1"/>
  <c r="D31" i="6" s="1"/>
  <c r="F31" i="6" a="1"/>
  <c r="F31" i="6" s="1"/>
  <c r="E28" i="3"/>
  <c r="D28" i="6" s="1" a="1"/>
  <c r="D28" i="6" s="1"/>
  <c r="F28" i="6" a="1"/>
  <c r="F28" i="6" s="1"/>
  <c r="E28" i="8" s="1"/>
  <c r="F30" i="6" a="1"/>
  <c r="F30" i="6" s="1"/>
  <c r="E21" i="3"/>
  <c r="D21" i="6" s="1" a="1"/>
  <c r="D21" i="6" s="1"/>
  <c r="E21" i="6" a="1"/>
  <c r="E21" i="6" s="1"/>
  <c r="E53" i="3"/>
  <c r="D53" i="6" s="1" a="1"/>
  <c r="D53" i="6" s="1"/>
  <c r="F53" i="6" a="1"/>
  <c r="F53" i="6" s="1"/>
  <c r="E53" i="6" a="1"/>
  <c r="E53" i="6" s="1"/>
  <c r="E38" i="3"/>
  <c r="D38" i="6" s="1" a="1"/>
  <c r="D38" i="6" s="1"/>
  <c r="D89" i="6" s="1"/>
  <c r="D90" i="6" s="1"/>
  <c r="E38" i="6" a="1"/>
  <c r="E38" i="6" s="1"/>
  <c r="E35" i="3"/>
  <c r="D35" i="6" s="1" a="1"/>
  <c r="D35" i="6" s="1"/>
  <c r="E35" i="6" a="1"/>
  <c r="E35" i="6" s="1"/>
  <c r="D35" i="8" s="1"/>
  <c r="E4" i="3"/>
  <c r="D4" i="6" s="1" a="1"/>
  <c r="D4" i="6" s="1"/>
  <c r="F4" i="6" a="1"/>
  <c r="F4" i="6" s="1"/>
  <c r="E4" i="8" s="1"/>
  <c r="E4" i="6" a="1"/>
  <c r="E4" i="6" s="1"/>
  <c r="D4" i="8" s="1"/>
  <c r="E32" i="3"/>
  <c r="D32" i="6" s="1" a="1"/>
  <c r="D32" i="6" s="1"/>
  <c r="F32" i="6" a="1"/>
  <c r="F32" i="6" s="1"/>
  <c r="E26" i="3"/>
  <c r="D26" i="6" s="1" a="1"/>
  <c r="D26" i="6" s="1"/>
  <c r="F26" i="6" a="1"/>
  <c r="F26" i="6" s="1"/>
  <c r="E26" i="8" s="1"/>
  <c r="E23" i="3"/>
  <c r="D23" i="6" s="1" a="1"/>
  <c r="D23" i="6" s="1"/>
  <c r="E23" i="6" a="1"/>
  <c r="E23" i="6" s="1"/>
  <c r="E7" i="6" a="1"/>
  <c r="E7" i="6" s="1"/>
  <c r="D7" i="8" s="1"/>
  <c r="F43" i="6" a="1"/>
  <c r="F43" i="6" s="1"/>
  <c r="E43" i="8" s="1"/>
  <c r="E15" i="6" a="1"/>
  <c r="E15" i="6" s="1"/>
  <c r="D15" i="8" s="1"/>
  <c r="E51" i="6" a="1"/>
  <c r="E51" i="6" s="1"/>
  <c r="D51" i="8" s="1"/>
  <c r="E37" i="6" a="1"/>
  <c r="E37" i="6" s="1"/>
  <c r="D37" i="8" s="1"/>
  <c r="F44" i="6" a="1"/>
  <c r="F44" i="6" s="1"/>
  <c r="E44" i="8" s="1"/>
  <c r="F6" i="6" a="1"/>
  <c r="F6" i="6" s="1"/>
  <c r="E6" i="8" s="1"/>
  <c r="E18" i="6" a="1"/>
  <c r="E18" i="6" s="1"/>
  <c r="D18" i="8" s="1"/>
  <c r="E24" i="6" a="1"/>
  <c r="E24" i="6" s="1"/>
  <c r="D24" i="8" s="1"/>
  <c r="E44" i="6" a="1"/>
  <c r="E44" i="6" s="1"/>
  <c r="D44" i="8" s="1"/>
  <c r="E33" i="6" a="1"/>
  <c r="E33" i="6" s="1"/>
  <c r="E39" i="6" a="1"/>
  <c r="E39" i="6" s="1"/>
  <c r="E39" i="5" s="1" a="1"/>
  <c r="E39" i="5" s="1"/>
  <c r="E10" i="6" a="1"/>
  <c r="E10" i="6" s="1"/>
  <c r="E13" i="6" a="1"/>
  <c r="E13" i="6" s="1"/>
  <c r="D13" i="8" s="1"/>
  <c r="F49" i="6" a="1"/>
  <c r="F49" i="6" s="1"/>
  <c r="E3" i="6" a="1"/>
  <c r="E3" i="6" s="1"/>
  <c r="E16" i="6" a="1"/>
  <c r="E16" i="6" s="1"/>
  <c r="D16" i="8" s="1"/>
  <c r="E43" i="6" a="1"/>
  <c r="E43" i="6" s="1"/>
  <c r="D43" i="8" s="1"/>
  <c r="E6" i="6" a="1"/>
  <c r="E6" i="6" s="1"/>
  <c r="D6" i="8" s="1"/>
  <c r="E19" i="6" a="1"/>
  <c r="E19" i="6" s="1"/>
  <c r="D19" i="8" s="1"/>
  <c r="E9" i="6" a="1"/>
  <c r="E9" i="6" s="1"/>
  <c r="F7" i="6" a="1"/>
  <c r="F7" i="6" s="1"/>
  <c r="E7" i="8" s="1"/>
  <c r="E12" i="6" a="1"/>
  <c r="E12" i="6" s="1"/>
  <c r="D12" i="8" s="1"/>
  <c r="E8" i="6" a="1"/>
  <c r="E8" i="6" s="1"/>
  <c r="D8" i="8" s="1"/>
  <c r="F29" i="6" a="1"/>
  <c r="F29" i="6" s="1"/>
  <c r="E29" i="8" s="1"/>
  <c r="E5" i="6" a="1"/>
  <c r="E5" i="6" s="1"/>
  <c r="D5" i="8" s="1"/>
  <c r="F55" i="6" a="1"/>
  <c r="F55" i="6" s="1"/>
  <c r="E55" i="8" s="1"/>
  <c r="E49" i="6" a="1"/>
  <c r="E49" i="6" s="1"/>
  <c r="F50" i="6" a="1"/>
  <c r="F50" i="6" s="1"/>
  <c r="E50" i="8" s="1"/>
  <c r="F3" i="6" a="1"/>
  <c r="F3" i="6" s="1"/>
  <c r="E36" i="6" a="1"/>
  <c r="E36" i="6" s="1"/>
  <c r="D36" i="8" s="1"/>
  <c r="F27" i="6" a="1"/>
  <c r="F27" i="6" s="1"/>
  <c r="E27" i="8" s="1"/>
  <c r="F5" i="6" a="1"/>
  <c r="F5" i="6" s="1"/>
  <c r="E5" i="8" s="1"/>
  <c r="E2" i="3" a="1"/>
  <c r="E30" i="3" l="1"/>
  <c r="D30" i="6" s="1" a="1"/>
  <c r="D30" i="6" s="1"/>
  <c r="F47" i="7" a="1"/>
  <c r="F47" i="7" s="1"/>
  <c r="G30" i="7" a="1"/>
  <c r="G30" i="7" s="1"/>
  <c r="E56" i="7" a="1"/>
  <c r="E56" i="7" s="1"/>
  <c r="E56" i="6" a="1"/>
  <c r="E56" i="6" s="1"/>
  <c r="H59" i="7" a="1"/>
  <c r="H59" i="7" s="1"/>
  <c r="G59" i="7" a="1"/>
  <c r="G59" i="7" s="1"/>
  <c r="E59" i="7" a="1"/>
  <c r="E59" i="7" s="1"/>
  <c r="E59" i="8" s="1"/>
  <c r="F59" i="7" a="1"/>
  <c r="F59" i="7" s="1"/>
  <c r="E58" i="3"/>
  <c r="D58" i="6" s="1" a="1"/>
  <c r="D58" i="6" s="1"/>
  <c r="F58" i="7" a="1"/>
  <c r="F58" i="7" s="1"/>
  <c r="D47" i="7" a="1"/>
  <c r="D47" i="7" s="1"/>
  <c r="D47" i="8" s="1"/>
  <c r="E55" i="6" a="1"/>
  <c r="E55" i="6" s="1"/>
  <c r="E82" i="6" s="1"/>
  <c r="D82" i="6" s="1"/>
  <c r="E22" i="6" a="1"/>
  <c r="E22" i="6" s="1"/>
  <c r="F25" i="7" a="1"/>
  <c r="F25" i="7" s="1"/>
  <c r="E30" i="7" a="1"/>
  <c r="E30" i="7" s="1"/>
  <c r="F30" i="7" a="1"/>
  <c r="F30" i="7" s="1"/>
  <c r="E55" i="3"/>
  <c r="D55" i="6" s="1" a="1"/>
  <c r="D55" i="6" s="1"/>
  <c r="E25" i="6" a="1"/>
  <c r="E25" i="6" s="1"/>
  <c r="D25" i="8" s="1"/>
  <c r="E25" i="3"/>
  <c r="D25" i="6" s="1" a="1"/>
  <c r="D25" i="6" s="1"/>
  <c r="H22" i="7" a="1"/>
  <c r="H22" i="7" s="1"/>
  <c r="N22" i="5" s="1"/>
  <c r="E89" i="6"/>
  <c r="E90" i="6" s="1"/>
  <c r="D38" i="8"/>
  <c r="E47" i="7" a="1"/>
  <c r="E47" i="7" s="1"/>
  <c r="E47" i="8" s="1"/>
  <c r="J47" i="7" a="1"/>
  <c r="J47" i="7" s="1"/>
  <c r="H2" i="8" s="1" a="1"/>
  <c r="E59" i="3"/>
  <c r="D59" i="6" s="1" a="1"/>
  <c r="D59" i="6" s="1"/>
  <c r="E59" i="6" a="1"/>
  <c r="E59" i="6" s="1"/>
  <c r="D59" i="8" s="1"/>
  <c r="E58" i="6" a="1"/>
  <c r="E58" i="6" s="1"/>
  <c r="D58" i="8" s="1"/>
  <c r="F58" i="5" s="1" a="1"/>
  <c r="F58" i="5" s="1"/>
  <c r="F58" i="6" a="1"/>
  <c r="F58" i="6" s="1"/>
  <c r="E58" i="8" s="1"/>
  <c r="G58" i="7" a="1"/>
  <c r="G58" i="7" s="1"/>
  <c r="H39" i="5"/>
  <c r="F56" i="6" a="1"/>
  <c r="F56" i="6" s="1"/>
  <c r="E56" i="8" s="1"/>
  <c r="I56" i="7" a="1"/>
  <c r="I56" i="7" s="1"/>
  <c r="K56" i="7" a="1"/>
  <c r="K56" i="7" s="1"/>
  <c r="E56" i="3"/>
  <c r="D56" i="6" s="1" a="1"/>
  <c r="D56" i="6" s="1"/>
  <c r="D84" i="6" s="1"/>
  <c r="D85" i="6" s="1"/>
  <c r="H55" i="7" a="1"/>
  <c r="H55" i="7" s="1"/>
  <c r="E54" i="6" a="1"/>
  <c r="E54" i="6" s="1"/>
  <c r="D54" i="8" s="1"/>
  <c r="F54" i="6" a="1"/>
  <c r="F54" i="6" s="1"/>
  <c r="E54" i="8" s="1"/>
  <c r="F56" i="7" a="1"/>
  <c r="F56" i="7" s="1"/>
  <c r="G19" i="19"/>
  <c r="E19" i="19" s="1"/>
  <c r="G15" i="19"/>
  <c r="E15" i="19" s="1"/>
  <c r="F48" i="6" a="1"/>
  <c r="F48" i="6" s="1"/>
  <c r="H48" i="5" s="1"/>
  <c r="E48" i="6" a="1"/>
  <c r="E48" i="6" s="1"/>
  <c r="E48" i="5" s="1" a="1"/>
  <c r="E48" i="5" s="1"/>
  <c r="E31" i="5" a="1"/>
  <c r="E31" i="5" s="1"/>
  <c r="G54" i="7" a="1"/>
  <c r="G54" i="7" s="1"/>
  <c r="D53" i="8"/>
  <c r="H32" i="5" a="1"/>
  <c r="H32" i="5" s="1"/>
  <c r="C10" i="19" s="1" a="1"/>
  <c r="C10" i="19" s="1"/>
  <c r="G51" i="7" a="1"/>
  <c r="G51" i="7" s="1"/>
  <c r="E52" i="3"/>
  <c r="D52" i="6" s="1" a="1"/>
  <c r="D52" i="6" s="1"/>
  <c r="E22" i="5" a="1"/>
  <c r="E22" i="5" s="1"/>
  <c r="E52" i="6" a="1"/>
  <c r="E52" i="6" s="1"/>
  <c r="E9" i="5" a="1"/>
  <c r="E9" i="5" s="1"/>
  <c r="F51" i="6" a="1"/>
  <c r="F51" i="6" s="1"/>
  <c r="E51" i="3"/>
  <c r="D51" i="6" s="1" a="1"/>
  <c r="D51" i="6" s="1"/>
  <c r="F2" i="6" a="1"/>
  <c r="F2" i="6" s="1"/>
  <c r="E2" i="8" s="1"/>
  <c r="I51" i="7" a="1"/>
  <c r="I51" i="7" s="1"/>
  <c r="P2" i="5" s="1" a="1"/>
  <c r="P2" i="5" s="1"/>
  <c r="C18" i="19" s="1" a="1"/>
  <c r="C18" i="19" s="1"/>
  <c r="F52" i="7" a="1"/>
  <c r="F52" i="7" s="1"/>
  <c r="D3" i="8"/>
  <c r="F48" i="7" a="1"/>
  <c r="F48" i="7" s="1"/>
  <c r="F51" i="7" a="1"/>
  <c r="F51" i="7" s="1"/>
  <c r="K51" i="7" a="1"/>
  <c r="K51" i="7" s="1"/>
  <c r="E3" i="8"/>
  <c r="E30" i="8"/>
  <c r="E53" i="8"/>
  <c r="E36" i="8"/>
  <c r="D21" i="8"/>
  <c r="D41" i="8"/>
  <c r="E41" i="8"/>
  <c r="E13" i="8"/>
  <c r="G2" i="7" a="1"/>
  <c r="G2" i="7" s="1"/>
  <c r="F2" i="7" a="1"/>
  <c r="F2" i="7" s="1"/>
  <c r="D42" i="8"/>
  <c r="E2" i="3"/>
  <c r="D2" i="6" s="1" a="1"/>
  <c r="D2" i="6" s="1"/>
  <c r="D2" i="5" s="1" a="1"/>
  <c r="D2" i="5" s="1"/>
  <c r="C6" i="19" s="1" a="1"/>
  <c r="C6" i="19" s="1"/>
  <c r="E2" i="6" a="1"/>
  <c r="E2" i="6" s="1"/>
  <c r="D2" i="8" s="1"/>
  <c r="H2" i="8" l="1"/>
  <c r="T2" i="5" a="1"/>
  <c r="T2" i="5" s="1"/>
  <c r="C22" i="19" s="1" a="1"/>
  <c r="C22" i="19" s="1"/>
  <c r="C7" i="19" a="1"/>
  <c r="C7" i="19" s="1"/>
  <c r="G16" i="19"/>
  <c r="E16" i="19" s="1"/>
  <c r="C16" i="19" a="1"/>
  <c r="C16" i="19" s="1"/>
  <c r="F2" i="5" a="1"/>
  <c r="F2" i="5" s="1"/>
  <c r="D3" i="10" a="1"/>
  <c r="D3" i="10" s="1"/>
  <c r="F2" i="8" a="1"/>
  <c r="F2" i="8" s="1"/>
  <c r="I2" i="5" s="1" a="1"/>
  <c r="E2" i="16" a="1"/>
  <c r="E2" i="16" s="1"/>
  <c r="D2" i="16" a="1"/>
  <c r="D2" i="16" s="1"/>
  <c r="E84" i="6"/>
  <c r="D56" i="8"/>
  <c r="G56" i="5" s="1" a="1"/>
  <c r="G56" i="5" s="1"/>
  <c r="D55" i="8"/>
  <c r="D80" i="8"/>
  <c r="D81" i="8" s="1"/>
  <c r="D76" i="8"/>
  <c r="D78" i="8" s="1"/>
  <c r="F84" i="6"/>
  <c r="F85" i="6" s="1"/>
  <c r="F86" i="6" s="1"/>
  <c r="F83" i="6"/>
  <c r="G18" i="19"/>
  <c r="E18" i="19" s="1"/>
  <c r="G10" i="19"/>
  <c r="E10" i="19" s="1"/>
  <c r="G7" i="19"/>
  <c r="E7" i="19" s="1"/>
  <c r="G6" i="19"/>
  <c r="E6" i="19" s="1"/>
  <c r="G20" i="19"/>
  <c r="E20" i="19" s="1"/>
  <c r="G21" i="19"/>
  <c r="E21" i="19" s="1"/>
  <c r="G23" i="19"/>
  <c r="E23" i="19" s="1"/>
  <c r="G25" i="19"/>
  <c r="E25" i="19" s="1"/>
  <c r="G28" i="19"/>
  <c r="E28" i="19" s="1"/>
  <c r="G24" i="19"/>
  <c r="E24" i="19" s="1"/>
  <c r="G26" i="19"/>
  <c r="E26" i="19" s="1"/>
  <c r="G30" i="19"/>
  <c r="E30" i="19" s="1"/>
  <c r="G29" i="19"/>
  <c r="E29" i="19" s="1"/>
  <c r="G27" i="19"/>
  <c r="E27" i="19" s="1"/>
  <c r="D52" i="8"/>
  <c r="G52" i="5" s="1" a="1"/>
  <c r="E51" i="8"/>
  <c r="I2" i="5" l="1"/>
  <c r="C11" i="19" s="1" a="1"/>
  <c r="C11" i="19" s="1"/>
  <c r="C12" i="19" a="1"/>
  <c r="C12" i="19" s="1"/>
  <c r="C8" i="19" a="1"/>
  <c r="C8" i="19" s="1"/>
  <c r="G8" i="19" s="1"/>
  <c r="E8" i="19" s="1"/>
  <c r="E78" i="16"/>
  <c r="E79" i="16" s="1"/>
  <c r="E80" i="16" s="1"/>
  <c r="D82" i="10"/>
  <c r="E82" i="10" s="1"/>
  <c r="F82" i="10" s="1"/>
  <c r="G82" i="10" s="1"/>
  <c r="F54" i="5" a="1"/>
  <c r="F54" i="5" s="1"/>
  <c r="G2" i="8" a="1"/>
  <c r="G2" i="8" s="1"/>
  <c r="E3" i="10" s="1" a="1"/>
  <c r="E3" i="10" s="1"/>
  <c r="K2" i="5" a="1"/>
  <c r="K2" i="5" s="1"/>
  <c r="C13" i="19" s="1" a="1"/>
  <c r="C13" i="19" s="1"/>
  <c r="G22" i="19"/>
  <c r="E22" i="19" s="1"/>
  <c r="G52" i="5"/>
  <c r="C9" i="19" s="1" a="1"/>
  <c r="C9" i="19" s="1"/>
  <c r="F3" i="10" l="1" a="1"/>
  <c r="G13" i="19"/>
  <c r="E13" i="19" s="1"/>
  <c r="G9" i="19"/>
  <c r="E9" i="19" s="1"/>
  <c r="G11" i="19"/>
  <c r="E11" i="19" s="1"/>
  <c r="G12" i="19"/>
  <c r="E12" i="19" s="1"/>
  <c r="L2" i="5" a="1"/>
  <c r="L2" i="5" s="1"/>
  <c r="C14" i="19" s="1" a="1"/>
  <c r="C14" i="19" s="1"/>
  <c r="O68" i="5" l="1" a="1"/>
  <c r="O68" i="5" s="1"/>
  <c r="O23" i="5" a="1"/>
  <c r="O23" i="5" s="1"/>
  <c r="F3" i="10"/>
  <c r="G14" i="19"/>
  <c r="E14" i="19" s="1"/>
  <c r="O2" i="5" l="1" a="1"/>
  <c r="O2" i="5" s="1"/>
  <c r="C17" i="19" s="1" a="1"/>
  <c r="C17" i="19" s="1"/>
  <c r="G17" i="19" l="1"/>
  <c r="E17" i="1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<sst xmlns="http://schemas.openxmlformats.org/spreadsheetml/2006/main" count="762" uniqueCount="118">
  <si>
    <t>Producto</t>
  </si>
  <si>
    <t>Cajatambo</t>
  </si>
  <si>
    <t>F.P.</t>
  </si>
  <si>
    <t>Municipalidad</t>
  </si>
  <si>
    <t>F.V.</t>
  </si>
  <si>
    <t>N° Lote</t>
  </si>
  <si>
    <t>Cantidad (Kg)</t>
  </si>
  <si>
    <t>Fecha</t>
  </si>
  <si>
    <t>Marca</t>
  </si>
  <si>
    <t>FACLAC</t>
  </si>
  <si>
    <t>HOJUELAS PRECOCIDAS DE AVENA CON QUINUA</t>
  </si>
  <si>
    <t>Cajamarca</t>
  </si>
  <si>
    <t>Bolsa (Kg)</t>
  </si>
  <si>
    <t>HOJUELA PRECOCIDAS DE AVENA KIWICHA QUINUA CON HARINA DE SOYA, ACEITE VEGETAL, FORTIFICADA CON VITAMINAS Y MINERALES</t>
  </si>
  <si>
    <t>San Pedro de Lloc</t>
  </si>
  <si>
    <t>HOJUELA PRECOCIDAS DE AVENA, QUINUA, KIWICHA, MACA, FREJO TARWI, GARBANZOS Y SOYA FORTIFICADA CON VITAMINAS Y MINERALES</t>
  </si>
  <si>
    <t>Olmos</t>
  </si>
  <si>
    <t>MEZCLA PRECOCIDA DE QUINUA, KIWICHA, AVENA Y HARINA DE SOYA INTEGRAL TOSTADA CON LECHE ENTERA EN POLVO FORTIFICADA CON VITAMINAS Y MINERALES</t>
  </si>
  <si>
    <t>Chongoyape</t>
  </si>
  <si>
    <t>MEZCLA PRECOCIDA DE AVENA, QUINUA, KIWICHA CON SOYA Y MACA AZUCARADA FORTIFICADO CON VITAMINAS Y MINERALES</t>
  </si>
  <si>
    <t>Marcabal</t>
  </si>
  <si>
    <t>HOJUELAS PRECOCIDAS DE KIWICHA, SOYA, CHUFLA, AVENA, PALLAR, CON MACA Y AZÚCAR RUBIA ENRIQUECIDA CON VITAMINAS Y MINERALES</t>
  </si>
  <si>
    <t>Julcán</t>
  </si>
  <si>
    <t>HOJUELAS PRECOCIDAS DE AVENA, QUINUA CON HARINA DE SOYA Y HARINA DE MACA FORTIFICADAS CON VITAMINAS Y MINERALES</t>
  </si>
  <si>
    <t>Viru</t>
  </si>
  <si>
    <t>HOJUELAS PRECOCIDAS DE QUINUA, AVENA, KIWICHA, MACA, LINAZA, AJONJOLI, CON PROTEINA AISLADA DE SOYA Y OMEGA 3, FORTIFICADA CON VITAMINAS Y MINERALES</t>
  </si>
  <si>
    <t>Pataz - Tayabamba</t>
  </si>
  <si>
    <t>MEZCLA PRECOCIDA DE AVENA, KIWICHA, QUINUA, CAÑIHUA, CON SOYA Y MACA FORTIFICADA CON VITAMINAS Y MINERALES</t>
  </si>
  <si>
    <t>MEZCLA DE CEREALES: HOJUELAS DE AVENA, QUINUA, KIWICHA CON MACA Y SOYA ENRIQUECIDA CON VITAMINAS Y MINERALES</t>
  </si>
  <si>
    <t>Chiclayo</t>
  </si>
  <si>
    <t>HOJUELA PRECOCIDA DE QUINUA, AVENA Y CEBADA TOSTADA Y MOLIDA ENRIQUECIDA CON VITAMINAS Y MINERALES</t>
  </si>
  <si>
    <t>Kiwicha</t>
  </si>
  <si>
    <t>Avena</t>
  </si>
  <si>
    <t>Quinua</t>
  </si>
  <si>
    <t>Soya</t>
  </si>
  <si>
    <t>Aceite Girasol</t>
  </si>
  <si>
    <t>Fosfato Tricálcio</t>
  </si>
  <si>
    <t>Mix vitaminico</t>
  </si>
  <si>
    <t>Envasado</t>
  </si>
  <si>
    <t>Laminado</t>
  </si>
  <si>
    <t>Mezclado</t>
  </si>
  <si>
    <t>Molienda</t>
  </si>
  <si>
    <t>CAJAMARCA</t>
  </si>
  <si>
    <t>CAJATAMBO</t>
  </si>
  <si>
    <t>Observacion</t>
  </si>
  <si>
    <t>CHICLAYO</t>
  </si>
  <si>
    <t>Maca</t>
  </si>
  <si>
    <t>Deshidratado</t>
  </si>
  <si>
    <t>CHONGOYAPE</t>
  </si>
  <si>
    <t>Azucar</t>
  </si>
  <si>
    <t>JULCAN</t>
  </si>
  <si>
    <t>Tostado</t>
  </si>
  <si>
    <t>MARCABAL</t>
  </si>
  <si>
    <t>Kiwicha (precocida)</t>
  </si>
  <si>
    <t>Maiz chufla</t>
  </si>
  <si>
    <t>Pallar seco</t>
  </si>
  <si>
    <t>Almidon maca</t>
  </si>
  <si>
    <t>OLMOS</t>
  </si>
  <si>
    <t>Leche Polvo</t>
  </si>
  <si>
    <t>SAN JOSE</t>
  </si>
  <si>
    <t>PATAZ - TAYABAMBA</t>
  </si>
  <si>
    <t>Cañihua</t>
  </si>
  <si>
    <t>Cebada</t>
  </si>
  <si>
    <t>Pilado</t>
  </si>
  <si>
    <t>chancado</t>
  </si>
  <si>
    <t>limpieza y despredado</t>
  </si>
  <si>
    <t>VIRU</t>
  </si>
  <si>
    <t>Linaza</t>
  </si>
  <si>
    <t>Ajonjoli</t>
  </si>
  <si>
    <t>Proteina aislada soya</t>
  </si>
  <si>
    <t>Maiz Chufla</t>
  </si>
  <si>
    <t>San Jose</t>
  </si>
  <si>
    <t>MERMA</t>
  </si>
  <si>
    <t>Molido</t>
  </si>
  <si>
    <t>Frejol tarhui</t>
  </si>
  <si>
    <t>Garbanzo</t>
  </si>
  <si>
    <t>Despredado</t>
  </si>
  <si>
    <t>Chancado</t>
  </si>
  <si>
    <t>Cajamarca - kg</t>
  </si>
  <si>
    <t>Chiclayo - kg</t>
  </si>
  <si>
    <t>Chongoyape kg</t>
  </si>
  <si>
    <t>Julcán kg</t>
  </si>
  <si>
    <t>Marcabal kg</t>
  </si>
  <si>
    <t>Olmos kg</t>
  </si>
  <si>
    <t>San Jose kg</t>
  </si>
  <si>
    <t>Pataz - Tayabamba kg</t>
  </si>
  <si>
    <t>Viru kg</t>
  </si>
  <si>
    <t>San Pedro de Lloc kg</t>
  </si>
  <si>
    <t>Cajatambo kg</t>
  </si>
  <si>
    <t>N° Sacos</t>
  </si>
  <si>
    <t>Maca Deshidratada</t>
  </si>
  <si>
    <t xml:space="preserve">Quinua </t>
  </si>
  <si>
    <t>Quinua Desaponificada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</si>
  <si>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</si>
  <si>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</si>
  <si>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</si>
  <si>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</si>
  <si>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</si>
  <si>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</si>
  <si>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</si>
  <si>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</si>
  <si>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Total (Kg)</t>
  </si>
  <si>
    <t>Capacida Sacos</t>
  </si>
  <si>
    <t>Materia Prima</t>
  </si>
  <si>
    <t>Redondeo</t>
  </si>
  <si>
    <t>U.M.</t>
  </si>
  <si>
    <t>Kg</t>
  </si>
  <si>
    <t>L</t>
  </si>
  <si>
    <t>Kiwicha Tostada</t>
  </si>
  <si>
    <t>Quinua Tostada</t>
  </si>
  <si>
    <t>Cebada Tostada</t>
  </si>
  <si>
    <t>4,5</t>
  </si>
  <si>
    <t>Fecha Env.</t>
  </si>
  <si>
    <t>Agosto</t>
  </si>
  <si>
    <t xml:space="preserve"> </t>
  </si>
  <si>
    <t>Septiembre</t>
  </si>
  <si>
    <t>Octubre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</si>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</sst>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"/>
    <numFmt numFmtId="166" formatCode="0.0%"/>
    <numFmt numFmtId="167" formatCode="[$-F400]h:mm:ss\ AM/PM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" fontId="0" fillId="0" borderId="0" xfId="0" applyNumberFormat="1"/>
    <xf numFmtId="0" fontId="3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" fontId="3" fillId="3" borderId="4" xfId="1" applyNumberFormat="1" applyFont="1" applyFill="1" applyBorder="1" applyAlignment="1">
      <alignment horizontal="center" vertical="center" wrapText="1"/>
    </xf>
    <xf numFmtId="4" fontId="0" fillId="3" borderId="6" xfId="1" applyNumberFormat="1" applyFont="1" applyFill="1" applyBorder="1" applyAlignment="1">
      <alignment horizontal="center"/>
    </xf>
    <xf numFmtId="4" fontId="0" fillId="0" borderId="0" xfId="1" applyNumberFormat="1" applyFont="1" applyFill="1" applyAlignment="1">
      <alignment horizontal="center"/>
    </xf>
    <xf numFmtId="1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6" fontId="0" fillId="0" borderId="0" xfId="2" applyNumberFormat="1" applyFont="1" applyAlignment="1">
      <alignment horizontal="center"/>
    </xf>
    <xf numFmtId="10" fontId="3" fillId="0" borderId="3" xfId="0" applyNumberFormat="1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4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0" fillId="3" borderId="0" xfId="0" applyFill="1"/>
    <xf numFmtId="0" fontId="0" fillId="5" borderId="0" xfId="0" applyFill="1"/>
    <xf numFmtId="0" fontId="0" fillId="2" borderId="5" xfId="0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43" fontId="0" fillId="0" borderId="0" xfId="1" applyFont="1" applyAlignment="1">
      <alignment horizontal="center"/>
    </xf>
    <xf numFmtId="167" fontId="0" fillId="0" borderId="0" xfId="0" applyNumberFormat="1"/>
    <xf numFmtId="0" fontId="0" fillId="2" borderId="0" xfId="0" applyFill="1" applyAlignment="1">
      <alignment horizontal="center"/>
    </xf>
    <xf numFmtId="10" fontId="3" fillId="0" borderId="2" xfId="0" applyNumberFormat="1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3" fillId="0" borderId="7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BB5B-4BCA-44DF-A913-9D1A394C70B0}">
  <dimension ref="A1:J74"/>
  <sheetViews>
    <sheetView workbookViewId="0">
      <pane ySplit="1" topLeftCell="A44" activePane="bottomLeft" state="frozen"/>
      <selection pane="bottomLeft" activeCell="H74" sqref="H74"/>
    </sheetView>
  </sheetViews>
  <sheetFormatPr baseColWidth="10" defaultRowHeight="15" x14ac:dyDescent="0.25"/>
  <cols>
    <col min="1" max="1" width="18.42578125" style="4" customWidth="1"/>
    <col min="2" max="3" width="8.85546875" style="4" customWidth="1"/>
    <col min="4" max="5" width="11.42578125" style="4"/>
    <col min="6" max="6" width="12.85546875" style="9" bestFit="1" customWidth="1"/>
    <col min="7" max="8" width="11.42578125" style="5"/>
    <col min="9" max="9" width="11.42578125" style="4"/>
    <col min="10" max="10" width="150.85546875" style="4" bestFit="1" customWidth="1"/>
  </cols>
  <sheetData>
    <row r="1" spans="1:10" x14ac:dyDescent="0.25">
      <c r="A1" s="1" t="s">
        <v>3</v>
      </c>
      <c r="B1" s="1" t="s">
        <v>2</v>
      </c>
      <c r="C1" s="1" t="s">
        <v>4</v>
      </c>
      <c r="D1" s="2" t="s">
        <v>5</v>
      </c>
      <c r="E1" s="1" t="s">
        <v>12</v>
      </c>
      <c r="F1" s="7" t="s">
        <v>6</v>
      </c>
      <c r="G1" s="6" t="s">
        <v>7</v>
      </c>
      <c r="H1" s="6" t="s">
        <v>112</v>
      </c>
      <c r="I1" s="2" t="s">
        <v>8</v>
      </c>
      <c r="J1" s="2" t="s">
        <v>0</v>
      </c>
    </row>
    <row r="2" spans="1:10" s="4" customFormat="1" x14ac:dyDescent="0.25">
      <c r="A2" s="4" t="s">
        <v>71</v>
      </c>
      <c r="B2" s="3">
        <v>45597</v>
      </c>
      <c r="C2" s="3">
        <v>45962</v>
      </c>
      <c r="D2" s="4">
        <v>1</v>
      </c>
      <c r="E2" s="10">
        <v>1</v>
      </c>
      <c r="F2" s="9">
        <v>3347</v>
      </c>
      <c r="G2" s="5">
        <v>45630</v>
      </c>
      <c r="H2" s="5"/>
      <c r="I2" s="5" t="s">
        <v>9</v>
      </c>
      <c r="J2" s="4" t="s">
        <v>28</v>
      </c>
    </row>
    <row r="3" spans="1:10" x14ac:dyDescent="0.25">
      <c r="A3" s="4" t="s">
        <v>26</v>
      </c>
      <c r="B3" s="3">
        <v>45627</v>
      </c>
      <c r="C3" s="3">
        <v>45809</v>
      </c>
      <c r="D3" s="4">
        <v>1</v>
      </c>
      <c r="E3" s="10">
        <v>1</v>
      </c>
      <c r="F3" s="9">
        <v>9286</v>
      </c>
      <c r="G3" s="5">
        <v>45642</v>
      </c>
      <c r="I3" s="5" t="s">
        <v>9</v>
      </c>
      <c r="J3" s="4" t="s">
        <v>27</v>
      </c>
    </row>
    <row r="4" spans="1:10" x14ac:dyDescent="0.25">
      <c r="A4" s="4" t="s">
        <v>24</v>
      </c>
      <c r="B4" s="3">
        <v>45627</v>
      </c>
      <c r="C4" s="3">
        <v>45992</v>
      </c>
      <c r="D4" s="4">
        <v>1</v>
      </c>
      <c r="E4" s="10">
        <v>1</v>
      </c>
      <c r="F4" s="9">
        <v>2810</v>
      </c>
      <c r="G4" s="5">
        <v>45653</v>
      </c>
      <c r="I4" s="5" t="s">
        <v>9</v>
      </c>
      <c r="J4" s="4" t="s">
        <v>25</v>
      </c>
    </row>
    <row r="5" spans="1:10" x14ac:dyDescent="0.25">
      <c r="A5" s="4" t="s">
        <v>22</v>
      </c>
      <c r="B5" s="3">
        <v>45627</v>
      </c>
      <c r="C5" s="3">
        <v>45992</v>
      </c>
      <c r="D5" s="4">
        <v>1</v>
      </c>
      <c r="E5" s="10">
        <v>1</v>
      </c>
      <c r="F5" s="9">
        <v>2588</v>
      </c>
      <c r="G5" s="5">
        <v>45656</v>
      </c>
      <c r="I5" s="5" t="s">
        <v>9</v>
      </c>
      <c r="J5" s="4" t="s">
        <v>23</v>
      </c>
    </row>
    <row r="6" spans="1:10" x14ac:dyDescent="0.25">
      <c r="A6" s="4" t="s">
        <v>16</v>
      </c>
      <c r="B6" s="3">
        <v>45658</v>
      </c>
      <c r="C6" s="3">
        <v>46023</v>
      </c>
      <c r="D6" s="4">
        <v>1</v>
      </c>
      <c r="E6" s="10">
        <v>1</v>
      </c>
      <c r="F6" s="9">
        <v>5252</v>
      </c>
      <c r="G6" s="5">
        <v>45665</v>
      </c>
      <c r="I6" s="5" t="s">
        <v>9</v>
      </c>
      <c r="J6" s="4" t="s">
        <v>17</v>
      </c>
    </row>
    <row r="7" spans="1:10" x14ac:dyDescent="0.25">
      <c r="A7" s="4" t="s">
        <v>20</v>
      </c>
      <c r="B7" s="3">
        <v>45658</v>
      </c>
      <c r="C7" s="3">
        <v>46023</v>
      </c>
      <c r="D7" s="4">
        <v>2</v>
      </c>
      <c r="E7" s="4">
        <v>1.5670999999999999</v>
      </c>
      <c r="F7" s="11">
        <v>4061.92</v>
      </c>
      <c r="G7" s="5">
        <v>45671</v>
      </c>
      <c r="I7" s="5" t="s">
        <v>9</v>
      </c>
      <c r="J7" s="4" t="s">
        <v>21</v>
      </c>
    </row>
    <row r="8" spans="1:10" x14ac:dyDescent="0.25">
      <c r="A8" s="4" t="s">
        <v>22</v>
      </c>
      <c r="B8" s="3">
        <v>45658</v>
      </c>
      <c r="C8" s="3">
        <v>46023</v>
      </c>
      <c r="D8" s="4">
        <v>2</v>
      </c>
      <c r="E8" s="10">
        <v>1</v>
      </c>
      <c r="F8" s="9">
        <v>2588</v>
      </c>
      <c r="G8" s="5">
        <v>45673</v>
      </c>
      <c r="I8" s="5" t="s">
        <v>9</v>
      </c>
      <c r="J8" s="4" t="s">
        <v>23</v>
      </c>
    </row>
    <row r="9" spans="1:10" x14ac:dyDescent="0.25">
      <c r="A9" s="4" t="s">
        <v>16</v>
      </c>
      <c r="B9" s="3">
        <v>45689</v>
      </c>
      <c r="C9" s="3">
        <v>46054</v>
      </c>
      <c r="D9" s="4">
        <v>2</v>
      </c>
      <c r="E9" s="10">
        <v>1</v>
      </c>
      <c r="F9" s="9">
        <v>5840</v>
      </c>
      <c r="G9" s="5">
        <v>45691</v>
      </c>
      <c r="I9" s="5" t="s">
        <v>9</v>
      </c>
      <c r="J9" s="4" t="s">
        <v>17</v>
      </c>
    </row>
    <row r="10" spans="1:10" x14ac:dyDescent="0.25">
      <c r="A10" s="4" t="s">
        <v>14</v>
      </c>
      <c r="B10" s="3">
        <v>45658</v>
      </c>
      <c r="C10" s="3">
        <v>46023</v>
      </c>
      <c r="D10" s="4">
        <v>1</v>
      </c>
      <c r="E10" s="10">
        <v>1</v>
      </c>
      <c r="F10" s="9">
        <v>4691</v>
      </c>
      <c r="G10" s="5">
        <v>45691</v>
      </c>
      <c r="I10" s="5" t="s">
        <v>9</v>
      </c>
      <c r="J10" s="4" t="s">
        <v>15</v>
      </c>
    </row>
    <row r="11" spans="1:10" x14ac:dyDescent="0.25">
      <c r="A11" s="4" t="s">
        <v>20</v>
      </c>
      <c r="B11" s="3">
        <v>45689</v>
      </c>
      <c r="C11" s="3">
        <v>46054</v>
      </c>
      <c r="D11" s="4">
        <v>3</v>
      </c>
      <c r="E11" s="4">
        <v>1.5670999999999999</v>
      </c>
      <c r="F11" s="11">
        <v>4061.92</v>
      </c>
      <c r="G11" s="5">
        <v>45700</v>
      </c>
      <c r="I11" s="5" t="s">
        <v>9</v>
      </c>
      <c r="J11" s="4" t="s">
        <v>21</v>
      </c>
    </row>
    <row r="12" spans="1:10" x14ac:dyDescent="0.25">
      <c r="A12" s="4" t="s">
        <v>22</v>
      </c>
      <c r="B12" s="3">
        <v>45689</v>
      </c>
      <c r="C12" s="3">
        <v>46054</v>
      </c>
      <c r="D12" s="4">
        <v>3</v>
      </c>
      <c r="E12" s="10">
        <v>1</v>
      </c>
      <c r="F12" s="9">
        <v>2600</v>
      </c>
      <c r="G12" s="5">
        <v>45702</v>
      </c>
      <c r="I12" s="5" t="s">
        <v>9</v>
      </c>
      <c r="J12" s="4" t="s">
        <v>23</v>
      </c>
    </row>
    <row r="13" spans="1:10" x14ac:dyDescent="0.25">
      <c r="A13" s="4" t="s">
        <v>24</v>
      </c>
      <c r="B13" s="3">
        <v>45689</v>
      </c>
      <c r="C13" s="3">
        <v>46054</v>
      </c>
      <c r="D13" s="4">
        <v>2</v>
      </c>
      <c r="E13" s="10">
        <v>1</v>
      </c>
      <c r="F13" s="9">
        <v>3108</v>
      </c>
      <c r="G13" s="5">
        <v>45702</v>
      </c>
      <c r="I13" s="5" t="s">
        <v>9</v>
      </c>
      <c r="J13" s="4" t="s">
        <v>25</v>
      </c>
    </row>
    <row r="14" spans="1:10" x14ac:dyDescent="0.25">
      <c r="A14" s="4" t="s">
        <v>16</v>
      </c>
      <c r="B14" s="3">
        <v>45717</v>
      </c>
      <c r="C14" s="3">
        <v>46082</v>
      </c>
      <c r="D14" s="4">
        <v>3</v>
      </c>
      <c r="E14" s="10">
        <v>1</v>
      </c>
      <c r="F14" s="9">
        <v>5611</v>
      </c>
      <c r="G14" s="5">
        <v>45717</v>
      </c>
      <c r="I14" s="5" t="s">
        <v>9</v>
      </c>
      <c r="J14" s="4" t="s">
        <v>17</v>
      </c>
    </row>
    <row r="15" spans="1:10" x14ac:dyDescent="0.25">
      <c r="A15" s="4" t="s">
        <v>18</v>
      </c>
      <c r="B15" s="3">
        <v>45717</v>
      </c>
      <c r="C15" s="3">
        <v>46082</v>
      </c>
      <c r="D15" s="4">
        <v>1</v>
      </c>
      <c r="E15" s="10">
        <v>1</v>
      </c>
      <c r="F15" s="9">
        <v>2626</v>
      </c>
      <c r="G15" s="5">
        <v>45727</v>
      </c>
      <c r="I15" s="5" t="s">
        <v>9</v>
      </c>
      <c r="J15" s="4" t="s">
        <v>19</v>
      </c>
    </row>
    <row r="16" spans="1:10" x14ac:dyDescent="0.25">
      <c r="A16" s="4" t="s">
        <v>20</v>
      </c>
      <c r="B16" s="3">
        <v>45717</v>
      </c>
      <c r="C16" s="3">
        <v>46082</v>
      </c>
      <c r="D16" s="4">
        <v>4</v>
      </c>
      <c r="E16" s="4">
        <v>1.5670999999999999</v>
      </c>
      <c r="F16" s="11">
        <v>4061.92</v>
      </c>
      <c r="G16" s="5">
        <v>45728</v>
      </c>
      <c r="I16" s="5" t="s">
        <v>9</v>
      </c>
      <c r="J16" s="4" t="s">
        <v>21</v>
      </c>
    </row>
    <row r="17" spans="1:10" x14ac:dyDescent="0.25">
      <c r="A17" s="4" t="s">
        <v>22</v>
      </c>
      <c r="B17" s="3">
        <v>45717</v>
      </c>
      <c r="C17" s="3">
        <v>46082</v>
      </c>
      <c r="D17" s="4">
        <v>4</v>
      </c>
      <c r="E17" s="10">
        <v>1</v>
      </c>
      <c r="F17" s="9">
        <v>2588</v>
      </c>
      <c r="G17" s="5">
        <v>45733</v>
      </c>
      <c r="I17" s="5" t="s">
        <v>9</v>
      </c>
      <c r="J17" s="4" t="s">
        <v>23</v>
      </c>
    </row>
    <row r="18" spans="1:10" x14ac:dyDescent="0.25">
      <c r="A18" s="4" t="s">
        <v>71</v>
      </c>
      <c r="B18" s="3">
        <v>45717</v>
      </c>
      <c r="C18" s="3">
        <v>46082</v>
      </c>
      <c r="D18" s="4">
        <v>2</v>
      </c>
      <c r="E18" s="10">
        <v>1</v>
      </c>
      <c r="F18" s="9">
        <v>4570</v>
      </c>
      <c r="G18" s="5">
        <v>45733</v>
      </c>
      <c r="I18" s="5" t="s">
        <v>9</v>
      </c>
      <c r="J18" s="4" t="s">
        <v>28</v>
      </c>
    </row>
    <row r="19" spans="1:10" x14ac:dyDescent="0.25">
      <c r="A19" s="4" t="s">
        <v>14</v>
      </c>
      <c r="B19" s="3">
        <v>45717</v>
      </c>
      <c r="C19" s="3">
        <v>46082</v>
      </c>
      <c r="D19" s="4">
        <v>2</v>
      </c>
      <c r="E19" s="10">
        <v>1</v>
      </c>
      <c r="F19" s="9">
        <v>4742</v>
      </c>
      <c r="G19" s="5">
        <v>45733</v>
      </c>
      <c r="I19" s="5" t="s">
        <v>9</v>
      </c>
      <c r="J19" s="4" t="s">
        <v>15</v>
      </c>
    </row>
    <row r="20" spans="1:10" x14ac:dyDescent="0.25">
      <c r="A20" s="4" t="s">
        <v>24</v>
      </c>
      <c r="B20" s="3">
        <v>45717</v>
      </c>
      <c r="C20" s="3">
        <v>46082</v>
      </c>
      <c r="D20" s="4">
        <v>3</v>
      </c>
      <c r="E20" s="10">
        <v>1</v>
      </c>
      <c r="F20" s="9">
        <v>3006</v>
      </c>
      <c r="G20" s="5">
        <v>45733</v>
      </c>
      <c r="I20" s="5" t="s">
        <v>9</v>
      </c>
      <c r="J20" s="4" t="s">
        <v>25</v>
      </c>
    </row>
    <row r="21" spans="1:10" x14ac:dyDescent="0.25">
      <c r="A21" s="4" t="s">
        <v>26</v>
      </c>
      <c r="B21" s="3">
        <v>45717</v>
      </c>
      <c r="C21" s="3">
        <v>45901</v>
      </c>
      <c r="D21" s="4">
        <v>2</v>
      </c>
      <c r="E21" s="10">
        <v>1</v>
      </c>
      <c r="F21" s="9">
        <v>9268</v>
      </c>
      <c r="G21" s="5">
        <v>45739</v>
      </c>
      <c r="I21" s="5" t="s">
        <v>9</v>
      </c>
      <c r="J21" s="4" t="s">
        <v>27</v>
      </c>
    </row>
    <row r="22" spans="1:10" x14ac:dyDescent="0.25">
      <c r="A22" s="4" t="s">
        <v>29</v>
      </c>
      <c r="B22" s="3">
        <v>45748</v>
      </c>
      <c r="C22" s="3">
        <v>46113</v>
      </c>
      <c r="D22" s="4">
        <v>1</v>
      </c>
      <c r="E22" s="10">
        <v>1</v>
      </c>
      <c r="F22" s="9">
        <v>30058</v>
      </c>
      <c r="G22" s="5">
        <v>45751</v>
      </c>
      <c r="H22" s="48">
        <v>45749</v>
      </c>
      <c r="I22" s="5" t="s">
        <v>9</v>
      </c>
      <c r="J22" s="4" t="s">
        <v>30</v>
      </c>
    </row>
    <row r="23" spans="1:10" x14ac:dyDescent="0.25">
      <c r="A23" s="4" t="s">
        <v>16</v>
      </c>
      <c r="B23" s="3">
        <v>45748</v>
      </c>
      <c r="C23" s="3">
        <v>46113</v>
      </c>
      <c r="D23" s="4">
        <v>4</v>
      </c>
      <c r="E23" s="10">
        <v>1</v>
      </c>
      <c r="F23" s="9">
        <v>5840</v>
      </c>
      <c r="G23" s="5">
        <v>45751</v>
      </c>
      <c r="H23" s="5">
        <v>45751</v>
      </c>
      <c r="I23" s="5" t="s">
        <v>9</v>
      </c>
      <c r="J23" s="4" t="s">
        <v>17</v>
      </c>
    </row>
    <row r="24" spans="1:10" x14ac:dyDescent="0.25">
      <c r="A24" s="4" t="s">
        <v>20</v>
      </c>
      <c r="B24" s="3">
        <v>45748</v>
      </c>
      <c r="C24" s="3">
        <v>46113</v>
      </c>
      <c r="D24" s="4">
        <v>5</v>
      </c>
      <c r="E24" s="4">
        <v>1.5670999999999999</v>
      </c>
      <c r="F24" s="11">
        <v>4061.92</v>
      </c>
      <c r="G24" s="5">
        <v>45756</v>
      </c>
      <c r="H24" s="5">
        <v>45754</v>
      </c>
      <c r="I24" s="5" t="s">
        <v>9</v>
      </c>
      <c r="J24" s="4" t="s">
        <v>21</v>
      </c>
    </row>
    <row r="25" spans="1:10" x14ac:dyDescent="0.25">
      <c r="A25" s="4" t="s">
        <v>11</v>
      </c>
      <c r="B25" s="3">
        <v>45748</v>
      </c>
      <c r="C25" s="3">
        <v>46113</v>
      </c>
      <c r="D25" s="4">
        <v>1</v>
      </c>
      <c r="E25" s="4">
        <v>2.2400000000000002</v>
      </c>
      <c r="F25" s="11">
        <v>10671.72</v>
      </c>
      <c r="G25" s="5">
        <v>45763</v>
      </c>
      <c r="H25" s="48">
        <v>45758</v>
      </c>
      <c r="I25" s="5" t="s">
        <v>9</v>
      </c>
      <c r="J25" s="4" t="s">
        <v>13</v>
      </c>
    </row>
    <row r="26" spans="1:10" x14ac:dyDescent="0.25">
      <c r="A26" s="4" t="s">
        <v>11</v>
      </c>
      <c r="B26" s="3">
        <v>45748</v>
      </c>
      <c r="C26" s="3">
        <v>46113</v>
      </c>
      <c r="D26" s="4">
        <v>1</v>
      </c>
      <c r="E26" s="10">
        <v>2.4</v>
      </c>
      <c r="F26" s="11">
        <v>11433.6</v>
      </c>
      <c r="G26" s="5">
        <v>45763</v>
      </c>
      <c r="H26" s="48">
        <v>45758</v>
      </c>
      <c r="I26" s="5" t="s">
        <v>9</v>
      </c>
      <c r="J26" s="4" t="s">
        <v>13</v>
      </c>
    </row>
    <row r="27" spans="1:10" x14ac:dyDescent="0.25">
      <c r="A27" s="4" t="s">
        <v>11</v>
      </c>
      <c r="B27" s="3">
        <v>45748</v>
      </c>
      <c r="C27" s="3">
        <v>46113</v>
      </c>
      <c r="D27" s="4">
        <v>1</v>
      </c>
      <c r="E27" s="4">
        <v>2.48</v>
      </c>
      <c r="F27" s="11">
        <v>23470.720000000001</v>
      </c>
      <c r="G27" s="5">
        <v>45763</v>
      </c>
      <c r="H27" s="48">
        <v>45758</v>
      </c>
      <c r="I27" s="5" t="s">
        <v>9</v>
      </c>
      <c r="J27" s="4" t="s">
        <v>13</v>
      </c>
    </row>
    <row r="28" spans="1:10" x14ac:dyDescent="0.25">
      <c r="A28" s="4" t="s">
        <v>22</v>
      </c>
      <c r="B28" s="3">
        <v>45748</v>
      </c>
      <c r="C28" s="3">
        <v>46113</v>
      </c>
      <c r="D28" s="4">
        <v>5</v>
      </c>
      <c r="E28" s="10">
        <v>1</v>
      </c>
      <c r="F28" s="9">
        <v>2588</v>
      </c>
      <c r="G28" s="5">
        <v>45763</v>
      </c>
      <c r="H28" s="5">
        <v>45761</v>
      </c>
      <c r="I28" s="5" t="s">
        <v>9</v>
      </c>
      <c r="J28" s="4" t="s">
        <v>23</v>
      </c>
    </row>
    <row r="29" spans="1:10" x14ac:dyDescent="0.25">
      <c r="A29" s="4" t="s">
        <v>24</v>
      </c>
      <c r="B29" s="3">
        <v>45748</v>
      </c>
      <c r="C29" s="3">
        <v>46113</v>
      </c>
      <c r="D29" s="4">
        <v>4</v>
      </c>
      <c r="E29" s="10">
        <v>1</v>
      </c>
      <c r="F29" s="9">
        <v>3104</v>
      </c>
      <c r="G29" s="5">
        <v>45763</v>
      </c>
      <c r="H29" s="5">
        <v>45762</v>
      </c>
      <c r="I29" s="5" t="s">
        <v>9</v>
      </c>
      <c r="J29" s="4" t="s">
        <v>25</v>
      </c>
    </row>
    <row r="30" spans="1:10" x14ac:dyDescent="0.25">
      <c r="A30" s="4" t="s">
        <v>18</v>
      </c>
      <c r="B30" s="3">
        <v>45748</v>
      </c>
      <c r="C30" s="3">
        <v>46113</v>
      </c>
      <c r="D30" s="4">
        <v>2</v>
      </c>
      <c r="E30" s="10">
        <v>1</v>
      </c>
      <c r="F30" s="9">
        <v>1771</v>
      </c>
      <c r="G30" s="5">
        <v>45764</v>
      </c>
      <c r="H30" s="5">
        <v>45763</v>
      </c>
      <c r="I30" s="5" t="s">
        <v>9</v>
      </c>
      <c r="J30" s="4" t="s">
        <v>19</v>
      </c>
    </row>
    <row r="31" spans="1:10" x14ac:dyDescent="0.25">
      <c r="A31" s="4" t="s">
        <v>16</v>
      </c>
      <c r="B31" s="3">
        <v>45778</v>
      </c>
      <c r="C31" s="3">
        <v>46143</v>
      </c>
      <c r="D31" s="4">
        <v>5</v>
      </c>
      <c r="E31" s="10">
        <v>1</v>
      </c>
      <c r="F31" s="9">
        <v>5611</v>
      </c>
      <c r="G31" s="5">
        <v>45779</v>
      </c>
      <c r="H31" s="5">
        <v>45779</v>
      </c>
      <c r="I31" s="5" t="s">
        <v>9</v>
      </c>
      <c r="J31" s="4" t="s">
        <v>17</v>
      </c>
    </row>
    <row r="32" spans="1:10" x14ac:dyDescent="0.25">
      <c r="A32" s="4" t="s">
        <v>11</v>
      </c>
      <c r="B32" s="3">
        <v>45778</v>
      </c>
      <c r="C32" s="3">
        <v>46143</v>
      </c>
      <c r="D32" s="4">
        <v>2</v>
      </c>
      <c r="E32" s="10">
        <v>2.4</v>
      </c>
      <c r="F32" s="9">
        <v>11448</v>
      </c>
      <c r="G32" s="5">
        <v>45782</v>
      </c>
      <c r="H32" s="5">
        <v>45780</v>
      </c>
      <c r="I32" s="5" t="s">
        <v>9</v>
      </c>
      <c r="J32" s="4" t="s">
        <v>13</v>
      </c>
    </row>
    <row r="33" spans="1:10" x14ac:dyDescent="0.25">
      <c r="A33" s="4" t="s">
        <v>11</v>
      </c>
      <c r="B33" s="3">
        <v>45778</v>
      </c>
      <c r="C33" s="3">
        <v>46143</v>
      </c>
      <c r="D33" s="4">
        <v>2</v>
      </c>
      <c r="E33" s="4">
        <v>2.48</v>
      </c>
      <c r="F33" s="9">
        <v>11829.6</v>
      </c>
      <c r="G33" s="5">
        <v>45782</v>
      </c>
      <c r="H33" s="5">
        <v>45780</v>
      </c>
      <c r="I33" s="5" t="s">
        <v>9</v>
      </c>
      <c r="J33" s="4" t="s">
        <v>13</v>
      </c>
    </row>
    <row r="34" spans="1:10" x14ac:dyDescent="0.25">
      <c r="A34" s="4" t="s">
        <v>20</v>
      </c>
      <c r="B34" s="3">
        <v>45778</v>
      </c>
      <c r="C34" s="3">
        <v>46143</v>
      </c>
      <c r="D34" s="4">
        <v>6</v>
      </c>
      <c r="E34" s="4">
        <v>1.5670999999999999</v>
      </c>
      <c r="F34" s="11">
        <v>4061.92</v>
      </c>
      <c r="G34" s="5">
        <v>45786</v>
      </c>
      <c r="H34" s="5">
        <v>45783</v>
      </c>
      <c r="I34" s="5" t="s">
        <v>9</v>
      </c>
      <c r="J34" s="4" t="s">
        <v>21</v>
      </c>
    </row>
    <row r="35" spans="1:10" x14ac:dyDescent="0.25">
      <c r="A35" s="4" t="s">
        <v>18</v>
      </c>
      <c r="B35" s="3">
        <v>45778</v>
      </c>
      <c r="C35" s="3">
        <v>46143</v>
      </c>
      <c r="D35" s="4">
        <v>3</v>
      </c>
      <c r="E35" s="10">
        <v>1</v>
      </c>
      <c r="F35" s="9">
        <v>1771</v>
      </c>
      <c r="G35" s="5">
        <v>45793</v>
      </c>
      <c r="H35" s="5">
        <v>45788</v>
      </c>
      <c r="I35" s="5" t="s">
        <v>9</v>
      </c>
      <c r="J35" s="4" t="s">
        <v>19</v>
      </c>
    </row>
    <row r="36" spans="1:10" x14ac:dyDescent="0.25">
      <c r="A36" s="4" t="s">
        <v>24</v>
      </c>
      <c r="B36" s="3">
        <v>45778</v>
      </c>
      <c r="C36" s="3">
        <v>46143</v>
      </c>
      <c r="D36" s="4">
        <v>5</v>
      </c>
      <c r="E36" s="10">
        <v>1</v>
      </c>
      <c r="F36" s="9">
        <v>3006</v>
      </c>
      <c r="G36" s="5">
        <v>45793</v>
      </c>
      <c r="H36" s="5">
        <v>45789</v>
      </c>
      <c r="I36" s="5" t="s">
        <v>9</v>
      </c>
      <c r="J36" s="4" t="s">
        <v>25</v>
      </c>
    </row>
    <row r="37" spans="1:10" x14ac:dyDescent="0.25">
      <c r="A37" s="4" t="s">
        <v>22</v>
      </c>
      <c r="B37" s="3">
        <v>45778</v>
      </c>
      <c r="C37" s="3">
        <v>46143</v>
      </c>
      <c r="D37" s="4">
        <v>6</v>
      </c>
      <c r="E37" s="10">
        <v>1</v>
      </c>
      <c r="F37" s="9">
        <v>2588</v>
      </c>
      <c r="G37" s="5">
        <v>45796</v>
      </c>
      <c r="H37" s="5">
        <v>45793</v>
      </c>
      <c r="I37" s="5" t="s">
        <v>9</v>
      </c>
      <c r="J37" s="4" t="s">
        <v>23</v>
      </c>
    </row>
    <row r="38" spans="1:10" x14ac:dyDescent="0.25">
      <c r="A38" s="4" t="s">
        <v>1</v>
      </c>
      <c r="B38" s="3">
        <v>45778</v>
      </c>
      <c r="C38" s="3">
        <v>46143</v>
      </c>
      <c r="D38" s="4">
        <v>1</v>
      </c>
      <c r="E38" s="12">
        <v>0.5</v>
      </c>
      <c r="F38" s="8">
        <v>2686</v>
      </c>
      <c r="G38" s="5">
        <v>45800</v>
      </c>
      <c r="H38" s="5">
        <v>45798</v>
      </c>
      <c r="I38" s="5" t="s">
        <v>9</v>
      </c>
      <c r="J38" s="4" t="s">
        <v>10</v>
      </c>
    </row>
    <row r="39" spans="1:10" x14ac:dyDescent="0.25">
      <c r="A39" s="4" t="s">
        <v>16</v>
      </c>
      <c r="B39" s="3">
        <v>45809</v>
      </c>
      <c r="C39" s="3">
        <v>46174</v>
      </c>
      <c r="D39" s="4">
        <v>6</v>
      </c>
      <c r="E39" s="10">
        <v>1</v>
      </c>
      <c r="F39" s="9">
        <v>5840</v>
      </c>
      <c r="G39" s="5">
        <v>45810</v>
      </c>
      <c r="H39" s="5">
        <v>45809</v>
      </c>
      <c r="I39" s="5" t="s">
        <v>9</v>
      </c>
      <c r="J39" s="4" t="s">
        <v>17</v>
      </c>
    </row>
    <row r="40" spans="1:10" x14ac:dyDescent="0.25">
      <c r="A40" s="4" t="s">
        <v>20</v>
      </c>
      <c r="B40" s="3">
        <v>45809</v>
      </c>
      <c r="C40" s="3">
        <v>46174</v>
      </c>
      <c r="D40" s="4">
        <v>7</v>
      </c>
      <c r="E40" s="4">
        <v>1.5670999999999999</v>
      </c>
      <c r="F40" s="11">
        <v>4061.92</v>
      </c>
      <c r="G40" s="5">
        <v>45817</v>
      </c>
      <c r="H40" s="5">
        <v>45814</v>
      </c>
      <c r="I40" s="5" t="s">
        <v>9</v>
      </c>
      <c r="J40" s="4" t="s">
        <v>21</v>
      </c>
    </row>
    <row r="41" spans="1:10" x14ac:dyDescent="0.25">
      <c r="A41" s="4" t="s">
        <v>24</v>
      </c>
      <c r="B41" s="3">
        <v>45809</v>
      </c>
      <c r="C41" s="3">
        <v>46174</v>
      </c>
      <c r="D41" s="4">
        <v>6</v>
      </c>
      <c r="E41" s="10">
        <v>1</v>
      </c>
      <c r="F41" s="9">
        <v>3104</v>
      </c>
      <c r="G41" s="5">
        <v>45821</v>
      </c>
      <c r="H41" s="5">
        <v>45817</v>
      </c>
      <c r="I41" s="5" t="s">
        <v>9</v>
      </c>
      <c r="J41" s="4" t="s">
        <v>25</v>
      </c>
    </row>
    <row r="42" spans="1:10" x14ac:dyDescent="0.25">
      <c r="A42" s="4" t="s">
        <v>29</v>
      </c>
      <c r="B42" s="3">
        <v>45809</v>
      </c>
      <c r="C42" s="3">
        <v>46174</v>
      </c>
      <c r="D42" s="4">
        <v>2</v>
      </c>
      <c r="E42" s="10">
        <v>1</v>
      </c>
      <c r="F42" s="9">
        <v>12216</v>
      </c>
      <c r="G42" s="5">
        <v>45824</v>
      </c>
      <c r="H42" s="5">
        <v>45819</v>
      </c>
      <c r="I42" s="5" t="s">
        <v>9</v>
      </c>
      <c r="J42" s="4" t="s">
        <v>30</v>
      </c>
    </row>
    <row r="43" spans="1:10" x14ac:dyDescent="0.25">
      <c r="A43" s="4" t="s">
        <v>22</v>
      </c>
      <c r="B43" s="3">
        <v>45809</v>
      </c>
      <c r="C43" s="3">
        <v>46174</v>
      </c>
      <c r="D43" s="4">
        <v>7</v>
      </c>
      <c r="E43" s="10">
        <v>1</v>
      </c>
      <c r="F43" s="9">
        <v>2588</v>
      </c>
      <c r="G43" s="5">
        <v>45824</v>
      </c>
      <c r="H43" s="5">
        <v>45820</v>
      </c>
      <c r="I43" s="5" t="s">
        <v>9</v>
      </c>
      <c r="J43" s="4" t="s">
        <v>23</v>
      </c>
    </row>
    <row r="44" spans="1:10" x14ac:dyDescent="0.25">
      <c r="A44" s="4" t="s">
        <v>71</v>
      </c>
      <c r="B44" s="3">
        <v>45809</v>
      </c>
      <c r="C44" s="3">
        <v>46174</v>
      </c>
      <c r="D44" s="4">
        <v>3</v>
      </c>
      <c r="E44" s="10">
        <v>1</v>
      </c>
      <c r="F44" s="9">
        <v>3420</v>
      </c>
      <c r="G44" s="5">
        <v>45824</v>
      </c>
      <c r="H44" s="5">
        <v>45821</v>
      </c>
      <c r="I44" s="5" t="s">
        <v>9</v>
      </c>
      <c r="J44" s="4" t="s">
        <v>28</v>
      </c>
    </row>
    <row r="45" spans="1:10" x14ac:dyDescent="0.25">
      <c r="A45" s="4" t="s">
        <v>14</v>
      </c>
      <c r="B45" s="3">
        <v>45809</v>
      </c>
      <c r="C45" s="3">
        <v>46174</v>
      </c>
      <c r="D45" s="4">
        <v>3</v>
      </c>
      <c r="E45" s="10">
        <v>1</v>
      </c>
      <c r="F45" s="9">
        <v>4846</v>
      </c>
      <c r="G45" s="5">
        <v>45824</v>
      </c>
      <c r="H45" s="5">
        <v>45822</v>
      </c>
      <c r="I45" s="5" t="s">
        <v>9</v>
      </c>
      <c r="J45" s="4" t="s">
        <v>15</v>
      </c>
    </row>
    <row r="46" spans="1:10" x14ac:dyDescent="0.25">
      <c r="A46" s="4" t="s">
        <v>18</v>
      </c>
      <c r="B46" s="3">
        <v>45809</v>
      </c>
      <c r="C46" s="3">
        <v>46174</v>
      </c>
      <c r="D46" s="4">
        <v>4</v>
      </c>
      <c r="E46" s="10">
        <v>1</v>
      </c>
      <c r="F46" s="9">
        <v>1771</v>
      </c>
      <c r="G46" s="5">
        <v>45825</v>
      </c>
      <c r="H46" s="5">
        <v>45823</v>
      </c>
      <c r="I46" s="5" t="s">
        <v>9</v>
      </c>
      <c r="J46" s="4" t="s">
        <v>19</v>
      </c>
    </row>
    <row r="47" spans="1:10" x14ac:dyDescent="0.25">
      <c r="A47" s="4" t="s">
        <v>26</v>
      </c>
      <c r="B47" s="3">
        <v>45809</v>
      </c>
      <c r="C47" s="3">
        <v>45992</v>
      </c>
      <c r="D47" s="4">
        <v>3</v>
      </c>
      <c r="E47" s="10">
        <v>1</v>
      </c>
      <c r="F47" s="9">
        <v>9268</v>
      </c>
      <c r="G47" s="5">
        <v>45828</v>
      </c>
      <c r="H47" s="5">
        <v>45826</v>
      </c>
      <c r="I47" s="5" t="s">
        <v>9</v>
      </c>
      <c r="J47" s="4" t="s">
        <v>27</v>
      </c>
    </row>
    <row r="48" spans="1:10" x14ac:dyDescent="0.25">
      <c r="A48" s="4" t="s">
        <v>11</v>
      </c>
      <c r="B48" s="3">
        <v>45839</v>
      </c>
      <c r="C48" s="3">
        <v>46204</v>
      </c>
      <c r="D48" s="4">
        <v>3</v>
      </c>
      <c r="E48" s="4">
        <v>2.48</v>
      </c>
      <c r="F48" s="9">
        <v>23485.599999999999</v>
      </c>
      <c r="G48" s="5">
        <v>45841</v>
      </c>
      <c r="H48" s="5">
        <v>45840</v>
      </c>
      <c r="I48" s="5" t="s">
        <v>9</v>
      </c>
      <c r="J48" s="4" t="s">
        <v>13</v>
      </c>
    </row>
    <row r="49" spans="1:10" x14ac:dyDescent="0.25">
      <c r="A49" s="4" t="s">
        <v>16</v>
      </c>
      <c r="B49" s="3">
        <v>45839</v>
      </c>
      <c r="C49" s="3">
        <v>46204</v>
      </c>
      <c r="D49" s="4">
        <v>7</v>
      </c>
      <c r="E49" s="10">
        <v>1</v>
      </c>
      <c r="F49" s="9">
        <v>5840</v>
      </c>
      <c r="G49" s="5">
        <v>45842</v>
      </c>
      <c r="H49" s="5">
        <v>45842</v>
      </c>
      <c r="I49" s="5" t="s">
        <v>9</v>
      </c>
      <c r="J49" s="4" t="s">
        <v>17</v>
      </c>
    </row>
    <row r="50" spans="1:10" x14ac:dyDescent="0.25">
      <c r="A50" s="4" t="s">
        <v>1</v>
      </c>
      <c r="B50" s="3">
        <v>45839</v>
      </c>
      <c r="C50" s="3">
        <v>46204</v>
      </c>
      <c r="D50" s="4">
        <v>2</v>
      </c>
      <c r="E50" s="12">
        <v>0.5</v>
      </c>
      <c r="F50" s="9">
        <v>1707</v>
      </c>
      <c r="G50" s="5">
        <v>45845</v>
      </c>
      <c r="H50" s="5">
        <v>45843</v>
      </c>
      <c r="I50" s="5" t="s">
        <v>9</v>
      </c>
      <c r="J50" s="4" t="s">
        <v>10</v>
      </c>
    </row>
    <row r="51" spans="1:10" x14ac:dyDescent="0.25">
      <c r="A51" s="4" t="s">
        <v>20</v>
      </c>
      <c r="B51" s="3">
        <v>45839</v>
      </c>
      <c r="C51" s="3">
        <v>46204</v>
      </c>
      <c r="D51" s="4">
        <v>8</v>
      </c>
      <c r="E51" s="4">
        <v>1.5670999999999999</v>
      </c>
      <c r="F51" s="11">
        <v>4061.92</v>
      </c>
      <c r="G51" s="5">
        <v>45846</v>
      </c>
      <c r="H51" s="5">
        <v>45844</v>
      </c>
      <c r="I51" s="5" t="s">
        <v>9</v>
      </c>
      <c r="J51" s="4" t="s">
        <v>21</v>
      </c>
    </row>
    <row r="52" spans="1:10" x14ac:dyDescent="0.25">
      <c r="A52" s="4" t="s">
        <v>22</v>
      </c>
      <c r="B52" s="3">
        <v>45839</v>
      </c>
      <c r="C52" s="3">
        <v>46204</v>
      </c>
      <c r="D52" s="4">
        <v>8</v>
      </c>
      <c r="E52" s="10">
        <v>1</v>
      </c>
      <c r="F52" s="9">
        <v>2588</v>
      </c>
      <c r="G52" s="5">
        <v>45849</v>
      </c>
      <c r="H52" s="5">
        <v>45846</v>
      </c>
      <c r="I52" s="5" t="s">
        <v>9</v>
      </c>
      <c r="J52" s="4" t="s">
        <v>23</v>
      </c>
    </row>
    <row r="53" spans="1:10" x14ac:dyDescent="0.25">
      <c r="A53" s="4" t="s">
        <v>18</v>
      </c>
      <c r="B53" s="3">
        <v>45839</v>
      </c>
      <c r="C53" s="3">
        <v>46204</v>
      </c>
      <c r="D53" s="4">
        <v>5</v>
      </c>
      <c r="E53" s="10">
        <v>1</v>
      </c>
      <c r="F53" s="9">
        <v>1771</v>
      </c>
      <c r="G53" s="5">
        <v>45852</v>
      </c>
      <c r="H53" s="5">
        <v>45850</v>
      </c>
      <c r="I53" s="5" t="s">
        <v>9</v>
      </c>
      <c r="J53" s="4" t="s">
        <v>19</v>
      </c>
    </row>
    <row r="54" spans="1:10" x14ac:dyDescent="0.25">
      <c r="A54" s="4" t="s">
        <v>24</v>
      </c>
      <c r="B54" s="3">
        <v>45839</v>
      </c>
      <c r="C54" s="3">
        <v>46204</v>
      </c>
      <c r="D54" s="4">
        <v>7</v>
      </c>
      <c r="E54" s="10">
        <v>1</v>
      </c>
      <c r="F54" s="9">
        <v>3104</v>
      </c>
      <c r="G54" s="5">
        <v>45852</v>
      </c>
      <c r="H54" s="5">
        <v>45850</v>
      </c>
      <c r="I54" s="5" t="s">
        <v>9</v>
      </c>
      <c r="J54" s="4" t="s">
        <v>25</v>
      </c>
    </row>
    <row r="55" spans="1:10" x14ac:dyDescent="0.25">
      <c r="A55" s="4" t="s">
        <v>29</v>
      </c>
      <c r="B55" s="3">
        <v>45839</v>
      </c>
      <c r="C55" s="3">
        <v>46204</v>
      </c>
      <c r="D55" s="4">
        <v>3</v>
      </c>
      <c r="E55" s="10">
        <v>1</v>
      </c>
      <c r="F55" s="9">
        <v>12220</v>
      </c>
      <c r="G55" s="5">
        <v>45853</v>
      </c>
      <c r="H55" s="5">
        <v>45852</v>
      </c>
      <c r="I55" s="5" t="s">
        <v>9</v>
      </c>
      <c r="J55" s="4" t="s">
        <v>30</v>
      </c>
    </row>
    <row r="56" spans="1:10" x14ac:dyDescent="0.25">
      <c r="A56" s="4" t="s">
        <v>16</v>
      </c>
      <c r="B56" s="3">
        <v>45870</v>
      </c>
      <c r="C56" s="3">
        <v>46235</v>
      </c>
      <c r="D56" s="4">
        <v>8</v>
      </c>
      <c r="E56" s="10">
        <v>1</v>
      </c>
      <c r="F56" s="9">
        <v>5619</v>
      </c>
      <c r="G56" s="5">
        <v>45870</v>
      </c>
      <c r="I56" s="5" t="s">
        <v>9</v>
      </c>
      <c r="J56" s="4" t="s">
        <v>17</v>
      </c>
    </row>
    <row r="57" spans="1:10" x14ac:dyDescent="0.25">
      <c r="A57" s="4" t="s">
        <v>20</v>
      </c>
      <c r="B57" s="3">
        <v>45870</v>
      </c>
      <c r="C57" s="3">
        <v>46235</v>
      </c>
      <c r="D57" s="4">
        <v>9</v>
      </c>
      <c r="E57" s="4">
        <v>1.5670999999999999</v>
      </c>
      <c r="F57" s="11">
        <v>4061.92</v>
      </c>
      <c r="G57" s="5">
        <v>45876</v>
      </c>
      <c r="H57" s="5">
        <v>45874</v>
      </c>
      <c r="I57" s="5" t="s">
        <v>9</v>
      </c>
      <c r="J57" s="4" t="s">
        <v>21</v>
      </c>
    </row>
    <row r="58" spans="1:10" x14ac:dyDescent="0.25">
      <c r="A58" s="4" t="s">
        <v>22</v>
      </c>
      <c r="B58" s="3">
        <v>45870</v>
      </c>
      <c r="C58" s="3">
        <v>46235</v>
      </c>
      <c r="D58" s="4">
        <v>9</v>
      </c>
      <c r="E58" s="10">
        <v>1</v>
      </c>
      <c r="F58" s="9">
        <v>2588</v>
      </c>
      <c r="G58" s="5">
        <v>45880</v>
      </c>
      <c r="H58" s="5">
        <v>45878</v>
      </c>
      <c r="I58" s="5" t="s">
        <v>9</v>
      </c>
      <c r="J58" s="4" t="s">
        <v>23</v>
      </c>
    </row>
    <row r="59" spans="1:10" x14ac:dyDescent="0.25">
      <c r="A59" s="4" t="s">
        <v>18</v>
      </c>
      <c r="B59" s="3">
        <v>45870</v>
      </c>
      <c r="C59" s="3">
        <v>46235</v>
      </c>
      <c r="D59" s="4">
        <v>6</v>
      </c>
      <c r="E59" s="10">
        <v>1</v>
      </c>
      <c r="F59" s="9">
        <v>1771</v>
      </c>
      <c r="G59" s="5">
        <v>45881</v>
      </c>
      <c r="I59" s="5" t="s">
        <v>9</v>
      </c>
      <c r="J59" s="4" t="s">
        <v>19</v>
      </c>
    </row>
    <row r="60" spans="1:10" x14ac:dyDescent="0.25">
      <c r="A60" s="4" t="s">
        <v>24</v>
      </c>
      <c r="B60" s="3">
        <v>45870</v>
      </c>
      <c r="C60" s="3">
        <v>46235</v>
      </c>
      <c r="D60" s="4">
        <v>8</v>
      </c>
      <c r="E60" s="10">
        <v>1</v>
      </c>
      <c r="F60" s="9">
        <v>3006</v>
      </c>
      <c r="G60" s="5">
        <v>45887</v>
      </c>
      <c r="H60" s="5">
        <v>45881</v>
      </c>
      <c r="I60" s="5" t="s">
        <v>9</v>
      </c>
      <c r="J60" s="4" t="s">
        <v>25</v>
      </c>
    </row>
    <row r="61" spans="1:10" x14ac:dyDescent="0.25">
      <c r="A61" s="4" t="s">
        <v>29</v>
      </c>
      <c r="B61" s="3">
        <v>45870</v>
      </c>
      <c r="C61" s="3">
        <v>46235</v>
      </c>
      <c r="D61" s="4">
        <v>4</v>
      </c>
      <c r="E61" s="10">
        <v>1</v>
      </c>
      <c r="F61" s="9">
        <v>11825</v>
      </c>
      <c r="G61" s="5">
        <v>45887</v>
      </c>
      <c r="H61" s="5">
        <v>45884</v>
      </c>
      <c r="I61" s="5" t="s">
        <v>9</v>
      </c>
      <c r="J61" s="4" t="s">
        <v>30</v>
      </c>
    </row>
    <row r="62" spans="1:10" x14ac:dyDescent="0.25">
      <c r="A62" s="4" t="s">
        <v>11</v>
      </c>
      <c r="B62" s="3">
        <v>45901</v>
      </c>
      <c r="C62" s="3">
        <v>46266</v>
      </c>
      <c r="D62" s="4">
        <v>4</v>
      </c>
      <c r="E62" s="10">
        <v>2.4</v>
      </c>
      <c r="F62" s="9">
        <v>11448</v>
      </c>
      <c r="G62" s="5">
        <v>45902</v>
      </c>
      <c r="I62" s="5" t="s">
        <v>9</v>
      </c>
      <c r="J62" s="4" t="s">
        <v>13</v>
      </c>
    </row>
    <row r="63" spans="1:10" x14ac:dyDescent="0.25">
      <c r="A63" s="4" t="s">
        <v>11</v>
      </c>
      <c r="B63" s="3">
        <v>45901</v>
      </c>
      <c r="C63" s="3">
        <v>46266</v>
      </c>
      <c r="D63" s="4">
        <v>4</v>
      </c>
      <c r="E63" s="4">
        <v>2.48</v>
      </c>
      <c r="F63" s="9">
        <v>11829.6</v>
      </c>
      <c r="G63" s="5">
        <v>45902</v>
      </c>
      <c r="I63" s="5" t="s">
        <v>9</v>
      </c>
      <c r="J63" s="4" t="s">
        <v>13</v>
      </c>
    </row>
    <row r="64" spans="1:10" x14ac:dyDescent="0.25">
      <c r="A64" s="4" t="s">
        <v>20</v>
      </c>
      <c r="B64" s="3">
        <v>45901</v>
      </c>
      <c r="C64" s="3">
        <v>46266</v>
      </c>
      <c r="D64" s="4">
        <v>10</v>
      </c>
      <c r="E64" s="4">
        <v>1.5670999999999999</v>
      </c>
      <c r="F64" s="11">
        <v>4061.92</v>
      </c>
      <c r="G64" s="5">
        <v>45908</v>
      </c>
      <c r="I64" s="5" t="s">
        <v>9</v>
      </c>
      <c r="J64" s="4" t="s">
        <v>21</v>
      </c>
    </row>
    <row r="65" spans="1:10" x14ac:dyDescent="0.25">
      <c r="A65" s="4" t="s">
        <v>24</v>
      </c>
      <c r="B65" s="3">
        <v>45901</v>
      </c>
      <c r="C65" s="3">
        <v>46266</v>
      </c>
      <c r="D65" s="4">
        <v>9</v>
      </c>
      <c r="E65" s="10">
        <v>1</v>
      </c>
      <c r="F65" s="9">
        <v>3104</v>
      </c>
      <c r="G65" s="5">
        <v>45913</v>
      </c>
      <c r="I65" s="5" t="s">
        <v>9</v>
      </c>
      <c r="J65" s="4" t="s">
        <v>25</v>
      </c>
    </row>
    <row r="66" spans="1:10" x14ac:dyDescent="0.25">
      <c r="A66" s="4" t="s">
        <v>18</v>
      </c>
      <c r="B66" s="3">
        <v>45901</v>
      </c>
      <c r="C66" s="3">
        <v>46266</v>
      </c>
      <c r="D66" s="4">
        <v>7</v>
      </c>
      <c r="E66" s="10">
        <v>1</v>
      </c>
      <c r="F66" s="9">
        <v>5209</v>
      </c>
      <c r="G66" s="5">
        <v>45915</v>
      </c>
      <c r="I66" s="5" t="s">
        <v>9</v>
      </c>
      <c r="J66" s="4" t="s">
        <v>19</v>
      </c>
    </row>
    <row r="67" spans="1:10" x14ac:dyDescent="0.25">
      <c r="A67" s="4" t="s">
        <v>29</v>
      </c>
      <c r="B67" s="3">
        <v>45901</v>
      </c>
      <c r="C67" s="3">
        <v>46266</v>
      </c>
      <c r="D67" s="4">
        <v>5</v>
      </c>
      <c r="E67" s="10">
        <v>1</v>
      </c>
      <c r="F67" s="9">
        <v>12220</v>
      </c>
      <c r="G67" s="5">
        <v>45916</v>
      </c>
      <c r="I67" s="5" t="s">
        <v>9</v>
      </c>
      <c r="J67" s="4" t="s">
        <v>30</v>
      </c>
    </row>
    <row r="68" spans="1:10" x14ac:dyDescent="0.25">
      <c r="A68" s="4" t="s">
        <v>22</v>
      </c>
      <c r="B68" s="3">
        <v>45901</v>
      </c>
      <c r="C68" s="3">
        <v>46266</v>
      </c>
      <c r="D68" s="4">
        <v>10</v>
      </c>
      <c r="E68" s="10">
        <v>1</v>
      </c>
      <c r="F68" s="9">
        <v>2588</v>
      </c>
      <c r="G68" s="5">
        <v>45916</v>
      </c>
      <c r="I68" s="5" t="s">
        <v>9</v>
      </c>
      <c r="J68" s="4" t="s">
        <v>23</v>
      </c>
    </row>
    <row r="69" spans="1:10" x14ac:dyDescent="0.25">
      <c r="A69" s="4" t="s">
        <v>26</v>
      </c>
      <c r="B69" s="3">
        <v>45901</v>
      </c>
      <c r="C69" s="3">
        <v>46082</v>
      </c>
      <c r="D69" s="4">
        <v>4</v>
      </c>
      <c r="E69" s="10">
        <v>1</v>
      </c>
      <c r="F69" s="9">
        <v>9268</v>
      </c>
      <c r="G69" s="5">
        <v>45916</v>
      </c>
      <c r="I69" s="5" t="s">
        <v>9</v>
      </c>
      <c r="J69" s="4" t="s">
        <v>27</v>
      </c>
    </row>
    <row r="70" spans="1:10" x14ac:dyDescent="0.25">
      <c r="A70" s="4" t="s">
        <v>71</v>
      </c>
      <c r="B70" s="3">
        <v>45901</v>
      </c>
      <c r="C70" s="3">
        <v>46266</v>
      </c>
      <c r="D70" s="4">
        <v>4</v>
      </c>
      <c r="E70" s="10">
        <v>1</v>
      </c>
      <c r="F70" s="9">
        <v>3420</v>
      </c>
      <c r="G70" s="5">
        <v>45917</v>
      </c>
      <c r="I70" s="5" t="s">
        <v>9</v>
      </c>
      <c r="J70" s="4" t="s">
        <v>28</v>
      </c>
    </row>
    <row r="71" spans="1:10" x14ac:dyDescent="0.25">
      <c r="A71" s="4" t="s">
        <v>20</v>
      </c>
      <c r="B71" s="3">
        <v>45931</v>
      </c>
      <c r="C71" s="3">
        <v>46296</v>
      </c>
      <c r="D71" s="4">
        <v>11</v>
      </c>
      <c r="E71" s="4">
        <v>1.5670999999999999</v>
      </c>
      <c r="F71" s="11">
        <v>4061.92</v>
      </c>
      <c r="G71" s="5">
        <v>45945</v>
      </c>
      <c r="I71" s="5" t="s">
        <v>9</v>
      </c>
      <c r="J71" s="4" t="s">
        <v>21</v>
      </c>
    </row>
    <row r="72" spans="1:10" x14ac:dyDescent="0.25">
      <c r="A72" s="4" t="s">
        <v>22</v>
      </c>
      <c r="B72" s="3">
        <v>45931</v>
      </c>
      <c r="C72" s="3">
        <v>46296</v>
      </c>
      <c r="D72" s="4">
        <v>11</v>
      </c>
      <c r="E72" s="10">
        <v>1</v>
      </c>
      <c r="F72" s="9">
        <v>2588</v>
      </c>
      <c r="G72" s="5">
        <v>45946</v>
      </c>
      <c r="I72" s="5" t="s">
        <v>9</v>
      </c>
      <c r="J72" s="4" t="s">
        <v>23</v>
      </c>
    </row>
    <row r="73" spans="1:10" x14ac:dyDescent="0.25">
      <c r="A73" s="4" t="s">
        <v>29</v>
      </c>
      <c r="B73" s="3">
        <v>45931</v>
      </c>
      <c r="C73" s="3">
        <v>46266</v>
      </c>
      <c r="D73" s="4">
        <v>6</v>
      </c>
      <c r="E73" s="10">
        <v>1</v>
      </c>
      <c r="F73" s="9">
        <v>11824</v>
      </c>
      <c r="G73" s="5">
        <v>45951</v>
      </c>
      <c r="I73" s="5" t="s">
        <v>9</v>
      </c>
      <c r="J73" s="4" t="s">
        <v>30</v>
      </c>
    </row>
    <row r="74" spans="1:10" x14ac:dyDescent="0.25">
      <c r="A74" s="4" t="s">
        <v>16</v>
      </c>
      <c r="B74" s="3">
        <v>45962</v>
      </c>
      <c r="C74" s="3">
        <v>46327</v>
      </c>
      <c r="D74" s="4">
        <v>11</v>
      </c>
      <c r="E74" s="10">
        <v>1</v>
      </c>
      <c r="F74" s="9">
        <v>5840</v>
      </c>
      <c r="G74" s="5">
        <v>45962</v>
      </c>
      <c r="I74" s="5" t="s">
        <v>9</v>
      </c>
      <c r="J74" s="4" t="s">
        <v>17</v>
      </c>
    </row>
  </sheetData>
  <autoFilter ref="A1:J74" xr:uid="{DB76BB5B-4BCA-44DF-A913-9D1A394C70B0}">
    <sortState xmlns:xlrd2="http://schemas.microsoft.com/office/spreadsheetml/2017/richdata2" ref="A2:J74">
      <sortCondition ref="G1:G7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C34C-1E94-41EE-AE95-90AF7A1C33B6}">
  <dimension ref="A1:X98"/>
  <sheetViews>
    <sheetView tabSelected="1" workbookViewId="0">
      <pane ySplit="1" topLeftCell="A61" activePane="bottomLeft" state="frozen"/>
      <selection pane="bottomLeft" activeCell="C89" sqref="C89"/>
    </sheetView>
  </sheetViews>
  <sheetFormatPr baseColWidth="10" defaultRowHeight="15" x14ac:dyDescent="0.25"/>
  <cols>
    <col min="1" max="1" width="18" style="4" bestFit="1" customWidth="1"/>
    <col min="2" max="2" width="13.140625" style="11" bestFit="1" customWidth="1"/>
    <col min="3" max="3" width="10.42578125" style="5" bestFit="1" customWidth="1"/>
    <col min="4" max="4" width="10.42578125" style="31" customWidth="1"/>
    <col min="5" max="5" width="9.5703125" style="11" customWidth="1"/>
    <col min="6" max="6" width="10.42578125" style="11" customWidth="1"/>
    <col min="7" max="7" width="9.42578125" style="11" customWidth="1"/>
    <col min="8" max="8" width="9.85546875" style="11" customWidth="1"/>
    <col min="9" max="9" width="10.140625" style="11" customWidth="1"/>
    <col min="10" max="11" width="9.85546875" style="11" customWidth="1"/>
    <col min="12" max="12" width="8.42578125" style="11" customWidth="1"/>
    <col min="13" max="13" width="8.140625" style="11" bestFit="1" customWidth="1"/>
    <col min="14" max="14" width="11.42578125" style="11"/>
    <col min="15" max="15" width="8.85546875" style="11" customWidth="1"/>
    <col min="16" max="16" width="11.42578125" style="11"/>
    <col min="17" max="17" width="10.28515625" style="11" customWidth="1"/>
    <col min="18" max="19" width="11.42578125" style="11"/>
    <col min="20" max="20" width="12" style="11" customWidth="1"/>
    <col min="21" max="21" width="8.85546875" style="11" customWidth="1"/>
    <col min="22" max="22" width="9.5703125" style="11" customWidth="1"/>
    <col min="23" max="23" width="10" style="11" customWidth="1"/>
    <col min="24" max="24" width="10.85546875" style="11" customWidth="1"/>
  </cols>
  <sheetData>
    <row r="1" spans="1:24" s="28" customFormat="1" ht="34.5" customHeight="1" thickBot="1" x14ac:dyDescent="0.3">
      <c r="A1" s="23" t="s">
        <v>3</v>
      </c>
      <c r="B1" s="24" t="s">
        <v>6</v>
      </c>
      <c r="C1" s="25" t="s">
        <v>7</v>
      </c>
      <c r="D1" s="29" t="s">
        <v>40</v>
      </c>
      <c r="E1" s="24" t="s">
        <v>32</v>
      </c>
      <c r="F1" s="24" t="s">
        <v>33</v>
      </c>
      <c r="G1" s="24" t="s">
        <v>31</v>
      </c>
      <c r="H1" s="24" t="s">
        <v>34</v>
      </c>
      <c r="I1" s="24" t="s">
        <v>46</v>
      </c>
      <c r="J1" s="24" t="s">
        <v>49</v>
      </c>
      <c r="K1" s="24" t="s">
        <v>62</v>
      </c>
      <c r="L1" s="24" t="s">
        <v>70</v>
      </c>
      <c r="M1" s="24" t="s">
        <v>58</v>
      </c>
      <c r="N1" s="24" t="s">
        <v>61</v>
      </c>
      <c r="O1" s="24" t="s">
        <v>35</v>
      </c>
      <c r="P1" s="24" t="s">
        <v>55</v>
      </c>
      <c r="Q1" s="24" t="s">
        <v>56</v>
      </c>
      <c r="R1" s="24" t="s">
        <v>67</v>
      </c>
      <c r="S1" s="24" t="s">
        <v>68</v>
      </c>
      <c r="T1" s="24" t="s">
        <v>69</v>
      </c>
      <c r="U1" s="26" t="s">
        <v>74</v>
      </c>
      <c r="V1" s="26" t="s">
        <v>75</v>
      </c>
      <c r="W1" s="24" t="s">
        <v>36</v>
      </c>
      <c r="X1" s="27" t="s">
        <v>37</v>
      </c>
    </row>
    <row r="2" spans="1:24" x14ac:dyDescent="0.25">
      <c r="A2" s="22" t="str" cm="1">
        <f t="array" ref="A2:A74">General!A2:A74</f>
        <v>San Jose</v>
      </c>
      <c r="B2" s="11" cm="1">
        <f t="array" ref="B2:C74">General!F2:G74</f>
        <v>3347</v>
      </c>
      <c r="C2" s="5">
        <v>45630</v>
      </c>
      <c r="D2" s="30">
        <f>B2*1/(1-Formula!$B$19)</f>
        <v>3350.3503503503503</v>
      </c>
      <c r="E2" s="11" cm="1">
        <f t="array" ref="E2:X2">_xlfn._xlws.FILTER(Formula!$B$2:$U$12,Formula!$A$2:$A$12=A2,0)*D2</f>
        <v>377.9195195195195</v>
      </c>
      <c r="F2" s="11">
        <v>824.85625625625619</v>
      </c>
      <c r="G2" s="11">
        <v>1237.2843843843843</v>
      </c>
      <c r="H2" s="11">
        <v>68.682182182182189</v>
      </c>
      <c r="I2" s="11">
        <v>687.4918918918919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145.74024024024024</v>
      </c>
      <c r="X2" s="11">
        <v>8.3758758758758756</v>
      </c>
    </row>
    <row r="3" spans="1:24" x14ac:dyDescent="0.25">
      <c r="A3" s="22" t="str">
        <v>Pataz - Tayabamba</v>
      </c>
      <c r="B3" s="11">
        <v>9286</v>
      </c>
      <c r="C3" s="5">
        <v>45642</v>
      </c>
      <c r="D3" s="30">
        <f>B3*1/(1-Formula!$B$19)</f>
        <v>9295.2952952952946</v>
      </c>
      <c r="E3" s="11" cm="1">
        <f t="array" ref="E3:X3">_xlfn._xlws.FILTER(Formula!$B$2:$U$12,Formula!$A$2:$A$12=A3,0)*D3</f>
        <v>802.18398398398392</v>
      </c>
      <c r="F3" s="11">
        <v>2479.0552552552549</v>
      </c>
      <c r="G3" s="11">
        <v>2624.9913913913911</v>
      </c>
      <c r="H3" s="11">
        <v>728.75115115115102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1312.4956956956955</v>
      </c>
      <c r="O3" s="11">
        <v>0</v>
      </c>
      <c r="P3" s="11">
        <v>0</v>
      </c>
      <c r="Q3" s="11">
        <v>1020.6234234234233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309.53333333333336</v>
      </c>
      <c r="X3" s="11">
        <v>17.661061061061059</v>
      </c>
    </row>
    <row r="4" spans="1:24" x14ac:dyDescent="0.25">
      <c r="A4" s="22" t="str">
        <v>Viru</v>
      </c>
      <c r="B4" s="11">
        <v>2810</v>
      </c>
      <c r="C4" s="5">
        <v>45653</v>
      </c>
      <c r="D4" s="30">
        <f>B4*1/(1-Formula!$B$19)</f>
        <v>2812.8128128128128</v>
      </c>
      <c r="E4" s="11" cm="1">
        <f t="array" ref="E4:X4">_xlfn._xlws.FILTER(Formula!$B$2:$U$12,Formula!$A$2:$A$12=A4,0)*D4</f>
        <v>366.22822822822826</v>
      </c>
      <c r="F4" s="11">
        <v>631.1951951951952</v>
      </c>
      <c r="G4" s="11">
        <v>1262.3903903903904</v>
      </c>
      <c r="H4" s="11">
        <v>0</v>
      </c>
      <c r="I4" s="11">
        <v>286.9069069069069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51.755755755755757</v>
      </c>
      <c r="P4" s="11">
        <v>0</v>
      </c>
      <c r="Q4" s="11">
        <v>0</v>
      </c>
      <c r="R4" s="11">
        <v>28.690690690690694</v>
      </c>
      <c r="S4" s="11">
        <v>28.690690690690694</v>
      </c>
      <c r="T4" s="11">
        <v>28.690690690690694</v>
      </c>
      <c r="U4" s="11">
        <v>0</v>
      </c>
      <c r="V4" s="11">
        <v>0</v>
      </c>
      <c r="W4" s="11">
        <v>121.51351351351352</v>
      </c>
      <c r="X4" s="11">
        <v>6.7507507507507505</v>
      </c>
    </row>
    <row r="5" spans="1:24" x14ac:dyDescent="0.25">
      <c r="A5" s="22" t="str">
        <v>Julcán</v>
      </c>
      <c r="B5" s="11">
        <v>2588</v>
      </c>
      <c r="C5" s="5">
        <v>45656</v>
      </c>
      <c r="D5" s="30">
        <f>B5*1/(1-Formula!$B$19)</f>
        <v>2590.5905905905906</v>
      </c>
      <c r="E5" s="11" cm="1">
        <f t="array" ref="E5:X5">_xlfn._xlws.FILTER(Formula!$B$2:$U$12,Formula!$A$2:$A$12=A5,0)*D5</f>
        <v>141.96436436436437</v>
      </c>
      <c r="F5" s="11">
        <v>417.34414414414414</v>
      </c>
      <c r="G5" s="11">
        <v>0</v>
      </c>
      <c r="H5" s="11">
        <v>249.21481481481482</v>
      </c>
      <c r="I5" s="11">
        <v>1670.153753753754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105.95515515515515</v>
      </c>
      <c r="X5" s="11">
        <v>5.9583583583583586</v>
      </c>
    </row>
    <row r="6" spans="1:24" x14ac:dyDescent="0.25">
      <c r="A6" s="22" t="str">
        <v>Olmos</v>
      </c>
      <c r="B6" s="11">
        <v>5252</v>
      </c>
      <c r="C6" s="5">
        <v>45665</v>
      </c>
      <c r="D6" s="30">
        <f>B6*1/(1-Formula!$B$19)</f>
        <v>5257.2572572572572</v>
      </c>
      <c r="E6" s="11" cm="1">
        <f t="array" ref="E6:X6">_xlfn._xlws.FILTER(Formula!$B$2:$U$12,Formula!$A$2:$A$12=A6,0)*D6</f>
        <v>1883.6752752752752</v>
      </c>
      <c r="F6" s="11">
        <v>1569.817017017017</v>
      </c>
      <c r="G6" s="11">
        <v>627.71651651651655</v>
      </c>
      <c r="H6" s="11">
        <v>46.263863863863868</v>
      </c>
      <c r="I6" s="11">
        <v>0</v>
      </c>
      <c r="J6" s="11">
        <v>0</v>
      </c>
      <c r="K6" s="11">
        <v>0</v>
      </c>
      <c r="L6" s="11">
        <v>0</v>
      </c>
      <c r="M6" s="11">
        <v>923.17437437437434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195.56996996996995</v>
      </c>
      <c r="X6" s="11">
        <v>11.040240240240239</v>
      </c>
    </row>
    <row r="7" spans="1:24" x14ac:dyDescent="0.25">
      <c r="A7" s="22" t="str">
        <v>Marcabal</v>
      </c>
      <c r="B7" s="11">
        <v>4061.92</v>
      </c>
      <c r="C7" s="5">
        <v>45671</v>
      </c>
      <c r="D7" s="30">
        <f>B7*1/(1-Formula!$B$19)</f>
        <v>4065.9859859859862</v>
      </c>
      <c r="E7" s="11" cm="1">
        <f t="array" ref="E7:X7">_xlfn._xlws.FILTER(Formula!$B$2:$U$12,Formula!$A$2:$A$12=A7,0)*D7</f>
        <v>467.18178978978983</v>
      </c>
      <c r="F7" s="11">
        <v>0</v>
      </c>
      <c r="G7" s="11">
        <v>2367.6236396396398</v>
      </c>
      <c r="H7" s="11">
        <v>328.53166766766765</v>
      </c>
      <c r="I7" s="11">
        <v>0</v>
      </c>
      <c r="J7" s="11">
        <v>260.62970170170172</v>
      </c>
      <c r="K7" s="11">
        <v>0</v>
      </c>
      <c r="L7" s="11">
        <v>449.69805005005009</v>
      </c>
      <c r="M7" s="11">
        <v>0</v>
      </c>
      <c r="N7" s="11">
        <v>0</v>
      </c>
      <c r="O7" s="11">
        <v>0</v>
      </c>
      <c r="P7" s="11">
        <v>7.7253733733733734</v>
      </c>
      <c r="Q7" s="11">
        <v>7.7253733733733734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167.51862262262264</v>
      </c>
      <c r="X7" s="11">
        <v>9.3517677677677682</v>
      </c>
    </row>
    <row r="8" spans="1:24" x14ac:dyDescent="0.25">
      <c r="A8" s="22" t="str">
        <v>Julcán</v>
      </c>
      <c r="B8" s="11">
        <v>2588</v>
      </c>
      <c r="C8" s="5">
        <v>45673</v>
      </c>
      <c r="D8" s="30">
        <f>B8*1/(1-Formula!$B$19)</f>
        <v>2590.5905905905906</v>
      </c>
      <c r="E8" s="11" cm="1">
        <f t="array" ref="E8:X8">_xlfn._xlws.FILTER(Formula!$B$2:$U$12,Formula!$A$2:$A$12=A8,0)*D8</f>
        <v>141.96436436436437</v>
      </c>
      <c r="F8" s="11">
        <v>417.34414414414414</v>
      </c>
      <c r="G8" s="11">
        <v>0</v>
      </c>
      <c r="H8" s="11">
        <v>249.21481481481482</v>
      </c>
      <c r="I8" s="11">
        <v>1670.153753753754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105.95515515515515</v>
      </c>
      <c r="X8" s="11">
        <v>5.9583583583583586</v>
      </c>
    </row>
    <row r="9" spans="1:24" x14ac:dyDescent="0.25">
      <c r="A9" s="22" t="str">
        <v>Olmos</v>
      </c>
      <c r="B9" s="11">
        <v>5840</v>
      </c>
      <c r="C9" s="5">
        <v>45691</v>
      </c>
      <c r="D9" s="30">
        <f>B9*1/(1-Formula!$B$19)</f>
        <v>5845.8458458458463</v>
      </c>
      <c r="E9" s="11" cm="1">
        <f t="array" ref="E9:X9">_xlfn._xlws.FILTER(Formula!$B$2:$U$12,Formula!$A$2:$A$12=A9,0)*D9</f>
        <v>2094.566566566567</v>
      </c>
      <c r="F9" s="11">
        <v>1745.5695695695695</v>
      </c>
      <c r="G9" s="11">
        <v>697.99399399399408</v>
      </c>
      <c r="H9" s="11">
        <v>51.443443443443449</v>
      </c>
      <c r="I9" s="11">
        <v>0</v>
      </c>
      <c r="J9" s="11">
        <v>0</v>
      </c>
      <c r="K9" s="11">
        <v>0</v>
      </c>
      <c r="L9" s="11">
        <v>0</v>
      </c>
      <c r="M9" s="11">
        <v>1026.5305305305305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217.46546546546546</v>
      </c>
      <c r="X9" s="11">
        <v>12.276276276276276</v>
      </c>
    </row>
    <row r="10" spans="1:24" x14ac:dyDescent="0.25">
      <c r="A10" s="22" t="str">
        <v>San Pedro de Lloc</v>
      </c>
      <c r="B10" s="11">
        <v>4691</v>
      </c>
      <c r="C10" s="5">
        <v>45691</v>
      </c>
      <c r="D10" s="30">
        <f>B10*1/(1-Formula!$B$19)</f>
        <v>4695.6956956956956</v>
      </c>
      <c r="E10" s="11" cm="1">
        <f t="array" ref="E10:X10">_xlfn._xlws.FILTER(Formula!$B$2:$U$12,Formula!$A$2:$A$12=A10,0)*D10</f>
        <v>299.11581581581584</v>
      </c>
      <c r="F10" s="11">
        <v>729.24154154154144</v>
      </c>
      <c r="G10" s="11">
        <v>2734.3036036036037</v>
      </c>
      <c r="H10" s="11">
        <v>72.783283283283282</v>
      </c>
      <c r="I10" s="11">
        <v>547.04854854854852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91.096496496496499</v>
      </c>
      <c r="V10" s="11">
        <v>18.313213213213213</v>
      </c>
      <c r="W10" s="11">
        <v>192.99309309309308</v>
      </c>
      <c r="X10" s="11">
        <v>10.800100100100099</v>
      </c>
    </row>
    <row r="11" spans="1:24" x14ac:dyDescent="0.25">
      <c r="A11" s="22" t="str">
        <v>Marcabal</v>
      </c>
      <c r="B11" s="11">
        <v>4061.92</v>
      </c>
      <c r="C11" s="5">
        <v>45700</v>
      </c>
      <c r="D11" s="30">
        <f>B11*1/(1-Formula!$B$19)</f>
        <v>4065.9859859859862</v>
      </c>
      <c r="E11" s="11" cm="1">
        <f t="array" ref="E11:X11">_xlfn._xlws.FILTER(Formula!$B$2:$U$12,Formula!$A$2:$A$12=A11,0)*D11</f>
        <v>467.18178978978983</v>
      </c>
      <c r="F11" s="11">
        <v>0</v>
      </c>
      <c r="G11" s="11">
        <v>2367.6236396396398</v>
      </c>
      <c r="H11" s="11">
        <v>328.53166766766765</v>
      </c>
      <c r="I11" s="11">
        <v>0</v>
      </c>
      <c r="J11" s="11">
        <v>260.62970170170172</v>
      </c>
      <c r="K11" s="11">
        <v>0</v>
      </c>
      <c r="L11" s="11">
        <v>449.69805005005009</v>
      </c>
      <c r="M11" s="11">
        <v>0</v>
      </c>
      <c r="N11" s="11">
        <v>0</v>
      </c>
      <c r="O11" s="11">
        <v>0</v>
      </c>
      <c r="P11" s="11">
        <v>7.7253733733733734</v>
      </c>
      <c r="Q11" s="11">
        <v>7.7253733733733734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167.51862262262264</v>
      </c>
      <c r="X11" s="11">
        <v>9.3517677677677682</v>
      </c>
    </row>
    <row r="12" spans="1:24" x14ac:dyDescent="0.25">
      <c r="A12" s="22" t="str">
        <v>Julcán</v>
      </c>
      <c r="B12" s="11">
        <v>2600</v>
      </c>
      <c r="C12" s="5">
        <v>45702</v>
      </c>
      <c r="D12" s="30">
        <f>B12*1/(1-Formula!$B$19)</f>
        <v>2602.6026026026025</v>
      </c>
      <c r="E12" s="11" cm="1">
        <f t="array" ref="E12:X12">_xlfn._xlws.FILTER(Formula!$B$2:$U$12,Formula!$A$2:$A$12=A12,0)*D12</f>
        <v>142.62262262262263</v>
      </c>
      <c r="F12" s="11">
        <v>419.27927927927925</v>
      </c>
      <c r="G12" s="11">
        <v>0</v>
      </c>
      <c r="H12" s="11">
        <v>250.37037037037035</v>
      </c>
      <c r="I12" s="11">
        <v>1677.897897897898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106.44644644644644</v>
      </c>
      <c r="X12" s="11">
        <v>5.9859859859859856</v>
      </c>
    </row>
    <row r="13" spans="1:24" x14ac:dyDescent="0.25">
      <c r="A13" s="22" t="str">
        <v>Viru</v>
      </c>
      <c r="B13" s="11">
        <v>3108</v>
      </c>
      <c r="C13" s="5">
        <v>45702</v>
      </c>
      <c r="D13" s="30">
        <f>B13*1/(1-Formula!$B$19)</f>
        <v>3111.1111111111113</v>
      </c>
      <c r="E13" s="11" cm="1">
        <f t="array" ref="E13:X13">_xlfn._xlws.FILTER(Formula!$B$2:$U$12,Formula!$A$2:$A$12=A13,0)*D13</f>
        <v>405.06666666666672</v>
      </c>
      <c r="F13" s="11">
        <v>698.13333333333333</v>
      </c>
      <c r="G13" s="11">
        <v>1396.2666666666667</v>
      </c>
      <c r="H13" s="11">
        <v>0</v>
      </c>
      <c r="I13" s="11">
        <v>317.33333333333331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57.244444444444447</v>
      </c>
      <c r="P13" s="11">
        <v>0</v>
      </c>
      <c r="Q13" s="11">
        <v>0</v>
      </c>
      <c r="R13" s="11">
        <v>31.733333333333338</v>
      </c>
      <c r="S13" s="11">
        <v>31.733333333333338</v>
      </c>
      <c r="T13" s="11">
        <v>31.733333333333338</v>
      </c>
      <c r="U13" s="11">
        <v>0</v>
      </c>
      <c r="V13" s="11">
        <v>0</v>
      </c>
      <c r="W13" s="11">
        <v>134.4</v>
      </c>
      <c r="X13" s="11">
        <v>7.4666666666666668</v>
      </c>
    </row>
    <row r="14" spans="1:24" x14ac:dyDescent="0.25">
      <c r="A14" s="22" t="str">
        <v>Olmos</v>
      </c>
      <c r="B14" s="11">
        <v>5611</v>
      </c>
      <c r="C14" s="5">
        <v>45717</v>
      </c>
      <c r="D14" s="30">
        <f>B14*1/(1-Formula!$B$19)</f>
        <v>5616.6166166166167</v>
      </c>
      <c r="E14" s="11" cm="1">
        <f t="array" ref="E14:X14">_xlfn._xlws.FILTER(Formula!$B$2:$U$12,Formula!$A$2:$A$12=A14,0)*D14</f>
        <v>2012.4337337337338</v>
      </c>
      <c r="F14" s="11">
        <v>1677.1217217217215</v>
      </c>
      <c r="G14" s="11">
        <v>670.62402402402404</v>
      </c>
      <c r="H14" s="11">
        <v>49.426226226226227</v>
      </c>
      <c r="I14" s="11">
        <v>0</v>
      </c>
      <c r="J14" s="11">
        <v>0</v>
      </c>
      <c r="K14" s="11">
        <v>0</v>
      </c>
      <c r="L14" s="11">
        <v>0</v>
      </c>
      <c r="M14" s="11">
        <v>986.27787787787793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208.93813813813813</v>
      </c>
      <c r="X14" s="11">
        <v>11.794894894894895</v>
      </c>
    </row>
    <row r="15" spans="1:24" x14ac:dyDescent="0.25">
      <c r="A15" s="22" t="str">
        <v>Chongoyape</v>
      </c>
      <c r="B15" s="11">
        <v>2626</v>
      </c>
      <c r="C15" s="5">
        <v>45727</v>
      </c>
      <c r="D15" s="30">
        <f>B15*1/(1-Formula!$B$19)</f>
        <v>2628.6286286286286</v>
      </c>
      <c r="E15" s="11" cm="1">
        <f t="array" ref="E15:X15">_xlfn._xlws.FILTER(Formula!$B$2:$U$12,Formula!$A$2:$A$12=A15,0)*D15</f>
        <v>162.7121121121121</v>
      </c>
      <c r="F15" s="11">
        <v>412.43183183183186</v>
      </c>
      <c r="G15" s="11">
        <v>1340.0748748748749</v>
      </c>
      <c r="H15" s="11">
        <v>134.06006006006004</v>
      </c>
      <c r="I15" s="11">
        <v>257.6056056056056</v>
      </c>
      <c r="J15" s="11">
        <v>206.08448448448448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109.35095095095095</v>
      </c>
      <c r="X15" s="11">
        <v>6.3087087087087079</v>
      </c>
    </row>
    <row r="16" spans="1:24" x14ac:dyDescent="0.25">
      <c r="A16" s="22" t="str">
        <v>Marcabal</v>
      </c>
      <c r="B16" s="11">
        <v>4061.92</v>
      </c>
      <c r="C16" s="5">
        <v>45728</v>
      </c>
      <c r="D16" s="30">
        <f>B16*1/(1-Formula!$B$19)</f>
        <v>4065.9859859859862</v>
      </c>
      <c r="E16" s="11" cm="1">
        <f t="array" ref="E16:X16">_xlfn._xlws.FILTER(Formula!$B$2:$U$12,Formula!$A$2:$A$12=A16,0)*D16</f>
        <v>467.18178978978983</v>
      </c>
      <c r="F16" s="11">
        <v>0</v>
      </c>
      <c r="G16" s="11">
        <v>2367.6236396396398</v>
      </c>
      <c r="H16" s="11">
        <v>328.53166766766765</v>
      </c>
      <c r="I16" s="11">
        <v>0</v>
      </c>
      <c r="J16" s="11">
        <v>260.62970170170172</v>
      </c>
      <c r="K16" s="11">
        <v>0</v>
      </c>
      <c r="L16" s="11">
        <v>449.69805005005009</v>
      </c>
      <c r="M16" s="11">
        <v>0</v>
      </c>
      <c r="N16" s="11">
        <v>0</v>
      </c>
      <c r="O16" s="11">
        <v>0</v>
      </c>
      <c r="P16" s="11">
        <v>7.7253733733733734</v>
      </c>
      <c r="Q16" s="11">
        <v>7.7253733733733734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167.51862262262264</v>
      </c>
      <c r="X16" s="11">
        <v>9.3517677677677682</v>
      </c>
    </row>
    <row r="17" spans="1:24" x14ac:dyDescent="0.25">
      <c r="A17" s="22" t="str">
        <v>Julcán</v>
      </c>
      <c r="B17" s="11">
        <v>2588</v>
      </c>
      <c r="C17" s="5">
        <v>45733</v>
      </c>
      <c r="D17" s="30">
        <f>B17*1/(1-Formula!$B$19)</f>
        <v>2590.5905905905906</v>
      </c>
      <c r="E17" s="11" cm="1">
        <f t="array" ref="E17:X17">_xlfn._xlws.FILTER(Formula!$B$2:$U$12,Formula!$A$2:$A$12=A17,0)*D17</f>
        <v>141.96436436436437</v>
      </c>
      <c r="F17" s="11">
        <v>417.34414414414414</v>
      </c>
      <c r="G17" s="11">
        <v>0</v>
      </c>
      <c r="H17" s="11">
        <v>249.21481481481482</v>
      </c>
      <c r="I17" s="11">
        <v>1670.153753753754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105.95515515515515</v>
      </c>
      <c r="X17" s="11">
        <v>5.9583583583583586</v>
      </c>
    </row>
    <row r="18" spans="1:24" x14ac:dyDescent="0.25">
      <c r="A18" s="22" t="str">
        <v>San Jose</v>
      </c>
      <c r="B18" s="11">
        <v>4570</v>
      </c>
      <c r="C18" s="5">
        <v>45733</v>
      </c>
      <c r="D18" s="30">
        <f>B18*1/(1-Formula!$B$19)</f>
        <v>4574.5745745745744</v>
      </c>
      <c r="E18" s="11" cm="1">
        <f t="array" ref="E18:X18">_xlfn._xlws.FILTER(Formula!$B$2:$U$12,Formula!$A$2:$A$12=A18,0)*D18</f>
        <v>516.01201201201195</v>
      </c>
      <c r="F18" s="11">
        <v>1126.2602602602603</v>
      </c>
      <c r="G18" s="11">
        <v>1689.3903903903904</v>
      </c>
      <c r="H18" s="11">
        <v>93.778778778778772</v>
      </c>
      <c r="I18" s="11">
        <v>938.7027027027026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198.99399399399397</v>
      </c>
      <c r="X18" s="11">
        <v>11.436436436436436</v>
      </c>
    </row>
    <row r="19" spans="1:24" x14ac:dyDescent="0.25">
      <c r="A19" s="22" t="str">
        <v>San Pedro de Lloc</v>
      </c>
      <c r="B19" s="11">
        <v>4742</v>
      </c>
      <c r="C19" s="5">
        <v>45733</v>
      </c>
      <c r="D19" s="30">
        <f>B19*1/(1-Formula!$B$19)</f>
        <v>4746.7467467467468</v>
      </c>
      <c r="E19" s="11" cm="1">
        <f t="array" ref="E19:X19">_xlfn._xlws.FILTER(Formula!$B$2:$U$12,Formula!$A$2:$A$12=A19,0)*D19</f>
        <v>302.36776776776782</v>
      </c>
      <c r="F19" s="11">
        <v>737.1697697697698</v>
      </c>
      <c r="G19" s="11">
        <v>2764.0306306306306</v>
      </c>
      <c r="H19" s="11">
        <v>73.574574574574569</v>
      </c>
      <c r="I19" s="11">
        <v>552.99599599599605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92.086886886886887</v>
      </c>
      <c r="V19" s="11">
        <v>18.512312312312311</v>
      </c>
      <c r="W19" s="11">
        <v>195.09129129129127</v>
      </c>
      <c r="X19" s="11">
        <v>10.917517517517517</v>
      </c>
    </row>
    <row r="20" spans="1:24" x14ac:dyDescent="0.25">
      <c r="A20" s="22" t="str">
        <v>Viru</v>
      </c>
      <c r="B20" s="11">
        <v>3006</v>
      </c>
      <c r="C20" s="5">
        <v>45733</v>
      </c>
      <c r="D20" s="30">
        <f>B20*1/(1-Formula!$B$19)</f>
        <v>3009.0090090090089</v>
      </c>
      <c r="E20" s="11" cm="1">
        <f t="array" ref="E20:X20">_xlfn._xlws.FILTER(Formula!$B$2:$U$12,Formula!$A$2:$A$12=A20,0)*D20</f>
        <v>391.77297297297298</v>
      </c>
      <c r="F20" s="11">
        <v>675.22162162162158</v>
      </c>
      <c r="G20" s="11">
        <v>1350.4432432432432</v>
      </c>
      <c r="H20" s="11">
        <v>0</v>
      </c>
      <c r="I20" s="11">
        <v>306.91891891891891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55.365765765765765</v>
      </c>
      <c r="P20" s="11">
        <v>0</v>
      </c>
      <c r="Q20" s="11">
        <v>0</v>
      </c>
      <c r="R20" s="11">
        <v>30.691891891891892</v>
      </c>
      <c r="S20" s="11">
        <v>30.691891891891892</v>
      </c>
      <c r="T20" s="11">
        <v>30.691891891891892</v>
      </c>
      <c r="U20" s="11">
        <v>0</v>
      </c>
      <c r="V20" s="11">
        <v>0</v>
      </c>
      <c r="W20" s="11">
        <v>129.9891891891892</v>
      </c>
      <c r="X20" s="11">
        <v>7.2216216216216207</v>
      </c>
    </row>
    <row r="21" spans="1:24" x14ac:dyDescent="0.25">
      <c r="A21" s="22" t="str">
        <v>Pataz - Tayabamba</v>
      </c>
      <c r="B21" s="11">
        <v>9268</v>
      </c>
      <c r="C21" s="5">
        <v>45739</v>
      </c>
      <c r="D21" s="30">
        <f>B21*1/(1-Formula!$B$19)</f>
        <v>9277.2772772772769</v>
      </c>
      <c r="E21" s="11" cm="1">
        <f t="array" ref="E21:X21">_xlfn._xlws.FILTER(Formula!$B$2:$U$12,Formula!$A$2:$A$12=A21,0)*D21</f>
        <v>800.62902902902897</v>
      </c>
      <c r="F21" s="11">
        <v>2474.2498498498499</v>
      </c>
      <c r="G21" s="11">
        <v>2619.9031031031027</v>
      </c>
      <c r="H21" s="11">
        <v>727.3385385385385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1309.9515515515513</v>
      </c>
      <c r="O21" s="11">
        <v>0</v>
      </c>
      <c r="P21" s="11">
        <v>0</v>
      </c>
      <c r="Q21" s="11">
        <v>1018.645045045045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308.93333333333334</v>
      </c>
      <c r="X21" s="11">
        <v>17.626826826826825</v>
      </c>
    </row>
    <row r="22" spans="1:24" x14ac:dyDescent="0.25">
      <c r="A22" s="22" t="str">
        <v>Chiclayo</v>
      </c>
      <c r="B22" s="11">
        <v>30058</v>
      </c>
      <c r="C22" s="5">
        <v>45751</v>
      </c>
      <c r="D22" s="30">
        <f>B22*1/(1-Formula!$B$19)</f>
        <v>30088.088088088087</v>
      </c>
      <c r="E22" s="11" cm="1">
        <f t="array" ref="E22:X22">_xlfn._xlws.FILTER(Formula!$B$2:$U$12,Formula!$A$2:$A$12=A22,0)*D22</f>
        <v>8494.1681481481482</v>
      </c>
      <c r="F22" s="11">
        <v>11809.574574574575</v>
      </c>
      <c r="G22" s="11">
        <v>0</v>
      </c>
      <c r="H22" s="11">
        <v>0</v>
      </c>
      <c r="I22" s="11">
        <v>0</v>
      </c>
      <c r="J22" s="11">
        <v>0</v>
      </c>
      <c r="K22" s="11">
        <v>8494.1681481481482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1221.5763763763762</v>
      </c>
      <c r="X22" s="11">
        <v>68.901721721721714</v>
      </c>
    </row>
    <row r="23" spans="1:24" x14ac:dyDescent="0.25">
      <c r="A23" s="22" t="str">
        <v>Olmos</v>
      </c>
      <c r="B23" s="11">
        <v>5840</v>
      </c>
      <c r="C23" s="5">
        <v>45751</v>
      </c>
      <c r="D23" s="30">
        <f>B23*1/(1-Formula!$B$19)</f>
        <v>5845.8458458458463</v>
      </c>
      <c r="E23" s="11" cm="1">
        <f t="array" ref="E23:X23">_xlfn._xlws.FILTER(Formula!$B$2:$U$12,Formula!$A$2:$A$12=A23,0)*D23</f>
        <v>2094.566566566567</v>
      </c>
      <c r="F23" s="11">
        <v>1745.5695695695695</v>
      </c>
      <c r="G23" s="11">
        <v>697.99399399399408</v>
      </c>
      <c r="H23" s="11">
        <v>51.443443443443449</v>
      </c>
      <c r="I23" s="11">
        <v>0</v>
      </c>
      <c r="J23" s="11">
        <v>0</v>
      </c>
      <c r="K23" s="11">
        <v>0</v>
      </c>
      <c r="L23" s="11">
        <v>0</v>
      </c>
      <c r="M23" s="11">
        <v>1026.5305305305305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217.46546546546546</v>
      </c>
      <c r="X23" s="11">
        <v>12.276276276276276</v>
      </c>
    </row>
    <row r="24" spans="1:24" x14ac:dyDescent="0.25">
      <c r="A24" s="22" t="str">
        <v>Marcabal</v>
      </c>
      <c r="B24" s="11">
        <v>4061.92</v>
      </c>
      <c r="C24" s="5">
        <v>45756</v>
      </c>
      <c r="D24" s="30">
        <f>B24*1/(1-Formula!$B$19)</f>
        <v>4065.9859859859862</v>
      </c>
      <c r="E24" s="11" cm="1">
        <f t="array" ref="E24:X24">_xlfn._xlws.FILTER(Formula!$B$2:$U$12,Formula!$A$2:$A$12=A24,0)*D24</f>
        <v>467.18178978978983</v>
      </c>
      <c r="F24" s="11">
        <v>0</v>
      </c>
      <c r="G24" s="11">
        <v>2367.6236396396398</v>
      </c>
      <c r="H24" s="11">
        <v>328.53166766766765</v>
      </c>
      <c r="I24" s="11">
        <v>0</v>
      </c>
      <c r="J24" s="11">
        <v>260.62970170170172</v>
      </c>
      <c r="K24" s="11">
        <v>0</v>
      </c>
      <c r="L24" s="11">
        <v>449.69805005005009</v>
      </c>
      <c r="M24" s="11">
        <v>0</v>
      </c>
      <c r="N24" s="11">
        <v>0</v>
      </c>
      <c r="O24" s="11">
        <v>0</v>
      </c>
      <c r="P24" s="11">
        <v>7.7253733733733734</v>
      </c>
      <c r="Q24" s="11">
        <v>7.7253733733733734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167.51862262262264</v>
      </c>
      <c r="X24" s="11">
        <v>9.3517677677677682</v>
      </c>
    </row>
    <row r="25" spans="1:24" x14ac:dyDescent="0.25">
      <c r="A25" s="22" t="str">
        <v>Cajamarca</v>
      </c>
      <c r="B25" s="11">
        <v>10671.72</v>
      </c>
      <c r="C25" s="5">
        <v>45763</v>
      </c>
      <c r="D25" s="30">
        <f>B25*1/(1-Formula!$B$19)</f>
        <v>10682.402402402402</v>
      </c>
      <c r="E25" s="11" cm="1">
        <f t="array" ref="E25:X25">_xlfn._xlws.FILTER(Formula!$B$2:$U$12,Formula!$A$2:$A$12=A25,0)*D25</f>
        <v>3706.7936336336334</v>
      </c>
      <c r="F25" s="11">
        <v>2002.9504504504503</v>
      </c>
      <c r="G25" s="11">
        <v>4005.9009009009005</v>
      </c>
      <c r="H25" s="11">
        <v>400.59009009009009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267.06006006006004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283.08366366366363</v>
      </c>
      <c r="X25" s="11">
        <v>16.023603603603604</v>
      </c>
    </row>
    <row r="26" spans="1:24" x14ac:dyDescent="0.25">
      <c r="A26" s="22" t="str">
        <v>Cajamarca</v>
      </c>
      <c r="B26" s="11">
        <v>11433.6</v>
      </c>
      <c r="C26" s="5">
        <v>45763</v>
      </c>
      <c r="D26" s="30">
        <f>B26*1/(1-Formula!$B$19)</f>
        <v>11445.045045045046</v>
      </c>
      <c r="E26" s="11" cm="1">
        <f t="array" ref="E26:X26">_xlfn._xlws.FILTER(Formula!$B$2:$U$12,Formula!$A$2:$A$12=A26,0)*D26</f>
        <v>3971.4306306306307</v>
      </c>
      <c r="F26" s="11">
        <v>2145.9459459459463</v>
      </c>
      <c r="G26" s="11">
        <v>4291.8918918918926</v>
      </c>
      <c r="H26" s="11">
        <v>429.18918918918922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286.12612612612617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303.29369369369374</v>
      </c>
      <c r="X26" s="11">
        <v>17.16756756756757</v>
      </c>
    </row>
    <row r="27" spans="1:24" x14ac:dyDescent="0.25">
      <c r="A27" s="22" t="str">
        <v>Cajamarca</v>
      </c>
      <c r="B27" s="11">
        <v>23470.720000000001</v>
      </c>
      <c r="C27" s="5">
        <v>45763</v>
      </c>
      <c r="D27" s="30">
        <f>B27*1/(1-Formula!$B$19)</f>
        <v>23494.214214214215</v>
      </c>
      <c r="E27" s="11" cm="1">
        <f t="array" ref="E27:X27">_xlfn._xlws.FILTER(Formula!$B$2:$U$12,Formula!$A$2:$A$12=A27,0)*D27</f>
        <v>8152.4923323323319</v>
      </c>
      <c r="F27" s="11">
        <v>4405.1651651651655</v>
      </c>
      <c r="G27" s="11">
        <v>8810.330330330331</v>
      </c>
      <c r="H27" s="11">
        <v>881.03303303303301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587.35535535535541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622.59667667667668</v>
      </c>
      <c r="X27" s="11">
        <v>35.241321321321323</v>
      </c>
    </row>
    <row r="28" spans="1:24" x14ac:dyDescent="0.25">
      <c r="A28" s="22" t="str">
        <v>Julcán</v>
      </c>
      <c r="B28" s="11">
        <v>2588</v>
      </c>
      <c r="C28" s="5">
        <v>45763</v>
      </c>
      <c r="D28" s="30">
        <f>B28*1/(1-Formula!$B$19)</f>
        <v>2590.5905905905906</v>
      </c>
      <c r="E28" s="11" cm="1">
        <f t="array" ref="E28:X28">_xlfn._xlws.FILTER(Formula!$B$2:$U$12,Formula!$A$2:$A$12=A28,0)*D28</f>
        <v>141.96436436436437</v>
      </c>
      <c r="F28" s="11">
        <v>417.34414414414414</v>
      </c>
      <c r="G28" s="11">
        <v>0</v>
      </c>
      <c r="H28" s="11">
        <v>249.21481481481482</v>
      </c>
      <c r="I28" s="11">
        <v>1670.153753753754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105.95515515515515</v>
      </c>
      <c r="X28" s="11">
        <v>5.9583583583583586</v>
      </c>
    </row>
    <row r="29" spans="1:24" x14ac:dyDescent="0.25">
      <c r="A29" s="22" t="str">
        <v>Viru</v>
      </c>
      <c r="B29" s="11">
        <v>3104</v>
      </c>
      <c r="C29" s="5">
        <v>45763</v>
      </c>
      <c r="D29" s="30">
        <f>B29*1/(1-Formula!$B$19)</f>
        <v>3107.1071071071069</v>
      </c>
      <c r="E29" s="11" cm="1">
        <f t="array" ref="E29:X29">_xlfn._xlws.FILTER(Formula!$B$2:$U$12,Formula!$A$2:$A$12=A29,0)*D29</f>
        <v>404.54534534534537</v>
      </c>
      <c r="F29" s="11">
        <v>697.23483483483471</v>
      </c>
      <c r="G29" s="11">
        <v>1394.4696696696694</v>
      </c>
      <c r="H29" s="11">
        <v>0</v>
      </c>
      <c r="I29" s="11">
        <v>316.92492492492488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57.170770770770766</v>
      </c>
      <c r="P29" s="11">
        <v>0</v>
      </c>
      <c r="Q29" s="11">
        <v>0</v>
      </c>
      <c r="R29" s="11">
        <v>31.692492492492494</v>
      </c>
      <c r="S29" s="11">
        <v>31.692492492492494</v>
      </c>
      <c r="T29" s="11">
        <v>31.692492492492494</v>
      </c>
      <c r="U29" s="11">
        <v>0</v>
      </c>
      <c r="V29" s="11">
        <v>0</v>
      </c>
      <c r="W29" s="11">
        <v>134.22702702702702</v>
      </c>
      <c r="X29" s="11">
        <v>7.4570570570570558</v>
      </c>
    </row>
    <row r="30" spans="1:24" x14ac:dyDescent="0.25">
      <c r="A30" s="22" t="str">
        <v>Chongoyape</v>
      </c>
      <c r="B30" s="11">
        <v>1771</v>
      </c>
      <c r="C30" s="5">
        <v>45764</v>
      </c>
      <c r="D30" s="30">
        <f>B30*1/(1-Formula!$B$19)</f>
        <v>1772.7727727727727</v>
      </c>
      <c r="E30" s="11" cm="1">
        <f t="array" ref="E30:X30">_xlfn._xlws.FILTER(Formula!$B$2:$U$12,Formula!$A$2:$A$12=A30,0)*D30</f>
        <v>109.73463463463462</v>
      </c>
      <c r="F30" s="11">
        <v>278.14804804804805</v>
      </c>
      <c r="G30" s="11">
        <v>903.75955955955953</v>
      </c>
      <c r="H30" s="11">
        <v>90.411411411411407</v>
      </c>
      <c r="I30" s="11">
        <v>173.73173173173174</v>
      </c>
      <c r="J30" s="11">
        <v>138.98538538538537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73.747347347347343</v>
      </c>
      <c r="X30" s="11">
        <v>4.2546546546546544</v>
      </c>
    </row>
    <row r="31" spans="1:24" x14ac:dyDescent="0.25">
      <c r="A31" s="22" t="str">
        <v>Olmos</v>
      </c>
      <c r="B31" s="11">
        <v>5611</v>
      </c>
      <c r="C31" s="5">
        <v>45779</v>
      </c>
      <c r="D31" s="30">
        <f>B31*1/(1-Formula!$B$19)</f>
        <v>5616.6166166166167</v>
      </c>
      <c r="E31" s="11" cm="1">
        <f t="array" ref="E31:X31">_xlfn._xlws.FILTER(Formula!$B$2:$U$12,Formula!$A$2:$A$12=A31,0)*D31</f>
        <v>2012.4337337337338</v>
      </c>
      <c r="F31" s="11">
        <v>1677.1217217217215</v>
      </c>
      <c r="G31" s="11">
        <v>670.62402402402404</v>
      </c>
      <c r="H31" s="11">
        <v>49.426226226226227</v>
      </c>
      <c r="I31" s="11">
        <v>0</v>
      </c>
      <c r="J31" s="11">
        <v>0</v>
      </c>
      <c r="K31" s="11">
        <v>0</v>
      </c>
      <c r="L31" s="11">
        <v>0</v>
      </c>
      <c r="M31" s="11">
        <v>986.27787787787793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208.93813813813813</v>
      </c>
      <c r="X31" s="11">
        <v>11.794894894894895</v>
      </c>
    </row>
    <row r="32" spans="1:24" x14ac:dyDescent="0.25">
      <c r="A32" s="22" t="str">
        <v>Cajamarca</v>
      </c>
      <c r="B32" s="11">
        <v>11448</v>
      </c>
      <c r="C32" s="5">
        <v>45782</v>
      </c>
      <c r="D32" s="30">
        <f>B32*1/(1-Formula!$B$19)</f>
        <v>11459.45945945946</v>
      </c>
      <c r="E32" s="11" cm="1">
        <f t="array" ref="E32:X32">_xlfn._xlws.FILTER(Formula!$B$2:$U$12,Formula!$A$2:$A$12=A32,0)*D32</f>
        <v>3976.4324324324325</v>
      </c>
      <c r="F32" s="11">
        <v>2148.6486486486488</v>
      </c>
      <c r="G32" s="11">
        <v>4297.2972972972975</v>
      </c>
      <c r="H32" s="11">
        <v>429.72972972972974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286.48648648648651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303.67567567567568</v>
      </c>
      <c r="X32" s="11">
        <v>17.189189189189189</v>
      </c>
    </row>
    <row r="33" spans="1:24" x14ac:dyDescent="0.25">
      <c r="A33" s="22" t="str">
        <v>Cajamarca</v>
      </c>
      <c r="B33" s="11">
        <v>11829.6</v>
      </c>
      <c r="C33" s="5">
        <v>45782</v>
      </c>
      <c r="D33" s="30">
        <f>B33*1/(1-Formula!$B$19)</f>
        <v>11841.441441441442</v>
      </c>
      <c r="E33" s="11" cm="1">
        <f t="array" ref="E33:X33">_xlfn._xlws.FILTER(Formula!$B$2:$U$12,Formula!$A$2:$A$12=A33,0)*D33</f>
        <v>4108.9801801801805</v>
      </c>
      <c r="F33" s="11">
        <v>2220.2702702702704</v>
      </c>
      <c r="G33" s="11">
        <v>4440.5405405405409</v>
      </c>
      <c r="H33" s="11">
        <v>444.05405405405406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296.03603603603608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313.79819819819824</v>
      </c>
      <c r="X33" s="11">
        <v>17.762162162162163</v>
      </c>
    </row>
    <row r="34" spans="1:24" x14ac:dyDescent="0.25">
      <c r="A34" s="22" t="str">
        <v>Marcabal</v>
      </c>
      <c r="B34" s="11">
        <v>4061.92</v>
      </c>
      <c r="C34" s="5">
        <v>45786</v>
      </c>
      <c r="D34" s="30">
        <f>B34*1/(1-Formula!$B$19)</f>
        <v>4065.9859859859862</v>
      </c>
      <c r="E34" s="11" cm="1">
        <f t="array" ref="E34:X34">_xlfn._xlws.FILTER(Formula!$B$2:$U$12,Formula!$A$2:$A$12=A34,0)*D34</f>
        <v>467.18178978978983</v>
      </c>
      <c r="F34" s="11">
        <v>0</v>
      </c>
      <c r="G34" s="11">
        <v>2367.6236396396398</v>
      </c>
      <c r="H34" s="11">
        <v>328.53166766766765</v>
      </c>
      <c r="I34" s="11">
        <v>0</v>
      </c>
      <c r="J34" s="11">
        <v>260.62970170170172</v>
      </c>
      <c r="K34" s="11">
        <v>0</v>
      </c>
      <c r="L34" s="11">
        <v>449.69805005005009</v>
      </c>
      <c r="M34" s="11">
        <v>0</v>
      </c>
      <c r="N34" s="11">
        <v>0</v>
      </c>
      <c r="O34" s="11">
        <v>0</v>
      </c>
      <c r="P34" s="11">
        <v>7.7253733733733734</v>
      </c>
      <c r="Q34" s="11">
        <v>7.7253733733733734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167.51862262262264</v>
      </c>
      <c r="X34" s="11">
        <v>9.3517677677677682</v>
      </c>
    </row>
    <row r="35" spans="1:24" x14ac:dyDescent="0.25">
      <c r="A35" s="22" t="str">
        <v>Chongoyape</v>
      </c>
      <c r="B35" s="11">
        <v>1771</v>
      </c>
      <c r="C35" s="5">
        <v>45793</v>
      </c>
      <c r="D35" s="30">
        <f>B35*1/(1-Formula!$B$19)</f>
        <v>1772.7727727727727</v>
      </c>
      <c r="E35" s="11" cm="1">
        <f t="array" ref="E35:X35">_xlfn._xlws.FILTER(Formula!$B$2:$U$12,Formula!$A$2:$A$12=A35,0)*D35</f>
        <v>109.73463463463462</v>
      </c>
      <c r="F35" s="11">
        <v>278.14804804804805</v>
      </c>
      <c r="G35" s="11">
        <v>903.75955955955953</v>
      </c>
      <c r="H35" s="11">
        <v>90.411411411411407</v>
      </c>
      <c r="I35" s="11">
        <v>173.73173173173174</v>
      </c>
      <c r="J35" s="11">
        <v>138.98538538538537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73.747347347347343</v>
      </c>
      <c r="X35" s="11">
        <v>4.2546546546546544</v>
      </c>
    </row>
    <row r="36" spans="1:24" x14ac:dyDescent="0.25">
      <c r="A36" s="22" t="str">
        <v>Viru</v>
      </c>
      <c r="B36" s="11">
        <v>3006</v>
      </c>
      <c r="C36" s="5">
        <v>45793</v>
      </c>
      <c r="D36" s="30">
        <f>B36*1/(1-Formula!$B$19)</f>
        <v>3009.0090090090089</v>
      </c>
      <c r="E36" s="11" cm="1">
        <f t="array" ref="E36:X36">_xlfn._xlws.FILTER(Formula!$B$2:$U$12,Formula!$A$2:$A$12=A36,0)*D36</f>
        <v>391.77297297297298</v>
      </c>
      <c r="F36" s="11">
        <v>675.22162162162158</v>
      </c>
      <c r="G36" s="11">
        <v>1350.4432432432432</v>
      </c>
      <c r="H36" s="11">
        <v>0</v>
      </c>
      <c r="I36" s="11">
        <v>306.91891891891891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55.365765765765765</v>
      </c>
      <c r="P36" s="11">
        <v>0</v>
      </c>
      <c r="Q36" s="11">
        <v>0</v>
      </c>
      <c r="R36" s="11">
        <v>30.691891891891892</v>
      </c>
      <c r="S36" s="11">
        <v>30.691891891891892</v>
      </c>
      <c r="T36" s="11">
        <v>30.691891891891892</v>
      </c>
      <c r="U36" s="11">
        <v>0</v>
      </c>
      <c r="V36" s="11">
        <v>0</v>
      </c>
      <c r="W36" s="11">
        <v>129.9891891891892</v>
      </c>
      <c r="X36" s="11">
        <v>7.2216216216216207</v>
      </c>
    </row>
    <row r="37" spans="1:24" x14ac:dyDescent="0.25">
      <c r="A37" s="22" t="str">
        <v>Julcán</v>
      </c>
      <c r="B37" s="11">
        <v>2588</v>
      </c>
      <c r="C37" s="5">
        <v>45796</v>
      </c>
      <c r="D37" s="30">
        <f>B37*1/(1-Formula!$B$19)</f>
        <v>2590.5905905905906</v>
      </c>
      <c r="E37" s="11" cm="1">
        <f t="array" ref="E37:X37">_xlfn._xlws.FILTER(Formula!$B$2:$U$12,Formula!$A$2:$A$12=A37,0)*D37</f>
        <v>141.96436436436437</v>
      </c>
      <c r="F37" s="11">
        <v>417.34414414414414</v>
      </c>
      <c r="G37" s="11">
        <v>0</v>
      </c>
      <c r="H37" s="11">
        <v>249.21481481481482</v>
      </c>
      <c r="I37" s="11">
        <v>1670.153753753754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105.95515515515515</v>
      </c>
      <c r="X37" s="11">
        <v>5.9583583583583586</v>
      </c>
    </row>
    <row r="38" spans="1:24" x14ac:dyDescent="0.25">
      <c r="A38" s="22" t="str">
        <v>Cajatambo</v>
      </c>
      <c r="B38" s="11">
        <v>2686</v>
      </c>
      <c r="C38" s="5">
        <v>45800</v>
      </c>
      <c r="D38" s="30">
        <f>B38*1/(1-Formula!$B$19)</f>
        <v>2688.6886886886887</v>
      </c>
      <c r="E38" s="11" cm="1">
        <f t="array" ref="E38:X38">_xlfn._xlws.FILTER(Formula!$B$2:$U$12,Formula!$A$2:$A$12=A38,0)*D38</f>
        <v>1882.082082082082</v>
      </c>
      <c r="F38" s="11">
        <v>806.60660660660653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</row>
    <row r="39" spans="1:24" x14ac:dyDescent="0.25">
      <c r="A39" s="22" t="str">
        <v>Olmos</v>
      </c>
      <c r="B39" s="11">
        <v>5840</v>
      </c>
      <c r="C39" s="5">
        <v>45810</v>
      </c>
      <c r="D39" s="30">
        <f>B39*1/(1-Formula!$B$19)</f>
        <v>5845.8458458458463</v>
      </c>
      <c r="E39" s="11" cm="1">
        <f t="array" ref="E39:X39">_xlfn._xlws.FILTER(Formula!$B$2:$U$12,Formula!$A$2:$A$12=A39,0)*D39</f>
        <v>2094.566566566567</v>
      </c>
      <c r="F39" s="11">
        <v>1745.5695695695695</v>
      </c>
      <c r="G39" s="11">
        <v>697.99399399399408</v>
      </c>
      <c r="H39" s="11">
        <v>51.443443443443449</v>
      </c>
      <c r="I39" s="11">
        <v>0</v>
      </c>
      <c r="J39" s="11">
        <v>0</v>
      </c>
      <c r="K39" s="11">
        <v>0</v>
      </c>
      <c r="L39" s="11">
        <v>0</v>
      </c>
      <c r="M39" s="11">
        <v>1026.5305305305305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217.46546546546546</v>
      </c>
      <c r="X39" s="11">
        <v>12.276276276276276</v>
      </c>
    </row>
    <row r="40" spans="1:24" x14ac:dyDescent="0.25">
      <c r="A40" s="22" t="str">
        <v>Marcabal</v>
      </c>
      <c r="B40" s="11">
        <v>4061.92</v>
      </c>
      <c r="C40" s="5">
        <v>45817</v>
      </c>
      <c r="D40" s="30">
        <f>B40*1/(1-Formula!$B$19)</f>
        <v>4065.9859859859862</v>
      </c>
      <c r="E40" s="11" cm="1">
        <f t="array" ref="E40:X40">_xlfn._xlws.FILTER(Formula!$B$2:$U$12,Formula!$A$2:$A$12=A40,0)*D40</f>
        <v>467.18178978978983</v>
      </c>
      <c r="F40" s="11">
        <v>0</v>
      </c>
      <c r="G40" s="11">
        <v>2367.6236396396398</v>
      </c>
      <c r="H40" s="11">
        <v>328.53166766766765</v>
      </c>
      <c r="I40" s="11">
        <v>0</v>
      </c>
      <c r="J40" s="11">
        <v>260.62970170170172</v>
      </c>
      <c r="K40" s="11">
        <v>0</v>
      </c>
      <c r="L40" s="11">
        <v>449.69805005005009</v>
      </c>
      <c r="M40" s="11">
        <v>0</v>
      </c>
      <c r="N40" s="11">
        <v>0</v>
      </c>
      <c r="O40" s="11">
        <v>0</v>
      </c>
      <c r="P40" s="11">
        <v>7.7253733733733734</v>
      </c>
      <c r="Q40" s="11">
        <v>7.7253733733733734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167.51862262262264</v>
      </c>
      <c r="X40" s="11">
        <v>9.3517677677677682</v>
      </c>
    </row>
    <row r="41" spans="1:24" x14ac:dyDescent="0.25">
      <c r="A41" s="22" t="str">
        <v>Viru</v>
      </c>
      <c r="B41" s="11">
        <v>3104</v>
      </c>
      <c r="C41" s="5">
        <v>45821</v>
      </c>
      <c r="D41" s="30">
        <f>B41*1/(1-Formula!$B$19)</f>
        <v>3107.1071071071069</v>
      </c>
      <c r="E41" s="11" cm="1">
        <f t="array" ref="E41:X41">_xlfn._xlws.FILTER(Formula!$B$2:$U$12,Formula!$A$2:$A$12=A41,0)*D41</f>
        <v>404.54534534534537</v>
      </c>
      <c r="F41" s="11">
        <v>697.23483483483471</v>
      </c>
      <c r="G41" s="11">
        <v>1394.4696696696694</v>
      </c>
      <c r="H41" s="11">
        <v>0</v>
      </c>
      <c r="I41" s="11">
        <v>316.92492492492488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57.170770770770766</v>
      </c>
      <c r="P41" s="11">
        <v>0</v>
      </c>
      <c r="Q41" s="11">
        <v>0</v>
      </c>
      <c r="R41" s="11">
        <v>31.692492492492494</v>
      </c>
      <c r="S41" s="11">
        <v>31.692492492492494</v>
      </c>
      <c r="T41" s="11">
        <v>31.692492492492494</v>
      </c>
      <c r="U41" s="11">
        <v>0</v>
      </c>
      <c r="V41" s="11">
        <v>0</v>
      </c>
      <c r="W41" s="11">
        <v>134.22702702702702</v>
      </c>
      <c r="X41" s="11">
        <v>7.4570570570570558</v>
      </c>
    </row>
    <row r="42" spans="1:24" x14ac:dyDescent="0.25">
      <c r="A42" s="22" t="str">
        <v>Chiclayo</v>
      </c>
      <c r="B42" s="11">
        <v>12216</v>
      </c>
      <c r="C42" s="5">
        <v>45824</v>
      </c>
      <c r="D42" s="30">
        <f>B42*1/(1-Formula!$B$19)</f>
        <v>12228.228228228229</v>
      </c>
      <c r="E42" s="11" cm="1">
        <f t="array" ref="E42:X42">_xlfn._xlws.FILTER(Formula!$B$2:$U$12,Formula!$A$2:$A$12=A42,0)*D42</f>
        <v>3452.1511111111113</v>
      </c>
      <c r="F42" s="11">
        <v>4799.5795795795802</v>
      </c>
      <c r="G42" s="11">
        <v>0</v>
      </c>
      <c r="H42" s="11">
        <v>0</v>
      </c>
      <c r="I42" s="11">
        <v>0</v>
      </c>
      <c r="J42" s="11">
        <v>0</v>
      </c>
      <c r="K42" s="11">
        <v>3452.1511111111113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496.46606606606605</v>
      </c>
      <c r="X42" s="11">
        <v>28.002642642642641</v>
      </c>
    </row>
    <row r="43" spans="1:24" x14ac:dyDescent="0.25">
      <c r="A43" s="22" t="str">
        <v>Julcán</v>
      </c>
      <c r="B43" s="11">
        <v>2588</v>
      </c>
      <c r="C43" s="5">
        <v>45824</v>
      </c>
      <c r="D43" s="30">
        <f>B43*1/(1-Formula!$B$19)</f>
        <v>2590.5905905905906</v>
      </c>
      <c r="E43" s="11" cm="1">
        <f t="array" ref="E43:X43">_xlfn._xlws.FILTER(Formula!$B$2:$U$12,Formula!$A$2:$A$12=A43,0)*D43</f>
        <v>141.96436436436437</v>
      </c>
      <c r="F43" s="11">
        <v>417.34414414414414</v>
      </c>
      <c r="G43" s="11">
        <v>0</v>
      </c>
      <c r="H43" s="11">
        <v>249.21481481481482</v>
      </c>
      <c r="I43" s="11">
        <v>1670.153753753754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105.95515515515515</v>
      </c>
      <c r="X43" s="11">
        <v>5.9583583583583586</v>
      </c>
    </row>
    <row r="44" spans="1:24" x14ac:dyDescent="0.25">
      <c r="A44" s="22" t="str">
        <v>San Jose</v>
      </c>
      <c r="B44" s="11">
        <v>3420</v>
      </c>
      <c r="C44" s="5">
        <v>45824</v>
      </c>
      <c r="D44" s="30">
        <f>B44*1/(1-Formula!$B$19)</f>
        <v>3423.4234234234236</v>
      </c>
      <c r="E44" s="11" cm="1">
        <f t="array" ref="E44:X44">_xlfn._xlws.FILTER(Formula!$B$2:$U$12,Formula!$A$2:$A$12=A44,0)*D44</f>
        <v>386.16216216216219</v>
      </c>
      <c r="F44" s="11">
        <v>842.84684684684692</v>
      </c>
      <c r="G44" s="11">
        <v>1264.2702702702704</v>
      </c>
      <c r="H44" s="11">
        <v>70.180180180180187</v>
      </c>
      <c r="I44" s="11">
        <v>702.48648648648646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148.91891891891891</v>
      </c>
      <c r="X44" s="11">
        <v>8.5585585585585591</v>
      </c>
    </row>
    <row r="45" spans="1:24" x14ac:dyDescent="0.25">
      <c r="A45" s="22" t="str">
        <v>San Pedro de Lloc</v>
      </c>
      <c r="B45" s="11">
        <v>4846</v>
      </c>
      <c r="C45" s="5">
        <v>45824</v>
      </c>
      <c r="D45" s="30">
        <f>B45*1/(1-Formula!$B$19)</f>
        <v>4850.8508508508512</v>
      </c>
      <c r="E45" s="11" cm="1">
        <f t="array" ref="E45:X45">_xlfn._xlws.FILTER(Formula!$B$2:$U$12,Formula!$A$2:$A$12=A45,0)*D45</f>
        <v>308.99919919919927</v>
      </c>
      <c r="F45" s="11">
        <v>753.33713713713712</v>
      </c>
      <c r="G45" s="11">
        <v>2824.650450450451</v>
      </c>
      <c r="H45" s="11">
        <v>75.188188188188192</v>
      </c>
      <c r="I45" s="11">
        <v>565.12412412412425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94.10650650650652</v>
      </c>
      <c r="V45" s="11">
        <v>18.91831831831832</v>
      </c>
      <c r="W45" s="11">
        <v>199.36996996996999</v>
      </c>
      <c r="X45" s="11">
        <v>11.156956956956957</v>
      </c>
    </row>
    <row r="46" spans="1:24" x14ac:dyDescent="0.25">
      <c r="A46" s="22" t="str">
        <v>Chongoyape</v>
      </c>
      <c r="B46" s="11">
        <v>1771</v>
      </c>
      <c r="C46" s="5">
        <v>45825</v>
      </c>
      <c r="D46" s="30">
        <f>B46*1/(1-Formula!$B$19)</f>
        <v>1772.7727727727727</v>
      </c>
      <c r="E46" s="11" cm="1">
        <f t="array" ref="E46:X46">_xlfn._xlws.FILTER(Formula!$B$2:$U$12,Formula!$A$2:$A$12=A46,0)*D46</f>
        <v>109.73463463463462</v>
      </c>
      <c r="F46" s="11">
        <v>278.14804804804805</v>
      </c>
      <c r="G46" s="11">
        <v>903.75955955955953</v>
      </c>
      <c r="H46" s="11">
        <v>90.411411411411407</v>
      </c>
      <c r="I46" s="11">
        <v>173.73173173173174</v>
      </c>
      <c r="J46" s="11">
        <v>138.98538538538537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73.747347347347343</v>
      </c>
      <c r="X46" s="11">
        <v>4.2546546546546544</v>
      </c>
    </row>
    <row r="47" spans="1:24" x14ac:dyDescent="0.25">
      <c r="A47" s="22" t="str">
        <v>Pataz - Tayabamba</v>
      </c>
      <c r="B47" s="11">
        <v>9268</v>
      </c>
      <c r="C47" s="5">
        <v>45828</v>
      </c>
      <c r="D47" s="30">
        <f>B47*1/(1-Formula!$B$19)</f>
        <v>9277.2772772772769</v>
      </c>
      <c r="E47" s="11" cm="1">
        <f t="array" ref="E47:X47">_xlfn._xlws.FILTER(Formula!$B$2:$U$12,Formula!$A$2:$A$12=A47,0)*D47</f>
        <v>800.62902902902897</v>
      </c>
      <c r="F47" s="11">
        <v>2474.2498498498499</v>
      </c>
      <c r="G47" s="11">
        <v>2619.9031031031027</v>
      </c>
      <c r="H47" s="11">
        <v>727.3385385385385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1309.9515515515513</v>
      </c>
      <c r="O47" s="11">
        <v>0</v>
      </c>
      <c r="P47" s="11">
        <v>0</v>
      </c>
      <c r="Q47" s="11">
        <v>1018.645045045045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308.93333333333334</v>
      </c>
      <c r="X47" s="11">
        <v>17.626826826826825</v>
      </c>
    </row>
    <row r="48" spans="1:24" x14ac:dyDescent="0.25">
      <c r="A48" s="22" t="str">
        <v>Cajamarca</v>
      </c>
      <c r="B48" s="11">
        <v>23485.599999999999</v>
      </c>
      <c r="C48" s="5">
        <v>45841</v>
      </c>
      <c r="D48" s="30">
        <f>B48*1/(1-Formula!$B$19)</f>
        <v>23509.109109109108</v>
      </c>
      <c r="E48" s="11" cm="1">
        <f t="array" ref="E48:X48">_xlfn._xlws.FILTER(Formula!$B$2:$U$12,Formula!$A$2:$A$12=A48,0)*D48</f>
        <v>8157.6608608608594</v>
      </c>
      <c r="F48" s="11">
        <v>4407.9579579579577</v>
      </c>
      <c r="G48" s="11">
        <v>8815.9159159159153</v>
      </c>
      <c r="H48" s="11">
        <v>881.59159159159151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587.72772772772771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622.99139139139129</v>
      </c>
      <c r="X48" s="11">
        <v>35.263663663663664</v>
      </c>
    </row>
    <row r="49" spans="1:24" x14ac:dyDescent="0.25">
      <c r="A49" s="22" t="str">
        <v>Olmos</v>
      </c>
      <c r="B49" s="11">
        <v>5840</v>
      </c>
      <c r="C49" s="5">
        <v>45842</v>
      </c>
      <c r="D49" s="30">
        <f>B49*1/(1-Formula!$B$19)</f>
        <v>5845.8458458458463</v>
      </c>
      <c r="E49" s="11" cm="1">
        <f t="array" ref="E49:X49">_xlfn._xlws.FILTER(Formula!$B$2:$U$12,Formula!$A$2:$A$12=A49,0)*D49</f>
        <v>2094.566566566567</v>
      </c>
      <c r="F49" s="11">
        <v>1745.5695695695695</v>
      </c>
      <c r="G49" s="11">
        <v>697.99399399399408</v>
      </c>
      <c r="H49" s="11">
        <v>51.443443443443449</v>
      </c>
      <c r="I49" s="11">
        <v>0</v>
      </c>
      <c r="J49" s="11">
        <v>0</v>
      </c>
      <c r="K49" s="11">
        <v>0</v>
      </c>
      <c r="L49" s="11">
        <v>0</v>
      </c>
      <c r="M49" s="11">
        <v>1026.5305305305305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217.46546546546546</v>
      </c>
      <c r="X49" s="11">
        <v>12.276276276276276</v>
      </c>
    </row>
    <row r="50" spans="1:24" x14ac:dyDescent="0.25">
      <c r="A50" s="22" t="str">
        <v>Cajatambo</v>
      </c>
      <c r="B50" s="11">
        <v>1707</v>
      </c>
      <c r="C50" s="5">
        <v>45845</v>
      </c>
      <c r="D50" s="30">
        <f>B50*1/(1-Formula!$B$19)</f>
        <v>1708.7087087087086</v>
      </c>
      <c r="E50" s="11" cm="1">
        <f t="array" ref="E50:X50">_xlfn._xlws.FILTER(Formula!$B$2:$U$12,Formula!$A$2:$A$12=A50,0)*D50</f>
        <v>1196.0960960960961</v>
      </c>
      <c r="F50" s="11">
        <v>512.61261261261257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</row>
    <row r="51" spans="1:24" x14ac:dyDescent="0.25">
      <c r="A51" s="22" t="str">
        <v>Marcabal</v>
      </c>
      <c r="B51" s="11">
        <v>4061.92</v>
      </c>
      <c r="C51" s="5">
        <v>45846</v>
      </c>
      <c r="D51" s="30">
        <f>B51*1/(1-Formula!$B$19)</f>
        <v>4065.9859859859862</v>
      </c>
      <c r="E51" s="11" cm="1">
        <f t="array" ref="E51:X51">_xlfn._xlws.FILTER(Formula!$B$2:$U$12,Formula!$A$2:$A$12=A51,0)*D51</f>
        <v>467.18178978978983</v>
      </c>
      <c r="F51" s="11">
        <v>0</v>
      </c>
      <c r="G51" s="11">
        <v>2367.6236396396398</v>
      </c>
      <c r="H51" s="11">
        <v>328.53166766766765</v>
      </c>
      <c r="I51" s="11">
        <v>0</v>
      </c>
      <c r="J51" s="11">
        <v>260.62970170170172</v>
      </c>
      <c r="K51" s="11">
        <v>0</v>
      </c>
      <c r="L51" s="11">
        <v>449.69805005005009</v>
      </c>
      <c r="M51" s="11">
        <v>0</v>
      </c>
      <c r="N51" s="11">
        <v>0</v>
      </c>
      <c r="O51" s="11">
        <v>0</v>
      </c>
      <c r="P51" s="11">
        <v>7.7253733733733734</v>
      </c>
      <c r="Q51" s="11">
        <v>7.7253733733733734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167.51862262262264</v>
      </c>
      <c r="X51" s="11">
        <v>9.3517677677677682</v>
      </c>
    </row>
    <row r="52" spans="1:24" x14ac:dyDescent="0.25">
      <c r="A52" s="22" t="str">
        <v>Julcán</v>
      </c>
      <c r="B52" s="11">
        <v>2588</v>
      </c>
      <c r="C52" s="5">
        <v>45849</v>
      </c>
      <c r="D52" s="30">
        <f>B52*1/(1-Formula!$B$19)</f>
        <v>2590.5905905905906</v>
      </c>
      <c r="E52" s="11" cm="1">
        <f t="array" ref="E52:X52">_xlfn._xlws.FILTER(Formula!$B$2:$U$12,Formula!$A$2:$A$12=A52,0)*D52</f>
        <v>141.96436436436437</v>
      </c>
      <c r="F52" s="11">
        <v>417.34414414414414</v>
      </c>
      <c r="G52" s="11">
        <v>0</v>
      </c>
      <c r="H52" s="11">
        <v>249.21481481481482</v>
      </c>
      <c r="I52" s="11">
        <v>1670.153753753754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105.95515515515515</v>
      </c>
      <c r="X52" s="11">
        <v>5.9583583583583586</v>
      </c>
    </row>
    <row r="53" spans="1:24" x14ac:dyDescent="0.25">
      <c r="A53" s="22" t="str">
        <v>Chongoyape</v>
      </c>
      <c r="B53" s="11">
        <v>1771</v>
      </c>
      <c r="C53" s="5">
        <v>45852</v>
      </c>
      <c r="D53" s="30">
        <f>B53*1/(1-Formula!$B$19)</f>
        <v>1772.7727727727727</v>
      </c>
      <c r="E53" s="11" cm="1">
        <f t="array" ref="E53:X53">_xlfn._xlws.FILTER(Formula!$B$2:$U$12,Formula!$A$2:$A$12=A53,0)*D53</f>
        <v>109.73463463463462</v>
      </c>
      <c r="F53" s="11">
        <v>278.14804804804805</v>
      </c>
      <c r="G53" s="11">
        <v>903.75955955955953</v>
      </c>
      <c r="H53" s="11">
        <v>90.411411411411407</v>
      </c>
      <c r="I53" s="11">
        <v>173.73173173173174</v>
      </c>
      <c r="J53" s="11">
        <v>138.98538538538537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73.747347347347343</v>
      </c>
      <c r="X53" s="11">
        <v>4.2546546546546544</v>
      </c>
    </row>
    <row r="54" spans="1:24" x14ac:dyDescent="0.25">
      <c r="A54" s="22" t="str">
        <v>Viru</v>
      </c>
      <c r="B54" s="11">
        <v>3104</v>
      </c>
      <c r="C54" s="5">
        <v>45852</v>
      </c>
      <c r="D54" s="30">
        <f>B54*1/(1-Formula!$B$19)</f>
        <v>3107.1071071071069</v>
      </c>
      <c r="E54" s="11" cm="1">
        <f t="array" ref="E54:X54">_xlfn._xlws.FILTER(Formula!$B$2:$U$12,Formula!$A$2:$A$12=A54,0)*D54</f>
        <v>404.54534534534537</v>
      </c>
      <c r="F54" s="11">
        <v>697.23483483483471</v>
      </c>
      <c r="G54" s="11">
        <v>1394.4696696696694</v>
      </c>
      <c r="H54" s="11">
        <v>0</v>
      </c>
      <c r="I54" s="11">
        <v>316.92492492492488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57.170770770770766</v>
      </c>
      <c r="P54" s="11">
        <v>0</v>
      </c>
      <c r="Q54" s="11">
        <v>0</v>
      </c>
      <c r="R54" s="11">
        <v>31.692492492492494</v>
      </c>
      <c r="S54" s="11">
        <v>31.692492492492494</v>
      </c>
      <c r="T54" s="11">
        <v>31.692492492492494</v>
      </c>
      <c r="U54" s="11">
        <v>0</v>
      </c>
      <c r="V54" s="11">
        <v>0</v>
      </c>
      <c r="W54" s="11">
        <v>134.22702702702702</v>
      </c>
      <c r="X54" s="11">
        <v>7.4570570570570558</v>
      </c>
    </row>
    <row r="55" spans="1:24" x14ac:dyDescent="0.25">
      <c r="A55" s="22" t="str">
        <v>Chiclayo</v>
      </c>
      <c r="B55" s="11">
        <v>12220</v>
      </c>
      <c r="C55" s="5">
        <v>45853</v>
      </c>
      <c r="D55" s="30">
        <f>B55*1/(1-Formula!$B$19)</f>
        <v>12232.232232232232</v>
      </c>
      <c r="E55" s="11" cm="1">
        <f t="array" ref="E55:X55">_xlfn._xlws.FILTER(Formula!$B$2:$U$12,Formula!$A$2:$A$12=A55,0)*D55</f>
        <v>3453.2814814814815</v>
      </c>
      <c r="F55" s="11">
        <v>4801.1511511511517</v>
      </c>
      <c r="G55" s="11">
        <v>0</v>
      </c>
      <c r="H55" s="11">
        <v>0</v>
      </c>
      <c r="I55" s="11">
        <v>0</v>
      </c>
      <c r="J55" s="11">
        <v>0</v>
      </c>
      <c r="K55" s="11">
        <v>3453.2814814814815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496.62862862862863</v>
      </c>
      <c r="X55" s="11">
        <v>28.01181181181181</v>
      </c>
    </row>
    <row r="56" spans="1:24" x14ac:dyDescent="0.25">
      <c r="A56" s="4" t="str">
        <v>Olmos</v>
      </c>
      <c r="B56" s="11">
        <v>5619</v>
      </c>
      <c r="C56" s="5">
        <v>45870</v>
      </c>
      <c r="D56" s="30">
        <f>B56*1/(1-Formula!$B$19)</f>
        <v>5624.6246246246246</v>
      </c>
      <c r="E56" s="11" cm="1">
        <f t="array" ref="E56:X56">_xlfn._xlws.FILTER(Formula!$B$2:$U$12,Formula!$A$2:$A$12=A56,0)*D56</f>
        <v>2015.3030030030031</v>
      </c>
      <c r="F56" s="11">
        <v>1679.5129129129127</v>
      </c>
      <c r="G56" s="11">
        <v>671.58018018018026</v>
      </c>
      <c r="H56" s="11">
        <v>49.496696696696702</v>
      </c>
      <c r="I56" s="11">
        <v>0</v>
      </c>
      <c r="J56" s="11">
        <v>0</v>
      </c>
      <c r="K56" s="11">
        <v>0</v>
      </c>
      <c r="L56" s="11">
        <v>0</v>
      </c>
      <c r="M56" s="11">
        <v>987.68408408408413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209.23603603603601</v>
      </c>
      <c r="X56" s="11">
        <v>11.811711711711711</v>
      </c>
    </row>
    <row r="57" spans="1:24" x14ac:dyDescent="0.25">
      <c r="A57" s="4" t="str">
        <v>Marcabal</v>
      </c>
      <c r="B57" s="11">
        <v>4061.92</v>
      </c>
      <c r="C57" s="5">
        <v>45876</v>
      </c>
      <c r="D57" s="30">
        <f>B57*1/(1-Formula!$B$19)</f>
        <v>4065.9859859859862</v>
      </c>
      <c r="E57" s="11" cm="1">
        <f t="array" ref="E57:X57">_xlfn._xlws.FILTER(Formula!$B$2:$U$12,Formula!$A$2:$A$12=A57,0)*D57</f>
        <v>467.18178978978983</v>
      </c>
      <c r="F57" s="11">
        <v>0</v>
      </c>
      <c r="G57" s="11">
        <v>2367.6236396396398</v>
      </c>
      <c r="H57" s="11">
        <v>328.53166766766765</v>
      </c>
      <c r="I57" s="11">
        <v>0</v>
      </c>
      <c r="J57" s="11">
        <v>260.62970170170172</v>
      </c>
      <c r="K57" s="11">
        <v>0</v>
      </c>
      <c r="L57" s="11">
        <v>449.69805005005009</v>
      </c>
      <c r="M57" s="11">
        <v>0</v>
      </c>
      <c r="N57" s="11">
        <v>0</v>
      </c>
      <c r="O57" s="11">
        <v>0</v>
      </c>
      <c r="P57" s="11">
        <v>7.7253733733733734</v>
      </c>
      <c r="Q57" s="11">
        <v>7.7253733733733734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167.51862262262264</v>
      </c>
      <c r="X57" s="11">
        <v>9.3517677677677682</v>
      </c>
    </row>
    <row r="58" spans="1:24" x14ac:dyDescent="0.25">
      <c r="A58" s="4" t="str">
        <v>Julcán</v>
      </c>
      <c r="B58" s="11">
        <v>2588</v>
      </c>
      <c r="C58" s="5">
        <v>45880</v>
      </c>
      <c r="D58" s="30">
        <f>B58*1/(1-Formula!$B$19)</f>
        <v>2590.5905905905906</v>
      </c>
      <c r="E58" s="11" cm="1">
        <f t="array" ref="E58:X58">_xlfn._xlws.FILTER(Formula!$B$2:$U$12,Formula!$A$2:$A$12=A58,0)*D58</f>
        <v>141.96436436436437</v>
      </c>
      <c r="F58" s="11">
        <v>417.34414414414414</v>
      </c>
      <c r="G58" s="11">
        <v>0</v>
      </c>
      <c r="H58" s="11">
        <v>249.21481481481482</v>
      </c>
      <c r="I58" s="11">
        <v>1670.153753753754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105.95515515515515</v>
      </c>
      <c r="X58" s="11">
        <v>5.9583583583583586</v>
      </c>
    </row>
    <row r="59" spans="1:24" x14ac:dyDescent="0.25">
      <c r="A59" s="4" t="str">
        <v>Chongoyape</v>
      </c>
      <c r="B59" s="11">
        <v>1771</v>
      </c>
      <c r="C59" s="5">
        <v>45881</v>
      </c>
      <c r="D59" s="30">
        <f>B59*1/(1-Formula!$B$19)</f>
        <v>1772.7727727727727</v>
      </c>
      <c r="E59" s="11" cm="1">
        <f t="array" ref="E59:X59">_xlfn._xlws.FILTER(Formula!$B$2:$U$12,Formula!$A$2:$A$12=A59,0)*D59</f>
        <v>109.73463463463462</v>
      </c>
      <c r="F59" s="11">
        <v>278.14804804804805</v>
      </c>
      <c r="G59" s="11">
        <v>903.75955955955953</v>
      </c>
      <c r="H59" s="11">
        <v>90.411411411411407</v>
      </c>
      <c r="I59" s="11">
        <v>173.73173173173174</v>
      </c>
      <c r="J59" s="11">
        <v>138.98538538538537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73.747347347347343</v>
      </c>
      <c r="X59" s="11">
        <v>4.2546546546546544</v>
      </c>
    </row>
    <row r="60" spans="1:24" x14ac:dyDescent="0.25">
      <c r="A60" s="4" t="str">
        <v>Viru</v>
      </c>
      <c r="B60" s="11">
        <v>3006</v>
      </c>
      <c r="C60" s="5">
        <v>45887</v>
      </c>
      <c r="D60" s="30">
        <f>B60*1/(1-Formula!$B$19)</f>
        <v>3009.0090090090089</v>
      </c>
      <c r="E60" s="11" cm="1">
        <f t="array" ref="E60:X60">_xlfn._xlws.FILTER(Formula!$B$2:$U$12,Formula!$A$2:$A$12=A60,0)*D60</f>
        <v>391.77297297297298</v>
      </c>
      <c r="F60" s="11">
        <v>675.22162162162158</v>
      </c>
      <c r="G60" s="11">
        <v>1350.4432432432432</v>
      </c>
      <c r="H60" s="11">
        <v>0</v>
      </c>
      <c r="I60" s="11">
        <v>306.91891891891891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55.365765765765765</v>
      </c>
      <c r="P60" s="11">
        <v>0</v>
      </c>
      <c r="Q60" s="11">
        <v>0</v>
      </c>
      <c r="R60" s="11">
        <v>30.691891891891892</v>
      </c>
      <c r="S60" s="11">
        <v>30.691891891891892</v>
      </c>
      <c r="T60" s="11">
        <v>30.691891891891892</v>
      </c>
      <c r="U60" s="11">
        <v>0</v>
      </c>
      <c r="V60" s="11">
        <v>0</v>
      </c>
      <c r="W60" s="11">
        <v>129.9891891891892</v>
      </c>
      <c r="X60" s="11">
        <v>7.2216216216216207</v>
      </c>
    </row>
    <row r="61" spans="1:24" x14ac:dyDescent="0.25">
      <c r="A61" s="4" t="str">
        <v>Chiclayo</v>
      </c>
      <c r="B61" s="11">
        <v>11825</v>
      </c>
      <c r="C61" s="5">
        <v>45887</v>
      </c>
      <c r="D61" s="30">
        <f>B61*1/(1-Formula!$B$19)</f>
        <v>11836.836836836837</v>
      </c>
      <c r="E61" s="11" cm="1">
        <f t="array" ref="E61:X61">_xlfn._xlws.FILTER(Formula!$B$2:$U$12,Formula!$A$2:$A$12=A61,0)*D61</f>
        <v>3341.6574074074078</v>
      </c>
      <c r="F61" s="11">
        <v>4645.9584584584591</v>
      </c>
      <c r="G61" s="11">
        <v>0</v>
      </c>
      <c r="H61" s="11">
        <v>0</v>
      </c>
      <c r="I61" s="11">
        <v>0</v>
      </c>
      <c r="J61" s="11">
        <v>0</v>
      </c>
      <c r="K61" s="11">
        <v>3341.6574074074078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480.57557557557556</v>
      </c>
      <c r="X61" s="11">
        <v>27.106356356356358</v>
      </c>
    </row>
    <row r="62" spans="1:24" x14ac:dyDescent="0.25">
      <c r="A62" s="4" t="str">
        <v>Cajamarca</v>
      </c>
      <c r="B62" s="11">
        <v>11448</v>
      </c>
      <c r="C62" s="5">
        <v>45902</v>
      </c>
      <c r="D62" s="30">
        <f>B62*1/(1-Formula!$B$19)</f>
        <v>11459.45945945946</v>
      </c>
      <c r="E62" s="11" cm="1">
        <f t="array" ref="E62:X62">_xlfn._xlws.FILTER(Formula!$B$2:$U$12,Formula!$A$2:$A$12=A62,0)*D62</f>
        <v>3976.4324324324325</v>
      </c>
      <c r="F62" s="11">
        <v>2148.6486486486488</v>
      </c>
      <c r="G62" s="11">
        <v>4297.2972972972975</v>
      </c>
      <c r="H62" s="11">
        <v>429.72972972972974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286.48648648648651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303.67567567567568</v>
      </c>
      <c r="X62" s="11">
        <v>17.189189189189189</v>
      </c>
    </row>
    <row r="63" spans="1:24" x14ac:dyDescent="0.25">
      <c r="A63" s="4" t="str">
        <v>Cajamarca</v>
      </c>
      <c r="B63" s="11">
        <v>11829.6</v>
      </c>
      <c r="C63" s="5">
        <v>45902</v>
      </c>
      <c r="D63" s="30">
        <f>B63*1/(1-Formula!$B$19)</f>
        <v>11841.441441441442</v>
      </c>
      <c r="E63" s="11" cm="1">
        <f t="array" ref="E63:X63">_xlfn._xlws.FILTER(Formula!$B$2:$U$12,Formula!$A$2:$A$12=A63,0)*D63</f>
        <v>4108.9801801801805</v>
      </c>
      <c r="F63" s="11">
        <v>2220.2702702702704</v>
      </c>
      <c r="G63" s="11">
        <v>4440.5405405405409</v>
      </c>
      <c r="H63" s="11">
        <v>444.05405405405406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296.03603603603608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313.79819819819824</v>
      </c>
      <c r="X63" s="11">
        <v>17.762162162162163</v>
      </c>
    </row>
    <row r="64" spans="1:24" x14ac:dyDescent="0.25">
      <c r="A64" s="4" t="str">
        <v>Marcabal</v>
      </c>
      <c r="B64" s="11">
        <v>4061.92</v>
      </c>
      <c r="C64" s="5">
        <v>45908</v>
      </c>
      <c r="D64" s="30">
        <f>B64*1/(1-Formula!$B$19)</f>
        <v>4065.9859859859862</v>
      </c>
      <c r="E64" s="11" cm="1">
        <f t="array" ref="E64:X64">_xlfn._xlws.FILTER(Formula!$B$2:$U$12,Formula!$A$2:$A$12=A64,0)*D64</f>
        <v>467.18178978978983</v>
      </c>
      <c r="F64" s="11">
        <v>0</v>
      </c>
      <c r="G64" s="11">
        <v>2367.6236396396398</v>
      </c>
      <c r="H64" s="11">
        <v>328.53166766766765</v>
      </c>
      <c r="I64" s="11">
        <v>0</v>
      </c>
      <c r="J64" s="11">
        <v>260.62970170170172</v>
      </c>
      <c r="K64" s="11">
        <v>0</v>
      </c>
      <c r="L64" s="11">
        <v>449.69805005005009</v>
      </c>
      <c r="M64" s="11">
        <v>0</v>
      </c>
      <c r="N64" s="11">
        <v>0</v>
      </c>
      <c r="O64" s="11">
        <v>0</v>
      </c>
      <c r="P64" s="11">
        <v>7.7253733733733734</v>
      </c>
      <c r="Q64" s="11">
        <v>7.7253733733733734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167.51862262262264</v>
      </c>
      <c r="X64" s="11">
        <v>9.3517677677677682</v>
      </c>
    </row>
    <row r="65" spans="1:24" x14ac:dyDescent="0.25">
      <c r="A65" s="4" t="str">
        <v>Viru</v>
      </c>
      <c r="B65" s="11">
        <v>3104</v>
      </c>
      <c r="C65" s="5">
        <v>45913</v>
      </c>
      <c r="D65" s="30">
        <f>B65*1/(1-Formula!$B$19)</f>
        <v>3107.1071071071069</v>
      </c>
      <c r="E65" s="11" cm="1">
        <f t="array" ref="E65:X65">_xlfn._xlws.FILTER(Formula!$B$2:$U$12,Formula!$A$2:$A$12=A65,0)*D65</f>
        <v>404.54534534534537</v>
      </c>
      <c r="F65" s="11">
        <v>697.23483483483471</v>
      </c>
      <c r="G65" s="11">
        <v>1394.4696696696694</v>
      </c>
      <c r="H65" s="11">
        <v>0</v>
      </c>
      <c r="I65" s="11">
        <v>316.92492492492488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57.170770770770766</v>
      </c>
      <c r="P65" s="11">
        <v>0</v>
      </c>
      <c r="Q65" s="11">
        <v>0</v>
      </c>
      <c r="R65" s="11">
        <v>31.692492492492494</v>
      </c>
      <c r="S65" s="11">
        <v>31.692492492492494</v>
      </c>
      <c r="T65" s="11">
        <v>31.692492492492494</v>
      </c>
      <c r="U65" s="11">
        <v>0</v>
      </c>
      <c r="V65" s="11">
        <v>0</v>
      </c>
      <c r="W65" s="11">
        <v>134.22702702702702</v>
      </c>
      <c r="X65" s="11">
        <v>7.4570570570570558</v>
      </c>
    </row>
    <row r="66" spans="1:24" x14ac:dyDescent="0.25">
      <c r="A66" s="4" t="str">
        <v>Chongoyape</v>
      </c>
      <c r="B66" s="11">
        <v>5209</v>
      </c>
      <c r="C66" s="5">
        <v>45915</v>
      </c>
      <c r="D66" s="30">
        <f>B66*1/(1-Formula!$B$19)</f>
        <v>5214.2142142142138</v>
      </c>
      <c r="E66" s="11" cm="1">
        <f t="array" ref="E66:X66">_xlfn._xlws.FILTER(Formula!$B$2:$U$12,Formula!$A$2:$A$12=A66,0)*D66</f>
        <v>322.75985985985983</v>
      </c>
      <c r="F66" s="11">
        <v>818.1102102102102</v>
      </c>
      <c r="G66" s="11">
        <v>2658.2064064064066</v>
      </c>
      <c r="H66" s="11">
        <v>265.92492492492488</v>
      </c>
      <c r="I66" s="11">
        <v>510.99299299299298</v>
      </c>
      <c r="J66" s="11">
        <v>408.79439439439437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216.91131131131129</v>
      </c>
      <c r="X66" s="11">
        <v>12.514114114114111</v>
      </c>
    </row>
    <row r="67" spans="1:24" x14ac:dyDescent="0.25">
      <c r="A67" s="4" t="str">
        <v>Chiclayo</v>
      </c>
      <c r="B67" s="11">
        <v>12220</v>
      </c>
      <c r="C67" s="5">
        <v>45916</v>
      </c>
      <c r="D67" s="30">
        <f>B67*1/(1-Formula!$B$19)</f>
        <v>12232.232232232232</v>
      </c>
      <c r="E67" s="11" cm="1">
        <f t="array" ref="E67:X67">_xlfn._xlws.FILTER(Formula!$B$2:$U$12,Formula!$A$2:$A$12=A67,0)*D67</f>
        <v>3453.2814814814815</v>
      </c>
      <c r="F67" s="11">
        <v>4801.1511511511517</v>
      </c>
      <c r="G67" s="11">
        <v>0</v>
      </c>
      <c r="H67" s="11">
        <v>0</v>
      </c>
      <c r="I67" s="11">
        <v>0</v>
      </c>
      <c r="J67" s="11">
        <v>0</v>
      </c>
      <c r="K67" s="11">
        <v>3453.2814814814815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496.62862862862863</v>
      </c>
      <c r="X67" s="11">
        <v>28.01181181181181</v>
      </c>
    </row>
    <row r="68" spans="1:24" x14ac:dyDescent="0.25">
      <c r="A68" s="4" t="str">
        <v>Julcán</v>
      </c>
      <c r="B68" s="11">
        <v>2588</v>
      </c>
      <c r="C68" s="5">
        <v>45916</v>
      </c>
      <c r="D68" s="30">
        <f>B68*1/(1-Formula!$B$19)</f>
        <v>2590.5905905905906</v>
      </c>
      <c r="E68" s="11" cm="1">
        <f t="array" ref="E68:X68">_xlfn._xlws.FILTER(Formula!$B$2:$U$12,Formula!$A$2:$A$12=A68,0)*D68</f>
        <v>141.96436436436437</v>
      </c>
      <c r="F68" s="11">
        <v>417.34414414414414</v>
      </c>
      <c r="G68" s="11">
        <v>0</v>
      </c>
      <c r="H68" s="11">
        <v>249.21481481481482</v>
      </c>
      <c r="I68" s="11">
        <v>1670.153753753754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105.95515515515515</v>
      </c>
      <c r="X68" s="11">
        <v>5.9583583583583586</v>
      </c>
    </row>
    <row r="69" spans="1:24" x14ac:dyDescent="0.25">
      <c r="A69" s="4" t="str">
        <v>Pataz - Tayabamba</v>
      </c>
      <c r="B69" s="11">
        <v>9268</v>
      </c>
      <c r="C69" s="5">
        <v>45916</v>
      </c>
      <c r="D69" s="30">
        <f>B69*1/(1-Formula!$B$19)</f>
        <v>9277.2772772772769</v>
      </c>
      <c r="E69" s="11" cm="1">
        <f t="array" ref="E69:X69">_xlfn._xlws.FILTER(Formula!$B$2:$U$12,Formula!$A$2:$A$12=A69,0)*D69</f>
        <v>800.62902902902897</v>
      </c>
      <c r="F69" s="11">
        <v>2474.2498498498499</v>
      </c>
      <c r="G69" s="11">
        <v>2619.9031031031027</v>
      </c>
      <c r="H69" s="11">
        <v>727.3385385385385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1309.9515515515513</v>
      </c>
      <c r="O69" s="11">
        <v>0</v>
      </c>
      <c r="P69" s="11">
        <v>0</v>
      </c>
      <c r="Q69" s="11">
        <v>1018.645045045045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308.93333333333334</v>
      </c>
      <c r="X69" s="11">
        <v>17.626826826826825</v>
      </c>
    </row>
    <row r="70" spans="1:24" x14ac:dyDescent="0.25">
      <c r="A70" s="4" t="str">
        <v>San Jose</v>
      </c>
      <c r="B70" s="11">
        <v>3420</v>
      </c>
      <c r="C70" s="5">
        <v>45917</v>
      </c>
      <c r="D70" s="30">
        <f>B70*1/(1-Formula!$B$19)</f>
        <v>3423.4234234234236</v>
      </c>
      <c r="E70" s="11" cm="1">
        <f t="array" ref="E70:X70">_xlfn._xlws.FILTER(Formula!$B$2:$U$12,Formula!$A$2:$A$12=A70,0)*D70</f>
        <v>386.16216216216219</v>
      </c>
      <c r="F70" s="11">
        <v>842.84684684684692</v>
      </c>
      <c r="G70" s="11">
        <v>1264.2702702702704</v>
      </c>
      <c r="H70" s="11">
        <v>70.180180180180187</v>
      </c>
      <c r="I70" s="11">
        <v>702.48648648648646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148.91891891891891</v>
      </c>
      <c r="X70" s="11">
        <v>8.5585585585585591</v>
      </c>
    </row>
    <row r="71" spans="1:24" x14ac:dyDescent="0.25">
      <c r="A71" s="4" t="str">
        <v>Marcabal</v>
      </c>
      <c r="B71" s="11">
        <v>4061.92</v>
      </c>
      <c r="C71" s="5">
        <v>45945</v>
      </c>
      <c r="D71" s="30">
        <f>B71*1/(1-Formula!$B$19)</f>
        <v>4065.9859859859862</v>
      </c>
      <c r="E71" s="11" cm="1">
        <f t="array" ref="E71:X71">_xlfn._xlws.FILTER(Formula!$B$2:$U$12,Formula!$A$2:$A$12=A71,0)*D71</f>
        <v>467.18178978978983</v>
      </c>
      <c r="F71" s="11">
        <v>0</v>
      </c>
      <c r="G71" s="11">
        <v>2367.6236396396398</v>
      </c>
      <c r="H71" s="11">
        <v>328.53166766766765</v>
      </c>
      <c r="I71" s="11">
        <v>0</v>
      </c>
      <c r="J71" s="11">
        <v>260.62970170170172</v>
      </c>
      <c r="K71" s="11">
        <v>0</v>
      </c>
      <c r="L71" s="11">
        <v>449.69805005005009</v>
      </c>
      <c r="M71" s="11">
        <v>0</v>
      </c>
      <c r="N71" s="11">
        <v>0</v>
      </c>
      <c r="O71" s="11">
        <v>0</v>
      </c>
      <c r="P71" s="11">
        <v>7.7253733733733734</v>
      </c>
      <c r="Q71" s="11">
        <v>7.7253733733733734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167.51862262262264</v>
      </c>
      <c r="X71" s="11">
        <v>9.3517677677677682</v>
      </c>
    </row>
    <row r="72" spans="1:24" x14ac:dyDescent="0.25">
      <c r="A72" s="4" t="str">
        <v>Julcán</v>
      </c>
      <c r="B72" s="11">
        <v>2588</v>
      </c>
      <c r="C72" s="5">
        <v>45946</v>
      </c>
      <c r="D72" s="30">
        <f>B72*1/(1-Formula!$B$19)</f>
        <v>2590.5905905905906</v>
      </c>
      <c r="E72" s="11" cm="1">
        <f t="array" ref="E72:X72">_xlfn._xlws.FILTER(Formula!$B$2:$U$12,Formula!$A$2:$A$12=A72,0)*D72</f>
        <v>141.96436436436437</v>
      </c>
      <c r="F72" s="11">
        <v>417.34414414414414</v>
      </c>
      <c r="G72" s="11">
        <v>0</v>
      </c>
      <c r="H72" s="11">
        <v>249.21481481481482</v>
      </c>
      <c r="I72" s="11">
        <v>1670.153753753754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105.95515515515515</v>
      </c>
      <c r="X72" s="11">
        <v>5.9583583583583586</v>
      </c>
    </row>
    <row r="73" spans="1:24" x14ac:dyDescent="0.25">
      <c r="A73" s="4" t="str">
        <v>Chiclayo</v>
      </c>
      <c r="B73" s="11">
        <v>11824</v>
      </c>
      <c r="C73" s="5">
        <v>45951</v>
      </c>
      <c r="D73" s="30">
        <f>B73*1/(1-Formula!$B$19)</f>
        <v>11835.835835835836</v>
      </c>
      <c r="E73" s="11" cm="1">
        <f t="array" ref="E73:X73">_xlfn._xlws.FILTER(Formula!$B$2:$U$12,Formula!$A$2:$A$12=A73,0)*D73</f>
        <v>3341.3748148148152</v>
      </c>
      <c r="F73" s="11">
        <v>4645.5655655655655</v>
      </c>
      <c r="G73" s="11">
        <v>0</v>
      </c>
      <c r="H73" s="11">
        <v>0</v>
      </c>
      <c r="I73" s="11">
        <v>0</v>
      </c>
      <c r="J73" s="11">
        <v>0</v>
      </c>
      <c r="K73" s="11">
        <v>3341.3748148148152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480.53493493493494</v>
      </c>
      <c r="X73" s="11">
        <v>27.104064064064065</v>
      </c>
    </row>
    <row r="74" spans="1:24" x14ac:dyDescent="0.25">
      <c r="A74" s="4" t="str">
        <v>Olmos</v>
      </c>
      <c r="B74" s="11">
        <v>5840</v>
      </c>
      <c r="C74" s="5">
        <v>45962</v>
      </c>
      <c r="D74" s="30">
        <f>B74*1/(1-Formula!$B$19)</f>
        <v>5845.8458458458463</v>
      </c>
      <c r="E74" s="11" cm="1">
        <f t="array" ref="E74:X74">_xlfn._xlws.FILTER(Formula!$B$2:$U$12,Formula!$A$2:$A$12=A74,0)*D74</f>
        <v>2094.566566566567</v>
      </c>
      <c r="F74" s="11">
        <v>1745.5695695695695</v>
      </c>
      <c r="G74" s="11">
        <v>697.99399399399408</v>
      </c>
      <c r="H74" s="11">
        <v>51.443443443443449</v>
      </c>
      <c r="I74" s="11">
        <v>0</v>
      </c>
      <c r="J74" s="11">
        <v>0</v>
      </c>
      <c r="K74" s="11">
        <v>0</v>
      </c>
      <c r="L74" s="11">
        <v>0</v>
      </c>
      <c r="M74" s="11">
        <v>1026.5305305305305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217.46546546546546</v>
      </c>
      <c r="X74" s="11">
        <v>12.276276276276276</v>
      </c>
    </row>
    <row r="79" spans="1:24" x14ac:dyDescent="0.25">
      <c r="A79" s="4" t="s">
        <v>78</v>
      </c>
      <c r="E79" s="10" cm="1">
        <f t="array" ref="E79:X79">400*Formula!B2:U2</f>
        <v>138.79999999999998</v>
      </c>
      <c r="F79" s="10">
        <v>75</v>
      </c>
      <c r="G79" s="10">
        <v>150</v>
      </c>
      <c r="H79" s="10">
        <v>15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10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10.6</v>
      </c>
      <c r="X79" s="11">
        <v>0.6</v>
      </c>
    </row>
    <row r="80" spans="1:24" x14ac:dyDescent="0.25">
      <c r="A80" s="4" t="s">
        <v>79</v>
      </c>
      <c r="C80" s="31">
        <f>D74/400</f>
        <v>14.614614614614617</v>
      </c>
      <c r="D80" s="31">
        <f>(C80-14)*400</f>
        <v>245.84584584584661</v>
      </c>
      <c r="E80" s="10" cm="1">
        <f t="array" ref="E80:X80">400*Formula!B3:U3</f>
        <v>112.92400000000001</v>
      </c>
      <c r="F80" s="10">
        <v>157</v>
      </c>
      <c r="G80" s="10">
        <v>0</v>
      </c>
      <c r="H80" s="10">
        <v>0</v>
      </c>
      <c r="I80" s="10">
        <v>0</v>
      </c>
      <c r="J80" s="10">
        <v>0</v>
      </c>
      <c r="K80" s="10">
        <v>112.92400000000001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16.239999999999998</v>
      </c>
      <c r="X80" s="11">
        <v>0.91599999999999993</v>
      </c>
    </row>
    <row r="81" spans="1:24" x14ac:dyDescent="0.25">
      <c r="A81" s="4" t="s">
        <v>80</v>
      </c>
      <c r="C81" s="31"/>
      <c r="E81" s="10" cm="1">
        <f t="array" ref="E81:X81">400*Formula!B4:U4</f>
        <v>24.759999999999998</v>
      </c>
      <c r="F81" s="10">
        <v>62.760000000000005</v>
      </c>
      <c r="G81" s="10">
        <v>203.92000000000002</v>
      </c>
      <c r="H81" s="10">
        <v>20.399999999999999</v>
      </c>
      <c r="I81" s="10">
        <v>39.200000000000003</v>
      </c>
      <c r="J81" s="10">
        <v>31.36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16.64</v>
      </c>
      <c r="X81" s="11">
        <v>0.96</v>
      </c>
    </row>
    <row r="82" spans="1:24" x14ac:dyDescent="0.25">
      <c r="A82" s="4" t="s">
        <v>81</v>
      </c>
      <c r="C82" s="31"/>
      <c r="E82" s="10" cm="1">
        <f t="array" ref="E82:X82">400*Formula!B5:U5</f>
        <v>21.92</v>
      </c>
      <c r="F82" s="10">
        <v>64.44</v>
      </c>
      <c r="G82" s="10">
        <v>0</v>
      </c>
      <c r="H82" s="10">
        <v>38.479999999999997</v>
      </c>
      <c r="I82" s="10">
        <v>257.88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16.36</v>
      </c>
      <c r="X82" s="11">
        <v>0.91999999999999993</v>
      </c>
    </row>
    <row r="83" spans="1:24" x14ac:dyDescent="0.25">
      <c r="A83" s="4" t="s">
        <v>82</v>
      </c>
      <c r="C83" s="31"/>
      <c r="E83" s="10" cm="1">
        <f t="array" ref="E83:X83">400*Formula!B6:U6</f>
        <v>45.96</v>
      </c>
      <c r="F83" s="10">
        <v>0</v>
      </c>
      <c r="G83" s="10">
        <v>232.92000000000002</v>
      </c>
      <c r="H83" s="10">
        <v>32.32</v>
      </c>
      <c r="I83" s="10">
        <v>0</v>
      </c>
      <c r="J83" s="10">
        <v>25.64</v>
      </c>
      <c r="K83" s="10">
        <v>0</v>
      </c>
      <c r="L83" s="10">
        <v>44.24</v>
      </c>
      <c r="M83" s="10">
        <v>0</v>
      </c>
      <c r="N83" s="10">
        <v>0</v>
      </c>
      <c r="O83" s="10">
        <v>0</v>
      </c>
      <c r="P83" s="10">
        <v>0.76</v>
      </c>
      <c r="Q83" s="10">
        <v>0.76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16.48</v>
      </c>
      <c r="X83" s="11">
        <v>0.91999999999999993</v>
      </c>
    </row>
    <row r="84" spans="1:24" x14ac:dyDescent="0.25">
      <c r="A84" s="4" t="s">
        <v>83</v>
      </c>
      <c r="C84" s="31"/>
      <c r="E84" s="10" cm="1">
        <f t="array" ref="E84:X84">400*Formula!B7:U7</f>
        <v>143.32</v>
      </c>
      <c r="F84" s="10">
        <v>119.44</v>
      </c>
      <c r="G84" s="10">
        <v>47.760000000000005</v>
      </c>
      <c r="H84" s="10">
        <v>3.52</v>
      </c>
      <c r="I84" s="10">
        <v>0</v>
      </c>
      <c r="J84" s="10">
        <v>0</v>
      </c>
      <c r="K84" s="10">
        <v>0</v>
      </c>
      <c r="L84" s="10">
        <v>0</v>
      </c>
      <c r="M84" s="10">
        <v>70.240000000000009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14.879999999999999</v>
      </c>
      <c r="X84" s="11">
        <v>0.84</v>
      </c>
    </row>
    <row r="85" spans="1:24" x14ac:dyDescent="0.25">
      <c r="A85" s="4" t="s">
        <v>84</v>
      </c>
      <c r="C85" s="31"/>
      <c r="E85" s="10" cm="1">
        <f t="array" ref="E85:X85">400*Formula!B8:U8</f>
        <v>45.12</v>
      </c>
      <c r="F85" s="10">
        <v>98.48</v>
      </c>
      <c r="G85" s="10">
        <v>147.72</v>
      </c>
      <c r="H85" s="10">
        <v>8.2000000000000011</v>
      </c>
      <c r="I85" s="10">
        <v>82.08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17.399999999999999</v>
      </c>
      <c r="X85" s="11">
        <v>1</v>
      </c>
    </row>
    <row r="86" spans="1:24" x14ac:dyDescent="0.25">
      <c r="A86" s="4" t="s">
        <v>85</v>
      </c>
      <c r="C86" s="31"/>
      <c r="E86" s="10" cm="1">
        <f t="array" ref="E86:X86">400*Formula!B9:U9</f>
        <v>34.520000000000003</v>
      </c>
      <c r="F86" s="10">
        <v>106.67999999999999</v>
      </c>
      <c r="G86" s="10">
        <v>112.96</v>
      </c>
      <c r="H86" s="10">
        <v>31.36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56.48</v>
      </c>
      <c r="O86" s="10">
        <v>0</v>
      </c>
      <c r="P86" s="10">
        <v>0</v>
      </c>
      <c r="Q86" s="10">
        <v>43.919999999999995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13.320000000000002</v>
      </c>
      <c r="X86" s="11">
        <v>0.76</v>
      </c>
    </row>
    <row r="87" spans="1:24" x14ac:dyDescent="0.25">
      <c r="A87" s="4" t="s">
        <v>86</v>
      </c>
      <c r="C87" s="31"/>
      <c r="E87" s="10" cm="1">
        <f t="array" ref="E87:X87">400*Formula!B10:U10</f>
        <v>52.080000000000005</v>
      </c>
      <c r="F87" s="10">
        <v>89.759999999999991</v>
      </c>
      <c r="G87" s="10">
        <v>179.51999999999998</v>
      </c>
      <c r="H87" s="10">
        <v>0</v>
      </c>
      <c r="I87" s="10">
        <v>40.799999999999997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7.3599999999999994</v>
      </c>
      <c r="P87" s="10">
        <v>0</v>
      </c>
      <c r="Q87" s="10">
        <v>0</v>
      </c>
      <c r="R87" s="10">
        <v>4.08</v>
      </c>
      <c r="S87" s="10">
        <v>4.08</v>
      </c>
      <c r="T87" s="10">
        <v>4.08</v>
      </c>
      <c r="U87" s="10">
        <v>0</v>
      </c>
      <c r="V87" s="10">
        <v>0</v>
      </c>
      <c r="W87" s="10">
        <v>17.28</v>
      </c>
      <c r="X87" s="11">
        <v>0.96</v>
      </c>
    </row>
    <row r="88" spans="1:24" x14ac:dyDescent="0.25">
      <c r="A88" s="4" t="s">
        <v>87</v>
      </c>
      <c r="C88" s="31"/>
      <c r="E88" s="10" cm="1">
        <f t="array" ref="E88:X88">400*Formula!B11:U11</f>
        <v>25.480000000000004</v>
      </c>
      <c r="F88" s="10">
        <v>62.12</v>
      </c>
      <c r="G88" s="10">
        <v>232.92000000000002</v>
      </c>
      <c r="H88" s="10">
        <v>6.2</v>
      </c>
      <c r="I88" s="10">
        <v>46.6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7.76</v>
      </c>
      <c r="V88" s="10">
        <v>1.5599999999999998</v>
      </c>
      <c r="W88" s="10">
        <v>16.439999999999998</v>
      </c>
      <c r="X88" s="10">
        <v>0.91999999999999993</v>
      </c>
    </row>
    <row r="89" spans="1:24" x14ac:dyDescent="0.25">
      <c r="A89" s="4" t="s">
        <v>88</v>
      </c>
      <c r="C89" s="31"/>
      <c r="E89" s="10" cm="1">
        <f t="array" ref="E89:X89">400*Formula!B12:U12</f>
        <v>280</v>
      </c>
      <c r="F89" s="10">
        <v>120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</row>
    <row r="90" spans="1:24" x14ac:dyDescent="0.25">
      <c r="X90" s="10"/>
    </row>
    <row r="91" spans="1:24" x14ac:dyDescent="0.25">
      <c r="X91" s="10"/>
    </row>
    <row r="92" spans="1:24" x14ac:dyDescent="0.25">
      <c r="D92" s="31">
        <f>D80</f>
        <v>245.84584584584661</v>
      </c>
      <c r="E92" s="11" cm="1">
        <f t="array" ref="E92:X92">D92*Formula!B12:U12</f>
        <v>172.09209209209263</v>
      </c>
      <c r="F92" s="11">
        <v>73.753753753753983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0">
        <v>0</v>
      </c>
    </row>
    <row r="93" spans="1:24" x14ac:dyDescent="0.25">
      <c r="X93" s="10"/>
    </row>
    <row r="94" spans="1:24" x14ac:dyDescent="0.25">
      <c r="X94" s="10"/>
    </row>
    <row r="95" spans="1:24" x14ac:dyDescent="0.25">
      <c r="X95" s="10"/>
    </row>
    <row r="96" spans="1:24" x14ac:dyDescent="0.25">
      <c r="X96" s="10"/>
    </row>
    <row r="97" spans="24:24" x14ac:dyDescent="0.25">
      <c r="X97" s="10"/>
    </row>
    <row r="98" spans="24:24" x14ac:dyDescent="0.25">
      <c r="X98" s="10"/>
    </row>
  </sheetData>
  <autoFilter ref="A1:X61" xr:uid="{2309C34C-1E94-41EE-AE95-90AF7A1C33B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C508-74F1-47F9-8E97-E2D1FA973DC8}">
  <dimension ref="A1:I90"/>
  <sheetViews>
    <sheetView workbookViewId="0">
      <pane ySplit="1" topLeftCell="A56" activePane="bottomLeft" state="frozen"/>
      <selection pane="bottomLeft" activeCell="F62" sqref="F62"/>
    </sheetView>
  </sheetViews>
  <sheetFormatPr baseColWidth="10" defaultRowHeight="15" x14ac:dyDescent="0.25"/>
  <cols>
    <col min="1" max="1" width="18" style="4" bestFit="1" customWidth="1"/>
    <col min="2" max="2" width="13.140625" style="11" bestFit="1" customWidth="1"/>
    <col min="3" max="3" width="10.42578125" style="5" bestFit="1" customWidth="1"/>
    <col min="4" max="6" width="11.42578125" style="11"/>
    <col min="7" max="7" width="11.42578125" customWidth="1"/>
  </cols>
  <sheetData>
    <row r="1" spans="1:9" ht="15.75" thickBot="1" x14ac:dyDescent="0.3">
      <c r="A1" s="23" t="s">
        <v>3</v>
      </c>
      <c r="B1" s="24" t="s">
        <v>6</v>
      </c>
      <c r="C1" s="25" t="s">
        <v>7</v>
      </c>
      <c r="D1" s="24" t="s">
        <v>32</v>
      </c>
      <c r="E1" s="24" t="s">
        <v>33</v>
      </c>
      <c r="F1" s="24" t="s">
        <v>31</v>
      </c>
    </row>
    <row r="2" spans="1:9" x14ac:dyDescent="0.25">
      <c r="A2" s="4" t="str" cm="1">
        <f t="array" ref="A2:C74">Mezclado!A2:C74</f>
        <v>San Jose</v>
      </c>
      <c r="B2" s="11">
        <v>3347</v>
      </c>
      <c r="C2" s="5">
        <v>45630</v>
      </c>
      <c r="D2" s="11" cm="1">
        <f t="array" ref="D2">IF(ISNUMBER(MATCH(Mezclado!$A2, _xlfn._xlws.FILTER(Procesos!$A$2:$A$23, Procesos!B$2:B$23="Laminado"), 0)), Mezclado!E2/(1-Formula!$B$18),0)</f>
        <v>379.05668958828437</v>
      </c>
      <c r="E2" s="11" cm="1">
        <f t="array" ref="E2">IF(ISNUMBER(MATCH(Mezclado!$A2, _xlfn._xlws.FILTER(Procesos!$A$2:$A$23, Procesos!C$2:C$23="Laminado"), 0)), Mezclado!F2/(1-Formula!$B$18),0)</f>
        <v>827.33827106946455</v>
      </c>
      <c r="F2" s="11" cm="1">
        <f t="array" ref="F2">IF(ISNUMBER(MATCH(Mezclado!$A2, _xlfn._xlws.FILTER(Procesos!$A$2:$A$23, Procesos!D$2:D$23="Laminado"), 0)), Mezclado!G2/(1-Formula!$B$18),0)</f>
        <v>1241.0074066041968</v>
      </c>
      <c r="I2" s="20"/>
    </row>
    <row r="3" spans="1:9" x14ac:dyDescent="0.25">
      <c r="A3" s="22" t="str">
        <v>Pataz - Tayabamba</v>
      </c>
      <c r="B3" s="11">
        <v>9286</v>
      </c>
      <c r="C3" s="5">
        <v>45642</v>
      </c>
      <c r="D3" s="11" cm="1">
        <f t="array" ref="D3">IF(ISNUMBER(MATCH(Mezclado!$A3, _xlfn._xlws.FILTER(Procesos!$A$2:$A$23, Procesos!B$2:B$23="Laminado"), 0)), Mezclado!E3/(1-Formula!$B$18),0)</f>
        <v>804.59777731593169</v>
      </c>
      <c r="E3" s="11" cm="1">
        <f t="array" ref="E3">IF(ISNUMBER(MATCH(Mezclado!$A3, _xlfn._xlws.FILTER(Procesos!$A$2:$A$23, Procesos!C$2:C$23="Laminado"), 0)), Mezclado!F3/(1-Formula!$B$18),0)</f>
        <v>0</v>
      </c>
      <c r="F3" s="11" cm="1">
        <f t="array" ref="F3">IF(ISNUMBER(MATCH(Mezclado!$A3, _xlfn._xlws.FILTER(Procesos!$A$2:$A$23, Procesos!D$2:D$23="Laminado"), 0)), Mezclado!G3/(1-Formula!$B$18),0)</f>
        <v>0</v>
      </c>
      <c r="H3" s="10"/>
    </row>
    <row r="4" spans="1:9" x14ac:dyDescent="0.25">
      <c r="A4" s="22" t="str">
        <v>Viru</v>
      </c>
      <c r="B4" s="11">
        <v>2810</v>
      </c>
      <c r="C4" s="5">
        <v>45653</v>
      </c>
      <c r="D4" s="11" cm="1">
        <f t="array" ref="D4">IF(ISNUMBER(MATCH(Mezclado!$A4, _xlfn._xlws.FILTER(Procesos!$A$2:$A$23, Procesos!B$2:B$23="Laminado"), 0)), Mezclado!E4/(1-Formula!$B$18),0)</f>
        <v>367.33021888488292</v>
      </c>
      <c r="E4" s="11" cm="1">
        <f t="array" ref="E4">IF(ISNUMBER(MATCH(Mezclado!$A4, _xlfn._xlws.FILTER(Procesos!$A$2:$A$23, Procesos!C$2:C$23="Laminado"), 0)), Mezclado!F4/(1-Formula!$B$18),0)</f>
        <v>633.09447863108846</v>
      </c>
      <c r="F4" s="11" cm="1">
        <f t="array" ref="F4">IF(ISNUMBER(MATCH(Mezclado!$A4, _xlfn._xlws.FILTER(Procesos!$A$2:$A$23, Procesos!D$2:D$23="Laminado"), 0)), Mezclado!G4/(1-Formula!$B$18),0)</f>
        <v>1266.1889572621769</v>
      </c>
      <c r="H4" s="10"/>
    </row>
    <row r="5" spans="1:9" x14ac:dyDescent="0.25">
      <c r="A5" s="22" t="str">
        <v>Julcán</v>
      </c>
      <c r="B5" s="11">
        <v>2588</v>
      </c>
      <c r="C5" s="5">
        <v>45656</v>
      </c>
      <c r="D5" s="11" cm="1">
        <f t="array" ref="D5">IF(ISNUMBER(MATCH(Mezclado!$A5, _xlfn._xlws.FILTER(Procesos!$A$2:$A$23, Procesos!B$2:B$23="Laminado"), 0)), Mezclado!E5/(1-Formula!$B$18),0)</f>
        <v>142.39153898130829</v>
      </c>
      <c r="E5" s="11" cm="1">
        <f t="array" ref="E5">IF(ISNUMBER(MATCH(Mezclado!$A5, _xlfn._xlws.FILTER(Procesos!$A$2:$A$23, Procesos!C$2:C$23="Laminado"), 0)), Mezclado!F5/(1-Formula!$B$18),0)</f>
        <v>418.59994397607238</v>
      </c>
      <c r="F5" s="11" cm="1">
        <f t="array" ref="F5">IF(ISNUMBER(MATCH(Mezclado!$A5, _xlfn._xlws.FILTER(Procesos!$A$2:$A$23, Procesos!D$2:D$23="Laminado"), 0)), Mezclado!G5/(1-Formula!$B$18),0)</f>
        <v>0</v>
      </c>
      <c r="H5" s="10"/>
    </row>
    <row r="6" spans="1:9" x14ac:dyDescent="0.25">
      <c r="A6" s="22" t="str">
        <v>Olmos</v>
      </c>
      <c r="B6" s="11">
        <v>5252</v>
      </c>
      <c r="C6" s="5">
        <v>45665</v>
      </c>
      <c r="D6" s="11" cm="1">
        <f t="array" ref="D6">IF(ISNUMBER(MATCH(Mezclado!$A6, _xlfn._xlws.FILTER(Procesos!$A$2:$A$23, Procesos!B$2:B$23="Laminado"), 0)), Mezclado!E6/(1-Formula!$B$18),0)</f>
        <v>1889.3433051908478</v>
      </c>
      <c r="E6" s="11" cm="1">
        <f t="array" ref="E6">IF(ISNUMBER(MATCH(Mezclado!$A6, _xlfn._xlws.FILTER(Procesos!$A$2:$A$23, Procesos!C$2:C$23="Laminado"), 0)), Mezclado!F6/(1-Formula!$B$18),0)</f>
        <v>1574.5406389338184</v>
      </c>
      <c r="F6" s="11" cm="1">
        <f t="array" ref="F6">IF(ISNUMBER(MATCH(Mezclado!$A6, _xlfn._xlws.FILTER(Procesos!$A$2:$A$23, Procesos!D$2:D$23="Laminado"), 0)), Mezclado!G6/(1-Formula!$B$18),0)</f>
        <v>0</v>
      </c>
      <c r="H6" s="10"/>
    </row>
    <row r="7" spans="1:9" x14ac:dyDescent="0.25">
      <c r="A7" s="22" t="str">
        <v>Marcabal</v>
      </c>
      <c r="B7" s="11">
        <v>4061.92</v>
      </c>
      <c r="C7" s="5">
        <v>45671</v>
      </c>
      <c r="D7" s="11" cm="1">
        <f t="array" ref="D7">IF(ISNUMBER(MATCH(Mezclado!$A7, _xlfn._xlws.FILTER(Procesos!$A$2:$A$23, Procesos!B$2:B$23="Laminado"), 0)), Mezclado!E7/(1-Formula!$B$18),0)</f>
        <v>468.5875524471312</v>
      </c>
      <c r="E7" s="11" cm="1">
        <f t="array" ref="E7">IF(ISNUMBER(MATCH(Mezclado!$A7, _xlfn._xlws.FILTER(Procesos!$A$2:$A$23, Procesos!C$2:C$23="Laminado"), 0)), Mezclado!F7/(1-Formula!$B$18),0)</f>
        <v>0</v>
      </c>
      <c r="F7" s="11" cm="1">
        <f t="array" ref="F7">IF(ISNUMBER(MATCH(Mezclado!$A7, _xlfn._xlws.FILTER(Procesos!$A$2:$A$23, Procesos!D$2:D$23="Laminado"), 0)), Mezclado!G7/(1-Formula!$B$18),0)</f>
        <v>2374.7478832895085</v>
      </c>
      <c r="H7" s="10"/>
    </row>
    <row r="8" spans="1:9" x14ac:dyDescent="0.25">
      <c r="A8" s="22" t="str">
        <v>Julcán</v>
      </c>
      <c r="B8" s="11">
        <v>2588</v>
      </c>
      <c r="C8" s="5">
        <v>45673</v>
      </c>
      <c r="D8" s="11" cm="1">
        <f t="array" ref="D8">IF(ISNUMBER(MATCH(Mezclado!$A8, _xlfn._xlws.FILTER(Procesos!$A$2:$A$23, Procesos!B$2:B$23="Laminado"), 0)), Mezclado!E8/(1-Formula!$B$18),0)</f>
        <v>142.39153898130829</v>
      </c>
      <c r="E8" s="11" cm="1">
        <f t="array" ref="E8">IF(ISNUMBER(MATCH(Mezclado!$A8, _xlfn._xlws.FILTER(Procesos!$A$2:$A$23, Procesos!C$2:C$23="Laminado"), 0)), Mezclado!F8/(1-Formula!$B$18),0)</f>
        <v>418.59994397607238</v>
      </c>
      <c r="F8" s="11" cm="1">
        <f t="array" ref="F8">IF(ISNUMBER(MATCH(Mezclado!$A8, _xlfn._xlws.FILTER(Procesos!$A$2:$A$23, Procesos!D$2:D$23="Laminado"), 0)), Mezclado!G8/(1-Formula!$B$18),0)</f>
        <v>0</v>
      </c>
      <c r="H8" s="10"/>
    </row>
    <row r="9" spans="1:9" x14ac:dyDescent="0.25">
      <c r="A9" s="22" t="str">
        <v>Olmos</v>
      </c>
      <c r="B9" s="11">
        <v>5840</v>
      </c>
      <c r="C9" s="5">
        <v>45691</v>
      </c>
      <c r="D9" s="11" cm="1">
        <f t="array" ref="D9">IF(ISNUMBER(MATCH(Mezclado!$A9, _xlfn._xlws.FILTER(Procesos!$A$2:$A$23, Procesos!B$2:B$23="Laminado"), 0)), Mezclado!E9/(1-Formula!$B$18),0)</f>
        <v>2100.8691740888335</v>
      </c>
      <c r="E9" s="11" cm="1">
        <f t="array" ref="E9">IF(ISNUMBER(MATCH(Mezclado!$A9, _xlfn._xlws.FILTER(Procesos!$A$2:$A$23, Procesos!C$2:C$23="Laminado"), 0)), Mezclado!F9/(1-Formula!$B$18),0)</f>
        <v>1750.8220356765992</v>
      </c>
      <c r="F9" s="11" cm="1">
        <f t="array" ref="F9">IF(ISNUMBER(MATCH(Mezclado!$A9, _xlfn._xlws.FILTER(Procesos!$A$2:$A$23, Procesos!D$2:D$23="Laminado"), 0)), Mezclado!G9/(1-Formula!$B$18),0)</f>
        <v>0</v>
      </c>
      <c r="H9" s="10"/>
    </row>
    <row r="10" spans="1:9" x14ac:dyDescent="0.25">
      <c r="A10" s="22" t="str">
        <v>San Pedro de Lloc</v>
      </c>
      <c r="B10" s="11">
        <v>4691</v>
      </c>
      <c r="C10" s="5">
        <v>45691</v>
      </c>
      <c r="D10" s="11" cm="1">
        <f t="array" ref="D10">IF(ISNUMBER(MATCH(Mezclado!$A10, _xlfn._xlws.FILTER(Procesos!$A$2:$A$23, Procesos!B$2:B$23="Laminado"), 0)), Mezclado!E10/(1-Formula!$B$18),0)</f>
        <v>300.01586340603393</v>
      </c>
      <c r="E10" s="11" cm="1">
        <f t="array" ref="E10">IF(ISNUMBER(MATCH(Mezclado!$A10, _xlfn._xlws.FILTER(Procesos!$A$2:$A$23, Procesos!C$2:C$23="Laminado"), 0)), Mezclado!F10/(1-Formula!$B$18),0)</f>
        <v>731.43584908880791</v>
      </c>
      <c r="F10" s="11" cm="1">
        <f t="array" ref="F10">IF(ISNUMBER(MATCH(Mezclado!$A10, _xlfn._xlws.FILTER(Procesos!$A$2:$A$23, Procesos!D$2:D$23="Laminado"), 0)), Mezclado!G10/(1-Formula!$B$18),0)</f>
        <v>2742.5311971951892</v>
      </c>
      <c r="H10" s="10"/>
    </row>
    <row r="11" spans="1:9" x14ac:dyDescent="0.25">
      <c r="A11" s="22" t="str">
        <v>Marcabal</v>
      </c>
      <c r="B11" s="11">
        <v>4061.92</v>
      </c>
      <c r="C11" s="5">
        <v>45700</v>
      </c>
      <c r="D11" s="11" cm="1">
        <f t="array" ref="D11">IF(ISNUMBER(MATCH(Mezclado!$A11, _xlfn._xlws.FILTER(Procesos!$A$2:$A$23, Procesos!B$2:B$23="Laminado"), 0)), Mezclado!E11/(1-Formula!$B$18),0)</f>
        <v>468.5875524471312</v>
      </c>
      <c r="E11" s="11" cm="1">
        <f t="array" ref="E11">IF(ISNUMBER(MATCH(Mezclado!$A11, _xlfn._xlws.FILTER(Procesos!$A$2:$A$23, Procesos!C$2:C$23="Laminado"), 0)), Mezclado!F11/(1-Formula!$B$18),0)</f>
        <v>0</v>
      </c>
      <c r="F11" s="11" cm="1">
        <f t="array" ref="F11">IF(ISNUMBER(MATCH(Mezclado!$A11, _xlfn._xlws.FILTER(Procesos!$A$2:$A$23, Procesos!D$2:D$23="Laminado"), 0)), Mezclado!G11/(1-Formula!$B$18),0)</f>
        <v>2374.7478832895085</v>
      </c>
      <c r="H11" s="10"/>
    </row>
    <row r="12" spans="1:9" x14ac:dyDescent="0.25">
      <c r="A12" s="22" t="str">
        <v>Julcán</v>
      </c>
      <c r="B12" s="11">
        <v>2600</v>
      </c>
      <c r="C12" s="5">
        <v>45702</v>
      </c>
      <c r="D12" s="11" cm="1">
        <f t="array" ref="D12">IF(ISNUMBER(MATCH(Mezclado!$A12, _xlfn._xlws.FILTER(Procesos!$A$2:$A$23, Procesos!B$2:B$23="Laminado"), 0)), Mezclado!E12/(1-Formula!$B$18),0)</f>
        <v>143.05177795649212</v>
      </c>
      <c r="E12" s="11" cm="1">
        <f t="array" ref="E12">IF(ISNUMBER(MATCH(Mezclado!$A12, _xlfn._xlws.FILTER(Procesos!$A$2:$A$23, Procesos!C$2:C$23="Laminado"), 0)), Mezclado!F12/(1-Formula!$B$18),0)</f>
        <v>420.54090198523494</v>
      </c>
      <c r="F12" s="11" cm="1">
        <f t="array" ref="F12">IF(ISNUMBER(MATCH(Mezclado!$A12, _xlfn._xlws.FILTER(Procesos!$A$2:$A$23, Procesos!D$2:D$23="Laminado"), 0)), Mezclado!G12/(1-Formula!$B$18),0)</f>
        <v>0</v>
      </c>
      <c r="H12" s="10"/>
    </row>
    <row r="13" spans="1:9" x14ac:dyDescent="0.25">
      <c r="A13" s="22" t="str">
        <v>Viru</v>
      </c>
      <c r="B13" s="11">
        <v>3108</v>
      </c>
      <c r="C13" s="5">
        <v>45702</v>
      </c>
      <c r="D13" s="11" cm="1">
        <f t="array" ref="D13">IF(ISNUMBER(MATCH(Mezclado!$A13, _xlfn._xlws.FILTER(Procesos!$A$2:$A$23, Procesos!B$2:B$23="Laminado"), 0)), Mezclado!E13/(1-Formula!$B$18),0)</f>
        <v>406.28552323637587</v>
      </c>
      <c r="E13" s="11" cm="1">
        <f t="array" ref="E13">IF(ISNUMBER(MATCH(Mezclado!$A13, _xlfn._xlws.FILTER(Procesos!$A$2:$A$23, Procesos!C$2:C$23="Laminado"), 0)), Mezclado!F13/(1-Formula!$B$18),0)</f>
        <v>700.2340354396523</v>
      </c>
      <c r="F13" s="11" cm="1">
        <f t="array" ref="F13">IF(ISNUMBER(MATCH(Mezclado!$A13, _xlfn._xlws.FILTER(Procesos!$A$2:$A$23, Procesos!D$2:D$23="Laminado"), 0)), Mezclado!G13/(1-Formula!$B$18),0)</f>
        <v>1400.4680708793046</v>
      </c>
      <c r="H13" s="10"/>
    </row>
    <row r="14" spans="1:9" x14ac:dyDescent="0.25">
      <c r="A14" s="22" t="str">
        <v>Olmos</v>
      </c>
      <c r="B14" s="11">
        <v>5611</v>
      </c>
      <c r="C14" s="5">
        <v>45717</v>
      </c>
      <c r="D14" s="11" cm="1">
        <f t="array" ref="D14">IF(ISNUMBER(MATCH(Mezclado!$A14, _xlfn._xlws.FILTER(Procesos!$A$2:$A$23, Procesos!B$2:B$23="Laminado"), 0)), Mezclado!E14/(1-Formula!$B$18),0)</f>
        <v>2018.4892013377471</v>
      </c>
      <c r="E14" s="11" cm="1">
        <f t="array" ref="E14">IF(ISNUMBER(MATCH(Mezclado!$A14, _xlfn._xlws.FILTER(Procesos!$A$2:$A$23, Procesos!C$2:C$23="Laminado"), 0)), Mezclado!F14/(1-Formula!$B$18),0)</f>
        <v>1682.1682264009244</v>
      </c>
      <c r="F14" s="11" cm="1">
        <f t="array" ref="F14">IF(ISNUMBER(MATCH(Mezclado!$A14, _xlfn._xlws.FILTER(Procesos!$A$2:$A$23, Procesos!D$2:D$23="Laminado"), 0)), Mezclado!G14/(1-Formula!$B$18),0)</f>
        <v>0</v>
      </c>
      <c r="H14" s="10"/>
    </row>
    <row r="15" spans="1:9" x14ac:dyDescent="0.25">
      <c r="A15" s="22" t="str">
        <v>Chongoyape</v>
      </c>
      <c r="B15" s="11">
        <v>2626</v>
      </c>
      <c r="C15" s="5">
        <v>45727</v>
      </c>
      <c r="D15" s="11" cm="1">
        <f t="array" ref="D15">IF(ISNUMBER(MATCH(Mezclado!$A15, _xlfn._xlws.FILTER(Procesos!$A$2:$A$23, Procesos!B$2:B$23="Laminado"), 0)), Mezclado!E15/(1-Formula!$B$18),0)</f>
        <v>163.20171726390382</v>
      </c>
      <c r="E15" s="11" cm="1">
        <f t="array" ref="E15">IF(ISNUMBER(MATCH(Mezclado!$A15, _xlfn._xlws.FILTER(Procesos!$A$2:$A$23, Procesos!C$2:C$23="Laminado"), 0)), Mezclado!F15/(1-Formula!$B$18),0)</f>
        <v>413.67285038298081</v>
      </c>
      <c r="F15" s="11" cm="1">
        <f t="array" ref="F15">IF(ISNUMBER(MATCH(Mezclado!$A15, _xlfn._xlws.FILTER(Procesos!$A$2:$A$23, Procesos!D$2:D$23="Laminado"), 0)), Mezclado!G15/(1-Formula!$B$18),0)</f>
        <v>0</v>
      </c>
      <c r="H15" s="10"/>
    </row>
    <row r="16" spans="1:9" x14ac:dyDescent="0.25">
      <c r="A16" s="22" t="str">
        <v>Marcabal</v>
      </c>
      <c r="B16" s="11">
        <v>4061.92</v>
      </c>
      <c r="C16" s="5">
        <v>45728</v>
      </c>
      <c r="D16" s="11" cm="1">
        <f t="array" ref="D16">IF(ISNUMBER(MATCH(Mezclado!$A16, _xlfn._xlws.FILTER(Procesos!$A$2:$A$23, Procesos!B$2:B$23="Laminado"), 0)), Mezclado!E16/(1-Formula!$B$18),0)</f>
        <v>468.5875524471312</v>
      </c>
      <c r="E16" s="11" cm="1">
        <f t="array" ref="E16">IF(ISNUMBER(MATCH(Mezclado!$A16, _xlfn._xlws.FILTER(Procesos!$A$2:$A$23, Procesos!C$2:C$23="Laminado"), 0)), Mezclado!F16/(1-Formula!$B$18),0)</f>
        <v>0</v>
      </c>
      <c r="F16" s="11" cm="1">
        <f t="array" ref="F16">IF(ISNUMBER(MATCH(Mezclado!$A16, _xlfn._xlws.FILTER(Procesos!$A$2:$A$23, Procesos!D$2:D$23="Laminado"), 0)), Mezclado!G16/(1-Formula!$B$18),0)</f>
        <v>2374.7478832895085</v>
      </c>
      <c r="H16" s="10"/>
    </row>
    <row r="17" spans="1:8" x14ac:dyDescent="0.25">
      <c r="A17" s="22" t="str">
        <v>Julcán</v>
      </c>
      <c r="B17" s="11">
        <v>2588</v>
      </c>
      <c r="C17" s="5">
        <v>45733</v>
      </c>
      <c r="D17" s="11" cm="1">
        <f t="array" ref="D17">IF(ISNUMBER(MATCH(Mezclado!$A17, _xlfn._xlws.FILTER(Procesos!$A$2:$A$23, Procesos!B$2:B$23="Laminado"), 0)), Mezclado!E17/(1-Formula!$B$18),0)</f>
        <v>142.39153898130829</v>
      </c>
      <c r="E17" s="11" cm="1">
        <f t="array" ref="E17">IF(ISNUMBER(MATCH(Mezclado!$A17, _xlfn._xlws.FILTER(Procesos!$A$2:$A$23, Procesos!C$2:C$23="Laminado"), 0)), Mezclado!F17/(1-Formula!$B$18),0)</f>
        <v>418.59994397607238</v>
      </c>
      <c r="F17" s="11" cm="1">
        <f t="array" ref="F17">IF(ISNUMBER(MATCH(Mezclado!$A17, _xlfn._xlws.FILTER(Procesos!$A$2:$A$23, Procesos!D$2:D$23="Laminado"), 0)), Mezclado!G17/(1-Formula!$B$18),0)</f>
        <v>0</v>
      </c>
      <c r="H17" s="10"/>
    </row>
    <row r="18" spans="1:8" x14ac:dyDescent="0.25">
      <c r="A18" s="22" t="str">
        <v>San Jose</v>
      </c>
      <c r="B18" s="11">
        <v>4570</v>
      </c>
      <c r="C18" s="5">
        <v>45733</v>
      </c>
      <c r="D18" s="11" cm="1">
        <f t="array" ref="D18">IF(ISNUMBER(MATCH(Mezclado!$A18, _xlfn._xlws.FILTER(Procesos!$A$2:$A$23, Procesos!B$2:B$23="Laminado"), 0)), Mezclado!E18/(1-Formula!$B$18),0)</f>
        <v>517.56470613040312</v>
      </c>
      <c r="E18" s="11" cm="1">
        <f t="array" ref="E18">IF(ISNUMBER(MATCH(Mezclado!$A18, _xlfn._xlws.FILTER(Procesos!$A$2:$A$23, Procesos!C$2:C$23="Laminado"), 0)), Mezclado!F18/(1-Formula!$B$18),0)</f>
        <v>1129.6492078839121</v>
      </c>
      <c r="F18" s="11" cm="1">
        <f t="array" ref="F18">IF(ISNUMBER(MATCH(Mezclado!$A18, _xlfn._xlws.FILTER(Procesos!$A$2:$A$23, Procesos!D$2:D$23="Laminado"), 0)), Mezclado!G18/(1-Formula!$B$18),0)</f>
        <v>1694.4738118258681</v>
      </c>
      <c r="H18" s="10"/>
    </row>
    <row r="19" spans="1:8" x14ac:dyDescent="0.25">
      <c r="A19" s="22" t="str">
        <v>San Pedro de Lloc</v>
      </c>
      <c r="B19" s="11">
        <v>4742</v>
      </c>
      <c r="C19" s="5">
        <v>45733</v>
      </c>
      <c r="D19" s="11" cm="1">
        <f t="array" ref="D19">IF(ISNUMBER(MATCH(Mezclado!$A19, _xlfn._xlws.FILTER(Procesos!$A$2:$A$23, Procesos!B$2:B$23="Laminado"), 0)), Mezclado!E19/(1-Formula!$B$18),0)</f>
        <v>303.27760056947625</v>
      </c>
      <c r="E19" s="11" cm="1">
        <f t="array" ref="E19">IF(ISNUMBER(MATCH(Mezclado!$A19, _xlfn._xlws.FILTER(Procesos!$A$2:$A$23, Procesos!C$2:C$23="Laminado"), 0)), Mezclado!F19/(1-Formula!$B$18),0)</f>
        <v>739.38793357048121</v>
      </c>
      <c r="F19" s="11" cm="1">
        <f t="array" ref="F19">IF(ISNUMBER(MATCH(Mezclado!$A19, _xlfn._xlws.FILTER(Procesos!$A$2:$A$23, Procesos!D$2:D$23="Laminado"), 0)), Mezclado!G19/(1-Formula!$B$18),0)</f>
        <v>2772.3476736515854</v>
      </c>
      <c r="H19" s="10"/>
    </row>
    <row r="20" spans="1:8" x14ac:dyDescent="0.25">
      <c r="A20" s="22" t="str">
        <v>Viru</v>
      </c>
      <c r="B20" s="11">
        <v>3006</v>
      </c>
      <c r="C20" s="5">
        <v>45733</v>
      </c>
      <c r="D20" s="11" cm="1">
        <f t="array" ref="D20">IF(ISNUMBER(MATCH(Mezclado!$A20, _xlfn._xlws.FILTER(Procesos!$A$2:$A$23, Procesos!B$2:B$23="Laminado"), 0)), Mezclado!E20/(1-Formula!$B$18),0)</f>
        <v>392.95182845834802</v>
      </c>
      <c r="E20" s="11" cm="1">
        <f t="array" ref="E20">IF(ISNUMBER(MATCH(Mezclado!$A20, _xlfn._xlws.FILTER(Procesos!$A$2:$A$23, Procesos!C$2:C$23="Laminado"), 0)), Mezclado!F20/(1-Formula!$B$18),0)</f>
        <v>677.2533817669223</v>
      </c>
      <c r="F20" s="11" cm="1">
        <f t="array" ref="F20">IF(ISNUMBER(MATCH(Mezclado!$A20, _xlfn._xlws.FILTER(Procesos!$A$2:$A$23, Procesos!D$2:D$23="Laminado"), 0)), Mezclado!G20/(1-Formula!$B$18),0)</f>
        <v>1354.5067635338446</v>
      </c>
      <c r="H20" s="10"/>
    </row>
    <row r="21" spans="1:8" x14ac:dyDescent="0.25">
      <c r="A21" s="22" t="str">
        <v>Pataz - Tayabamba</v>
      </c>
      <c r="B21" s="11">
        <v>9268</v>
      </c>
      <c r="C21" s="5">
        <v>45739</v>
      </c>
      <c r="D21" s="11" cm="1">
        <f t="array" ref="D21">IF(ISNUMBER(MATCH(Mezclado!$A21, _xlfn._xlws.FILTER(Procesos!$A$2:$A$23, Procesos!B$2:B$23="Laminado"), 0)), Mezclado!E21/(1-Formula!$B$18),0)</f>
        <v>803.03814345940714</v>
      </c>
      <c r="E21" s="11" cm="1">
        <f t="array" ref="E21">IF(ISNUMBER(MATCH(Mezclado!$A21, _xlfn._xlws.FILTER(Procesos!$A$2:$A$23, Procesos!C$2:C$23="Laminado"), 0)), Mezclado!F21/(1-Formula!$B$18),0)</f>
        <v>0</v>
      </c>
      <c r="F21" s="11" cm="1">
        <f t="array" ref="F21">IF(ISNUMBER(MATCH(Mezclado!$A21, _xlfn._xlws.FILTER(Procesos!$A$2:$A$23, Procesos!D$2:D$23="Laminado"), 0)), Mezclado!G21/(1-Formula!$B$18),0)</f>
        <v>0</v>
      </c>
      <c r="H21" s="10"/>
    </row>
    <row r="22" spans="1:8" x14ac:dyDescent="0.25">
      <c r="A22" s="22" t="str">
        <v>Chiclayo</v>
      </c>
      <c r="B22" s="11">
        <v>30058</v>
      </c>
      <c r="C22" s="5">
        <v>45751</v>
      </c>
      <c r="D22" s="11" cm="1">
        <f t="array" ref="D22">IF(ISNUMBER(MATCH(Mezclado!$A22, _xlfn._xlws.FILTER(Procesos!$A$2:$A$23, Procesos!B$2:B$23="Laminado"), 0)), Mezclado!E22/(1-Formula!$B$18),0)</f>
        <v>8519.7273301385649</v>
      </c>
      <c r="E22" s="11" cm="1">
        <f t="array" ref="E22">IF(ISNUMBER(MATCH(Mezclado!$A22, _xlfn._xlws.FILTER(Procesos!$A$2:$A$23, Procesos!C$2:C$23="Laminado"), 0)), Mezclado!F22/(1-Formula!$B$18),0)</f>
        <v>11845.109904287438</v>
      </c>
      <c r="F22" s="11" cm="1">
        <f t="array" ref="F22">IF(ISNUMBER(MATCH(Mezclado!$A22, _xlfn._xlws.FILTER(Procesos!$A$2:$A$23, Procesos!D$2:D$23="Laminado"), 0)), Mezclado!G22/(1-Formula!$B$18),0)</f>
        <v>0</v>
      </c>
      <c r="H22" s="10"/>
    </row>
    <row r="23" spans="1:8" x14ac:dyDescent="0.25">
      <c r="A23" s="22" t="str">
        <v>Olmos</v>
      </c>
      <c r="B23" s="11">
        <v>5840</v>
      </c>
      <c r="C23" s="5">
        <v>45751</v>
      </c>
      <c r="D23" s="11" cm="1">
        <f t="array" ref="D23">IF(ISNUMBER(MATCH(Mezclado!$A23, _xlfn._xlws.FILTER(Procesos!$A$2:$A$23, Procesos!B$2:B$23="Laminado"), 0)), Mezclado!E23/(1-Formula!$B$18),0)</f>
        <v>2100.8691740888335</v>
      </c>
      <c r="E23" s="11" cm="1">
        <f t="array" ref="E23">IF(ISNUMBER(MATCH(Mezclado!$A23, _xlfn._xlws.FILTER(Procesos!$A$2:$A$23, Procesos!C$2:C$23="Laminado"), 0)), Mezclado!F23/(1-Formula!$B$18),0)</f>
        <v>1750.8220356765992</v>
      </c>
      <c r="F23" s="11" cm="1">
        <f t="array" ref="F23">IF(ISNUMBER(MATCH(Mezclado!$A23, _xlfn._xlws.FILTER(Procesos!$A$2:$A$23, Procesos!D$2:D$23="Laminado"), 0)), Mezclado!G23/(1-Formula!$B$18),0)</f>
        <v>0</v>
      </c>
      <c r="H23" s="10"/>
    </row>
    <row r="24" spans="1:8" x14ac:dyDescent="0.25">
      <c r="A24" s="22" t="str">
        <v>Marcabal</v>
      </c>
      <c r="B24" s="11">
        <v>4061.92</v>
      </c>
      <c r="C24" s="5">
        <v>45756</v>
      </c>
      <c r="D24" s="11" cm="1">
        <f t="array" ref="D24">IF(ISNUMBER(MATCH(Mezclado!$A24, _xlfn._xlws.FILTER(Procesos!$A$2:$A$23, Procesos!B$2:B$23="Laminado"), 0)), Mezclado!E24/(1-Formula!$B$18),0)</f>
        <v>468.5875524471312</v>
      </c>
      <c r="E24" s="11" cm="1">
        <f t="array" ref="E24">IF(ISNUMBER(MATCH(Mezclado!$A24, _xlfn._xlws.FILTER(Procesos!$A$2:$A$23, Procesos!C$2:C$23="Laminado"), 0)), Mezclado!F24/(1-Formula!$B$18),0)</f>
        <v>0</v>
      </c>
      <c r="F24" s="11" cm="1">
        <f t="array" ref="F24">IF(ISNUMBER(MATCH(Mezclado!$A24, _xlfn._xlws.FILTER(Procesos!$A$2:$A$23, Procesos!D$2:D$23="Laminado"), 0)), Mezclado!G24/(1-Formula!$B$18),0)</f>
        <v>2374.7478832895085</v>
      </c>
      <c r="H24" s="10"/>
    </row>
    <row r="25" spans="1:8" x14ac:dyDescent="0.25">
      <c r="A25" s="46" t="str">
        <v>Cajamarca</v>
      </c>
      <c r="B25" s="47">
        <v>10671.72</v>
      </c>
      <c r="C25" s="48">
        <v>45763</v>
      </c>
      <c r="D25" s="47" cm="1">
        <f t="array" ref="D25">IF(ISNUMBER(MATCH(Mezclado!$A25, _xlfn._xlws.FILTER(Procesos!$A$2:$A$23, Procesos!B$2:B$23="Laminado"), 0)), Mezclado!E25/(1-Formula!$B$18),0)</f>
        <v>3717.9474760618186</v>
      </c>
      <c r="E25" s="47" cm="1">
        <f t="array" ref="E25">IF(ISNUMBER(MATCH(Mezclado!$A25, _xlfn._xlws.FILTER(Procesos!$A$2:$A$23, Procesos!C$2:C$23="Laminado"), 0)), Mezclado!F25/(1-Formula!$B$18),0)</f>
        <v>2008.977382598245</v>
      </c>
      <c r="F25" s="47" cm="1">
        <f t="array" ref="F25">IF(ISNUMBER(MATCH(Mezclado!$A25, _xlfn._xlws.FILTER(Procesos!$A$2:$A$23, Procesos!D$2:D$23="Laminado"), 0)), Mezclado!G25/(1-Formula!$B$18),0)</f>
        <v>4017.9547651964899</v>
      </c>
      <c r="H25" s="10"/>
    </row>
    <row r="26" spans="1:8" x14ac:dyDescent="0.25">
      <c r="A26" s="46" t="str">
        <v>Cajamarca</v>
      </c>
      <c r="B26" s="47">
        <v>11433.6</v>
      </c>
      <c r="C26" s="48">
        <v>45763</v>
      </c>
      <c r="D26" s="47" cm="1">
        <f t="array" ref="D26">IF(ISNUMBER(MATCH(Mezclado!$A26, _xlfn._xlws.FILTER(Procesos!$A$2:$A$23, Procesos!B$2:B$23="Laminado"), 0)), Mezclado!E26/(1-Formula!$B$18),0)</f>
        <v>3983.3807729494793</v>
      </c>
      <c r="E26" s="47" cm="1">
        <f t="array" ref="E26">IF(ISNUMBER(MATCH(Mezclado!$A26, _xlfn._xlws.FILTER(Procesos!$A$2:$A$23, Procesos!C$2:C$23="Laminado"), 0)), Mezclado!F26/(1-Formula!$B$18),0)</f>
        <v>2152.403155412183</v>
      </c>
      <c r="F26" s="47" cm="1">
        <f t="array" ref="F26">IF(ISNUMBER(MATCH(Mezclado!$A26, _xlfn._xlws.FILTER(Procesos!$A$2:$A$23, Procesos!D$2:D$23="Laminado"), 0)), Mezclado!G26/(1-Formula!$B$18),0)</f>
        <v>4304.8063108243659</v>
      </c>
      <c r="H26" s="10"/>
    </row>
    <row r="27" spans="1:8" x14ac:dyDescent="0.25">
      <c r="A27" s="46" t="str">
        <v>Cajamarca</v>
      </c>
      <c r="B27" s="47">
        <v>23470.720000000001</v>
      </c>
      <c r="C27" s="48">
        <v>45763</v>
      </c>
      <c r="D27" s="47" cm="1">
        <f t="array" ref="D27">IF(ISNUMBER(MATCH(Mezclado!$A27, _xlfn._xlws.FILTER(Procesos!$A$2:$A$23, Procesos!B$2:B$23="Laminado"), 0)), Mezclado!E27/(1-Formula!$B$18),0)</f>
        <v>8177.0234025399513</v>
      </c>
      <c r="E27" s="47" cm="1">
        <f t="array" ref="E27">IF(ISNUMBER(MATCH(Mezclado!$A27, _xlfn._xlws.FILTER(Procesos!$A$2:$A$23, Procesos!C$2:C$23="Laminado"), 0)), Mezclado!F27/(1-Formula!$B$18),0)</f>
        <v>4418.4204264444988</v>
      </c>
      <c r="F27" s="47" cm="1">
        <f t="array" ref="F27">IF(ISNUMBER(MATCH(Mezclado!$A27, _xlfn._xlws.FILTER(Procesos!$A$2:$A$23, Procesos!D$2:D$23="Laminado"), 0)), Mezclado!G27/(1-Formula!$B$18),0)</f>
        <v>8836.8408528889977</v>
      </c>
      <c r="H27" s="10"/>
    </row>
    <row r="28" spans="1:8" x14ac:dyDescent="0.25">
      <c r="A28" s="22" t="str">
        <v>Julcán</v>
      </c>
      <c r="B28" s="11">
        <v>2588</v>
      </c>
      <c r="C28" s="5">
        <v>45763</v>
      </c>
      <c r="D28" s="11" cm="1">
        <f t="array" ref="D28">IF(ISNUMBER(MATCH(Mezclado!$A28, _xlfn._xlws.FILTER(Procesos!$A$2:$A$23, Procesos!B$2:B$23="Laminado"), 0)), Mezclado!E28/(1-Formula!$B$18),0)</f>
        <v>142.39153898130829</v>
      </c>
      <c r="E28" s="11" cm="1">
        <f t="array" ref="E28">IF(ISNUMBER(MATCH(Mezclado!$A28, _xlfn._xlws.FILTER(Procesos!$A$2:$A$23, Procesos!C$2:C$23="Laminado"), 0)), Mezclado!F28/(1-Formula!$B$18),0)</f>
        <v>418.59994397607238</v>
      </c>
      <c r="F28" s="11" cm="1">
        <f t="array" ref="F28">IF(ISNUMBER(MATCH(Mezclado!$A28, _xlfn._xlws.FILTER(Procesos!$A$2:$A$23, Procesos!D$2:D$23="Laminado"), 0)), Mezclado!G28/(1-Formula!$B$18),0)</f>
        <v>0</v>
      </c>
      <c r="H28" s="10"/>
    </row>
    <row r="29" spans="1:8" x14ac:dyDescent="0.25">
      <c r="A29" s="22" t="str">
        <v>Viru</v>
      </c>
      <c r="B29" s="11">
        <v>3104</v>
      </c>
      <c r="C29" s="5">
        <v>45763</v>
      </c>
      <c r="D29" s="11" cm="1">
        <f t="array" ref="D29">IF(ISNUMBER(MATCH(Mezclado!$A29, _xlfn._xlws.FILTER(Procesos!$A$2:$A$23, Procesos!B$2:B$23="Laminado"), 0)), Mezclado!E29/(1-Formula!$B$18),0)</f>
        <v>405.76263324508062</v>
      </c>
      <c r="E29" s="11" cm="1">
        <f t="array" ref="E29">IF(ISNUMBER(MATCH(Mezclado!$A29, _xlfn._xlws.FILTER(Procesos!$A$2:$A$23, Procesos!C$2:C$23="Laminado"), 0)), Mezclado!F29/(1-Formula!$B$18),0)</f>
        <v>699.33283333483928</v>
      </c>
      <c r="F29" s="11" cm="1">
        <f t="array" ref="F29">IF(ISNUMBER(MATCH(Mezclado!$A29, _xlfn._xlws.FILTER(Procesos!$A$2:$A$23, Procesos!D$2:D$23="Laminado"), 0)), Mezclado!G29/(1-Formula!$B$18),0)</f>
        <v>1398.6656666696786</v>
      </c>
      <c r="H29" s="10"/>
    </row>
    <row r="30" spans="1:8" x14ac:dyDescent="0.25">
      <c r="A30" s="22" t="str">
        <v>Chongoyape</v>
      </c>
      <c r="B30" s="11">
        <v>1771</v>
      </c>
      <c r="C30" s="5">
        <v>45764</v>
      </c>
      <c r="D30" s="11" cm="1">
        <f t="array" ref="D30">IF(ISNUMBER(MATCH(Mezclado!$A30, _xlfn._xlws.FILTER(Procesos!$A$2:$A$23, Procesos!B$2:B$23="Laminado"), 0)), Mezclado!E30/(1-Formula!$B$18),0)</f>
        <v>110.06482912200062</v>
      </c>
      <c r="E30" s="11" cm="1">
        <f t="array" ref="E30">IF(ISNUMBER(MATCH(Mezclado!$A30, _xlfn._xlws.FILTER(Procesos!$A$2:$A$23, Procesos!C$2:C$23="Laminado"), 0)), Mezclado!F30/(1-Formula!$B$18),0)</f>
        <v>278.98500305721973</v>
      </c>
      <c r="F30" s="11" cm="1">
        <f t="array" ref="F30">IF(ISNUMBER(MATCH(Mezclado!$A30, _xlfn._xlws.FILTER(Procesos!$A$2:$A$23, Procesos!D$2:D$23="Laminado"), 0)), Mezclado!G30/(1-Formula!$B$18),0)</f>
        <v>0</v>
      </c>
      <c r="H30" s="10"/>
    </row>
    <row r="31" spans="1:8" x14ac:dyDescent="0.25">
      <c r="A31" s="22" t="str">
        <v>Olmos</v>
      </c>
      <c r="B31" s="11">
        <v>5611</v>
      </c>
      <c r="C31" s="5">
        <v>45779</v>
      </c>
      <c r="D31" s="11" cm="1">
        <f t="array" ref="D31">IF(ISNUMBER(MATCH(Mezclado!$A31, _xlfn._xlws.FILTER(Procesos!$A$2:$A$23, Procesos!B$2:B$23="Laminado"), 0)), Mezclado!E31/(1-Formula!$B$18),0)</f>
        <v>2018.4892013377471</v>
      </c>
      <c r="E31" s="11" cm="1">
        <f t="array" ref="E31">IF(ISNUMBER(MATCH(Mezclado!$A31, _xlfn._xlws.FILTER(Procesos!$A$2:$A$23, Procesos!C$2:C$23="Laminado"), 0)), Mezclado!F31/(1-Formula!$B$18),0)</f>
        <v>1682.1682264009244</v>
      </c>
      <c r="F31" s="11" cm="1">
        <f t="array" ref="F31">IF(ISNUMBER(MATCH(Mezclado!$A31, _xlfn._xlws.FILTER(Procesos!$A$2:$A$23, Procesos!D$2:D$23="Laminado"), 0)), Mezclado!G31/(1-Formula!$B$18),0)</f>
        <v>0</v>
      </c>
      <c r="H31" s="10"/>
    </row>
    <row r="32" spans="1:8" x14ac:dyDescent="0.25">
      <c r="A32" s="22" t="str">
        <v>Cajamarca</v>
      </c>
      <c r="B32" s="11">
        <v>11448</v>
      </c>
      <c r="C32" s="5">
        <v>45782</v>
      </c>
      <c r="D32" s="11" cm="1">
        <f t="array" ref="D32">IF(ISNUMBER(MATCH(Mezclado!$A32, _xlfn._xlws.FILTER(Procesos!$A$2:$A$23, Procesos!B$2:B$23="Laminado"), 0)), Mezclado!E32/(1-Formula!$B$18),0)</f>
        <v>3988.3976253083574</v>
      </c>
      <c r="E32" s="11" cm="1">
        <f t="array" ref="E32">IF(ISNUMBER(MATCH(Mezclado!$A32, _xlfn._xlws.FILTER(Procesos!$A$2:$A$23, Procesos!C$2:C$23="Laminado"), 0)), Mezclado!F32/(1-Formula!$B$18),0)</f>
        <v>2155.1139906205103</v>
      </c>
      <c r="F32" s="11" cm="1">
        <f t="array" ref="F32">IF(ISNUMBER(MATCH(Mezclado!$A32, _xlfn._xlws.FILTER(Procesos!$A$2:$A$23, Procesos!D$2:D$23="Laminado"), 0)), Mezclado!G32/(1-Formula!$B$18),0)</f>
        <v>4310.2279812410206</v>
      </c>
      <c r="H32" s="10"/>
    </row>
    <row r="33" spans="1:8" x14ac:dyDescent="0.25">
      <c r="A33" s="22" t="str">
        <v>Cajamarca</v>
      </c>
      <c r="B33" s="11">
        <v>11829.6</v>
      </c>
      <c r="C33" s="5">
        <v>45782</v>
      </c>
      <c r="D33" s="11" cm="1">
        <f t="array" ref="D33">IF(ISNUMBER(MATCH(Mezclado!$A33, _xlfn._xlws.FILTER(Procesos!$A$2:$A$23, Procesos!B$2:B$23="Laminado"), 0)), Mezclado!E33/(1-Formula!$B$18),0)</f>
        <v>4121.3442128186362</v>
      </c>
      <c r="E33" s="11" cm="1">
        <f t="array" ref="E33">IF(ISNUMBER(MATCH(Mezclado!$A33, _xlfn._xlws.FILTER(Procesos!$A$2:$A$23, Procesos!C$2:C$23="Laminado"), 0)), Mezclado!F33/(1-Formula!$B$18),0)</f>
        <v>2226.951123641194</v>
      </c>
      <c r="F33" s="11" cm="1">
        <f t="array" ref="F33">IF(ISNUMBER(MATCH(Mezclado!$A33, _xlfn._xlws.FILTER(Procesos!$A$2:$A$23, Procesos!D$2:D$23="Laminado"), 0)), Mezclado!G33/(1-Formula!$B$18),0)</f>
        <v>4453.9022472823881</v>
      </c>
      <c r="H33" s="10"/>
    </row>
    <row r="34" spans="1:8" x14ac:dyDescent="0.25">
      <c r="A34" s="22" t="str">
        <v>Marcabal</v>
      </c>
      <c r="B34" s="11">
        <v>4061.92</v>
      </c>
      <c r="C34" s="5">
        <v>45786</v>
      </c>
      <c r="D34" s="11" cm="1">
        <f t="array" ref="D34">IF(ISNUMBER(MATCH(Mezclado!$A34, _xlfn._xlws.FILTER(Procesos!$A$2:$A$23, Procesos!B$2:B$23="Laminado"), 0)), Mezclado!E34/(1-Formula!$B$18),0)</f>
        <v>468.5875524471312</v>
      </c>
      <c r="E34" s="11" cm="1">
        <f t="array" ref="E34">IF(ISNUMBER(MATCH(Mezclado!$A34, _xlfn._xlws.FILTER(Procesos!$A$2:$A$23, Procesos!C$2:C$23="Laminado"), 0)), Mezclado!F34/(1-Formula!$B$18),0)</f>
        <v>0</v>
      </c>
      <c r="F34" s="11" cm="1">
        <f t="array" ref="F34">IF(ISNUMBER(MATCH(Mezclado!$A34, _xlfn._xlws.FILTER(Procesos!$A$2:$A$23, Procesos!D$2:D$23="Laminado"), 0)), Mezclado!G34/(1-Formula!$B$18),0)</f>
        <v>2374.7478832895085</v>
      </c>
      <c r="H34" s="10"/>
    </row>
    <row r="35" spans="1:8" x14ac:dyDescent="0.25">
      <c r="A35" s="22" t="str">
        <v>Chongoyape</v>
      </c>
      <c r="B35" s="11">
        <v>1771</v>
      </c>
      <c r="C35" s="5">
        <v>45793</v>
      </c>
      <c r="D35" s="11" cm="1">
        <f t="array" ref="D35">IF(ISNUMBER(MATCH(Mezclado!$A35, _xlfn._xlws.FILTER(Procesos!$A$2:$A$23, Procesos!B$2:B$23="Laminado"), 0)), Mezclado!E35/(1-Formula!$B$18),0)</f>
        <v>110.06482912200062</v>
      </c>
      <c r="E35" s="11" cm="1">
        <f t="array" ref="E35">IF(ISNUMBER(MATCH(Mezclado!$A35, _xlfn._xlws.FILTER(Procesos!$A$2:$A$23, Procesos!C$2:C$23="Laminado"), 0)), Mezclado!F35/(1-Formula!$B$18),0)</f>
        <v>278.98500305721973</v>
      </c>
      <c r="F35" s="11" cm="1">
        <f t="array" ref="F35">IF(ISNUMBER(MATCH(Mezclado!$A35, _xlfn._xlws.FILTER(Procesos!$A$2:$A$23, Procesos!D$2:D$23="Laminado"), 0)), Mezclado!G35/(1-Formula!$B$18),0)</f>
        <v>0</v>
      </c>
      <c r="H35" s="10"/>
    </row>
    <row r="36" spans="1:8" x14ac:dyDescent="0.25">
      <c r="A36" s="22" t="str">
        <v>Viru</v>
      </c>
      <c r="B36" s="11">
        <v>3006</v>
      </c>
      <c r="C36" s="5">
        <v>45793</v>
      </c>
      <c r="D36" s="11" cm="1">
        <f t="array" ref="D36">IF(ISNUMBER(MATCH(Mezclado!$A36, _xlfn._xlws.FILTER(Procesos!$A$2:$A$23, Procesos!B$2:B$23="Laminado"), 0)), Mezclado!E36/(1-Formula!$B$18),0)</f>
        <v>392.95182845834802</v>
      </c>
      <c r="E36" s="11" cm="1">
        <f t="array" ref="E36">IF(ISNUMBER(MATCH(Mezclado!$A36, _xlfn._xlws.FILTER(Procesos!$A$2:$A$23, Procesos!C$2:C$23="Laminado"), 0)), Mezclado!F36/(1-Formula!$B$18),0)</f>
        <v>677.2533817669223</v>
      </c>
      <c r="F36" s="11" cm="1">
        <f t="array" ref="F36">IF(ISNUMBER(MATCH(Mezclado!$A36, _xlfn._xlws.FILTER(Procesos!$A$2:$A$23, Procesos!D$2:D$23="Laminado"), 0)), Mezclado!G36/(1-Formula!$B$18),0)</f>
        <v>1354.5067635338446</v>
      </c>
      <c r="H36" s="10"/>
    </row>
    <row r="37" spans="1:8" x14ac:dyDescent="0.25">
      <c r="A37" s="22" t="str">
        <v>Julcán</v>
      </c>
      <c r="B37" s="11">
        <v>2588</v>
      </c>
      <c r="C37" s="5">
        <v>45796</v>
      </c>
      <c r="D37" s="11" cm="1">
        <f t="array" ref="D37">IF(ISNUMBER(MATCH(Mezclado!$A37, _xlfn._xlws.FILTER(Procesos!$A$2:$A$23, Procesos!B$2:B$23="Laminado"), 0)), Mezclado!E37/(1-Formula!$B$18),0)</f>
        <v>142.39153898130829</v>
      </c>
      <c r="E37" s="11" cm="1">
        <f t="array" ref="E37">IF(ISNUMBER(MATCH(Mezclado!$A37, _xlfn._xlws.FILTER(Procesos!$A$2:$A$23, Procesos!C$2:C$23="Laminado"), 0)), Mezclado!F37/(1-Formula!$B$18),0)</f>
        <v>418.59994397607238</v>
      </c>
      <c r="F37" s="11" cm="1">
        <f t="array" ref="F37">IF(ISNUMBER(MATCH(Mezclado!$A37, _xlfn._xlws.FILTER(Procesos!$A$2:$A$23, Procesos!D$2:D$23="Laminado"), 0)), Mezclado!G37/(1-Formula!$B$18),0)</f>
        <v>0</v>
      </c>
      <c r="H37" s="10"/>
    </row>
    <row r="38" spans="1:8" x14ac:dyDescent="0.25">
      <c r="A38" s="22" t="str">
        <v>Cajatambo</v>
      </c>
      <c r="B38" s="11">
        <v>2686</v>
      </c>
      <c r="C38" s="5">
        <v>45800</v>
      </c>
      <c r="D38" s="11" cm="1">
        <f t="array" ref="D38">IF(ISNUMBER(MATCH(Mezclado!$A38, _xlfn._xlws.FILTER(Procesos!$A$2:$A$23, Procesos!B$2:B$23="Laminado"), 0)), Mezclado!E38/(1-Formula!$B$18),0)</f>
        <v>1887.7453180361906</v>
      </c>
      <c r="E38" s="11" cm="1">
        <f t="array" ref="E38">IF(ISNUMBER(MATCH(Mezclado!$A38, _xlfn._xlws.FILTER(Procesos!$A$2:$A$23, Procesos!C$2:C$23="Laminado"), 0)), Mezclado!F38/(1-Formula!$B$18),0)</f>
        <v>809.03370772979588</v>
      </c>
      <c r="F38" s="11" cm="1">
        <f t="array" ref="F38">IF(ISNUMBER(MATCH(Mezclado!$A38, _xlfn._xlws.FILTER(Procesos!$A$2:$A$23, Procesos!D$2:D$23="Laminado"), 0)), Mezclado!G38/(1-Formula!$B$18),0)</f>
        <v>0</v>
      </c>
      <c r="H38" s="10"/>
    </row>
    <row r="39" spans="1:8" x14ac:dyDescent="0.25">
      <c r="A39" s="22" t="str">
        <v>Olmos</v>
      </c>
      <c r="B39" s="11">
        <v>5840</v>
      </c>
      <c r="C39" s="5">
        <v>45810</v>
      </c>
      <c r="D39" s="11" cm="1">
        <f t="array" ref="D39">IF(ISNUMBER(MATCH(Mezclado!$A39, _xlfn._xlws.FILTER(Procesos!$A$2:$A$23, Procesos!B$2:B$23="Laminado"), 0)), Mezclado!E39/(1-Formula!$B$18),0)</f>
        <v>2100.8691740888335</v>
      </c>
      <c r="E39" s="11" cm="1">
        <f t="array" ref="E39">IF(ISNUMBER(MATCH(Mezclado!$A39, _xlfn._xlws.FILTER(Procesos!$A$2:$A$23, Procesos!C$2:C$23="Laminado"), 0)), Mezclado!F39/(1-Formula!$B$18),0)</f>
        <v>1750.8220356765992</v>
      </c>
      <c r="F39" s="11" cm="1">
        <f t="array" ref="F39">IF(ISNUMBER(MATCH(Mezclado!$A39, _xlfn._xlws.FILTER(Procesos!$A$2:$A$23, Procesos!D$2:D$23="Laminado"), 0)), Mezclado!G39/(1-Formula!$B$18),0)</f>
        <v>0</v>
      </c>
      <c r="H39" s="10"/>
    </row>
    <row r="40" spans="1:8" x14ac:dyDescent="0.25">
      <c r="A40" s="22" t="str">
        <v>Marcabal</v>
      </c>
      <c r="B40" s="11">
        <v>4061.92</v>
      </c>
      <c r="C40" s="5">
        <v>45817</v>
      </c>
      <c r="D40" s="11" cm="1">
        <f t="array" ref="D40">IF(ISNUMBER(MATCH(Mezclado!$A40, _xlfn._xlws.FILTER(Procesos!$A$2:$A$23, Procesos!B$2:B$23="Laminado"), 0)), Mezclado!E40/(1-Formula!$B$18),0)</f>
        <v>468.5875524471312</v>
      </c>
      <c r="E40" s="11" cm="1">
        <f t="array" ref="E40">IF(ISNUMBER(MATCH(Mezclado!$A40, _xlfn._xlws.FILTER(Procesos!$A$2:$A$23, Procesos!C$2:C$23="Laminado"), 0)), Mezclado!F40/(1-Formula!$B$18),0)</f>
        <v>0</v>
      </c>
      <c r="F40" s="11" cm="1">
        <f t="array" ref="F40">IF(ISNUMBER(MATCH(Mezclado!$A40, _xlfn._xlws.FILTER(Procesos!$A$2:$A$23, Procesos!D$2:D$23="Laminado"), 0)), Mezclado!G40/(1-Formula!$B$18),0)</f>
        <v>2374.7478832895085</v>
      </c>
      <c r="H40" s="10"/>
    </row>
    <row r="41" spans="1:8" x14ac:dyDescent="0.25">
      <c r="A41" s="22" t="str">
        <v>Viru</v>
      </c>
      <c r="B41" s="11">
        <v>3104</v>
      </c>
      <c r="C41" s="5">
        <v>45821</v>
      </c>
      <c r="D41" s="11" cm="1">
        <f t="array" ref="D41">IF(ISNUMBER(MATCH(Mezclado!$A41, _xlfn._xlws.FILTER(Procesos!$A$2:$A$23, Procesos!B$2:B$23="Laminado"), 0)), Mezclado!E41/(1-Formula!$B$18),0)</f>
        <v>405.76263324508062</v>
      </c>
      <c r="E41" s="11" cm="1">
        <f t="array" ref="E41">IF(ISNUMBER(MATCH(Mezclado!$A41, _xlfn._xlws.FILTER(Procesos!$A$2:$A$23, Procesos!C$2:C$23="Laminado"), 0)), Mezclado!F41/(1-Formula!$B$18),0)</f>
        <v>699.33283333483928</v>
      </c>
      <c r="F41" s="11" cm="1">
        <f t="array" ref="F41">IF(ISNUMBER(MATCH(Mezclado!$A41, _xlfn._xlws.FILTER(Procesos!$A$2:$A$23, Procesos!D$2:D$23="Laminado"), 0)), Mezclado!G41/(1-Formula!$B$18),0)</f>
        <v>1398.6656666696786</v>
      </c>
      <c r="H41" s="10"/>
    </row>
    <row r="42" spans="1:8" x14ac:dyDescent="0.25">
      <c r="A42" s="22" t="str">
        <v>Chiclayo</v>
      </c>
      <c r="B42" s="11">
        <v>12216</v>
      </c>
      <c r="C42" s="5">
        <v>45824</v>
      </c>
      <c r="D42" s="11" cm="1">
        <f t="array" ref="D42">IF(ISNUMBER(MATCH(Mezclado!$A42, _xlfn._xlws.FILTER(Procesos!$A$2:$A$23, Procesos!B$2:B$23="Laminado"), 0)), Mezclado!E42/(1-Formula!$B$18),0)</f>
        <v>3462.5387272929902</v>
      </c>
      <c r="E42" s="11" cm="1">
        <f t="array" ref="E42">IF(ISNUMBER(MATCH(Mezclado!$A42, _xlfn._xlws.FILTER(Procesos!$A$2:$A$23, Procesos!C$2:C$23="Laminado"), 0)), Mezclado!F42/(1-Formula!$B$18),0)</f>
        <v>4814.02164451312</v>
      </c>
      <c r="F42" s="11" cm="1">
        <f t="array" ref="F42">IF(ISNUMBER(MATCH(Mezclado!$A42, _xlfn._xlws.FILTER(Procesos!$A$2:$A$23, Procesos!D$2:D$23="Laminado"), 0)), Mezclado!G42/(1-Formula!$B$18),0)</f>
        <v>0</v>
      </c>
      <c r="H42" s="10"/>
    </row>
    <row r="43" spans="1:8" x14ac:dyDescent="0.25">
      <c r="A43" s="22" t="str">
        <v>Julcán</v>
      </c>
      <c r="B43" s="11">
        <v>2588</v>
      </c>
      <c r="C43" s="5">
        <v>45824</v>
      </c>
      <c r="D43" s="11" cm="1">
        <f t="array" ref="D43">IF(ISNUMBER(MATCH(Mezclado!$A43, _xlfn._xlws.FILTER(Procesos!$A$2:$A$23, Procesos!B$2:B$23="Laminado"), 0)), Mezclado!E43/(1-Formula!$B$18),0)</f>
        <v>142.39153898130829</v>
      </c>
      <c r="E43" s="11" cm="1">
        <f t="array" ref="E43">IF(ISNUMBER(MATCH(Mezclado!$A43, _xlfn._xlws.FILTER(Procesos!$A$2:$A$23, Procesos!C$2:C$23="Laminado"), 0)), Mezclado!F43/(1-Formula!$B$18),0)</f>
        <v>418.59994397607238</v>
      </c>
      <c r="F43" s="11" cm="1">
        <f t="array" ref="F43">IF(ISNUMBER(MATCH(Mezclado!$A43, _xlfn._xlws.FILTER(Procesos!$A$2:$A$23, Procesos!D$2:D$23="Laminado"), 0)), Mezclado!G43/(1-Formula!$B$18),0)</f>
        <v>0</v>
      </c>
      <c r="H43" s="10"/>
    </row>
    <row r="44" spans="1:8" x14ac:dyDescent="0.25">
      <c r="A44" s="22" t="str">
        <v>San Jose</v>
      </c>
      <c r="B44" s="11">
        <v>3420</v>
      </c>
      <c r="C44" s="5">
        <v>45824</v>
      </c>
      <c r="D44" s="11" cm="1">
        <f t="array" ref="D44">IF(ISNUMBER(MATCH(Mezclado!$A44, _xlfn._xlws.FILTER(Procesos!$A$2:$A$23, Procesos!B$2:B$23="Laminado"), 0)), Mezclado!E44/(1-Formula!$B$18),0)</f>
        <v>387.32413456585977</v>
      </c>
      <c r="E44" s="11" cm="1">
        <f t="array" ref="E44">IF(ISNUMBER(MATCH(Mezclado!$A44, _xlfn._xlws.FILTER(Procesos!$A$2:$A$23, Procesos!C$2:C$23="Laminado"), 0)), Mezclado!F44/(1-Formula!$B$18),0)</f>
        <v>845.38299583434991</v>
      </c>
      <c r="F44" s="11" cm="1">
        <f t="array" ref="F44">IF(ISNUMBER(MATCH(Mezclado!$A44, _xlfn._xlws.FILTER(Procesos!$A$2:$A$23, Procesos!D$2:D$23="Laminado"), 0)), Mezclado!G44/(1-Formula!$B$18),0)</f>
        <v>1268.0744937515251</v>
      </c>
      <c r="H44" s="10"/>
    </row>
    <row r="45" spans="1:8" x14ac:dyDescent="0.25">
      <c r="A45" s="22" t="str">
        <v>San Pedro de Lloc</v>
      </c>
      <c r="B45" s="11">
        <v>4846</v>
      </c>
      <c r="C45" s="5">
        <v>45824</v>
      </c>
      <c r="D45" s="11" cm="1">
        <f t="array" ref="D45">IF(ISNUMBER(MATCH(Mezclado!$A45, _xlfn._xlws.FILTER(Procesos!$A$2:$A$23, Procesos!B$2:B$23="Laminado"), 0)), Mezclado!E45/(1-Formula!$B$18),0)</f>
        <v>309.92898615767228</v>
      </c>
      <c r="E45" s="11" cm="1">
        <f t="array" ref="E45">IF(ISNUMBER(MATCH(Mezclado!$A45, _xlfn._xlws.FILTER(Procesos!$A$2:$A$23, Procesos!C$2:C$23="Laminado"), 0)), Mezclado!F45/(1-Formula!$B$18),0)</f>
        <v>755.60394898408936</v>
      </c>
      <c r="F45" s="11" cm="1">
        <f t="array" ref="F45">IF(ISNUMBER(MATCH(Mezclado!$A45, _xlfn._xlws.FILTER(Procesos!$A$2:$A$23, Procesos!D$2:D$23="Laminado"), 0)), Mezclado!G45/(1-Formula!$B$18),0)</f>
        <v>2833.1499001509037</v>
      </c>
      <c r="H45" s="10"/>
    </row>
    <row r="46" spans="1:8" x14ac:dyDescent="0.25">
      <c r="A46" s="22" t="str">
        <v>Chongoyape</v>
      </c>
      <c r="B46" s="11">
        <v>1771</v>
      </c>
      <c r="C46" s="5">
        <v>45825</v>
      </c>
      <c r="D46" s="11" cm="1">
        <f t="array" ref="D46">IF(ISNUMBER(MATCH(Mezclado!$A46, _xlfn._xlws.FILTER(Procesos!$A$2:$A$23, Procesos!B$2:B$23="Laminado"), 0)), Mezclado!E46/(1-Formula!$B$18),0)</f>
        <v>110.06482912200062</v>
      </c>
      <c r="E46" s="11" cm="1">
        <f t="array" ref="E46">IF(ISNUMBER(MATCH(Mezclado!$A46, _xlfn._xlws.FILTER(Procesos!$A$2:$A$23, Procesos!C$2:C$23="Laminado"), 0)), Mezclado!F46/(1-Formula!$B$18),0)</f>
        <v>278.98500305721973</v>
      </c>
      <c r="F46" s="11" cm="1">
        <f t="array" ref="F46">IF(ISNUMBER(MATCH(Mezclado!$A46, _xlfn._xlws.FILTER(Procesos!$A$2:$A$23, Procesos!D$2:D$23="Laminado"), 0)), Mezclado!G46/(1-Formula!$B$18),0)</f>
        <v>0</v>
      </c>
      <c r="H46" s="10"/>
    </row>
    <row r="47" spans="1:8" x14ac:dyDescent="0.25">
      <c r="A47" s="22" t="str">
        <v>Pataz - Tayabamba</v>
      </c>
      <c r="B47" s="11">
        <v>9268</v>
      </c>
      <c r="C47" s="5">
        <v>45828</v>
      </c>
      <c r="D47" s="11" cm="1">
        <f t="array" ref="D47">IF(ISNUMBER(MATCH(Mezclado!$A47, _xlfn._xlws.FILTER(Procesos!$A$2:$A$23, Procesos!B$2:B$23="Laminado"), 0)), Mezclado!E47/(1-Formula!$B$18),0)</f>
        <v>803.03814345940714</v>
      </c>
      <c r="E47" s="11" cm="1">
        <f t="array" ref="E47">IF(ISNUMBER(MATCH(Mezclado!$A47, _xlfn._xlws.FILTER(Procesos!$A$2:$A$23, Procesos!C$2:C$23="Laminado"), 0)), Mezclado!F47/(1-Formula!$B$18),0)</f>
        <v>0</v>
      </c>
      <c r="F47" s="11" cm="1">
        <f t="array" ref="F47">IF(ISNUMBER(MATCH(Mezclado!$A47, _xlfn._xlws.FILTER(Procesos!$A$2:$A$23, Procesos!D$2:D$23="Laminado"), 0)), Mezclado!G47/(1-Formula!$B$18),0)</f>
        <v>0</v>
      </c>
      <c r="H47" s="10"/>
    </row>
    <row r="48" spans="1:8" x14ac:dyDescent="0.25">
      <c r="A48" s="22" t="str">
        <v>Cajamarca</v>
      </c>
      <c r="B48" s="11">
        <v>23485.599999999999</v>
      </c>
      <c r="C48" s="5">
        <v>45841</v>
      </c>
      <c r="D48" s="11" cm="1">
        <f t="array" ref="D48">IF(ISNUMBER(MATCH(Mezclado!$A48, _xlfn._xlws.FILTER(Procesos!$A$2:$A$23, Procesos!B$2:B$23="Laminado"), 0)), Mezclado!E48/(1-Formula!$B$18),0)</f>
        <v>8182.2074833107918</v>
      </c>
      <c r="E48" s="11" cm="1">
        <f t="array" ref="E48">IF(ISNUMBER(MATCH(Mezclado!$A48, _xlfn._xlws.FILTER(Procesos!$A$2:$A$23, Procesos!C$2:C$23="Laminado"), 0)), Mezclado!F48/(1-Formula!$B$18),0)</f>
        <v>4421.2216228264369</v>
      </c>
      <c r="F48" s="11" cm="1">
        <f t="array" ref="F48">IF(ISNUMBER(MATCH(Mezclado!$A48, _xlfn._xlws.FILTER(Procesos!$A$2:$A$23, Procesos!D$2:D$23="Laminado"), 0)), Mezclado!G48/(1-Formula!$B$18),0)</f>
        <v>8842.4432456528739</v>
      </c>
      <c r="H48" s="10"/>
    </row>
    <row r="49" spans="1:9" x14ac:dyDescent="0.25">
      <c r="A49" s="22" t="str">
        <v>Olmos</v>
      </c>
      <c r="B49" s="11">
        <v>5840</v>
      </c>
      <c r="C49" s="5">
        <v>45842</v>
      </c>
      <c r="D49" s="11" cm="1">
        <f t="array" ref="D49">IF(ISNUMBER(MATCH(Mezclado!$A49, _xlfn._xlws.FILTER(Procesos!$A$2:$A$23, Procesos!B$2:B$23="Laminado"), 0)), Mezclado!E49/(1-Formula!$B$18),0)</f>
        <v>2100.8691740888335</v>
      </c>
      <c r="E49" s="11" cm="1">
        <f t="array" ref="E49">IF(ISNUMBER(MATCH(Mezclado!$A49, _xlfn._xlws.FILTER(Procesos!$A$2:$A$23, Procesos!C$2:C$23="Laminado"), 0)), Mezclado!F49/(1-Formula!$B$18),0)</f>
        <v>1750.8220356765992</v>
      </c>
      <c r="F49" s="11" cm="1">
        <f t="array" ref="F49">IF(ISNUMBER(MATCH(Mezclado!$A49, _xlfn._xlws.FILTER(Procesos!$A$2:$A$23, Procesos!D$2:D$23="Laminado"), 0)), Mezclado!G49/(1-Formula!$B$18),0)</f>
        <v>0</v>
      </c>
      <c r="H49" s="10"/>
      <c r="I49" s="10"/>
    </row>
    <row r="50" spans="1:9" x14ac:dyDescent="0.25">
      <c r="A50" s="22" t="str">
        <v>Cajatambo</v>
      </c>
      <c r="B50" s="11">
        <v>1707</v>
      </c>
      <c r="C50" s="5">
        <v>45845</v>
      </c>
      <c r="D50" s="11" cm="1">
        <f t="array" ref="D50">IF(ISNUMBER(MATCH(Mezclado!$A50, _xlfn._xlws.FILTER(Procesos!$A$2:$A$23, Procesos!B$2:B$23="Laminado"), 0)), Mezclado!E50/(1-Formula!$B$18),0)</f>
        <v>1199.6951816410192</v>
      </c>
      <c r="E50" s="11" cm="1">
        <f t="array" ref="E50">IF(ISNUMBER(MATCH(Mezclado!$A50, _xlfn._xlws.FILTER(Procesos!$A$2:$A$23, Procesos!C$2:C$23="Laminado"), 0)), Mezclado!F50/(1-Formula!$B$18),0)</f>
        <v>514.15507784615102</v>
      </c>
      <c r="F50" s="11" cm="1">
        <f t="array" ref="F50">IF(ISNUMBER(MATCH(Mezclado!$A50, _xlfn._xlws.FILTER(Procesos!$A$2:$A$23, Procesos!D$2:D$23="Laminado"), 0)), Mezclado!G50/(1-Formula!$B$18),0)</f>
        <v>0</v>
      </c>
      <c r="H50" s="10"/>
    </row>
    <row r="51" spans="1:9" x14ac:dyDescent="0.25">
      <c r="A51" s="22" t="str">
        <v>Marcabal</v>
      </c>
      <c r="B51" s="11">
        <v>4061.92</v>
      </c>
      <c r="C51" s="5">
        <v>45846</v>
      </c>
      <c r="D51" s="11" cm="1">
        <f t="array" ref="D51">IF(ISNUMBER(MATCH(Mezclado!$A51, _xlfn._xlws.FILTER(Procesos!$A$2:$A$23, Procesos!B$2:B$23="Laminado"), 0)), Mezclado!E51/(1-Formula!$B$18),0)</f>
        <v>468.5875524471312</v>
      </c>
      <c r="E51" s="11" cm="1">
        <f t="array" ref="E51">IF(ISNUMBER(MATCH(Mezclado!$A51, _xlfn._xlws.FILTER(Procesos!$A$2:$A$23, Procesos!C$2:C$23="Laminado"), 0)), Mezclado!F51/(1-Formula!$B$18),0)</f>
        <v>0</v>
      </c>
      <c r="F51" s="11" cm="1">
        <f t="array" ref="F51">IF(ISNUMBER(MATCH(Mezclado!$A51, _xlfn._xlws.FILTER(Procesos!$A$2:$A$23, Procesos!D$2:D$23="Laminado"), 0)), Mezclado!G51/(1-Formula!$B$18),0)</f>
        <v>2374.7478832895085</v>
      </c>
      <c r="H51" s="10"/>
    </row>
    <row r="52" spans="1:9" x14ac:dyDescent="0.25">
      <c r="A52" s="22" t="str">
        <v>Julcán</v>
      </c>
      <c r="B52" s="11">
        <v>2588</v>
      </c>
      <c r="C52" s="5">
        <v>45849</v>
      </c>
      <c r="D52" s="11" cm="1">
        <f t="array" ref="D52">IF(ISNUMBER(MATCH(Mezclado!$A52, _xlfn._xlws.FILTER(Procesos!$A$2:$A$23, Procesos!B$2:B$23="Laminado"), 0)), Mezclado!E52/(1-Formula!$B$18),0)</f>
        <v>142.39153898130829</v>
      </c>
      <c r="E52" s="11" cm="1">
        <f t="array" ref="E52">IF(ISNUMBER(MATCH(Mezclado!$A52, _xlfn._xlws.FILTER(Procesos!$A$2:$A$23, Procesos!C$2:C$23="Laminado"), 0)), Mezclado!F52/(1-Formula!$B$18),0)</f>
        <v>418.59994397607238</v>
      </c>
      <c r="F52" s="11" cm="1">
        <f t="array" ref="F52">IF(ISNUMBER(MATCH(Mezclado!$A52, _xlfn._xlws.FILTER(Procesos!$A$2:$A$23, Procesos!D$2:D$23="Laminado"), 0)), Mezclado!G52/(1-Formula!$B$18),0)</f>
        <v>0</v>
      </c>
      <c r="H52" s="10"/>
    </row>
    <row r="53" spans="1:9" x14ac:dyDescent="0.25">
      <c r="A53" s="22" t="str">
        <v>Chongoyape</v>
      </c>
      <c r="B53" s="11">
        <v>1771</v>
      </c>
      <c r="C53" s="5">
        <v>45852</v>
      </c>
      <c r="D53" s="11" cm="1">
        <f t="array" ref="D53">IF(ISNUMBER(MATCH(Mezclado!$A53, _xlfn._xlws.FILTER(Procesos!$A$2:$A$23, Procesos!B$2:B$23="Laminado"), 0)), Mezclado!E53/(1-Formula!$B$18),0)</f>
        <v>110.06482912200062</v>
      </c>
      <c r="E53" s="11" cm="1">
        <f t="array" ref="E53">IF(ISNUMBER(MATCH(Mezclado!$A53, _xlfn._xlws.FILTER(Procesos!$A$2:$A$23, Procesos!C$2:C$23="Laminado"), 0)), Mezclado!F53/(1-Formula!$B$18),0)</f>
        <v>278.98500305721973</v>
      </c>
      <c r="F53" s="11" cm="1">
        <f t="array" ref="F53">IF(ISNUMBER(MATCH(Mezclado!$A53, _xlfn._xlws.FILTER(Procesos!$A$2:$A$23, Procesos!D$2:D$23="Laminado"), 0)), Mezclado!G53/(1-Formula!$B$18),0)</f>
        <v>0</v>
      </c>
      <c r="H53" s="10"/>
    </row>
    <row r="54" spans="1:9" x14ac:dyDescent="0.25">
      <c r="A54" s="46" t="str">
        <v>Viru</v>
      </c>
      <c r="B54" s="47">
        <v>3104</v>
      </c>
      <c r="C54" s="48">
        <v>45852</v>
      </c>
      <c r="D54" s="47" cm="1">
        <f t="array" ref="D54">IF(ISNUMBER(MATCH(Mezclado!$A54, _xlfn._xlws.FILTER(Procesos!$A$2:$A$23, Procesos!B$2:B$23="Laminado"), 0)), Mezclado!E54/(1-Formula!$B$18),0)</f>
        <v>405.76263324508062</v>
      </c>
      <c r="E54" s="47" cm="1">
        <f t="array" ref="E54">IF(ISNUMBER(MATCH(Mezclado!$A54, _xlfn._xlws.FILTER(Procesos!$A$2:$A$23, Procesos!C$2:C$23="Laminado"), 0)), Mezclado!F54/(1-Formula!$B$18),0)</f>
        <v>699.33283333483928</v>
      </c>
      <c r="F54" s="47" cm="1">
        <f t="array" ref="F54">IF(ISNUMBER(MATCH(Mezclado!$A54, _xlfn._xlws.FILTER(Procesos!$A$2:$A$23, Procesos!D$2:D$23="Laminado"), 0)), Mezclado!G54/(1-Formula!$B$18),0)</f>
        <v>1398.6656666696786</v>
      </c>
      <c r="H54" s="10"/>
    </row>
    <row r="55" spans="1:9" x14ac:dyDescent="0.25">
      <c r="A55" s="22" t="str">
        <v>Chiclayo</v>
      </c>
      <c r="B55" s="11">
        <v>12220</v>
      </c>
      <c r="C55" s="5">
        <v>45853</v>
      </c>
      <c r="D55" s="11" cm="1">
        <f t="array" ref="D55">IF(ISNUMBER(MATCH(Mezclado!$A55, _xlfn._xlws.FILTER(Procesos!$A$2:$A$23, Procesos!B$2:B$23="Laminado"), 0)), Mezclado!E55/(1-Formula!$B$18),0)</f>
        <v>3463.6724989784166</v>
      </c>
      <c r="E55" s="11" cm="1">
        <f t="array" ref="E55">IF(ISNUMBER(MATCH(Mezclado!$A55, _xlfn._xlws.FILTER(Procesos!$A$2:$A$23, Procesos!C$2:C$23="Laminado"), 0)), Mezclado!F55/(1-Formula!$B$18),0)</f>
        <v>4815.5979449861097</v>
      </c>
      <c r="F55" s="11" cm="1">
        <f t="array" ref="F55">IF(ISNUMBER(MATCH(Mezclado!$A55, _xlfn._xlws.FILTER(Procesos!$A$2:$A$23, Procesos!D$2:D$23="Laminado"), 0)), Mezclado!G55/(1-Formula!$B$18),0)</f>
        <v>0</v>
      </c>
      <c r="H55" s="10"/>
    </row>
    <row r="56" spans="1:9" x14ac:dyDescent="0.25">
      <c r="A56" s="4" t="str">
        <v>Olmos</v>
      </c>
      <c r="B56" s="11">
        <v>5619</v>
      </c>
      <c r="C56" s="5">
        <v>45870</v>
      </c>
      <c r="D56" s="11" cm="1">
        <f t="array" ref="D56">IF(ISNUMBER(MATCH(Mezclado!$A56, _xlfn._xlws.FILTER(Procesos!$A$2:$A$23, Procesos!B$2:B$23="Laminado"), 0)), Mezclado!E56/(1-Formula!$B$18),0)</f>
        <v>2021.3671043159511</v>
      </c>
      <c r="E56" s="11" cm="1">
        <f t="array" ref="E56">IF(ISNUMBER(MATCH(Mezclado!$A56, _xlfn._xlws.FILTER(Procesos!$A$2:$A$23, Procesos!C$2:C$23="Laminado"), 0)), Mezclado!F56/(1-Formula!$B$18),0)</f>
        <v>1684.5666127511663</v>
      </c>
      <c r="F56" s="11" cm="1">
        <f t="array" ref="F56">IF(ISNUMBER(MATCH(Mezclado!$A56, _xlfn._xlws.FILTER(Procesos!$A$2:$A$23, Procesos!D$2:D$23="Laminado"), 0)), Mezclado!G56/(1-Formula!$B$18),0)</f>
        <v>0</v>
      </c>
    </row>
    <row r="57" spans="1:9" x14ac:dyDescent="0.25">
      <c r="A57" s="4" t="str">
        <v>Marcabal</v>
      </c>
      <c r="B57" s="11">
        <v>4061.92</v>
      </c>
      <c r="C57" s="5">
        <v>45876</v>
      </c>
      <c r="D57" s="11" cm="1">
        <f t="array" ref="D57">IF(ISNUMBER(MATCH(Mezclado!$A57, _xlfn._xlws.FILTER(Procesos!$A$2:$A$23, Procesos!B$2:B$23="Laminado"), 0)), Mezclado!E57/(1-Formula!$B$18),0)</f>
        <v>468.5875524471312</v>
      </c>
      <c r="E57" s="11" cm="1">
        <f t="array" ref="E57">IF(ISNUMBER(MATCH(Mezclado!$A57, _xlfn._xlws.FILTER(Procesos!$A$2:$A$23, Procesos!C$2:C$23="Laminado"), 0)), Mezclado!F57/(1-Formula!$B$18),0)</f>
        <v>0</v>
      </c>
      <c r="F57" s="11" cm="1">
        <f t="array" ref="F57">IF(ISNUMBER(MATCH(Mezclado!$A57, _xlfn._xlws.FILTER(Procesos!$A$2:$A$23, Procesos!D$2:D$23="Laminado"), 0)), Mezclado!G57/(1-Formula!$B$18),0)</f>
        <v>2374.7478832895085</v>
      </c>
    </row>
    <row r="58" spans="1:9" x14ac:dyDescent="0.25">
      <c r="A58" s="4" t="str">
        <v>Julcán</v>
      </c>
      <c r="B58" s="11">
        <v>2588</v>
      </c>
      <c r="C58" s="5">
        <v>45880</v>
      </c>
      <c r="D58" s="11" cm="1">
        <f t="array" ref="D58">IF(ISNUMBER(MATCH(Mezclado!$A58, _xlfn._xlws.FILTER(Procesos!$A$2:$A$23, Procesos!B$2:B$23="Laminado"), 0)), Mezclado!E58/(1-Formula!$B$18),0)</f>
        <v>142.39153898130829</v>
      </c>
      <c r="E58" s="11" cm="1">
        <f t="array" ref="E58">IF(ISNUMBER(MATCH(Mezclado!$A58, _xlfn._xlws.FILTER(Procesos!$A$2:$A$23, Procesos!C$2:C$23="Laminado"), 0)), Mezclado!F58/(1-Formula!$B$18),0)</f>
        <v>418.59994397607238</v>
      </c>
      <c r="F58" s="11" cm="1">
        <f t="array" ref="F58">IF(ISNUMBER(MATCH(Mezclado!$A58, _xlfn._xlws.FILTER(Procesos!$A$2:$A$23, Procesos!D$2:D$23="Laminado"), 0)), Mezclado!G58/(1-Formula!$B$18),0)</f>
        <v>0</v>
      </c>
    </row>
    <row r="59" spans="1:9" x14ac:dyDescent="0.25">
      <c r="A59" s="4" t="str">
        <v>Chongoyape</v>
      </c>
      <c r="B59" s="11">
        <v>1771</v>
      </c>
      <c r="C59" s="5">
        <v>45881</v>
      </c>
      <c r="D59" s="11" cm="1">
        <f t="array" ref="D59">IF(ISNUMBER(MATCH(Mezclado!$A59, _xlfn._xlws.FILTER(Procesos!$A$2:$A$23, Procesos!B$2:B$23="Laminado"), 0)), Mezclado!E59/(1-Formula!$B$18),0)</f>
        <v>110.06482912200062</v>
      </c>
      <c r="E59" s="11" cm="1">
        <f t="array" ref="E59">IF(ISNUMBER(MATCH(Mezclado!$A59, _xlfn._xlws.FILTER(Procesos!$A$2:$A$23, Procesos!C$2:C$23="Laminado"), 0)), Mezclado!F59/(1-Formula!$B$18),0)</f>
        <v>278.98500305721973</v>
      </c>
      <c r="F59" s="11" cm="1">
        <f t="array" ref="F59">IF(ISNUMBER(MATCH(Mezclado!$A59, _xlfn._xlws.FILTER(Procesos!$A$2:$A$23, Procesos!D$2:D$23="Laminado"), 0)), Mezclado!G59/(1-Formula!$B$18),0)</f>
        <v>0</v>
      </c>
    </row>
    <row r="60" spans="1:9" x14ac:dyDescent="0.25">
      <c r="A60" s="4" t="str">
        <v>Viru</v>
      </c>
      <c r="B60" s="11">
        <v>3006</v>
      </c>
      <c r="C60" s="5">
        <v>45887</v>
      </c>
      <c r="D60" s="11" cm="1">
        <f t="array" ref="D60">IF(ISNUMBER(MATCH(Mezclado!$A60, _xlfn._xlws.FILTER(Procesos!$A$2:$A$23, Procesos!B$2:B$23="Laminado"), 0)), Mezclado!E60/(1-Formula!$B$18),0)</f>
        <v>392.95182845834802</v>
      </c>
      <c r="E60" s="11" cm="1">
        <f t="array" ref="E60">IF(ISNUMBER(MATCH(Mezclado!$A60, _xlfn._xlws.FILTER(Procesos!$A$2:$A$23, Procesos!C$2:C$23="Laminado"), 0)), Mezclado!F60/(1-Formula!$B$18),0)</f>
        <v>677.2533817669223</v>
      </c>
      <c r="F60" s="11" cm="1">
        <f t="array" ref="F60">IF(ISNUMBER(MATCH(Mezclado!$A60, _xlfn._xlws.FILTER(Procesos!$A$2:$A$23, Procesos!D$2:D$23="Laminado"), 0)), Mezclado!G60/(1-Formula!$B$18),0)</f>
        <v>1354.5067635338446</v>
      </c>
    </row>
    <row r="61" spans="1:9" x14ac:dyDescent="0.25">
      <c r="A61" s="4" t="str">
        <v>Chiclayo</v>
      </c>
      <c r="B61" s="11">
        <v>11825</v>
      </c>
      <c r="C61" s="5">
        <v>45887</v>
      </c>
      <c r="D61" s="11" cm="1">
        <f t="array" ref="D61">IF(ISNUMBER(MATCH(Mezclado!$A61, _xlfn._xlws.FILTER(Procesos!$A$2:$A$23, Procesos!B$2:B$23="Laminado"), 0)), Mezclado!E61/(1-Formula!$B$18),0)</f>
        <v>3351.7125450425356</v>
      </c>
      <c r="E61" s="11" cm="1">
        <f t="array" ref="E61">IF(ISNUMBER(MATCH(Mezclado!$A61, _xlfn._xlws.FILTER(Procesos!$A$2:$A$23, Procesos!C$2:C$23="Laminado"), 0)), Mezclado!F61/(1-Formula!$B$18),0)</f>
        <v>4659.9382732782942</v>
      </c>
      <c r="F61" s="11" cm="1">
        <f t="array" ref="F61">IF(ISNUMBER(MATCH(Mezclado!$A61, _xlfn._xlws.FILTER(Procesos!$A$2:$A$23, Procesos!D$2:D$23="Laminado"), 0)), Mezclado!G61/(1-Formula!$B$18),0)</f>
        <v>0</v>
      </c>
    </row>
    <row r="62" spans="1:9" x14ac:dyDescent="0.25">
      <c r="A62" s="4" t="str">
        <v>Cajamarca</v>
      </c>
      <c r="B62" s="11">
        <v>11448</v>
      </c>
      <c r="C62" s="5">
        <v>45902</v>
      </c>
      <c r="D62" s="11" cm="1">
        <f t="array" ref="D62">IF(ISNUMBER(MATCH(Mezclado!$A62, _xlfn._xlws.FILTER(Procesos!$A$2:$A$23, Procesos!B$2:B$23="Laminado"), 0)), Mezclado!E62/(1-Formula!$B$18),0)</f>
        <v>3988.3976253083574</v>
      </c>
      <c r="E62" s="11" cm="1">
        <f t="array" ref="E62">IF(ISNUMBER(MATCH(Mezclado!$A62, _xlfn._xlws.FILTER(Procesos!$A$2:$A$23, Procesos!C$2:C$23="Laminado"), 0)), Mezclado!F62/(1-Formula!$B$18),0)</f>
        <v>2155.1139906205103</v>
      </c>
      <c r="F62" s="11" cm="1">
        <f t="array" ref="F62">IF(ISNUMBER(MATCH(Mezclado!$A62, _xlfn._xlws.FILTER(Procesos!$A$2:$A$23, Procesos!D$2:D$23="Laminado"), 0)), Mezclado!G62/(1-Formula!$B$18),0)</f>
        <v>4310.2279812410206</v>
      </c>
    </row>
    <row r="63" spans="1:9" x14ac:dyDescent="0.25">
      <c r="A63" s="4" t="str">
        <v>Cajamarca</v>
      </c>
      <c r="B63" s="11">
        <v>11829.6</v>
      </c>
      <c r="C63" s="5">
        <v>45902</v>
      </c>
      <c r="D63" s="11" cm="1">
        <f t="array" ref="D63">IF(ISNUMBER(MATCH(Mezclado!$A63, _xlfn._xlws.FILTER(Procesos!$A$2:$A$23, Procesos!B$2:B$23="Laminado"), 0)), Mezclado!E63/(1-Formula!$B$18),0)</f>
        <v>4121.3442128186362</v>
      </c>
      <c r="E63" s="11" cm="1">
        <f t="array" ref="E63">IF(ISNUMBER(MATCH(Mezclado!$A63, _xlfn._xlws.FILTER(Procesos!$A$2:$A$23, Procesos!C$2:C$23="Laminado"), 0)), Mezclado!F63/(1-Formula!$B$18),0)</f>
        <v>2226.951123641194</v>
      </c>
      <c r="F63" s="11" cm="1">
        <f t="array" ref="F63">IF(ISNUMBER(MATCH(Mezclado!$A63, _xlfn._xlws.FILTER(Procesos!$A$2:$A$23, Procesos!D$2:D$23="Laminado"), 0)), Mezclado!G63/(1-Formula!$B$18),0)</f>
        <v>4453.9022472823881</v>
      </c>
    </row>
    <row r="64" spans="1:9" x14ac:dyDescent="0.25">
      <c r="A64" s="4" t="str">
        <v>Marcabal</v>
      </c>
      <c r="B64" s="11">
        <v>4061.92</v>
      </c>
      <c r="C64" s="5">
        <v>45908</v>
      </c>
      <c r="D64" s="11" cm="1">
        <f t="array" ref="D64">IF(ISNUMBER(MATCH(Mezclado!$A64, _xlfn._xlws.FILTER(Procesos!$A$2:$A$23, Procesos!B$2:B$23="Laminado"), 0)), Mezclado!E64/(1-Formula!$B$18),0)</f>
        <v>468.5875524471312</v>
      </c>
      <c r="E64" s="11" cm="1">
        <f t="array" ref="E64">IF(ISNUMBER(MATCH(Mezclado!$A64, _xlfn._xlws.FILTER(Procesos!$A$2:$A$23, Procesos!C$2:C$23="Laminado"), 0)), Mezclado!F64/(1-Formula!$B$18),0)</f>
        <v>0</v>
      </c>
      <c r="F64" s="11" cm="1">
        <f t="array" ref="F64">IF(ISNUMBER(MATCH(Mezclado!$A64, _xlfn._xlws.FILTER(Procesos!$A$2:$A$23, Procesos!D$2:D$23="Laminado"), 0)), Mezclado!G64/(1-Formula!$B$18),0)</f>
        <v>2374.7478832895085</v>
      </c>
    </row>
    <row r="65" spans="1:6" x14ac:dyDescent="0.25">
      <c r="A65" s="4" t="str">
        <v>Viru</v>
      </c>
      <c r="B65" s="11">
        <v>3104</v>
      </c>
      <c r="C65" s="5">
        <v>45913</v>
      </c>
      <c r="D65" s="11" cm="1">
        <f t="array" ref="D65">IF(ISNUMBER(MATCH(Mezclado!$A65, _xlfn._xlws.FILTER(Procesos!$A$2:$A$23, Procesos!B$2:B$23="Laminado"), 0)), Mezclado!E65/(1-Formula!$B$18),0)</f>
        <v>405.76263324508062</v>
      </c>
      <c r="E65" s="11" cm="1">
        <f t="array" ref="E65">IF(ISNUMBER(MATCH(Mezclado!$A65, _xlfn._xlws.FILTER(Procesos!$A$2:$A$23, Procesos!C$2:C$23="Laminado"), 0)), Mezclado!F65/(1-Formula!$B$18),0)</f>
        <v>699.33283333483928</v>
      </c>
      <c r="F65" s="11" cm="1">
        <f t="array" ref="F65">IF(ISNUMBER(MATCH(Mezclado!$A65, _xlfn._xlws.FILTER(Procesos!$A$2:$A$23, Procesos!D$2:D$23="Laminado"), 0)), Mezclado!G65/(1-Formula!$B$18),0)</f>
        <v>1398.6656666696786</v>
      </c>
    </row>
    <row r="66" spans="1:6" x14ac:dyDescent="0.25">
      <c r="A66" s="4" t="str">
        <v>Chongoyape</v>
      </c>
      <c r="B66" s="11">
        <v>5209</v>
      </c>
      <c r="C66" s="5">
        <v>45915</v>
      </c>
      <c r="D66" s="11" cm="1">
        <f t="array" ref="D66">IF(ISNUMBER(MATCH(Mezclado!$A66, _xlfn._xlws.FILTER(Procesos!$A$2:$A$23, Procesos!B$2:B$23="Laminado"), 0)), Mezclado!E66/(1-Formula!$B$18),0)</f>
        <v>323.73105301891655</v>
      </c>
      <c r="E66" s="11" cm="1">
        <f t="array" ref="E66">IF(ISNUMBER(MATCH(Mezclado!$A66, _xlfn._xlws.FILTER(Procesos!$A$2:$A$23, Procesos!C$2:C$23="Laminado"), 0)), Mezclado!F66/(1-Formula!$B$18),0)</f>
        <v>820.57192598817471</v>
      </c>
      <c r="F66" s="11" cm="1">
        <f t="array" ref="F66">IF(ISNUMBER(MATCH(Mezclado!$A66, _xlfn._xlws.FILTER(Procesos!$A$2:$A$23, Procesos!D$2:D$23="Laminado"), 0)), Mezclado!G66/(1-Formula!$B$18),0)</f>
        <v>0</v>
      </c>
    </row>
    <row r="67" spans="1:6" x14ac:dyDescent="0.25">
      <c r="A67" s="4" t="str">
        <v>Chiclayo</v>
      </c>
      <c r="B67" s="11">
        <v>12220</v>
      </c>
      <c r="C67" s="5">
        <v>45916</v>
      </c>
      <c r="D67" s="11" cm="1">
        <f t="array" ref="D67">IF(ISNUMBER(MATCH(Mezclado!$A67, _xlfn._xlws.FILTER(Procesos!$A$2:$A$23, Procesos!B$2:B$23="Laminado"), 0)), Mezclado!E67/(1-Formula!$B$18),0)</f>
        <v>3463.6724989784166</v>
      </c>
      <c r="E67" s="11" cm="1">
        <f t="array" ref="E67">IF(ISNUMBER(MATCH(Mezclado!$A67, _xlfn._xlws.FILTER(Procesos!$A$2:$A$23, Procesos!C$2:C$23="Laminado"), 0)), Mezclado!F67/(1-Formula!$B$18),0)</f>
        <v>4815.5979449861097</v>
      </c>
      <c r="F67" s="11" cm="1">
        <f t="array" ref="F67">IF(ISNUMBER(MATCH(Mezclado!$A67, _xlfn._xlws.FILTER(Procesos!$A$2:$A$23, Procesos!D$2:D$23="Laminado"), 0)), Mezclado!G67/(1-Formula!$B$18),0)</f>
        <v>0</v>
      </c>
    </row>
    <row r="68" spans="1:6" x14ac:dyDescent="0.25">
      <c r="A68" s="4" t="str">
        <v>Julcán</v>
      </c>
      <c r="B68" s="11">
        <v>2588</v>
      </c>
      <c r="C68" s="5">
        <v>45916</v>
      </c>
      <c r="D68" s="11" cm="1">
        <f t="array" ref="D68">IF(ISNUMBER(MATCH(Mezclado!$A68, _xlfn._xlws.FILTER(Procesos!$A$2:$A$23, Procesos!B$2:B$23="Laminado"), 0)), Mezclado!E68/(1-Formula!$B$18),0)</f>
        <v>142.39153898130829</v>
      </c>
      <c r="E68" s="11" cm="1">
        <f t="array" ref="E68">IF(ISNUMBER(MATCH(Mezclado!$A68, _xlfn._xlws.FILTER(Procesos!$A$2:$A$23, Procesos!C$2:C$23="Laminado"), 0)), Mezclado!F68/(1-Formula!$B$18),0)</f>
        <v>418.59994397607238</v>
      </c>
      <c r="F68" s="11" cm="1">
        <f t="array" ref="F68">IF(ISNUMBER(MATCH(Mezclado!$A68, _xlfn._xlws.FILTER(Procesos!$A$2:$A$23, Procesos!D$2:D$23="Laminado"), 0)), Mezclado!G68/(1-Formula!$B$18),0)</f>
        <v>0</v>
      </c>
    </row>
    <row r="69" spans="1:6" x14ac:dyDescent="0.25">
      <c r="A69" s="4" t="str">
        <v>Pataz - Tayabamba</v>
      </c>
      <c r="B69" s="11">
        <v>9268</v>
      </c>
      <c r="C69" s="5">
        <v>45916</v>
      </c>
      <c r="D69" s="11" cm="1">
        <f t="array" ref="D69">IF(ISNUMBER(MATCH(Mezclado!$A69, _xlfn._xlws.FILTER(Procesos!$A$2:$A$23, Procesos!B$2:B$23="Laminado"), 0)), Mezclado!E69/(1-Formula!$B$18),0)</f>
        <v>803.03814345940714</v>
      </c>
      <c r="E69" s="11" cm="1">
        <f t="array" ref="E69">IF(ISNUMBER(MATCH(Mezclado!$A69, _xlfn._xlws.FILTER(Procesos!$A$2:$A$23, Procesos!C$2:C$23="Laminado"), 0)), Mezclado!F69/(1-Formula!$B$18),0)</f>
        <v>0</v>
      </c>
      <c r="F69" s="11" cm="1">
        <f t="array" ref="F69">IF(ISNUMBER(MATCH(Mezclado!$A69, _xlfn._xlws.FILTER(Procesos!$A$2:$A$23, Procesos!D$2:D$23="Laminado"), 0)), Mezclado!G69/(1-Formula!$B$18),0)</f>
        <v>0</v>
      </c>
    </row>
    <row r="70" spans="1:6" x14ac:dyDescent="0.25">
      <c r="A70" s="4" t="str">
        <v>San Jose</v>
      </c>
      <c r="B70" s="11">
        <v>3420</v>
      </c>
      <c r="C70" s="5">
        <v>45917</v>
      </c>
      <c r="D70" s="11" cm="1">
        <f t="array" ref="D70">IF(ISNUMBER(MATCH(Mezclado!$A70, _xlfn._xlws.FILTER(Procesos!$A$2:$A$23, Procesos!B$2:B$23="Laminado"), 0)), Mezclado!E70/(1-Formula!$B$18),0)</f>
        <v>387.32413456585977</v>
      </c>
      <c r="E70" s="11" cm="1">
        <f t="array" ref="E70">IF(ISNUMBER(MATCH(Mezclado!$A70, _xlfn._xlws.FILTER(Procesos!$A$2:$A$23, Procesos!C$2:C$23="Laminado"), 0)), Mezclado!F70/(1-Formula!$B$18),0)</f>
        <v>845.38299583434991</v>
      </c>
      <c r="F70" s="11" cm="1">
        <f t="array" ref="F70">IF(ISNUMBER(MATCH(Mezclado!$A70, _xlfn._xlws.FILTER(Procesos!$A$2:$A$23, Procesos!D$2:D$23="Laminado"), 0)), Mezclado!G70/(1-Formula!$B$18),0)</f>
        <v>1268.0744937515251</v>
      </c>
    </row>
    <row r="71" spans="1:6" x14ac:dyDescent="0.25">
      <c r="A71" s="4" t="str">
        <v>Marcabal</v>
      </c>
      <c r="B71" s="11">
        <v>4061.92</v>
      </c>
      <c r="C71" s="5">
        <v>45945</v>
      </c>
      <c r="D71" s="11" cm="1">
        <f t="array" ref="D71">IF(ISNUMBER(MATCH(Mezclado!$A71, _xlfn._xlws.FILTER(Procesos!$A$2:$A$23, Procesos!B$2:B$23="Laminado"), 0)), Mezclado!E71/(1-Formula!$B$18),0)</f>
        <v>468.5875524471312</v>
      </c>
      <c r="E71" s="11" cm="1">
        <f t="array" ref="E71">IF(ISNUMBER(MATCH(Mezclado!$A71, _xlfn._xlws.FILTER(Procesos!$A$2:$A$23, Procesos!C$2:C$23="Laminado"), 0)), Mezclado!F71/(1-Formula!$B$18),0)</f>
        <v>0</v>
      </c>
      <c r="F71" s="11" cm="1">
        <f t="array" ref="F71">IF(ISNUMBER(MATCH(Mezclado!$A71, _xlfn._xlws.FILTER(Procesos!$A$2:$A$23, Procesos!D$2:D$23="Laminado"), 0)), Mezclado!G71/(1-Formula!$B$18),0)</f>
        <v>2374.7478832895085</v>
      </c>
    </row>
    <row r="72" spans="1:6" x14ac:dyDescent="0.25">
      <c r="A72" s="4" t="str">
        <v>Julcán</v>
      </c>
      <c r="B72" s="11">
        <v>2588</v>
      </c>
      <c r="C72" s="5">
        <v>45946</v>
      </c>
      <c r="D72" s="11" cm="1">
        <f t="array" ref="D72">IF(ISNUMBER(MATCH(Mezclado!$A72, _xlfn._xlws.FILTER(Procesos!$A$2:$A$23, Procesos!B$2:B$23="Laminado"), 0)), Mezclado!E72/(1-Formula!$B$18),0)</f>
        <v>142.39153898130829</v>
      </c>
      <c r="E72" s="11" cm="1">
        <f t="array" ref="E72">IF(ISNUMBER(MATCH(Mezclado!$A72, _xlfn._xlws.FILTER(Procesos!$A$2:$A$23, Procesos!C$2:C$23="Laminado"), 0)), Mezclado!F72/(1-Formula!$B$18),0)</f>
        <v>418.59994397607238</v>
      </c>
      <c r="F72" s="11" cm="1">
        <f t="array" ref="F72">IF(ISNUMBER(MATCH(Mezclado!$A72, _xlfn._xlws.FILTER(Procesos!$A$2:$A$23, Procesos!D$2:D$23="Laminado"), 0)), Mezclado!G72/(1-Formula!$B$18),0)</f>
        <v>0</v>
      </c>
    </row>
    <row r="73" spans="1:6" x14ac:dyDescent="0.25">
      <c r="A73" s="4" t="str">
        <v>Chiclayo</v>
      </c>
      <c r="B73" s="11">
        <v>11824</v>
      </c>
      <c r="C73" s="5">
        <v>45951</v>
      </c>
      <c r="D73" s="11" cm="1">
        <f t="array" ref="D73">IF(ISNUMBER(MATCH(Mezclado!$A73, _xlfn._xlws.FILTER(Procesos!$A$2:$A$23, Procesos!B$2:B$23="Laminado"), 0)), Mezclado!E73/(1-Formula!$B$18),0)</f>
        <v>3351.4291021211789</v>
      </c>
      <c r="E73" s="11" cm="1">
        <f t="array" ref="E73">IF(ISNUMBER(MATCH(Mezclado!$A73, _xlfn._xlws.FILTER(Procesos!$A$2:$A$23, Procesos!C$2:C$23="Laminado"), 0)), Mezclado!F73/(1-Formula!$B$18),0)</f>
        <v>4659.5441981600461</v>
      </c>
      <c r="F73" s="11" cm="1">
        <f t="array" ref="F73">IF(ISNUMBER(MATCH(Mezclado!$A73, _xlfn._xlws.FILTER(Procesos!$A$2:$A$23, Procesos!D$2:D$23="Laminado"), 0)), Mezclado!G73/(1-Formula!$B$18),0)</f>
        <v>0</v>
      </c>
    </row>
    <row r="74" spans="1:6" x14ac:dyDescent="0.25">
      <c r="A74" s="4" t="str">
        <v>Olmos</v>
      </c>
      <c r="B74" s="11">
        <v>5840</v>
      </c>
      <c r="C74" s="5">
        <v>45962</v>
      </c>
      <c r="D74" s="11" cm="1">
        <f t="array" ref="D74">IF(ISNUMBER(MATCH(Mezclado!$A74, _xlfn._xlws.FILTER(Procesos!$A$2:$A$23, Procesos!B$2:B$23="Laminado"), 0)), Mezclado!E74/(1-Formula!$B$18),0)</f>
        <v>2100.8691740888335</v>
      </c>
      <c r="E74" s="11" cm="1">
        <f t="array" ref="E74">IF(ISNUMBER(MATCH(Mezclado!$A74, _xlfn._xlws.FILTER(Procesos!$A$2:$A$23, Procesos!C$2:C$23="Laminado"), 0)), Mezclado!F74/(1-Formula!$B$18),0)</f>
        <v>1750.8220356765992</v>
      </c>
      <c r="F74" s="11" cm="1">
        <f t="array" ref="F74">IF(ISNUMBER(MATCH(Mezclado!$A74, _xlfn._xlws.FILTER(Procesos!$A$2:$A$23, Procesos!D$2:D$23="Laminado"), 0)), Mezclado!G74/(1-Formula!$B$18),0)</f>
        <v>0</v>
      </c>
    </row>
    <row r="82" spans="4:6" x14ac:dyDescent="0.25">
      <c r="D82" s="11">
        <f>E82*0.997</f>
        <v>2400.5755755755758</v>
      </c>
      <c r="E82" s="11">
        <f>E55/2</f>
        <v>2407.7989724930549</v>
      </c>
    </row>
    <row r="83" spans="4:6" x14ac:dyDescent="0.25">
      <c r="F83" s="11">
        <f>F56/2</f>
        <v>0</v>
      </c>
    </row>
    <row r="84" spans="4:6" x14ac:dyDescent="0.25">
      <c r="D84" s="11">
        <f>D56/500</f>
        <v>4.0427342086319022</v>
      </c>
      <c r="E84" s="11">
        <f>E56/500</f>
        <v>3.3691332255023325</v>
      </c>
      <c r="F84" s="11">
        <f>F56/500/2</f>
        <v>0</v>
      </c>
    </row>
    <row r="85" spans="4:6" x14ac:dyDescent="0.25">
      <c r="D85" s="11">
        <f>D84*60</f>
        <v>242.56405251791415</v>
      </c>
      <c r="F85" s="11">
        <f>F84-ROUNDDOWN(F84,0)</f>
        <v>0</v>
      </c>
    </row>
    <row r="86" spans="4:6" x14ac:dyDescent="0.25">
      <c r="F86" s="11">
        <f>F85*60</f>
        <v>0</v>
      </c>
    </row>
    <row r="87" spans="4:6" x14ac:dyDescent="0.25">
      <c r="D87" s="10"/>
    </row>
    <row r="89" spans="4:6" x14ac:dyDescent="0.25">
      <c r="D89" s="11">
        <f>D38/500</f>
        <v>3.775490636072381</v>
      </c>
      <c r="E89" s="11">
        <f>E38/500</f>
        <v>1.6180674154595918</v>
      </c>
    </row>
    <row r="90" spans="4:6" x14ac:dyDescent="0.25">
      <c r="D90" s="11">
        <f t="shared" ref="D90:E90" si="0">D89*60</f>
        <v>226.52943816434285</v>
      </c>
      <c r="E90" s="11">
        <f t="shared" si="0"/>
        <v>97.084044927575505</v>
      </c>
    </row>
  </sheetData>
  <autoFilter ref="A1:F64" xr:uid="{725CC508-74F1-47F9-8E97-E2D1FA973DC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0E8C-4F27-428E-970B-6AA51A1F15CB}">
  <dimension ref="A1:L74"/>
  <sheetViews>
    <sheetView workbookViewId="0">
      <pane ySplit="1" topLeftCell="A47" activePane="bottomLeft" state="frozen"/>
      <selection pane="bottomLeft" activeCell="H67" sqref="H67"/>
    </sheetView>
  </sheetViews>
  <sheetFormatPr baseColWidth="10" defaultRowHeight="15" x14ac:dyDescent="0.25"/>
  <cols>
    <col min="1" max="1" width="18" style="4" bestFit="1" customWidth="1"/>
    <col min="2" max="2" width="13.140625" style="11" bestFit="1" customWidth="1"/>
    <col min="3" max="3" width="10.42578125" style="5" bestFit="1" customWidth="1"/>
    <col min="4" max="5" width="11.42578125" style="11"/>
  </cols>
  <sheetData>
    <row r="1" spans="1:12" ht="15.75" thickBot="1" x14ac:dyDescent="0.3">
      <c r="A1" s="23" t="s">
        <v>3</v>
      </c>
      <c r="B1" s="24" t="s">
        <v>6</v>
      </c>
      <c r="C1" s="25" t="s">
        <v>7</v>
      </c>
      <c r="D1" s="24" t="s">
        <v>33</v>
      </c>
      <c r="E1" s="24" t="s">
        <v>31</v>
      </c>
      <c r="F1" s="24" t="s">
        <v>34</v>
      </c>
      <c r="G1" s="37" t="s">
        <v>46</v>
      </c>
      <c r="H1" s="37" t="s">
        <v>62</v>
      </c>
      <c r="I1" s="37" t="s">
        <v>70</v>
      </c>
      <c r="J1" s="37" t="s">
        <v>61</v>
      </c>
      <c r="K1" s="38" t="s">
        <v>55</v>
      </c>
      <c r="L1" s="38" t="s">
        <v>75</v>
      </c>
    </row>
    <row r="2" spans="1:12" x14ac:dyDescent="0.25">
      <c r="A2" s="4" t="str" cm="1">
        <f t="array" ref="A2:C74">Mezclado!A2:C74</f>
        <v>San Jose</v>
      </c>
      <c r="B2" s="11">
        <v>3347</v>
      </c>
      <c r="C2" s="5">
        <v>45630</v>
      </c>
      <c r="D2" s="11" cm="1">
        <f t="array" ref="D2">IF(ISNUMBER(MATCH(Mezclado!$A2, _xlfn._xlws.FILTER(Procesos!$A$2:$A$23, Procesos!C$2:C$23="Molido"), 0)), Mezclado!F2/(1-Formula!$B$17),0)</f>
        <v>0</v>
      </c>
      <c r="E2" s="11" cm="1">
        <f t="array" ref="E2">IF(ISNUMBER(MATCH(Mezclado!$A2, _xlfn._xlws.FILTER(Procesos!$A$2:$A$23, Procesos!D$2:D$23="Molido"), 0)), Mezclado!G2/(1-Formula!$B$17),0)</f>
        <v>0</v>
      </c>
      <c r="F2" s="11" cm="1">
        <f t="array" ref="F2">IF(ISNUMBER(MATCH(Mezclado!$A2, _xlfn._xlws.FILTER(Procesos!$A$2:$A$23, Procesos!E$2:E$23="Molido"), 0)), Mezclado!H2/(1-Formula!$B$17),0)</f>
        <v>70.083859369573659</v>
      </c>
      <c r="G2" s="11" cm="1">
        <f t="array" ref="G2">IF(ISNUMBER(MATCH(Mezclado!$A2, _xlfn._xlws.FILTER(Procesos!$A$2:$A$23, Procesos!F$2:F$23="Molido"), 0)), Mezclado!I2/(1-Formula!$B$17),0)</f>
        <v>701.52233866519578</v>
      </c>
      <c r="H2" s="11" cm="1">
        <f t="array" ref="H2">IF(ISNUMBER(MATCH(Mezclado!$A2, _xlfn._xlws.FILTER(Procesos!$A$2:$A$23, Procesos!H$2:H$23="Molido"), 0)), Mezclado!K2/(1-Formula!$B$17),0)</f>
        <v>0</v>
      </c>
      <c r="I2" s="11" cm="1">
        <f t="array" ref="I2">IF(ISNUMBER(MATCH(Mezclado!$A2, _xlfn._xlws.FILTER(Procesos!$A$2:$A$23, Procesos!I$2:I$23="Molido"), 0)), Mezclado!L2/(1-Formula!$B$17),0)</f>
        <v>0</v>
      </c>
      <c r="J2" s="11" cm="1">
        <f t="array" ref="J2">IF(ISNUMBER(MATCH(Mezclado!$A2, _xlfn._xlws.FILTER(Procesos!$A$2:$A$23, Procesos!K$2:K$23="Molido"), 0)), Mezclado!N2/(1-Formula!$B$17),0)</f>
        <v>0</v>
      </c>
      <c r="K2" s="11" cm="1">
        <f t="array" ref="K2">IF(ISNUMBER(MATCH(Mezclado!$A2, _xlfn._xlws.FILTER(Procesos!$A$2:$A$23, Procesos!M$2:M$23="Molido"), 0)), Mezclado!P2/(1-Formula!$B$17),0)</f>
        <v>0</v>
      </c>
      <c r="L2" s="11" cm="1">
        <f t="array" ref="L2:L74">Mezclado!V2:V74/(1-Formula!$B$17)</f>
        <v>0</v>
      </c>
    </row>
    <row r="3" spans="1:12" x14ac:dyDescent="0.25">
      <c r="A3" s="22" t="str">
        <v>Pataz - Tayabamba</v>
      </c>
      <c r="B3" s="11">
        <v>9286</v>
      </c>
      <c r="C3" s="5">
        <v>45642</v>
      </c>
      <c r="D3" s="11" cm="1">
        <f t="array" ref="D3">IF(ISNUMBER(MATCH(Mezclado!$A3, _xlfn._xlws.FILTER(Procesos!$A$2:$A$23, Procesos!C$2:C$23="Molido"), 0)), Mezclado!F3/(1-Formula!$B$17),0)</f>
        <v>2529.6482196482193</v>
      </c>
      <c r="E3" s="11" cm="1">
        <f t="array" ref="E3">IF(ISNUMBER(MATCH(Mezclado!$A3, _xlfn._xlws.FILTER(Procesos!$A$2:$A$23, Procesos!D$2:D$23="Molido"), 0)), Mezclado!G3/(1-Formula!$B$17),0)</f>
        <v>2678.5626442769299</v>
      </c>
      <c r="F3" s="11" cm="1">
        <f t="array" ref="F3">IF(ISNUMBER(MATCH(Mezclado!$A3, _xlfn._xlws.FILTER(Procesos!$A$2:$A$23, Procesos!E$2:E$23="Molido"), 0)), Mezclado!H3/(1-Formula!$B$17),0)</f>
        <v>743.62362362362353</v>
      </c>
      <c r="G3" s="11" cm="1">
        <f t="array" ref="G3">IF(ISNUMBER(MATCH(Mezclado!$A3, _xlfn._xlws.FILTER(Procesos!$A$2:$A$23, Procesos!F$2:F$23="Molido"), 0)), Mezclado!I3/(1-Formula!$B$17),0)</f>
        <v>0</v>
      </c>
      <c r="H3" s="11" cm="1">
        <f t="array" ref="H3">IF(ISNUMBER(MATCH(Mezclado!$A3, _xlfn._xlws.FILTER(Procesos!$A$2:$A$23, Procesos!H$2:H$23="Molido"), 0)), Mezclado!K3/(1-Formula!$B$17),0)</f>
        <v>0</v>
      </c>
      <c r="I3" s="11" cm="1">
        <f t="array" ref="I3">IF(ISNUMBER(MATCH(Mezclado!$A3, _xlfn._xlws.FILTER(Procesos!$A$2:$A$23, Procesos!I$2:I$23="Molido"), 0)), Mezclado!L3/(1-Formula!$B$17),0)</f>
        <v>0</v>
      </c>
      <c r="J3" s="11" cm="1">
        <f t="array" ref="J3">IF(ISNUMBER(MATCH(Mezclado!$A3, _xlfn._xlws.FILTER(Procesos!$A$2:$A$23, Procesos!K$2:K$23="Molido"), 0)), Mezclado!N3/(1-Formula!$B$17),0)</f>
        <v>1339.2813221384649</v>
      </c>
      <c r="K3" s="11" cm="1">
        <f t="array" ref="K3">IF(ISNUMBER(MATCH(Mezclado!$A3, _xlfn._xlws.FILTER(Procesos!$A$2:$A$23, Procesos!M$2:M$23="Molido"), 0)), Mezclado!P3/(1-Formula!$B$17),0)</f>
        <v>0</v>
      </c>
      <c r="L3" s="11">
        <v>0</v>
      </c>
    </row>
    <row r="4" spans="1:12" x14ac:dyDescent="0.25">
      <c r="A4" s="22" t="str">
        <v>Viru</v>
      </c>
      <c r="B4" s="11">
        <v>2810</v>
      </c>
      <c r="C4" s="5">
        <v>45653</v>
      </c>
      <c r="D4" s="11" cm="1">
        <f t="array" ref="D4">IF(ISNUMBER(MATCH(Mezclado!$A4, _xlfn._xlws.FILTER(Procesos!$A$2:$A$23, Procesos!C$2:C$23="Molido"), 0)), Mezclado!F4/(1-Formula!$B$17),0)</f>
        <v>0</v>
      </c>
      <c r="E4" s="11" cm="1">
        <f t="array" ref="E4">IF(ISNUMBER(MATCH(Mezclado!$A4, _xlfn._xlws.FILTER(Procesos!$A$2:$A$23, Procesos!D$2:D$23="Molido"), 0)), Mezclado!G4/(1-Formula!$B$17),0)</f>
        <v>0</v>
      </c>
      <c r="F4" s="11" cm="1">
        <f t="array" ref="F4">IF(ISNUMBER(MATCH(Mezclado!$A4, _xlfn._xlws.FILTER(Procesos!$A$2:$A$23, Procesos!E$2:E$23="Molido"), 0)), Mezclado!H4/(1-Formula!$B$17),0)</f>
        <v>0</v>
      </c>
      <c r="G4" s="11" cm="1">
        <f t="array" ref="G4">IF(ISNUMBER(MATCH(Mezclado!$A4, _xlfn._xlws.FILTER(Procesos!$A$2:$A$23, Procesos!F$2:F$23="Molido"), 0)), Mezclado!I4/(1-Formula!$B$17),0)</f>
        <v>292.76214990500705</v>
      </c>
      <c r="H4" s="11" cm="1">
        <f t="array" ref="H4">IF(ISNUMBER(MATCH(Mezclado!$A4, _xlfn._xlws.FILTER(Procesos!$A$2:$A$23, Procesos!H$2:H$23="Molido"), 0)), Mezclado!K4/(1-Formula!$B$17),0)</f>
        <v>0</v>
      </c>
      <c r="I4" s="11" cm="1">
        <f t="array" ref="I4">IF(ISNUMBER(MATCH(Mezclado!$A4, _xlfn._xlws.FILTER(Procesos!$A$2:$A$23, Procesos!I$2:I$23="Molido"), 0)), Mezclado!L4/(1-Formula!$B$17),0)</f>
        <v>0</v>
      </c>
      <c r="J4" s="11" cm="1">
        <f t="array" ref="J4">IF(ISNUMBER(MATCH(Mezclado!$A4, _xlfn._xlws.FILTER(Procesos!$A$2:$A$23, Procesos!K$2:K$23="Molido"), 0)), Mezclado!N4/(1-Formula!$B$17),0)</f>
        <v>0</v>
      </c>
      <c r="K4" s="11" cm="1">
        <f t="array" ref="K4">IF(ISNUMBER(MATCH(Mezclado!$A4, _xlfn._xlws.FILTER(Procesos!$A$2:$A$23, Procesos!M$2:M$23="Molido"), 0)), Mezclado!P4/(1-Formula!$B$17),0)</f>
        <v>0</v>
      </c>
      <c r="L4" s="11">
        <v>0</v>
      </c>
    </row>
    <row r="5" spans="1:12" x14ac:dyDescent="0.25">
      <c r="A5" s="22" t="str">
        <v>Julcán</v>
      </c>
      <c r="B5" s="11">
        <v>2588</v>
      </c>
      <c r="C5" s="5">
        <v>45656</v>
      </c>
      <c r="D5" s="11" cm="1">
        <f t="array" ref="D5">IF(ISNUMBER(MATCH(Mezclado!$A5, _xlfn._xlws.FILTER(Procesos!$A$2:$A$23, Procesos!C$2:C$23="Molido"), 0)), Mezclado!F5/(1-Formula!$B$17),0)</f>
        <v>0</v>
      </c>
      <c r="E5" s="11" cm="1">
        <f t="array" ref="E5">IF(ISNUMBER(MATCH(Mezclado!$A5, _xlfn._xlws.FILTER(Procesos!$A$2:$A$23, Procesos!D$2:D$23="Molido"), 0)), Mezclado!G5/(1-Formula!$B$17),0)</f>
        <v>0</v>
      </c>
      <c r="F5" s="11" cm="1">
        <f t="array" ref="F5">IF(ISNUMBER(MATCH(Mezclado!$A5, _xlfn._xlws.FILTER(Procesos!$A$2:$A$23, Procesos!E$2:E$23="Molido"), 0)), Mezclado!H5/(1-Formula!$B$17),0)</f>
        <v>254.30083144368859</v>
      </c>
      <c r="G5" s="11" cm="1">
        <f t="array" ref="G5">IF(ISNUMBER(MATCH(Mezclado!$A5, _xlfn._xlws.FILTER(Procesos!$A$2:$A$23, Procesos!F$2:F$23="Molido"), 0)), Mezclado!I5/(1-Formula!$B$17),0)</f>
        <v>1704.2385242385246</v>
      </c>
      <c r="H5" s="11" cm="1">
        <f t="array" ref="H5">IF(ISNUMBER(MATCH(Mezclado!$A5, _xlfn._xlws.FILTER(Procesos!$A$2:$A$23, Procesos!H$2:H$23="Molido"), 0)), Mezclado!K5/(1-Formula!$B$17),0)</f>
        <v>0</v>
      </c>
      <c r="I5" s="11" cm="1">
        <f t="array" ref="I5">IF(ISNUMBER(MATCH(Mezclado!$A5, _xlfn._xlws.FILTER(Procesos!$A$2:$A$23, Procesos!I$2:I$23="Molido"), 0)), Mezclado!L5/(1-Formula!$B$17),0)</f>
        <v>0</v>
      </c>
      <c r="J5" s="11" cm="1">
        <f t="array" ref="J5">IF(ISNUMBER(MATCH(Mezclado!$A5, _xlfn._xlws.FILTER(Procesos!$A$2:$A$23, Procesos!K$2:K$23="Molido"), 0)), Mezclado!N5/(1-Formula!$B$17),0)</f>
        <v>0</v>
      </c>
      <c r="K5" s="11" cm="1">
        <f t="array" ref="K5">IF(ISNUMBER(MATCH(Mezclado!$A5, _xlfn._xlws.FILTER(Procesos!$A$2:$A$23, Procesos!M$2:M$23="Molido"), 0)), Mezclado!P5/(1-Formula!$B$17),0)</f>
        <v>0</v>
      </c>
      <c r="L5" s="11">
        <v>0</v>
      </c>
    </row>
    <row r="6" spans="1:12" x14ac:dyDescent="0.25">
      <c r="A6" s="22" t="str">
        <v>Olmos</v>
      </c>
      <c r="B6" s="11">
        <v>5252</v>
      </c>
      <c r="C6" s="5">
        <v>45665</v>
      </c>
      <c r="D6" s="11" cm="1">
        <f t="array" ref="D6">IF(ISNUMBER(MATCH(Mezclado!$A6, _xlfn._xlws.FILTER(Procesos!$A$2:$A$23, Procesos!C$2:C$23="Molido"), 0)), Mezclado!F6/(1-Formula!$B$17),0)</f>
        <v>0</v>
      </c>
      <c r="E6" s="11" cm="1">
        <f t="array" ref="E6">IF(ISNUMBER(MATCH(Mezclado!$A6, _xlfn._xlws.FILTER(Procesos!$A$2:$A$23, Procesos!D$2:D$23="Molido"), 0)), Mezclado!G6/(1-Formula!$B$17),0)</f>
        <v>640.52705766991483</v>
      </c>
      <c r="F6" s="11" cm="1">
        <f t="array" ref="F6">IF(ISNUMBER(MATCH(Mezclado!$A6, _xlfn._xlws.FILTER(Procesos!$A$2:$A$23, Procesos!E$2:E$23="Molido"), 0)), Mezclado!H6/(1-Formula!$B$17),0)</f>
        <v>47.208024350881502</v>
      </c>
      <c r="G6" s="11" cm="1">
        <f t="array" ref="G6">IF(ISNUMBER(MATCH(Mezclado!$A6, _xlfn._xlws.FILTER(Procesos!$A$2:$A$23, Procesos!F$2:F$23="Molido"), 0)), Mezclado!I6/(1-Formula!$B$17),0)</f>
        <v>0</v>
      </c>
      <c r="H6" s="11" cm="1">
        <f t="array" ref="H6">IF(ISNUMBER(MATCH(Mezclado!$A6, _xlfn._xlws.FILTER(Procesos!$A$2:$A$23, Procesos!H$2:H$23="Molido"), 0)), Mezclado!K6/(1-Formula!$B$17),0)</f>
        <v>0</v>
      </c>
      <c r="I6" s="11" cm="1">
        <f t="array" ref="I6">IF(ISNUMBER(MATCH(Mezclado!$A6, _xlfn._xlws.FILTER(Procesos!$A$2:$A$23, Procesos!I$2:I$23="Molido"), 0)), Mezclado!L6/(1-Formula!$B$17),0)</f>
        <v>0</v>
      </c>
      <c r="J6" s="11" cm="1">
        <f t="array" ref="J6">IF(ISNUMBER(MATCH(Mezclado!$A6, _xlfn._xlws.FILTER(Procesos!$A$2:$A$23, Procesos!K$2:K$23="Molido"), 0)), Mezclado!N6/(1-Formula!$B$17),0)</f>
        <v>0</v>
      </c>
      <c r="K6" s="11" cm="1">
        <f t="array" ref="K6">IF(ISNUMBER(MATCH(Mezclado!$A6, _xlfn._xlws.FILTER(Procesos!$A$2:$A$23, Procesos!M$2:M$23="Molido"), 0)), Mezclado!P6/(1-Formula!$B$17),0)</f>
        <v>0</v>
      </c>
      <c r="L6" s="11">
        <v>0</v>
      </c>
    </row>
    <row r="7" spans="1:12" x14ac:dyDescent="0.25">
      <c r="A7" s="22" t="str">
        <v>Marcabal</v>
      </c>
      <c r="B7" s="11">
        <v>4061.92</v>
      </c>
      <c r="C7" s="5">
        <v>45671</v>
      </c>
      <c r="D7" s="11" cm="1">
        <f t="array" ref="D7">IF(ISNUMBER(MATCH(Mezclado!$A7, _xlfn._xlws.FILTER(Procesos!$A$2:$A$23, Procesos!C$2:C$23="Molido"), 0)), Mezclado!F7/(1-Formula!$B$17),0)</f>
        <v>0</v>
      </c>
      <c r="E7" s="11" cm="1">
        <f t="array" ref="E7">IF(ISNUMBER(MATCH(Mezclado!$A7, _xlfn._xlws.FILTER(Procesos!$A$2:$A$23, Procesos!D$2:D$23="Molido"), 0)), Mezclado!G7/(1-Formula!$B$17),0)</f>
        <v>0</v>
      </c>
      <c r="F7" s="11" cm="1">
        <f t="array" ref="F7">IF(ISNUMBER(MATCH(Mezclado!$A7, _xlfn._xlws.FILTER(Procesos!$A$2:$A$23, Procesos!E$2:E$23="Molido"), 0)), Mezclado!H7/(1-Formula!$B$17),0)</f>
        <v>335.2363955792527</v>
      </c>
      <c r="G7" s="11" cm="1">
        <f t="array" ref="G7">IF(ISNUMBER(MATCH(Mezclado!$A7, _xlfn._xlws.FILTER(Procesos!$A$2:$A$23, Procesos!F$2:F$23="Molido"), 0)), Mezclado!I7/(1-Formula!$B$17),0)</f>
        <v>0</v>
      </c>
      <c r="H7" s="11" cm="1">
        <f t="array" ref="H7">IF(ISNUMBER(MATCH(Mezclado!$A7, _xlfn._xlws.FILTER(Procesos!$A$2:$A$23, Procesos!H$2:H$23="Molido"), 0)), Mezclado!K7/(1-Formula!$B$17),0)</f>
        <v>0</v>
      </c>
      <c r="I7" s="11" cm="1">
        <f t="array" ref="I7">IF(ISNUMBER(MATCH(Mezclado!$A7, _xlfn._xlws.FILTER(Procesos!$A$2:$A$23, Procesos!I$2:I$23="Molido"), 0)), Mezclado!L7/(1-Formula!$B$17),0)</f>
        <v>458.87556127556132</v>
      </c>
      <c r="J7" s="11" cm="1">
        <f t="array" ref="J7">IF(ISNUMBER(MATCH(Mezclado!$A7, _xlfn._xlws.FILTER(Procesos!$A$2:$A$23, Procesos!K$2:K$23="Molido"), 0)), Mezclado!N7/(1-Formula!$B$17),0)</f>
        <v>0</v>
      </c>
      <c r="K7" s="11" cm="1">
        <f t="array" ref="K7">IF(ISNUMBER(MATCH(Mezclado!$A7, _xlfn._xlws.FILTER(Procesos!$A$2:$A$23, Procesos!M$2:M$23="Molido"), 0)), Mezclado!P7/(1-Formula!$B$17),0)</f>
        <v>7.8830340544626258</v>
      </c>
      <c r="L7" s="11">
        <v>0</v>
      </c>
    </row>
    <row r="8" spans="1:12" x14ac:dyDescent="0.25">
      <c r="A8" s="22" t="str">
        <v>Julcán</v>
      </c>
      <c r="B8" s="11">
        <v>2588</v>
      </c>
      <c r="C8" s="5">
        <v>45673</v>
      </c>
      <c r="D8" s="11" cm="1">
        <f t="array" ref="D8">IF(ISNUMBER(MATCH(Mezclado!$A8, _xlfn._xlws.FILTER(Procesos!$A$2:$A$23, Procesos!C$2:C$23="Molido"), 0)), Mezclado!F8/(1-Formula!$B$17),0)</f>
        <v>0</v>
      </c>
      <c r="E8" s="11" cm="1">
        <f t="array" ref="E8">IF(ISNUMBER(MATCH(Mezclado!$A8, _xlfn._xlws.FILTER(Procesos!$A$2:$A$23, Procesos!D$2:D$23="Molido"), 0)), Mezclado!G8/(1-Formula!$B$17),0)</f>
        <v>0</v>
      </c>
      <c r="F8" s="11" cm="1">
        <f t="array" ref="F8">IF(ISNUMBER(MATCH(Mezclado!$A8, _xlfn._xlws.FILTER(Procesos!$A$2:$A$23, Procesos!E$2:E$23="Molido"), 0)), Mezclado!H8/(1-Formula!$B$17),0)</f>
        <v>254.30083144368859</v>
      </c>
      <c r="G8" s="11" cm="1">
        <f t="array" ref="G8">IF(ISNUMBER(MATCH(Mezclado!$A8, _xlfn._xlws.FILTER(Procesos!$A$2:$A$23, Procesos!F$2:F$23="Molido"), 0)), Mezclado!I8/(1-Formula!$B$17),0)</f>
        <v>1704.2385242385246</v>
      </c>
      <c r="H8" s="11" cm="1">
        <f t="array" ref="H8">IF(ISNUMBER(MATCH(Mezclado!$A8, _xlfn._xlws.FILTER(Procesos!$A$2:$A$23, Procesos!H$2:H$23="Molido"), 0)), Mezclado!K8/(1-Formula!$B$17),0)</f>
        <v>0</v>
      </c>
      <c r="I8" s="11" cm="1">
        <f t="array" ref="I8">IF(ISNUMBER(MATCH(Mezclado!$A8, _xlfn._xlws.FILTER(Procesos!$A$2:$A$23, Procesos!I$2:I$23="Molido"), 0)), Mezclado!L8/(1-Formula!$B$17),0)</f>
        <v>0</v>
      </c>
      <c r="J8" s="11" cm="1">
        <f t="array" ref="J8">IF(ISNUMBER(MATCH(Mezclado!$A8, _xlfn._xlws.FILTER(Procesos!$A$2:$A$23, Procesos!K$2:K$23="Molido"), 0)), Mezclado!N8/(1-Formula!$B$17),0)</f>
        <v>0</v>
      </c>
      <c r="K8" s="11" cm="1">
        <f t="array" ref="K8">IF(ISNUMBER(MATCH(Mezclado!$A8, _xlfn._xlws.FILTER(Procesos!$A$2:$A$23, Procesos!M$2:M$23="Molido"), 0)), Mezclado!P8/(1-Formula!$B$17),0)</f>
        <v>0</v>
      </c>
      <c r="L8" s="11">
        <v>0</v>
      </c>
    </row>
    <row r="9" spans="1:12" x14ac:dyDescent="0.25">
      <c r="A9" s="22" t="str">
        <v>Olmos</v>
      </c>
      <c r="B9" s="11">
        <v>5840</v>
      </c>
      <c r="C9" s="5">
        <v>45691</v>
      </c>
      <c r="D9" s="11" cm="1">
        <f t="array" ref="D9">IF(ISNUMBER(MATCH(Mezclado!$A9, _xlfn._xlws.FILTER(Procesos!$A$2:$A$23, Procesos!C$2:C$23="Molido"), 0)), Mezclado!F9/(1-Formula!$B$17),0)</f>
        <v>0</v>
      </c>
      <c r="E9" s="11" cm="1">
        <f t="array" ref="E9">IF(ISNUMBER(MATCH(Mezclado!$A9, _xlfn._xlws.FILTER(Procesos!$A$2:$A$23, Procesos!D$2:D$23="Molido"), 0)), Mezclado!G9/(1-Formula!$B$17),0)</f>
        <v>712.23876938162664</v>
      </c>
      <c r="F9" s="11" cm="1">
        <f t="array" ref="F9">IF(ISNUMBER(MATCH(Mezclado!$A9, _xlfn._xlws.FILTER(Procesos!$A$2:$A$23, Procesos!E$2:E$23="Molido"), 0)), Mezclado!H9/(1-Formula!$B$17),0)</f>
        <v>52.493309636166785</v>
      </c>
      <c r="G9" s="11" cm="1">
        <f t="array" ref="G9">IF(ISNUMBER(MATCH(Mezclado!$A9, _xlfn._xlws.FILTER(Procesos!$A$2:$A$23, Procesos!F$2:F$23="Molido"), 0)), Mezclado!I9/(1-Formula!$B$17),0)</f>
        <v>0</v>
      </c>
      <c r="H9" s="11" cm="1">
        <f t="array" ref="H9">IF(ISNUMBER(MATCH(Mezclado!$A9, _xlfn._xlws.FILTER(Procesos!$A$2:$A$23, Procesos!H$2:H$23="Molido"), 0)), Mezclado!K9/(1-Formula!$B$17),0)</f>
        <v>0</v>
      </c>
      <c r="I9" s="11" cm="1">
        <f t="array" ref="I9">IF(ISNUMBER(MATCH(Mezclado!$A9, _xlfn._xlws.FILTER(Procesos!$A$2:$A$23, Procesos!I$2:I$23="Molido"), 0)), Mezclado!L9/(1-Formula!$B$17),0)</f>
        <v>0</v>
      </c>
      <c r="J9" s="11" cm="1">
        <f t="array" ref="J9">IF(ISNUMBER(MATCH(Mezclado!$A9, _xlfn._xlws.FILTER(Procesos!$A$2:$A$23, Procesos!K$2:K$23="Molido"), 0)), Mezclado!N9/(1-Formula!$B$17),0)</f>
        <v>0</v>
      </c>
      <c r="K9" s="11" cm="1">
        <f t="array" ref="K9">IF(ISNUMBER(MATCH(Mezclado!$A9, _xlfn._xlws.FILTER(Procesos!$A$2:$A$23, Procesos!M$2:M$23="Molido"), 0)), Mezclado!P9/(1-Formula!$B$17),0)</f>
        <v>0</v>
      </c>
      <c r="L9" s="11">
        <v>0</v>
      </c>
    </row>
    <row r="10" spans="1:12" x14ac:dyDescent="0.25">
      <c r="A10" s="22" t="str">
        <v>San Pedro de Lloc</v>
      </c>
      <c r="B10" s="11">
        <v>4691</v>
      </c>
      <c r="C10" s="5">
        <v>45691</v>
      </c>
      <c r="D10" s="11" cm="1">
        <f t="array" ref="D10">IF(ISNUMBER(MATCH(Mezclado!$A10, _xlfn._xlws.FILTER(Procesos!$A$2:$A$23, Procesos!C$2:C$23="Molido"), 0)), Mezclado!F10/(1-Formula!$B$17),0)</f>
        <v>0</v>
      </c>
      <c r="E10" s="11" cm="1">
        <f t="array" ref="E10">IF(ISNUMBER(MATCH(Mezclado!$A10, _xlfn._xlws.FILTER(Procesos!$A$2:$A$23, Procesos!D$2:D$23="Molido"), 0)), Mezclado!G10/(1-Formula!$B$17),0)</f>
        <v>0</v>
      </c>
      <c r="F10" s="11" cm="1">
        <f t="array" ref="F10">IF(ISNUMBER(MATCH(Mezclado!$A10, _xlfn._xlws.FILTER(Procesos!$A$2:$A$23, Procesos!E$2:E$23="Molido"), 0)), Mezclado!H10/(1-Formula!$B$17),0)</f>
        <v>74.268656411513561</v>
      </c>
      <c r="G10" s="11" cm="1">
        <f t="array" ref="G10">IF(ISNUMBER(MATCH(Mezclado!$A10, _xlfn._xlws.FILTER(Procesos!$A$2:$A$23, Procesos!F$2:F$23="Molido"), 0)), Mezclado!I10/(1-Formula!$B$17),0)</f>
        <v>558.21280464137601</v>
      </c>
      <c r="H10" s="11" cm="1">
        <f t="array" ref="H10">IF(ISNUMBER(MATCH(Mezclado!$A10, _xlfn._xlws.FILTER(Procesos!$A$2:$A$23, Procesos!H$2:H$23="Molido"), 0)), Mezclado!K10/(1-Formula!$B$17),0)</f>
        <v>0</v>
      </c>
      <c r="I10" s="11" cm="1">
        <f t="array" ref="I10">IF(ISNUMBER(MATCH(Mezclado!$A10, _xlfn._xlws.FILTER(Procesos!$A$2:$A$23, Procesos!I$2:I$23="Molido"), 0)), Mezclado!L10/(1-Formula!$B$17),0)</f>
        <v>0</v>
      </c>
      <c r="J10" s="11" cm="1">
        <f t="array" ref="J10">IF(ISNUMBER(MATCH(Mezclado!$A10, _xlfn._xlws.FILTER(Procesos!$A$2:$A$23, Procesos!K$2:K$23="Molido"), 0)), Mezclado!N10/(1-Formula!$B$17),0)</f>
        <v>0</v>
      </c>
      <c r="K10" s="11" cm="1">
        <f t="array" ref="K10">IF(ISNUMBER(MATCH(Mezclado!$A10, _xlfn._xlws.FILTER(Procesos!$A$2:$A$23, Procesos!M$2:M$23="Molido"), 0)), Mezclado!P10/(1-Formula!$B$17),0)</f>
        <v>0</v>
      </c>
      <c r="L10" s="11">
        <v>18.686952258380831</v>
      </c>
    </row>
    <row r="11" spans="1:12" x14ac:dyDescent="0.25">
      <c r="A11" s="22" t="str">
        <v>Marcabal</v>
      </c>
      <c r="B11" s="11">
        <v>4061.92</v>
      </c>
      <c r="C11" s="5">
        <v>45700</v>
      </c>
      <c r="D11" s="11" cm="1">
        <f t="array" ref="D11">IF(ISNUMBER(MATCH(Mezclado!$A11, _xlfn._xlws.FILTER(Procesos!$A$2:$A$23, Procesos!C$2:C$23="Molido"), 0)), Mezclado!F11/(1-Formula!$B$17),0)</f>
        <v>0</v>
      </c>
      <c r="E11" s="11" cm="1">
        <f t="array" ref="E11">IF(ISNUMBER(MATCH(Mezclado!$A11, _xlfn._xlws.FILTER(Procesos!$A$2:$A$23, Procesos!D$2:D$23="Molido"), 0)), Mezclado!G11/(1-Formula!$B$17),0)</f>
        <v>0</v>
      </c>
      <c r="F11" s="11" cm="1">
        <f t="array" ref="F11">IF(ISNUMBER(MATCH(Mezclado!$A11, _xlfn._xlws.FILTER(Procesos!$A$2:$A$23, Procesos!E$2:E$23="Molido"), 0)), Mezclado!H11/(1-Formula!$B$17),0)</f>
        <v>335.2363955792527</v>
      </c>
      <c r="G11" s="11" cm="1">
        <f t="array" ref="G11">IF(ISNUMBER(MATCH(Mezclado!$A11, _xlfn._xlws.FILTER(Procesos!$A$2:$A$23, Procesos!F$2:F$23="Molido"), 0)), Mezclado!I11/(1-Formula!$B$17),0)</f>
        <v>0</v>
      </c>
      <c r="H11" s="11" cm="1">
        <f t="array" ref="H11">IF(ISNUMBER(MATCH(Mezclado!$A11, _xlfn._xlws.FILTER(Procesos!$A$2:$A$23, Procesos!H$2:H$23="Molido"), 0)), Mezclado!K11/(1-Formula!$B$17),0)</f>
        <v>0</v>
      </c>
      <c r="I11" s="11" cm="1">
        <f t="array" ref="I11">IF(ISNUMBER(MATCH(Mezclado!$A11, _xlfn._xlws.FILTER(Procesos!$A$2:$A$23, Procesos!I$2:I$23="Molido"), 0)), Mezclado!L11/(1-Formula!$B$17),0)</f>
        <v>458.87556127556132</v>
      </c>
      <c r="J11" s="11" cm="1">
        <f t="array" ref="J11">IF(ISNUMBER(MATCH(Mezclado!$A11, _xlfn._xlws.FILTER(Procesos!$A$2:$A$23, Procesos!K$2:K$23="Molido"), 0)), Mezclado!N11/(1-Formula!$B$17),0)</f>
        <v>0</v>
      </c>
      <c r="K11" s="11" cm="1">
        <f t="array" ref="K11">IF(ISNUMBER(MATCH(Mezclado!$A11, _xlfn._xlws.FILTER(Procesos!$A$2:$A$23, Procesos!M$2:M$23="Molido"), 0)), Mezclado!P11/(1-Formula!$B$17),0)</f>
        <v>7.8830340544626258</v>
      </c>
      <c r="L11" s="11">
        <v>0</v>
      </c>
    </row>
    <row r="12" spans="1:12" x14ac:dyDescent="0.25">
      <c r="A12" s="22" t="str">
        <v>Julcán</v>
      </c>
      <c r="B12" s="11">
        <v>2600</v>
      </c>
      <c r="C12" s="5">
        <v>45702</v>
      </c>
      <c r="D12" s="11" cm="1">
        <f t="array" ref="D12">IF(ISNUMBER(MATCH(Mezclado!$A12, _xlfn._xlws.FILTER(Procesos!$A$2:$A$23, Procesos!C$2:C$23="Molido"), 0)), Mezclado!F12/(1-Formula!$B$17),0)</f>
        <v>0</v>
      </c>
      <c r="E12" s="11" cm="1">
        <f t="array" ref="E12">IF(ISNUMBER(MATCH(Mezclado!$A12, _xlfn._xlws.FILTER(Procesos!$A$2:$A$23, Procesos!D$2:D$23="Molido"), 0)), Mezclado!G12/(1-Formula!$B$17),0)</f>
        <v>0</v>
      </c>
      <c r="F12" s="11" cm="1">
        <f t="array" ref="F12">IF(ISNUMBER(MATCH(Mezclado!$A12, _xlfn._xlws.FILTER(Procesos!$A$2:$A$23, Procesos!E$2:E$23="Molido"), 0)), Mezclado!H12/(1-Formula!$B$17),0)</f>
        <v>255.47996976568405</v>
      </c>
      <c r="G12" s="11" cm="1">
        <f t="array" ref="G12">IF(ISNUMBER(MATCH(Mezclado!$A12, _xlfn._xlws.FILTER(Procesos!$A$2:$A$23, Procesos!F$2:F$23="Molido"), 0)), Mezclado!I12/(1-Formula!$B$17),0)</f>
        <v>1712.1407121407124</v>
      </c>
      <c r="H12" s="11" cm="1">
        <f t="array" ref="H12">IF(ISNUMBER(MATCH(Mezclado!$A12, _xlfn._xlws.FILTER(Procesos!$A$2:$A$23, Procesos!H$2:H$23="Molido"), 0)), Mezclado!K12/(1-Formula!$B$17),0)</f>
        <v>0</v>
      </c>
      <c r="I12" s="11" cm="1">
        <f t="array" ref="I12">IF(ISNUMBER(MATCH(Mezclado!$A12, _xlfn._xlws.FILTER(Procesos!$A$2:$A$23, Procesos!I$2:I$23="Molido"), 0)), Mezclado!L12/(1-Formula!$B$17),0)</f>
        <v>0</v>
      </c>
      <c r="J12" s="11" cm="1">
        <f t="array" ref="J12">IF(ISNUMBER(MATCH(Mezclado!$A12, _xlfn._xlws.FILTER(Procesos!$A$2:$A$23, Procesos!K$2:K$23="Molido"), 0)), Mezclado!N12/(1-Formula!$B$17),0)</f>
        <v>0</v>
      </c>
      <c r="K12" s="11" cm="1">
        <f t="array" ref="K12">IF(ISNUMBER(MATCH(Mezclado!$A12, _xlfn._xlws.FILTER(Procesos!$A$2:$A$23, Procesos!M$2:M$23="Molido"), 0)), Mezclado!P12/(1-Formula!$B$17),0)</f>
        <v>0</v>
      </c>
      <c r="L12" s="11">
        <v>0</v>
      </c>
    </row>
    <row r="13" spans="1:12" x14ac:dyDescent="0.25">
      <c r="A13" s="22" t="str">
        <v>Viru</v>
      </c>
      <c r="B13" s="11">
        <v>3108</v>
      </c>
      <c r="C13" s="5">
        <v>45702</v>
      </c>
      <c r="D13" s="11" cm="1">
        <f t="array" ref="D13">IF(ISNUMBER(MATCH(Mezclado!$A13, _xlfn._xlws.FILTER(Procesos!$A$2:$A$23, Procesos!C$2:C$23="Molido"), 0)), Mezclado!F13/(1-Formula!$B$17),0)</f>
        <v>0</v>
      </c>
      <c r="E13" s="11" cm="1">
        <f t="array" ref="E13">IF(ISNUMBER(MATCH(Mezclado!$A13, _xlfn._xlws.FILTER(Procesos!$A$2:$A$23, Procesos!D$2:D$23="Molido"), 0)), Mezclado!G13/(1-Formula!$B$17),0)</f>
        <v>0</v>
      </c>
      <c r="F13" s="11" cm="1">
        <f t="array" ref="F13">IF(ISNUMBER(MATCH(Mezclado!$A13, _xlfn._xlws.FILTER(Procesos!$A$2:$A$23, Procesos!E$2:E$23="Molido"), 0)), Mezclado!H13/(1-Formula!$B$17),0)</f>
        <v>0</v>
      </c>
      <c r="G13" s="11" cm="1">
        <f t="array" ref="G13">IF(ISNUMBER(MATCH(Mezclado!$A13, _xlfn._xlws.FILTER(Procesos!$A$2:$A$23, Procesos!F$2:F$23="Molido"), 0)), Mezclado!I13/(1-Formula!$B$17),0)</f>
        <v>323.8095238095238</v>
      </c>
      <c r="H13" s="11" cm="1">
        <f t="array" ref="H13">IF(ISNUMBER(MATCH(Mezclado!$A13, _xlfn._xlws.FILTER(Procesos!$A$2:$A$23, Procesos!H$2:H$23="Molido"), 0)), Mezclado!K13/(1-Formula!$B$17),0)</f>
        <v>0</v>
      </c>
      <c r="I13" s="11" cm="1">
        <f t="array" ref="I13">IF(ISNUMBER(MATCH(Mezclado!$A13, _xlfn._xlws.FILTER(Procesos!$A$2:$A$23, Procesos!I$2:I$23="Molido"), 0)), Mezclado!L13/(1-Formula!$B$17),0)</f>
        <v>0</v>
      </c>
      <c r="J13" s="11" cm="1">
        <f t="array" ref="J13">IF(ISNUMBER(MATCH(Mezclado!$A13, _xlfn._xlws.FILTER(Procesos!$A$2:$A$23, Procesos!K$2:K$23="Molido"), 0)), Mezclado!N13/(1-Formula!$B$17),0)</f>
        <v>0</v>
      </c>
      <c r="K13" s="11" cm="1">
        <f t="array" ref="K13">IF(ISNUMBER(MATCH(Mezclado!$A13, _xlfn._xlws.FILTER(Procesos!$A$2:$A$23, Procesos!M$2:M$23="Molido"), 0)), Mezclado!P13/(1-Formula!$B$17),0)</f>
        <v>0</v>
      </c>
      <c r="L13" s="11">
        <v>0</v>
      </c>
    </row>
    <row r="14" spans="1:12" x14ac:dyDescent="0.25">
      <c r="A14" s="22" t="str">
        <v>Olmos</v>
      </c>
      <c r="B14" s="11">
        <v>5611</v>
      </c>
      <c r="C14" s="5">
        <v>45717</v>
      </c>
      <c r="D14" s="11" cm="1">
        <f t="array" ref="D14">IF(ISNUMBER(MATCH(Mezclado!$A14, _xlfn._xlws.FILTER(Procesos!$A$2:$A$23, Procesos!C$2:C$23="Molido"), 0)), Mezclado!F14/(1-Formula!$B$17),0)</f>
        <v>0</v>
      </c>
      <c r="E14" s="11" cm="1">
        <f t="array" ref="E14">IF(ISNUMBER(MATCH(Mezclado!$A14, _xlfn._xlws.FILTER(Procesos!$A$2:$A$23, Procesos!D$2:D$23="Molido"), 0)), Mezclado!G14/(1-Formula!$B$17),0)</f>
        <v>684.31022859594293</v>
      </c>
      <c r="F14" s="11" cm="1">
        <f t="array" ref="F14">IF(ISNUMBER(MATCH(Mezclado!$A14, _xlfn._xlws.FILTER(Procesos!$A$2:$A$23, Procesos!E$2:E$23="Molido"), 0)), Mezclado!H14/(1-Formula!$B$17),0)</f>
        <v>50.43492472063901</v>
      </c>
      <c r="G14" s="11" cm="1">
        <f t="array" ref="G14">IF(ISNUMBER(MATCH(Mezclado!$A14, _xlfn._xlws.FILTER(Procesos!$A$2:$A$23, Procesos!F$2:F$23="Molido"), 0)), Mezclado!I14/(1-Formula!$B$17),0)</f>
        <v>0</v>
      </c>
      <c r="H14" s="11" cm="1">
        <f t="array" ref="H14">IF(ISNUMBER(MATCH(Mezclado!$A14, _xlfn._xlws.FILTER(Procesos!$A$2:$A$23, Procesos!H$2:H$23="Molido"), 0)), Mezclado!K14/(1-Formula!$B$17),0)</f>
        <v>0</v>
      </c>
      <c r="I14" s="11" cm="1">
        <f t="array" ref="I14">IF(ISNUMBER(MATCH(Mezclado!$A14, _xlfn._xlws.FILTER(Procesos!$A$2:$A$23, Procesos!I$2:I$23="Molido"), 0)), Mezclado!L14/(1-Formula!$B$17),0)</f>
        <v>0</v>
      </c>
      <c r="J14" s="11" cm="1">
        <f t="array" ref="J14">IF(ISNUMBER(MATCH(Mezclado!$A14, _xlfn._xlws.FILTER(Procesos!$A$2:$A$23, Procesos!K$2:K$23="Molido"), 0)), Mezclado!N14/(1-Formula!$B$17),0)</f>
        <v>0</v>
      </c>
      <c r="K14" s="11" cm="1">
        <f t="array" ref="K14">IF(ISNUMBER(MATCH(Mezclado!$A14, _xlfn._xlws.FILTER(Procesos!$A$2:$A$23, Procesos!M$2:M$23="Molido"), 0)), Mezclado!P14/(1-Formula!$B$17),0)</f>
        <v>0</v>
      </c>
      <c r="L14" s="11">
        <v>0</v>
      </c>
    </row>
    <row r="15" spans="1:12" x14ac:dyDescent="0.25">
      <c r="A15" s="22" t="str">
        <v>Chongoyape</v>
      </c>
      <c r="B15" s="11">
        <v>2626</v>
      </c>
      <c r="C15" s="5">
        <v>45727</v>
      </c>
      <c r="D15" s="11" cm="1">
        <f t="array" ref="D15">IF(ISNUMBER(MATCH(Mezclado!$A15, _xlfn._xlws.FILTER(Procesos!$A$2:$A$23, Procesos!C$2:C$23="Molido"), 0)), Mezclado!F15/(1-Formula!$B$17),0)</f>
        <v>0</v>
      </c>
      <c r="E15" s="11" cm="1">
        <f t="array" ref="E15">IF(ISNUMBER(MATCH(Mezclado!$A15, _xlfn._xlws.FILTER(Procesos!$A$2:$A$23, Procesos!D$2:D$23="Molido"), 0)), Mezclado!G15/(1-Formula!$B$17),0)</f>
        <v>1367.4233417090561</v>
      </c>
      <c r="F15" s="11" cm="1">
        <f t="array" ref="F15">IF(ISNUMBER(MATCH(Mezclado!$A15, _xlfn._xlws.FILTER(Procesos!$A$2:$A$23, Procesos!E$2:E$23="Molido"), 0)), Mezclado!H15/(1-Formula!$B$17),0)</f>
        <v>136.79597965312249</v>
      </c>
      <c r="G15" s="11" cm="1">
        <f t="array" ref="G15">IF(ISNUMBER(MATCH(Mezclado!$A15, _xlfn._xlws.FILTER(Procesos!$A$2:$A$23, Procesos!F$2:F$23="Molido"), 0)), Mezclado!I15/(1-Formula!$B$17),0)</f>
        <v>262.86286286286287</v>
      </c>
      <c r="H15" s="11" cm="1">
        <f t="array" ref="H15">IF(ISNUMBER(MATCH(Mezclado!$A15, _xlfn._xlws.FILTER(Procesos!$A$2:$A$23, Procesos!H$2:H$23="Molido"), 0)), Mezclado!K15/(1-Formula!$B$17),0)</f>
        <v>0</v>
      </c>
      <c r="I15" s="11" cm="1">
        <f t="array" ref="I15">IF(ISNUMBER(MATCH(Mezclado!$A15, _xlfn._xlws.FILTER(Procesos!$A$2:$A$23, Procesos!I$2:I$23="Molido"), 0)), Mezclado!L15/(1-Formula!$B$17),0)</f>
        <v>0</v>
      </c>
      <c r="J15" s="11" cm="1">
        <f t="array" ref="J15">IF(ISNUMBER(MATCH(Mezclado!$A15, _xlfn._xlws.FILTER(Procesos!$A$2:$A$23, Procesos!K$2:K$23="Molido"), 0)), Mezclado!N15/(1-Formula!$B$17),0)</f>
        <v>0</v>
      </c>
      <c r="K15" s="11" cm="1">
        <f t="array" ref="K15">IF(ISNUMBER(MATCH(Mezclado!$A15, _xlfn._xlws.FILTER(Procesos!$A$2:$A$23, Procesos!M$2:M$23="Molido"), 0)), Mezclado!P15/(1-Formula!$B$17),0)</f>
        <v>0</v>
      </c>
      <c r="L15" s="11">
        <v>0</v>
      </c>
    </row>
    <row r="16" spans="1:12" x14ac:dyDescent="0.25">
      <c r="A16" s="22" t="str">
        <v>Marcabal</v>
      </c>
      <c r="B16" s="11">
        <v>4061.92</v>
      </c>
      <c r="C16" s="5">
        <v>45728</v>
      </c>
      <c r="D16" s="11" cm="1">
        <f t="array" ref="D16">IF(ISNUMBER(MATCH(Mezclado!$A16, _xlfn._xlws.FILTER(Procesos!$A$2:$A$23, Procesos!C$2:C$23="Molido"), 0)), Mezclado!F16/(1-Formula!$B$17),0)</f>
        <v>0</v>
      </c>
      <c r="E16" s="11" cm="1">
        <f t="array" ref="E16">IF(ISNUMBER(MATCH(Mezclado!$A16, _xlfn._xlws.FILTER(Procesos!$A$2:$A$23, Procesos!D$2:D$23="Molido"), 0)), Mezclado!G16/(1-Formula!$B$17),0)</f>
        <v>0</v>
      </c>
      <c r="F16" s="11" cm="1">
        <f t="array" ref="F16">IF(ISNUMBER(MATCH(Mezclado!$A16, _xlfn._xlws.FILTER(Procesos!$A$2:$A$23, Procesos!E$2:E$23="Molido"), 0)), Mezclado!H16/(1-Formula!$B$17),0)</f>
        <v>335.2363955792527</v>
      </c>
      <c r="G16" s="11" cm="1">
        <f t="array" ref="G16">IF(ISNUMBER(MATCH(Mezclado!$A16, _xlfn._xlws.FILTER(Procesos!$A$2:$A$23, Procesos!F$2:F$23="Molido"), 0)), Mezclado!I16/(1-Formula!$B$17),0)</f>
        <v>0</v>
      </c>
      <c r="H16" s="11" cm="1">
        <f t="array" ref="H16">IF(ISNUMBER(MATCH(Mezclado!$A16, _xlfn._xlws.FILTER(Procesos!$A$2:$A$23, Procesos!H$2:H$23="Molido"), 0)), Mezclado!K16/(1-Formula!$B$17),0)</f>
        <v>0</v>
      </c>
      <c r="I16" s="11" cm="1">
        <f t="array" ref="I16">IF(ISNUMBER(MATCH(Mezclado!$A16, _xlfn._xlws.FILTER(Procesos!$A$2:$A$23, Procesos!I$2:I$23="Molido"), 0)), Mezclado!L16/(1-Formula!$B$17),0)</f>
        <v>458.87556127556132</v>
      </c>
      <c r="J16" s="11" cm="1">
        <f t="array" ref="J16">IF(ISNUMBER(MATCH(Mezclado!$A16, _xlfn._xlws.FILTER(Procesos!$A$2:$A$23, Procesos!K$2:K$23="Molido"), 0)), Mezclado!N16/(1-Formula!$B$17),0)</f>
        <v>0</v>
      </c>
      <c r="K16" s="11" cm="1">
        <f t="array" ref="K16">IF(ISNUMBER(MATCH(Mezclado!$A16, _xlfn._xlws.FILTER(Procesos!$A$2:$A$23, Procesos!M$2:M$23="Molido"), 0)), Mezclado!P16/(1-Formula!$B$17),0)</f>
        <v>7.8830340544626258</v>
      </c>
      <c r="L16" s="11">
        <v>0</v>
      </c>
    </row>
    <row r="17" spans="1:12" x14ac:dyDescent="0.25">
      <c r="A17" s="22" t="str">
        <v>Julcán</v>
      </c>
      <c r="B17" s="11">
        <v>2588</v>
      </c>
      <c r="C17" s="5">
        <v>45733</v>
      </c>
      <c r="D17" s="11" cm="1">
        <f t="array" ref="D17">IF(ISNUMBER(MATCH(Mezclado!$A17, _xlfn._xlws.FILTER(Procesos!$A$2:$A$23, Procesos!C$2:C$23="Molido"), 0)), Mezclado!F17/(1-Formula!$B$17),0)</f>
        <v>0</v>
      </c>
      <c r="E17" s="11" cm="1">
        <f t="array" ref="E17">IF(ISNUMBER(MATCH(Mezclado!$A17, _xlfn._xlws.FILTER(Procesos!$A$2:$A$23, Procesos!D$2:D$23="Molido"), 0)), Mezclado!G17/(1-Formula!$B$17),0)</f>
        <v>0</v>
      </c>
      <c r="F17" s="11" cm="1">
        <f t="array" ref="F17">IF(ISNUMBER(MATCH(Mezclado!$A17, _xlfn._xlws.FILTER(Procesos!$A$2:$A$23, Procesos!E$2:E$23="Molido"), 0)), Mezclado!H17/(1-Formula!$B$17),0)</f>
        <v>254.30083144368859</v>
      </c>
      <c r="G17" s="11" cm="1">
        <f t="array" ref="G17">IF(ISNUMBER(MATCH(Mezclado!$A17, _xlfn._xlws.FILTER(Procesos!$A$2:$A$23, Procesos!F$2:F$23="Molido"), 0)), Mezclado!I17/(1-Formula!$B$17),0)</f>
        <v>1704.2385242385246</v>
      </c>
      <c r="H17" s="11" cm="1">
        <f t="array" ref="H17">IF(ISNUMBER(MATCH(Mezclado!$A17, _xlfn._xlws.FILTER(Procesos!$A$2:$A$23, Procesos!H$2:H$23="Molido"), 0)), Mezclado!K17/(1-Formula!$B$17),0)</f>
        <v>0</v>
      </c>
      <c r="I17" s="11" cm="1">
        <f t="array" ref="I17">IF(ISNUMBER(MATCH(Mezclado!$A17, _xlfn._xlws.FILTER(Procesos!$A$2:$A$23, Procesos!I$2:I$23="Molido"), 0)), Mezclado!L17/(1-Formula!$B$17),0)</f>
        <v>0</v>
      </c>
      <c r="J17" s="11" cm="1">
        <f t="array" ref="J17">IF(ISNUMBER(MATCH(Mezclado!$A17, _xlfn._xlws.FILTER(Procesos!$A$2:$A$23, Procesos!K$2:K$23="Molido"), 0)), Mezclado!N17/(1-Formula!$B$17),0)</f>
        <v>0</v>
      </c>
      <c r="K17" s="11" cm="1">
        <f t="array" ref="K17">IF(ISNUMBER(MATCH(Mezclado!$A17, _xlfn._xlws.FILTER(Procesos!$A$2:$A$23, Procesos!M$2:M$23="Molido"), 0)), Mezclado!P17/(1-Formula!$B$17),0)</f>
        <v>0</v>
      </c>
      <c r="L17" s="11">
        <v>0</v>
      </c>
    </row>
    <row r="18" spans="1:12" x14ac:dyDescent="0.25">
      <c r="A18" s="22" t="str">
        <v>San Jose</v>
      </c>
      <c r="B18" s="11">
        <v>4570</v>
      </c>
      <c r="C18" s="5">
        <v>45733</v>
      </c>
      <c r="D18" s="11" cm="1">
        <f t="array" ref="D18">IF(ISNUMBER(MATCH(Mezclado!$A18, _xlfn._xlws.FILTER(Procesos!$A$2:$A$23, Procesos!C$2:C$23="Molido"), 0)), Mezclado!F18/(1-Formula!$B$17),0)</f>
        <v>0</v>
      </c>
      <c r="E18" s="11" cm="1">
        <f t="array" ref="E18">IF(ISNUMBER(MATCH(Mezclado!$A18, _xlfn._xlws.FILTER(Procesos!$A$2:$A$23, Procesos!D$2:D$23="Molido"), 0)), Mezclado!G18/(1-Formula!$B$17),0)</f>
        <v>0</v>
      </c>
      <c r="F18" s="11" cm="1">
        <f t="array" ref="F18">IF(ISNUMBER(MATCH(Mezclado!$A18, _xlfn._xlws.FILTER(Procesos!$A$2:$A$23, Procesos!E$2:E$23="Molido"), 0)), Mezclado!H18/(1-Formula!$B$17),0)</f>
        <v>95.692631406917116</v>
      </c>
      <c r="G18" s="11" cm="1">
        <f t="array" ref="G18">IF(ISNUMBER(MATCH(Mezclado!$A18, _xlfn._xlws.FILTER(Procesos!$A$2:$A$23, Procesos!F$2:F$23="Molido"), 0)), Mezclado!I18/(1-Formula!$B$17),0)</f>
        <v>957.8599007170435</v>
      </c>
      <c r="H18" s="11" cm="1">
        <f t="array" ref="H18">IF(ISNUMBER(MATCH(Mezclado!$A18, _xlfn._xlws.FILTER(Procesos!$A$2:$A$23, Procesos!H$2:H$23="Molido"), 0)), Mezclado!K18/(1-Formula!$B$17),0)</f>
        <v>0</v>
      </c>
      <c r="I18" s="11" cm="1">
        <f t="array" ref="I18">IF(ISNUMBER(MATCH(Mezclado!$A18, _xlfn._xlws.FILTER(Procesos!$A$2:$A$23, Procesos!I$2:I$23="Molido"), 0)), Mezclado!L18/(1-Formula!$B$17),0)</f>
        <v>0</v>
      </c>
      <c r="J18" s="11" cm="1">
        <f t="array" ref="J18">IF(ISNUMBER(MATCH(Mezclado!$A18, _xlfn._xlws.FILTER(Procesos!$A$2:$A$23, Procesos!K$2:K$23="Molido"), 0)), Mezclado!N18/(1-Formula!$B$17),0)</f>
        <v>0</v>
      </c>
      <c r="K18" s="11" cm="1">
        <f t="array" ref="K18">IF(ISNUMBER(MATCH(Mezclado!$A18, _xlfn._xlws.FILTER(Procesos!$A$2:$A$23, Procesos!M$2:M$23="Molido"), 0)), Mezclado!P18/(1-Formula!$B$17),0)</f>
        <v>0</v>
      </c>
      <c r="L18" s="11">
        <v>0</v>
      </c>
    </row>
    <row r="19" spans="1:12" x14ac:dyDescent="0.25">
      <c r="A19" s="22" t="str">
        <v>San Pedro de Lloc</v>
      </c>
      <c r="B19" s="11">
        <v>4742</v>
      </c>
      <c r="C19" s="5">
        <v>45733</v>
      </c>
      <c r="D19" s="11" cm="1">
        <f t="array" ref="D19">IF(ISNUMBER(MATCH(Mezclado!$A19, _xlfn._xlws.FILTER(Procesos!$A$2:$A$23, Procesos!C$2:C$23="Molido"), 0)), Mezclado!F19/(1-Formula!$B$17),0)</f>
        <v>0</v>
      </c>
      <c r="E19" s="11" cm="1">
        <f t="array" ref="E19">IF(ISNUMBER(MATCH(Mezclado!$A19, _xlfn._xlws.FILTER(Procesos!$A$2:$A$23, Procesos!D$2:D$23="Molido"), 0)), Mezclado!G19/(1-Formula!$B$17),0)</f>
        <v>0</v>
      </c>
      <c r="F19" s="11" cm="1">
        <f t="array" ref="F19">IF(ISNUMBER(MATCH(Mezclado!$A19, _xlfn._xlws.FILTER(Procesos!$A$2:$A$23, Procesos!E$2:E$23="Molido"), 0)), Mezclado!H19/(1-Formula!$B$17),0)</f>
        <v>75.07609650466793</v>
      </c>
      <c r="G19" s="11" cm="1">
        <f t="array" ref="G19">IF(ISNUMBER(MATCH(Mezclado!$A19, _xlfn._xlws.FILTER(Procesos!$A$2:$A$23, Procesos!F$2:F$23="Molido"), 0)), Mezclado!I19/(1-Formula!$B$17),0)</f>
        <v>564.28162856734298</v>
      </c>
      <c r="H19" s="11" cm="1">
        <f t="array" ref="H19">IF(ISNUMBER(MATCH(Mezclado!$A19, _xlfn._xlws.FILTER(Procesos!$A$2:$A$23, Procesos!H$2:H$23="Molido"), 0)), Mezclado!K19/(1-Formula!$B$17),0)</f>
        <v>0</v>
      </c>
      <c r="I19" s="11" cm="1">
        <f t="array" ref="I19">IF(ISNUMBER(MATCH(Mezclado!$A19, _xlfn._xlws.FILTER(Procesos!$A$2:$A$23, Procesos!I$2:I$23="Molido"), 0)), Mezclado!L19/(1-Formula!$B$17),0)</f>
        <v>0</v>
      </c>
      <c r="J19" s="11" cm="1">
        <f t="array" ref="J19">IF(ISNUMBER(MATCH(Mezclado!$A19, _xlfn._xlws.FILTER(Procesos!$A$2:$A$23, Procesos!K$2:K$23="Molido"), 0)), Mezclado!N19/(1-Formula!$B$17),0)</f>
        <v>0</v>
      </c>
      <c r="K19" s="11" cm="1">
        <f t="array" ref="K19">IF(ISNUMBER(MATCH(Mezclado!$A19, _xlfn._xlws.FILTER(Procesos!$A$2:$A$23, Procesos!M$2:M$23="Molido"), 0)), Mezclado!P19/(1-Formula!$B$17),0)</f>
        <v>0</v>
      </c>
      <c r="L19" s="11">
        <v>18.890114604400317</v>
      </c>
    </row>
    <row r="20" spans="1:12" x14ac:dyDescent="0.25">
      <c r="A20" s="22" t="str">
        <v>Viru</v>
      </c>
      <c r="B20" s="11">
        <v>3006</v>
      </c>
      <c r="C20" s="5">
        <v>45733</v>
      </c>
      <c r="D20" s="11" cm="1">
        <f t="array" ref="D20">IF(ISNUMBER(MATCH(Mezclado!$A20, _xlfn._xlws.FILTER(Procesos!$A$2:$A$23, Procesos!C$2:C$23="Molido"), 0)), Mezclado!F20/(1-Formula!$B$17),0)</f>
        <v>0</v>
      </c>
      <c r="E20" s="11" cm="1">
        <f t="array" ref="E20">IF(ISNUMBER(MATCH(Mezclado!$A20, _xlfn._xlws.FILTER(Procesos!$A$2:$A$23, Procesos!D$2:D$23="Molido"), 0)), Mezclado!G20/(1-Formula!$B$17),0)</f>
        <v>0</v>
      </c>
      <c r="F20" s="11" cm="1">
        <f t="array" ref="F20">IF(ISNUMBER(MATCH(Mezclado!$A20, _xlfn._xlws.FILTER(Procesos!$A$2:$A$23, Procesos!E$2:E$23="Molido"), 0)), Mezclado!H20/(1-Formula!$B$17),0)</f>
        <v>0</v>
      </c>
      <c r="G20" s="11" cm="1">
        <f t="array" ref="G20">IF(ISNUMBER(MATCH(Mezclado!$A20, _xlfn._xlws.FILTER(Procesos!$A$2:$A$23, Procesos!F$2:F$23="Molido"), 0)), Mezclado!I20/(1-Formula!$B$17),0)</f>
        <v>313.18257032542743</v>
      </c>
      <c r="H20" s="11" cm="1">
        <f t="array" ref="H20">IF(ISNUMBER(MATCH(Mezclado!$A20, _xlfn._xlws.FILTER(Procesos!$A$2:$A$23, Procesos!H$2:H$23="Molido"), 0)), Mezclado!K20/(1-Formula!$B$17),0)</f>
        <v>0</v>
      </c>
      <c r="I20" s="11" cm="1">
        <f t="array" ref="I20">IF(ISNUMBER(MATCH(Mezclado!$A20, _xlfn._xlws.FILTER(Procesos!$A$2:$A$23, Procesos!I$2:I$23="Molido"), 0)), Mezclado!L20/(1-Formula!$B$17),0)</f>
        <v>0</v>
      </c>
      <c r="J20" s="11" cm="1">
        <f t="array" ref="J20">IF(ISNUMBER(MATCH(Mezclado!$A20, _xlfn._xlws.FILTER(Procesos!$A$2:$A$23, Procesos!K$2:K$23="Molido"), 0)), Mezclado!N20/(1-Formula!$B$17),0)</f>
        <v>0</v>
      </c>
      <c r="K20" s="11" cm="1">
        <f t="array" ref="K20">IF(ISNUMBER(MATCH(Mezclado!$A20, _xlfn._xlws.FILTER(Procesos!$A$2:$A$23, Procesos!M$2:M$23="Molido"), 0)), Mezclado!P20/(1-Formula!$B$17),0)</f>
        <v>0</v>
      </c>
      <c r="L20" s="11">
        <v>0</v>
      </c>
    </row>
    <row r="21" spans="1:12" x14ac:dyDescent="0.25">
      <c r="A21" s="22" t="str">
        <v>Pataz - Tayabamba</v>
      </c>
      <c r="B21" s="11">
        <v>9268</v>
      </c>
      <c r="C21" s="5">
        <v>45739</v>
      </c>
      <c r="D21" s="11" cm="1">
        <f t="array" ref="D21">IF(ISNUMBER(MATCH(Mezclado!$A21, _xlfn._xlws.FILTER(Procesos!$A$2:$A$23, Procesos!C$2:C$23="Molido"), 0)), Mezclado!F21/(1-Formula!$B$17),0)</f>
        <v>2524.7447447447448</v>
      </c>
      <c r="E21" s="11" cm="1">
        <f t="array" ref="E21">IF(ISNUMBER(MATCH(Mezclado!$A21, _xlfn._xlws.FILTER(Procesos!$A$2:$A$23, Procesos!D$2:D$23="Molido"), 0)), Mezclado!G21/(1-Formula!$B$17),0)</f>
        <v>2673.370513370513</v>
      </c>
      <c r="F21" s="11" cm="1">
        <f t="array" ref="F21">IF(ISNUMBER(MATCH(Mezclado!$A21, _xlfn._xlws.FILTER(Procesos!$A$2:$A$23, Procesos!E$2:E$23="Molido"), 0)), Mezclado!H21/(1-Formula!$B$17),0)</f>
        <v>742.18218218218215</v>
      </c>
      <c r="G21" s="11" cm="1">
        <f t="array" ref="G21">IF(ISNUMBER(MATCH(Mezclado!$A21, _xlfn._xlws.FILTER(Procesos!$A$2:$A$23, Procesos!F$2:F$23="Molido"), 0)), Mezclado!I21/(1-Formula!$B$17),0)</f>
        <v>0</v>
      </c>
      <c r="H21" s="11" cm="1">
        <f t="array" ref="H21">IF(ISNUMBER(MATCH(Mezclado!$A21, _xlfn._xlws.FILTER(Procesos!$A$2:$A$23, Procesos!H$2:H$23="Molido"), 0)), Mezclado!K21/(1-Formula!$B$17),0)</f>
        <v>0</v>
      </c>
      <c r="I21" s="11" cm="1">
        <f t="array" ref="I21">IF(ISNUMBER(MATCH(Mezclado!$A21, _xlfn._xlws.FILTER(Procesos!$A$2:$A$23, Procesos!I$2:I$23="Molido"), 0)), Mezclado!L21/(1-Formula!$B$17),0)</f>
        <v>0</v>
      </c>
      <c r="J21" s="11" cm="1">
        <f t="array" ref="J21">IF(ISNUMBER(MATCH(Mezclado!$A21, _xlfn._xlws.FILTER(Procesos!$A$2:$A$23, Procesos!K$2:K$23="Molido"), 0)), Mezclado!N21/(1-Formula!$B$17),0)</f>
        <v>1336.6852566852565</v>
      </c>
      <c r="K21" s="11" cm="1">
        <f t="array" ref="K21">IF(ISNUMBER(MATCH(Mezclado!$A21, _xlfn._xlws.FILTER(Procesos!$A$2:$A$23, Procesos!M$2:M$23="Molido"), 0)), Mezclado!P21/(1-Formula!$B$17),0)</f>
        <v>0</v>
      </c>
      <c r="L21" s="11">
        <v>0</v>
      </c>
    </row>
    <row r="22" spans="1:12" x14ac:dyDescent="0.25">
      <c r="A22" s="22" t="str">
        <v>Chiclayo</v>
      </c>
      <c r="B22" s="11">
        <v>30058</v>
      </c>
      <c r="C22" s="5">
        <v>45751</v>
      </c>
      <c r="D22" s="11" cm="1">
        <f t="array" ref="D22">IF(ISNUMBER(MATCH(Mezclado!$A22, _xlfn._xlws.FILTER(Procesos!$A$2:$A$23, Procesos!C$2:C$23="Molido"), 0)), Mezclado!F22/(1-Formula!$B$17),0)</f>
        <v>0</v>
      </c>
      <c r="E22" s="11" cm="1">
        <f t="array" ref="E22">IF(ISNUMBER(MATCH(Mezclado!$A22, _xlfn._xlws.FILTER(Procesos!$A$2:$A$23, Procesos!D$2:D$23="Molido"), 0)), Mezclado!G22/(1-Formula!$B$17),0)</f>
        <v>0</v>
      </c>
      <c r="F22" s="11" cm="1">
        <f t="array" ref="F22">IF(ISNUMBER(MATCH(Mezclado!$A22, _xlfn._xlws.FILTER(Procesos!$A$2:$A$23, Procesos!E$2:E$23="Molido"), 0)), Mezclado!H22/(1-Formula!$B$17),0)</f>
        <v>0</v>
      </c>
      <c r="G22" s="11" cm="1">
        <f t="array" ref="G22">IF(ISNUMBER(MATCH(Mezclado!$A22, _xlfn._xlws.FILTER(Procesos!$A$2:$A$23, Procesos!F$2:F$23="Molido"), 0)), Mezclado!I22/(1-Formula!$B$17),0)</f>
        <v>0</v>
      </c>
      <c r="H22" s="11" cm="1">
        <f t="array" ref="H22">IF(ISNUMBER(MATCH(Mezclado!$A22, _xlfn._xlws.FILTER(Procesos!$A$2:$A$23, Procesos!H$2:H$23="Molido"), 0)), Mezclado!K22/(1-Formula!$B$17),0)</f>
        <v>8667.5185185185182</v>
      </c>
      <c r="I22" s="11" cm="1">
        <f t="array" ref="I22">IF(ISNUMBER(MATCH(Mezclado!$A22, _xlfn._xlws.FILTER(Procesos!$A$2:$A$23, Procesos!I$2:I$23="Molido"), 0)), Mezclado!L22/(1-Formula!$B$17),0)</f>
        <v>0</v>
      </c>
      <c r="J22" s="11" cm="1">
        <f t="array" ref="J22">IF(ISNUMBER(MATCH(Mezclado!$A22, _xlfn._xlws.FILTER(Procesos!$A$2:$A$23, Procesos!K$2:K$23="Molido"), 0)), Mezclado!N22/(1-Formula!$B$17),0)</f>
        <v>0</v>
      </c>
      <c r="K22" s="11" cm="1">
        <f t="array" ref="K22">IF(ISNUMBER(MATCH(Mezclado!$A22, _xlfn._xlws.FILTER(Procesos!$A$2:$A$23, Procesos!M$2:M$23="Molido"), 0)), Mezclado!P22/(1-Formula!$B$17),0)</f>
        <v>0</v>
      </c>
      <c r="L22" s="11">
        <v>0</v>
      </c>
    </row>
    <row r="23" spans="1:12" x14ac:dyDescent="0.25">
      <c r="A23" s="22" t="str">
        <v>Olmos</v>
      </c>
      <c r="B23" s="11">
        <v>5840</v>
      </c>
      <c r="C23" s="5">
        <v>45751</v>
      </c>
      <c r="D23" s="11" cm="1">
        <f t="array" ref="D23">IF(ISNUMBER(MATCH(Mezclado!$A23, _xlfn._xlws.FILTER(Procesos!$A$2:$A$23, Procesos!C$2:C$23="Molido"), 0)), Mezclado!F23/(1-Formula!$B$17),0)</f>
        <v>0</v>
      </c>
      <c r="E23" s="11" cm="1">
        <f t="array" ref="E23">IF(ISNUMBER(MATCH(Mezclado!$A23, _xlfn._xlws.FILTER(Procesos!$A$2:$A$23, Procesos!D$2:D$23="Molido"), 0)), Mezclado!G23/(1-Formula!$B$17),0)</f>
        <v>712.23876938162664</v>
      </c>
      <c r="F23" s="11" cm="1">
        <f t="array" ref="F23">IF(ISNUMBER(MATCH(Mezclado!$A23, _xlfn._xlws.FILTER(Procesos!$A$2:$A$23, Procesos!E$2:E$23="Molido"), 0)), Mezclado!H23/(1-Formula!$B$17),0)</f>
        <v>52.493309636166785</v>
      </c>
      <c r="G23" s="11" cm="1">
        <f t="array" ref="G23">IF(ISNUMBER(MATCH(Mezclado!$A23, _xlfn._xlws.FILTER(Procesos!$A$2:$A$23, Procesos!F$2:F$23="Molido"), 0)), Mezclado!I23/(1-Formula!$B$17),0)</f>
        <v>0</v>
      </c>
      <c r="H23" s="11" cm="1">
        <f t="array" ref="H23">IF(ISNUMBER(MATCH(Mezclado!$A23, _xlfn._xlws.FILTER(Procesos!$A$2:$A$23, Procesos!H$2:H$23="Molido"), 0)), Mezclado!K23/(1-Formula!$B$17),0)</f>
        <v>0</v>
      </c>
      <c r="I23" s="11" cm="1">
        <f t="array" ref="I23">IF(ISNUMBER(MATCH(Mezclado!$A23, _xlfn._xlws.FILTER(Procesos!$A$2:$A$23, Procesos!I$2:I$23="Molido"), 0)), Mezclado!L23/(1-Formula!$B$17),0)</f>
        <v>0</v>
      </c>
      <c r="J23" s="11" cm="1">
        <f t="array" ref="J23">IF(ISNUMBER(MATCH(Mezclado!$A23, _xlfn._xlws.FILTER(Procesos!$A$2:$A$23, Procesos!K$2:K$23="Molido"), 0)), Mezclado!N23/(1-Formula!$B$17),0)</f>
        <v>0</v>
      </c>
      <c r="K23" s="11" cm="1">
        <f t="array" ref="K23">IF(ISNUMBER(MATCH(Mezclado!$A23, _xlfn._xlws.FILTER(Procesos!$A$2:$A$23, Procesos!M$2:M$23="Molido"), 0)), Mezclado!P23/(1-Formula!$B$17),0)</f>
        <v>0</v>
      </c>
      <c r="L23" s="11">
        <v>0</v>
      </c>
    </row>
    <row r="24" spans="1:12" x14ac:dyDescent="0.25">
      <c r="A24" s="22" t="str">
        <v>Marcabal</v>
      </c>
      <c r="B24" s="11">
        <v>4061.92</v>
      </c>
      <c r="C24" s="5">
        <v>45756</v>
      </c>
      <c r="D24" s="11" cm="1">
        <f t="array" ref="D24">IF(ISNUMBER(MATCH(Mezclado!$A24, _xlfn._xlws.FILTER(Procesos!$A$2:$A$23, Procesos!C$2:C$23="Molido"), 0)), Mezclado!F24/(1-Formula!$B$17),0)</f>
        <v>0</v>
      </c>
      <c r="E24" s="11" cm="1">
        <f t="array" ref="E24">IF(ISNUMBER(MATCH(Mezclado!$A24, _xlfn._xlws.FILTER(Procesos!$A$2:$A$23, Procesos!D$2:D$23="Molido"), 0)), Mezclado!G24/(1-Formula!$B$17),0)</f>
        <v>0</v>
      </c>
      <c r="F24" s="11" cm="1">
        <f t="array" ref="F24">IF(ISNUMBER(MATCH(Mezclado!$A24, _xlfn._xlws.FILTER(Procesos!$A$2:$A$23, Procesos!E$2:E$23="Molido"), 0)), Mezclado!H24/(1-Formula!$B$17),0)</f>
        <v>335.2363955792527</v>
      </c>
      <c r="G24" s="11" cm="1">
        <f t="array" ref="G24">IF(ISNUMBER(MATCH(Mezclado!$A24, _xlfn._xlws.FILTER(Procesos!$A$2:$A$23, Procesos!F$2:F$23="Molido"), 0)), Mezclado!I24/(1-Formula!$B$17),0)</f>
        <v>0</v>
      </c>
      <c r="H24" s="11" cm="1">
        <f t="array" ref="H24">IF(ISNUMBER(MATCH(Mezclado!$A24, _xlfn._xlws.FILTER(Procesos!$A$2:$A$23, Procesos!H$2:H$23="Molido"), 0)), Mezclado!K24/(1-Formula!$B$17),0)</f>
        <v>0</v>
      </c>
      <c r="I24" s="11" cm="1">
        <f t="array" ref="I24">IF(ISNUMBER(MATCH(Mezclado!$A24, _xlfn._xlws.FILTER(Procesos!$A$2:$A$23, Procesos!I$2:I$23="Molido"), 0)), Mezclado!L24/(1-Formula!$B$17),0)</f>
        <v>458.87556127556132</v>
      </c>
      <c r="J24" s="11" cm="1">
        <f t="array" ref="J24">IF(ISNUMBER(MATCH(Mezclado!$A24, _xlfn._xlws.FILTER(Procesos!$A$2:$A$23, Procesos!K$2:K$23="Molido"), 0)), Mezclado!N24/(1-Formula!$B$17),0)</f>
        <v>0</v>
      </c>
      <c r="K24" s="11" cm="1">
        <f t="array" ref="K24">IF(ISNUMBER(MATCH(Mezclado!$A24, _xlfn._xlws.FILTER(Procesos!$A$2:$A$23, Procesos!M$2:M$23="Molido"), 0)), Mezclado!P24/(1-Formula!$B$17),0)</f>
        <v>7.8830340544626258</v>
      </c>
      <c r="L24" s="11">
        <v>0</v>
      </c>
    </row>
    <row r="25" spans="1:12" x14ac:dyDescent="0.25">
      <c r="A25" s="46" t="str">
        <v>Cajamarca</v>
      </c>
      <c r="B25" s="47">
        <v>10671.72</v>
      </c>
      <c r="C25" s="48">
        <v>45763</v>
      </c>
      <c r="D25" s="47" cm="1">
        <f t="array" ref="D25">IF(ISNUMBER(MATCH(Mezclado!$A25, _xlfn._xlws.FILTER(Procesos!$A$2:$A$23, Procesos!C$2:C$23="Molido"), 0)), Mezclado!F25/(1-Formula!$B$17),0)</f>
        <v>0</v>
      </c>
      <c r="E25" s="47" cm="1">
        <f t="array" ref="E25">IF(ISNUMBER(MATCH(Mezclado!$A25, _xlfn._xlws.FILTER(Procesos!$A$2:$A$23, Procesos!D$2:D$23="Molido"), 0)), Mezclado!G25/(1-Formula!$B$17),0)</f>
        <v>0</v>
      </c>
      <c r="F25" s="47" cm="1">
        <f t="array" ref="F25">IF(ISNUMBER(MATCH(Mezclado!$A25, _xlfn._xlws.FILTER(Procesos!$A$2:$A$23, Procesos!E$2:E$23="Molido"), 0)), Mezclado!H25/(1-Formula!$B$17),0)</f>
        <v>408.76539805111236</v>
      </c>
      <c r="G25" s="47" cm="1">
        <f t="array" ref="G25">IF(ISNUMBER(MATCH(Mezclado!$A25, _xlfn._xlws.FILTER(Procesos!$A$2:$A$23, Procesos!F$2:F$23="Molido"), 0)), Mezclado!I25/(1-Formula!$B$17),0)</f>
        <v>0</v>
      </c>
      <c r="H25" s="47" cm="1">
        <f t="array" ref="H25">IF(ISNUMBER(MATCH(Mezclado!$A25, _xlfn._xlws.FILTER(Procesos!$A$2:$A$23, Procesos!H$2:H$23="Molido"), 0)), Mezclado!K25/(1-Formula!$B$17),0)</f>
        <v>0</v>
      </c>
      <c r="I25" s="47" cm="1">
        <f t="array" ref="I25">IF(ISNUMBER(MATCH(Mezclado!$A25, _xlfn._xlws.FILTER(Procesos!$A$2:$A$23, Procesos!I$2:I$23="Molido"), 0)), Mezclado!L25/(1-Formula!$B$17),0)</f>
        <v>0</v>
      </c>
      <c r="J25" s="47" cm="1">
        <f t="array" ref="J25">IF(ISNUMBER(MATCH(Mezclado!$A25, _xlfn._xlws.FILTER(Procesos!$A$2:$A$23, Procesos!K$2:K$23="Molido"), 0)), Mezclado!N25/(1-Formula!$B$17),0)</f>
        <v>0</v>
      </c>
      <c r="K25" s="47" cm="1">
        <f t="array" ref="K25">IF(ISNUMBER(MATCH(Mezclado!$A25, _xlfn._xlws.FILTER(Procesos!$A$2:$A$23, Procesos!M$2:M$23="Molido"), 0)), Mezclado!P25/(1-Formula!$B$17),0)</f>
        <v>0</v>
      </c>
      <c r="L25" s="47">
        <v>0</v>
      </c>
    </row>
    <row r="26" spans="1:12" x14ac:dyDescent="0.25">
      <c r="A26" s="46" t="str">
        <v>Cajamarca</v>
      </c>
      <c r="B26" s="47">
        <v>11433.6</v>
      </c>
      <c r="C26" s="48">
        <v>45763</v>
      </c>
      <c r="D26" s="47" cm="1">
        <f t="array" ref="D26">IF(ISNUMBER(MATCH(Mezclado!$A26, _xlfn._xlws.FILTER(Procesos!$A$2:$A$23, Procesos!C$2:C$23="Molido"), 0)), Mezclado!F26/(1-Formula!$B$17),0)</f>
        <v>0</v>
      </c>
      <c r="E26" s="47" cm="1">
        <f t="array" ref="E26">IF(ISNUMBER(MATCH(Mezclado!$A26, _xlfn._xlws.FILTER(Procesos!$A$2:$A$23, Procesos!D$2:D$23="Molido"), 0)), Mezclado!G26/(1-Formula!$B$17),0)</f>
        <v>0</v>
      </c>
      <c r="F26" s="47" cm="1">
        <f t="array" ref="F26">IF(ISNUMBER(MATCH(Mezclado!$A26, _xlfn._xlws.FILTER(Procesos!$A$2:$A$23, Procesos!E$2:E$23="Molido"), 0)), Mezclado!H26/(1-Formula!$B$17),0)</f>
        <v>437.94815223386655</v>
      </c>
      <c r="G26" s="47" cm="1">
        <f t="array" ref="G26">IF(ISNUMBER(MATCH(Mezclado!$A26, _xlfn._xlws.FILTER(Procesos!$A$2:$A$23, Procesos!F$2:F$23="Molido"), 0)), Mezclado!I26/(1-Formula!$B$17),0)</f>
        <v>0</v>
      </c>
      <c r="H26" s="47" cm="1">
        <f t="array" ref="H26">IF(ISNUMBER(MATCH(Mezclado!$A26, _xlfn._xlws.FILTER(Procesos!$A$2:$A$23, Procesos!H$2:H$23="Molido"), 0)), Mezclado!K26/(1-Formula!$B$17),0)</f>
        <v>0</v>
      </c>
      <c r="I26" s="47" cm="1">
        <f t="array" ref="I26">IF(ISNUMBER(MATCH(Mezclado!$A26, _xlfn._xlws.FILTER(Procesos!$A$2:$A$23, Procesos!I$2:I$23="Molido"), 0)), Mezclado!L26/(1-Formula!$B$17),0)</f>
        <v>0</v>
      </c>
      <c r="J26" s="47" cm="1">
        <f t="array" ref="J26">IF(ISNUMBER(MATCH(Mezclado!$A26, _xlfn._xlws.FILTER(Procesos!$A$2:$A$23, Procesos!K$2:K$23="Molido"), 0)), Mezclado!N26/(1-Formula!$B$17),0)</f>
        <v>0</v>
      </c>
      <c r="K26" s="47" cm="1">
        <f t="array" ref="K26">IF(ISNUMBER(MATCH(Mezclado!$A26, _xlfn._xlws.FILTER(Procesos!$A$2:$A$23, Procesos!M$2:M$23="Molido"), 0)), Mezclado!P26/(1-Formula!$B$17),0)</f>
        <v>0</v>
      </c>
      <c r="L26" s="47">
        <v>0</v>
      </c>
    </row>
    <row r="27" spans="1:12" x14ac:dyDescent="0.25">
      <c r="A27" s="46" t="str">
        <v>Cajamarca</v>
      </c>
      <c r="B27" s="47">
        <v>23470.720000000001</v>
      </c>
      <c r="C27" s="48">
        <v>45763</v>
      </c>
      <c r="D27" s="47" cm="1">
        <f t="array" ref="D27">IF(ISNUMBER(MATCH(Mezclado!$A27, _xlfn._xlws.FILTER(Procesos!$A$2:$A$23, Procesos!C$2:C$23="Molido"), 0)), Mezclado!F27/(1-Formula!$B$17),0)</f>
        <v>0</v>
      </c>
      <c r="E27" s="47" cm="1">
        <f t="array" ref="E27">IF(ISNUMBER(MATCH(Mezclado!$A27, _xlfn._xlws.FILTER(Procesos!$A$2:$A$23, Procesos!D$2:D$23="Molido"), 0)), Mezclado!G27/(1-Formula!$B$17),0)</f>
        <v>0</v>
      </c>
      <c r="F27" s="47" cm="1">
        <f t="array" ref="F27">IF(ISNUMBER(MATCH(Mezclado!$A27, _xlfn._xlws.FILTER(Procesos!$A$2:$A$23, Procesos!E$2:E$23="Molido"), 0)), Mezclado!H27/(1-Formula!$B$17),0)</f>
        <v>899.01329901329905</v>
      </c>
      <c r="G27" s="47" cm="1">
        <f t="array" ref="G27">IF(ISNUMBER(MATCH(Mezclado!$A27, _xlfn._xlws.FILTER(Procesos!$A$2:$A$23, Procesos!F$2:F$23="Molido"), 0)), Mezclado!I27/(1-Formula!$B$17),0)</f>
        <v>0</v>
      </c>
      <c r="H27" s="47" cm="1">
        <f t="array" ref="H27">IF(ISNUMBER(MATCH(Mezclado!$A27, _xlfn._xlws.FILTER(Procesos!$A$2:$A$23, Procesos!H$2:H$23="Molido"), 0)), Mezclado!K27/(1-Formula!$B$17),0)</f>
        <v>0</v>
      </c>
      <c r="I27" s="47" cm="1">
        <f t="array" ref="I27">IF(ISNUMBER(MATCH(Mezclado!$A27, _xlfn._xlws.FILTER(Procesos!$A$2:$A$23, Procesos!I$2:I$23="Molido"), 0)), Mezclado!L27/(1-Formula!$B$17),0)</f>
        <v>0</v>
      </c>
      <c r="J27" s="47" cm="1">
        <f t="array" ref="J27">IF(ISNUMBER(MATCH(Mezclado!$A27, _xlfn._xlws.FILTER(Procesos!$A$2:$A$23, Procesos!K$2:K$23="Molido"), 0)), Mezclado!N27/(1-Formula!$B$17),0)</f>
        <v>0</v>
      </c>
      <c r="K27" s="47" cm="1">
        <f t="array" ref="K27">IF(ISNUMBER(MATCH(Mezclado!$A27, _xlfn._xlws.FILTER(Procesos!$A$2:$A$23, Procesos!M$2:M$23="Molido"), 0)), Mezclado!P27/(1-Formula!$B$17),0)</f>
        <v>0</v>
      </c>
      <c r="L27" s="47">
        <v>0</v>
      </c>
    </row>
    <row r="28" spans="1:12" x14ac:dyDescent="0.25">
      <c r="A28" s="22" t="str">
        <v>Julcán</v>
      </c>
      <c r="B28" s="11">
        <v>2588</v>
      </c>
      <c r="C28" s="5">
        <v>45763</v>
      </c>
      <c r="D28" s="11" cm="1">
        <f t="array" ref="D28">IF(ISNUMBER(MATCH(Mezclado!$A28, _xlfn._xlws.FILTER(Procesos!$A$2:$A$23, Procesos!C$2:C$23="Molido"), 0)), Mezclado!F28/(1-Formula!$B$17),0)</f>
        <v>0</v>
      </c>
      <c r="E28" s="11" cm="1">
        <f t="array" ref="E28">IF(ISNUMBER(MATCH(Mezclado!$A28, _xlfn._xlws.FILTER(Procesos!$A$2:$A$23, Procesos!D$2:D$23="Molido"), 0)), Mezclado!G28/(1-Formula!$B$17),0)</f>
        <v>0</v>
      </c>
      <c r="F28" s="11" cm="1">
        <f t="array" ref="F28">IF(ISNUMBER(MATCH(Mezclado!$A28, _xlfn._xlws.FILTER(Procesos!$A$2:$A$23, Procesos!E$2:E$23="Molido"), 0)), Mezclado!H28/(1-Formula!$B$17),0)</f>
        <v>254.30083144368859</v>
      </c>
      <c r="G28" s="11" cm="1">
        <f t="array" ref="G28">IF(ISNUMBER(MATCH(Mezclado!$A28, _xlfn._xlws.FILTER(Procesos!$A$2:$A$23, Procesos!F$2:F$23="Molido"), 0)), Mezclado!I28/(1-Formula!$B$17),0)</f>
        <v>1704.2385242385246</v>
      </c>
      <c r="H28" s="11" cm="1">
        <f t="array" ref="H28">IF(ISNUMBER(MATCH(Mezclado!$A28, _xlfn._xlws.FILTER(Procesos!$A$2:$A$23, Procesos!H$2:H$23="Molido"), 0)), Mezclado!K28/(1-Formula!$B$17),0)</f>
        <v>0</v>
      </c>
      <c r="I28" s="11" cm="1">
        <f t="array" ref="I28">IF(ISNUMBER(MATCH(Mezclado!$A28, _xlfn._xlws.FILTER(Procesos!$A$2:$A$23, Procesos!I$2:I$23="Molido"), 0)), Mezclado!L28/(1-Formula!$B$17),0)</f>
        <v>0</v>
      </c>
      <c r="J28" s="11" cm="1">
        <f t="array" ref="J28">IF(ISNUMBER(MATCH(Mezclado!$A28, _xlfn._xlws.FILTER(Procesos!$A$2:$A$23, Procesos!K$2:K$23="Molido"), 0)), Mezclado!N28/(1-Formula!$B$17),0)</f>
        <v>0</v>
      </c>
      <c r="K28" s="11" cm="1">
        <f t="array" ref="K28">IF(ISNUMBER(MATCH(Mezclado!$A28, _xlfn._xlws.FILTER(Procesos!$A$2:$A$23, Procesos!M$2:M$23="Molido"), 0)), Mezclado!P28/(1-Formula!$B$17),0)</f>
        <v>0</v>
      </c>
      <c r="L28" s="11">
        <v>0</v>
      </c>
    </row>
    <row r="29" spans="1:12" x14ac:dyDescent="0.25">
      <c r="A29" s="22" t="str">
        <v>Viru</v>
      </c>
      <c r="B29" s="11">
        <v>3104</v>
      </c>
      <c r="C29" s="5">
        <v>45763</v>
      </c>
      <c r="D29" s="11" cm="1">
        <f t="array" ref="D29">IF(ISNUMBER(MATCH(Mezclado!$A29, _xlfn._xlws.FILTER(Procesos!$A$2:$A$23, Procesos!C$2:C$23="Molido"), 0)), Mezclado!F29/(1-Formula!$B$17),0)</f>
        <v>0</v>
      </c>
      <c r="E29" s="11" cm="1">
        <f t="array" ref="E29">IF(ISNUMBER(MATCH(Mezclado!$A29, _xlfn._xlws.FILTER(Procesos!$A$2:$A$23, Procesos!D$2:D$23="Molido"), 0)), Mezclado!G29/(1-Formula!$B$17),0)</f>
        <v>0</v>
      </c>
      <c r="F29" s="11" cm="1">
        <f t="array" ref="F29">IF(ISNUMBER(MATCH(Mezclado!$A29, _xlfn._xlws.FILTER(Procesos!$A$2:$A$23, Procesos!E$2:E$23="Molido"), 0)), Mezclado!H29/(1-Formula!$B$17),0)</f>
        <v>0</v>
      </c>
      <c r="G29" s="11" cm="1">
        <f t="array" ref="G29">IF(ISNUMBER(MATCH(Mezclado!$A29, _xlfn._xlws.FILTER(Procesos!$A$2:$A$23, Procesos!F$2:F$23="Molido"), 0)), Mezclado!I29/(1-Formula!$B$17),0)</f>
        <v>323.39278053563766</v>
      </c>
      <c r="H29" s="11" cm="1">
        <f t="array" ref="H29">IF(ISNUMBER(MATCH(Mezclado!$A29, _xlfn._xlws.FILTER(Procesos!$A$2:$A$23, Procesos!H$2:H$23="Molido"), 0)), Mezclado!K29/(1-Formula!$B$17),0)</f>
        <v>0</v>
      </c>
      <c r="I29" s="11" cm="1">
        <f t="array" ref="I29">IF(ISNUMBER(MATCH(Mezclado!$A29, _xlfn._xlws.FILTER(Procesos!$A$2:$A$23, Procesos!I$2:I$23="Molido"), 0)), Mezclado!L29/(1-Formula!$B$17),0)</f>
        <v>0</v>
      </c>
      <c r="J29" s="11" cm="1">
        <f t="array" ref="J29">IF(ISNUMBER(MATCH(Mezclado!$A29, _xlfn._xlws.FILTER(Procesos!$A$2:$A$23, Procesos!K$2:K$23="Molido"), 0)), Mezclado!N29/(1-Formula!$B$17),0)</f>
        <v>0</v>
      </c>
      <c r="K29" s="11" cm="1">
        <f t="array" ref="K29">IF(ISNUMBER(MATCH(Mezclado!$A29, _xlfn._xlws.FILTER(Procesos!$A$2:$A$23, Procesos!M$2:M$23="Molido"), 0)), Mezclado!P29/(1-Formula!$B$17),0)</f>
        <v>0</v>
      </c>
      <c r="L29" s="11">
        <v>0</v>
      </c>
    </row>
    <row r="30" spans="1:12" x14ac:dyDescent="0.25">
      <c r="A30" s="22" t="str">
        <v>Chongoyape</v>
      </c>
      <c r="B30" s="11">
        <v>1771</v>
      </c>
      <c r="C30" s="5">
        <v>45764</v>
      </c>
      <c r="D30" s="11" cm="1">
        <f t="array" ref="D30">IF(ISNUMBER(MATCH(Mezclado!$A30, _xlfn._xlws.FILTER(Procesos!$A$2:$A$23, Procesos!C$2:C$23="Molido"), 0)), Mezclado!F30/(1-Formula!$B$17),0)</f>
        <v>0</v>
      </c>
      <c r="E30" s="11" cm="1">
        <f t="array" ref="E30">IF(ISNUMBER(MATCH(Mezclado!$A30, _xlfn._xlws.FILTER(Procesos!$A$2:$A$23, Procesos!D$2:D$23="Molido"), 0)), Mezclado!G30/(1-Formula!$B$17),0)</f>
        <v>922.2036322036322</v>
      </c>
      <c r="F30" s="11" cm="1">
        <f t="array" ref="F30">IF(ISNUMBER(MATCH(Mezclado!$A30, _xlfn._xlws.FILTER(Procesos!$A$2:$A$23, Procesos!E$2:E$23="Molido"), 0)), Mezclado!H30/(1-Formula!$B$17),0)</f>
        <v>92.256542256542261</v>
      </c>
      <c r="G30" s="11" cm="1">
        <f t="array" ref="G30">IF(ISNUMBER(MATCH(Mezclado!$A30, _xlfn._xlws.FILTER(Procesos!$A$2:$A$23, Procesos!F$2:F$23="Molido"), 0)), Mezclado!I30/(1-Formula!$B$17),0)</f>
        <v>177.27727727727728</v>
      </c>
      <c r="H30" s="11" cm="1">
        <f t="array" ref="H30">IF(ISNUMBER(MATCH(Mezclado!$A30, _xlfn._xlws.FILTER(Procesos!$A$2:$A$23, Procesos!H$2:H$23="Molido"), 0)), Mezclado!K30/(1-Formula!$B$17),0)</f>
        <v>0</v>
      </c>
      <c r="I30" s="11" cm="1">
        <f t="array" ref="I30">IF(ISNUMBER(MATCH(Mezclado!$A30, _xlfn._xlws.FILTER(Procesos!$A$2:$A$23, Procesos!I$2:I$23="Molido"), 0)), Mezclado!L30/(1-Formula!$B$17),0)</f>
        <v>0</v>
      </c>
      <c r="J30" s="11" cm="1">
        <f t="array" ref="J30">IF(ISNUMBER(MATCH(Mezclado!$A30, _xlfn._xlws.FILTER(Procesos!$A$2:$A$23, Procesos!K$2:K$23="Molido"), 0)), Mezclado!N30/(1-Formula!$B$17),0)</f>
        <v>0</v>
      </c>
      <c r="K30" s="11" cm="1">
        <f t="array" ref="K30">IF(ISNUMBER(MATCH(Mezclado!$A30, _xlfn._xlws.FILTER(Procesos!$A$2:$A$23, Procesos!M$2:M$23="Molido"), 0)), Mezclado!P30/(1-Formula!$B$17),0)</f>
        <v>0</v>
      </c>
      <c r="L30" s="11">
        <v>0</v>
      </c>
    </row>
    <row r="31" spans="1:12" x14ac:dyDescent="0.25">
      <c r="A31" s="22" t="str">
        <v>Olmos</v>
      </c>
      <c r="B31" s="11">
        <v>5611</v>
      </c>
      <c r="C31" s="5">
        <v>45779</v>
      </c>
      <c r="D31" s="11" cm="1">
        <f t="array" ref="D31">IF(ISNUMBER(MATCH(Mezclado!$A31, _xlfn._xlws.FILTER(Procesos!$A$2:$A$23, Procesos!C$2:C$23="Molido"), 0)), Mezclado!F31/(1-Formula!$B$17),0)</f>
        <v>0</v>
      </c>
      <c r="E31" s="11" cm="1">
        <f t="array" ref="E31">IF(ISNUMBER(MATCH(Mezclado!$A31, _xlfn._xlws.FILTER(Procesos!$A$2:$A$23, Procesos!D$2:D$23="Molido"), 0)), Mezclado!G31/(1-Formula!$B$17),0)</f>
        <v>684.31022859594293</v>
      </c>
      <c r="F31" s="11" cm="1">
        <f t="array" ref="F31">IF(ISNUMBER(MATCH(Mezclado!$A31, _xlfn._xlws.FILTER(Procesos!$A$2:$A$23, Procesos!E$2:E$23="Molido"), 0)), Mezclado!H31/(1-Formula!$B$17),0)</f>
        <v>50.43492472063901</v>
      </c>
      <c r="G31" s="11" cm="1">
        <f t="array" ref="G31">IF(ISNUMBER(MATCH(Mezclado!$A31, _xlfn._xlws.FILTER(Procesos!$A$2:$A$23, Procesos!F$2:F$23="Molido"), 0)), Mezclado!I31/(1-Formula!$B$17),0)</f>
        <v>0</v>
      </c>
      <c r="H31" s="11" cm="1">
        <f t="array" ref="H31">IF(ISNUMBER(MATCH(Mezclado!$A31, _xlfn._xlws.FILTER(Procesos!$A$2:$A$23, Procesos!H$2:H$23="Molido"), 0)), Mezclado!K31/(1-Formula!$B$17),0)</f>
        <v>0</v>
      </c>
      <c r="I31" s="11" cm="1">
        <f t="array" ref="I31">IF(ISNUMBER(MATCH(Mezclado!$A31, _xlfn._xlws.FILTER(Procesos!$A$2:$A$23, Procesos!I$2:I$23="Molido"), 0)), Mezclado!L31/(1-Formula!$B$17),0)</f>
        <v>0</v>
      </c>
      <c r="J31" s="11" cm="1">
        <f t="array" ref="J31">IF(ISNUMBER(MATCH(Mezclado!$A31, _xlfn._xlws.FILTER(Procesos!$A$2:$A$23, Procesos!K$2:K$23="Molido"), 0)), Mezclado!N31/(1-Formula!$B$17),0)</f>
        <v>0</v>
      </c>
      <c r="K31" s="11" cm="1">
        <f t="array" ref="K31">IF(ISNUMBER(MATCH(Mezclado!$A31, _xlfn._xlws.FILTER(Procesos!$A$2:$A$23, Procesos!M$2:M$23="Molido"), 0)), Mezclado!P31/(1-Formula!$B$17),0)</f>
        <v>0</v>
      </c>
      <c r="L31" s="11">
        <v>0</v>
      </c>
    </row>
    <row r="32" spans="1:12" x14ac:dyDescent="0.25">
      <c r="A32" s="22" t="str">
        <v>Cajamarca</v>
      </c>
      <c r="B32" s="11">
        <v>11448</v>
      </c>
      <c r="C32" s="5">
        <v>45782</v>
      </c>
      <c r="D32" s="11" cm="1">
        <f t="array" ref="D32">IF(ISNUMBER(MATCH(Mezclado!$A32, _xlfn._xlws.FILTER(Procesos!$A$2:$A$23, Procesos!C$2:C$23="Molido"), 0)), Mezclado!F32/(1-Formula!$B$17),0)</f>
        <v>0</v>
      </c>
      <c r="E32" s="11" cm="1">
        <f t="array" ref="E32">IF(ISNUMBER(MATCH(Mezclado!$A32, _xlfn._xlws.FILTER(Procesos!$A$2:$A$23, Procesos!D$2:D$23="Molido"), 0)), Mezclado!G32/(1-Formula!$B$17),0)</f>
        <v>0</v>
      </c>
      <c r="F32" s="11" cm="1">
        <f t="array" ref="F32">IF(ISNUMBER(MATCH(Mezclado!$A32, _xlfn._xlws.FILTER(Procesos!$A$2:$A$23, Procesos!E$2:E$23="Molido"), 0)), Mezclado!H32/(1-Formula!$B$17),0)</f>
        <v>438.49972421400997</v>
      </c>
      <c r="G32" s="11" cm="1">
        <f t="array" ref="G32">IF(ISNUMBER(MATCH(Mezclado!$A32, _xlfn._xlws.FILTER(Procesos!$A$2:$A$23, Procesos!F$2:F$23="Molido"), 0)), Mezclado!I32/(1-Formula!$B$17),0)</f>
        <v>0</v>
      </c>
      <c r="H32" s="11" cm="1">
        <f t="array" ref="H32">IF(ISNUMBER(MATCH(Mezclado!$A32, _xlfn._xlws.FILTER(Procesos!$A$2:$A$23, Procesos!H$2:H$23="Molido"), 0)), Mezclado!K32/(1-Formula!$B$17),0)</f>
        <v>0</v>
      </c>
      <c r="I32" s="11" cm="1">
        <f t="array" ref="I32">IF(ISNUMBER(MATCH(Mezclado!$A32, _xlfn._xlws.FILTER(Procesos!$A$2:$A$23, Procesos!I$2:I$23="Molido"), 0)), Mezclado!L32/(1-Formula!$B$17),0)</f>
        <v>0</v>
      </c>
      <c r="J32" s="11" cm="1">
        <f t="array" ref="J32">IF(ISNUMBER(MATCH(Mezclado!$A32, _xlfn._xlws.FILTER(Procesos!$A$2:$A$23, Procesos!K$2:K$23="Molido"), 0)), Mezclado!N32/(1-Formula!$B$17),0)</f>
        <v>0</v>
      </c>
      <c r="K32" s="11" cm="1">
        <f t="array" ref="K32">IF(ISNUMBER(MATCH(Mezclado!$A32, _xlfn._xlws.FILTER(Procesos!$A$2:$A$23, Procesos!M$2:M$23="Molido"), 0)), Mezclado!P32/(1-Formula!$B$17),0)</f>
        <v>0</v>
      </c>
      <c r="L32" s="11">
        <v>0</v>
      </c>
    </row>
    <row r="33" spans="1:12" x14ac:dyDescent="0.25">
      <c r="A33" s="22" t="str">
        <v>Cajamarca</v>
      </c>
      <c r="B33" s="11">
        <v>11829.6</v>
      </c>
      <c r="C33" s="5">
        <v>45782</v>
      </c>
      <c r="D33" s="11" cm="1">
        <f t="array" ref="D33">IF(ISNUMBER(MATCH(Mezclado!$A33, _xlfn._xlws.FILTER(Procesos!$A$2:$A$23, Procesos!C$2:C$23="Molido"), 0)), Mezclado!F33/(1-Formula!$B$17),0)</f>
        <v>0</v>
      </c>
      <c r="E33" s="11" cm="1">
        <f t="array" ref="E33">IF(ISNUMBER(MATCH(Mezclado!$A33, _xlfn._xlws.FILTER(Procesos!$A$2:$A$23, Procesos!D$2:D$23="Molido"), 0)), Mezclado!G33/(1-Formula!$B$17),0)</f>
        <v>0</v>
      </c>
      <c r="F33" s="11" cm="1">
        <f t="array" ref="F33">IF(ISNUMBER(MATCH(Mezclado!$A33, _xlfn._xlws.FILTER(Procesos!$A$2:$A$23, Procesos!E$2:E$23="Molido"), 0)), Mezclado!H33/(1-Formula!$B$17),0)</f>
        <v>453.1163816878103</v>
      </c>
      <c r="G33" s="11" cm="1">
        <f t="array" ref="G33">IF(ISNUMBER(MATCH(Mezclado!$A33, _xlfn._xlws.FILTER(Procesos!$A$2:$A$23, Procesos!F$2:F$23="Molido"), 0)), Mezclado!I33/(1-Formula!$B$17),0)</f>
        <v>0</v>
      </c>
      <c r="H33" s="11" cm="1">
        <f t="array" ref="H33">IF(ISNUMBER(MATCH(Mezclado!$A33, _xlfn._xlws.FILTER(Procesos!$A$2:$A$23, Procesos!H$2:H$23="Molido"), 0)), Mezclado!K33/(1-Formula!$B$17),0)</f>
        <v>0</v>
      </c>
      <c r="I33" s="11" cm="1">
        <f t="array" ref="I33">IF(ISNUMBER(MATCH(Mezclado!$A33, _xlfn._xlws.FILTER(Procesos!$A$2:$A$23, Procesos!I$2:I$23="Molido"), 0)), Mezclado!L33/(1-Formula!$B$17),0)</f>
        <v>0</v>
      </c>
      <c r="J33" s="11" cm="1">
        <f t="array" ref="J33">IF(ISNUMBER(MATCH(Mezclado!$A33, _xlfn._xlws.FILTER(Procesos!$A$2:$A$23, Procesos!K$2:K$23="Molido"), 0)), Mezclado!N33/(1-Formula!$B$17),0)</f>
        <v>0</v>
      </c>
      <c r="K33" s="11" cm="1">
        <f t="array" ref="K33">IF(ISNUMBER(MATCH(Mezclado!$A33, _xlfn._xlws.FILTER(Procesos!$A$2:$A$23, Procesos!M$2:M$23="Molido"), 0)), Mezclado!P33/(1-Formula!$B$17),0)</f>
        <v>0</v>
      </c>
      <c r="L33" s="11">
        <v>0</v>
      </c>
    </row>
    <row r="34" spans="1:12" x14ac:dyDescent="0.25">
      <c r="A34" s="22" t="str">
        <v>Marcabal</v>
      </c>
      <c r="B34" s="11">
        <v>4061.92</v>
      </c>
      <c r="C34" s="5">
        <v>45786</v>
      </c>
      <c r="D34" s="11" cm="1">
        <f t="array" ref="D34">IF(ISNUMBER(MATCH(Mezclado!$A34, _xlfn._xlws.FILTER(Procesos!$A$2:$A$23, Procesos!C$2:C$23="Molido"), 0)), Mezclado!F34/(1-Formula!$B$17),0)</f>
        <v>0</v>
      </c>
      <c r="E34" s="11" cm="1">
        <f t="array" ref="E34">IF(ISNUMBER(MATCH(Mezclado!$A34, _xlfn._xlws.FILTER(Procesos!$A$2:$A$23, Procesos!D$2:D$23="Molido"), 0)), Mezclado!G34/(1-Formula!$B$17),0)</f>
        <v>0</v>
      </c>
      <c r="F34" s="11" cm="1">
        <f t="array" ref="F34">IF(ISNUMBER(MATCH(Mezclado!$A34, _xlfn._xlws.FILTER(Procesos!$A$2:$A$23, Procesos!E$2:E$23="Molido"), 0)), Mezclado!H34/(1-Formula!$B$17),0)</f>
        <v>335.2363955792527</v>
      </c>
      <c r="G34" s="11" cm="1">
        <f t="array" ref="G34">IF(ISNUMBER(MATCH(Mezclado!$A34, _xlfn._xlws.FILTER(Procesos!$A$2:$A$23, Procesos!F$2:F$23="Molido"), 0)), Mezclado!I34/(1-Formula!$B$17),0)</f>
        <v>0</v>
      </c>
      <c r="H34" s="11" cm="1">
        <f t="array" ref="H34">IF(ISNUMBER(MATCH(Mezclado!$A34, _xlfn._xlws.FILTER(Procesos!$A$2:$A$23, Procesos!H$2:H$23="Molido"), 0)), Mezclado!K34/(1-Formula!$B$17),0)</f>
        <v>0</v>
      </c>
      <c r="I34" s="11" cm="1">
        <f t="array" ref="I34">IF(ISNUMBER(MATCH(Mezclado!$A34, _xlfn._xlws.FILTER(Procesos!$A$2:$A$23, Procesos!I$2:I$23="Molido"), 0)), Mezclado!L34/(1-Formula!$B$17),0)</f>
        <v>458.87556127556132</v>
      </c>
      <c r="J34" s="11" cm="1">
        <f t="array" ref="J34">IF(ISNUMBER(MATCH(Mezclado!$A34, _xlfn._xlws.FILTER(Procesos!$A$2:$A$23, Procesos!K$2:K$23="Molido"), 0)), Mezclado!N34/(1-Formula!$B$17),0)</f>
        <v>0</v>
      </c>
      <c r="K34" s="11" cm="1">
        <f t="array" ref="K34">IF(ISNUMBER(MATCH(Mezclado!$A34, _xlfn._xlws.FILTER(Procesos!$A$2:$A$23, Procesos!M$2:M$23="Molido"), 0)), Mezclado!P34/(1-Formula!$B$17),0)</f>
        <v>7.8830340544626258</v>
      </c>
      <c r="L34" s="11">
        <v>0</v>
      </c>
    </row>
    <row r="35" spans="1:12" x14ac:dyDescent="0.25">
      <c r="A35" s="22" t="str">
        <v>Chongoyape</v>
      </c>
      <c r="B35" s="11">
        <v>1771</v>
      </c>
      <c r="C35" s="5">
        <v>45793</v>
      </c>
      <c r="D35" s="11" cm="1">
        <f t="array" ref="D35">IF(ISNUMBER(MATCH(Mezclado!$A35, _xlfn._xlws.FILTER(Procesos!$A$2:$A$23, Procesos!C$2:C$23="Molido"), 0)), Mezclado!F35/(1-Formula!$B$17),0)</f>
        <v>0</v>
      </c>
      <c r="E35" s="11" cm="1">
        <f t="array" ref="E35">IF(ISNUMBER(MATCH(Mezclado!$A35, _xlfn._xlws.FILTER(Procesos!$A$2:$A$23, Procesos!D$2:D$23="Molido"), 0)), Mezclado!G35/(1-Formula!$B$17),0)</f>
        <v>922.2036322036322</v>
      </c>
      <c r="F35" s="11" cm="1">
        <f t="array" ref="F35">IF(ISNUMBER(MATCH(Mezclado!$A35, _xlfn._xlws.FILTER(Procesos!$A$2:$A$23, Procesos!E$2:E$23="Molido"), 0)), Mezclado!H35/(1-Formula!$B$17),0)</f>
        <v>92.256542256542261</v>
      </c>
      <c r="G35" s="11" cm="1">
        <f t="array" ref="G35">IF(ISNUMBER(MATCH(Mezclado!$A35, _xlfn._xlws.FILTER(Procesos!$A$2:$A$23, Procesos!F$2:F$23="Molido"), 0)), Mezclado!I35/(1-Formula!$B$17),0)</f>
        <v>177.27727727727728</v>
      </c>
      <c r="H35" s="11" cm="1">
        <f t="array" ref="H35">IF(ISNUMBER(MATCH(Mezclado!$A35, _xlfn._xlws.FILTER(Procesos!$A$2:$A$23, Procesos!H$2:H$23="Molido"), 0)), Mezclado!K35/(1-Formula!$B$17),0)</f>
        <v>0</v>
      </c>
      <c r="I35" s="11" cm="1">
        <f t="array" ref="I35">IF(ISNUMBER(MATCH(Mezclado!$A35, _xlfn._xlws.FILTER(Procesos!$A$2:$A$23, Procesos!I$2:I$23="Molido"), 0)), Mezclado!L35/(1-Formula!$B$17),0)</f>
        <v>0</v>
      </c>
      <c r="J35" s="11" cm="1">
        <f t="array" ref="J35">IF(ISNUMBER(MATCH(Mezclado!$A35, _xlfn._xlws.FILTER(Procesos!$A$2:$A$23, Procesos!K$2:K$23="Molido"), 0)), Mezclado!N35/(1-Formula!$B$17),0)</f>
        <v>0</v>
      </c>
      <c r="K35" s="11" cm="1">
        <f t="array" ref="K35">IF(ISNUMBER(MATCH(Mezclado!$A35, _xlfn._xlws.FILTER(Procesos!$A$2:$A$23, Procesos!M$2:M$23="Molido"), 0)), Mezclado!P35/(1-Formula!$B$17),0)</f>
        <v>0</v>
      </c>
      <c r="L35" s="11">
        <v>0</v>
      </c>
    </row>
    <row r="36" spans="1:12" x14ac:dyDescent="0.25">
      <c r="A36" s="22" t="str">
        <v>Viru</v>
      </c>
      <c r="B36" s="11">
        <v>3006</v>
      </c>
      <c r="C36" s="5">
        <v>45793</v>
      </c>
      <c r="D36" s="11" cm="1">
        <f t="array" ref="D36">IF(ISNUMBER(MATCH(Mezclado!$A36, _xlfn._xlws.FILTER(Procesos!$A$2:$A$23, Procesos!C$2:C$23="Molido"), 0)), Mezclado!F36/(1-Formula!$B$17),0)</f>
        <v>0</v>
      </c>
      <c r="E36" s="11" cm="1">
        <f t="array" ref="E36">IF(ISNUMBER(MATCH(Mezclado!$A36, _xlfn._xlws.FILTER(Procesos!$A$2:$A$23, Procesos!D$2:D$23="Molido"), 0)), Mezclado!G36/(1-Formula!$B$17),0)</f>
        <v>0</v>
      </c>
      <c r="F36" s="11" cm="1">
        <f t="array" ref="F36">IF(ISNUMBER(MATCH(Mezclado!$A36, _xlfn._xlws.FILTER(Procesos!$A$2:$A$23, Procesos!E$2:E$23="Molido"), 0)), Mezclado!H36/(1-Formula!$B$17),0)</f>
        <v>0</v>
      </c>
      <c r="G36" s="11" cm="1">
        <f t="array" ref="G36">IF(ISNUMBER(MATCH(Mezclado!$A36, _xlfn._xlws.FILTER(Procesos!$A$2:$A$23, Procesos!F$2:F$23="Molido"), 0)), Mezclado!I36/(1-Formula!$B$17),0)</f>
        <v>313.18257032542743</v>
      </c>
      <c r="H36" s="11" cm="1">
        <f t="array" ref="H36">IF(ISNUMBER(MATCH(Mezclado!$A36, _xlfn._xlws.FILTER(Procesos!$A$2:$A$23, Procesos!H$2:H$23="Molido"), 0)), Mezclado!K36/(1-Formula!$B$17),0)</f>
        <v>0</v>
      </c>
      <c r="I36" s="11" cm="1">
        <f t="array" ref="I36">IF(ISNUMBER(MATCH(Mezclado!$A36, _xlfn._xlws.FILTER(Procesos!$A$2:$A$23, Procesos!I$2:I$23="Molido"), 0)), Mezclado!L36/(1-Formula!$B$17),0)</f>
        <v>0</v>
      </c>
      <c r="J36" s="11" cm="1">
        <f t="array" ref="J36">IF(ISNUMBER(MATCH(Mezclado!$A36, _xlfn._xlws.FILTER(Procesos!$A$2:$A$23, Procesos!K$2:K$23="Molido"), 0)), Mezclado!N36/(1-Formula!$B$17),0)</f>
        <v>0</v>
      </c>
      <c r="K36" s="11" cm="1">
        <f t="array" ref="K36">IF(ISNUMBER(MATCH(Mezclado!$A36, _xlfn._xlws.FILTER(Procesos!$A$2:$A$23, Procesos!M$2:M$23="Molido"), 0)), Mezclado!P36/(1-Formula!$B$17),0)</f>
        <v>0</v>
      </c>
      <c r="L36" s="11">
        <v>0</v>
      </c>
    </row>
    <row r="37" spans="1:12" x14ac:dyDescent="0.25">
      <c r="A37" s="22" t="str">
        <v>Julcán</v>
      </c>
      <c r="B37" s="11">
        <v>2588</v>
      </c>
      <c r="C37" s="5">
        <v>45796</v>
      </c>
      <c r="D37" s="11" cm="1">
        <f t="array" ref="D37">IF(ISNUMBER(MATCH(Mezclado!$A37, _xlfn._xlws.FILTER(Procesos!$A$2:$A$23, Procesos!C$2:C$23="Molido"), 0)), Mezclado!F37/(1-Formula!$B$17),0)</f>
        <v>0</v>
      </c>
      <c r="E37" s="11" cm="1">
        <f t="array" ref="E37">IF(ISNUMBER(MATCH(Mezclado!$A37, _xlfn._xlws.FILTER(Procesos!$A$2:$A$23, Procesos!D$2:D$23="Molido"), 0)), Mezclado!G37/(1-Formula!$B$17),0)</f>
        <v>0</v>
      </c>
      <c r="F37" s="11" cm="1">
        <f t="array" ref="F37">IF(ISNUMBER(MATCH(Mezclado!$A37, _xlfn._xlws.FILTER(Procesos!$A$2:$A$23, Procesos!E$2:E$23="Molido"), 0)), Mezclado!H37/(1-Formula!$B$17),0)</f>
        <v>254.30083144368859</v>
      </c>
      <c r="G37" s="11" cm="1">
        <f t="array" ref="G37">IF(ISNUMBER(MATCH(Mezclado!$A37, _xlfn._xlws.FILTER(Procesos!$A$2:$A$23, Procesos!F$2:F$23="Molido"), 0)), Mezclado!I37/(1-Formula!$B$17),0)</f>
        <v>1704.2385242385246</v>
      </c>
      <c r="H37" s="11" cm="1">
        <f t="array" ref="H37">IF(ISNUMBER(MATCH(Mezclado!$A37, _xlfn._xlws.FILTER(Procesos!$A$2:$A$23, Procesos!H$2:H$23="Molido"), 0)), Mezclado!K37/(1-Formula!$B$17),0)</f>
        <v>0</v>
      </c>
      <c r="I37" s="11" cm="1">
        <f t="array" ref="I37">IF(ISNUMBER(MATCH(Mezclado!$A37, _xlfn._xlws.FILTER(Procesos!$A$2:$A$23, Procesos!I$2:I$23="Molido"), 0)), Mezclado!L37/(1-Formula!$B$17),0)</f>
        <v>0</v>
      </c>
      <c r="J37" s="11" cm="1">
        <f t="array" ref="J37">IF(ISNUMBER(MATCH(Mezclado!$A37, _xlfn._xlws.FILTER(Procesos!$A$2:$A$23, Procesos!K$2:K$23="Molido"), 0)), Mezclado!N37/(1-Formula!$B$17),0)</f>
        <v>0</v>
      </c>
      <c r="K37" s="11" cm="1">
        <f t="array" ref="K37">IF(ISNUMBER(MATCH(Mezclado!$A37, _xlfn._xlws.FILTER(Procesos!$A$2:$A$23, Procesos!M$2:M$23="Molido"), 0)), Mezclado!P37/(1-Formula!$B$17),0)</f>
        <v>0</v>
      </c>
      <c r="L37" s="11">
        <v>0</v>
      </c>
    </row>
    <row r="38" spans="1:12" x14ac:dyDescent="0.25">
      <c r="A38" s="22" t="str">
        <v>Cajatambo</v>
      </c>
      <c r="B38" s="11">
        <v>2686</v>
      </c>
      <c r="C38" s="5">
        <v>45800</v>
      </c>
      <c r="D38" s="11" cm="1">
        <f t="array" ref="D38">IF(ISNUMBER(MATCH(Mezclado!$A38, _xlfn._xlws.FILTER(Procesos!$A$2:$A$23, Procesos!C$2:C$23="Molido"), 0)), Mezclado!F38/(1-Formula!$B$17),0)</f>
        <v>0</v>
      </c>
      <c r="E38" s="11" cm="1">
        <f t="array" ref="E38">IF(ISNUMBER(MATCH(Mezclado!$A38, _xlfn._xlws.FILTER(Procesos!$A$2:$A$23, Procesos!D$2:D$23="Molido"), 0)), Mezclado!G38/(1-Formula!$B$17),0)</f>
        <v>0</v>
      </c>
      <c r="F38" s="11" cm="1">
        <f t="array" ref="F38">IF(ISNUMBER(MATCH(Mezclado!$A38, _xlfn._xlws.FILTER(Procesos!$A$2:$A$23, Procesos!E$2:E$23="Molido"), 0)), Mezclado!H38/(1-Formula!$B$17),0)</f>
        <v>0</v>
      </c>
      <c r="G38" s="11" cm="1">
        <f t="array" ref="G38">IF(ISNUMBER(MATCH(Mezclado!$A38, _xlfn._xlws.FILTER(Procesos!$A$2:$A$23, Procesos!F$2:F$23="Molido"), 0)), Mezclado!I38/(1-Formula!$B$17),0)</f>
        <v>0</v>
      </c>
      <c r="H38" s="11" cm="1">
        <f t="array" ref="H38">IF(ISNUMBER(MATCH(Mezclado!$A38, _xlfn._xlws.FILTER(Procesos!$A$2:$A$23, Procesos!H$2:H$23="Molido"), 0)), Mezclado!K38/(1-Formula!$B$17),0)</f>
        <v>0</v>
      </c>
      <c r="I38" s="11" cm="1">
        <f t="array" ref="I38">IF(ISNUMBER(MATCH(Mezclado!$A38, _xlfn._xlws.FILTER(Procesos!$A$2:$A$23, Procesos!I$2:I$23="Molido"), 0)), Mezclado!L38/(1-Formula!$B$17),0)</f>
        <v>0</v>
      </c>
      <c r="J38" s="11" cm="1">
        <f t="array" ref="J38">IF(ISNUMBER(MATCH(Mezclado!$A38, _xlfn._xlws.FILTER(Procesos!$A$2:$A$23, Procesos!K$2:K$23="Molido"), 0)), Mezclado!N38/(1-Formula!$B$17),0)</f>
        <v>0</v>
      </c>
      <c r="K38" s="11" cm="1">
        <f t="array" ref="K38">IF(ISNUMBER(MATCH(Mezclado!$A38, _xlfn._xlws.FILTER(Procesos!$A$2:$A$23, Procesos!M$2:M$23="Molido"), 0)), Mezclado!P38/(1-Formula!$B$17),0)</f>
        <v>0</v>
      </c>
      <c r="L38" s="11">
        <v>0</v>
      </c>
    </row>
    <row r="39" spans="1:12" x14ac:dyDescent="0.25">
      <c r="A39" s="22" t="str">
        <v>Olmos</v>
      </c>
      <c r="B39" s="11">
        <v>5840</v>
      </c>
      <c r="C39" s="5">
        <v>45810</v>
      </c>
      <c r="D39" s="11" cm="1">
        <f t="array" ref="D39">IF(ISNUMBER(MATCH(Mezclado!$A39, _xlfn._xlws.FILTER(Procesos!$A$2:$A$23, Procesos!C$2:C$23="Molido"), 0)), Mezclado!F39/(1-Formula!$B$17),0)</f>
        <v>0</v>
      </c>
      <c r="E39" s="11" cm="1">
        <f t="array" ref="E39">IF(ISNUMBER(MATCH(Mezclado!$A39, _xlfn._xlws.FILTER(Procesos!$A$2:$A$23, Procesos!D$2:D$23="Molido"), 0)), Mezclado!G39/(1-Formula!$B$17),0)</f>
        <v>712.23876938162664</v>
      </c>
      <c r="F39" s="11" cm="1">
        <f t="array" ref="F39">IF(ISNUMBER(MATCH(Mezclado!$A39, _xlfn._xlws.FILTER(Procesos!$A$2:$A$23, Procesos!E$2:E$23="Molido"), 0)), Mezclado!H39/(1-Formula!$B$17),0)</f>
        <v>52.493309636166785</v>
      </c>
      <c r="G39" s="11" cm="1">
        <f t="array" ref="G39">IF(ISNUMBER(MATCH(Mezclado!$A39, _xlfn._xlws.FILTER(Procesos!$A$2:$A$23, Procesos!F$2:F$23="Molido"), 0)), Mezclado!I39/(1-Formula!$B$17),0)</f>
        <v>0</v>
      </c>
      <c r="H39" s="11" cm="1">
        <f t="array" ref="H39">IF(ISNUMBER(MATCH(Mezclado!$A39, _xlfn._xlws.FILTER(Procesos!$A$2:$A$23, Procesos!H$2:H$23="Molido"), 0)), Mezclado!K39/(1-Formula!$B$17),0)</f>
        <v>0</v>
      </c>
      <c r="I39" s="11" cm="1">
        <f t="array" ref="I39">IF(ISNUMBER(MATCH(Mezclado!$A39, _xlfn._xlws.FILTER(Procesos!$A$2:$A$23, Procesos!I$2:I$23="Molido"), 0)), Mezclado!L39/(1-Formula!$B$17),0)</f>
        <v>0</v>
      </c>
      <c r="J39" s="11" cm="1">
        <f t="array" ref="J39">IF(ISNUMBER(MATCH(Mezclado!$A39, _xlfn._xlws.FILTER(Procesos!$A$2:$A$23, Procesos!K$2:K$23="Molido"), 0)), Mezclado!N39/(1-Formula!$B$17),0)</f>
        <v>0</v>
      </c>
      <c r="K39" s="11" cm="1">
        <f t="array" ref="K39">IF(ISNUMBER(MATCH(Mezclado!$A39, _xlfn._xlws.FILTER(Procesos!$A$2:$A$23, Procesos!M$2:M$23="Molido"), 0)), Mezclado!P39/(1-Formula!$B$17),0)</f>
        <v>0</v>
      </c>
      <c r="L39" s="11">
        <v>0</v>
      </c>
    </row>
    <row r="40" spans="1:12" x14ac:dyDescent="0.25">
      <c r="A40" s="22" t="str">
        <v>Marcabal</v>
      </c>
      <c r="B40" s="11">
        <v>4061.92</v>
      </c>
      <c r="C40" s="5">
        <v>45817</v>
      </c>
      <c r="D40" s="11" cm="1">
        <f t="array" ref="D40">IF(ISNUMBER(MATCH(Mezclado!$A40, _xlfn._xlws.FILTER(Procesos!$A$2:$A$23, Procesos!C$2:C$23="Molido"), 0)), Mezclado!F40/(1-Formula!$B$17),0)</f>
        <v>0</v>
      </c>
      <c r="E40" s="11" cm="1">
        <f t="array" ref="E40">IF(ISNUMBER(MATCH(Mezclado!$A40, _xlfn._xlws.FILTER(Procesos!$A$2:$A$23, Procesos!D$2:D$23="Molido"), 0)), Mezclado!G40/(1-Formula!$B$17),0)</f>
        <v>0</v>
      </c>
      <c r="F40" s="11" cm="1">
        <f t="array" ref="F40">IF(ISNUMBER(MATCH(Mezclado!$A40, _xlfn._xlws.FILTER(Procesos!$A$2:$A$23, Procesos!E$2:E$23="Molido"), 0)), Mezclado!H40/(1-Formula!$B$17),0)</f>
        <v>335.2363955792527</v>
      </c>
      <c r="G40" s="11" cm="1">
        <f t="array" ref="G40">IF(ISNUMBER(MATCH(Mezclado!$A40, _xlfn._xlws.FILTER(Procesos!$A$2:$A$23, Procesos!F$2:F$23="Molido"), 0)), Mezclado!I40/(1-Formula!$B$17),0)</f>
        <v>0</v>
      </c>
      <c r="H40" s="11" cm="1">
        <f t="array" ref="H40">IF(ISNUMBER(MATCH(Mezclado!$A40, _xlfn._xlws.FILTER(Procesos!$A$2:$A$23, Procesos!H$2:H$23="Molido"), 0)), Mezclado!K40/(1-Formula!$B$17),0)</f>
        <v>0</v>
      </c>
      <c r="I40" s="11" cm="1">
        <f t="array" ref="I40">IF(ISNUMBER(MATCH(Mezclado!$A40, _xlfn._xlws.FILTER(Procesos!$A$2:$A$23, Procesos!I$2:I$23="Molido"), 0)), Mezclado!L40/(1-Formula!$B$17),0)</f>
        <v>458.87556127556132</v>
      </c>
      <c r="J40" s="11" cm="1">
        <f t="array" ref="J40">IF(ISNUMBER(MATCH(Mezclado!$A40, _xlfn._xlws.FILTER(Procesos!$A$2:$A$23, Procesos!K$2:K$23="Molido"), 0)), Mezclado!N40/(1-Formula!$B$17),0)</f>
        <v>0</v>
      </c>
      <c r="K40" s="11" cm="1">
        <f t="array" ref="K40">IF(ISNUMBER(MATCH(Mezclado!$A40, _xlfn._xlws.FILTER(Procesos!$A$2:$A$23, Procesos!M$2:M$23="Molido"), 0)), Mezclado!P40/(1-Formula!$B$17),0)</f>
        <v>7.8830340544626258</v>
      </c>
      <c r="L40" s="11">
        <v>0</v>
      </c>
    </row>
    <row r="41" spans="1:12" x14ac:dyDescent="0.25">
      <c r="A41" s="22" t="str">
        <v>Viru</v>
      </c>
      <c r="B41" s="11">
        <v>3104</v>
      </c>
      <c r="C41" s="5">
        <v>45821</v>
      </c>
      <c r="D41" s="11" cm="1">
        <f t="array" ref="D41">IF(ISNUMBER(MATCH(Mezclado!$A41, _xlfn._xlws.FILTER(Procesos!$A$2:$A$23, Procesos!C$2:C$23="Molido"), 0)), Mezclado!F41/(1-Formula!$B$17),0)</f>
        <v>0</v>
      </c>
      <c r="E41" s="11" cm="1">
        <f t="array" ref="E41">IF(ISNUMBER(MATCH(Mezclado!$A41, _xlfn._xlws.FILTER(Procesos!$A$2:$A$23, Procesos!D$2:D$23="Molido"), 0)), Mezclado!G41/(1-Formula!$B$17),0)</f>
        <v>0</v>
      </c>
      <c r="F41" s="11" cm="1">
        <f t="array" ref="F41">IF(ISNUMBER(MATCH(Mezclado!$A41, _xlfn._xlws.FILTER(Procesos!$A$2:$A$23, Procesos!E$2:E$23="Molido"), 0)), Mezclado!H41/(1-Formula!$B$17),0)</f>
        <v>0</v>
      </c>
      <c r="G41" s="11" cm="1">
        <f t="array" ref="G41">IF(ISNUMBER(MATCH(Mezclado!$A41, _xlfn._xlws.FILTER(Procesos!$A$2:$A$23, Procesos!F$2:F$23="Molido"), 0)), Mezclado!I41/(1-Formula!$B$17),0)</f>
        <v>323.39278053563766</v>
      </c>
      <c r="H41" s="11" cm="1">
        <f t="array" ref="H41">IF(ISNUMBER(MATCH(Mezclado!$A41, _xlfn._xlws.FILTER(Procesos!$A$2:$A$23, Procesos!H$2:H$23="Molido"), 0)), Mezclado!K41/(1-Formula!$B$17),0)</f>
        <v>0</v>
      </c>
      <c r="I41" s="11" cm="1">
        <f t="array" ref="I41">IF(ISNUMBER(MATCH(Mezclado!$A41, _xlfn._xlws.FILTER(Procesos!$A$2:$A$23, Procesos!I$2:I$23="Molido"), 0)), Mezclado!L41/(1-Formula!$B$17),0)</f>
        <v>0</v>
      </c>
      <c r="J41" s="11" cm="1">
        <f t="array" ref="J41">IF(ISNUMBER(MATCH(Mezclado!$A41, _xlfn._xlws.FILTER(Procesos!$A$2:$A$23, Procesos!K$2:K$23="Molido"), 0)), Mezclado!N41/(1-Formula!$B$17),0)</f>
        <v>0</v>
      </c>
      <c r="K41" s="11" cm="1">
        <f t="array" ref="K41">IF(ISNUMBER(MATCH(Mezclado!$A41, _xlfn._xlws.FILTER(Procesos!$A$2:$A$23, Procesos!M$2:M$23="Molido"), 0)), Mezclado!P41/(1-Formula!$B$17),0)</f>
        <v>0</v>
      </c>
      <c r="L41" s="11">
        <v>0</v>
      </c>
    </row>
    <row r="42" spans="1:12" x14ac:dyDescent="0.25">
      <c r="A42" s="22" t="str">
        <v>Chiclayo</v>
      </c>
      <c r="B42" s="11">
        <v>12216</v>
      </c>
      <c r="C42" s="5">
        <v>45824</v>
      </c>
      <c r="D42" s="11" cm="1">
        <f t="array" ref="D42">IF(ISNUMBER(MATCH(Mezclado!$A42, _xlfn._xlws.FILTER(Procesos!$A$2:$A$23, Procesos!C$2:C$23="Molido"), 0)), Mezclado!F42/(1-Formula!$B$17),0)</f>
        <v>0</v>
      </c>
      <c r="E42" s="11" cm="1">
        <f t="array" ref="E42">IF(ISNUMBER(MATCH(Mezclado!$A42, _xlfn._xlws.FILTER(Procesos!$A$2:$A$23, Procesos!D$2:D$23="Molido"), 0)), Mezclado!G42/(1-Formula!$B$17),0)</f>
        <v>0</v>
      </c>
      <c r="F42" s="11" cm="1">
        <f t="array" ref="F42">IF(ISNUMBER(MATCH(Mezclado!$A42, _xlfn._xlws.FILTER(Procesos!$A$2:$A$23, Procesos!E$2:E$23="Molido"), 0)), Mezclado!H42/(1-Formula!$B$17),0)</f>
        <v>0</v>
      </c>
      <c r="G42" s="11" cm="1">
        <f t="array" ref="G42">IF(ISNUMBER(MATCH(Mezclado!$A42, _xlfn._xlws.FILTER(Procesos!$A$2:$A$23, Procesos!F$2:F$23="Molido"), 0)), Mezclado!I42/(1-Formula!$B$17),0)</f>
        <v>0</v>
      </c>
      <c r="H42" s="11" cm="1">
        <f t="array" ref="H42">IF(ISNUMBER(MATCH(Mezclado!$A42, _xlfn._xlws.FILTER(Procesos!$A$2:$A$23, Procesos!H$2:H$23="Molido"), 0)), Mezclado!K42/(1-Formula!$B$17),0)</f>
        <v>3522.6031746031749</v>
      </c>
      <c r="I42" s="11" cm="1">
        <f t="array" ref="I42">IF(ISNUMBER(MATCH(Mezclado!$A42, _xlfn._xlws.FILTER(Procesos!$A$2:$A$23, Procesos!I$2:I$23="Molido"), 0)), Mezclado!L42/(1-Formula!$B$17),0)</f>
        <v>0</v>
      </c>
      <c r="J42" s="11" cm="1">
        <f t="array" ref="J42">IF(ISNUMBER(MATCH(Mezclado!$A42, _xlfn._xlws.FILTER(Procesos!$A$2:$A$23, Procesos!K$2:K$23="Molido"), 0)), Mezclado!N42/(1-Formula!$B$17),0)</f>
        <v>0</v>
      </c>
      <c r="K42" s="11" cm="1">
        <f t="array" ref="K42">IF(ISNUMBER(MATCH(Mezclado!$A42, _xlfn._xlws.FILTER(Procesos!$A$2:$A$23, Procesos!M$2:M$23="Molido"), 0)), Mezclado!P42/(1-Formula!$B$17),0)</f>
        <v>0</v>
      </c>
      <c r="L42" s="11">
        <v>0</v>
      </c>
    </row>
    <row r="43" spans="1:12" x14ac:dyDescent="0.25">
      <c r="A43" s="22" t="str">
        <v>Julcán</v>
      </c>
      <c r="B43" s="11">
        <v>2588</v>
      </c>
      <c r="C43" s="5">
        <v>45824</v>
      </c>
      <c r="D43" s="11" cm="1">
        <f t="array" ref="D43">IF(ISNUMBER(MATCH(Mezclado!$A43, _xlfn._xlws.FILTER(Procesos!$A$2:$A$23, Procesos!C$2:C$23="Molido"), 0)), Mezclado!F43/(1-Formula!$B$17),0)</f>
        <v>0</v>
      </c>
      <c r="E43" s="11" cm="1">
        <f t="array" ref="E43">IF(ISNUMBER(MATCH(Mezclado!$A43, _xlfn._xlws.FILTER(Procesos!$A$2:$A$23, Procesos!D$2:D$23="Molido"), 0)), Mezclado!G43/(1-Formula!$B$17),0)</f>
        <v>0</v>
      </c>
      <c r="F43" s="11" cm="1">
        <f t="array" ref="F43">IF(ISNUMBER(MATCH(Mezclado!$A43, _xlfn._xlws.FILTER(Procesos!$A$2:$A$23, Procesos!E$2:E$23="Molido"), 0)), Mezclado!H43/(1-Formula!$B$17),0)</f>
        <v>254.30083144368859</v>
      </c>
      <c r="G43" s="11" cm="1">
        <f t="array" ref="G43">IF(ISNUMBER(MATCH(Mezclado!$A43, _xlfn._xlws.FILTER(Procesos!$A$2:$A$23, Procesos!F$2:F$23="Molido"), 0)), Mezclado!I43/(1-Formula!$B$17),0)</f>
        <v>1704.2385242385246</v>
      </c>
      <c r="H43" s="11" cm="1">
        <f t="array" ref="H43">IF(ISNUMBER(MATCH(Mezclado!$A43, _xlfn._xlws.FILTER(Procesos!$A$2:$A$23, Procesos!H$2:H$23="Molido"), 0)), Mezclado!K43/(1-Formula!$B$17),0)</f>
        <v>0</v>
      </c>
      <c r="I43" s="11" cm="1">
        <f t="array" ref="I43">IF(ISNUMBER(MATCH(Mezclado!$A43, _xlfn._xlws.FILTER(Procesos!$A$2:$A$23, Procesos!I$2:I$23="Molido"), 0)), Mezclado!L43/(1-Formula!$B$17),0)</f>
        <v>0</v>
      </c>
      <c r="J43" s="11" cm="1">
        <f t="array" ref="J43">IF(ISNUMBER(MATCH(Mezclado!$A43, _xlfn._xlws.FILTER(Procesos!$A$2:$A$23, Procesos!K$2:K$23="Molido"), 0)), Mezclado!N43/(1-Formula!$B$17),0)</f>
        <v>0</v>
      </c>
      <c r="K43" s="11" cm="1">
        <f t="array" ref="K43">IF(ISNUMBER(MATCH(Mezclado!$A43, _xlfn._xlws.FILTER(Procesos!$A$2:$A$23, Procesos!M$2:M$23="Molido"), 0)), Mezclado!P43/(1-Formula!$B$17),0)</f>
        <v>0</v>
      </c>
      <c r="L43" s="11">
        <v>0</v>
      </c>
    </row>
    <row r="44" spans="1:12" x14ac:dyDescent="0.25">
      <c r="A44" s="22" t="str">
        <v>San Jose</v>
      </c>
      <c r="B44" s="11">
        <v>3420</v>
      </c>
      <c r="C44" s="5">
        <v>45824</v>
      </c>
      <c r="D44" s="11" cm="1">
        <f t="array" ref="D44">IF(ISNUMBER(MATCH(Mezclado!$A44, _xlfn._xlws.FILTER(Procesos!$A$2:$A$23, Procesos!C$2:C$23="Molido"), 0)), Mezclado!F44/(1-Formula!$B$17),0)</f>
        <v>0</v>
      </c>
      <c r="E44" s="11" cm="1">
        <f t="array" ref="E44">IF(ISNUMBER(MATCH(Mezclado!$A44, _xlfn._xlws.FILTER(Procesos!$A$2:$A$23, Procesos!D$2:D$23="Molido"), 0)), Mezclado!G44/(1-Formula!$B$17),0)</f>
        <v>0</v>
      </c>
      <c r="F44" s="11" cm="1">
        <f t="array" ref="F44">IF(ISNUMBER(MATCH(Mezclado!$A44, _xlfn._xlws.FILTER(Procesos!$A$2:$A$23, Procesos!E$2:E$23="Molido"), 0)), Mezclado!H44/(1-Formula!$B$17),0)</f>
        <v>71.612428755285904</v>
      </c>
      <c r="G44" s="11" cm="1">
        <f t="array" ref="G44">IF(ISNUMBER(MATCH(Mezclado!$A44, _xlfn._xlws.FILTER(Procesos!$A$2:$A$23, Procesos!F$2:F$23="Molido"), 0)), Mezclado!I44/(1-Formula!$B$17),0)</f>
        <v>716.82294539437396</v>
      </c>
      <c r="H44" s="11" cm="1">
        <f t="array" ref="H44">IF(ISNUMBER(MATCH(Mezclado!$A44, _xlfn._xlws.FILTER(Procesos!$A$2:$A$23, Procesos!H$2:H$23="Molido"), 0)), Mezclado!K44/(1-Formula!$B$17),0)</f>
        <v>0</v>
      </c>
      <c r="I44" s="11" cm="1">
        <f t="array" ref="I44">IF(ISNUMBER(MATCH(Mezclado!$A44, _xlfn._xlws.FILTER(Procesos!$A$2:$A$23, Procesos!I$2:I$23="Molido"), 0)), Mezclado!L44/(1-Formula!$B$17),0)</f>
        <v>0</v>
      </c>
      <c r="J44" s="11" cm="1">
        <f t="array" ref="J44">IF(ISNUMBER(MATCH(Mezclado!$A44, _xlfn._xlws.FILTER(Procesos!$A$2:$A$23, Procesos!K$2:K$23="Molido"), 0)), Mezclado!N44/(1-Formula!$B$17),0)</f>
        <v>0</v>
      </c>
      <c r="K44" s="11" cm="1">
        <f t="array" ref="K44">IF(ISNUMBER(MATCH(Mezclado!$A44, _xlfn._xlws.FILTER(Procesos!$A$2:$A$23, Procesos!M$2:M$23="Molido"), 0)), Mezclado!P44/(1-Formula!$B$17),0)</f>
        <v>0</v>
      </c>
      <c r="L44" s="11">
        <v>0</v>
      </c>
    </row>
    <row r="45" spans="1:12" x14ac:dyDescent="0.25">
      <c r="A45" s="22" t="str">
        <v>San Pedro de Lloc</v>
      </c>
      <c r="B45" s="11">
        <v>4846</v>
      </c>
      <c r="C45" s="5">
        <v>45824</v>
      </c>
      <c r="D45" s="11" cm="1">
        <f t="array" ref="D45">IF(ISNUMBER(MATCH(Mezclado!$A45, _xlfn._xlws.FILTER(Procesos!$A$2:$A$23, Procesos!C$2:C$23="Molido"), 0)), Mezclado!F45/(1-Formula!$B$17),0)</f>
        <v>0</v>
      </c>
      <c r="E45" s="11" cm="1">
        <f t="array" ref="E45">IF(ISNUMBER(MATCH(Mezclado!$A45, _xlfn._xlws.FILTER(Procesos!$A$2:$A$23, Procesos!D$2:D$23="Molido"), 0)), Mezclado!G45/(1-Formula!$B$17),0)</f>
        <v>0</v>
      </c>
      <c r="F45" s="11" cm="1">
        <f t="array" ref="F45">IF(ISNUMBER(MATCH(Mezclado!$A45, _xlfn._xlws.FILTER(Procesos!$A$2:$A$23, Procesos!E$2:E$23="Molido"), 0)), Mezclado!H45/(1-Formula!$B$17),0)</f>
        <v>76.722641008355296</v>
      </c>
      <c r="G45" s="11" cm="1">
        <f t="array" ref="G45">IF(ISNUMBER(MATCH(Mezclado!$A45, _xlfn._xlws.FILTER(Procesos!$A$2:$A$23, Procesos!F$2:F$23="Molido"), 0)), Mezclado!I45/(1-Formula!$B$17),0)</f>
        <v>576.65726951441252</v>
      </c>
      <c r="H45" s="11" cm="1">
        <f t="array" ref="H45">IF(ISNUMBER(MATCH(Mezclado!$A45, _xlfn._xlws.FILTER(Procesos!$A$2:$A$23, Procesos!H$2:H$23="Molido"), 0)), Mezclado!K45/(1-Formula!$B$17),0)</f>
        <v>0</v>
      </c>
      <c r="I45" s="11" cm="1">
        <f t="array" ref="I45">IF(ISNUMBER(MATCH(Mezclado!$A45, _xlfn._xlws.FILTER(Procesos!$A$2:$A$23, Procesos!I$2:I$23="Molido"), 0)), Mezclado!L45/(1-Formula!$B$17),0)</f>
        <v>0</v>
      </c>
      <c r="J45" s="11" cm="1">
        <f t="array" ref="J45">IF(ISNUMBER(MATCH(Mezclado!$A45, _xlfn._xlws.FILTER(Procesos!$A$2:$A$23, Procesos!K$2:K$23="Molido"), 0)), Mezclado!N45/(1-Formula!$B$17),0)</f>
        <v>0</v>
      </c>
      <c r="K45" s="11" cm="1">
        <f t="array" ref="K45">IF(ISNUMBER(MATCH(Mezclado!$A45, _xlfn._xlws.FILTER(Procesos!$A$2:$A$23, Procesos!M$2:M$23="Molido"), 0)), Mezclado!P45/(1-Formula!$B$17),0)</f>
        <v>0</v>
      </c>
      <c r="L45" s="11">
        <v>19.304406447263592</v>
      </c>
    </row>
    <row r="46" spans="1:12" x14ac:dyDescent="0.25">
      <c r="A46" s="22" t="str">
        <v>Chongoyape</v>
      </c>
      <c r="B46" s="11">
        <v>1771</v>
      </c>
      <c r="C46" s="5">
        <v>45825</v>
      </c>
      <c r="D46" s="11" cm="1">
        <f t="array" ref="D46">IF(ISNUMBER(MATCH(Mezclado!$A46, _xlfn._xlws.FILTER(Procesos!$A$2:$A$23, Procesos!C$2:C$23="Molido"), 0)), Mezclado!F46/(1-Formula!$B$17),0)</f>
        <v>0</v>
      </c>
      <c r="E46" s="11" cm="1">
        <f t="array" ref="E46">IF(ISNUMBER(MATCH(Mezclado!$A46, _xlfn._xlws.FILTER(Procesos!$A$2:$A$23, Procesos!D$2:D$23="Molido"), 0)), Mezclado!G46/(1-Formula!$B$17),0)</f>
        <v>922.2036322036322</v>
      </c>
      <c r="F46" s="11" cm="1">
        <f t="array" ref="F46">IF(ISNUMBER(MATCH(Mezclado!$A46, _xlfn._xlws.FILTER(Procesos!$A$2:$A$23, Procesos!E$2:E$23="Molido"), 0)), Mezclado!H46/(1-Formula!$B$17),0)</f>
        <v>92.256542256542261</v>
      </c>
      <c r="G46" s="11" cm="1">
        <f t="array" ref="G46">IF(ISNUMBER(MATCH(Mezclado!$A46, _xlfn._xlws.FILTER(Procesos!$A$2:$A$23, Procesos!F$2:F$23="Molido"), 0)), Mezclado!I46/(1-Formula!$B$17),0)</f>
        <v>177.27727727727728</v>
      </c>
      <c r="H46" s="11" cm="1">
        <f t="array" ref="H46">IF(ISNUMBER(MATCH(Mezclado!$A46, _xlfn._xlws.FILTER(Procesos!$A$2:$A$23, Procesos!H$2:H$23="Molido"), 0)), Mezclado!K46/(1-Formula!$B$17),0)</f>
        <v>0</v>
      </c>
      <c r="I46" s="11" cm="1">
        <f t="array" ref="I46">IF(ISNUMBER(MATCH(Mezclado!$A46, _xlfn._xlws.FILTER(Procesos!$A$2:$A$23, Procesos!I$2:I$23="Molido"), 0)), Mezclado!L46/(1-Formula!$B$17),0)</f>
        <v>0</v>
      </c>
      <c r="J46" s="11" cm="1">
        <f t="array" ref="J46">IF(ISNUMBER(MATCH(Mezclado!$A46, _xlfn._xlws.FILTER(Procesos!$A$2:$A$23, Procesos!K$2:K$23="Molido"), 0)), Mezclado!N46/(1-Formula!$B$17),0)</f>
        <v>0</v>
      </c>
      <c r="K46" s="11" cm="1">
        <f t="array" ref="K46">IF(ISNUMBER(MATCH(Mezclado!$A46, _xlfn._xlws.FILTER(Procesos!$A$2:$A$23, Procesos!M$2:M$23="Molido"), 0)), Mezclado!P46/(1-Formula!$B$17),0)</f>
        <v>0</v>
      </c>
      <c r="L46" s="11">
        <v>0</v>
      </c>
    </row>
    <row r="47" spans="1:12" x14ac:dyDescent="0.25">
      <c r="A47" s="22" t="str">
        <v>Pataz - Tayabamba</v>
      </c>
      <c r="B47" s="11">
        <v>9268</v>
      </c>
      <c r="C47" s="5">
        <v>45828</v>
      </c>
      <c r="D47" s="11" cm="1">
        <f t="array" ref="D47">IF(ISNUMBER(MATCH(Mezclado!$A47, _xlfn._xlws.FILTER(Procesos!$A$2:$A$23, Procesos!C$2:C$23="Molido"), 0)), Mezclado!F47/(1-Formula!$B$17),0)</f>
        <v>2524.7447447447448</v>
      </c>
      <c r="E47" s="11" cm="1">
        <f t="array" ref="E47">IF(ISNUMBER(MATCH(Mezclado!$A47, _xlfn._xlws.FILTER(Procesos!$A$2:$A$23, Procesos!D$2:D$23="Molido"), 0)), Mezclado!G47/(1-Formula!$B$17),0)</f>
        <v>2673.370513370513</v>
      </c>
      <c r="F47" s="11" cm="1">
        <f t="array" ref="F47">IF(ISNUMBER(MATCH(Mezclado!$A47, _xlfn._xlws.FILTER(Procesos!$A$2:$A$23, Procesos!E$2:E$23="Molido"), 0)), Mezclado!H47/(1-Formula!$B$17),0)</f>
        <v>742.18218218218215</v>
      </c>
      <c r="G47" s="11" cm="1">
        <f t="array" ref="G47">IF(ISNUMBER(MATCH(Mezclado!$A47, _xlfn._xlws.FILTER(Procesos!$A$2:$A$23, Procesos!F$2:F$23="Molido"), 0)), Mezclado!I47/(1-Formula!$B$17),0)</f>
        <v>0</v>
      </c>
      <c r="H47" s="11" cm="1">
        <f t="array" ref="H47">IF(ISNUMBER(MATCH(Mezclado!$A47, _xlfn._xlws.FILTER(Procesos!$A$2:$A$23, Procesos!H$2:H$23="Molido"), 0)), Mezclado!K47/(1-Formula!$B$17),0)</f>
        <v>0</v>
      </c>
      <c r="I47" s="11" cm="1">
        <f t="array" ref="I47">IF(ISNUMBER(MATCH(Mezclado!$A47, _xlfn._xlws.FILTER(Procesos!$A$2:$A$23, Procesos!I$2:I$23="Molido"), 0)), Mezclado!L47/(1-Formula!$B$17),0)</f>
        <v>0</v>
      </c>
      <c r="J47" s="11" cm="1">
        <f t="array" ref="J47">IF(ISNUMBER(MATCH(Mezclado!$A47, _xlfn._xlws.FILTER(Procesos!$A$2:$A$23, Procesos!K$2:K$23="Molido"), 0)), Mezclado!N47/(1-Formula!$B$17),0)</f>
        <v>1336.6852566852565</v>
      </c>
      <c r="K47" s="11" cm="1">
        <f t="array" ref="K47">IF(ISNUMBER(MATCH(Mezclado!$A47, _xlfn._xlws.FILTER(Procesos!$A$2:$A$23, Procesos!M$2:M$23="Molido"), 0)), Mezclado!P47/(1-Formula!$B$17),0)</f>
        <v>0</v>
      </c>
      <c r="L47" s="11">
        <v>0</v>
      </c>
    </row>
    <row r="48" spans="1:12" x14ac:dyDescent="0.25">
      <c r="A48" s="22" t="str">
        <v>Cajamarca</v>
      </c>
      <c r="B48" s="11">
        <v>23485.599999999999</v>
      </c>
      <c r="C48" s="5">
        <v>45841</v>
      </c>
      <c r="D48" s="11" cm="1">
        <f t="array" ref="D48">IF(ISNUMBER(MATCH(Mezclado!$A48, _xlfn._xlws.FILTER(Procesos!$A$2:$A$23, Procesos!C$2:C$23="Molido"), 0)), Mezclado!F48/(1-Formula!$B$17),0)</f>
        <v>0</v>
      </c>
      <c r="E48" s="11" cm="1">
        <f t="array" ref="E48">IF(ISNUMBER(MATCH(Mezclado!$A48, _xlfn._xlws.FILTER(Procesos!$A$2:$A$23, Procesos!D$2:D$23="Molido"), 0)), Mezclado!G48/(1-Formula!$B$17),0)</f>
        <v>0</v>
      </c>
      <c r="F48" s="11" cm="1">
        <f t="array" ref="F48">IF(ISNUMBER(MATCH(Mezclado!$A48, _xlfn._xlws.FILTER(Procesos!$A$2:$A$23, Procesos!E$2:E$23="Molido"), 0)), Mezclado!H48/(1-Formula!$B$17),0)</f>
        <v>899.58325672611375</v>
      </c>
      <c r="G48" s="11" cm="1">
        <f t="array" ref="G48">IF(ISNUMBER(MATCH(Mezclado!$A48, _xlfn._xlws.FILTER(Procesos!$A$2:$A$23, Procesos!F$2:F$23="Molido"), 0)), Mezclado!I48/(1-Formula!$B$17),0)</f>
        <v>0</v>
      </c>
      <c r="H48" s="11" cm="1">
        <f t="array" ref="H48">IF(ISNUMBER(MATCH(Mezclado!$A48, _xlfn._xlws.FILTER(Procesos!$A$2:$A$23, Procesos!H$2:H$23="Molido"), 0)), Mezclado!K48/(1-Formula!$B$17),0)</f>
        <v>0</v>
      </c>
      <c r="I48" s="11" cm="1">
        <f t="array" ref="I48">IF(ISNUMBER(MATCH(Mezclado!$A48, _xlfn._xlws.FILTER(Procesos!$A$2:$A$23, Procesos!I$2:I$23="Molido"), 0)), Mezclado!L48/(1-Formula!$B$17),0)</f>
        <v>0</v>
      </c>
      <c r="J48" s="11" cm="1">
        <f t="array" ref="J48">IF(ISNUMBER(MATCH(Mezclado!$A48, _xlfn._xlws.FILTER(Procesos!$A$2:$A$23, Procesos!K$2:K$23="Molido"), 0)), Mezclado!N48/(1-Formula!$B$17),0)</f>
        <v>0</v>
      </c>
      <c r="K48" s="11" cm="1">
        <f t="array" ref="K48">IF(ISNUMBER(MATCH(Mezclado!$A48, _xlfn._xlws.FILTER(Procesos!$A$2:$A$23, Procesos!M$2:M$23="Molido"), 0)), Mezclado!P48/(1-Formula!$B$17),0)</f>
        <v>0</v>
      </c>
      <c r="L48" s="11">
        <v>0</v>
      </c>
    </row>
    <row r="49" spans="1:12" x14ac:dyDescent="0.25">
      <c r="A49" s="22" t="str">
        <v>Olmos</v>
      </c>
      <c r="B49" s="11">
        <v>5840</v>
      </c>
      <c r="C49" s="5">
        <v>45842</v>
      </c>
      <c r="D49" s="11" cm="1">
        <f t="array" ref="D49">IF(ISNUMBER(MATCH(Mezclado!$A49, _xlfn._xlws.FILTER(Procesos!$A$2:$A$23, Procesos!C$2:C$23="Molido"), 0)), Mezclado!F49/(1-Formula!$B$17),0)</f>
        <v>0</v>
      </c>
      <c r="E49" s="11" cm="1">
        <f t="array" ref="E49">IF(ISNUMBER(MATCH(Mezclado!$A49, _xlfn._xlws.FILTER(Procesos!$A$2:$A$23, Procesos!D$2:D$23="Molido"), 0)), Mezclado!G49/(1-Formula!$B$17),0)</f>
        <v>712.23876938162664</v>
      </c>
      <c r="F49" s="11" cm="1">
        <f t="array" ref="F49">IF(ISNUMBER(MATCH(Mezclado!$A49, _xlfn._xlws.FILTER(Procesos!$A$2:$A$23, Procesos!E$2:E$23="Molido"), 0)), Mezclado!H49/(1-Formula!$B$17),0)</f>
        <v>52.493309636166785</v>
      </c>
      <c r="G49" s="11" cm="1">
        <f t="array" ref="G49">IF(ISNUMBER(MATCH(Mezclado!$A49, _xlfn._xlws.FILTER(Procesos!$A$2:$A$23, Procesos!F$2:F$23="Molido"), 0)), Mezclado!I49/(1-Formula!$B$17),0)</f>
        <v>0</v>
      </c>
      <c r="H49" s="11" cm="1">
        <f t="array" ref="H49">IF(ISNUMBER(MATCH(Mezclado!$A49, _xlfn._xlws.FILTER(Procesos!$A$2:$A$23, Procesos!H$2:H$23="Molido"), 0)), Mezclado!K49/(1-Formula!$B$17),0)</f>
        <v>0</v>
      </c>
      <c r="I49" s="11" cm="1">
        <f t="array" ref="I49">IF(ISNUMBER(MATCH(Mezclado!$A49, _xlfn._xlws.FILTER(Procesos!$A$2:$A$23, Procesos!I$2:I$23="Molido"), 0)), Mezclado!L49/(1-Formula!$B$17),0)</f>
        <v>0</v>
      </c>
      <c r="J49" s="11" cm="1">
        <f t="array" ref="J49">IF(ISNUMBER(MATCH(Mezclado!$A49, _xlfn._xlws.FILTER(Procesos!$A$2:$A$23, Procesos!K$2:K$23="Molido"), 0)), Mezclado!N49/(1-Formula!$B$17),0)</f>
        <v>0</v>
      </c>
      <c r="K49" s="11" cm="1">
        <f t="array" ref="K49">IF(ISNUMBER(MATCH(Mezclado!$A49, _xlfn._xlws.FILTER(Procesos!$A$2:$A$23, Procesos!M$2:M$23="Molido"), 0)), Mezclado!P49/(1-Formula!$B$17),0)</f>
        <v>0</v>
      </c>
      <c r="L49" s="11">
        <v>0</v>
      </c>
    </row>
    <row r="50" spans="1:12" x14ac:dyDescent="0.25">
      <c r="A50" s="22" t="str">
        <v>Cajatambo</v>
      </c>
      <c r="B50" s="11">
        <v>1707</v>
      </c>
      <c r="C50" s="5">
        <v>45845</v>
      </c>
      <c r="D50" s="11" cm="1">
        <f t="array" ref="D50">IF(ISNUMBER(MATCH(Mezclado!$A50, _xlfn._xlws.FILTER(Procesos!$A$2:$A$23, Procesos!C$2:C$23="Molido"), 0)), Mezclado!F50/(1-Formula!$B$17),0)</f>
        <v>0</v>
      </c>
      <c r="E50" s="11" cm="1">
        <f t="array" ref="E50">IF(ISNUMBER(MATCH(Mezclado!$A50, _xlfn._xlws.FILTER(Procesos!$A$2:$A$23, Procesos!D$2:D$23="Molido"), 0)), Mezclado!G50/(1-Formula!$B$17),0)</f>
        <v>0</v>
      </c>
      <c r="F50" s="11" cm="1">
        <f t="array" ref="F50">IF(ISNUMBER(MATCH(Mezclado!$A50, _xlfn._xlws.FILTER(Procesos!$A$2:$A$23, Procesos!E$2:E$23="Molido"), 0)), Mezclado!H50/(1-Formula!$B$17),0)</f>
        <v>0</v>
      </c>
      <c r="G50" s="11" cm="1">
        <f t="array" ref="G50">IF(ISNUMBER(MATCH(Mezclado!$A50, _xlfn._xlws.FILTER(Procesos!$A$2:$A$23, Procesos!F$2:F$23="Molido"), 0)), Mezclado!I50/(1-Formula!$B$17),0)</f>
        <v>0</v>
      </c>
      <c r="H50" s="11" cm="1">
        <f t="array" ref="H50">IF(ISNUMBER(MATCH(Mezclado!$A50, _xlfn._xlws.FILTER(Procesos!$A$2:$A$23, Procesos!H$2:H$23="Molido"), 0)), Mezclado!K50/(1-Formula!$B$17),0)</f>
        <v>0</v>
      </c>
      <c r="I50" s="11" cm="1">
        <f t="array" ref="I50">IF(ISNUMBER(MATCH(Mezclado!$A50, _xlfn._xlws.FILTER(Procesos!$A$2:$A$23, Procesos!I$2:I$23="Molido"), 0)), Mezclado!L50/(1-Formula!$B$17),0)</f>
        <v>0</v>
      </c>
      <c r="J50" s="11" cm="1">
        <f t="array" ref="J50">IF(ISNUMBER(MATCH(Mezclado!$A50, _xlfn._xlws.FILTER(Procesos!$A$2:$A$23, Procesos!K$2:K$23="Molido"), 0)), Mezclado!N50/(1-Formula!$B$17),0)</f>
        <v>0</v>
      </c>
      <c r="K50" s="11" cm="1">
        <f t="array" ref="K50">IF(ISNUMBER(MATCH(Mezclado!$A50, _xlfn._xlws.FILTER(Procesos!$A$2:$A$23, Procesos!M$2:M$23="Molido"), 0)), Mezclado!P50/(1-Formula!$B$17),0)</f>
        <v>0</v>
      </c>
      <c r="L50" s="11">
        <v>0</v>
      </c>
    </row>
    <row r="51" spans="1:12" x14ac:dyDescent="0.25">
      <c r="A51" s="22" t="str">
        <v>Marcabal</v>
      </c>
      <c r="B51" s="11">
        <v>4061.92</v>
      </c>
      <c r="C51" s="5">
        <v>45846</v>
      </c>
      <c r="D51" s="11" cm="1">
        <f t="array" ref="D51">IF(ISNUMBER(MATCH(Mezclado!$A51, _xlfn._xlws.FILTER(Procesos!$A$2:$A$23, Procesos!C$2:C$23="Molido"), 0)), Mezclado!F51/(1-Formula!$B$17),0)</f>
        <v>0</v>
      </c>
      <c r="E51" s="11" cm="1">
        <f t="array" ref="E51">IF(ISNUMBER(MATCH(Mezclado!$A51, _xlfn._xlws.FILTER(Procesos!$A$2:$A$23, Procesos!D$2:D$23="Molido"), 0)), Mezclado!G51/(1-Formula!$B$17),0)</f>
        <v>0</v>
      </c>
      <c r="F51" s="11" cm="1">
        <f t="array" ref="F51">IF(ISNUMBER(MATCH(Mezclado!$A51, _xlfn._xlws.FILTER(Procesos!$A$2:$A$23, Procesos!E$2:E$23="Molido"), 0)), Mezclado!H51/(1-Formula!$B$17),0)</f>
        <v>335.2363955792527</v>
      </c>
      <c r="G51" s="11" cm="1">
        <f t="array" ref="G51">IF(ISNUMBER(MATCH(Mezclado!$A51, _xlfn._xlws.FILTER(Procesos!$A$2:$A$23, Procesos!F$2:F$23="Molido"), 0)), Mezclado!I51/(1-Formula!$B$17),0)</f>
        <v>0</v>
      </c>
      <c r="H51" s="11" cm="1">
        <f t="array" ref="H51">IF(ISNUMBER(MATCH(Mezclado!$A51, _xlfn._xlws.FILTER(Procesos!$A$2:$A$23, Procesos!H$2:H$23="Molido"), 0)), Mezclado!K51/(1-Formula!$B$17),0)</f>
        <v>0</v>
      </c>
      <c r="I51" s="11" cm="1">
        <f t="array" ref="I51">IF(ISNUMBER(MATCH(Mezclado!$A51, _xlfn._xlws.FILTER(Procesos!$A$2:$A$23, Procesos!I$2:I$23="Molido"), 0)), Mezclado!L51/(1-Formula!$B$17),0)</f>
        <v>458.87556127556132</v>
      </c>
      <c r="J51" s="11" cm="1">
        <f t="array" ref="J51">IF(ISNUMBER(MATCH(Mezclado!$A51, _xlfn._xlws.FILTER(Procesos!$A$2:$A$23, Procesos!K$2:K$23="Molido"), 0)), Mezclado!N51/(1-Formula!$B$17),0)</f>
        <v>0</v>
      </c>
      <c r="K51" s="11" cm="1">
        <f t="array" ref="K51">IF(ISNUMBER(MATCH(Mezclado!$A51, _xlfn._xlws.FILTER(Procesos!$A$2:$A$23, Procesos!M$2:M$23="Molido"), 0)), Mezclado!P51/(1-Formula!$B$17),0)</f>
        <v>7.8830340544626258</v>
      </c>
      <c r="L51" s="11">
        <v>0</v>
      </c>
    </row>
    <row r="52" spans="1:12" x14ac:dyDescent="0.25">
      <c r="A52" s="22" t="str">
        <v>Julcán</v>
      </c>
      <c r="B52" s="11">
        <v>2588</v>
      </c>
      <c r="C52" s="5">
        <v>45849</v>
      </c>
      <c r="D52" s="11" cm="1">
        <f t="array" ref="D52">IF(ISNUMBER(MATCH(Mezclado!$A52, _xlfn._xlws.FILTER(Procesos!$A$2:$A$23, Procesos!C$2:C$23="Molido"), 0)), Mezclado!F52/(1-Formula!$B$17),0)</f>
        <v>0</v>
      </c>
      <c r="E52" s="11" cm="1">
        <f t="array" ref="E52">IF(ISNUMBER(MATCH(Mezclado!$A52, _xlfn._xlws.FILTER(Procesos!$A$2:$A$23, Procesos!D$2:D$23="Molido"), 0)), Mezclado!G52/(1-Formula!$B$17),0)</f>
        <v>0</v>
      </c>
      <c r="F52" s="11" cm="1">
        <f t="array" ref="F52">IF(ISNUMBER(MATCH(Mezclado!$A52, _xlfn._xlws.FILTER(Procesos!$A$2:$A$23, Procesos!E$2:E$23="Molido"), 0)), Mezclado!H52/(1-Formula!$B$17),0)</f>
        <v>254.30083144368859</v>
      </c>
      <c r="G52" s="11" cm="1">
        <f t="array" ref="G52">IF(ISNUMBER(MATCH(Mezclado!$A52, _xlfn._xlws.FILTER(Procesos!$A$2:$A$23, Procesos!F$2:F$23="Molido"), 0)), Mezclado!I52/(1-Formula!$B$17),0)</f>
        <v>1704.2385242385246</v>
      </c>
      <c r="H52" s="11" cm="1">
        <f t="array" ref="H52">IF(ISNUMBER(MATCH(Mezclado!$A52, _xlfn._xlws.FILTER(Procesos!$A$2:$A$23, Procesos!H$2:H$23="Molido"), 0)), Mezclado!K52/(1-Formula!$B$17),0)</f>
        <v>0</v>
      </c>
      <c r="I52" s="11" cm="1">
        <f t="array" ref="I52">IF(ISNUMBER(MATCH(Mezclado!$A52, _xlfn._xlws.FILTER(Procesos!$A$2:$A$23, Procesos!I$2:I$23="Molido"), 0)), Mezclado!L52/(1-Formula!$B$17),0)</f>
        <v>0</v>
      </c>
      <c r="J52" s="11" cm="1">
        <f t="array" ref="J52">IF(ISNUMBER(MATCH(Mezclado!$A52, _xlfn._xlws.FILTER(Procesos!$A$2:$A$23, Procesos!K$2:K$23="Molido"), 0)), Mezclado!N52/(1-Formula!$B$17),0)</f>
        <v>0</v>
      </c>
      <c r="K52" s="11" cm="1">
        <f t="array" ref="K52">IF(ISNUMBER(MATCH(Mezclado!$A52, _xlfn._xlws.FILTER(Procesos!$A$2:$A$23, Procesos!M$2:M$23="Molido"), 0)), Mezclado!P52/(1-Formula!$B$17),0)</f>
        <v>0</v>
      </c>
      <c r="L52" s="11">
        <v>0</v>
      </c>
    </row>
    <row r="53" spans="1:12" x14ac:dyDescent="0.25">
      <c r="A53" s="22" t="str">
        <v>Chongoyape</v>
      </c>
      <c r="B53" s="11">
        <v>1771</v>
      </c>
      <c r="C53" s="5">
        <v>45852</v>
      </c>
      <c r="D53" s="11" cm="1">
        <f t="array" ref="D53">IF(ISNUMBER(MATCH(Mezclado!$A53, _xlfn._xlws.FILTER(Procesos!$A$2:$A$23, Procesos!C$2:C$23="Molido"), 0)), Mezclado!F53/(1-Formula!$B$17),0)</f>
        <v>0</v>
      </c>
      <c r="E53" s="11" cm="1">
        <f t="array" ref="E53">IF(ISNUMBER(MATCH(Mezclado!$A53, _xlfn._xlws.FILTER(Procesos!$A$2:$A$23, Procesos!D$2:D$23="Molido"), 0)), Mezclado!G53/(1-Formula!$B$17),0)</f>
        <v>922.2036322036322</v>
      </c>
      <c r="F53" s="11" cm="1">
        <f t="array" ref="F53">IF(ISNUMBER(MATCH(Mezclado!$A53, _xlfn._xlws.FILTER(Procesos!$A$2:$A$23, Procesos!E$2:E$23="Molido"), 0)), Mezclado!H53/(1-Formula!$B$17),0)</f>
        <v>92.256542256542261</v>
      </c>
      <c r="G53" s="11" cm="1">
        <f t="array" ref="G53">IF(ISNUMBER(MATCH(Mezclado!$A53, _xlfn._xlws.FILTER(Procesos!$A$2:$A$23, Procesos!F$2:F$23="Molido"), 0)), Mezclado!I53/(1-Formula!$B$17),0)</f>
        <v>177.27727727727728</v>
      </c>
      <c r="H53" s="11" cm="1">
        <f t="array" ref="H53">IF(ISNUMBER(MATCH(Mezclado!$A53, _xlfn._xlws.FILTER(Procesos!$A$2:$A$23, Procesos!H$2:H$23="Molido"), 0)), Mezclado!K53/(1-Formula!$B$17),0)</f>
        <v>0</v>
      </c>
      <c r="I53" s="11" cm="1">
        <f t="array" ref="I53">IF(ISNUMBER(MATCH(Mezclado!$A53, _xlfn._xlws.FILTER(Procesos!$A$2:$A$23, Procesos!I$2:I$23="Molido"), 0)), Mezclado!L53/(1-Formula!$B$17),0)</f>
        <v>0</v>
      </c>
      <c r="J53" s="11" cm="1">
        <f t="array" ref="J53">IF(ISNUMBER(MATCH(Mezclado!$A53, _xlfn._xlws.FILTER(Procesos!$A$2:$A$23, Procesos!K$2:K$23="Molido"), 0)), Mezclado!N53/(1-Formula!$B$17),0)</f>
        <v>0</v>
      </c>
      <c r="K53" s="11" cm="1">
        <f t="array" ref="K53">IF(ISNUMBER(MATCH(Mezclado!$A53, _xlfn._xlws.FILTER(Procesos!$A$2:$A$23, Procesos!M$2:M$23="Molido"), 0)), Mezclado!P53/(1-Formula!$B$17),0)</f>
        <v>0</v>
      </c>
      <c r="L53" s="11">
        <v>0</v>
      </c>
    </row>
    <row r="54" spans="1:12" x14ac:dyDescent="0.25">
      <c r="A54" s="46" t="str">
        <v>Viru</v>
      </c>
      <c r="B54" s="47">
        <v>3104</v>
      </c>
      <c r="C54" s="48">
        <v>45852</v>
      </c>
      <c r="D54" s="47" cm="1">
        <f t="array" ref="D54">IF(ISNUMBER(MATCH(Mezclado!$A54, _xlfn._xlws.FILTER(Procesos!$A$2:$A$23, Procesos!C$2:C$23="Molido"), 0)), Mezclado!F54/(1-Formula!$B$17),0)</f>
        <v>0</v>
      </c>
      <c r="E54" s="47" cm="1">
        <f t="array" ref="E54">IF(ISNUMBER(MATCH(Mezclado!$A54, _xlfn._xlws.FILTER(Procesos!$A$2:$A$23, Procesos!D$2:D$23="Molido"), 0)), Mezclado!G54/(1-Formula!$B$17),0)</f>
        <v>0</v>
      </c>
      <c r="F54" s="47" cm="1">
        <f t="array" ref="F54">IF(ISNUMBER(MATCH(Mezclado!$A54, _xlfn._xlws.FILTER(Procesos!$A$2:$A$23, Procesos!E$2:E$23="Molido"), 0)), Mezclado!H54/(1-Formula!$B$17),0)</f>
        <v>0</v>
      </c>
      <c r="G54" s="47" cm="1">
        <f t="array" ref="G54">IF(ISNUMBER(MATCH(Mezclado!$A54, _xlfn._xlws.FILTER(Procesos!$A$2:$A$23, Procesos!F$2:F$23="Molido"), 0)), Mezclado!I54/(1-Formula!$B$17),0)</f>
        <v>323.39278053563766</v>
      </c>
      <c r="H54" s="47" cm="1">
        <f t="array" ref="H54">IF(ISNUMBER(MATCH(Mezclado!$A54, _xlfn._xlws.FILTER(Procesos!$A$2:$A$23, Procesos!H$2:H$23="Molido"), 0)), Mezclado!K54/(1-Formula!$B$17),0)</f>
        <v>0</v>
      </c>
      <c r="I54" s="47" cm="1">
        <f t="array" ref="I54">IF(ISNUMBER(MATCH(Mezclado!$A54, _xlfn._xlws.FILTER(Procesos!$A$2:$A$23, Procesos!I$2:I$23="Molido"), 0)), Mezclado!L54/(1-Formula!$B$17),0)</f>
        <v>0</v>
      </c>
      <c r="J54" s="47" cm="1">
        <f t="array" ref="J54">IF(ISNUMBER(MATCH(Mezclado!$A54, _xlfn._xlws.FILTER(Procesos!$A$2:$A$23, Procesos!K$2:K$23="Molido"), 0)), Mezclado!N54/(1-Formula!$B$17),0)</f>
        <v>0</v>
      </c>
      <c r="K54" s="47" cm="1">
        <f t="array" ref="K54">IF(ISNUMBER(MATCH(Mezclado!$A54, _xlfn._xlws.FILTER(Procesos!$A$2:$A$23, Procesos!M$2:M$23="Molido"), 0)), Mezclado!P54/(1-Formula!$B$17),0)</f>
        <v>0</v>
      </c>
      <c r="L54" s="47">
        <v>0</v>
      </c>
    </row>
    <row r="55" spans="1:12" x14ac:dyDescent="0.25">
      <c r="A55" s="22" t="str">
        <v>Chiclayo</v>
      </c>
      <c r="B55" s="11">
        <v>12220</v>
      </c>
      <c r="C55" s="5">
        <v>45853</v>
      </c>
      <c r="D55" s="11" cm="1">
        <f t="array" ref="D55">IF(ISNUMBER(MATCH(Mezclado!$A55, _xlfn._xlws.FILTER(Procesos!$A$2:$A$23, Procesos!C$2:C$23="Molido"), 0)), Mezclado!F55/(1-Formula!$B$17),0)</f>
        <v>0</v>
      </c>
      <c r="E55" s="11" cm="1">
        <f t="array" ref="E55">IF(ISNUMBER(MATCH(Mezclado!$A55, _xlfn._xlws.FILTER(Procesos!$A$2:$A$23, Procesos!D$2:D$23="Molido"), 0)), Mezclado!G55/(1-Formula!$B$17),0)</f>
        <v>0</v>
      </c>
      <c r="F55" s="11" cm="1">
        <f t="array" ref="F55">IF(ISNUMBER(MATCH(Mezclado!$A55, _xlfn._xlws.FILTER(Procesos!$A$2:$A$23, Procesos!E$2:E$23="Molido"), 0)), Mezclado!H55/(1-Formula!$B$17),0)</f>
        <v>0</v>
      </c>
      <c r="G55" s="11" cm="1">
        <f t="array" ref="G55">IF(ISNUMBER(MATCH(Mezclado!$A55, _xlfn._xlws.FILTER(Procesos!$A$2:$A$23, Procesos!F$2:F$23="Molido"), 0)), Mezclado!I55/(1-Formula!$B$17),0)</f>
        <v>0</v>
      </c>
      <c r="H55" s="11" cm="1">
        <f t="array" ref="H55">IF(ISNUMBER(MATCH(Mezclado!$A55, _xlfn._xlws.FILTER(Procesos!$A$2:$A$23, Procesos!H$2:H$23="Molido"), 0)), Mezclado!K55/(1-Formula!$B$17),0)</f>
        <v>3523.7566137566137</v>
      </c>
      <c r="I55" s="11" cm="1">
        <f t="array" ref="I55">IF(ISNUMBER(MATCH(Mezclado!$A55, _xlfn._xlws.FILTER(Procesos!$A$2:$A$23, Procesos!I$2:I$23="Molido"), 0)), Mezclado!L55/(1-Formula!$B$17),0)</f>
        <v>0</v>
      </c>
      <c r="J55" s="11" cm="1">
        <f t="array" ref="J55">IF(ISNUMBER(MATCH(Mezclado!$A55, _xlfn._xlws.FILTER(Procesos!$A$2:$A$23, Procesos!K$2:K$23="Molido"), 0)), Mezclado!N55/(1-Formula!$B$17),0)</f>
        <v>0</v>
      </c>
      <c r="K55" s="11" cm="1">
        <f t="array" ref="K55">IF(ISNUMBER(MATCH(Mezclado!$A55, _xlfn._xlws.FILTER(Procesos!$A$2:$A$23, Procesos!M$2:M$23="Molido"), 0)), Mezclado!P55/(1-Formula!$B$17),0)</f>
        <v>0</v>
      </c>
      <c r="L55" s="11">
        <v>0</v>
      </c>
    </row>
    <row r="56" spans="1:12" x14ac:dyDescent="0.25">
      <c r="A56" s="4" t="str">
        <v>Olmos</v>
      </c>
      <c r="B56" s="11">
        <v>5619</v>
      </c>
      <c r="C56" s="5">
        <v>45870</v>
      </c>
      <c r="D56" s="11" cm="1">
        <f t="array" ref="D56">IF(ISNUMBER(MATCH(Mezclado!$A56, _xlfn._xlws.FILTER(Procesos!$A$2:$A$23, Procesos!C$2:C$23="Molido"), 0)), Mezclado!F56/(1-Formula!$B$17),0)</f>
        <v>0</v>
      </c>
      <c r="E56" s="11" cm="1">
        <f t="array" ref="E56">IF(ISNUMBER(MATCH(Mezclado!$A56, _xlfn._xlws.FILTER(Procesos!$A$2:$A$23, Procesos!D$2:D$23="Molido"), 0)), Mezclado!G56/(1-Formula!$B$17),0)</f>
        <v>685.28589814304109</v>
      </c>
      <c r="F56" s="11" cm="1">
        <f t="array" ref="F56">IF(ISNUMBER(MATCH(Mezclado!$A56, _xlfn._xlws.FILTER(Procesos!$A$2:$A$23, Procesos!E$2:E$23="Molido"), 0)), Mezclado!H56/(1-Formula!$B$17),0)</f>
        <v>50.506833363976227</v>
      </c>
      <c r="G56" s="11" cm="1">
        <f t="array" ref="G56">IF(ISNUMBER(MATCH(Mezclado!$A56, _xlfn._xlws.FILTER(Procesos!$A$2:$A$23, Procesos!F$2:F$23="Molido"), 0)), Mezclado!I56/(1-Formula!$B$17),0)</f>
        <v>0</v>
      </c>
      <c r="H56" s="11" cm="1">
        <f t="array" ref="H56">IF(ISNUMBER(MATCH(Mezclado!$A56, _xlfn._xlws.FILTER(Procesos!$A$2:$A$23, Procesos!H$2:H$23="Molido"), 0)), Mezclado!K56/(1-Formula!$B$17),0)</f>
        <v>0</v>
      </c>
      <c r="I56" s="11" cm="1">
        <f t="array" ref="I56">IF(ISNUMBER(MATCH(Mezclado!$A56, _xlfn._xlws.FILTER(Procesos!$A$2:$A$23, Procesos!I$2:I$23="Molido"), 0)), Mezclado!L56/(1-Formula!$B$17),0)</f>
        <v>0</v>
      </c>
      <c r="J56" s="11" cm="1">
        <f t="array" ref="J56">IF(ISNUMBER(MATCH(Mezclado!$A56, _xlfn._xlws.FILTER(Procesos!$A$2:$A$23, Procesos!K$2:K$23="Molido"), 0)), Mezclado!N56/(1-Formula!$B$17),0)</f>
        <v>0</v>
      </c>
      <c r="K56" s="11" cm="1">
        <f t="array" ref="K56">IF(ISNUMBER(MATCH(Mezclado!$A56, _xlfn._xlws.FILTER(Procesos!$A$2:$A$23, Procesos!M$2:M$23="Molido"), 0)), Mezclado!P56/(1-Formula!$B$17),0)</f>
        <v>0</v>
      </c>
      <c r="L56" s="10">
        <v>0</v>
      </c>
    </row>
    <row r="57" spans="1:12" x14ac:dyDescent="0.25">
      <c r="A57" s="4" t="str">
        <v>Marcabal</v>
      </c>
      <c r="B57" s="11">
        <v>4061.92</v>
      </c>
      <c r="C57" s="5">
        <v>45876</v>
      </c>
      <c r="D57" s="11" cm="1">
        <f t="array" ref="D57">IF(ISNUMBER(MATCH(Mezclado!$A57, _xlfn._xlws.FILTER(Procesos!$A$2:$A$23, Procesos!C$2:C$23="Molido"), 0)), Mezclado!F57/(1-Formula!$B$17),0)</f>
        <v>0</v>
      </c>
      <c r="E57" s="11" cm="1">
        <f t="array" ref="E57">IF(ISNUMBER(MATCH(Mezclado!$A57, _xlfn._xlws.FILTER(Procesos!$A$2:$A$23, Procesos!D$2:D$23="Molido"), 0)), Mezclado!G57/(1-Formula!$B$17),0)</f>
        <v>0</v>
      </c>
      <c r="F57" s="11" cm="1">
        <f t="array" ref="F57">IF(ISNUMBER(MATCH(Mezclado!$A57, _xlfn._xlws.FILTER(Procesos!$A$2:$A$23, Procesos!E$2:E$23="Molido"), 0)), Mezclado!H57/(1-Formula!$B$17),0)</f>
        <v>335.2363955792527</v>
      </c>
      <c r="G57" s="11" cm="1">
        <f t="array" ref="G57">IF(ISNUMBER(MATCH(Mezclado!$A57, _xlfn._xlws.FILTER(Procesos!$A$2:$A$23, Procesos!F$2:F$23="Molido"), 0)), Mezclado!I57/(1-Formula!$B$17),0)</f>
        <v>0</v>
      </c>
      <c r="H57" s="11" cm="1">
        <f t="array" ref="H57">IF(ISNUMBER(MATCH(Mezclado!$A57, _xlfn._xlws.FILTER(Procesos!$A$2:$A$23, Procesos!H$2:H$23="Molido"), 0)), Mezclado!K57/(1-Formula!$B$17),0)</f>
        <v>0</v>
      </c>
      <c r="I57" s="11" cm="1">
        <f t="array" ref="I57">IF(ISNUMBER(MATCH(Mezclado!$A57, _xlfn._xlws.FILTER(Procesos!$A$2:$A$23, Procesos!I$2:I$23="Molido"), 0)), Mezclado!L57/(1-Formula!$B$17),0)</f>
        <v>458.87556127556132</v>
      </c>
      <c r="J57" s="11" cm="1">
        <f t="array" ref="J57">IF(ISNUMBER(MATCH(Mezclado!$A57, _xlfn._xlws.FILTER(Procesos!$A$2:$A$23, Procesos!K$2:K$23="Molido"), 0)), Mezclado!N57/(1-Formula!$B$17),0)</f>
        <v>0</v>
      </c>
      <c r="K57" s="11" cm="1">
        <f t="array" ref="K57">IF(ISNUMBER(MATCH(Mezclado!$A57, _xlfn._xlws.FILTER(Procesos!$A$2:$A$23, Procesos!M$2:M$23="Molido"), 0)), Mezclado!P57/(1-Formula!$B$17),0)</f>
        <v>7.8830340544626258</v>
      </c>
      <c r="L57" s="10">
        <v>0</v>
      </c>
    </row>
    <row r="58" spans="1:12" x14ac:dyDescent="0.25">
      <c r="A58" s="4" t="str">
        <v>Julcán</v>
      </c>
      <c r="B58" s="11">
        <v>2588</v>
      </c>
      <c r="C58" s="5">
        <v>45880</v>
      </c>
      <c r="D58" s="11" cm="1">
        <f t="array" ref="D58">IF(ISNUMBER(MATCH(Mezclado!$A58, _xlfn._xlws.FILTER(Procesos!$A$2:$A$23, Procesos!C$2:C$23="Molido"), 0)), Mezclado!F58/(1-Formula!$B$17),0)</f>
        <v>0</v>
      </c>
      <c r="E58" s="11" cm="1">
        <f t="array" ref="E58">IF(ISNUMBER(MATCH(Mezclado!$A58, _xlfn._xlws.FILTER(Procesos!$A$2:$A$23, Procesos!D$2:D$23="Molido"), 0)), Mezclado!G58/(1-Formula!$B$17),0)</f>
        <v>0</v>
      </c>
      <c r="F58" s="11" cm="1">
        <f t="array" ref="F58">IF(ISNUMBER(MATCH(Mezclado!$A58, _xlfn._xlws.FILTER(Procesos!$A$2:$A$23, Procesos!E$2:E$23="Molido"), 0)), Mezclado!H58/(1-Formula!$B$17),0)</f>
        <v>254.30083144368859</v>
      </c>
      <c r="G58" s="11" cm="1">
        <f t="array" ref="G58">IF(ISNUMBER(MATCH(Mezclado!$A58, _xlfn._xlws.FILTER(Procesos!$A$2:$A$23, Procesos!F$2:F$23="Molido"), 0)), Mezclado!I58/(1-Formula!$B$17),0)</f>
        <v>1704.2385242385246</v>
      </c>
      <c r="H58" s="11" cm="1">
        <f t="array" ref="H58">IF(ISNUMBER(MATCH(Mezclado!$A58, _xlfn._xlws.FILTER(Procesos!$A$2:$A$23, Procesos!H$2:H$23="Molido"), 0)), Mezclado!K58/(1-Formula!$B$17),0)</f>
        <v>0</v>
      </c>
      <c r="I58" s="11" cm="1">
        <f t="array" ref="I58">IF(ISNUMBER(MATCH(Mezclado!$A58, _xlfn._xlws.FILTER(Procesos!$A$2:$A$23, Procesos!I$2:I$23="Molido"), 0)), Mezclado!L58/(1-Formula!$B$17),0)</f>
        <v>0</v>
      </c>
      <c r="J58" s="11" cm="1">
        <f t="array" ref="J58">IF(ISNUMBER(MATCH(Mezclado!$A58, _xlfn._xlws.FILTER(Procesos!$A$2:$A$23, Procesos!K$2:K$23="Molido"), 0)), Mezclado!N58/(1-Formula!$B$17),0)</f>
        <v>0</v>
      </c>
      <c r="K58" s="11" cm="1">
        <f t="array" ref="K58">IF(ISNUMBER(MATCH(Mezclado!$A58, _xlfn._xlws.FILTER(Procesos!$A$2:$A$23, Procesos!M$2:M$23="Molido"), 0)), Mezclado!P58/(1-Formula!$B$17),0)</f>
        <v>0</v>
      </c>
      <c r="L58" s="10">
        <v>0</v>
      </c>
    </row>
    <row r="59" spans="1:12" x14ac:dyDescent="0.25">
      <c r="A59" s="4" t="str">
        <v>Chongoyape</v>
      </c>
      <c r="B59" s="11">
        <v>1771</v>
      </c>
      <c r="C59" s="5">
        <v>45881</v>
      </c>
      <c r="D59" s="11" cm="1">
        <f t="array" ref="D59">IF(ISNUMBER(MATCH(Mezclado!$A59, _xlfn._xlws.FILTER(Procesos!$A$2:$A$23, Procesos!C$2:C$23="Molido"), 0)), Mezclado!F59/(1-Formula!$B$17),0)</f>
        <v>0</v>
      </c>
      <c r="E59" s="11" cm="1">
        <f t="array" ref="E59">IF(ISNUMBER(MATCH(Mezclado!$A59, _xlfn._xlws.FILTER(Procesos!$A$2:$A$23, Procesos!D$2:D$23="Molido"), 0)), Mezclado!G59/(1-Formula!$B$17),0)</f>
        <v>922.2036322036322</v>
      </c>
      <c r="F59" s="11" cm="1">
        <f t="array" ref="F59">IF(ISNUMBER(MATCH(Mezclado!$A59, _xlfn._xlws.FILTER(Procesos!$A$2:$A$23, Procesos!E$2:E$23="Molido"), 0)), Mezclado!H59/(1-Formula!$B$17),0)</f>
        <v>92.256542256542261</v>
      </c>
      <c r="G59" s="11" cm="1">
        <f t="array" ref="G59">IF(ISNUMBER(MATCH(Mezclado!$A59, _xlfn._xlws.FILTER(Procesos!$A$2:$A$23, Procesos!F$2:F$23="Molido"), 0)), Mezclado!I59/(1-Formula!$B$17),0)</f>
        <v>177.27727727727728</v>
      </c>
      <c r="H59" s="11" cm="1">
        <f t="array" ref="H59">IF(ISNUMBER(MATCH(Mezclado!$A59, _xlfn._xlws.FILTER(Procesos!$A$2:$A$23, Procesos!H$2:H$23="Molido"), 0)), Mezclado!K59/(1-Formula!$B$17),0)</f>
        <v>0</v>
      </c>
      <c r="I59" s="11" cm="1">
        <f t="array" ref="I59">IF(ISNUMBER(MATCH(Mezclado!$A59, _xlfn._xlws.FILTER(Procesos!$A$2:$A$23, Procesos!I$2:I$23="Molido"), 0)), Mezclado!L59/(1-Formula!$B$17),0)</f>
        <v>0</v>
      </c>
      <c r="J59" s="11" cm="1">
        <f t="array" ref="J59">IF(ISNUMBER(MATCH(Mezclado!$A59, _xlfn._xlws.FILTER(Procesos!$A$2:$A$23, Procesos!K$2:K$23="Molido"), 0)), Mezclado!N59/(1-Formula!$B$17),0)</f>
        <v>0</v>
      </c>
      <c r="K59" s="11" cm="1">
        <f t="array" ref="K59">IF(ISNUMBER(MATCH(Mezclado!$A59, _xlfn._xlws.FILTER(Procesos!$A$2:$A$23, Procesos!M$2:M$23="Molido"), 0)), Mezclado!P59/(1-Formula!$B$17),0)</f>
        <v>0</v>
      </c>
      <c r="L59" s="10">
        <v>0</v>
      </c>
    </row>
    <row r="60" spans="1:12" x14ac:dyDescent="0.25">
      <c r="A60" s="4" t="str">
        <v>Viru</v>
      </c>
      <c r="B60" s="11">
        <v>3006</v>
      </c>
      <c r="C60" s="5">
        <v>45887</v>
      </c>
      <c r="D60" s="11" cm="1">
        <f t="array" ref="D60">IF(ISNUMBER(MATCH(Mezclado!$A60, _xlfn._xlws.FILTER(Procesos!$A$2:$A$23, Procesos!C$2:C$23="Molido"), 0)), Mezclado!F60/(1-Formula!$B$17),0)</f>
        <v>0</v>
      </c>
      <c r="E60" s="11" cm="1">
        <f t="array" ref="E60">IF(ISNUMBER(MATCH(Mezclado!$A60, _xlfn._xlws.FILTER(Procesos!$A$2:$A$23, Procesos!D$2:D$23="Molido"), 0)), Mezclado!G60/(1-Formula!$B$17),0)</f>
        <v>0</v>
      </c>
      <c r="F60" s="11" cm="1">
        <f t="array" ref="F60">IF(ISNUMBER(MATCH(Mezclado!$A60, _xlfn._xlws.FILTER(Procesos!$A$2:$A$23, Procesos!E$2:E$23="Molido"), 0)), Mezclado!H60/(1-Formula!$B$17),0)</f>
        <v>0</v>
      </c>
      <c r="G60" s="11" cm="1">
        <f t="array" ref="G60">IF(ISNUMBER(MATCH(Mezclado!$A60, _xlfn._xlws.FILTER(Procesos!$A$2:$A$23, Procesos!F$2:F$23="Molido"), 0)), Mezclado!I60/(1-Formula!$B$17),0)</f>
        <v>313.18257032542743</v>
      </c>
      <c r="H60" s="11" cm="1">
        <f t="array" ref="H60">IF(ISNUMBER(MATCH(Mezclado!$A60, _xlfn._xlws.FILTER(Procesos!$A$2:$A$23, Procesos!H$2:H$23="Molido"), 0)), Mezclado!K60/(1-Formula!$B$17),0)</f>
        <v>0</v>
      </c>
      <c r="I60" s="11" cm="1">
        <f t="array" ref="I60">IF(ISNUMBER(MATCH(Mezclado!$A60, _xlfn._xlws.FILTER(Procesos!$A$2:$A$23, Procesos!I$2:I$23="Molido"), 0)), Mezclado!L60/(1-Formula!$B$17),0)</f>
        <v>0</v>
      </c>
      <c r="J60" s="11" cm="1">
        <f t="array" ref="J60">IF(ISNUMBER(MATCH(Mezclado!$A60, _xlfn._xlws.FILTER(Procesos!$A$2:$A$23, Procesos!K$2:K$23="Molido"), 0)), Mezclado!N60/(1-Formula!$B$17),0)</f>
        <v>0</v>
      </c>
      <c r="K60" s="11" cm="1">
        <f t="array" ref="K60">IF(ISNUMBER(MATCH(Mezclado!$A60, _xlfn._xlws.FILTER(Procesos!$A$2:$A$23, Procesos!M$2:M$23="Molido"), 0)), Mezclado!P60/(1-Formula!$B$17),0)</f>
        <v>0</v>
      </c>
      <c r="L60" s="10">
        <v>0</v>
      </c>
    </row>
    <row r="61" spans="1:12" x14ac:dyDescent="0.25">
      <c r="A61" s="4" t="str">
        <v>Chiclayo</v>
      </c>
      <c r="B61" s="11">
        <v>11825</v>
      </c>
      <c r="C61" s="5">
        <v>45887</v>
      </c>
      <c r="D61" s="11" cm="1">
        <f t="array" ref="D61">IF(ISNUMBER(MATCH(Mezclado!$A61, _xlfn._xlws.FILTER(Procesos!$A$2:$A$23, Procesos!C$2:C$23="Molido"), 0)), Mezclado!F61/(1-Formula!$B$17),0)</f>
        <v>0</v>
      </c>
      <c r="E61" s="11" cm="1">
        <f t="array" ref="E61">IF(ISNUMBER(MATCH(Mezclado!$A61, _xlfn._xlws.FILTER(Procesos!$A$2:$A$23, Procesos!D$2:D$23="Molido"), 0)), Mezclado!G61/(1-Formula!$B$17),0)</f>
        <v>0</v>
      </c>
      <c r="F61" s="11" cm="1">
        <f t="array" ref="F61">IF(ISNUMBER(MATCH(Mezclado!$A61, _xlfn._xlws.FILTER(Procesos!$A$2:$A$23, Procesos!E$2:E$23="Molido"), 0)), Mezclado!H61/(1-Formula!$B$17),0)</f>
        <v>0</v>
      </c>
      <c r="G61" s="11" cm="1">
        <f t="array" ref="G61">IF(ISNUMBER(MATCH(Mezclado!$A61, _xlfn._xlws.FILTER(Procesos!$A$2:$A$23, Procesos!F$2:F$23="Molido"), 0)), Mezclado!I61/(1-Formula!$B$17),0)</f>
        <v>0</v>
      </c>
      <c r="H61" s="11" cm="1">
        <f t="array" ref="H61">IF(ISNUMBER(MATCH(Mezclado!$A61, _xlfn._xlws.FILTER(Procesos!$A$2:$A$23, Procesos!H$2:H$23="Molido"), 0)), Mezclado!K61/(1-Formula!$B$17),0)</f>
        <v>3409.8544973544977</v>
      </c>
      <c r="I61" s="11" cm="1">
        <f t="array" ref="I61">IF(ISNUMBER(MATCH(Mezclado!$A61, _xlfn._xlws.FILTER(Procesos!$A$2:$A$23, Procesos!I$2:I$23="Molido"), 0)), Mezclado!L61/(1-Formula!$B$17),0)</f>
        <v>0</v>
      </c>
      <c r="J61" s="11" cm="1">
        <f t="array" ref="J61">IF(ISNUMBER(MATCH(Mezclado!$A61, _xlfn._xlws.FILTER(Procesos!$A$2:$A$23, Procesos!K$2:K$23="Molido"), 0)), Mezclado!N61/(1-Formula!$B$17),0)</f>
        <v>0</v>
      </c>
      <c r="K61" s="11" cm="1">
        <f t="array" ref="K61">IF(ISNUMBER(MATCH(Mezclado!$A61, _xlfn._xlws.FILTER(Procesos!$A$2:$A$23, Procesos!M$2:M$23="Molido"), 0)), Mezclado!P61/(1-Formula!$B$17),0)</f>
        <v>0</v>
      </c>
      <c r="L61" s="10">
        <v>0</v>
      </c>
    </row>
    <row r="62" spans="1:12" x14ac:dyDescent="0.25">
      <c r="A62" s="4" t="str">
        <v>Cajamarca</v>
      </c>
      <c r="B62" s="11">
        <v>11448</v>
      </c>
      <c r="C62" s="5">
        <v>45902</v>
      </c>
      <c r="D62" s="11" cm="1">
        <f t="array" ref="D62">IF(ISNUMBER(MATCH(Mezclado!$A62, _xlfn._xlws.FILTER(Procesos!$A$2:$A$23, Procesos!C$2:C$23="Molido"), 0)), Mezclado!F62/(1-Formula!$B$17),0)</f>
        <v>0</v>
      </c>
      <c r="E62" s="11" cm="1">
        <f t="array" ref="E62">IF(ISNUMBER(MATCH(Mezclado!$A62, _xlfn._xlws.FILTER(Procesos!$A$2:$A$23, Procesos!D$2:D$23="Molido"), 0)), Mezclado!G62/(1-Formula!$B$17),0)</f>
        <v>0</v>
      </c>
      <c r="F62" s="11" cm="1">
        <f t="array" ref="F62">IF(ISNUMBER(MATCH(Mezclado!$A62, _xlfn._xlws.FILTER(Procesos!$A$2:$A$23, Procesos!E$2:E$23="Molido"), 0)), Mezclado!H62/(1-Formula!$B$17),0)</f>
        <v>438.49972421400997</v>
      </c>
      <c r="G62" s="11" cm="1">
        <f t="array" ref="G62">IF(ISNUMBER(MATCH(Mezclado!$A62, _xlfn._xlws.FILTER(Procesos!$A$2:$A$23, Procesos!F$2:F$23="Molido"), 0)), Mezclado!I62/(1-Formula!$B$17),0)</f>
        <v>0</v>
      </c>
      <c r="H62" s="11" cm="1">
        <f t="array" ref="H62">IF(ISNUMBER(MATCH(Mezclado!$A62, _xlfn._xlws.FILTER(Procesos!$A$2:$A$23, Procesos!H$2:H$23="Molido"), 0)), Mezclado!K62/(1-Formula!$B$17),0)</f>
        <v>0</v>
      </c>
      <c r="I62" s="11" cm="1">
        <f t="array" ref="I62">IF(ISNUMBER(MATCH(Mezclado!$A62, _xlfn._xlws.FILTER(Procesos!$A$2:$A$23, Procesos!I$2:I$23="Molido"), 0)), Mezclado!L62/(1-Formula!$B$17),0)</f>
        <v>0</v>
      </c>
      <c r="J62" s="11" cm="1">
        <f t="array" ref="J62">IF(ISNUMBER(MATCH(Mezclado!$A62, _xlfn._xlws.FILTER(Procesos!$A$2:$A$23, Procesos!K$2:K$23="Molido"), 0)), Mezclado!N62/(1-Formula!$B$17),0)</f>
        <v>0</v>
      </c>
      <c r="K62" s="11" cm="1">
        <f t="array" ref="K62">IF(ISNUMBER(MATCH(Mezclado!$A62, _xlfn._xlws.FILTER(Procesos!$A$2:$A$23, Procesos!M$2:M$23="Molido"), 0)), Mezclado!P62/(1-Formula!$B$17),0)</f>
        <v>0</v>
      </c>
      <c r="L62" s="10">
        <v>0</v>
      </c>
    </row>
    <row r="63" spans="1:12" x14ac:dyDescent="0.25">
      <c r="A63" s="4" t="str">
        <v>Cajamarca</v>
      </c>
      <c r="B63" s="11">
        <v>11829.6</v>
      </c>
      <c r="C63" s="5">
        <v>45902</v>
      </c>
      <c r="D63" s="11" cm="1">
        <f t="array" ref="D63">IF(ISNUMBER(MATCH(Mezclado!$A63, _xlfn._xlws.FILTER(Procesos!$A$2:$A$23, Procesos!C$2:C$23="Molido"), 0)), Mezclado!F63/(1-Formula!$B$17),0)</f>
        <v>0</v>
      </c>
      <c r="E63" s="11" cm="1">
        <f t="array" ref="E63">IF(ISNUMBER(MATCH(Mezclado!$A63, _xlfn._xlws.FILTER(Procesos!$A$2:$A$23, Procesos!D$2:D$23="Molido"), 0)), Mezclado!G63/(1-Formula!$B$17),0)</f>
        <v>0</v>
      </c>
      <c r="F63" s="11" cm="1">
        <f t="array" ref="F63">IF(ISNUMBER(MATCH(Mezclado!$A63, _xlfn._xlws.FILTER(Procesos!$A$2:$A$23, Procesos!E$2:E$23="Molido"), 0)), Mezclado!H63/(1-Formula!$B$17),0)</f>
        <v>453.1163816878103</v>
      </c>
      <c r="G63" s="11" cm="1">
        <f t="array" ref="G63">IF(ISNUMBER(MATCH(Mezclado!$A63, _xlfn._xlws.FILTER(Procesos!$A$2:$A$23, Procesos!F$2:F$23="Molido"), 0)), Mezclado!I63/(1-Formula!$B$17),0)</f>
        <v>0</v>
      </c>
      <c r="H63" s="11" cm="1">
        <f t="array" ref="H63">IF(ISNUMBER(MATCH(Mezclado!$A63, _xlfn._xlws.FILTER(Procesos!$A$2:$A$23, Procesos!H$2:H$23="Molido"), 0)), Mezclado!K63/(1-Formula!$B$17),0)</f>
        <v>0</v>
      </c>
      <c r="I63" s="11" cm="1">
        <f t="array" ref="I63">IF(ISNUMBER(MATCH(Mezclado!$A63, _xlfn._xlws.FILTER(Procesos!$A$2:$A$23, Procesos!I$2:I$23="Molido"), 0)), Mezclado!L63/(1-Formula!$B$17),0)</f>
        <v>0</v>
      </c>
      <c r="J63" s="11" cm="1">
        <f t="array" ref="J63">IF(ISNUMBER(MATCH(Mezclado!$A63, _xlfn._xlws.FILTER(Procesos!$A$2:$A$23, Procesos!K$2:K$23="Molido"), 0)), Mezclado!N63/(1-Formula!$B$17),0)</f>
        <v>0</v>
      </c>
      <c r="K63" s="11" cm="1">
        <f t="array" ref="K63">IF(ISNUMBER(MATCH(Mezclado!$A63, _xlfn._xlws.FILTER(Procesos!$A$2:$A$23, Procesos!M$2:M$23="Molido"), 0)), Mezclado!P63/(1-Formula!$B$17),0)</f>
        <v>0</v>
      </c>
      <c r="L63" s="10">
        <v>0</v>
      </c>
    </row>
    <row r="64" spans="1:12" x14ac:dyDescent="0.25">
      <c r="A64" s="4" t="str">
        <v>Marcabal</v>
      </c>
      <c r="B64" s="11">
        <v>4061.92</v>
      </c>
      <c r="C64" s="5">
        <v>45908</v>
      </c>
      <c r="D64" s="11" cm="1">
        <f t="array" ref="D64">IF(ISNUMBER(MATCH(Mezclado!$A64, _xlfn._xlws.FILTER(Procesos!$A$2:$A$23, Procesos!C$2:C$23="Molido"), 0)), Mezclado!F64/(1-Formula!$B$17),0)</f>
        <v>0</v>
      </c>
      <c r="E64" s="11" cm="1">
        <f t="array" ref="E64">IF(ISNUMBER(MATCH(Mezclado!$A64, _xlfn._xlws.FILTER(Procesos!$A$2:$A$23, Procesos!D$2:D$23="Molido"), 0)), Mezclado!G64/(1-Formula!$B$17),0)</f>
        <v>0</v>
      </c>
      <c r="F64" s="11" cm="1">
        <f t="array" ref="F64">IF(ISNUMBER(MATCH(Mezclado!$A64, _xlfn._xlws.FILTER(Procesos!$A$2:$A$23, Procesos!E$2:E$23="Molido"), 0)), Mezclado!H64/(1-Formula!$B$17),0)</f>
        <v>335.2363955792527</v>
      </c>
      <c r="G64" s="11" cm="1">
        <f t="array" ref="G64">IF(ISNUMBER(MATCH(Mezclado!$A64, _xlfn._xlws.FILTER(Procesos!$A$2:$A$23, Procesos!F$2:F$23="Molido"), 0)), Mezclado!I64/(1-Formula!$B$17),0)</f>
        <v>0</v>
      </c>
      <c r="H64" s="11" cm="1">
        <f t="array" ref="H64">IF(ISNUMBER(MATCH(Mezclado!$A64, _xlfn._xlws.FILTER(Procesos!$A$2:$A$23, Procesos!H$2:H$23="Molido"), 0)), Mezclado!K64/(1-Formula!$B$17),0)</f>
        <v>0</v>
      </c>
      <c r="I64" s="11" cm="1">
        <f t="array" ref="I64">IF(ISNUMBER(MATCH(Mezclado!$A64, _xlfn._xlws.FILTER(Procesos!$A$2:$A$23, Procesos!I$2:I$23="Molido"), 0)), Mezclado!L64/(1-Formula!$B$17),0)</f>
        <v>458.87556127556132</v>
      </c>
      <c r="J64" s="11" cm="1">
        <f t="array" ref="J64">IF(ISNUMBER(MATCH(Mezclado!$A64, _xlfn._xlws.FILTER(Procesos!$A$2:$A$23, Procesos!K$2:K$23="Molido"), 0)), Mezclado!N64/(1-Formula!$B$17),0)</f>
        <v>0</v>
      </c>
      <c r="K64" s="11" cm="1">
        <f t="array" ref="K64">IF(ISNUMBER(MATCH(Mezclado!$A64, _xlfn._xlws.FILTER(Procesos!$A$2:$A$23, Procesos!M$2:M$23="Molido"), 0)), Mezclado!P64/(1-Formula!$B$17),0)</f>
        <v>7.8830340544626258</v>
      </c>
      <c r="L64" s="10">
        <v>0</v>
      </c>
    </row>
    <row r="65" spans="1:12" x14ac:dyDescent="0.25">
      <c r="A65" s="4" t="str">
        <v>Viru</v>
      </c>
      <c r="B65" s="11">
        <v>3104</v>
      </c>
      <c r="C65" s="5">
        <v>45913</v>
      </c>
      <c r="D65" s="11" cm="1">
        <f t="array" ref="D65">IF(ISNUMBER(MATCH(Mezclado!$A65, _xlfn._xlws.FILTER(Procesos!$A$2:$A$23, Procesos!C$2:C$23="Molido"), 0)), Mezclado!F65/(1-Formula!$B$17),0)</f>
        <v>0</v>
      </c>
      <c r="E65" s="11" cm="1">
        <f t="array" ref="E65">IF(ISNUMBER(MATCH(Mezclado!$A65, _xlfn._xlws.FILTER(Procesos!$A$2:$A$23, Procesos!D$2:D$23="Molido"), 0)), Mezclado!G65/(1-Formula!$B$17),0)</f>
        <v>0</v>
      </c>
      <c r="F65" s="11" cm="1">
        <f t="array" ref="F65">IF(ISNUMBER(MATCH(Mezclado!$A65, _xlfn._xlws.FILTER(Procesos!$A$2:$A$23, Procesos!E$2:E$23="Molido"), 0)), Mezclado!H65/(1-Formula!$B$17),0)</f>
        <v>0</v>
      </c>
      <c r="G65" s="11" cm="1">
        <f t="array" ref="G65">IF(ISNUMBER(MATCH(Mezclado!$A65, _xlfn._xlws.FILTER(Procesos!$A$2:$A$23, Procesos!F$2:F$23="Molido"), 0)), Mezclado!I65/(1-Formula!$B$17),0)</f>
        <v>323.39278053563766</v>
      </c>
      <c r="H65" s="11" cm="1">
        <f t="array" ref="H65">IF(ISNUMBER(MATCH(Mezclado!$A65, _xlfn._xlws.FILTER(Procesos!$A$2:$A$23, Procesos!H$2:H$23="Molido"), 0)), Mezclado!K65/(1-Formula!$B$17),0)</f>
        <v>0</v>
      </c>
      <c r="I65" s="11" cm="1">
        <f t="array" ref="I65">IF(ISNUMBER(MATCH(Mezclado!$A65, _xlfn._xlws.FILTER(Procesos!$A$2:$A$23, Procesos!I$2:I$23="Molido"), 0)), Mezclado!L65/(1-Formula!$B$17),0)</f>
        <v>0</v>
      </c>
      <c r="J65" s="11" cm="1">
        <f t="array" ref="J65">IF(ISNUMBER(MATCH(Mezclado!$A65, _xlfn._xlws.FILTER(Procesos!$A$2:$A$23, Procesos!K$2:K$23="Molido"), 0)), Mezclado!N65/(1-Formula!$B$17),0)</f>
        <v>0</v>
      </c>
      <c r="K65" s="11" cm="1">
        <f t="array" ref="K65">IF(ISNUMBER(MATCH(Mezclado!$A65, _xlfn._xlws.FILTER(Procesos!$A$2:$A$23, Procesos!M$2:M$23="Molido"), 0)), Mezclado!P65/(1-Formula!$B$17),0)</f>
        <v>0</v>
      </c>
      <c r="L65" s="10">
        <v>0</v>
      </c>
    </row>
    <row r="66" spans="1:12" x14ac:dyDescent="0.25">
      <c r="A66" s="4" t="str">
        <v>Chongoyape</v>
      </c>
      <c r="B66" s="11">
        <v>5209</v>
      </c>
      <c r="C66" s="5">
        <v>45915</v>
      </c>
      <c r="D66" s="11" cm="1">
        <f t="array" ref="D66">IF(ISNUMBER(MATCH(Mezclado!$A66, _xlfn._xlws.FILTER(Procesos!$A$2:$A$23, Procesos!C$2:C$23="Molido"), 0)), Mezclado!F66/(1-Formula!$B$17),0)</f>
        <v>0</v>
      </c>
      <c r="E66" s="11" cm="1">
        <f t="array" ref="E66">IF(ISNUMBER(MATCH(Mezclado!$A66, _xlfn._xlws.FILTER(Procesos!$A$2:$A$23, Procesos!D$2:D$23="Molido"), 0)), Mezclado!G66/(1-Formula!$B$17),0)</f>
        <v>2712.4555167412313</v>
      </c>
      <c r="F66" s="11" cm="1">
        <f t="array" ref="F66">IF(ISNUMBER(MATCH(Mezclado!$A66, _xlfn._xlws.FILTER(Procesos!$A$2:$A$23, Procesos!E$2:E$23="Molido"), 0)), Mezclado!H66/(1-Formula!$B$17),0)</f>
        <v>271.35196420910705</v>
      </c>
      <c r="G66" s="11" cm="1">
        <f t="array" ref="G66">IF(ISNUMBER(MATCH(Mezclado!$A66, _xlfn._xlws.FILTER(Procesos!$A$2:$A$23, Procesos!F$2:F$23="Molido"), 0)), Mezclado!I66/(1-Formula!$B$17),0)</f>
        <v>521.42142142142143</v>
      </c>
      <c r="H66" s="11" cm="1">
        <f t="array" ref="H66">IF(ISNUMBER(MATCH(Mezclado!$A66, _xlfn._xlws.FILTER(Procesos!$A$2:$A$23, Procesos!H$2:H$23="Molido"), 0)), Mezclado!K66/(1-Formula!$B$17),0)</f>
        <v>0</v>
      </c>
      <c r="I66" s="11" cm="1">
        <f t="array" ref="I66">IF(ISNUMBER(MATCH(Mezclado!$A66, _xlfn._xlws.FILTER(Procesos!$A$2:$A$23, Procesos!I$2:I$23="Molido"), 0)), Mezclado!L66/(1-Formula!$B$17),0)</f>
        <v>0</v>
      </c>
      <c r="J66" s="11" cm="1">
        <f t="array" ref="J66">IF(ISNUMBER(MATCH(Mezclado!$A66, _xlfn._xlws.FILTER(Procesos!$A$2:$A$23, Procesos!K$2:K$23="Molido"), 0)), Mezclado!N66/(1-Formula!$B$17),0)</f>
        <v>0</v>
      </c>
      <c r="K66" s="11" cm="1">
        <f t="array" ref="K66">IF(ISNUMBER(MATCH(Mezclado!$A66, _xlfn._xlws.FILTER(Procesos!$A$2:$A$23, Procesos!M$2:M$23="Molido"), 0)), Mezclado!P66/(1-Formula!$B$17),0)</f>
        <v>0</v>
      </c>
      <c r="L66" s="10">
        <v>0</v>
      </c>
    </row>
    <row r="67" spans="1:12" x14ac:dyDescent="0.25">
      <c r="A67" s="4" t="str">
        <v>Chiclayo</v>
      </c>
      <c r="B67" s="11">
        <v>12220</v>
      </c>
      <c r="C67" s="5">
        <v>45916</v>
      </c>
      <c r="D67" s="11" cm="1">
        <f t="array" ref="D67">IF(ISNUMBER(MATCH(Mezclado!$A67, _xlfn._xlws.FILTER(Procesos!$A$2:$A$23, Procesos!C$2:C$23="Molido"), 0)), Mezclado!F67/(1-Formula!$B$17),0)</f>
        <v>0</v>
      </c>
      <c r="E67" s="11" cm="1">
        <f t="array" ref="E67">IF(ISNUMBER(MATCH(Mezclado!$A67, _xlfn._xlws.FILTER(Procesos!$A$2:$A$23, Procesos!D$2:D$23="Molido"), 0)), Mezclado!G67/(1-Formula!$B$17),0)</f>
        <v>0</v>
      </c>
      <c r="F67" s="11" cm="1">
        <f t="array" ref="F67">IF(ISNUMBER(MATCH(Mezclado!$A67, _xlfn._xlws.FILTER(Procesos!$A$2:$A$23, Procesos!E$2:E$23="Molido"), 0)), Mezclado!H67/(1-Formula!$B$17),0)</f>
        <v>0</v>
      </c>
      <c r="G67" s="11" cm="1">
        <f t="array" ref="G67">IF(ISNUMBER(MATCH(Mezclado!$A67, _xlfn._xlws.FILTER(Procesos!$A$2:$A$23, Procesos!F$2:F$23="Molido"), 0)), Mezclado!I67/(1-Formula!$B$17),0)</f>
        <v>0</v>
      </c>
      <c r="H67" s="11" cm="1">
        <f t="array" ref="H67">IF(ISNUMBER(MATCH(Mezclado!$A67, _xlfn._xlws.FILTER(Procesos!$A$2:$A$23, Procesos!H$2:H$23="Molido"), 0)), Mezclado!K67/(1-Formula!$B$17),0)</f>
        <v>3523.7566137566137</v>
      </c>
      <c r="I67" s="11" cm="1">
        <f t="array" ref="I67">IF(ISNUMBER(MATCH(Mezclado!$A67, _xlfn._xlws.FILTER(Procesos!$A$2:$A$23, Procesos!I$2:I$23="Molido"), 0)), Mezclado!L67/(1-Formula!$B$17),0)</f>
        <v>0</v>
      </c>
      <c r="J67" s="11" cm="1">
        <f t="array" ref="J67">IF(ISNUMBER(MATCH(Mezclado!$A67, _xlfn._xlws.FILTER(Procesos!$A$2:$A$23, Procesos!K$2:K$23="Molido"), 0)), Mezclado!N67/(1-Formula!$B$17),0)</f>
        <v>0</v>
      </c>
      <c r="K67" s="11" cm="1">
        <f t="array" ref="K67">IF(ISNUMBER(MATCH(Mezclado!$A67, _xlfn._xlws.FILTER(Procesos!$A$2:$A$23, Procesos!M$2:M$23="Molido"), 0)), Mezclado!P67/(1-Formula!$B$17),0)</f>
        <v>0</v>
      </c>
      <c r="L67" s="10">
        <v>0</v>
      </c>
    </row>
    <row r="68" spans="1:12" x14ac:dyDescent="0.25">
      <c r="A68" s="4" t="str">
        <v>Julcán</v>
      </c>
      <c r="B68" s="11">
        <v>2588</v>
      </c>
      <c r="C68" s="5">
        <v>45916</v>
      </c>
      <c r="D68" s="11" cm="1">
        <f t="array" ref="D68">IF(ISNUMBER(MATCH(Mezclado!$A68, _xlfn._xlws.FILTER(Procesos!$A$2:$A$23, Procesos!C$2:C$23="Molido"), 0)), Mezclado!F68/(1-Formula!$B$17),0)</f>
        <v>0</v>
      </c>
      <c r="E68" s="11" cm="1">
        <f t="array" ref="E68">IF(ISNUMBER(MATCH(Mezclado!$A68, _xlfn._xlws.FILTER(Procesos!$A$2:$A$23, Procesos!D$2:D$23="Molido"), 0)), Mezclado!G68/(1-Formula!$B$17),0)</f>
        <v>0</v>
      </c>
      <c r="F68" s="11" cm="1">
        <f t="array" ref="F68">IF(ISNUMBER(MATCH(Mezclado!$A68, _xlfn._xlws.FILTER(Procesos!$A$2:$A$23, Procesos!E$2:E$23="Molido"), 0)), Mezclado!H68/(1-Formula!$B$17),0)</f>
        <v>254.30083144368859</v>
      </c>
      <c r="G68" s="11" cm="1">
        <f t="array" ref="G68">IF(ISNUMBER(MATCH(Mezclado!$A68, _xlfn._xlws.FILTER(Procesos!$A$2:$A$23, Procesos!F$2:F$23="Molido"), 0)), Mezclado!I68/(1-Formula!$B$17),0)</f>
        <v>1704.2385242385246</v>
      </c>
      <c r="H68" s="11" cm="1">
        <f t="array" ref="H68">IF(ISNUMBER(MATCH(Mezclado!$A68, _xlfn._xlws.FILTER(Procesos!$A$2:$A$23, Procesos!H$2:H$23="Molido"), 0)), Mezclado!K68/(1-Formula!$B$17),0)</f>
        <v>0</v>
      </c>
      <c r="I68" s="11" cm="1">
        <f t="array" ref="I68">IF(ISNUMBER(MATCH(Mezclado!$A68, _xlfn._xlws.FILTER(Procesos!$A$2:$A$23, Procesos!I$2:I$23="Molido"), 0)), Mezclado!L68/(1-Formula!$B$17),0)</f>
        <v>0</v>
      </c>
      <c r="J68" s="11" cm="1">
        <f t="array" ref="J68">IF(ISNUMBER(MATCH(Mezclado!$A68, _xlfn._xlws.FILTER(Procesos!$A$2:$A$23, Procesos!K$2:K$23="Molido"), 0)), Mezclado!N68/(1-Formula!$B$17),0)</f>
        <v>0</v>
      </c>
      <c r="K68" s="11" cm="1">
        <f t="array" ref="K68">IF(ISNUMBER(MATCH(Mezclado!$A68, _xlfn._xlws.FILTER(Procesos!$A$2:$A$23, Procesos!M$2:M$23="Molido"), 0)), Mezclado!P68/(1-Formula!$B$17),0)</f>
        <v>0</v>
      </c>
      <c r="L68" s="10">
        <v>0</v>
      </c>
    </row>
    <row r="69" spans="1:12" x14ac:dyDescent="0.25">
      <c r="A69" s="4" t="str">
        <v>Pataz - Tayabamba</v>
      </c>
      <c r="B69" s="11">
        <v>9268</v>
      </c>
      <c r="C69" s="5">
        <v>45916</v>
      </c>
      <c r="D69" s="11" cm="1">
        <f t="array" ref="D69">IF(ISNUMBER(MATCH(Mezclado!$A69, _xlfn._xlws.FILTER(Procesos!$A$2:$A$23, Procesos!C$2:C$23="Molido"), 0)), Mezclado!F69/(1-Formula!$B$17),0)</f>
        <v>2524.7447447447448</v>
      </c>
      <c r="E69" s="11" cm="1">
        <f t="array" ref="E69">IF(ISNUMBER(MATCH(Mezclado!$A69, _xlfn._xlws.FILTER(Procesos!$A$2:$A$23, Procesos!D$2:D$23="Molido"), 0)), Mezclado!G69/(1-Formula!$B$17),0)</f>
        <v>2673.370513370513</v>
      </c>
      <c r="F69" s="11" cm="1">
        <f t="array" ref="F69">IF(ISNUMBER(MATCH(Mezclado!$A69, _xlfn._xlws.FILTER(Procesos!$A$2:$A$23, Procesos!E$2:E$23="Molido"), 0)), Mezclado!H69/(1-Formula!$B$17),0)</f>
        <v>742.18218218218215</v>
      </c>
      <c r="G69" s="11" cm="1">
        <f t="array" ref="G69">IF(ISNUMBER(MATCH(Mezclado!$A69, _xlfn._xlws.FILTER(Procesos!$A$2:$A$23, Procesos!F$2:F$23="Molido"), 0)), Mezclado!I69/(1-Formula!$B$17),0)</f>
        <v>0</v>
      </c>
      <c r="H69" s="11" cm="1">
        <f t="array" ref="H69">IF(ISNUMBER(MATCH(Mezclado!$A69, _xlfn._xlws.FILTER(Procesos!$A$2:$A$23, Procesos!H$2:H$23="Molido"), 0)), Mezclado!K69/(1-Formula!$B$17),0)</f>
        <v>0</v>
      </c>
      <c r="I69" s="11" cm="1">
        <f t="array" ref="I69">IF(ISNUMBER(MATCH(Mezclado!$A69, _xlfn._xlws.FILTER(Procesos!$A$2:$A$23, Procesos!I$2:I$23="Molido"), 0)), Mezclado!L69/(1-Formula!$B$17),0)</f>
        <v>0</v>
      </c>
      <c r="J69" s="11" cm="1">
        <f t="array" ref="J69">IF(ISNUMBER(MATCH(Mezclado!$A69, _xlfn._xlws.FILTER(Procesos!$A$2:$A$23, Procesos!K$2:K$23="Molido"), 0)), Mezclado!N69/(1-Formula!$B$17),0)</f>
        <v>1336.6852566852565</v>
      </c>
      <c r="K69" s="11" cm="1">
        <f t="array" ref="K69">IF(ISNUMBER(MATCH(Mezclado!$A69, _xlfn._xlws.FILTER(Procesos!$A$2:$A$23, Procesos!M$2:M$23="Molido"), 0)), Mezclado!P69/(1-Formula!$B$17),0)</f>
        <v>0</v>
      </c>
      <c r="L69" s="10">
        <v>0</v>
      </c>
    </row>
    <row r="70" spans="1:12" x14ac:dyDescent="0.25">
      <c r="A70" s="4" t="str">
        <v>San Jose</v>
      </c>
      <c r="B70" s="11">
        <v>3420</v>
      </c>
      <c r="C70" s="5">
        <v>45917</v>
      </c>
      <c r="D70" s="11" cm="1">
        <f t="array" ref="D70">IF(ISNUMBER(MATCH(Mezclado!$A70, _xlfn._xlws.FILTER(Procesos!$A$2:$A$23, Procesos!C$2:C$23="Molido"), 0)), Mezclado!F70/(1-Formula!$B$17),0)</f>
        <v>0</v>
      </c>
      <c r="E70" s="11" cm="1">
        <f t="array" ref="E70">IF(ISNUMBER(MATCH(Mezclado!$A70, _xlfn._xlws.FILTER(Procesos!$A$2:$A$23, Procesos!D$2:D$23="Molido"), 0)), Mezclado!G70/(1-Formula!$B$17),0)</f>
        <v>0</v>
      </c>
      <c r="F70" s="11" cm="1">
        <f t="array" ref="F70">IF(ISNUMBER(MATCH(Mezclado!$A70, _xlfn._xlws.FILTER(Procesos!$A$2:$A$23, Procesos!E$2:E$23="Molido"), 0)), Mezclado!H70/(1-Formula!$B$17),0)</f>
        <v>71.612428755285904</v>
      </c>
      <c r="G70" s="11" cm="1">
        <f t="array" ref="G70">IF(ISNUMBER(MATCH(Mezclado!$A70, _xlfn._xlws.FILTER(Procesos!$A$2:$A$23, Procesos!F$2:F$23="Molido"), 0)), Mezclado!I70/(1-Formula!$B$17),0)</f>
        <v>716.82294539437396</v>
      </c>
      <c r="H70" s="11" cm="1">
        <f t="array" ref="H70">IF(ISNUMBER(MATCH(Mezclado!$A70, _xlfn._xlws.FILTER(Procesos!$A$2:$A$23, Procesos!H$2:H$23="Molido"), 0)), Mezclado!K70/(1-Formula!$B$17),0)</f>
        <v>0</v>
      </c>
      <c r="I70" s="11" cm="1">
        <f t="array" ref="I70">IF(ISNUMBER(MATCH(Mezclado!$A70, _xlfn._xlws.FILTER(Procesos!$A$2:$A$23, Procesos!I$2:I$23="Molido"), 0)), Mezclado!L70/(1-Formula!$B$17),0)</f>
        <v>0</v>
      </c>
      <c r="J70" s="11" cm="1">
        <f t="array" ref="J70">IF(ISNUMBER(MATCH(Mezclado!$A70, _xlfn._xlws.FILTER(Procesos!$A$2:$A$23, Procesos!K$2:K$23="Molido"), 0)), Mezclado!N70/(1-Formula!$B$17),0)</f>
        <v>0</v>
      </c>
      <c r="K70" s="11" cm="1">
        <f t="array" ref="K70">IF(ISNUMBER(MATCH(Mezclado!$A70, _xlfn._xlws.FILTER(Procesos!$A$2:$A$23, Procesos!M$2:M$23="Molido"), 0)), Mezclado!P70/(1-Formula!$B$17),0)</f>
        <v>0</v>
      </c>
      <c r="L70" s="10">
        <v>0</v>
      </c>
    </row>
    <row r="71" spans="1:12" x14ac:dyDescent="0.25">
      <c r="A71" s="4" t="str">
        <v>Marcabal</v>
      </c>
      <c r="B71" s="11">
        <v>4061.92</v>
      </c>
      <c r="C71" s="5">
        <v>45945</v>
      </c>
      <c r="D71" s="11" cm="1">
        <f t="array" ref="D71">IF(ISNUMBER(MATCH(Mezclado!$A71, _xlfn._xlws.FILTER(Procesos!$A$2:$A$23, Procesos!C$2:C$23="Molido"), 0)), Mezclado!F71/(1-Formula!$B$17),0)</f>
        <v>0</v>
      </c>
      <c r="E71" s="11" cm="1">
        <f t="array" ref="E71">IF(ISNUMBER(MATCH(Mezclado!$A71, _xlfn._xlws.FILTER(Procesos!$A$2:$A$23, Procesos!D$2:D$23="Molido"), 0)), Mezclado!G71/(1-Formula!$B$17),0)</f>
        <v>0</v>
      </c>
      <c r="F71" s="11" cm="1">
        <f t="array" ref="F71">IF(ISNUMBER(MATCH(Mezclado!$A71, _xlfn._xlws.FILTER(Procesos!$A$2:$A$23, Procesos!E$2:E$23="Molido"), 0)), Mezclado!H71/(1-Formula!$B$17),0)</f>
        <v>335.2363955792527</v>
      </c>
      <c r="G71" s="11" cm="1">
        <f t="array" ref="G71">IF(ISNUMBER(MATCH(Mezclado!$A71, _xlfn._xlws.FILTER(Procesos!$A$2:$A$23, Procesos!F$2:F$23="Molido"), 0)), Mezclado!I71/(1-Formula!$B$17),0)</f>
        <v>0</v>
      </c>
      <c r="H71" s="11" cm="1">
        <f t="array" ref="H71">IF(ISNUMBER(MATCH(Mezclado!$A71, _xlfn._xlws.FILTER(Procesos!$A$2:$A$23, Procesos!H$2:H$23="Molido"), 0)), Mezclado!K71/(1-Formula!$B$17),0)</f>
        <v>0</v>
      </c>
      <c r="I71" s="11" cm="1">
        <f t="array" ref="I71">IF(ISNUMBER(MATCH(Mezclado!$A71, _xlfn._xlws.FILTER(Procesos!$A$2:$A$23, Procesos!I$2:I$23="Molido"), 0)), Mezclado!L71/(1-Formula!$B$17),0)</f>
        <v>458.87556127556132</v>
      </c>
      <c r="J71" s="11" cm="1">
        <f t="array" ref="J71">IF(ISNUMBER(MATCH(Mezclado!$A71, _xlfn._xlws.FILTER(Procesos!$A$2:$A$23, Procesos!K$2:K$23="Molido"), 0)), Mezclado!N71/(1-Formula!$B$17),0)</f>
        <v>0</v>
      </c>
      <c r="K71" s="11" cm="1">
        <f t="array" ref="K71">IF(ISNUMBER(MATCH(Mezclado!$A71, _xlfn._xlws.FILTER(Procesos!$A$2:$A$23, Procesos!M$2:M$23="Molido"), 0)), Mezclado!P71/(1-Formula!$B$17),0)</f>
        <v>7.8830340544626258</v>
      </c>
      <c r="L71" s="10">
        <v>0</v>
      </c>
    </row>
    <row r="72" spans="1:12" x14ac:dyDescent="0.25">
      <c r="A72" s="4" t="str">
        <v>Julcán</v>
      </c>
      <c r="B72" s="11">
        <v>2588</v>
      </c>
      <c r="C72" s="5">
        <v>45946</v>
      </c>
      <c r="D72" s="11" cm="1">
        <f t="array" ref="D72">IF(ISNUMBER(MATCH(Mezclado!$A72, _xlfn._xlws.FILTER(Procesos!$A$2:$A$23, Procesos!C$2:C$23="Molido"), 0)), Mezclado!F72/(1-Formula!$B$17),0)</f>
        <v>0</v>
      </c>
      <c r="E72" s="11" cm="1">
        <f t="array" ref="E72">IF(ISNUMBER(MATCH(Mezclado!$A72, _xlfn._xlws.FILTER(Procesos!$A$2:$A$23, Procesos!D$2:D$23="Molido"), 0)), Mezclado!G72/(1-Formula!$B$17),0)</f>
        <v>0</v>
      </c>
      <c r="F72" s="11" cm="1">
        <f t="array" ref="F72">IF(ISNUMBER(MATCH(Mezclado!$A72, _xlfn._xlws.FILTER(Procesos!$A$2:$A$23, Procesos!E$2:E$23="Molido"), 0)), Mezclado!H72/(1-Formula!$B$17),0)</f>
        <v>254.30083144368859</v>
      </c>
      <c r="G72" s="11" cm="1">
        <f t="array" ref="G72">IF(ISNUMBER(MATCH(Mezclado!$A72, _xlfn._xlws.FILTER(Procesos!$A$2:$A$23, Procesos!F$2:F$23="Molido"), 0)), Mezclado!I72/(1-Formula!$B$17),0)</f>
        <v>1704.2385242385246</v>
      </c>
      <c r="H72" s="11" cm="1">
        <f t="array" ref="H72">IF(ISNUMBER(MATCH(Mezclado!$A72, _xlfn._xlws.FILTER(Procesos!$A$2:$A$23, Procesos!H$2:H$23="Molido"), 0)), Mezclado!K72/(1-Formula!$B$17),0)</f>
        <v>0</v>
      </c>
      <c r="I72" s="11" cm="1">
        <f t="array" ref="I72">IF(ISNUMBER(MATCH(Mezclado!$A72, _xlfn._xlws.FILTER(Procesos!$A$2:$A$23, Procesos!I$2:I$23="Molido"), 0)), Mezclado!L72/(1-Formula!$B$17),0)</f>
        <v>0</v>
      </c>
      <c r="J72" s="11" cm="1">
        <f t="array" ref="J72">IF(ISNUMBER(MATCH(Mezclado!$A72, _xlfn._xlws.FILTER(Procesos!$A$2:$A$23, Procesos!K$2:K$23="Molido"), 0)), Mezclado!N72/(1-Formula!$B$17),0)</f>
        <v>0</v>
      </c>
      <c r="K72" s="11" cm="1">
        <f t="array" ref="K72">IF(ISNUMBER(MATCH(Mezclado!$A72, _xlfn._xlws.FILTER(Procesos!$A$2:$A$23, Procesos!M$2:M$23="Molido"), 0)), Mezclado!P72/(1-Formula!$B$17),0)</f>
        <v>0</v>
      </c>
      <c r="L72" s="10">
        <v>0</v>
      </c>
    </row>
    <row r="73" spans="1:12" x14ac:dyDescent="0.25">
      <c r="A73" s="4" t="str">
        <v>Chiclayo</v>
      </c>
      <c r="B73" s="11">
        <v>11824</v>
      </c>
      <c r="C73" s="5">
        <v>45951</v>
      </c>
      <c r="D73" s="11" cm="1">
        <f t="array" ref="D73">IF(ISNUMBER(MATCH(Mezclado!$A73, _xlfn._xlws.FILTER(Procesos!$A$2:$A$23, Procesos!C$2:C$23="Molido"), 0)), Mezclado!F73/(1-Formula!$B$17),0)</f>
        <v>0</v>
      </c>
      <c r="E73" s="11" cm="1">
        <f t="array" ref="E73">IF(ISNUMBER(MATCH(Mezclado!$A73, _xlfn._xlws.FILTER(Procesos!$A$2:$A$23, Procesos!D$2:D$23="Molido"), 0)), Mezclado!G73/(1-Formula!$B$17),0)</f>
        <v>0</v>
      </c>
      <c r="F73" s="11" cm="1">
        <f t="array" ref="F73">IF(ISNUMBER(MATCH(Mezclado!$A73, _xlfn._xlws.FILTER(Procesos!$A$2:$A$23, Procesos!E$2:E$23="Molido"), 0)), Mezclado!H73/(1-Formula!$B$17),0)</f>
        <v>0</v>
      </c>
      <c r="G73" s="11" cm="1">
        <f t="array" ref="G73">IF(ISNUMBER(MATCH(Mezclado!$A73, _xlfn._xlws.FILTER(Procesos!$A$2:$A$23, Procesos!F$2:F$23="Molido"), 0)), Mezclado!I73/(1-Formula!$B$17),0)</f>
        <v>0</v>
      </c>
      <c r="H73" s="11" cm="1">
        <f t="array" ref="H73">IF(ISNUMBER(MATCH(Mezclado!$A73, _xlfn._xlws.FILTER(Procesos!$A$2:$A$23, Procesos!H$2:H$23="Molido"), 0)), Mezclado!K73/(1-Formula!$B$17),0)</f>
        <v>3409.566137566138</v>
      </c>
      <c r="I73" s="11" cm="1">
        <f t="array" ref="I73">IF(ISNUMBER(MATCH(Mezclado!$A73, _xlfn._xlws.FILTER(Procesos!$A$2:$A$23, Procesos!I$2:I$23="Molido"), 0)), Mezclado!L73/(1-Formula!$B$17),0)</f>
        <v>0</v>
      </c>
      <c r="J73" s="11" cm="1">
        <f t="array" ref="J73">IF(ISNUMBER(MATCH(Mezclado!$A73, _xlfn._xlws.FILTER(Procesos!$A$2:$A$23, Procesos!K$2:K$23="Molido"), 0)), Mezclado!N73/(1-Formula!$B$17),0)</f>
        <v>0</v>
      </c>
      <c r="K73" s="11" cm="1">
        <f t="array" ref="K73">IF(ISNUMBER(MATCH(Mezclado!$A73, _xlfn._xlws.FILTER(Procesos!$A$2:$A$23, Procesos!M$2:M$23="Molido"), 0)), Mezclado!P73/(1-Formula!$B$17),0)</f>
        <v>0</v>
      </c>
      <c r="L73" s="10">
        <v>0</v>
      </c>
    </row>
    <row r="74" spans="1:12" x14ac:dyDescent="0.25">
      <c r="A74" s="4" t="str">
        <v>Olmos</v>
      </c>
      <c r="B74" s="11">
        <v>5840</v>
      </c>
      <c r="C74" s="5">
        <v>45962</v>
      </c>
      <c r="D74" s="11" cm="1">
        <f t="array" ref="D74">IF(ISNUMBER(MATCH(Mezclado!$A74, _xlfn._xlws.FILTER(Procesos!$A$2:$A$23, Procesos!C$2:C$23="Molido"), 0)), Mezclado!F74/(1-Formula!$B$17),0)</f>
        <v>0</v>
      </c>
      <c r="E74" s="11" cm="1">
        <f t="array" ref="E74">IF(ISNUMBER(MATCH(Mezclado!$A74, _xlfn._xlws.FILTER(Procesos!$A$2:$A$23, Procesos!D$2:D$23="Molido"), 0)), Mezclado!G74/(1-Formula!$B$17),0)</f>
        <v>712.23876938162664</v>
      </c>
      <c r="F74" s="11" cm="1">
        <f t="array" ref="F74">IF(ISNUMBER(MATCH(Mezclado!$A74, _xlfn._xlws.FILTER(Procesos!$A$2:$A$23, Procesos!E$2:E$23="Molido"), 0)), Mezclado!H74/(1-Formula!$B$17),0)</f>
        <v>52.493309636166785</v>
      </c>
      <c r="G74" s="11" cm="1">
        <f t="array" ref="G74">IF(ISNUMBER(MATCH(Mezclado!$A74, _xlfn._xlws.FILTER(Procesos!$A$2:$A$23, Procesos!F$2:F$23="Molido"), 0)), Mezclado!I74/(1-Formula!$B$17),0)</f>
        <v>0</v>
      </c>
      <c r="H74" s="11" cm="1">
        <f t="array" ref="H74">IF(ISNUMBER(MATCH(Mezclado!$A74, _xlfn._xlws.FILTER(Procesos!$A$2:$A$23, Procesos!H$2:H$23="Molido"), 0)), Mezclado!K74/(1-Formula!$B$17),0)</f>
        <v>0</v>
      </c>
      <c r="I74" s="11" cm="1">
        <f t="array" ref="I74">IF(ISNUMBER(MATCH(Mezclado!$A74, _xlfn._xlws.FILTER(Procesos!$A$2:$A$23, Procesos!I$2:I$23="Molido"), 0)), Mezclado!L74/(1-Formula!$B$17),0)</f>
        <v>0</v>
      </c>
      <c r="J74" s="11" cm="1">
        <f t="array" ref="J74">IF(ISNUMBER(MATCH(Mezclado!$A74, _xlfn._xlws.FILTER(Procesos!$A$2:$A$23, Procesos!K$2:K$23="Molido"), 0)), Mezclado!N74/(1-Formula!$B$17),0)</f>
        <v>0</v>
      </c>
      <c r="K74" s="11" cm="1">
        <f t="array" ref="K74">IF(ISNUMBER(MATCH(Mezclado!$A74, _xlfn._xlws.FILTER(Procesos!$A$2:$A$23, Procesos!M$2:M$23="Molido"), 0)), Mezclado!P74/(1-Formula!$B$17),0)</f>
        <v>0</v>
      </c>
      <c r="L74" s="10">
        <v>0</v>
      </c>
    </row>
  </sheetData>
  <autoFilter ref="A1:L59" xr:uid="{2F4F0E8C-4F27-428E-970B-6AA51A1F15C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FCF5-8BC7-40DC-B94C-6FDFE8A5AC0B}">
  <dimension ref="A1:P82"/>
  <sheetViews>
    <sheetView workbookViewId="0">
      <pane ySplit="1" topLeftCell="A56" activePane="bottomLeft" state="frozen"/>
      <selection pane="bottomLeft" activeCell="E65" sqref="E65"/>
    </sheetView>
  </sheetViews>
  <sheetFormatPr baseColWidth="10" defaultRowHeight="15" x14ac:dyDescent="0.25"/>
  <cols>
    <col min="1" max="1" width="18" style="4" bestFit="1" customWidth="1"/>
    <col min="2" max="2" width="13.140625" style="11" bestFit="1" customWidth="1"/>
    <col min="3" max="3" width="10.42578125" style="5" bestFit="1" customWidth="1"/>
    <col min="4" max="5" width="11.42578125" style="4"/>
    <col min="6" max="10" width="11.42578125" style="11"/>
    <col min="11" max="11" width="11.42578125" style="10"/>
    <col min="14" max="14" width="0" hidden="1" customWidth="1"/>
  </cols>
  <sheetData>
    <row r="1" spans="1:11" ht="15.75" thickBot="1" x14ac:dyDescent="0.3">
      <c r="A1" s="23" t="s">
        <v>3</v>
      </c>
      <c r="B1" s="24" t="s">
        <v>6</v>
      </c>
      <c r="C1" s="25" t="s">
        <v>7</v>
      </c>
      <c r="D1" s="24" t="s">
        <v>33</v>
      </c>
      <c r="E1" s="24" t="s">
        <v>31</v>
      </c>
      <c r="F1" s="24" t="s">
        <v>34</v>
      </c>
      <c r="G1" s="24" t="s">
        <v>62</v>
      </c>
      <c r="H1" s="24" t="s">
        <v>70</v>
      </c>
      <c r="I1" s="24" t="s">
        <v>61</v>
      </c>
      <c r="J1" s="24" t="s">
        <v>55</v>
      </c>
      <c r="K1" s="40" t="s">
        <v>75</v>
      </c>
    </row>
    <row r="2" spans="1:11" x14ac:dyDescent="0.25">
      <c r="A2" s="4" t="str" cm="1">
        <f t="array" ref="A2:C74">Mezclado!A2:C74</f>
        <v>San Jose</v>
      </c>
      <c r="B2" s="11">
        <v>3347</v>
      </c>
      <c r="C2" s="5">
        <v>45630</v>
      </c>
      <c r="D2" s="11">
        <f>SUM(Laminado!E2+Molido!D2)/(1-Formula!$B$16)</f>
        <v>852.92605264893257</v>
      </c>
      <c r="E2" s="11">
        <f>SUM(Laminado!F2+Molido!E2)/(1-Formula!$B$16)</f>
        <v>1279.3890789733989</v>
      </c>
      <c r="F2" s="11" cm="1">
        <f t="array" ref="F2:F74">Molido!F2:F74/(1-Formula!$B$16)</f>
        <v>72.25140141193161</v>
      </c>
      <c r="G2" s="11" cm="1">
        <f t="array" ref="G2:G74">_xlfn.ANCHORARRAY(Limpieza!D3)/(1-Formula!$B$16)</f>
        <v>0</v>
      </c>
      <c r="H2" s="11" cm="1">
        <f t="array" ref="H2:K74">Molido!I2:L74/(1-Formula!$B$16)</f>
        <v>0</v>
      </c>
      <c r="I2" s="11">
        <v>0</v>
      </c>
      <c r="J2" s="11">
        <v>0</v>
      </c>
      <c r="K2" s="10">
        <v>0</v>
      </c>
    </row>
    <row r="3" spans="1:11" x14ac:dyDescent="0.25">
      <c r="A3" s="22" t="str">
        <v>Pataz - Tayabamba</v>
      </c>
      <c r="B3" s="11">
        <v>9286</v>
      </c>
      <c r="C3" s="5">
        <v>45642</v>
      </c>
      <c r="D3" s="11">
        <f>SUM(Laminado!E3+Molido!D3)/(1-Formula!$B$16)</f>
        <v>2607.8847625239373</v>
      </c>
      <c r="E3" s="11">
        <f>SUM(Laminado!F3+Molido!E3)/(1-Formula!$B$16)</f>
        <v>2761.4047879143609</v>
      </c>
      <c r="F3" s="11">
        <v>766.62229239548822</v>
      </c>
      <c r="G3" s="11">
        <v>0</v>
      </c>
      <c r="H3" s="11">
        <v>0</v>
      </c>
      <c r="I3" s="11">
        <v>1380.7023939571804</v>
      </c>
      <c r="J3" s="11">
        <v>0</v>
      </c>
      <c r="K3" s="10">
        <v>0</v>
      </c>
    </row>
    <row r="4" spans="1:11" x14ac:dyDescent="0.25">
      <c r="A4" s="22" t="str">
        <v>Viru</v>
      </c>
      <c r="B4" s="11">
        <v>2810</v>
      </c>
      <c r="C4" s="5">
        <v>45653</v>
      </c>
      <c r="D4" s="11">
        <f>SUM(Laminado!E4+Molido!D4)/(1-Formula!$B$16)</f>
        <v>652.67472023823552</v>
      </c>
      <c r="E4" s="11">
        <f>SUM(Laminado!F4+Molido!E4)/(1-Formula!$B$16)</f>
        <v>1305.349440476471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0">
        <v>0</v>
      </c>
    </row>
    <row r="5" spans="1:11" x14ac:dyDescent="0.25">
      <c r="A5" s="22" t="str">
        <v>Julcán</v>
      </c>
      <c r="B5" s="11">
        <v>2588</v>
      </c>
      <c r="C5" s="5">
        <v>45656</v>
      </c>
      <c r="D5" s="11">
        <f>SUM(Laminado!E5+Molido!D5)/(1-Formula!$B$16)</f>
        <v>431.54633399595093</v>
      </c>
      <c r="E5" s="11">
        <f>SUM(Laminado!F5+Molido!E5)/(1-Formula!$B$16)</f>
        <v>0</v>
      </c>
      <c r="F5" s="11">
        <v>262.16580561205012</v>
      </c>
      <c r="G5" s="11">
        <v>0</v>
      </c>
      <c r="H5" s="11">
        <v>0</v>
      </c>
      <c r="I5" s="11">
        <v>0</v>
      </c>
      <c r="J5" s="11">
        <v>0</v>
      </c>
      <c r="K5" s="10">
        <v>0</v>
      </c>
    </row>
    <row r="6" spans="1:11" x14ac:dyDescent="0.25">
      <c r="A6" s="22" t="str">
        <v>Olmos</v>
      </c>
      <c r="B6" s="11">
        <v>5252</v>
      </c>
      <c r="C6" s="5">
        <v>45665</v>
      </c>
      <c r="D6" s="11">
        <f>SUM(Laminado!E6+Molido!D6)/(1-Formula!$B$16)</f>
        <v>1623.2377720967199</v>
      </c>
      <c r="E6" s="11">
        <f>SUM(Laminado!F6+Molido!E6)/(1-Formula!$B$16)</f>
        <v>660.33717285558237</v>
      </c>
      <c r="F6" s="11">
        <v>48.668066341114951</v>
      </c>
      <c r="G6" s="11">
        <v>0</v>
      </c>
      <c r="H6" s="11">
        <v>0</v>
      </c>
      <c r="I6" s="11">
        <v>0</v>
      </c>
      <c r="J6" s="11">
        <v>0</v>
      </c>
      <c r="K6" s="10">
        <v>0</v>
      </c>
    </row>
    <row r="7" spans="1:11" x14ac:dyDescent="0.25">
      <c r="A7" s="22" t="str">
        <v>Marcabal</v>
      </c>
      <c r="B7" s="11">
        <v>4061.92</v>
      </c>
      <c r="C7" s="5">
        <v>45671</v>
      </c>
      <c r="D7" s="11">
        <f>SUM(Laminado!E7+Molido!D7)/(1-Formula!$B$16)</f>
        <v>0</v>
      </c>
      <c r="E7" s="11">
        <f>SUM(Laminado!F7+Molido!E7)/(1-Formula!$B$16)</f>
        <v>2448.1936941128956</v>
      </c>
      <c r="F7" s="11">
        <v>345.60453152500281</v>
      </c>
      <c r="G7" s="11">
        <v>0</v>
      </c>
      <c r="H7" s="11">
        <v>473.06758894387769</v>
      </c>
      <c r="I7" s="11">
        <v>0</v>
      </c>
      <c r="J7" s="11">
        <v>8.1268392314047695</v>
      </c>
      <c r="K7" s="10">
        <v>0</v>
      </c>
    </row>
    <row r="8" spans="1:11" x14ac:dyDescent="0.25">
      <c r="A8" s="22" t="str">
        <v>Julcán</v>
      </c>
      <c r="B8" s="11">
        <v>2588</v>
      </c>
      <c r="C8" s="5">
        <v>45673</v>
      </c>
      <c r="D8" s="11">
        <f>SUM(Laminado!E8+Molido!D8)/(1-Formula!$B$16)</f>
        <v>431.54633399595093</v>
      </c>
      <c r="E8" s="11">
        <f>SUM(Laminado!F8+Molido!E8)/(1-Formula!$B$16)</f>
        <v>0</v>
      </c>
      <c r="F8" s="11">
        <v>262.16580561205012</v>
      </c>
      <c r="G8" s="11">
        <v>0</v>
      </c>
      <c r="H8" s="11">
        <v>0</v>
      </c>
      <c r="I8" s="11">
        <v>0</v>
      </c>
      <c r="J8" s="11">
        <v>0</v>
      </c>
      <c r="K8" s="10">
        <v>0</v>
      </c>
    </row>
    <row r="9" spans="1:11" x14ac:dyDescent="0.25">
      <c r="A9" s="22" t="str">
        <v>Olmos</v>
      </c>
      <c r="B9" s="11">
        <v>5840</v>
      </c>
      <c r="C9" s="5">
        <v>45691</v>
      </c>
      <c r="D9" s="11">
        <v>0</v>
      </c>
      <c r="E9" s="11">
        <v>0</v>
      </c>
      <c r="F9" s="11">
        <v>54.116814057903902</v>
      </c>
      <c r="G9" s="11">
        <v>0</v>
      </c>
      <c r="H9" s="11">
        <v>0</v>
      </c>
      <c r="I9" s="11">
        <v>0</v>
      </c>
      <c r="J9" s="11">
        <v>0</v>
      </c>
      <c r="K9" s="10">
        <v>0</v>
      </c>
    </row>
    <row r="10" spans="1:11" x14ac:dyDescent="0.25">
      <c r="A10" s="22" t="str">
        <v>San Pedro de Lloc</v>
      </c>
      <c r="B10" s="11">
        <v>4691</v>
      </c>
      <c r="C10" s="5">
        <v>45691</v>
      </c>
      <c r="D10" s="11">
        <v>0</v>
      </c>
      <c r="E10" s="11">
        <v>0</v>
      </c>
      <c r="F10" s="11">
        <v>76.565625166508823</v>
      </c>
      <c r="G10" s="11">
        <v>0</v>
      </c>
      <c r="H10" s="11">
        <v>0</v>
      </c>
      <c r="I10" s="11">
        <v>0</v>
      </c>
      <c r="J10" s="11">
        <v>0</v>
      </c>
      <c r="K10" s="10">
        <v>19.264899235444155</v>
      </c>
    </row>
    <row r="11" spans="1:11" x14ac:dyDescent="0.25">
      <c r="A11" s="22" t="str">
        <v>Marcabal</v>
      </c>
      <c r="B11" s="11">
        <v>4061.92</v>
      </c>
      <c r="C11" s="5">
        <v>45700</v>
      </c>
      <c r="D11" s="11">
        <f>SUM(Laminado!E11+Molido!D11)/(1-Formula!$B$16)</f>
        <v>0</v>
      </c>
      <c r="E11" s="11">
        <f>SUM(Laminado!F11+Molido!E11)/(1-Formula!$B$16)</f>
        <v>2448.1936941128956</v>
      </c>
      <c r="F11" s="11">
        <v>345.60453152500281</v>
      </c>
      <c r="G11" s="11">
        <v>0</v>
      </c>
      <c r="H11" s="11">
        <v>473.06758894387769</v>
      </c>
      <c r="I11" s="11">
        <v>0</v>
      </c>
      <c r="J11" s="11">
        <v>8.1268392314047695</v>
      </c>
      <c r="K11" s="10">
        <v>0</v>
      </c>
    </row>
    <row r="12" spans="1:11" x14ac:dyDescent="0.25">
      <c r="A12" s="22" t="str">
        <v>Julcán</v>
      </c>
      <c r="B12" s="11">
        <v>2600</v>
      </c>
      <c r="C12" s="5">
        <v>45702</v>
      </c>
      <c r="D12" s="11">
        <f>SUM(Laminado!E12+Molido!D12)/(1-Formula!$B$16)</f>
        <v>433.54732163426286</v>
      </c>
      <c r="E12" s="11">
        <f>SUM(Laminado!F12+Molido!E12)/(1-Formula!$B$16)</f>
        <v>0</v>
      </c>
      <c r="F12" s="11">
        <v>263.38141212957117</v>
      </c>
      <c r="G12" s="11">
        <v>0</v>
      </c>
      <c r="H12" s="11">
        <v>0</v>
      </c>
      <c r="I12" s="11">
        <v>0</v>
      </c>
      <c r="J12" s="11">
        <v>0</v>
      </c>
      <c r="K12" s="10">
        <v>0</v>
      </c>
    </row>
    <row r="13" spans="1:11" x14ac:dyDescent="0.25">
      <c r="A13" s="22" t="str">
        <v>Viru</v>
      </c>
      <c r="B13" s="11">
        <v>3108</v>
      </c>
      <c r="C13" s="5">
        <v>45702</v>
      </c>
      <c r="D13" s="11">
        <f>SUM(Laminado!E13+Molido!D13)/(1-Formula!$B$16)</f>
        <v>721.8907581852086</v>
      </c>
      <c r="E13" s="11">
        <f>SUM(Laminado!F13+Molido!E13)/(1-Formula!$B$16)</f>
        <v>1443.7815163704172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0">
        <v>0</v>
      </c>
    </row>
    <row r="14" spans="1:11" x14ac:dyDescent="0.25">
      <c r="A14" s="22" t="str">
        <v>Olmos</v>
      </c>
      <c r="B14" s="11">
        <v>5611</v>
      </c>
      <c r="C14" s="5">
        <v>45717</v>
      </c>
      <c r="D14" s="11">
        <v>0</v>
      </c>
      <c r="E14" s="11">
        <v>0</v>
      </c>
      <c r="F14" s="11">
        <v>51.994767753236097</v>
      </c>
      <c r="G14" s="11">
        <v>0</v>
      </c>
      <c r="H14" s="11">
        <v>0</v>
      </c>
      <c r="I14" s="11">
        <v>0</v>
      </c>
      <c r="J14" s="11">
        <v>0</v>
      </c>
      <c r="K14" s="10">
        <v>0</v>
      </c>
    </row>
    <row r="15" spans="1:11" x14ac:dyDescent="0.25">
      <c r="A15" s="22" t="str">
        <v>Chongoyape</v>
      </c>
      <c r="B15" s="11">
        <v>2626</v>
      </c>
      <c r="C15" s="5">
        <v>45727</v>
      </c>
      <c r="D15" s="11">
        <f>SUM(Laminado!E15+Molido!D15)/(1-Formula!$B$16)</f>
        <v>426.46685606492866</v>
      </c>
      <c r="E15" s="11">
        <f>SUM(Laminado!F15+Molido!E15)/(1-Formula!$B$16)</f>
        <v>1409.7147852670682</v>
      </c>
      <c r="F15" s="11">
        <v>141.02678314754897</v>
      </c>
      <c r="G15" s="11">
        <v>0</v>
      </c>
      <c r="H15" s="11">
        <v>0</v>
      </c>
      <c r="I15" s="11">
        <v>0</v>
      </c>
      <c r="J15" s="11">
        <v>0</v>
      </c>
      <c r="K15" s="10">
        <v>0</v>
      </c>
    </row>
    <row r="16" spans="1:11" x14ac:dyDescent="0.25">
      <c r="A16" s="22" t="str">
        <v>Marcabal</v>
      </c>
      <c r="B16" s="11">
        <v>4061.92</v>
      </c>
      <c r="C16" s="5">
        <v>45728</v>
      </c>
      <c r="D16" s="11">
        <f>SUM(Laminado!E16+Molido!D16)/(1-Formula!$B$16)</f>
        <v>0</v>
      </c>
      <c r="E16" s="11">
        <f>SUM(Laminado!F16+Molido!E16)/(1-Formula!$B$16)</f>
        <v>2448.1936941128956</v>
      </c>
      <c r="F16" s="11">
        <v>345.60453152500281</v>
      </c>
      <c r="G16" s="11">
        <v>0</v>
      </c>
      <c r="H16" s="11">
        <v>473.06758894387769</v>
      </c>
      <c r="I16" s="11">
        <v>0</v>
      </c>
      <c r="J16" s="11">
        <v>8.1268392314047695</v>
      </c>
      <c r="K16" s="10">
        <v>0</v>
      </c>
    </row>
    <row r="17" spans="1:11" x14ac:dyDescent="0.25">
      <c r="A17" s="22" t="str">
        <v>Julcán</v>
      </c>
      <c r="B17" s="11">
        <v>2588</v>
      </c>
      <c r="C17" s="5">
        <v>45733</v>
      </c>
      <c r="D17" s="11">
        <f>SUM(Laminado!E17+Molido!D17)/(1-Formula!$B$16)</f>
        <v>431.54633399595093</v>
      </c>
      <c r="E17" s="11">
        <f>SUM(Laminado!F17+Molido!E17)/(1-Formula!$B$16)</f>
        <v>0</v>
      </c>
      <c r="F17" s="11">
        <v>262.16580561205012</v>
      </c>
      <c r="G17" s="11">
        <v>0</v>
      </c>
      <c r="H17" s="11">
        <v>0</v>
      </c>
      <c r="I17" s="11">
        <v>0</v>
      </c>
      <c r="J17" s="11">
        <v>0</v>
      </c>
      <c r="K17" s="10">
        <v>0</v>
      </c>
    </row>
    <row r="18" spans="1:11" x14ac:dyDescent="0.25">
      <c r="A18" s="22" t="str">
        <v>San Jose</v>
      </c>
      <c r="B18" s="11">
        <v>4570</v>
      </c>
      <c r="C18" s="5">
        <v>45733</v>
      </c>
      <c r="D18" s="11">
        <f>SUM(Laminado!E18+Molido!D18)/(1-Formula!$B$16)</f>
        <v>1164.5868122514557</v>
      </c>
      <c r="E18" s="11">
        <f>SUM(Laminado!F18+Molido!E18)/(1-Formula!$B$16)</f>
        <v>1746.8802183771836</v>
      </c>
      <c r="F18" s="11">
        <v>98.652197326718678</v>
      </c>
      <c r="G18" s="11">
        <v>0</v>
      </c>
      <c r="H18" s="11">
        <v>0</v>
      </c>
      <c r="I18" s="11">
        <v>0</v>
      </c>
      <c r="J18" s="11">
        <v>0</v>
      </c>
      <c r="K18" s="10">
        <v>0</v>
      </c>
    </row>
    <row r="19" spans="1:11" x14ac:dyDescent="0.25">
      <c r="A19" s="22" t="str">
        <v>San Pedro de Lloc</v>
      </c>
      <c r="B19" s="11">
        <v>4742</v>
      </c>
      <c r="C19" s="5">
        <v>45733</v>
      </c>
      <c r="D19" s="11">
        <f>SUM(Laminado!E19+Molido!D19)/(1-Formula!$B$16)</f>
        <v>762.25560161905287</v>
      </c>
      <c r="E19" s="11">
        <f>SUM(Laminado!F19+Molido!E19)/(1-Formula!$B$16)</f>
        <v>2858.09038520782</v>
      </c>
      <c r="F19" s="11">
        <v>77.398037633678285</v>
      </c>
      <c r="G19" s="11">
        <v>0</v>
      </c>
      <c r="H19" s="11">
        <v>0</v>
      </c>
      <c r="I19" s="11">
        <v>0</v>
      </c>
      <c r="J19" s="11">
        <v>0</v>
      </c>
      <c r="K19" s="10">
        <v>19.47434495299002</v>
      </c>
    </row>
    <row r="20" spans="1:11" x14ac:dyDescent="0.25">
      <c r="A20" s="22" t="str">
        <v>Viru</v>
      </c>
      <c r="B20" s="11">
        <v>3006</v>
      </c>
      <c r="C20" s="5">
        <v>45733</v>
      </c>
      <c r="D20" s="11">
        <f>SUM(Laminado!E20+Molido!D20)/(1-Formula!$B$16)</f>
        <v>698.19936264631167</v>
      </c>
      <c r="E20" s="11">
        <f>SUM(Laminado!F20+Molido!E20)/(1-Formula!$B$16)</f>
        <v>1396.3987252926233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0">
        <v>0</v>
      </c>
    </row>
    <row r="21" spans="1:11" x14ac:dyDescent="0.25">
      <c r="A21" s="22" t="str">
        <v>Pataz - Tayabamba</v>
      </c>
      <c r="B21" s="11">
        <v>9268</v>
      </c>
      <c r="C21" s="5">
        <v>45739</v>
      </c>
      <c r="D21" s="11">
        <f>SUM(Laminado!E21+Molido!D21)/(1-Formula!$B$16)</f>
        <v>2602.8296337574689</v>
      </c>
      <c r="E21" s="11">
        <f>SUM(Laminado!F21+Molido!E21)/(1-Formula!$B$16)</f>
        <v>2756.0520756397041</v>
      </c>
      <c r="F21" s="11">
        <v>765.13627029090947</v>
      </c>
      <c r="G21" s="11">
        <v>0</v>
      </c>
      <c r="H21" s="11">
        <v>0</v>
      </c>
      <c r="I21" s="11">
        <v>1378.026037819852</v>
      </c>
      <c r="J21" s="11">
        <v>0</v>
      </c>
      <c r="K21" s="10">
        <v>0</v>
      </c>
    </row>
    <row r="22" spans="1:11" x14ac:dyDescent="0.25">
      <c r="A22" s="22" t="str">
        <v>Chiclayo</v>
      </c>
      <c r="B22" s="11">
        <v>30058</v>
      </c>
      <c r="C22" s="5">
        <v>45751</v>
      </c>
      <c r="D22" s="11">
        <v>0</v>
      </c>
      <c r="E22" s="11">
        <f>SUM(Laminado!F22+Molido!E22)/(1-Formula!$B$16)</f>
        <v>0</v>
      </c>
      <c r="F22" s="11">
        <v>0</v>
      </c>
      <c r="G22" s="11">
        <v>8962.4735221318788</v>
      </c>
      <c r="H22" s="11">
        <v>0</v>
      </c>
      <c r="I22" s="11">
        <v>0</v>
      </c>
      <c r="J22" s="11">
        <v>0</v>
      </c>
      <c r="K22" s="10">
        <v>0</v>
      </c>
    </row>
    <row r="23" spans="1:11" x14ac:dyDescent="0.25">
      <c r="A23" s="22" t="str">
        <v>Olmos</v>
      </c>
      <c r="B23" s="11">
        <v>5840</v>
      </c>
      <c r="C23" s="5">
        <v>45751</v>
      </c>
      <c r="D23" s="11">
        <v>0</v>
      </c>
      <c r="E23" s="11">
        <v>0</v>
      </c>
      <c r="F23" s="11">
        <v>54.116814057903902</v>
      </c>
      <c r="G23" s="11">
        <v>0</v>
      </c>
      <c r="H23" s="11">
        <v>0</v>
      </c>
      <c r="I23" s="11">
        <v>0</v>
      </c>
      <c r="J23" s="11">
        <v>0</v>
      </c>
      <c r="K23" s="10">
        <v>0</v>
      </c>
    </row>
    <row r="24" spans="1:11" x14ac:dyDescent="0.25">
      <c r="A24" s="22" t="str">
        <v>Marcabal</v>
      </c>
      <c r="B24" s="11">
        <v>4061.92</v>
      </c>
      <c r="C24" s="5">
        <v>45756</v>
      </c>
      <c r="D24" s="11">
        <f>SUM(Laminado!E24+Molido!D24)/(1-Formula!$B$16)</f>
        <v>0</v>
      </c>
      <c r="E24" s="11">
        <v>0</v>
      </c>
      <c r="F24" s="11">
        <v>345.60453152500281</v>
      </c>
      <c r="G24" s="11">
        <v>0</v>
      </c>
      <c r="H24" s="11">
        <v>473.06758894387769</v>
      </c>
      <c r="I24" s="11">
        <v>0</v>
      </c>
      <c r="J24" s="11">
        <v>8.1268392314047695</v>
      </c>
      <c r="K24" s="10">
        <v>0</v>
      </c>
    </row>
    <row r="25" spans="1:11" x14ac:dyDescent="0.25">
      <c r="A25" s="46" t="str">
        <v>Cajamarca</v>
      </c>
      <c r="B25" s="47">
        <v>10671.72</v>
      </c>
      <c r="C25" s="48">
        <v>45763</v>
      </c>
      <c r="D25" s="47">
        <f>SUM(Laminado!E25+Molido!D25)/(1-Formula!$B$16)</f>
        <v>2071.1107037095308</v>
      </c>
      <c r="E25" s="47">
        <f>SUM(Laminado!F25+Molido!E25)/(1-Formula!$B$16)</f>
        <v>4142.2214074190615</v>
      </c>
      <c r="F25" s="47">
        <v>421.40762685681688</v>
      </c>
      <c r="G25" s="47">
        <v>0</v>
      </c>
      <c r="H25" s="47">
        <v>0</v>
      </c>
      <c r="I25" s="47">
        <v>0</v>
      </c>
      <c r="J25" s="47">
        <v>0</v>
      </c>
      <c r="K25" s="49">
        <v>0</v>
      </c>
    </row>
    <row r="26" spans="1:11" x14ac:dyDescent="0.25">
      <c r="A26" s="46" t="str">
        <v>Cajamarca</v>
      </c>
      <c r="B26" s="47">
        <v>11433.6</v>
      </c>
      <c r="C26" s="48">
        <v>45763</v>
      </c>
      <c r="D26" s="47">
        <f>SUM(Laminado!E26+Molido!D26)/(1-Formula!$B$16)</f>
        <v>2218.972325167199</v>
      </c>
      <c r="E26" s="47">
        <f>SUM(Laminado!F26+Molido!E26)/(1-Formula!$B$16)</f>
        <v>4437.9446503343979</v>
      </c>
      <c r="F26" s="47">
        <v>451.49294044728509</v>
      </c>
      <c r="G26" s="47">
        <v>0</v>
      </c>
      <c r="H26" s="47">
        <v>0</v>
      </c>
      <c r="I26" s="47">
        <v>0</v>
      </c>
      <c r="J26" s="47">
        <v>0</v>
      </c>
      <c r="K26" s="49">
        <v>0</v>
      </c>
    </row>
    <row r="27" spans="1:11" x14ac:dyDescent="0.25">
      <c r="A27" s="46" t="str">
        <v>Cajamarca</v>
      </c>
      <c r="B27" s="47">
        <v>23470.720000000001</v>
      </c>
      <c r="C27" s="48">
        <v>45763</v>
      </c>
      <c r="D27" s="47">
        <f>SUM(Laminado!E27+Molido!D27)/(1-Formula!$B$16)</f>
        <v>4555.0726045819574</v>
      </c>
      <c r="E27" s="47">
        <f>SUM(Laminado!F27+Molido!E27)/(1-Formula!$B$16)</f>
        <v>9110.1452091639148</v>
      </c>
      <c r="F27" s="47">
        <v>926.81783403432894</v>
      </c>
      <c r="G27" s="47">
        <v>0</v>
      </c>
      <c r="H27" s="47">
        <v>0</v>
      </c>
      <c r="I27" s="47">
        <v>0</v>
      </c>
      <c r="J27" s="47">
        <v>0</v>
      </c>
      <c r="K27" s="49">
        <v>0</v>
      </c>
    </row>
    <row r="28" spans="1:11" x14ac:dyDescent="0.25">
      <c r="A28" s="22" t="str">
        <v>Julcán</v>
      </c>
      <c r="B28" s="11">
        <v>2588</v>
      </c>
      <c r="C28" s="5">
        <v>45763</v>
      </c>
      <c r="D28" s="11">
        <f>SUM(Laminado!E28+Molido!D28)/(1-Formula!$B$16)</f>
        <v>431.54633399595093</v>
      </c>
      <c r="E28" s="11">
        <f>SUM(Laminado!F28+Molido!E28)/(1-Formula!$B$16)</f>
        <v>0</v>
      </c>
      <c r="F28" s="11">
        <v>262.16580561205012</v>
      </c>
      <c r="G28" s="11">
        <v>0</v>
      </c>
      <c r="H28" s="11">
        <v>0</v>
      </c>
      <c r="I28" s="11">
        <v>0</v>
      </c>
      <c r="J28" s="11">
        <v>0</v>
      </c>
      <c r="K28" s="10">
        <v>0</v>
      </c>
    </row>
    <row r="29" spans="1:11" x14ac:dyDescent="0.25">
      <c r="A29" s="22" t="str">
        <v>Viru</v>
      </c>
      <c r="B29" s="11">
        <v>3104</v>
      </c>
      <c r="C29" s="5">
        <v>45763</v>
      </c>
      <c r="D29" s="11">
        <f>SUM(Laminado!E29+Molido!D29)/(1-Formula!$B$16)</f>
        <v>720.9616838503498</v>
      </c>
      <c r="E29" s="11">
        <f>SUM(Laminado!F29+Molido!E29)/(1-Formula!$B$16)</f>
        <v>1441.9233677006996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0">
        <v>0</v>
      </c>
    </row>
    <row r="30" spans="1:11" x14ac:dyDescent="0.25">
      <c r="A30" s="22" t="str">
        <v>Chongoyape</v>
      </c>
      <c r="B30" s="11">
        <v>1771</v>
      </c>
      <c r="C30" s="5">
        <v>45764</v>
      </c>
      <c r="D30" s="11">
        <f>SUM(Laminado!E30+Molido!D30)/(1-Formula!$B$16)</f>
        <v>287.6134052136286</v>
      </c>
      <c r="E30" s="11">
        <f>SUM(Laminado!F30+Molido!E30)/(1-Formula!$B$16)</f>
        <v>950.72539402436314</v>
      </c>
      <c r="F30" s="11">
        <v>95.10983737787862</v>
      </c>
      <c r="G30" s="11">
        <v>0</v>
      </c>
      <c r="H30" s="11">
        <v>0</v>
      </c>
      <c r="I30" s="11">
        <v>0</v>
      </c>
      <c r="J30" s="11">
        <v>0</v>
      </c>
      <c r="K30" s="10">
        <v>0</v>
      </c>
    </row>
    <row r="31" spans="1:11" x14ac:dyDescent="0.25">
      <c r="A31" s="22" t="str">
        <v>Olmos</v>
      </c>
      <c r="B31" s="11">
        <v>5611</v>
      </c>
      <c r="C31" s="5">
        <v>45779</v>
      </c>
      <c r="D31" s="11">
        <v>0</v>
      </c>
      <c r="E31" s="11">
        <v>0</v>
      </c>
      <c r="F31" s="11">
        <v>51.994767753236097</v>
      </c>
      <c r="G31" s="11">
        <v>0</v>
      </c>
      <c r="H31" s="11">
        <v>0</v>
      </c>
      <c r="I31" s="11">
        <v>0</v>
      </c>
      <c r="J31" s="11">
        <v>0</v>
      </c>
      <c r="K31" s="10">
        <v>0</v>
      </c>
    </row>
    <row r="32" spans="1:11" x14ac:dyDescent="0.25">
      <c r="A32" s="22" t="str">
        <v>Cajamarca</v>
      </c>
      <c r="B32" s="11">
        <v>11448</v>
      </c>
      <c r="C32" s="5">
        <v>45782</v>
      </c>
      <c r="D32" s="11">
        <v>0</v>
      </c>
      <c r="E32" s="11">
        <v>0</v>
      </c>
      <c r="F32" s="11">
        <v>452.06157135464946</v>
      </c>
      <c r="G32" s="11">
        <v>0</v>
      </c>
      <c r="H32" s="11">
        <v>0</v>
      </c>
      <c r="I32" s="11">
        <v>0</v>
      </c>
      <c r="J32" s="11">
        <v>0</v>
      </c>
      <c r="K32" s="10">
        <v>0</v>
      </c>
    </row>
    <row r="33" spans="1:11" x14ac:dyDescent="0.25">
      <c r="A33" s="22" t="str">
        <v>Cajamarca</v>
      </c>
      <c r="B33" s="11">
        <v>11829.6</v>
      </c>
      <c r="C33" s="5">
        <v>45782</v>
      </c>
      <c r="D33" s="11">
        <v>0</v>
      </c>
      <c r="E33" s="11">
        <v>0</v>
      </c>
      <c r="F33" s="11">
        <v>467.13029039980444</v>
      </c>
      <c r="G33" s="11">
        <v>0</v>
      </c>
      <c r="H33" s="11">
        <v>0</v>
      </c>
      <c r="I33" s="11">
        <v>0</v>
      </c>
      <c r="J33" s="11">
        <v>0</v>
      </c>
      <c r="K33" s="10">
        <v>0</v>
      </c>
    </row>
    <row r="34" spans="1:11" x14ac:dyDescent="0.25">
      <c r="A34" s="22" t="str">
        <v>Marcabal</v>
      </c>
      <c r="B34" s="11">
        <v>4061.92</v>
      </c>
      <c r="C34" s="5">
        <v>45786</v>
      </c>
      <c r="D34" s="11">
        <f>SUM(Laminado!E34+Molido!D34)/(1-Formula!$B$16)</f>
        <v>0</v>
      </c>
      <c r="E34" s="11">
        <v>0</v>
      </c>
      <c r="F34" s="11">
        <v>345.60453152500281</v>
      </c>
      <c r="G34" s="11">
        <v>0</v>
      </c>
      <c r="H34" s="11">
        <v>473.06758894387769</v>
      </c>
      <c r="I34" s="11">
        <v>0</v>
      </c>
      <c r="J34" s="11">
        <v>8.1268392314047695</v>
      </c>
      <c r="K34" s="10">
        <v>0</v>
      </c>
    </row>
    <row r="35" spans="1:11" x14ac:dyDescent="0.25">
      <c r="A35" s="22" t="str">
        <v>Chongoyape</v>
      </c>
      <c r="B35" s="11">
        <v>1771</v>
      </c>
      <c r="C35" s="5">
        <v>45793</v>
      </c>
      <c r="D35" s="11">
        <f>SUM(Laminado!E35+Molido!D35)/(1-Formula!$B$16)</f>
        <v>287.6134052136286</v>
      </c>
      <c r="E35" s="11">
        <f>SUM(Laminado!F35+Molido!E35)/(1-Formula!$B$16)</f>
        <v>950.72539402436314</v>
      </c>
      <c r="F35" s="11">
        <v>95.10983737787862</v>
      </c>
      <c r="G35" s="11">
        <v>0</v>
      </c>
      <c r="H35" s="11">
        <v>0</v>
      </c>
      <c r="I35" s="11">
        <v>0</v>
      </c>
      <c r="J35" s="11">
        <v>0</v>
      </c>
      <c r="K35" s="10">
        <v>0</v>
      </c>
    </row>
    <row r="36" spans="1:11" x14ac:dyDescent="0.25">
      <c r="A36" s="22" t="str">
        <v>Viru</v>
      </c>
      <c r="B36" s="11">
        <v>3006</v>
      </c>
      <c r="C36" s="5">
        <v>45793</v>
      </c>
      <c r="D36" s="11">
        <f>SUM(Laminado!E36+Molido!D36)/(1-Formula!$B$16)</f>
        <v>698.19936264631167</v>
      </c>
      <c r="E36" s="11">
        <f>SUM(Laminado!F36+Molido!E36)/(1-Formula!$B$16)</f>
        <v>1396.3987252926233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0">
        <v>0</v>
      </c>
    </row>
    <row r="37" spans="1:11" x14ac:dyDescent="0.25">
      <c r="A37" s="22" t="str">
        <v>Julcán</v>
      </c>
      <c r="B37" s="11">
        <v>2588</v>
      </c>
      <c r="C37" s="5">
        <v>45796</v>
      </c>
      <c r="D37" s="11">
        <f>SUM(Laminado!E37+Molido!D37)/(1-Formula!$B$16)</f>
        <v>431.54633399595093</v>
      </c>
      <c r="E37" s="11">
        <f>SUM(Laminado!F37+Molido!E37)/(1-Formula!$B$16)</f>
        <v>0</v>
      </c>
      <c r="F37" s="11">
        <v>262.16580561205012</v>
      </c>
      <c r="G37" s="11">
        <v>0</v>
      </c>
      <c r="H37" s="11">
        <v>0</v>
      </c>
      <c r="I37" s="11">
        <v>0</v>
      </c>
      <c r="J37" s="11">
        <v>0</v>
      </c>
      <c r="K37" s="10">
        <v>0</v>
      </c>
    </row>
    <row r="38" spans="1:11" x14ac:dyDescent="0.25">
      <c r="A38" s="22" t="str">
        <v>Cajatambo</v>
      </c>
      <c r="B38" s="11">
        <v>2686</v>
      </c>
      <c r="C38" s="5">
        <v>45800</v>
      </c>
      <c r="D38" s="11">
        <f>SUM(Laminado!E38+Molido!D38)/(1-Formula!$B$16)</f>
        <v>834.05536879360398</v>
      </c>
      <c r="E38" s="11">
        <f>SUM(Laminado!F38+Molido!E38)/(1-Formula!$B$16)</f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0">
        <v>0</v>
      </c>
    </row>
    <row r="39" spans="1:11" x14ac:dyDescent="0.25">
      <c r="A39" s="22" t="str">
        <v>Olmos</v>
      </c>
      <c r="B39" s="11">
        <v>5840</v>
      </c>
      <c r="C39" s="5">
        <v>45810</v>
      </c>
      <c r="D39" s="11">
        <v>0</v>
      </c>
      <c r="E39" s="11">
        <v>0</v>
      </c>
      <c r="F39" s="11">
        <v>54.116814057903902</v>
      </c>
      <c r="G39" s="11">
        <v>0</v>
      </c>
      <c r="H39" s="11">
        <v>0</v>
      </c>
      <c r="I39" s="11">
        <v>0</v>
      </c>
      <c r="J39" s="11">
        <v>0</v>
      </c>
      <c r="K39" s="10">
        <v>0</v>
      </c>
    </row>
    <row r="40" spans="1:11" x14ac:dyDescent="0.25">
      <c r="A40" s="22" t="str">
        <v>Marcabal</v>
      </c>
      <c r="B40" s="11">
        <v>4061.92</v>
      </c>
      <c r="C40" s="5">
        <v>45817</v>
      </c>
      <c r="D40" s="11">
        <f>SUM(Laminado!E40+Molido!D40)/(1-Formula!$B$16)</f>
        <v>0</v>
      </c>
      <c r="E40" s="11">
        <v>0</v>
      </c>
      <c r="F40" s="11">
        <v>345.60453152500281</v>
      </c>
      <c r="G40" s="11">
        <v>0</v>
      </c>
      <c r="H40" s="11">
        <v>473.06758894387769</v>
      </c>
      <c r="I40" s="11">
        <v>0</v>
      </c>
      <c r="J40" s="11">
        <v>8.1268392314047695</v>
      </c>
      <c r="K40" s="10">
        <v>0</v>
      </c>
    </row>
    <row r="41" spans="1:11" x14ac:dyDescent="0.25">
      <c r="A41" s="22" t="str">
        <v>Viru</v>
      </c>
      <c r="B41" s="11">
        <v>3104</v>
      </c>
      <c r="C41" s="5">
        <v>45821</v>
      </c>
      <c r="D41" s="11">
        <f>SUM(Laminado!E41+Molido!D41)/(1-Formula!$B$16)</f>
        <v>720.9616838503498</v>
      </c>
      <c r="E41" s="11">
        <f>SUM(Laminado!F41+Molido!E41)/(1-Formula!$B$16)</f>
        <v>1441.9233677006996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0">
        <v>0</v>
      </c>
    </row>
    <row r="42" spans="1:11" x14ac:dyDescent="0.25">
      <c r="A42" s="22" t="str">
        <v>Chiclayo</v>
      </c>
      <c r="B42" s="11">
        <v>12216</v>
      </c>
      <c r="C42" s="5">
        <v>45824</v>
      </c>
      <c r="D42" s="11">
        <f>SUM(Laminado!E42+Molido!D42)/(1-Formula!$B$16)</f>
        <v>4962.9089118691963</v>
      </c>
      <c r="E42" s="11">
        <f>SUM(Laminado!F42+Molido!E42)/(1-Formula!$B$16)</f>
        <v>0</v>
      </c>
      <c r="F42" s="11">
        <v>0</v>
      </c>
      <c r="G42" s="11">
        <v>3642.4770958268364</v>
      </c>
      <c r="H42" s="11">
        <v>0</v>
      </c>
      <c r="I42" s="11">
        <v>0</v>
      </c>
      <c r="J42" s="11">
        <v>0</v>
      </c>
      <c r="K42" s="10">
        <v>0</v>
      </c>
    </row>
    <row r="43" spans="1:11" x14ac:dyDescent="0.25">
      <c r="A43" s="22" t="str">
        <v>Julcán</v>
      </c>
      <c r="B43" s="11">
        <v>2588</v>
      </c>
      <c r="C43" s="5">
        <v>45824</v>
      </c>
      <c r="D43" s="11">
        <f>SUM(Laminado!E43+Molido!D43)/(1-Formula!$B$16)</f>
        <v>431.54633399595093</v>
      </c>
      <c r="E43" s="11">
        <f>SUM(Laminado!F43+Molido!E43)/(1-Formula!$B$16)</f>
        <v>0</v>
      </c>
      <c r="F43" s="11">
        <v>262.16580561205012</v>
      </c>
      <c r="G43" s="11">
        <v>0</v>
      </c>
      <c r="H43" s="11">
        <v>0</v>
      </c>
      <c r="I43" s="11">
        <v>0</v>
      </c>
      <c r="J43" s="11">
        <v>0</v>
      </c>
      <c r="K43" s="10">
        <v>0</v>
      </c>
    </row>
    <row r="44" spans="1:11" x14ac:dyDescent="0.25">
      <c r="A44" s="22" t="str">
        <v>San Jose</v>
      </c>
      <c r="B44" s="11">
        <v>3420</v>
      </c>
      <c r="C44" s="5">
        <v>45824</v>
      </c>
      <c r="D44" s="11">
        <f>SUM(Laminado!E44+Molido!D44)/(1-Formula!$B$16)</f>
        <v>871.52886168489681</v>
      </c>
      <c r="E44" s="11">
        <f>SUM(Laminado!F44+Molido!E44)/(1-Formula!$B$16)</f>
        <v>1307.2932925273456</v>
      </c>
      <c r="F44" s="11">
        <v>73.827246139470006</v>
      </c>
      <c r="G44" s="11">
        <v>0</v>
      </c>
      <c r="H44" s="11">
        <v>0</v>
      </c>
      <c r="I44" s="11">
        <v>0</v>
      </c>
      <c r="J44" s="11">
        <v>0</v>
      </c>
      <c r="K44" s="10">
        <v>0</v>
      </c>
    </row>
    <row r="45" spans="1:11" x14ac:dyDescent="0.25">
      <c r="A45" s="22" t="str">
        <v>San Pedro de Lloc</v>
      </c>
      <c r="B45" s="11">
        <v>4846</v>
      </c>
      <c r="C45" s="5">
        <v>45824</v>
      </c>
      <c r="D45" s="11">
        <f>SUM(Laminado!E45+Molido!D45)/(1-Formula!$B$16)</f>
        <v>778.97314328256641</v>
      </c>
      <c r="E45" s="11">
        <f>SUM(Laminado!F45+Molido!E45)/(1-Formula!$B$16)</f>
        <v>2920.7730929390759</v>
      </c>
      <c r="F45" s="11">
        <v>79.095506194180714</v>
      </c>
      <c r="G45" s="11">
        <v>0</v>
      </c>
      <c r="H45" s="11">
        <v>0</v>
      </c>
      <c r="I45" s="11">
        <v>0</v>
      </c>
      <c r="J45" s="11">
        <v>0</v>
      </c>
      <c r="K45" s="10">
        <v>19.901449945632571</v>
      </c>
    </row>
    <row r="46" spans="1:11" x14ac:dyDescent="0.25">
      <c r="A46" s="22" t="str">
        <v>Chongoyape</v>
      </c>
      <c r="B46" s="11">
        <v>1771</v>
      </c>
      <c r="C46" s="5">
        <v>45825</v>
      </c>
      <c r="D46" s="11">
        <f>SUM(Laminado!E46+Molido!D46)/(1-Formula!$B$16)</f>
        <v>287.6134052136286</v>
      </c>
      <c r="E46" s="11">
        <f>SUM(Laminado!F46+Molido!E46)/(1-Formula!$B$16)</f>
        <v>950.72539402436314</v>
      </c>
      <c r="F46" s="11">
        <v>95.10983737787862</v>
      </c>
      <c r="G46" s="11">
        <v>0</v>
      </c>
      <c r="H46" s="11">
        <v>0</v>
      </c>
      <c r="I46" s="11">
        <v>0</v>
      </c>
      <c r="J46" s="11">
        <v>0</v>
      </c>
      <c r="K46" s="10">
        <v>0</v>
      </c>
    </row>
    <row r="47" spans="1:11" x14ac:dyDescent="0.25">
      <c r="A47" s="22" t="str">
        <v>Pataz - Tayabamba</v>
      </c>
      <c r="B47" s="11">
        <v>9268</v>
      </c>
      <c r="C47" s="5">
        <v>45828</v>
      </c>
      <c r="D47" s="11">
        <f>SUM(Laminado!E47+Molido!D47)/(1-Formula!$B$16)</f>
        <v>2602.8296337574689</v>
      </c>
      <c r="E47" s="11">
        <f>SUM(Laminado!F47+Molido!E47)/(1-Formula!$B$16)</f>
        <v>2756.0520756397041</v>
      </c>
      <c r="F47" s="11">
        <v>765.13627029090947</v>
      </c>
      <c r="G47" s="11">
        <v>0</v>
      </c>
      <c r="H47" s="11">
        <v>0</v>
      </c>
      <c r="I47" s="11">
        <v>1378.026037819852</v>
      </c>
      <c r="J47" s="11">
        <v>0</v>
      </c>
      <c r="K47" s="10">
        <v>0</v>
      </c>
    </row>
    <row r="48" spans="1:11" x14ac:dyDescent="0.25">
      <c r="A48" s="22" t="str">
        <v>Cajamarca</v>
      </c>
      <c r="B48" s="11">
        <v>23485.599999999999</v>
      </c>
      <c r="C48" s="5">
        <v>45841</v>
      </c>
      <c r="D48" s="11">
        <v>0</v>
      </c>
      <c r="E48" s="11">
        <v>0</v>
      </c>
      <c r="F48" s="11">
        <v>927.40541930527195</v>
      </c>
      <c r="G48" s="11">
        <v>0</v>
      </c>
      <c r="H48" s="11">
        <v>0</v>
      </c>
      <c r="I48" s="11">
        <v>0</v>
      </c>
      <c r="J48" s="11">
        <v>0</v>
      </c>
      <c r="K48" s="10">
        <v>0</v>
      </c>
    </row>
    <row r="49" spans="1:16" x14ac:dyDescent="0.25">
      <c r="A49" s="22" t="str">
        <v>Olmos</v>
      </c>
      <c r="B49" s="11">
        <v>5840</v>
      </c>
      <c r="C49" s="5">
        <v>45842</v>
      </c>
      <c r="D49" s="11">
        <v>0</v>
      </c>
      <c r="E49" s="11">
        <v>0</v>
      </c>
      <c r="F49" s="11">
        <v>54.116814057903902</v>
      </c>
      <c r="G49" s="11">
        <v>0</v>
      </c>
      <c r="H49" s="11">
        <v>0</v>
      </c>
      <c r="I49" s="11">
        <v>0</v>
      </c>
      <c r="J49" s="11">
        <v>0</v>
      </c>
      <c r="K49" s="10">
        <v>0</v>
      </c>
    </row>
    <row r="50" spans="1:16" x14ac:dyDescent="0.25">
      <c r="A50" s="22" t="str">
        <v>Cajatambo</v>
      </c>
      <c r="B50" s="11">
        <v>1707</v>
      </c>
      <c r="C50" s="5">
        <v>45845</v>
      </c>
      <c r="D50" s="11">
        <f>SUM(Laminado!E50+Molido!D50)/(1-Formula!$B$16)</f>
        <v>530.05678128469174</v>
      </c>
      <c r="E50" s="11">
        <f>SUM(Laminado!F50+Molido!E50)/(1-Formula!$B$16)</f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0">
        <v>0</v>
      </c>
    </row>
    <row r="51" spans="1:16" x14ac:dyDescent="0.25">
      <c r="A51" s="22" t="str">
        <v>Marcabal</v>
      </c>
      <c r="B51" s="11">
        <v>4061.92</v>
      </c>
      <c r="C51" s="5">
        <v>45846</v>
      </c>
      <c r="D51" s="11">
        <f>SUM(Laminado!E51+Molido!D51)/(1-Formula!$B$16)</f>
        <v>0</v>
      </c>
      <c r="E51" s="11">
        <f>SUM(Laminado!F51+Molido!E51)/(1-Formula!$B$16)</f>
        <v>2448.1936941128956</v>
      </c>
      <c r="F51" s="11">
        <v>345.60453152500281</v>
      </c>
      <c r="G51" s="11">
        <v>0</v>
      </c>
      <c r="H51" s="11">
        <v>473.06758894387769</v>
      </c>
      <c r="I51" s="11">
        <v>0</v>
      </c>
      <c r="J51" s="11">
        <v>8.1268392314047695</v>
      </c>
      <c r="K51" s="10">
        <v>0</v>
      </c>
    </row>
    <row r="52" spans="1:16" x14ac:dyDescent="0.25">
      <c r="A52" s="22" t="str">
        <v>Julcán</v>
      </c>
      <c r="B52" s="11">
        <v>2588</v>
      </c>
      <c r="C52" s="5">
        <v>45849</v>
      </c>
      <c r="D52" s="11">
        <f>SUM(Laminado!E52+Molido!D52)/(1-Formula!$B$16)</f>
        <v>431.54633399595093</v>
      </c>
      <c r="E52" s="11">
        <f>SUM(Laminado!F52+Molido!E52)/(1-Formula!$B$16)</f>
        <v>0</v>
      </c>
      <c r="F52" s="11">
        <v>262.16580561205012</v>
      </c>
      <c r="G52" s="11">
        <v>0</v>
      </c>
      <c r="H52" s="11">
        <v>0</v>
      </c>
      <c r="I52" s="11">
        <v>0</v>
      </c>
      <c r="J52" s="11">
        <v>0</v>
      </c>
      <c r="K52" s="10">
        <v>0</v>
      </c>
    </row>
    <row r="53" spans="1:16" x14ac:dyDescent="0.25">
      <c r="A53" s="22" t="str">
        <v>Chongoyape</v>
      </c>
      <c r="B53" s="11">
        <v>1771</v>
      </c>
      <c r="C53" s="5">
        <v>45852</v>
      </c>
      <c r="D53" s="11">
        <f>SUM(Laminado!E53+Molido!D53)/(1-Formula!$B$16)</f>
        <v>287.6134052136286</v>
      </c>
      <c r="E53" s="11">
        <f>SUM(Laminado!F53+Molido!E53)/(1-Formula!$B$16)</f>
        <v>950.72539402436314</v>
      </c>
      <c r="F53" s="11">
        <v>95.10983737787862</v>
      </c>
      <c r="G53" s="11">
        <v>0</v>
      </c>
      <c r="H53" s="11">
        <v>0</v>
      </c>
      <c r="I53" s="11">
        <v>0</v>
      </c>
      <c r="J53" s="11">
        <v>0</v>
      </c>
      <c r="K53" s="10">
        <v>0</v>
      </c>
    </row>
    <row r="54" spans="1:16" x14ac:dyDescent="0.25">
      <c r="A54" s="22" t="str">
        <v>Viru</v>
      </c>
      <c r="B54" s="11">
        <v>3104</v>
      </c>
      <c r="C54" s="5">
        <v>45852</v>
      </c>
      <c r="D54" s="11">
        <f>SUM(Laminado!E54+Molido!D54)/(1-Formula!$B$16)</f>
        <v>720.9616838503498</v>
      </c>
      <c r="E54" s="11">
        <f>SUM(Laminado!F54+Molido!E54)/(1-Formula!$B$16)</f>
        <v>1441.9233677006996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0">
        <v>0</v>
      </c>
    </row>
    <row r="55" spans="1:16" x14ac:dyDescent="0.25">
      <c r="A55" s="46" t="str">
        <v>Chiclayo</v>
      </c>
      <c r="B55" s="47">
        <v>12220</v>
      </c>
      <c r="C55" s="48">
        <v>45853</v>
      </c>
      <c r="D55" s="47">
        <f>SUM(Laminado!E55+Molido!D55)/(1-Formula!$B$16)</f>
        <v>4964.5339639032063</v>
      </c>
      <c r="E55" s="47">
        <f>SUM(Laminado!F55+Molido!E55)/(1-Formula!$B$16)</f>
        <v>0</v>
      </c>
      <c r="F55" s="47">
        <v>0</v>
      </c>
      <c r="G55" s="47">
        <v>3643.6697864279577</v>
      </c>
      <c r="H55" s="47">
        <v>0</v>
      </c>
      <c r="I55" s="47">
        <v>0</v>
      </c>
      <c r="J55" s="47">
        <v>0</v>
      </c>
      <c r="K55" s="49">
        <v>0</v>
      </c>
    </row>
    <row r="56" spans="1:16" x14ac:dyDescent="0.25">
      <c r="A56" s="4" t="str">
        <v>Olmos</v>
      </c>
      <c r="B56" s="11">
        <v>5619</v>
      </c>
      <c r="C56" s="5">
        <v>45870</v>
      </c>
      <c r="D56" s="11">
        <f>SUM(Laminado!E56+Molido!D56)/(1-Formula!$B$16)</f>
        <v>1736.6666110836766</v>
      </c>
      <c r="E56" s="11">
        <f>SUM(Laminado!F56+Molido!E56)/(1-Formula!$B$16)</f>
        <v>706.48030736395992</v>
      </c>
      <c r="F56" s="11">
        <v>52.068900375233227</v>
      </c>
      <c r="G56" s="11">
        <v>0</v>
      </c>
      <c r="H56" s="11">
        <v>0</v>
      </c>
      <c r="I56" s="11">
        <v>0</v>
      </c>
      <c r="J56" s="11">
        <v>0</v>
      </c>
      <c r="K56" s="10">
        <v>0</v>
      </c>
    </row>
    <row r="57" spans="1:16" x14ac:dyDescent="0.25">
      <c r="A57" s="4" t="str">
        <v>Marcabal</v>
      </c>
      <c r="B57" s="11">
        <v>4061.92</v>
      </c>
      <c r="C57" s="5">
        <v>45876</v>
      </c>
      <c r="D57" s="11">
        <f>SUM(Laminado!E57+Molido!D57)/(1-Formula!$B$16)</f>
        <v>0</v>
      </c>
      <c r="E57" s="11">
        <f>SUM(Laminado!F57+Molido!E57)/(1-Formula!$B$16)</f>
        <v>2448.1936941128956</v>
      </c>
      <c r="F57" s="10">
        <v>345.60453152500281</v>
      </c>
      <c r="G57" s="10">
        <v>0</v>
      </c>
      <c r="H57" s="10">
        <v>473.06758894387769</v>
      </c>
      <c r="I57" s="11">
        <v>0</v>
      </c>
      <c r="J57" s="11">
        <v>8.1268392314047695</v>
      </c>
      <c r="K57" s="10">
        <v>0</v>
      </c>
    </row>
    <row r="58" spans="1:16" x14ac:dyDescent="0.25">
      <c r="A58" s="4" t="str">
        <v>Julcán</v>
      </c>
      <c r="B58" s="11">
        <v>2588</v>
      </c>
      <c r="C58" s="5">
        <v>45880</v>
      </c>
      <c r="D58" s="11">
        <f>SUM(Laminado!E58+Molido!D58)/(1-Formula!$B$16)</f>
        <v>431.54633399595093</v>
      </c>
      <c r="E58" s="11">
        <f>SUM(Laminado!F58+Molido!E58)/(1-Formula!$B$16)</f>
        <v>0</v>
      </c>
      <c r="F58" s="10">
        <v>262.16580561205012</v>
      </c>
      <c r="G58" s="11">
        <v>0</v>
      </c>
      <c r="H58" s="11">
        <v>0</v>
      </c>
      <c r="I58" s="11">
        <v>0</v>
      </c>
      <c r="J58" s="11">
        <v>0</v>
      </c>
      <c r="K58" s="10">
        <v>0</v>
      </c>
    </row>
    <row r="59" spans="1:16" x14ac:dyDescent="0.25">
      <c r="A59" s="4" t="str">
        <v>Chongoyape</v>
      </c>
      <c r="B59" s="11">
        <v>1771</v>
      </c>
      <c r="C59" s="5">
        <v>45881</v>
      </c>
      <c r="D59" s="11">
        <f>SUM(Laminado!E59+Molido!D59)/(1-Formula!$B$16)</f>
        <v>287.6134052136286</v>
      </c>
      <c r="E59" s="11">
        <f>SUM(Laminado!F59+Molido!E59)/(1-Formula!$B$16)</f>
        <v>950.72539402436314</v>
      </c>
      <c r="F59" s="10">
        <v>95.10983737787862</v>
      </c>
      <c r="G59" s="11">
        <v>0</v>
      </c>
      <c r="H59" s="11">
        <v>0</v>
      </c>
      <c r="I59" s="11">
        <v>0</v>
      </c>
      <c r="J59" s="11">
        <v>0</v>
      </c>
      <c r="K59" s="10">
        <v>0</v>
      </c>
    </row>
    <row r="60" spans="1:16" x14ac:dyDescent="0.25">
      <c r="A60" s="4" t="str">
        <v>Viru</v>
      </c>
      <c r="B60" s="11">
        <v>3006</v>
      </c>
      <c r="C60" s="5">
        <v>45887</v>
      </c>
      <c r="D60" s="11">
        <f>SUM(Laminado!E60+Molido!D60)/(1-Formula!$B$16)</f>
        <v>698.19936264631167</v>
      </c>
      <c r="E60" s="11">
        <f>SUM(Laminado!F60+Molido!E60)/(1-Formula!$B$16)</f>
        <v>1396.3987252926233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0">
        <v>0</v>
      </c>
    </row>
    <row r="61" spans="1:16" x14ac:dyDescent="0.25">
      <c r="A61" s="4" t="str">
        <v>Chiclayo</v>
      </c>
      <c r="B61" s="11">
        <v>11825</v>
      </c>
      <c r="C61" s="5">
        <v>45887</v>
      </c>
      <c r="D61" s="11">
        <f>SUM(Laminado!E61+Molido!D61)/(1-Formula!$B$16)</f>
        <v>4804.060075544633</v>
      </c>
      <c r="E61" s="11">
        <f>SUM(Laminado!F61+Molido!E61)/(1-Formula!$B$16)</f>
        <v>0</v>
      </c>
      <c r="F61" s="4">
        <v>0</v>
      </c>
      <c r="G61" s="11">
        <v>3525.891589567153</v>
      </c>
      <c r="H61" s="11">
        <v>0</v>
      </c>
      <c r="I61" s="11">
        <v>0</v>
      </c>
      <c r="J61" s="11">
        <v>0</v>
      </c>
      <c r="K61" s="10">
        <v>0</v>
      </c>
      <c r="O61" s="51"/>
      <c r="P61" s="51"/>
    </row>
    <row r="62" spans="1:16" x14ac:dyDescent="0.25">
      <c r="A62" s="4" t="str">
        <v>Cajamarca</v>
      </c>
      <c r="B62" s="11">
        <v>11448</v>
      </c>
      <c r="C62" s="5">
        <v>45902</v>
      </c>
      <c r="D62" s="11">
        <v>0</v>
      </c>
      <c r="E62" s="11">
        <v>0</v>
      </c>
      <c r="F62" s="11">
        <v>452.06157135464946</v>
      </c>
      <c r="G62" s="4">
        <v>0</v>
      </c>
      <c r="H62" s="11">
        <v>0</v>
      </c>
      <c r="I62" s="4">
        <v>0</v>
      </c>
      <c r="J62" s="4">
        <v>0</v>
      </c>
      <c r="K62" s="4">
        <v>0</v>
      </c>
      <c r="O62" s="51"/>
      <c r="P62" s="51"/>
    </row>
    <row r="63" spans="1:16" x14ac:dyDescent="0.25">
      <c r="A63" s="4" t="str">
        <v>Cajamarca</v>
      </c>
      <c r="B63" s="11">
        <v>11829.6</v>
      </c>
      <c r="C63" s="5">
        <v>45902</v>
      </c>
      <c r="D63" s="11">
        <v>0</v>
      </c>
      <c r="E63" s="11">
        <v>0</v>
      </c>
      <c r="F63" s="11">
        <v>467.13029039980444</v>
      </c>
      <c r="G63" s="11">
        <v>0</v>
      </c>
      <c r="H63" s="11">
        <v>0</v>
      </c>
      <c r="I63" s="4">
        <v>0</v>
      </c>
      <c r="J63" s="11">
        <v>0</v>
      </c>
      <c r="K63" s="10">
        <v>0</v>
      </c>
      <c r="O63" s="51"/>
      <c r="P63" s="51"/>
    </row>
    <row r="64" spans="1:16" x14ac:dyDescent="0.25">
      <c r="A64" s="4" t="str">
        <v>Marcabal</v>
      </c>
      <c r="B64" s="11">
        <v>4061.92</v>
      </c>
      <c r="C64" s="5">
        <v>45908</v>
      </c>
      <c r="D64" s="11">
        <f>SUM(Laminado!E64+Molido!D64)/(1-Formula!$B$16)</f>
        <v>0</v>
      </c>
      <c r="E64" s="11">
        <v>0</v>
      </c>
      <c r="F64" s="11">
        <v>345.60453152500281</v>
      </c>
      <c r="G64" s="11">
        <v>0</v>
      </c>
      <c r="H64" s="4">
        <v>473.06758894387769</v>
      </c>
      <c r="I64" s="4">
        <v>0</v>
      </c>
      <c r="J64" s="11">
        <v>8.1268392314047695</v>
      </c>
      <c r="K64" s="10">
        <v>0</v>
      </c>
      <c r="O64" s="51"/>
      <c r="P64" s="51"/>
    </row>
    <row r="65" spans="1:16" x14ac:dyDescent="0.25">
      <c r="A65" s="4" t="str">
        <v>Viru</v>
      </c>
      <c r="B65" s="11">
        <v>3104</v>
      </c>
      <c r="C65" s="5">
        <v>45913</v>
      </c>
      <c r="D65" s="11">
        <f>SUM(Laminado!E65+Molido!D65)/(1-Formula!$B$16)</f>
        <v>720.9616838503498</v>
      </c>
      <c r="E65" s="11">
        <f>SUM(Laminado!F65+Molido!E65)/(1-Formula!$B$16)</f>
        <v>1441.9233677006996</v>
      </c>
      <c r="F65" s="4">
        <v>0</v>
      </c>
      <c r="G65" s="11">
        <v>0</v>
      </c>
      <c r="H65" s="4">
        <v>0</v>
      </c>
      <c r="I65" s="4">
        <v>0</v>
      </c>
      <c r="J65" s="11">
        <v>0</v>
      </c>
      <c r="K65" s="10">
        <v>0</v>
      </c>
      <c r="O65" s="51"/>
      <c r="P65" s="51"/>
    </row>
    <row r="66" spans="1:16" x14ac:dyDescent="0.25">
      <c r="A66" s="4" t="str">
        <v>Chongoyape</v>
      </c>
      <c r="B66" s="11">
        <v>5209</v>
      </c>
      <c r="C66" s="5">
        <v>45915</v>
      </c>
      <c r="D66" s="11">
        <f>SUM(Laminado!E66+Molido!D66)/(1-Formula!$B$16)</f>
        <v>845.95043916306679</v>
      </c>
      <c r="E66" s="11">
        <f>SUM(Laminado!F66+Molido!E66)/(1-Formula!$B$16)</f>
        <v>2796.345893547661</v>
      </c>
      <c r="F66" s="4">
        <v>279.74429299907945</v>
      </c>
      <c r="G66" s="11">
        <v>0</v>
      </c>
      <c r="H66" s="11">
        <v>0</v>
      </c>
      <c r="I66" s="11">
        <v>0</v>
      </c>
      <c r="J66" s="11">
        <v>0</v>
      </c>
      <c r="K66" s="10">
        <v>0</v>
      </c>
      <c r="O66" s="51"/>
      <c r="P66" s="51"/>
    </row>
    <row r="67" spans="1:16" x14ac:dyDescent="0.25">
      <c r="A67" s="4" t="str">
        <v>Chiclayo</v>
      </c>
      <c r="B67" s="11">
        <v>12220</v>
      </c>
      <c r="C67" s="5">
        <v>45916</v>
      </c>
      <c r="D67" s="11">
        <f>SUM(Laminado!E67+Molido!D67)/(1-Formula!$B$16)</f>
        <v>4964.5339639032063</v>
      </c>
      <c r="E67" s="11">
        <f>SUM(Laminado!F67+Molido!E67)/(1-Formula!$B$16)</f>
        <v>0</v>
      </c>
      <c r="F67" s="11">
        <v>0</v>
      </c>
      <c r="G67" s="11">
        <v>3643.6697864279577</v>
      </c>
      <c r="H67" s="11">
        <v>0</v>
      </c>
      <c r="I67" s="11">
        <v>0</v>
      </c>
      <c r="J67" s="11">
        <v>0</v>
      </c>
      <c r="K67" s="10">
        <v>0</v>
      </c>
      <c r="O67" s="51"/>
      <c r="P67" s="51"/>
    </row>
    <row r="68" spans="1:16" x14ac:dyDescent="0.25">
      <c r="A68" s="4" t="str">
        <v>Julcán</v>
      </c>
      <c r="B68" s="11">
        <v>2588</v>
      </c>
      <c r="C68" s="5">
        <v>45916</v>
      </c>
      <c r="D68" s="11">
        <f>SUM(Laminado!E68+Molido!D68)/(1-Formula!$B$16)</f>
        <v>431.54633399595093</v>
      </c>
      <c r="E68" s="11">
        <f>SUM(Laminado!F68+Molido!E68)/(1-Formula!$B$16)</f>
        <v>0</v>
      </c>
      <c r="F68" s="11">
        <v>262.16580561205012</v>
      </c>
      <c r="G68" s="11">
        <v>0</v>
      </c>
      <c r="H68" s="11">
        <v>0</v>
      </c>
      <c r="I68" s="11">
        <v>0</v>
      </c>
      <c r="J68" s="11">
        <v>0</v>
      </c>
      <c r="K68" s="10">
        <v>0</v>
      </c>
      <c r="O68" s="51"/>
      <c r="P68" s="51"/>
    </row>
    <row r="69" spans="1:16" x14ac:dyDescent="0.25">
      <c r="A69" s="4" t="str">
        <v>Pataz - Tayabamba</v>
      </c>
      <c r="B69" s="11">
        <v>9268</v>
      </c>
      <c r="C69" s="5">
        <v>45916</v>
      </c>
      <c r="D69" s="11">
        <f>SUM(Laminado!E69+Molido!D69)/(1-Formula!$B$16)</f>
        <v>2602.8296337574689</v>
      </c>
      <c r="E69" s="11">
        <f>SUM(Laminado!F69+Molido!E69)/(1-Formula!$B$16)</f>
        <v>2756.0520756397041</v>
      </c>
      <c r="F69" s="11">
        <v>765.13627029090947</v>
      </c>
      <c r="G69" s="11">
        <v>0</v>
      </c>
      <c r="H69" s="11">
        <v>0</v>
      </c>
      <c r="I69" s="11">
        <v>1378.026037819852</v>
      </c>
      <c r="J69" s="11">
        <v>0</v>
      </c>
      <c r="K69" s="10">
        <v>0</v>
      </c>
      <c r="O69" s="51"/>
      <c r="P69" s="51"/>
    </row>
    <row r="70" spans="1:16" x14ac:dyDescent="0.25">
      <c r="A70" s="4" t="str">
        <v>San Jose</v>
      </c>
      <c r="B70" s="11">
        <v>3420</v>
      </c>
      <c r="C70" s="5">
        <v>45917</v>
      </c>
      <c r="D70" s="11">
        <f>SUM(Laminado!E70+Molido!D70)/(1-Formula!$B$16)</f>
        <v>871.52886168489681</v>
      </c>
      <c r="E70" s="11">
        <f>SUM(Laminado!F70+Molido!E70)/(1-Formula!$B$16)</f>
        <v>1307.2932925273456</v>
      </c>
      <c r="F70" s="11">
        <v>73.827246139470006</v>
      </c>
      <c r="G70" s="11">
        <v>0</v>
      </c>
      <c r="H70" s="11">
        <v>0</v>
      </c>
      <c r="I70" s="11">
        <v>0</v>
      </c>
      <c r="J70" s="11">
        <v>0</v>
      </c>
      <c r="K70" s="10">
        <v>0</v>
      </c>
      <c r="O70" s="51"/>
      <c r="P70" s="51"/>
    </row>
    <row r="71" spans="1:16" x14ac:dyDescent="0.25">
      <c r="A71" s="4" t="str">
        <v>Marcabal</v>
      </c>
      <c r="B71" s="11">
        <v>4061.92</v>
      </c>
      <c r="C71" s="5">
        <v>45945</v>
      </c>
      <c r="D71" s="11">
        <f>SUM(Laminado!E71+Molido!D71)/(1-Formula!$B$16)</f>
        <v>0</v>
      </c>
      <c r="E71" s="11">
        <f>SUM(Laminado!F71+Molido!E71)/(1-Formula!$B$16)</f>
        <v>2448.1936941128956</v>
      </c>
      <c r="F71" s="11">
        <v>345.60453152500281</v>
      </c>
      <c r="G71" s="11">
        <v>0</v>
      </c>
      <c r="H71" s="11">
        <v>473.06758894387769</v>
      </c>
      <c r="I71" s="11">
        <v>0</v>
      </c>
      <c r="J71" s="11">
        <v>8.1268392314047695</v>
      </c>
      <c r="K71" s="10">
        <v>0</v>
      </c>
      <c r="O71" s="51"/>
      <c r="P71" s="51"/>
    </row>
    <row r="72" spans="1:16" x14ac:dyDescent="0.25">
      <c r="A72" s="4" t="str">
        <v>Julcán</v>
      </c>
      <c r="B72" s="11">
        <v>2588</v>
      </c>
      <c r="C72" s="5">
        <v>45946</v>
      </c>
      <c r="D72" s="11">
        <f>SUM(Laminado!E72+Molido!D72)/(1-Formula!$B$16)</f>
        <v>431.54633399595093</v>
      </c>
      <c r="E72" s="11">
        <f>SUM(Laminado!F72+Molido!E72)/(1-Formula!$B$16)</f>
        <v>0</v>
      </c>
      <c r="F72" s="11">
        <v>262.16580561205012</v>
      </c>
      <c r="G72" s="11">
        <v>0</v>
      </c>
      <c r="H72" s="11">
        <v>0</v>
      </c>
      <c r="I72" s="11">
        <v>0</v>
      </c>
      <c r="J72" s="11">
        <v>0</v>
      </c>
      <c r="K72" s="10">
        <v>0</v>
      </c>
      <c r="O72" s="51"/>
      <c r="P72" s="51"/>
    </row>
    <row r="73" spans="1:16" x14ac:dyDescent="0.25">
      <c r="A73" s="4" t="str">
        <v>Chiclayo</v>
      </c>
      <c r="B73" s="11">
        <v>11824</v>
      </c>
      <c r="C73" s="5">
        <v>45951</v>
      </c>
      <c r="D73" s="11">
        <f>SUM(Laminado!E73+Molido!D73)/(1-Formula!$B$16)</f>
        <v>4803.6538125361303</v>
      </c>
      <c r="E73" s="11">
        <f>SUM(Laminado!F73+Molido!E73)/(1-Formula!$B$16)</f>
        <v>0</v>
      </c>
      <c r="F73" s="11">
        <v>0</v>
      </c>
      <c r="G73" s="11">
        <v>3525.5934169168722</v>
      </c>
      <c r="H73" s="11">
        <v>0</v>
      </c>
      <c r="I73" s="11">
        <v>0</v>
      </c>
      <c r="J73" s="11">
        <v>0</v>
      </c>
      <c r="K73" s="10">
        <v>0</v>
      </c>
      <c r="O73" s="51"/>
      <c r="P73" s="51"/>
    </row>
    <row r="74" spans="1:16" x14ac:dyDescent="0.25">
      <c r="A74" s="4" t="str">
        <v>Olmos</v>
      </c>
      <c r="B74" s="11">
        <v>5840</v>
      </c>
      <c r="C74" s="5">
        <v>45962</v>
      </c>
      <c r="D74" s="11">
        <v>0</v>
      </c>
      <c r="E74" s="11">
        <v>0</v>
      </c>
      <c r="F74" s="11">
        <v>54.116814057903902</v>
      </c>
      <c r="G74" s="11">
        <v>0</v>
      </c>
      <c r="H74" s="11">
        <v>0</v>
      </c>
      <c r="I74" s="11">
        <v>0</v>
      </c>
      <c r="J74" s="11">
        <v>0</v>
      </c>
      <c r="K74" s="10">
        <v>0</v>
      </c>
      <c r="O74" s="51"/>
      <c r="P74" s="51"/>
    </row>
    <row r="75" spans="1:16" x14ac:dyDescent="0.25">
      <c r="O75" s="51"/>
      <c r="P75" s="51"/>
    </row>
    <row r="76" spans="1:16" x14ac:dyDescent="0.25">
      <c r="D76" s="4">
        <f>D38/200</f>
        <v>4.1702768439680202</v>
      </c>
      <c r="O76" s="51"/>
      <c r="P76" s="51"/>
    </row>
    <row r="77" spans="1:16" x14ac:dyDescent="0.25">
      <c r="D77" s="11"/>
      <c r="O77" s="51"/>
      <c r="P77" s="51"/>
    </row>
    <row r="78" spans="1:16" x14ac:dyDescent="0.25">
      <c r="D78" s="11">
        <f>D76*30</f>
        <v>125.10830531904061</v>
      </c>
      <c r="O78" s="51"/>
      <c r="P78" s="51"/>
    </row>
    <row r="79" spans="1:16" x14ac:dyDescent="0.25">
      <c r="D79" s="11"/>
      <c r="O79" s="51"/>
      <c r="P79" s="51"/>
    </row>
    <row r="80" spans="1:16" x14ac:dyDescent="0.25">
      <c r="D80" s="11">
        <f>D38-800</f>
        <v>34.055368793603975</v>
      </c>
      <c r="O80" s="51"/>
      <c r="P80" s="51"/>
    </row>
    <row r="81" spans="4:16" x14ac:dyDescent="0.25">
      <c r="D81" s="4">
        <f>D80*0.97</f>
        <v>33.033707729795857</v>
      </c>
      <c r="O81" s="51"/>
      <c r="P81" s="51"/>
    </row>
    <row r="82" spans="4:16" x14ac:dyDescent="0.25">
      <c r="D82" s="11"/>
      <c r="O82" s="51"/>
      <c r="P82" s="51"/>
    </row>
  </sheetData>
  <autoFilter ref="A1:J59" xr:uid="{4471FCF5-8BC7-40DC-B94C-6FDFE8A5AC0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3630-20B1-4029-B945-22141076A3D1}">
  <dimension ref="A1:G84"/>
  <sheetViews>
    <sheetView topLeftCell="A45" workbookViewId="0">
      <selection activeCell="F72" sqref="F72"/>
    </sheetView>
  </sheetViews>
  <sheetFormatPr baseColWidth="10" defaultRowHeight="15" x14ac:dyDescent="0.25"/>
  <cols>
    <col min="1" max="1" width="18" style="4" bestFit="1" customWidth="1"/>
    <col min="2" max="2" width="13.140625" style="11" bestFit="1" customWidth="1"/>
    <col min="3" max="3" width="10.42578125" style="5" bestFit="1" customWidth="1"/>
    <col min="4" max="5" width="11.42578125" style="4"/>
    <col min="6" max="6" width="12" style="11" bestFit="1" customWidth="1"/>
  </cols>
  <sheetData>
    <row r="1" spans="1:6" ht="15.75" thickBot="1" x14ac:dyDescent="0.3">
      <c r="A1" s="56" t="s">
        <v>3</v>
      </c>
      <c r="B1" s="58" t="s">
        <v>6</v>
      </c>
      <c r="C1" s="60" t="s">
        <v>7</v>
      </c>
      <c r="D1" s="21" t="s">
        <v>77</v>
      </c>
      <c r="E1" s="21" t="s">
        <v>63</v>
      </c>
      <c r="F1" s="39" t="s">
        <v>76</v>
      </c>
    </row>
    <row r="2" spans="1:6" ht="15.75" thickBot="1" x14ac:dyDescent="0.3">
      <c r="A2" s="57"/>
      <c r="B2" s="59"/>
      <c r="C2" s="61"/>
      <c r="D2" s="53" t="s">
        <v>62</v>
      </c>
      <c r="E2" s="54"/>
      <c r="F2" s="55"/>
    </row>
    <row r="3" spans="1:6" x14ac:dyDescent="0.25">
      <c r="A3" s="4" t="str" cm="1">
        <f t="array" ref="A3:C75">Mezclado!A2:C74</f>
        <v>San Jose</v>
      </c>
      <c r="B3" s="11">
        <v>3347</v>
      </c>
      <c r="C3" s="5">
        <v>45630</v>
      </c>
      <c r="D3" s="11" cm="1">
        <f t="array" ref="D3:D75">Molido!H2:H74/(1-0.003)</f>
        <v>0</v>
      </c>
      <c r="E3" s="11" cm="1">
        <f t="array" ref="E3:E75">Tostado!G2:G74/(1-0.28)</f>
        <v>0</v>
      </c>
      <c r="F3" s="11" cm="1">
        <f t="array" ref="F3:F75">_xlfn.ANCHORARRAY(E3)/(1-0.005)</f>
        <v>0</v>
      </c>
    </row>
    <row r="4" spans="1:6" x14ac:dyDescent="0.25">
      <c r="A4" s="22" t="str">
        <v>Pataz - Tayabamba</v>
      </c>
      <c r="B4" s="11">
        <v>9286</v>
      </c>
      <c r="C4" s="5">
        <v>45642</v>
      </c>
      <c r="D4" s="11">
        <v>0</v>
      </c>
      <c r="E4" s="11">
        <v>0</v>
      </c>
      <c r="F4" s="11">
        <v>0</v>
      </c>
    </row>
    <row r="5" spans="1:6" x14ac:dyDescent="0.25">
      <c r="A5" s="22" t="str">
        <v>Viru</v>
      </c>
      <c r="B5" s="11">
        <v>2810</v>
      </c>
      <c r="C5" s="5">
        <v>45653</v>
      </c>
      <c r="D5" s="11">
        <v>0</v>
      </c>
      <c r="E5" s="11">
        <v>0</v>
      </c>
      <c r="F5" s="11">
        <v>0</v>
      </c>
    </row>
    <row r="6" spans="1:6" x14ac:dyDescent="0.25">
      <c r="A6" s="22" t="str">
        <v>Julcán</v>
      </c>
      <c r="B6" s="11">
        <v>2588</v>
      </c>
      <c r="C6" s="5">
        <v>45656</v>
      </c>
      <c r="D6" s="11">
        <v>0</v>
      </c>
      <c r="E6" s="11">
        <v>0</v>
      </c>
      <c r="F6" s="11">
        <v>0</v>
      </c>
    </row>
    <row r="7" spans="1:6" x14ac:dyDescent="0.25">
      <c r="A7" s="22" t="str">
        <v>Olmos</v>
      </c>
      <c r="B7" s="11">
        <v>5252</v>
      </c>
      <c r="C7" s="5">
        <v>45665</v>
      </c>
      <c r="D7" s="11">
        <v>0</v>
      </c>
      <c r="E7" s="11">
        <v>0</v>
      </c>
      <c r="F7" s="11">
        <v>0</v>
      </c>
    </row>
    <row r="8" spans="1:6" x14ac:dyDescent="0.25">
      <c r="A8" s="22" t="str">
        <v>Marcabal</v>
      </c>
      <c r="B8" s="11">
        <v>4061.92</v>
      </c>
      <c r="C8" s="5">
        <v>45671</v>
      </c>
      <c r="D8" s="11">
        <v>0</v>
      </c>
      <c r="E8" s="11">
        <v>0</v>
      </c>
      <c r="F8" s="11">
        <v>0</v>
      </c>
    </row>
    <row r="9" spans="1:6" x14ac:dyDescent="0.25">
      <c r="A9" s="22" t="str">
        <v>Julcán</v>
      </c>
      <c r="B9" s="11">
        <v>2588</v>
      </c>
      <c r="C9" s="5">
        <v>45673</v>
      </c>
      <c r="D9" s="11">
        <v>0</v>
      </c>
      <c r="E9" s="11">
        <v>0</v>
      </c>
      <c r="F9" s="11">
        <v>0</v>
      </c>
    </row>
    <row r="10" spans="1:6" x14ac:dyDescent="0.25">
      <c r="A10" s="22" t="str">
        <v>Olmos</v>
      </c>
      <c r="B10" s="11">
        <v>5840</v>
      </c>
      <c r="C10" s="5">
        <v>45691</v>
      </c>
      <c r="D10" s="11">
        <v>0</v>
      </c>
      <c r="E10" s="11">
        <v>0</v>
      </c>
      <c r="F10" s="11">
        <v>0</v>
      </c>
    </row>
    <row r="11" spans="1:6" x14ac:dyDescent="0.25">
      <c r="A11" s="22" t="str">
        <v>San Pedro de Lloc</v>
      </c>
      <c r="B11" s="11">
        <v>4691</v>
      </c>
      <c r="C11" s="5">
        <v>45691</v>
      </c>
      <c r="D11" s="11">
        <v>0</v>
      </c>
      <c r="E11" s="11">
        <v>0</v>
      </c>
      <c r="F11" s="11">
        <v>0</v>
      </c>
    </row>
    <row r="12" spans="1:6" x14ac:dyDescent="0.25">
      <c r="A12" s="22" t="str">
        <v>Marcabal</v>
      </c>
      <c r="B12" s="11">
        <v>4061.92</v>
      </c>
      <c r="C12" s="5">
        <v>45700</v>
      </c>
      <c r="D12" s="11">
        <v>0</v>
      </c>
      <c r="E12" s="11">
        <v>0</v>
      </c>
      <c r="F12" s="11">
        <v>0</v>
      </c>
    </row>
    <row r="13" spans="1:6" x14ac:dyDescent="0.25">
      <c r="A13" s="22" t="str">
        <v>Julcán</v>
      </c>
      <c r="B13" s="11">
        <v>2600</v>
      </c>
      <c r="C13" s="5">
        <v>45702</v>
      </c>
      <c r="D13" s="11">
        <v>0</v>
      </c>
      <c r="E13" s="11">
        <v>0</v>
      </c>
      <c r="F13" s="11">
        <v>0</v>
      </c>
    </row>
    <row r="14" spans="1:6" x14ac:dyDescent="0.25">
      <c r="A14" s="22" t="str">
        <v>Viru</v>
      </c>
      <c r="B14" s="11">
        <v>3108</v>
      </c>
      <c r="C14" s="5">
        <v>45702</v>
      </c>
      <c r="D14" s="11">
        <v>0</v>
      </c>
      <c r="E14" s="11">
        <v>0</v>
      </c>
      <c r="F14" s="11">
        <v>0</v>
      </c>
    </row>
    <row r="15" spans="1:6" x14ac:dyDescent="0.25">
      <c r="A15" s="22" t="str">
        <v>Olmos</v>
      </c>
      <c r="B15" s="11">
        <v>5611</v>
      </c>
      <c r="C15" s="5">
        <v>45717</v>
      </c>
      <c r="D15" s="11">
        <v>0</v>
      </c>
      <c r="E15" s="11">
        <v>0</v>
      </c>
      <c r="F15" s="11">
        <v>0</v>
      </c>
    </row>
    <row r="16" spans="1:6" x14ac:dyDescent="0.25">
      <c r="A16" s="22" t="str">
        <v>Chongoyape</v>
      </c>
      <c r="B16" s="11">
        <v>2626</v>
      </c>
      <c r="C16" s="5">
        <v>45727</v>
      </c>
      <c r="D16" s="11">
        <v>0</v>
      </c>
      <c r="E16" s="11">
        <v>0</v>
      </c>
      <c r="F16" s="11">
        <v>0</v>
      </c>
    </row>
    <row r="17" spans="1:6" x14ac:dyDescent="0.25">
      <c r="A17" s="22" t="str">
        <v>Marcabal</v>
      </c>
      <c r="B17" s="11">
        <v>4061.92</v>
      </c>
      <c r="C17" s="5">
        <v>45728</v>
      </c>
      <c r="D17" s="11">
        <v>0</v>
      </c>
      <c r="E17" s="11">
        <v>0</v>
      </c>
      <c r="F17" s="11">
        <v>0</v>
      </c>
    </row>
    <row r="18" spans="1:6" x14ac:dyDescent="0.25">
      <c r="A18" s="22" t="str">
        <v>Julcán</v>
      </c>
      <c r="B18" s="11">
        <v>2588</v>
      </c>
      <c r="C18" s="5">
        <v>45733</v>
      </c>
      <c r="D18" s="11">
        <v>0</v>
      </c>
      <c r="E18" s="11">
        <v>0</v>
      </c>
      <c r="F18" s="11">
        <v>0</v>
      </c>
    </row>
    <row r="19" spans="1:6" x14ac:dyDescent="0.25">
      <c r="A19" s="22" t="str">
        <v>San Jose</v>
      </c>
      <c r="B19" s="11">
        <v>4570</v>
      </c>
      <c r="C19" s="5">
        <v>45733</v>
      </c>
      <c r="D19" s="11">
        <v>0</v>
      </c>
      <c r="E19" s="11">
        <v>0</v>
      </c>
      <c r="F19" s="11">
        <v>0</v>
      </c>
    </row>
    <row r="20" spans="1:6" x14ac:dyDescent="0.25">
      <c r="A20" s="22" t="str">
        <v>San Pedro de Lloc</v>
      </c>
      <c r="B20" s="11">
        <v>4742</v>
      </c>
      <c r="C20" s="5">
        <v>45733</v>
      </c>
      <c r="D20" s="11">
        <v>0</v>
      </c>
      <c r="E20" s="11">
        <v>0</v>
      </c>
      <c r="F20" s="11">
        <v>0</v>
      </c>
    </row>
    <row r="21" spans="1:6" x14ac:dyDescent="0.25">
      <c r="A21" s="22" t="str">
        <v>Viru</v>
      </c>
      <c r="B21" s="11">
        <v>3006</v>
      </c>
      <c r="C21" s="5">
        <v>45733</v>
      </c>
      <c r="D21" s="11">
        <v>0</v>
      </c>
      <c r="E21" s="11">
        <v>0</v>
      </c>
      <c r="F21" s="11">
        <v>0</v>
      </c>
    </row>
    <row r="22" spans="1:6" x14ac:dyDescent="0.25">
      <c r="A22" s="22" t="str">
        <v>Pataz - Tayabamba</v>
      </c>
      <c r="B22" s="11">
        <v>9268</v>
      </c>
      <c r="C22" s="5">
        <v>45739</v>
      </c>
      <c r="D22" s="11">
        <v>0</v>
      </c>
      <c r="E22" s="11">
        <v>0</v>
      </c>
      <c r="F22" s="11">
        <v>0</v>
      </c>
    </row>
    <row r="23" spans="1:6" x14ac:dyDescent="0.25">
      <c r="A23" s="22" t="str">
        <v>Chiclayo</v>
      </c>
      <c r="B23" s="11">
        <v>30058</v>
      </c>
      <c r="C23" s="5">
        <v>45751</v>
      </c>
      <c r="D23" s="11">
        <v>8693.5993164679221</v>
      </c>
      <c r="E23" s="11">
        <v>12447.879891849832</v>
      </c>
      <c r="F23" s="11">
        <v>12510.432052110384</v>
      </c>
    </row>
    <row r="24" spans="1:6" x14ac:dyDescent="0.25">
      <c r="A24" s="22" t="str">
        <v>Olmos</v>
      </c>
      <c r="B24" s="11">
        <v>5840</v>
      </c>
      <c r="C24" s="5">
        <v>45751</v>
      </c>
      <c r="D24" s="11">
        <v>0</v>
      </c>
      <c r="E24" s="11">
        <v>0</v>
      </c>
      <c r="F24" s="11">
        <v>0</v>
      </c>
    </row>
    <row r="25" spans="1:6" x14ac:dyDescent="0.25">
      <c r="A25" s="22" t="str">
        <v>Marcabal</v>
      </c>
      <c r="B25" s="11">
        <v>4061.92</v>
      </c>
      <c r="C25" s="5">
        <v>45756</v>
      </c>
      <c r="D25" s="11">
        <v>0</v>
      </c>
      <c r="E25" s="11">
        <v>0</v>
      </c>
      <c r="F25" s="11">
        <v>0</v>
      </c>
    </row>
    <row r="26" spans="1:6" x14ac:dyDescent="0.25">
      <c r="A26" s="22" t="str">
        <v>Cajamarca</v>
      </c>
      <c r="B26" s="11">
        <v>10671.72</v>
      </c>
      <c r="C26" s="5">
        <v>45763</v>
      </c>
      <c r="D26" s="11">
        <v>0</v>
      </c>
      <c r="E26" s="11">
        <v>0</v>
      </c>
      <c r="F26" s="11">
        <v>0</v>
      </c>
    </row>
    <row r="27" spans="1:6" x14ac:dyDescent="0.25">
      <c r="A27" s="22" t="str">
        <v>Cajamarca</v>
      </c>
      <c r="B27" s="11">
        <v>11433.6</v>
      </c>
      <c r="C27" s="5">
        <v>45763</v>
      </c>
      <c r="D27" s="11">
        <v>0</v>
      </c>
      <c r="E27" s="11">
        <v>0</v>
      </c>
      <c r="F27" s="11">
        <v>0</v>
      </c>
    </row>
    <row r="28" spans="1:6" x14ac:dyDescent="0.25">
      <c r="A28" s="22" t="str">
        <v>Cajamarca</v>
      </c>
      <c r="B28" s="11">
        <v>23470.720000000001</v>
      </c>
      <c r="C28" s="5">
        <v>45763</v>
      </c>
      <c r="D28" s="11">
        <v>0</v>
      </c>
      <c r="E28" s="11">
        <v>0</v>
      </c>
      <c r="F28" s="11">
        <v>0</v>
      </c>
    </row>
    <row r="29" spans="1:6" x14ac:dyDescent="0.25">
      <c r="A29" s="22" t="str">
        <v>Julcán</v>
      </c>
      <c r="B29" s="11">
        <v>2588</v>
      </c>
      <c r="C29" s="5">
        <v>45763</v>
      </c>
      <c r="D29" s="11">
        <v>0</v>
      </c>
      <c r="E29" s="11">
        <v>0</v>
      </c>
      <c r="F29" s="11">
        <v>0</v>
      </c>
    </row>
    <row r="30" spans="1:6" x14ac:dyDescent="0.25">
      <c r="A30" s="22" t="str">
        <v>Viru</v>
      </c>
      <c r="B30" s="11">
        <v>3104</v>
      </c>
      <c r="C30" s="5">
        <v>45763</v>
      </c>
      <c r="D30" s="11">
        <v>0</v>
      </c>
      <c r="E30" s="11">
        <v>0</v>
      </c>
      <c r="F30" s="11">
        <v>0</v>
      </c>
    </row>
    <row r="31" spans="1:6" x14ac:dyDescent="0.25">
      <c r="A31" s="22" t="str">
        <v>Chongoyape</v>
      </c>
      <c r="B31" s="11">
        <v>1771</v>
      </c>
      <c r="C31" s="5">
        <v>45764</v>
      </c>
      <c r="D31" s="11">
        <v>0</v>
      </c>
      <c r="E31" s="11">
        <v>0</v>
      </c>
      <c r="F31" s="11">
        <v>0</v>
      </c>
    </row>
    <row r="32" spans="1:6" x14ac:dyDescent="0.25">
      <c r="A32" s="22" t="str">
        <v>Olmos</v>
      </c>
      <c r="B32" s="11">
        <v>5611</v>
      </c>
      <c r="C32" s="5">
        <v>45779</v>
      </c>
      <c r="D32" s="11">
        <v>0</v>
      </c>
      <c r="E32" s="11">
        <v>0</v>
      </c>
      <c r="F32" s="11">
        <v>0</v>
      </c>
    </row>
    <row r="33" spans="1:6" x14ac:dyDescent="0.25">
      <c r="A33" s="22" t="str">
        <v>Cajamarca</v>
      </c>
      <c r="B33" s="11">
        <v>11448</v>
      </c>
      <c r="C33" s="5">
        <v>45782</v>
      </c>
      <c r="D33" s="11">
        <v>0</v>
      </c>
      <c r="E33" s="11">
        <v>0</v>
      </c>
      <c r="F33" s="11">
        <v>0</v>
      </c>
    </row>
    <row r="34" spans="1:6" x14ac:dyDescent="0.25">
      <c r="A34" s="22" t="str">
        <v>Cajamarca</v>
      </c>
      <c r="B34" s="11">
        <v>11829.6</v>
      </c>
      <c r="C34" s="5">
        <v>45782</v>
      </c>
      <c r="D34" s="11">
        <v>0</v>
      </c>
      <c r="E34" s="11">
        <v>0</v>
      </c>
      <c r="F34" s="11">
        <v>0</v>
      </c>
    </row>
    <row r="35" spans="1:6" x14ac:dyDescent="0.25">
      <c r="A35" s="22" t="str">
        <v>Marcabal</v>
      </c>
      <c r="B35" s="11">
        <v>4061.92</v>
      </c>
      <c r="C35" s="5">
        <v>45786</v>
      </c>
      <c r="D35" s="11">
        <v>0</v>
      </c>
      <c r="E35" s="11">
        <v>0</v>
      </c>
      <c r="F35" s="11">
        <v>0</v>
      </c>
    </row>
    <row r="36" spans="1:6" x14ac:dyDescent="0.25">
      <c r="A36" s="22" t="str">
        <v>Chongoyape</v>
      </c>
      <c r="B36" s="11">
        <v>1771</v>
      </c>
      <c r="C36" s="5">
        <v>45793</v>
      </c>
      <c r="D36" s="11">
        <v>0</v>
      </c>
      <c r="E36" s="11">
        <v>0</v>
      </c>
      <c r="F36" s="11">
        <v>0</v>
      </c>
    </row>
    <row r="37" spans="1:6" x14ac:dyDescent="0.25">
      <c r="A37" s="22" t="str">
        <v>Viru</v>
      </c>
      <c r="B37" s="11">
        <v>3006</v>
      </c>
      <c r="C37" s="5">
        <v>45793</v>
      </c>
      <c r="D37" s="11">
        <v>0</v>
      </c>
      <c r="E37" s="11">
        <v>0</v>
      </c>
      <c r="F37" s="11">
        <v>0</v>
      </c>
    </row>
    <row r="38" spans="1:6" x14ac:dyDescent="0.25">
      <c r="A38" s="22" t="str">
        <v>Julcán</v>
      </c>
      <c r="B38" s="11">
        <v>2588</v>
      </c>
      <c r="C38" s="5">
        <v>45796</v>
      </c>
      <c r="D38" s="11">
        <v>0</v>
      </c>
      <c r="E38" s="11">
        <v>0</v>
      </c>
      <c r="F38" s="11">
        <v>0</v>
      </c>
    </row>
    <row r="39" spans="1:6" x14ac:dyDescent="0.25">
      <c r="A39" s="22" t="str">
        <v>Cajatambo</v>
      </c>
      <c r="B39" s="11">
        <v>2686</v>
      </c>
      <c r="C39" s="5">
        <v>45800</v>
      </c>
      <c r="D39" s="11">
        <v>0</v>
      </c>
      <c r="E39" s="11">
        <v>0</v>
      </c>
      <c r="F39" s="11">
        <v>0</v>
      </c>
    </row>
    <row r="40" spans="1:6" x14ac:dyDescent="0.25">
      <c r="A40" s="22" t="str">
        <v>Olmos</v>
      </c>
      <c r="B40" s="11">
        <v>5840</v>
      </c>
      <c r="C40" s="5">
        <v>45810</v>
      </c>
      <c r="D40" s="11">
        <v>0</v>
      </c>
      <c r="E40" s="11">
        <v>0</v>
      </c>
      <c r="F40" s="11">
        <v>0</v>
      </c>
    </row>
    <row r="41" spans="1:6" x14ac:dyDescent="0.25">
      <c r="A41" s="22" t="str">
        <v>Marcabal</v>
      </c>
      <c r="B41" s="11">
        <v>4061.92</v>
      </c>
      <c r="C41" s="5">
        <v>45817</v>
      </c>
      <c r="D41" s="11">
        <v>0</v>
      </c>
      <c r="E41" s="11">
        <v>0</v>
      </c>
      <c r="F41" s="11">
        <v>0</v>
      </c>
    </row>
    <row r="42" spans="1:6" x14ac:dyDescent="0.25">
      <c r="A42" s="22" t="str">
        <v>Viru</v>
      </c>
      <c r="B42" s="11">
        <v>3104</v>
      </c>
      <c r="C42" s="5">
        <v>45821</v>
      </c>
      <c r="D42" s="11">
        <v>0</v>
      </c>
      <c r="E42" s="11">
        <v>0</v>
      </c>
      <c r="F42" s="11">
        <v>0</v>
      </c>
    </row>
    <row r="43" spans="1:6" x14ac:dyDescent="0.25">
      <c r="A43" s="22" t="str">
        <v>Chiclayo</v>
      </c>
      <c r="B43" s="11">
        <v>12216</v>
      </c>
      <c r="C43" s="5">
        <v>45824</v>
      </c>
      <c r="D43" s="11">
        <v>3533.2027829520312</v>
      </c>
      <c r="E43" s="11">
        <v>5058.9959664261614</v>
      </c>
      <c r="F43" s="11">
        <v>5084.4180567097101</v>
      </c>
    </row>
    <row r="44" spans="1:6" x14ac:dyDescent="0.25">
      <c r="A44" s="22" t="str">
        <v>Julcán</v>
      </c>
      <c r="B44" s="11">
        <v>2588</v>
      </c>
      <c r="C44" s="5">
        <v>45824</v>
      </c>
      <c r="D44" s="11">
        <v>0</v>
      </c>
      <c r="E44" s="11">
        <v>0</v>
      </c>
      <c r="F44" s="11">
        <v>0</v>
      </c>
    </row>
    <row r="45" spans="1:6" x14ac:dyDescent="0.25">
      <c r="A45" s="22" t="str">
        <v>San Jose</v>
      </c>
      <c r="B45" s="11">
        <v>3420</v>
      </c>
      <c r="C45" s="5">
        <v>45824</v>
      </c>
      <c r="D45" s="11">
        <v>0</v>
      </c>
      <c r="E45" s="11">
        <v>0</v>
      </c>
      <c r="F45" s="11">
        <v>0</v>
      </c>
    </row>
    <row r="46" spans="1:6" x14ac:dyDescent="0.25">
      <c r="A46" s="22" t="str">
        <v>San Pedro de Lloc</v>
      </c>
      <c r="B46" s="11">
        <v>4846</v>
      </c>
      <c r="C46" s="5">
        <v>45824</v>
      </c>
      <c r="D46" s="11">
        <v>0</v>
      </c>
      <c r="E46" s="11">
        <v>0</v>
      </c>
      <c r="F46" s="11">
        <v>0</v>
      </c>
    </row>
    <row r="47" spans="1:6" x14ac:dyDescent="0.25">
      <c r="A47" s="22" t="str">
        <v>Chongoyape</v>
      </c>
      <c r="B47" s="11">
        <v>1771</v>
      </c>
      <c r="C47" s="5">
        <v>45825</v>
      </c>
      <c r="D47" s="11">
        <v>0</v>
      </c>
      <c r="E47" s="11">
        <v>0</v>
      </c>
      <c r="F47" s="11">
        <v>0</v>
      </c>
    </row>
    <row r="48" spans="1:6" x14ac:dyDescent="0.25">
      <c r="A48" s="22" t="str">
        <v>Pataz - Tayabamba</v>
      </c>
      <c r="B48" s="11">
        <v>9268</v>
      </c>
      <c r="C48" s="5">
        <v>45828</v>
      </c>
      <c r="D48" s="11">
        <v>0</v>
      </c>
      <c r="E48" s="11">
        <v>0</v>
      </c>
      <c r="F48" s="11">
        <v>0</v>
      </c>
    </row>
    <row r="49" spans="1:7" x14ac:dyDescent="0.25">
      <c r="A49" s="22" t="str">
        <v>Cajamarca</v>
      </c>
      <c r="B49" s="11">
        <v>23485.599999999999</v>
      </c>
      <c r="C49" s="5">
        <v>45841</v>
      </c>
      <c r="D49" s="11">
        <v>0</v>
      </c>
      <c r="E49" s="11">
        <v>0</v>
      </c>
      <c r="F49" s="11">
        <v>0</v>
      </c>
    </row>
    <row r="50" spans="1:7" x14ac:dyDescent="0.25">
      <c r="A50" s="22" t="str">
        <v>Olmos</v>
      </c>
      <c r="B50" s="11">
        <v>5840</v>
      </c>
      <c r="C50" s="5">
        <v>45842</v>
      </c>
      <c r="D50" s="11">
        <v>0</v>
      </c>
      <c r="E50" s="11">
        <v>0</v>
      </c>
      <c r="F50" s="11">
        <v>0</v>
      </c>
    </row>
    <row r="51" spans="1:7" x14ac:dyDescent="0.25">
      <c r="A51" s="22" t="str">
        <v>Cajatambo</v>
      </c>
      <c r="B51" s="11">
        <v>1707</v>
      </c>
      <c r="C51" s="5">
        <v>45845</v>
      </c>
      <c r="D51" s="11">
        <v>0</v>
      </c>
      <c r="E51" s="11">
        <v>0</v>
      </c>
      <c r="F51" s="11">
        <v>0</v>
      </c>
    </row>
    <row r="52" spans="1:7" x14ac:dyDescent="0.25">
      <c r="A52" s="22" t="str">
        <v>Marcabal</v>
      </c>
      <c r="B52" s="11">
        <v>4061.92</v>
      </c>
      <c r="C52" s="5">
        <v>45846</v>
      </c>
      <c r="D52" s="11">
        <v>0</v>
      </c>
      <c r="E52" s="11">
        <v>0</v>
      </c>
      <c r="F52" s="11">
        <v>0</v>
      </c>
    </row>
    <row r="53" spans="1:7" x14ac:dyDescent="0.25">
      <c r="A53" s="22" t="str">
        <v>Julcán</v>
      </c>
      <c r="B53" s="11">
        <v>2588</v>
      </c>
      <c r="C53" s="5">
        <v>45849</v>
      </c>
      <c r="D53" s="11">
        <v>0</v>
      </c>
      <c r="E53" s="11">
        <v>0</v>
      </c>
      <c r="F53" s="11">
        <v>0</v>
      </c>
    </row>
    <row r="54" spans="1:7" x14ac:dyDescent="0.25">
      <c r="A54" s="22" t="str">
        <v>Chongoyape</v>
      </c>
      <c r="B54" s="11">
        <v>1771</v>
      </c>
      <c r="C54" s="5">
        <v>45852</v>
      </c>
      <c r="D54" s="11">
        <v>0</v>
      </c>
      <c r="E54" s="11">
        <v>0</v>
      </c>
      <c r="F54" s="11">
        <v>0</v>
      </c>
    </row>
    <row r="55" spans="1:7" x14ac:dyDescent="0.25">
      <c r="A55" s="22" t="str">
        <v>Viru</v>
      </c>
      <c r="B55" s="11">
        <v>3104</v>
      </c>
      <c r="C55" s="5">
        <v>45852</v>
      </c>
      <c r="D55" s="11">
        <v>0</v>
      </c>
      <c r="E55" s="11">
        <v>0</v>
      </c>
      <c r="F55" s="11">
        <v>0</v>
      </c>
    </row>
    <row r="56" spans="1:7" x14ac:dyDescent="0.25">
      <c r="A56" s="22" t="str">
        <v>Chiclayo</v>
      </c>
      <c r="B56" s="11">
        <v>12220</v>
      </c>
      <c r="C56" s="5">
        <v>45853</v>
      </c>
      <c r="D56" s="11">
        <v>3534.3596928351189</v>
      </c>
      <c r="E56" s="11">
        <v>5060.6524811499412</v>
      </c>
      <c r="F56" s="11">
        <v>5086.082895628082</v>
      </c>
      <c r="G56" s="20"/>
    </row>
    <row r="57" spans="1:7" x14ac:dyDescent="0.25">
      <c r="A57" s="4" t="str">
        <v>Olmos</v>
      </c>
      <c r="B57" s="11">
        <v>5619</v>
      </c>
      <c r="C57" s="5">
        <v>45870</v>
      </c>
      <c r="D57" s="10">
        <v>0</v>
      </c>
      <c r="E57" s="10">
        <v>0</v>
      </c>
      <c r="F57" s="11">
        <v>0</v>
      </c>
    </row>
    <row r="58" spans="1:7" x14ac:dyDescent="0.25">
      <c r="A58" s="4" t="str">
        <v>Marcabal</v>
      </c>
      <c r="B58" s="11">
        <v>4061.92</v>
      </c>
      <c r="C58" s="5">
        <v>45876</v>
      </c>
      <c r="D58" s="11">
        <v>0</v>
      </c>
      <c r="E58" s="11">
        <v>0</v>
      </c>
      <c r="F58" s="11">
        <v>0</v>
      </c>
    </row>
    <row r="59" spans="1:7" x14ac:dyDescent="0.25">
      <c r="A59" s="4" t="str">
        <v>Julcán</v>
      </c>
      <c r="B59" s="11">
        <v>2588</v>
      </c>
      <c r="C59" s="5">
        <v>45880</v>
      </c>
      <c r="D59" s="11">
        <v>0</v>
      </c>
      <c r="E59" s="11">
        <v>0</v>
      </c>
      <c r="F59" s="11">
        <v>0</v>
      </c>
    </row>
    <row r="60" spans="1:7" x14ac:dyDescent="0.25">
      <c r="A60" s="4" t="str">
        <v>Chongoyape</v>
      </c>
      <c r="B60" s="11">
        <v>1771</v>
      </c>
      <c r="C60" s="5">
        <v>45881</v>
      </c>
      <c r="D60" s="50">
        <v>0</v>
      </c>
      <c r="E60" s="50">
        <v>0</v>
      </c>
      <c r="F60" s="11">
        <v>0</v>
      </c>
    </row>
    <row r="61" spans="1:7" x14ac:dyDescent="0.25">
      <c r="A61" s="4" t="str">
        <v>Viru</v>
      </c>
      <c r="B61" s="11">
        <v>3006</v>
      </c>
      <c r="C61" s="10">
        <v>45887</v>
      </c>
      <c r="D61" s="11">
        <v>0</v>
      </c>
      <c r="E61" s="11">
        <v>0</v>
      </c>
      <c r="F61" s="11">
        <v>0</v>
      </c>
    </row>
    <row r="62" spans="1:7" x14ac:dyDescent="0.25">
      <c r="A62" s="4" t="str">
        <v>Chiclayo</v>
      </c>
      <c r="B62" s="11">
        <v>11825</v>
      </c>
      <c r="C62" s="10">
        <v>45887</v>
      </c>
      <c r="D62" s="11">
        <v>3420.1148418801381</v>
      </c>
      <c r="E62" s="11">
        <v>4897.0716521766017</v>
      </c>
      <c r="F62" s="11">
        <v>4921.6800524387954</v>
      </c>
    </row>
    <row r="63" spans="1:7" x14ac:dyDescent="0.25">
      <c r="A63" s="4" t="str">
        <v>Cajamarca</v>
      </c>
      <c r="B63" s="11">
        <v>11448</v>
      </c>
      <c r="C63" s="5">
        <v>45902</v>
      </c>
      <c r="D63" s="11">
        <v>0</v>
      </c>
      <c r="E63" s="4">
        <v>0</v>
      </c>
      <c r="F63" s="11">
        <v>0</v>
      </c>
    </row>
    <row r="64" spans="1:7" x14ac:dyDescent="0.25">
      <c r="A64" s="4" t="str">
        <v>Cajamarca</v>
      </c>
      <c r="B64" s="11">
        <v>11829.6</v>
      </c>
      <c r="C64" s="5">
        <v>45902</v>
      </c>
      <c r="D64" s="4">
        <v>0</v>
      </c>
      <c r="E64" s="4">
        <v>0</v>
      </c>
      <c r="F64" s="11">
        <v>0</v>
      </c>
    </row>
    <row r="65" spans="1:7" x14ac:dyDescent="0.25">
      <c r="A65" s="4" t="str">
        <v>Marcabal</v>
      </c>
      <c r="B65" s="11">
        <v>4061.92</v>
      </c>
      <c r="C65" s="5">
        <v>45908</v>
      </c>
      <c r="D65" s="11">
        <v>0</v>
      </c>
      <c r="E65" s="11">
        <v>0</v>
      </c>
      <c r="F65" s="11">
        <v>0</v>
      </c>
    </row>
    <row r="66" spans="1:7" x14ac:dyDescent="0.25">
      <c r="A66" s="4" t="str">
        <v>Viru</v>
      </c>
      <c r="B66" s="11">
        <v>3104</v>
      </c>
      <c r="C66" s="5">
        <v>45913</v>
      </c>
      <c r="D66" s="11">
        <v>0</v>
      </c>
      <c r="E66" s="11">
        <v>0</v>
      </c>
      <c r="F66" s="11">
        <v>0</v>
      </c>
      <c r="G66" s="20"/>
    </row>
    <row r="67" spans="1:7" x14ac:dyDescent="0.25">
      <c r="A67" s="4" t="str">
        <v>Chongoyape</v>
      </c>
      <c r="B67" s="11">
        <v>5209</v>
      </c>
      <c r="C67" s="5">
        <v>45915</v>
      </c>
      <c r="D67" s="4">
        <v>0</v>
      </c>
      <c r="E67" s="4">
        <v>0</v>
      </c>
      <c r="F67" s="11">
        <v>0</v>
      </c>
    </row>
    <row r="68" spans="1:7" x14ac:dyDescent="0.25">
      <c r="A68" s="4" t="str">
        <v>Chiclayo</v>
      </c>
      <c r="B68" s="11">
        <v>12220</v>
      </c>
      <c r="C68" s="5">
        <v>45916</v>
      </c>
      <c r="D68" s="4">
        <v>3534.3596928351189</v>
      </c>
      <c r="E68" s="4">
        <v>5060.6524811499412</v>
      </c>
      <c r="F68" s="11">
        <v>5086.082895628082</v>
      </c>
    </row>
    <row r="69" spans="1:7" x14ac:dyDescent="0.25">
      <c r="A69" s="4" t="str">
        <v>Julcán</v>
      </c>
      <c r="B69" s="11">
        <v>2588</v>
      </c>
      <c r="C69" s="5">
        <v>45916</v>
      </c>
      <c r="D69" s="4">
        <v>0</v>
      </c>
      <c r="E69" s="4">
        <v>0</v>
      </c>
      <c r="F69" s="11">
        <v>0</v>
      </c>
    </row>
    <row r="70" spans="1:7" x14ac:dyDescent="0.25">
      <c r="A70" s="4" t="str">
        <v>Pataz - Tayabamba</v>
      </c>
      <c r="B70" s="11">
        <v>9268</v>
      </c>
      <c r="C70" s="5">
        <v>45916</v>
      </c>
      <c r="D70" s="4">
        <v>0</v>
      </c>
      <c r="E70" s="4">
        <v>0</v>
      </c>
      <c r="F70" s="11">
        <v>0</v>
      </c>
    </row>
    <row r="71" spans="1:7" x14ac:dyDescent="0.25">
      <c r="A71" s="4" t="str">
        <v>San Jose</v>
      </c>
      <c r="B71" s="11">
        <v>3420</v>
      </c>
      <c r="C71" s="5">
        <v>45917</v>
      </c>
      <c r="D71" s="4">
        <v>0</v>
      </c>
      <c r="E71" s="4">
        <v>0</v>
      </c>
      <c r="F71" s="11">
        <v>0</v>
      </c>
    </row>
    <row r="72" spans="1:7" x14ac:dyDescent="0.25">
      <c r="A72" s="4" t="str">
        <v>Marcabal</v>
      </c>
      <c r="B72" s="11">
        <v>4061.92</v>
      </c>
      <c r="C72" s="5">
        <v>45945</v>
      </c>
      <c r="D72" s="11">
        <v>0</v>
      </c>
      <c r="E72" s="4">
        <v>0</v>
      </c>
      <c r="F72" s="11">
        <v>0</v>
      </c>
    </row>
    <row r="73" spans="1:7" x14ac:dyDescent="0.25">
      <c r="A73" s="4" t="str">
        <v>Julcán</v>
      </c>
      <c r="B73" s="11">
        <v>2588</v>
      </c>
      <c r="C73" s="5">
        <v>45946</v>
      </c>
      <c r="D73" s="11">
        <v>0</v>
      </c>
      <c r="E73" s="4">
        <v>0</v>
      </c>
      <c r="F73" s="11">
        <v>0</v>
      </c>
    </row>
    <row r="74" spans="1:7" x14ac:dyDescent="0.25">
      <c r="A74" s="4" t="str">
        <v>Chiclayo</v>
      </c>
      <c r="B74" s="11">
        <v>11824</v>
      </c>
      <c r="C74" s="5">
        <v>45951</v>
      </c>
      <c r="D74" s="4">
        <v>3419.8256144093662</v>
      </c>
      <c r="E74" s="4">
        <v>4896.6575234956563</v>
      </c>
      <c r="F74" s="11">
        <v>4921.2638427092024</v>
      </c>
    </row>
    <row r="75" spans="1:7" x14ac:dyDescent="0.25">
      <c r="A75" s="4" t="str">
        <v>Olmos</v>
      </c>
      <c r="B75" s="11">
        <v>5840</v>
      </c>
      <c r="C75" s="5">
        <v>45962</v>
      </c>
      <c r="D75" s="4">
        <v>0</v>
      </c>
      <c r="E75" s="4">
        <v>0</v>
      </c>
      <c r="F75" s="11">
        <v>0</v>
      </c>
    </row>
    <row r="81" spans="4:7" x14ac:dyDescent="0.25">
      <c r="D81" s="11">
        <f>194*3</f>
        <v>582</v>
      </c>
      <c r="E81" s="11">
        <f>D81/800*60</f>
        <v>43.650000000000006</v>
      </c>
    </row>
    <row r="82" spans="4:7" x14ac:dyDescent="0.25">
      <c r="D82" s="11">
        <f>D43-D81</f>
        <v>2951.2027829520312</v>
      </c>
      <c r="E82" s="11">
        <f>D82/800</f>
        <v>3.6890034786900388</v>
      </c>
      <c r="F82" s="11">
        <f>E82-3</f>
        <v>0.68900347869003875</v>
      </c>
      <c r="G82">
        <f>F82*60</f>
        <v>41.340208721402327</v>
      </c>
    </row>
    <row r="83" spans="4:7" x14ac:dyDescent="0.25">
      <c r="D83" s="11"/>
      <c r="E83" s="11"/>
      <c r="F83" s="4"/>
    </row>
    <row r="84" spans="4:7" x14ac:dyDescent="0.25">
      <c r="D84" s="11">
        <f>551.2*0.997</f>
        <v>549.54640000000006</v>
      </c>
      <c r="E84" s="11"/>
      <c r="F84" s="4"/>
    </row>
  </sheetData>
  <autoFilter ref="A1:F63" xr:uid="{713E3630-20B1-4029-B945-22141076A3D1}"/>
  <mergeCells count="4">
    <mergeCell ref="D2:F2"/>
    <mergeCell ref="A1:A2"/>
    <mergeCell ref="B1:B2"/>
    <mergeCell ref="C1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0DA8-AD9B-4A3D-AEF2-32535658F8D5}">
  <dimension ref="A1:N80"/>
  <sheetViews>
    <sheetView workbookViewId="0">
      <pane ySplit="1" topLeftCell="A53" activePane="bottomLeft" state="frozen"/>
      <selection pane="bottomLeft" activeCell="G77" sqref="G77"/>
    </sheetView>
  </sheetViews>
  <sheetFormatPr baseColWidth="10" defaultRowHeight="15" x14ac:dyDescent="0.25"/>
  <cols>
    <col min="1" max="1" width="18" style="4" bestFit="1" customWidth="1"/>
    <col min="2" max="2" width="13.140625" style="11" bestFit="1" customWidth="1"/>
    <col min="3" max="3" width="10.42578125" style="5" bestFit="1" customWidth="1"/>
    <col min="4" max="4" width="17" style="11" customWidth="1"/>
    <col min="5" max="5" width="11.42578125" style="11"/>
  </cols>
  <sheetData>
    <row r="1" spans="1:9" ht="35.25" customHeight="1" thickBot="1" x14ac:dyDescent="0.3">
      <c r="A1" s="23" t="s">
        <v>3</v>
      </c>
      <c r="B1" s="24" t="s">
        <v>6</v>
      </c>
      <c r="C1" s="25" t="s">
        <v>7</v>
      </c>
      <c r="D1" s="24" t="s">
        <v>90</v>
      </c>
      <c r="E1" s="24" t="s">
        <v>46</v>
      </c>
    </row>
    <row r="2" spans="1:9" x14ac:dyDescent="0.25">
      <c r="A2" s="4" t="str" cm="1">
        <f t="array" ref="A2:C74">Mezclado!A2:C74</f>
        <v>San Jose</v>
      </c>
      <c r="B2" s="11">
        <v>3347</v>
      </c>
      <c r="C2" s="5">
        <v>45630</v>
      </c>
      <c r="D2" s="11" cm="1">
        <f t="array" ref="D2:D74">IF(Molido!G2:G74&gt;300, Molido!G2:G74, 0)</f>
        <v>701.52233866519578</v>
      </c>
      <c r="E2" s="11" cm="1">
        <f t="array" ref="E2:E74">IF(Molido!G2:G74&gt;300, 0, Molido!G2:G74/(1-Formula!$B$15))</f>
        <v>0</v>
      </c>
      <c r="I2" s="20"/>
    </row>
    <row r="3" spans="1:9" x14ac:dyDescent="0.25">
      <c r="A3" s="22" t="str">
        <v>Pataz - Tayabamba</v>
      </c>
      <c r="B3" s="11">
        <v>9286</v>
      </c>
      <c r="C3" s="5">
        <v>45642</v>
      </c>
      <c r="D3" s="11">
        <v>0</v>
      </c>
      <c r="E3" s="11">
        <v>0</v>
      </c>
      <c r="H3" s="10"/>
    </row>
    <row r="4" spans="1:9" x14ac:dyDescent="0.25">
      <c r="A4" s="22" t="str">
        <v>Viru</v>
      </c>
      <c r="B4" s="11">
        <v>2810</v>
      </c>
      <c r="C4" s="5">
        <v>45653</v>
      </c>
      <c r="D4" s="11">
        <v>0</v>
      </c>
      <c r="E4" s="11">
        <v>975.87383301669001</v>
      </c>
      <c r="H4" s="10"/>
    </row>
    <row r="5" spans="1:9" x14ac:dyDescent="0.25">
      <c r="A5" s="22" t="str">
        <v>Julcán</v>
      </c>
      <c r="B5" s="11">
        <v>2588</v>
      </c>
      <c r="C5" s="5">
        <v>45656</v>
      </c>
      <c r="D5" s="11">
        <v>1704.2385242385246</v>
      </c>
      <c r="E5" s="11">
        <v>0</v>
      </c>
      <c r="H5" s="10"/>
    </row>
    <row r="6" spans="1:9" x14ac:dyDescent="0.25">
      <c r="A6" s="22" t="str">
        <v>Olmos</v>
      </c>
      <c r="B6" s="11">
        <v>5252</v>
      </c>
      <c r="C6" s="5">
        <v>45665</v>
      </c>
      <c r="D6" s="11">
        <v>0</v>
      </c>
      <c r="E6" s="11">
        <v>0</v>
      </c>
      <c r="H6" s="10"/>
    </row>
    <row r="7" spans="1:9" x14ac:dyDescent="0.25">
      <c r="A7" s="22" t="str">
        <v>Marcabal</v>
      </c>
      <c r="B7" s="11">
        <v>4061.92</v>
      </c>
      <c r="C7" s="5">
        <v>45671</v>
      </c>
      <c r="D7" s="11">
        <v>0</v>
      </c>
      <c r="E7" s="11">
        <v>0</v>
      </c>
      <c r="H7" s="10"/>
    </row>
    <row r="8" spans="1:9" x14ac:dyDescent="0.25">
      <c r="A8" s="22" t="str">
        <v>Julcán</v>
      </c>
      <c r="B8" s="11">
        <v>2588</v>
      </c>
      <c r="C8" s="5">
        <v>45673</v>
      </c>
      <c r="D8" s="11">
        <v>1704.2385242385246</v>
      </c>
      <c r="E8" s="11">
        <v>0</v>
      </c>
      <c r="H8" s="10"/>
    </row>
    <row r="9" spans="1:9" x14ac:dyDescent="0.25">
      <c r="A9" s="22" t="str">
        <v>Olmos</v>
      </c>
      <c r="B9" s="11">
        <v>5840</v>
      </c>
      <c r="C9" s="5">
        <v>45691</v>
      </c>
      <c r="D9" s="11">
        <v>0</v>
      </c>
      <c r="E9" s="11">
        <v>0</v>
      </c>
      <c r="H9" s="10"/>
    </row>
    <row r="10" spans="1:9" x14ac:dyDescent="0.25">
      <c r="A10" s="22" t="str">
        <v>San Pedro de Lloc</v>
      </c>
      <c r="B10" s="11">
        <v>4691</v>
      </c>
      <c r="C10" s="5">
        <v>45691</v>
      </c>
      <c r="D10" s="11">
        <v>558.21280464137601</v>
      </c>
      <c r="E10" s="11">
        <v>0</v>
      </c>
      <c r="H10" s="10"/>
    </row>
    <row r="11" spans="1:9" x14ac:dyDescent="0.25">
      <c r="A11" s="22" t="str">
        <v>Marcabal</v>
      </c>
      <c r="B11" s="11">
        <v>4061.92</v>
      </c>
      <c r="C11" s="5">
        <v>45700</v>
      </c>
      <c r="D11" s="11">
        <v>0</v>
      </c>
      <c r="E11" s="11">
        <v>0</v>
      </c>
      <c r="H11" s="10"/>
    </row>
    <row r="12" spans="1:9" x14ac:dyDescent="0.25">
      <c r="A12" s="22" t="str">
        <v>Julcán</v>
      </c>
      <c r="B12" s="11">
        <v>2600</v>
      </c>
      <c r="C12" s="5">
        <v>45702</v>
      </c>
      <c r="D12" s="11">
        <v>1712.1407121407124</v>
      </c>
      <c r="E12" s="11">
        <v>0</v>
      </c>
      <c r="H12" s="10"/>
    </row>
    <row r="13" spans="1:9" x14ac:dyDescent="0.25">
      <c r="A13" s="22" t="str">
        <v>Viru</v>
      </c>
      <c r="B13" s="11">
        <v>3108</v>
      </c>
      <c r="C13" s="5">
        <v>45702</v>
      </c>
      <c r="D13" s="11">
        <v>323.8095238095238</v>
      </c>
      <c r="E13" s="11">
        <v>0</v>
      </c>
      <c r="H13" s="10"/>
    </row>
    <row r="14" spans="1:9" x14ac:dyDescent="0.25">
      <c r="A14" s="22" t="str">
        <v>Olmos</v>
      </c>
      <c r="B14" s="11">
        <v>5611</v>
      </c>
      <c r="C14" s="5">
        <v>45717</v>
      </c>
      <c r="D14" s="11">
        <v>0</v>
      </c>
      <c r="E14" s="11">
        <v>0</v>
      </c>
      <c r="H14" s="10"/>
    </row>
    <row r="15" spans="1:9" x14ac:dyDescent="0.25">
      <c r="A15" s="22" t="str">
        <v>Chongoyape</v>
      </c>
      <c r="B15" s="11">
        <v>2626</v>
      </c>
      <c r="C15" s="5">
        <v>45727</v>
      </c>
      <c r="D15" s="11">
        <v>0</v>
      </c>
      <c r="E15" s="11">
        <v>876.20954287620941</v>
      </c>
      <c r="H15" s="10"/>
    </row>
    <row r="16" spans="1:9" x14ac:dyDescent="0.25">
      <c r="A16" s="22" t="str">
        <v>Marcabal</v>
      </c>
      <c r="B16" s="11">
        <v>4061.92</v>
      </c>
      <c r="C16" s="5">
        <v>45728</v>
      </c>
      <c r="D16" s="11">
        <v>0</v>
      </c>
      <c r="E16" s="11">
        <v>0</v>
      </c>
      <c r="H16" s="10"/>
    </row>
    <row r="17" spans="1:8" x14ac:dyDescent="0.25">
      <c r="A17" s="22" t="str">
        <v>Julcán</v>
      </c>
      <c r="B17" s="11">
        <v>2588</v>
      </c>
      <c r="C17" s="5">
        <v>45733</v>
      </c>
      <c r="D17" s="11">
        <v>1704.2385242385246</v>
      </c>
      <c r="E17" s="11">
        <v>0</v>
      </c>
      <c r="H17" s="10"/>
    </row>
    <row r="18" spans="1:8" x14ac:dyDescent="0.25">
      <c r="A18" s="22" t="str">
        <v>San Jose</v>
      </c>
      <c r="B18" s="11">
        <v>4570</v>
      </c>
      <c r="C18" s="5">
        <v>45733</v>
      </c>
      <c r="D18" s="11">
        <v>957.8599007170435</v>
      </c>
      <c r="E18" s="11">
        <v>0</v>
      </c>
      <c r="H18" s="10"/>
    </row>
    <row r="19" spans="1:8" x14ac:dyDescent="0.25">
      <c r="A19" s="22" t="str">
        <v>San Pedro de Lloc</v>
      </c>
      <c r="B19" s="11">
        <v>4742</v>
      </c>
      <c r="C19" s="5">
        <v>45733</v>
      </c>
      <c r="D19" s="11">
        <v>564.28162856734298</v>
      </c>
      <c r="E19" s="11">
        <v>0</v>
      </c>
      <c r="H19" s="10"/>
    </row>
    <row r="20" spans="1:8" x14ac:dyDescent="0.25">
      <c r="A20" s="22" t="str">
        <v>Viru</v>
      </c>
      <c r="B20" s="11">
        <v>3006</v>
      </c>
      <c r="C20" s="5">
        <v>45733</v>
      </c>
      <c r="D20" s="11">
        <v>313.18257032542743</v>
      </c>
      <c r="E20" s="11">
        <v>0</v>
      </c>
      <c r="H20" s="10"/>
    </row>
    <row r="21" spans="1:8" x14ac:dyDescent="0.25">
      <c r="A21" s="22" t="str">
        <v>Pataz - Tayabamba</v>
      </c>
      <c r="B21" s="11">
        <v>9268</v>
      </c>
      <c r="C21" s="5">
        <v>45739</v>
      </c>
      <c r="D21" s="11">
        <v>0</v>
      </c>
      <c r="E21" s="11">
        <v>0</v>
      </c>
      <c r="H21" s="10"/>
    </row>
    <row r="22" spans="1:8" x14ac:dyDescent="0.25">
      <c r="A22" s="22" t="str">
        <v>Chiclayo</v>
      </c>
      <c r="B22" s="11">
        <v>30058</v>
      </c>
      <c r="C22" s="5">
        <v>45751</v>
      </c>
      <c r="D22" s="11">
        <v>0</v>
      </c>
      <c r="E22" s="11">
        <v>0</v>
      </c>
      <c r="H22" s="10"/>
    </row>
    <row r="23" spans="1:8" x14ac:dyDescent="0.25">
      <c r="A23" s="22" t="str">
        <v>Olmos</v>
      </c>
      <c r="B23" s="11">
        <v>5840</v>
      </c>
      <c r="C23" s="5">
        <v>45751</v>
      </c>
      <c r="D23" s="11">
        <v>0</v>
      </c>
      <c r="E23" s="11">
        <v>0</v>
      </c>
      <c r="H23" s="10"/>
    </row>
    <row r="24" spans="1:8" x14ac:dyDescent="0.25">
      <c r="A24" s="22" t="str">
        <v>Marcabal</v>
      </c>
      <c r="B24" s="11">
        <v>4061.92</v>
      </c>
      <c r="C24" s="5">
        <v>45756</v>
      </c>
      <c r="D24" s="11">
        <v>0</v>
      </c>
      <c r="E24" s="11">
        <v>0</v>
      </c>
      <c r="H24" s="10"/>
    </row>
    <row r="25" spans="1:8" x14ac:dyDescent="0.25">
      <c r="A25" s="22" t="str">
        <v>Cajamarca</v>
      </c>
      <c r="B25" s="11">
        <v>10671.72</v>
      </c>
      <c r="C25" s="5">
        <v>45763</v>
      </c>
      <c r="D25" s="11">
        <v>0</v>
      </c>
      <c r="E25" s="11">
        <v>0</v>
      </c>
      <c r="H25" s="10"/>
    </row>
    <row r="26" spans="1:8" x14ac:dyDescent="0.25">
      <c r="A26" s="22" t="str">
        <v>Cajamarca</v>
      </c>
      <c r="B26" s="11">
        <v>11433.6</v>
      </c>
      <c r="C26" s="5">
        <v>45763</v>
      </c>
      <c r="D26" s="11">
        <v>0</v>
      </c>
      <c r="E26" s="11">
        <v>0</v>
      </c>
      <c r="H26" s="10"/>
    </row>
    <row r="27" spans="1:8" x14ac:dyDescent="0.25">
      <c r="A27" s="22" t="str">
        <v>Cajamarca</v>
      </c>
      <c r="B27" s="11">
        <v>23470.720000000001</v>
      </c>
      <c r="C27" s="5">
        <v>45763</v>
      </c>
      <c r="D27" s="11">
        <v>0</v>
      </c>
      <c r="E27" s="11">
        <v>0</v>
      </c>
      <c r="H27" s="10"/>
    </row>
    <row r="28" spans="1:8" x14ac:dyDescent="0.25">
      <c r="A28" s="22" t="str">
        <v>Julcán</v>
      </c>
      <c r="B28" s="11">
        <v>2588</v>
      </c>
      <c r="C28" s="5">
        <v>45763</v>
      </c>
      <c r="D28" s="11">
        <v>1704.2385242385246</v>
      </c>
      <c r="E28" s="11">
        <v>0</v>
      </c>
      <c r="H28" s="10"/>
    </row>
    <row r="29" spans="1:8" x14ac:dyDescent="0.25">
      <c r="A29" s="22" t="str">
        <v>Viru</v>
      </c>
      <c r="B29" s="11">
        <v>3104</v>
      </c>
      <c r="C29" s="5">
        <v>45763</v>
      </c>
      <c r="D29" s="11">
        <v>323.39278053563766</v>
      </c>
      <c r="E29" s="11">
        <v>0</v>
      </c>
      <c r="H29" s="10"/>
    </row>
    <row r="30" spans="1:8" x14ac:dyDescent="0.25">
      <c r="A30" s="22" t="str">
        <v>Chongoyape</v>
      </c>
      <c r="B30" s="11">
        <v>1771</v>
      </c>
      <c r="C30" s="5">
        <v>45764</v>
      </c>
      <c r="D30" s="11">
        <v>0</v>
      </c>
      <c r="E30" s="11">
        <v>590.92425759092419</v>
      </c>
      <c r="H30" s="10"/>
    </row>
    <row r="31" spans="1:8" x14ac:dyDescent="0.25">
      <c r="A31" s="22" t="str">
        <v>Olmos</v>
      </c>
      <c r="B31" s="11">
        <v>5611</v>
      </c>
      <c r="C31" s="5">
        <v>45779</v>
      </c>
      <c r="D31" s="11">
        <v>0</v>
      </c>
      <c r="E31" s="11">
        <v>0</v>
      </c>
      <c r="H31" s="10"/>
    </row>
    <row r="32" spans="1:8" x14ac:dyDescent="0.25">
      <c r="A32" s="22" t="str">
        <v>Cajamarca</v>
      </c>
      <c r="B32" s="11">
        <v>11448</v>
      </c>
      <c r="C32" s="5">
        <v>45782</v>
      </c>
      <c r="D32" s="11">
        <v>0</v>
      </c>
      <c r="E32" s="11">
        <v>0</v>
      </c>
      <c r="H32" s="10"/>
    </row>
    <row r="33" spans="1:8" x14ac:dyDescent="0.25">
      <c r="A33" s="22" t="str">
        <v>Cajamarca</v>
      </c>
      <c r="B33" s="11">
        <v>11829.6</v>
      </c>
      <c r="C33" s="5">
        <v>45782</v>
      </c>
      <c r="D33" s="11">
        <v>0</v>
      </c>
      <c r="E33" s="11">
        <v>0</v>
      </c>
      <c r="H33" s="10"/>
    </row>
    <row r="34" spans="1:8" x14ac:dyDescent="0.25">
      <c r="A34" s="22" t="str">
        <v>Marcabal</v>
      </c>
      <c r="B34" s="11">
        <v>4061.92</v>
      </c>
      <c r="C34" s="5">
        <v>45786</v>
      </c>
      <c r="D34" s="11">
        <v>0</v>
      </c>
      <c r="E34" s="11">
        <v>0</v>
      </c>
      <c r="H34" s="10"/>
    </row>
    <row r="35" spans="1:8" x14ac:dyDescent="0.25">
      <c r="A35" s="22" t="str">
        <v>Chongoyape</v>
      </c>
      <c r="B35" s="11">
        <v>1771</v>
      </c>
      <c r="C35" s="5">
        <v>45793</v>
      </c>
      <c r="D35" s="11">
        <v>0</v>
      </c>
      <c r="E35" s="11">
        <v>590.92425759092419</v>
      </c>
      <c r="H35" s="10"/>
    </row>
    <row r="36" spans="1:8" x14ac:dyDescent="0.25">
      <c r="A36" s="22" t="str">
        <v>Viru</v>
      </c>
      <c r="B36" s="11">
        <v>3006</v>
      </c>
      <c r="C36" s="5">
        <v>45793</v>
      </c>
      <c r="D36" s="11">
        <v>313.18257032542743</v>
      </c>
      <c r="E36" s="11">
        <v>0</v>
      </c>
      <c r="H36" s="10"/>
    </row>
    <row r="37" spans="1:8" x14ac:dyDescent="0.25">
      <c r="A37" s="22" t="str">
        <v>Julcán</v>
      </c>
      <c r="B37" s="11">
        <v>2588</v>
      </c>
      <c r="C37" s="5">
        <v>45796</v>
      </c>
      <c r="D37" s="11">
        <v>1704.2385242385246</v>
      </c>
      <c r="E37" s="11">
        <v>0</v>
      </c>
      <c r="H37" s="10"/>
    </row>
    <row r="38" spans="1:8" x14ac:dyDescent="0.25">
      <c r="A38" s="22" t="str">
        <v>Cajatambo</v>
      </c>
      <c r="B38" s="11">
        <v>2686</v>
      </c>
      <c r="C38" s="5">
        <v>45800</v>
      </c>
      <c r="D38" s="11">
        <v>0</v>
      </c>
      <c r="E38" s="11">
        <v>0</v>
      </c>
      <c r="H38" s="10"/>
    </row>
    <row r="39" spans="1:8" x14ac:dyDescent="0.25">
      <c r="A39" s="22" t="str">
        <v>Olmos</v>
      </c>
      <c r="B39" s="11">
        <v>5840</v>
      </c>
      <c r="C39" s="5">
        <v>45810</v>
      </c>
      <c r="D39" s="11">
        <v>0</v>
      </c>
      <c r="E39" s="11">
        <v>0</v>
      </c>
      <c r="H39" s="10"/>
    </row>
    <row r="40" spans="1:8" x14ac:dyDescent="0.25">
      <c r="A40" s="22" t="str">
        <v>Marcabal</v>
      </c>
      <c r="B40" s="11">
        <v>4061.92</v>
      </c>
      <c r="C40" s="5">
        <v>45817</v>
      </c>
      <c r="D40" s="11">
        <v>0</v>
      </c>
      <c r="E40" s="11">
        <v>0</v>
      </c>
      <c r="H40" s="10"/>
    </row>
    <row r="41" spans="1:8" x14ac:dyDescent="0.25">
      <c r="A41" s="22" t="str">
        <v>Viru</v>
      </c>
      <c r="B41" s="11">
        <v>3104</v>
      </c>
      <c r="C41" s="5">
        <v>45821</v>
      </c>
      <c r="D41" s="11">
        <v>323.39278053563766</v>
      </c>
      <c r="E41" s="11">
        <v>0</v>
      </c>
      <c r="H41" s="10"/>
    </row>
    <row r="42" spans="1:8" x14ac:dyDescent="0.25">
      <c r="A42" s="22" t="str">
        <v>Chiclayo</v>
      </c>
      <c r="B42" s="11">
        <v>12216</v>
      </c>
      <c r="C42" s="5">
        <v>45824</v>
      </c>
      <c r="D42" s="11">
        <v>0</v>
      </c>
      <c r="E42" s="11">
        <v>0</v>
      </c>
      <c r="H42" s="10"/>
    </row>
    <row r="43" spans="1:8" x14ac:dyDescent="0.25">
      <c r="A43" s="22" t="str">
        <v>Julcán</v>
      </c>
      <c r="B43" s="11">
        <v>2588</v>
      </c>
      <c r="C43" s="5">
        <v>45824</v>
      </c>
      <c r="D43" s="11">
        <v>1704.2385242385246</v>
      </c>
      <c r="E43" s="11">
        <v>0</v>
      </c>
      <c r="H43" s="10"/>
    </row>
    <row r="44" spans="1:8" x14ac:dyDescent="0.25">
      <c r="A44" s="22" t="str">
        <v>San Jose</v>
      </c>
      <c r="B44" s="11">
        <v>3420</v>
      </c>
      <c r="C44" s="5">
        <v>45824</v>
      </c>
      <c r="D44" s="11">
        <v>716.82294539437396</v>
      </c>
      <c r="E44" s="11">
        <v>0</v>
      </c>
      <c r="H44" s="10"/>
    </row>
    <row r="45" spans="1:8" x14ac:dyDescent="0.25">
      <c r="A45" s="22" t="str">
        <v>San Pedro de Lloc</v>
      </c>
      <c r="B45" s="11">
        <v>4846</v>
      </c>
      <c r="C45" s="5">
        <v>45824</v>
      </c>
      <c r="D45" s="11">
        <v>576.65726951441252</v>
      </c>
      <c r="E45" s="11">
        <v>0</v>
      </c>
      <c r="H45" s="10"/>
    </row>
    <row r="46" spans="1:8" x14ac:dyDescent="0.25">
      <c r="A46" s="22" t="str">
        <v>Chongoyape</v>
      </c>
      <c r="B46" s="11">
        <v>1771</v>
      </c>
      <c r="C46" s="5">
        <v>45825</v>
      </c>
      <c r="D46" s="11">
        <v>0</v>
      </c>
      <c r="E46" s="11">
        <v>590.92425759092419</v>
      </c>
      <c r="G46" t="s">
        <v>114</v>
      </c>
      <c r="H46" s="10"/>
    </row>
    <row r="47" spans="1:8" x14ac:dyDescent="0.25">
      <c r="A47" s="22" t="str">
        <v>Pataz - Tayabamba</v>
      </c>
      <c r="B47" s="11">
        <v>9268</v>
      </c>
      <c r="C47" s="5">
        <v>45828</v>
      </c>
      <c r="D47" s="11">
        <v>0</v>
      </c>
      <c r="E47" s="11">
        <v>0</v>
      </c>
      <c r="H47" s="10"/>
    </row>
    <row r="48" spans="1:8" x14ac:dyDescent="0.25">
      <c r="A48" s="22" t="str">
        <v>Cajamarca</v>
      </c>
      <c r="B48" s="11">
        <v>23485.599999999999</v>
      </c>
      <c r="C48" s="5">
        <v>45841</v>
      </c>
      <c r="D48" s="11">
        <v>0</v>
      </c>
      <c r="E48" s="11">
        <v>0</v>
      </c>
      <c r="H48" s="10"/>
    </row>
    <row r="49" spans="1:14" x14ac:dyDescent="0.25">
      <c r="A49" s="22" t="str">
        <v>Olmos</v>
      </c>
      <c r="B49" s="11">
        <v>5840</v>
      </c>
      <c r="C49" s="5">
        <v>45842</v>
      </c>
      <c r="D49" s="11">
        <v>0</v>
      </c>
      <c r="E49" s="11">
        <v>0</v>
      </c>
      <c r="H49" s="10"/>
    </row>
    <row r="50" spans="1:14" x14ac:dyDescent="0.25">
      <c r="A50" s="22" t="str">
        <v>Cajatambo</v>
      </c>
      <c r="B50" s="11">
        <v>1707</v>
      </c>
      <c r="C50" s="5">
        <v>45845</v>
      </c>
      <c r="D50" s="11">
        <v>0</v>
      </c>
      <c r="E50" s="11">
        <v>0</v>
      </c>
      <c r="H50" s="10"/>
    </row>
    <row r="51" spans="1:14" x14ac:dyDescent="0.25">
      <c r="A51" s="22" t="str">
        <v>Marcabal</v>
      </c>
      <c r="B51" s="11">
        <v>4061.92</v>
      </c>
      <c r="C51" s="5">
        <v>45846</v>
      </c>
      <c r="D51" s="11">
        <v>0</v>
      </c>
      <c r="E51" s="11">
        <v>0</v>
      </c>
      <c r="H51" s="10"/>
    </row>
    <row r="52" spans="1:14" x14ac:dyDescent="0.25">
      <c r="A52" s="22" t="str">
        <v>Julcán</v>
      </c>
      <c r="B52" s="11">
        <v>2588</v>
      </c>
      <c r="C52" s="5">
        <v>45849</v>
      </c>
      <c r="D52" s="11">
        <v>1704.2385242385246</v>
      </c>
      <c r="E52" s="11">
        <v>0</v>
      </c>
      <c r="H52" s="10"/>
    </row>
    <row r="53" spans="1:14" x14ac:dyDescent="0.25">
      <c r="A53" s="46" t="str">
        <v>Chongoyape</v>
      </c>
      <c r="B53" s="47">
        <v>1771</v>
      </c>
      <c r="C53" s="48">
        <v>45852</v>
      </c>
      <c r="D53" s="47">
        <v>0</v>
      </c>
      <c r="E53" s="47">
        <v>590.92425759092419</v>
      </c>
      <c r="H53" s="10"/>
    </row>
    <row r="54" spans="1:14" x14ac:dyDescent="0.25">
      <c r="A54" s="22" t="str">
        <v>Viru</v>
      </c>
      <c r="B54" s="11">
        <v>3104</v>
      </c>
      <c r="C54" s="5">
        <v>45852</v>
      </c>
      <c r="D54" s="11">
        <v>323.39278053563766</v>
      </c>
      <c r="E54" s="11">
        <v>0</v>
      </c>
      <c r="H54" s="10"/>
    </row>
    <row r="55" spans="1:14" x14ac:dyDescent="0.25">
      <c r="A55" s="22" t="str">
        <v>Chiclayo</v>
      </c>
      <c r="B55" s="11">
        <v>12220</v>
      </c>
      <c r="C55" s="5">
        <v>45853</v>
      </c>
      <c r="D55" s="11">
        <v>0</v>
      </c>
      <c r="E55" s="11">
        <v>0</v>
      </c>
      <c r="H55" s="10"/>
    </row>
    <row r="56" spans="1:14" x14ac:dyDescent="0.25">
      <c r="A56" s="4" t="str">
        <v>Olmos</v>
      </c>
      <c r="B56" s="11">
        <v>5619</v>
      </c>
      <c r="C56" s="5">
        <v>45870</v>
      </c>
      <c r="D56" s="11">
        <v>0</v>
      </c>
      <c r="E56" s="11">
        <v>0</v>
      </c>
    </row>
    <row r="57" spans="1:14" x14ac:dyDescent="0.25">
      <c r="A57" s="4" t="str">
        <v>Marcabal</v>
      </c>
      <c r="B57" s="11">
        <v>4061.92</v>
      </c>
      <c r="C57" s="5">
        <v>45876</v>
      </c>
      <c r="D57" s="11">
        <v>0</v>
      </c>
      <c r="E57" s="11">
        <v>0</v>
      </c>
    </row>
    <row r="58" spans="1:14" x14ac:dyDescent="0.25">
      <c r="A58" s="4" t="str">
        <v>Julcán</v>
      </c>
      <c r="B58" s="11">
        <v>2588</v>
      </c>
      <c r="C58" s="5">
        <v>45880</v>
      </c>
      <c r="D58" s="11">
        <v>1704.2385242385246</v>
      </c>
      <c r="E58" s="11">
        <v>0</v>
      </c>
    </row>
    <row r="59" spans="1:14" x14ac:dyDescent="0.25">
      <c r="A59" s="4" t="str">
        <v>Chongoyape</v>
      </c>
      <c r="B59" s="11">
        <v>1771</v>
      </c>
      <c r="C59" s="5">
        <v>45881</v>
      </c>
      <c r="D59" s="11">
        <v>0</v>
      </c>
      <c r="E59" s="11">
        <v>590.92425759092419</v>
      </c>
    </row>
    <row r="60" spans="1:14" x14ac:dyDescent="0.25">
      <c r="A60" s="4" t="str">
        <v>Viru</v>
      </c>
      <c r="B60" s="11">
        <v>3006</v>
      </c>
      <c r="C60" s="5">
        <v>45887</v>
      </c>
      <c r="D60" s="11">
        <v>313.18257032542743</v>
      </c>
      <c r="E60" s="11">
        <v>0</v>
      </c>
    </row>
    <row r="61" spans="1:14" x14ac:dyDescent="0.25">
      <c r="A61" s="4" t="str">
        <v>Chiclayo</v>
      </c>
      <c r="B61" s="11">
        <v>11825</v>
      </c>
      <c r="C61" s="5">
        <v>45887</v>
      </c>
      <c r="D61" s="11">
        <v>0</v>
      </c>
      <c r="E61" s="11">
        <v>0</v>
      </c>
    </row>
    <row r="62" spans="1:14" x14ac:dyDescent="0.25">
      <c r="A62" s="4" t="str">
        <v>Cajamarca</v>
      </c>
      <c r="B62" s="11">
        <v>11448</v>
      </c>
      <c r="C62" s="5">
        <v>45902</v>
      </c>
      <c r="D62" s="11">
        <v>0</v>
      </c>
      <c r="E62" s="11">
        <v>0</v>
      </c>
    </row>
    <row r="63" spans="1:14" x14ac:dyDescent="0.25">
      <c r="A63" s="4" t="str">
        <v>Cajamarca</v>
      </c>
      <c r="B63" s="11">
        <v>11829.6</v>
      </c>
      <c r="C63" s="5">
        <v>45902</v>
      </c>
      <c r="D63" s="11">
        <v>0</v>
      </c>
      <c r="E63" s="11">
        <v>0</v>
      </c>
    </row>
    <row r="64" spans="1:14" x14ac:dyDescent="0.25">
      <c r="A64" s="4" t="str">
        <v>Marcabal</v>
      </c>
      <c r="B64" s="11">
        <v>4061.92</v>
      </c>
      <c r="C64" s="5">
        <v>45908</v>
      </c>
      <c r="D64" s="11">
        <v>0</v>
      </c>
      <c r="E64" s="11">
        <v>0</v>
      </c>
      <c r="N64" t="s">
        <v>114</v>
      </c>
    </row>
    <row r="65" spans="1:5" x14ac:dyDescent="0.25">
      <c r="A65" s="4" t="str">
        <v>Viru</v>
      </c>
      <c r="B65" s="11">
        <v>3104</v>
      </c>
      <c r="C65" s="5">
        <v>45913</v>
      </c>
      <c r="D65" s="11">
        <v>323.39278053563766</v>
      </c>
      <c r="E65" s="11">
        <v>0</v>
      </c>
    </row>
    <row r="66" spans="1:5" x14ac:dyDescent="0.25">
      <c r="A66" s="4" t="str">
        <v>Chongoyape</v>
      </c>
      <c r="B66" s="11">
        <v>5209</v>
      </c>
      <c r="C66" s="5">
        <v>45915</v>
      </c>
      <c r="D66" s="11">
        <v>521.42142142142143</v>
      </c>
      <c r="E66" s="11">
        <v>0</v>
      </c>
    </row>
    <row r="67" spans="1:5" x14ac:dyDescent="0.25">
      <c r="A67" s="4" t="str">
        <v>Chiclayo</v>
      </c>
      <c r="B67" s="11">
        <v>12220</v>
      </c>
      <c r="C67" s="5">
        <v>45916</v>
      </c>
      <c r="D67" s="11">
        <v>0</v>
      </c>
      <c r="E67" s="11">
        <v>0</v>
      </c>
    </row>
    <row r="68" spans="1:5" x14ac:dyDescent="0.25">
      <c r="A68" s="4" t="str">
        <v>Julcán</v>
      </c>
      <c r="B68" s="11">
        <v>2588</v>
      </c>
      <c r="C68" s="5">
        <v>45916</v>
      </c>
      <c r="D68" s="11">
        <v>1704.2385242385246</v>
      </c>
      <c r="E68" s="11">
        <v>0</v>
      </c>
    </row>
    <row r="69" spans="1:5" x14ac:dyDescent="0.25">
      <c r="A69" s="4" t="str">
        <v>Pataz - Tayabamba</v>
      </c>
      <c r="B69" s="11">
        <v>9268</v>
      </c>
      <c r="C69" s="5">
        <v>45916</v>
      </c>
      <c r="D69" s="11">
        <v>0</v>
      </c>
      <c r="E69" s="11">
        <v>0</v>
      </c>
    </row>
    <row r="70" spans="1:5" x14ac:dyDescent="0.25">
      <c r="A70" s="4" t="str">
        <v>San Jose</v>
      </c>
      <c r="B70" s="11">
        <v>3420</v>
      </c>
      <c r="C70" s="5">
        <v>45917</v>
      </c>
      <c r="D70" s="11">
        <v>716.82294539437396</v>
      </c>
      <c r="E70" s="11">
        <v>0</v>
      </c>
    </row>
    <row r="71" spans="1:5" x14ac:dyDescent="0.25">
      <c r="A71" s="4" t="str">
        <v>Marcabal</v>
      </c>
      <c r="B71" s="11">
        <v>4061.92</v>
      </c>
      <c r="C71" s="5">
        <v>45945</v>
      </c>
      <c r="D71" s="11">
        <v>0</v>
      </c>
      <c r="E71" s="11">
        <v>0</v>
      </c>
    </row>
    <row r="72" spans="1:5" x14ac:dyDescent="0.25">
      <c r="A72" s="4" t="str">
        <v>Julcán</v>
      </c>
      <c r="B72" s="11">
        <v>2588</v>
      </c>
      <c r="C72" s="5">
        <v>45946</v>
      </c>
      <c r="D72" s="11">
        <v>1704.2385242385246</v>
      </c>
      <c r="E72" s="11">
        <v>0</v>
      </c>
    </row>
    <row r="73" spans="1:5" x14ac:dyDescent="0.25">
      <c r="A73" s="4" t="str">
        <v>Chiclayo</v>
      </c>
      <c r="B73" s="11">
        <v>11824</v>
      </c>
      <c r="C73" s="5">
        <v>45951</v>
      </c>
      <c r="D73" s="11">
        <v>0</v>
      </c>
      <c r="E73" s="11">
        <v>0</v>
      </c>
    </row>
    <row r="74" spans="1:5" x14ac:dyDescent="0.25">
      <c r="A74" s="4" t="str">
        <v>Olmos</v>
      </c>
      <c r="B74" s="11">
        <v>5840</v>
      </c>
      <c r="C74" s="5">
        <v>45962</v>
      </c>
      <c r="D74" s="11">
        <v>0</v>
      </c>
      <c r="E74" s="11">
        <v>0</v>
      </c>
    </row>
    <row r="78" spans="1:5" x14ac:dyDescent="0.25">
      <c r="E78" s="11">
        <f>E35/40</f>
        <v>14.773106439773105</v>
      </c>
    </row>
    <row r="79" spans="1:5" x14ac:dyDescent="0.25">
      <c r="E79" s="11">
        <f>E78-14</f>
        <v>0.77310643977310534</v>
      </c>
    </row>
    <row r="80" spans="1:5" x14ac:dyDescent="0.25">
      <c r="E80" s="11">
        <f>E79*240</f>
        <v>185.54554554554528</v>
      </c>
    </row>
  </sheetData>
  <autoFilter ref="A1:E59" xr:uid="{D0890DA8-AD9B-4A3D-AEF2-32535658F8D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9086A-2D07-48C4-9FDC-15B21F2FC4C4}">
  <dimension ref="A1:AB74"/>
  <sheetViews>
    <sheetView workbookViewId="0">
      <pane ySplit="1" topLeftCell="A53" activePane="bottomLeft" state="frozen"/>
      <selection pane="bottomLeft" activeCell="D58" sqref="D58"/>
    </sheetView>
  </sheetViews>
  <sheetFormatPr baseColWidth="10" defaultRowHeight="15" x14ac:dyDescent="0.25"/>
  <cols>
    <col min="1" max="1" width="18" style="4" bestFit="1" customWidth="1"/>
    <col min="2" max="2" width="13" style="11" bestFit="1" customWidth="1"/>
    <col min="3" max="3" width="11.42578125" style="5"/>
    <col min="4" max="5" width="11.28515625" style="11" customWidth="1"/>
    <col min="6" max="6" width="14.85546875" style="11" customWidth="1"/>
    <col min="7" max="8" width="10.85546875" style="11" customWidth="1"/>
    <col min="9" max="9" width="12.5703125" style="11" customWidth="1"/>
    <col min="10" max="10" width="8.5703125" style="11" customWidth="1"/>
    <col min="11" max="11" width="12.85546875" style="11" customWidth="1"/>
    <col min="12" max="12" width="11.42578125" style="11"/>
    <col min="13" max="13" width="6.85546875" style="11" bestFit="1" customWidth="1"/>
    <col min="14" max="14" width="10.28515625" style="11" customWidth="1"/>
    <col min="15" max="15" width="9.140625" style="11" bestFit="1" customWidth="1"/>
    <col min="16" max="17" width="9" style="11" customWidth="1"/>
    <col min="18" max="28" width="11.42578125" style="11"/>
  </cols>
  <sheetData>
    <row r="1" spans="1:28" ht="45.75" thickBot="1" x14ac:dyDescent="0.3">
      <c r="A1" s="23" t="s">
        <v>3</v>
      </c>
      <c r="B1" s="24" t="s">
        <v>6</v>
      </c>
      <c r="C1" s="25" t="s">
        <v>7</v>
      </c>
      <c r="D1" s="24" t="s">
        <v>32</v>
      </c>
      <c r="E1" s="24" t="s">
        <v>109</v>
      </c>
      <c r="F1" s="24" t="s">
        <v>92</v>
      </c>
      <c r="G1" s="24" t="s">
        <v>91</v>
      </c>
      <c r="H1" s="24" t="s">
        <v>108</v>
      </c>
      <c r="I1" s="24" t="s">
        <v>31</v>
      </c>
      <c r="J1" s="24" t="s">
        <v>34</v>
      </c>
      <c r="K1" s="24" t="s">
        <v>90</v>
      </c>
      <c r="L1" s="24" t="s">
        <v>46</v>
      </c>
      <c r="M1" s="24" t="s">
        <v>49</v>
      </c>
      <c r="N1" s="24" t="s">
        <v>110</v>
      </c>
      <c r="O1" s="24" t="s">
        <v>62</v>
      </c>
      <c r="P1" s="24" t="s">
        <v>70</v>
      </c>
      <c r="Q1" s="24" t="s">
        <v>58</v>
      </c>
      <c r="R1" s="24" t="s">
        <v>61</v>
      </c>
      <c r="S1" s="24" t="s">
        <v>35</v>
      </c>
      <c r="T1" s="24" t="s">
        <v>55</v>
      </c>
      <c r="U1" s="24" t="s">
        <v>56</v>
      </c>
      <c r="V1" s="24" t="s">
        <v>67</v>
      </c>
      <c r="W1" s="24" t="s">
        <v>68</v>
      </c>
      <c r="X1" s="24" t="s">
        <v>69</v>
      </c>
      <c r="Y1" s="24" t="s">
        <v>74</v>
      </c>
      <c r="Z1" s="24" t="s">
        <v>75</v>
      </c>
      <c r="AA1" s="24" t="s">
        <v>36</v>
      </c>
      <c r="AB1" s="27" t="s">
        <v>37</v>
      </c>
    </row>
    <row r="2" spans="1:28" x14ac:dyDescent="0.25">
      <c r="A2" s="22" t="str" cm="1">
        <f t="array" ref="A2:A74">General!A2:A74</f>
        <v>San Jose</v>
      </c>
      <c r="B2" s="11" cm="1">
        <f t="array" ref="B2:C74">General!F2:G74</f>
        <v>3347</v>
      </c>
      <c r="C2" s="5">
        <v>45630</v>
      </c>
      <c r="D2" s="11" cm="1">
        <f t="array" ref="D2:D74">Laminado!D2:D74</f>
        <v>379.05668958828437</v>
      </c>
      <c r="E2" s="11">
        <v>0</v>
      </c>
      <c r="F2" s="11" cm="1">
        <f t="array" ref="F2:F51">Tostado!D2:D51</f>
        <v>852.92605264893257</v>
      </c>
      <c r="G2" s="11">
        <v>0</v>
      </c>
      <c r="H2" s="11">
        <v>0</v>
      </c>
      <c r="I2" s="11" cm="1">
        <f t="array" ref="I2:J74">Tostado!E2:F74</f>
        <v>1279.3890789733989</v>
      </c>
      <c r="J2" s="11">
        <v>72.25140141193161</v>
      </c>
      <c r="K2" s="11" cm="1">
        <f t="array" ref="K2:K74">_xlfn.ANCHORARRAY(Deshidratado!D2)</f>
        <v>701.52233866519578</v>
      </c>
      <c r="L2" s="11" cm="1">
        <f t="array" ref="L2:L74">_xlfn.ANCHORARRAY(Deshidratado!E2)</f>
        <v>0</v>
      </c>
      <c r="M2" s="11" cm="1">
        <f t="array" ref="M2:M74">Mezclado!J2:J74</f>
        <v>0</v>
      </c>
      <c r="N2" s="11">
        <v>0</v>
      </c>
      <c r="O2" s="11" cm="1">
        <f t="array" ref="O2:O21">Limpieza!F3:F22</f>
        <v>0</v>
      </c>
      <c r="P2" s="11" cm="1">
        <f t="array" ref="P2:P74">Molido!I2:I74</f>
        <v>0</v>
      </c>
      <c r="Q2" s="11" cm="1">
        <f t="array" ref="Q2:Q74">Mezclado!M2:M74</f>
        <v>0</v>
      </c>
      <c r="R2" s="11" cm="1">
        <f t="array" ref="R2:S74">Mezclado!N2:O74</f>
        <v>0</v>
      </c>
      <c r="S2" s="11">
        <v>0</v>
      </c>
      <c r="T2" s="11" cm="1">
        <f t="array" ref="T2:T74">Tostado!J2:J74</f>
        <v>0</v>
      </c>
      <c r="U2" s="11" cm="1">
        <f t="array" ref="U2:AB74">Mezclado!Q2:X74</f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145.74024024024024</v>
      </c>
      <c r="AB2" s="11">
        <v>8.3758758758758756</v>
      </c>
    </row>
    <row r="3" spans="1:28" x14ac:dyDescent="0.25">
      <c r="A3" s="22" t="str">
        <v>Pataz - Tayabamba</v>
      </c>
      <c r="B3" s="11">
        <v>9286</v>
      </c>
      <c r="C3" s="5">
        <v>45642</v>
      </c>
      <c r="D3" s="11">
        <v>804.59777731593169</v>
      </c>
      <c r="E3" s="11">
        <v>0</v>
      </c>
      <c r="F3" s="11">
        <v>2607.8847625239373</v>
      </c>
      <c r="G3" s="11">
        <v>0</v>
      </c>
      <c r="H3" s="11">
        <v>0</v>
      </c>
      <c r="I3" s="11">
        <v>2761.4047879143609</v>
      </c>
      <c r="J3" s="11">
        <v>766.62229239548822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1312.4956956956955</v>
      </c>
      <c r="S3" s="11">
        <v>0</v>
      </c>
      <c r="T3" s="11">
        <v>0</v>
      </c>
      <c r="U3" s="11">
        <v>1020.6234234234233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309.53333333333336</v>
      </c>
      <c r="AB3" s="11">
        <v>17.661061061061059</v>
      </c>
    </row>
    <row r="4" spans="1:28" x14ac:dyDescent="0.25">
      <c r="A4" s="22" t="str">
        <v>Viru</v>
      </c>
      <c r="B4" s="11">
        <v>2810</v>
      </c>
      <c r="C4" s="5">
        <v>45653</v>
      </c>
      <c r="D4" s="11">
        <v>367.33021888488292</v>
      </c>
      <c r="E4" s="11">
        <v>0</v>
      </c>
      <c r="F4" s="11">
        <v>652.67472023823552</v>
      </c>
      <c r="G4" s="11">
        <v>0</v>
      </c>
      <c r="H4" s="11">
        <v>0</v>
      </c>
      <c r="I4" s="11">
        <v>1305.349440476471</v>
      </c>
      <c r="J4" s="11">
        <v>0</v>
      </c>
      <c r="K4" s="11">
        <v>0</v>
      </c>
      <c r="L4" s="11">
        <v>975.87383301669001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51.755755755755757</v>
      </c>
      <c r="T4" s="11">
        <v>0</v>
      </c>
      <c r="U4" s="11">
        <v>0</v>
      </c>
      <c r="V4" s="11">
        <v>28.690690690690694</v>
      </c>
      <c r="W4" s="11">
        <v>28.690690690690694</v>
      </c>
      <c r="X4" s="11">
        <v>28.690690690690694</v>
      </c>
      <c r="Y4" s="11">
        <v>0</v>
      </c>
      <c r="Z4" s="11">
        <v>0</v>
      </c>
      <c r="AA4" s="11">
        <v>121.51351351351352</v>
      </c>
      <c r="AB4" s="11">
        <v>6.7507507507507505</v>
      </c>
    </row>
    <row r="5" spans="1:28" x14ac:dyDescent="0.25">
      <c r="A5" s="22" t="str">
        <v>Julcán</v>
      </c>
      <c r="B5" s="11">
        <v>2588</v>
      </c>
      <c r="C5" s="5">
        <v>45656</v>
      </c>
      <c r="D5" s="11">
        <v>142.39153898130829</v>
      </c>
      <c r="E5" s="11">
        <v>0</v>
      </c>
      <c r="F5" s="11">
        <v>431.54633399595093</v>
      </c>
      <c r="G5" s="11">
        <v>0</v>
      </c>
      <c r="H5" s="11">
        <v>0</v>
      </c>
      <c r="I5" s="11">
        <v>0</v>
      </c>
      <c r="J5" s="11">
        <v>262.16580561205012</v>
      </c>
      <c r="K5" s="11">
        <v>1704.2385242385246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105.95515515515515</v>
      </c>
      <c r="AB5" s="11">
        <v>5.9583583583583586</v>
      </c>
    </row>
    <row r="6" spans="1:28" x14ac:dyDescent="0.25">
      <c r="A6" s="22" t="str">
        <v>Olmos</v>
      </c>
      <c r="B6" s="11">
        <v>5252</v>
      </c>
      <c r="C6" s="5">
        <v>45665</v>
      </c>
      <c r="D6" s="11">
        <v>1889.3433051908478</v>
      </c>
      <c r="E6" s="11">
        <v>0</v>
      </c>
      <c r="F6" s="11">
        <v>1623.2377720967199</v>
      </c>
      <c r="G6" s="11">
        <v>0</v>
      </c>
      <c r="H6" s="11">
        <v>0</v>
      </c>
      <c r="I6" s="11">
        <v>660.33717285558237</v>
      </c>
      <c r="J6" s="11">
        <v>48.668066341114951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923.17437437437434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195.56996996996995</v>
      </c>
      <c r="AB6" s="11">
        <v>11.040240240240239</v>
      </c>
    </row>
    <row r="7" spans="1:28" x14ac:dyDescent="0.25">
      <c r="A7" s="22" t="str">
        <v>Marcabal</v>
      </c>
      <c r="B7" s="11">
        <v>4061.92</v>
      </c>
      <c r="C7" s="5">
        <v>45671</v>
      </c>
      <c r="D7" s="11">
        <v>468.5875524471312</v>
      </c>
      <c r="E7" s="11">
        <v>0</v>
      </c>
      <c r="F7" s="11">
        <v>0</v>
      </c>
      <c r="G7" s="11">
        <v>0</v>
      </c>
      <c r="H7" s="11">
        <v>0</v>
      </c>
      <c r="I7" s="11">
        <v>2448.1936941128956</v>
      </c>
      <c r="J7" s="11">
        <v>345.60453152500281</v>
      </c>
      <c r="K7" s="11">
        <v>0</v>
      </c>
      <c r="L7" s="11">
        <v>0</v>
      </c>
      <c r="M7" s="11">
        <v>260.62970170170172</v>
      </c>
      <c r="N7" s="11">
        <v>0</v>
      </c>
      <c r="O7" s="11">
        <v>0</v>
      </c>
      <c r="P7" s="11">
        <v>458.87556127556132</v>
      </c>
      <c r="Q7" s="11">
        <v>0</v>
      </c>
      <c r="R7" s="11">
        <v>0</v>
      </c>
      <c r="S7" s="11">
        <v>0</v>
      </c>
      <c r="T7" s="11">
        <v>8.1268392314047695</v>
      </c>
      <c r="U7" s="11">
        <v>7.7253733733733734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167.51862262262264</v>
      </c>
      <c r="AB7" s="11">
        <v>9.3517677677677682</v>
      </c>
    </row>
    <row r="8" spans="1:28" x14ac:dyDescent="0.25">
      <c r="A8" s="22" t="str">
        <v>Julcán</v>
      </c>
      <c r="B8" s="11">
        <v>2588</v>
      </c>
      <c r="C8" s="5">
        <v>45673</v>
      </c>
      <c r="D8" s="11">
        <v>142.39153898130829</v>
      </c>
      <c r="E8" s="11">
        <v>0</v>
      </c>
      <c r="F8" s="11">
        <v>431.54633399595093</v>
      </c>
      <c r="G8" s="11">
        <v>0</v>
      </c>
      <c r="H8" s="11">
        <v>0</v>
      </c>
      <c r="I8" s="11">
        <v>0</v>
      </c>
      <c r="J8" s="11">
        <v>262.16580561205012</v>
      </c>
      <c r="K8" s="11">
        <v>1704.2385242385246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105.95515515515515</v>
      </c>
      <c r="AB8" s="11">
        <v>5.9583583583583586</v>
      </c>
    </row>
    <row r="9" spans="1:28" x14ac:dyDescent="0.25">
      <c r="A9" s="22" t="str">
        <v>Olmos</v>
      </c>
      <c r="B9" s="11">
        <v>5840</v>
      </c>
      <c r="C9" s="5">
        <v>45691</v>
      </c>
      <c r="D9" s="11">
        <v>2100.8691740888335</v>
      </c>
      <c r="E9" s="11" cm="1">
        <f t="array" ref="E9:E10">Laminado!E9:E10</f>
        <v>1750.8220356765992</v>
      </c>
      <c r="F9" s="11">
        <v>0</v>
      </c>
      <c r="G9" s="11">
        <v>0</v>
      </c>
      <c r="H9" s="11">
        <f>Molido!E9</f>
        <v>712.23876938162664</v>
      </c>
      <c r="I9" s="11">
        <v>0</v>
      </c>
      <c r="J9" s="11">
        <v>54.116814057903902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1026.5305305305305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217.46546546546546</v>
      </c>
      <c r="AB9" s="11">
        <v>12.276276276276276</v>
      </c>
    </row>
    <row r="10" spans="1:28" x14ac:dyDescent="0.25">
      <c r="A10" s="22" t="str">
        <v>San Pedro de Lloc</v>
      </c>
      <c r="B10" s="11">
        <v>4691</v>
      </c>
      <c r="C10" s="5">
        <v>45691</v>
      </c>
      <c r="D10" s="11">
        <v>300.01586340603393</v>
      </c>
      <c r="E10" s="11">
        <v>731.43584908880791</v>
      </c>
      <c r="F10" s="11">
        <v>0</v>
      </c>
      <c r="G10" s="11">
        <v>0</v>
      </c>
      <c r="H10" s="11">
        <f>Laminado!F10</f>
        <v>2742.5311971951892</v>
      </c>
      <c r="I10" s="11">
        <v>0</v>
      </c>
      <c r="J10" s="11">
        <v>76.565625166508823</v>
      </c>
      <c r="K10" s="11">
        <v>558.21280464137601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91.096496496496499</v>
      </c>
      <c r="Z10" s="11">
        <v>18.313213213213213</v>
      </c>
      <c r="AA10" s="11">
        <v>192.99309309309308</v>
      </c>
      <c r="AB10" s="11">
        <v>10.800100100100099</v>
      </c>
    </row>
    <row r="11" spans="1:28" x14ac:dyDescent="0.25">
      <c r="A11" s="22" t="str">
        <v>Marcabal</v>
      </c>
      <c r="B11" s="11">
        <v>4061.92</v>
      </c>
      <c r="C11" s="5">
        <v>45700</v>
      </c>
      <c r="D11" s="11">
        <v>468.5875524471312</v>
      </c>
      <c r="E11" s="11">
        <v>0</v>
      </c>
      <c r="F11" s="11">
        <v>0</v>
      </c>
      <c r="G11" s="11">
        <v>0</v>
      </c>
      <c r="H11" s="11">
        <v>0</v>
      </c>
      <c r="I11" s="11">
        <v>2448.1936941128956</v>
      </c>
      <c r="J11" s="11">
        <v>345.60453152500281</v>
      </c>
      <c r="K11" s="11">
        <v>0</v>
      </c>
      <c r="L11" s="11">
        <v>0</v>
      </c>
      <c r="M11" s="11">
        <v>260.62970170170172</v>
      </c>
      <c r="N11" s="11">
        <v>0</v>
      </c>
      <c r="O11" s="11">
        <v>0</v>
      </c>
      <c r="P11" s="11">
        <v>458.87556127556132</v>
      </c>
      <c r="Q11" s="11">
        <v>0</v>
      </c>
      <c r="R11" s="11">
        <v>0</v>
      </c>
      <c r="S11" s="11">
        <v>0</v>
      </c>
      <c r="T11" s="11">
        <v>8.1268392314047695</v>
      </c>
      <c r="U11" s="11">
        <v>7.7253733733733734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167.51862262262264</v>
      </c>
      <c r="AB11" s="11">
        <v>9.3517677677677682</v>
      </c>
    </row>
    <row r="12" spans="1:28" x14ac:dyDescent="0.25">
      <c r="A12" s="22" t="str">
        <v>Julcán</v>
      </c>
      <c r="B12" s="11">
        <v>2600</v>
      </c>
      <c r="C12" s="5">
        <v>45702</v>
      </c>
      <c r="D12" s="11">
        <v>143.05177795649212</v>
      </c>
      <c r="E12" s="11">
        <v>0</v>
      </c>
      <c r="F12" s="11">
        <v>433.54732163426286</v>
      </c>
      <c r="G12" s="11">
        <v>0</v>
      </c>
      <c r="H12" s="11">
        <v>0</v>
      </c>
      <c r="I12" s="11">
        <v>0</v>
      </c>
      <c r="J12" s="11">
        <v>263.38141212957117</v>
      </c>
      <c r="K12" s="11">
        <v>1712.1407121407124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106.44644644644644</v>
      </c>
      <c r="AB12" s="11">
        <v>5.9859859859859856</v>
      </c>
    </row>
    <row r="13" spans="1:28" x14ac:dyDescent="0.25">
      <c r="A13" s="22" t="str">
        <v>Viru</v>
      </c>
      <c r="B13" s="11">
        <v>3108</v>
      </c>
      <c r="C13" s="5">
        <v>45702</v>
      </c>
      <c r="D13" s="11">
        <v>406.28552323637587</v>
      </c>
      <c r="E13" s="11">
        <v>0</v>
      </c>
      <c r="F13" s="11">
        <v>721.8907581852086</v>
      </c>
      <c r="G13" s="11">
        <v>0</v>
      </c>
      <c r="H13" s="11">
        <v>0</v>
      </c>
      <c r="I13" s="11">
        <v>1443.7815163704172</v>
      </c>
      <c r="J13" s="11">
        <v>0</v>
      </c>
      <c r="K13" s="11">
        <v>323.8095238095238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57.244444444444447</v>
      </c>
      <c r="T13" s="11">
        <v>0</v>
      </c>
      <c r="U13" s="11">
        <v>0</v>
      </c>
      <c r="V13" s="11">
        <v>31.733333333333338</v>
      </c>
      <c r="W13" s="11">
        <v>31.733333333333338</v>
      </c>
      <c r="X13" s="11">
        <v>31.733333333333338</v>
      </c>
      <c r="Y13" s="11">
        <v>0</v>
      </c>
      <c r="Z13" s="11">
        <v>0</v>
      </c>
      <c r="AA13" s="11">
        <v>134.4</v>
      </c>
      <c r="AB13" s="11">
        <v>7.4666666666666668</v>
      </c>
    </row>
    <row r="14" spans="1:28" x14ac:dyDescent="0.25">
      <c r="A14" s="22" t="str">
        <v>Olmos</v>
      </c>
      <c r="B14" s="11">
        <v>5611</v>
      </c>
      <c r="C14" s="5">
        <v>45717</v>
      </c>
      <c r="D14" s="11">
        <v>2018.4892013377471</v>
      </c>
      <c r="E14" s="11">
        <f>Laminado!E14</f>
        <v>1682.1682264009244</v>
      </c>
      <c r="F14" s="11">
        <v>0</v>
      </c>
      <c r="G14" s="11">
        <v>0</v>
      </c>
      <c r="H14" s="11">
        <f>Molido!E14</f>
        <v>684.31022859594293</v>
      </c>
      <c r="I14" s="11">
        <v>0</v>
      </c>
      <c r="J14" s="11">
        <v>51.994767753236097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986.27787787787793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208.93813813813813</v>
      </c>
      <c r="AB14" s="11">
        <v>11.794894894894895</v>
      </c>
    </row>
    <row r="15" spans="1:28" x14ac:dyDescent="0.25">
      <c r="A15" s="22" t="str">
        <v>Chongoyape</v>
      </c>
      <c r="B15" s="11">
        <v>2626</v>
      </c>
      <c r="C15" s="5">
        <v>45727</v>
      </c>
      <c r="D15" s="11">
        <v>163.20171726390382</v>
      </c>
      <c r="E15" s="11">
        <v>0</v>
      </c>
      <c r="F15" s="11">
        <v>426.46685606492866</v>
      </c>
      <c r="G15" s="11">
        <v>0</v>
      </c>
      <c r="H15" s="11">
        <v>0</v>
      </c>
      <c r="I15" s="11">
        <v>1409.7147852670682</v>
      </c>
      <c r="J15" s="11">
        <v>141.02678314754897</v>
      </c>
      <c r="K15" s="11">
        <v>0</v>
      </c>
      <c r="L15" s="11">
        <v>876.20954287620941</v>
      </c>
      <c r="M15" s="11">
        <v>206.08448448448448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109.35095095095095</v>
      </c>
      <c r="AB15" s="11">
        <v>6.3087087087087079</v>
      </c>
    </row>
    <row r="16" spans="1:28" x14ac:dyDescent="0.25">
      <c r="A16" s="22" t="str">
        <v>Marcabal</v>
      </c>
      <c r="B16" s="11">
        <v>4061.92</v>
      </c>
      <c r="C16" s="5">
        <v>45728</v>
      </c>
      <c r="D16" s="11">
        <v>468.5875524471312</v>
      </c>
      <c r="E16" s="11">
        <v>0</v>
      </c>
      <c r="F16" s="11">
        <v>0</v>
      </c>
      <c r="G16" s="11">
        <v>0</v>
      </c>
      <c r="H16" s="11">
        <v>0</v>
      </c>
      <c r="I16" s="11">
        <v>2448.1936941128956</v>
      </c>
      <c r="J16" s="11">
        <v>345.60453152500281</v>
      </c>
      <c r="K16" s="11">
        <v>0</v>
      </c>
      <c r="L16" s="11">
        <v>0</v>
      </c>
      <c r="M16" s="11">
        <v>260.62970170170172</v>
      </c>
      <c r="N16" s="11">
        <v>0</v>
      </c>
      <c r="O16" s="11">
        <v>0</v>
      </c>
      <c r="P16" s="11">
        <v>458.87556127556132</v>
      </c>
      <c r="Q16" s="11">
        <v>0</v>
      </c>
      <c r="R16" s="11">
        <v>0</v>
      </c>
      <c r="S16" s="11">
        <v>0</v>
      </c>
      <c r="T16" s="11">
        <v>8.1268392314047695</v>
      </c>
      <c r="U16" s="11">
        <v>7.7253733733733734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167.51862262262264</v>
      </c>
      <c r="AB16" s="11">
        <v>9.3517677677677682</v>
      </c>
    </row>
    <row r="17" spans="1:28" x14ac:dyDescent="0.25">
      <c r="A17" s="22" t="str">
        <v>Julcán</v>
      </c>
      <c r="B17" s="11">
        <v>2588</v>
      </c>
      <c r="C17" s="5">
        <v>45733</v>
      </c>
      <c r="D17" s="11">
        <v>142.39153898130829</v>
      </c>
      <c r="E17" s="11">
        <v>0</v>
      </c>
      <c r="F17" s="11">
        <v>431.54633399595093</v>
      </c>
      <c r="G17" s="11">
        <v>0</v>
      </c>
      <c r="H17" s="11">
        <v>0</v>
      </c>
      <c r="I17" s="11">
        <v>0</v>
      </c>
      <c r="J17" s="11">
        <v>262.16580561205012</v>
      </c>
      <c r="K17" s="11">
        <v>1704.2385242385246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105.95515515515515</v>
      </c>
      <c r="AB17" s="11">
        <v>5.9583583583583586</v>
      </c>
    </row>
    <row r="18" spans="1:28" x14ac:dyDescent="0.25">
      <c r="A18" s="22" t="str">
        <v>San Jose</v>
      </c>
      <c r="B18" s="11">
        <v>4570</v>
      </c>
      <c r="C18" s="5">
        <v>45733</v>
      </c>
      <c r="D18" s="11">
        <v>517.56470613040312</v>
      </c>
      <c r="E18" s="11">
        <v>0</v>
      </c>
      <c r="F18" s="11">
        <v>1164.5868122514557</v>
      </c>
      <c r="G18" s="11">
        <v>0</v>
      </c>
      <c r="H18" s="11">
        <v>0</v>
      </c>
      <c r="I18" s="11">
        <v>1746.8802183771836</v>
      </c>
      <c r="J18" s="11">
        <v>98.652197326718678</v>
      </c>
      <c r="K18" s="11">
        <v>957.8599007170435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198.99399399399397</v>
      </c>
      <c r="AB18" s="11">
        <v>11.436436436436436</v>
      </c>
    </row>
    <row r="19" spans="1:28" x14ac:dyDescent="0.25">
      <c r="A19" s="22" t="str">
        <v>San Pedro de Lloc</v>
      </c>
      <c r="B19" s="11">
        <v>4742</v>
      </c>
      <c r="C19" s="5">
        <v>45733</v>
      </c>
      <c r="D19" s="11">
        <v>303.27760056947625</v>
      </c>
      <c r="E19" s="11">
        <v>0</v>
      </c>
      <c r="F19" s="11">
        <v>762.25560161905287</v>
      </c>
      <c r="G19" s="11">
        <v>0</v>
      </c>
      <c r="H19" s="11">
        <v>0</v>
      </c>
      <c r="I19" s="11">
        <v>2858.09038520782</v>
      </c>
      <c r="J19" s="11">
        <v>77.398037633678285</v>
      </c>
      <c r="K19" s="11">
        <v>564.28162856734298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92.086886886886887</v>
      </c>
      <c r="Z19" s="11">
        <v>18.512312312312311</v>
      </c>
      <c r="AA19" s="11">
        <v>195.09129129129127</v>
      </c>
      <c r="AB19" s="11">
        <v>10.917517517517517</v>
      </c>
    </row>
    <row r="20" spans="1:28" x14ac:dyDescent="0.25">
      <c r="A20" s="22" t="str">
        <v>Viru</v>
      </c>
      <c r="B20" s="11">
        <v>3006</v>
      </c>
      <c r="C20" s="5">
        <v>45733</v>
      </c>
      <c r="D20" s="11">
        <v>392.95182845834802</v>
      </c>
      <c r="E20" s="11">
        <v>0</v>
      </c>
      <c r="F20" s="11">
        <v>698.19936264631167</v>
      </c>
      <c r="G20" s="11">
        <v>0</v>
      </c>
      <c r="H20" s="11">
        <v>0</v>
      </c>
      <c r="I20" s="11">
        <v>1396.3987252926233</v>
      </c>
      <c r="J20" s="11">
        <v>0</v>
      </c>
      <c r="K20" s="11">
        <v>313.18257032542743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55.365765765765765</v>
      </c>
      <c r="T20" s="11">
        <v>0</v>
      </c>
      <c r="U20" s="11">
        <v>0</v>
      </c>
      <c r="V20" s="11">
        <v>30.691891891891892</v>
      </c>
      <c r="W20" s="11">
        <v>30.691891891891892</v>
      </c>
      <c r="X20" s="11">
        <v>30.691891891891892</v>
      </c>
      <c r="Y20" s="11">
        <v>0</v>
      </c>
      <c r="Z20" s="11">
        <v>0</v>
      </c>
      <c r="AA20" s="11">
        <v>129.9891891891892</v>
      </c>
      <c r="AB20" s="11">
        <v>7.2216216216216207</v>
      </c>
    </row>
    <row r="21" spans="1:28" x14ac:dyDescent="0.25">
      <c r="A21" s="22" t="str">
        <v>Pataz - Tayabamba</v>
      </c>
      <c r="B21" s="11">
        <v>9268</v>
      </c>
      <c r="C21" s="5">
        <v>45739</v>
      </c>
      <c r="D21" s="11">
        <v>803.03814345940714</v>
      </c>
      <c r="E21" s="11">
        <v>0</v>
      </c>
      <c r="F21" s="11">
        <v>2602.8296337574689</v>
      </c>
      <c r="G21" s="11">
        <v>0</v>
      </c>
      <c r="H21" s="11">
        <v>0</v>
      </c>
      <c r="I21" s="11">
        <v>2756.0520756397041</v>
      </c>
      <c r="J21" s="11">
        <v>765.13627029090947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1309.9515515515513</v>
      </c>
      <c r="S21" s="11">
        <v>0</v>
      </c>
      <c r="T21" s="11">
        <v>0</v>
      </c>
      <c r="U21" s="11">
        <v>1018.645045045045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308.93333333333334</v>
      </c>
      <c r="AB21" s="11">
        <v>17.626826826826825</v>
      </c>
    </row>
    <row r="22" spans="1:28" x14ac:dyDescent="0.25">
      <c r="A22" s="22" t="str">
        <v>Chiclayo</v>
      </c>
      <c r="B22" s="11">
        <v>30058</v>
      </c>
      <c r="C22" s="5">
        <v>45751</v>
      </c>
      <c r="D22" s="11">
        <v>8519.7273301385649</v>
      </c>
      <c r="E22" s="11" cm="1">
        <f t="array" ref="E22:E23">Laminado!E22:E23</f>
        <v>11845.109904287438</v>
      </c>
      <c r="F22" s="11">
        <v>0</v>
      </c>
      <c r="G22" s="11">
        <v>0</v>
      </c>
      <c r="H22" s="11" cm="1">
        <f t="array" ref="H22:H23">Molido!E22:E23</f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f>Molido!H22</f>
        <v>8667.5185185185182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1221.5763763763762</v>
      </c>
      <c r="AB22" s="11">
        <v>68.901721721721714</v>
      </c>
    </row>
    <row r="23" spans="1:28" x14ac:dyDescent="0.25">
      <c r="A23" s="22" t="str">
        <v>Olmos</v>
      </c>
      <c r="B23" s="11">
        <v>5840</v>
      </c>
      <c r="C23" s="5">
        <v>45751</v>
      </c>
      <c r="D23" s="11">
        <v>2100.8691740888335</v>
      </c>
      <c r="E23" s="11">
        <v>1750.8220356765992</v>
      </c>
      <c r="F23" s="11">
        <v>0</v>
      </c>
      <c r="G23" s="11">
        <v>0</v>
      </c>
      <c r="H23" s="11">
        <v>712.23876938162664</v>
      </c>
      <c r="I23" s="11">
        <v>0</v>
      </c>
      <c r="J23" s="11">
        <v>54.116814057903902</v>
      </c>
      <c r="K23" s="11">
        <v>0</v>
      </c>
      <c r="L23" s="11">
        <v>0</v>
      </c>
      <c r="M23" s="11">
        <v>0</v>
      </c>
      <c r="N23" s="11">
        <v>0</v>
      </c>
      <c r="O23" s="11" cm="1">
        <f t="array" ref="O23:O66">Limpieza!F24:F67</f>
        <v>0</v>
      </c>
      <c r="P23" s="11">
        <v>0</v>
      </c>
      <c r="Q23" s="11">
        <v>1026.5305305305305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217.46546546546546</v>
      </c>
      <c r="AB23" s="11">
        <v>12.276276276276276</v>
      </c>
    </row>
    <row r="24" spans="1:28" x14ac:dyDescent="0.25">
      <c r="A24" s="22" t="str">
        <v>Marcabal</v>
      </c>
      <c r="B24" s="11">
        <v>4061.92</v>
      </c>
      <c r="C24" s="5">
        <v>45756</v>
      </c>
      <c r="D24" s="11">
        <v>468.5875524471312</v>
      </c>
      <c r="E24" s="11">
        <v>0</v>
      </c>
      <c r="F24" s="11">
        <v>0</v>
      </c>
      <c r="G24" s="11">
        <v>0</v>
      </c>
      <c r="H24" s="11">
        <f>Laminado!F24</f>
        <v>2374.7478832895085</v>
      </c>
      <c r="I24" s="11">
        <v>0</v>
      </c>
      <c r="J24" s="11">
        <v>345.60453152500281</v>
      </c>
      <c r="K24" s="11">
        <v>0</v>
      </c>
      <c r="L24" s="11">
        <v>0</v>
      </c>
      <c r="M24" s="11">
        <v>260.62970170170172</v>
      </c>
      <c r="N24" s="11">
        <v>0</v>
      </c>
      <c r="O24" s="11">
        <v>0</v>
      </c>
      <c r="P24" s="11">
        <v>458.87556127556132</v>
      </c>
      <c r="Q24" s="11">
        <v>0</v>
      </c>
      <c r="R24" s="11">
        <v>0</v>
      </c>
      <c r="S24" s="11">
        <v>0</v>
      </c>
      <c r="T24" s="11">
        <v>8.1268392314047695</v>
      </c>
      <c r="U24" s="11">
        <v>7.7253733733733734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167.51862262262264</v>
      </c>
      <c r="AB24" s="11">
        <v>9.3517677677677682</v>
      </c>
    </row>
    <row r="25" spans="1:28" x14ac:dyDescent="0.25">
      <c r="A25" s="22" t="str">
        <v>Cajamarca</v>
      </c>
      <c r="B25" s="11">
        <v>10671.72</v>
      </c>
      <c r="C25" s="5">
        <v>45763</v>
      </c>
      <c r="D25" s="11">
        <v>3717.9474760618186</v>
      </c>
      <c r="E25" s="11">
        <v>0</v>
      </c>
      <c r="F25" s="11">
        <v>2071.1107037095308</v>
      </c>
      <c r="G25" s="11">
        <v>0</v>
      </c>
      <c r="H25" s="11">
        <v>0</v>
      </c>
      <c r="I25" s="11">
        <v>4142.2214074190615</v>
      </c>
      <c r="J25" s="11">
        <v>421.40762685681688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267.06006006006004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283.08366366366363</v>
      </c>
      <c r="AB25" s="11">
        <v>16.023603603603604</v>
      </c>
    </row>
    <row r="26" spans="1:28" x14ac:dyDescent="0.25">
      <c r="A26" s="22" t="str">
        <v>Cajamarca</v>
      </c>
      <c r="B26" s="11">
        <v>11433.6</v>
      </c>
      <c r="C26" s="5">
        <v>45763</v>
      </c>
      <c r="D26" s="11">
        <v>3983.3807729494793</v>
      </c>
      <c r="E26" s="11">
        <v>0</v>
      </c>
      <c r="F26" s="11">
        <v>2218.972325167199</v>
      </c>
      <c r="G26" s="11">
        <v>0</v>
      </c>
      <c r="H26" s="11">
        <v>0</v>
      </c>
      <c r="I26" s="11">
        <v>4437.9446503343979</v>
      </c>
      <c r="J26" s="11">
        <v>451.49294044728509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286.12612612612617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303.29369369369374</v>
      </c>
      <c r="AB26" s="11">
        <v>17.16756756756757</v>
      </c>
    </row>
    <row r="27" spans="1:28" x14ac:dyDescent="0.25">
      <c r="A27" s="22" t="str">
        <v>Cajamarca</v>
      </c>
      <c r="B27" s="11">
        <v>23470.720000000001</v>
      </c>
      <c r="C27" s="5">
        <v>45763</v>
      </c>
      <c r="D27" s="11">
        <v>8177.0234025399513</v>
      </c>
      <c r="E27" s="11">
        <v>0</v>
      </c>
      <c r="F27" s="11">
        <v>4555.0726045819574</v>
      </c>
      <c r="G27" s="11">
        <v>0</v>
      </c>
      <c r="H27" s="11">
        <v>0</v>
      </c>
      <c r="I27" s="11">
        <v>9110.1452091639148</v>
      </c>
      <c r="J27" s="11">
        <v>926.81783403432894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587.35535535535541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622.59667667667668</v>
      </c>
      <c r="AB27" s="11">
        <v>35.241321321321323</v>
      </c>
    </row>
    <row r="28" spans="1:28" x14ac:dyDescent="0.25">
      <c r="A28" s="22" t="str">
        <v>Julcán</v>
      </c>
      <c r="B28" s="11">
        <v>2588</v>
      </c>
      <c r="C28" s="5">
        <v>45763</v>
      </c>
      <c r="D28" s="11">
        <v>142.39153898130829</v>
      </c>
      <c r="E28" s="11">
        <v>0</v>
      </c>
      <c r="F28" s="11">
        <v>431.54633399595093</v>
      </c>
      <c r="G28" s="11">
        <v>0</v>
      </c>
      <c r="H28" s="11">
        <v>0</v>
      </c>
      <c r="I28" s="11">
        <v>0</v>
      </c>
      <c r="J28" s="11">
        <v>262.16580561205012</v>
      </c>
      <c r="K28" s="11">
        <v>1704.2385242385246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105.95515515515515</v>
      </c>
      <c r="AB28" s="11">
        <v>5.9583583583583586</v>
      </c>
    </row>
    <row r="29" spans="1:28" x14ac:dyDescent="0.25">
      <c r="A29" s="22" t="str">
        <v>Viru</v>
      </c>
      <c r="B29" s="11">
        <v>3104</v>
      </c>
      <c r="C29" s="5">
        <v>45763</v>
      </c>
      <c r="D29" s="11">
        <v>405.76263324508062</v>
      </c>
      <c r="E29" s="11">
        <v>0</v>
      </c>
      <c r="F29" s="11">
        <v>720.9616838503498</v>
      </c>
      <c r="G29" s="11">
        <v>0</v>
      </c>
      <c r="H29" s="11">
        <v>0</v>
      </c>
      <c r="I29" s="11">
        <v>1441.9233677006996</v>
      </c>
      <c r="J29" s="11">
        <v>0</v>
      </c>
      <c r="K29" s="11">
        <v>323.39278053563766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57.170770770770766</v>
      </c>
      <c r="T29" s="11">
        <v>0</v>
      </c>
      <c r="U29" s="11">
        <v>0</v>
      </c>
      <c r="V29" s="11">
        <v>31.692492492492494</v>
      </c>
      <c r="W29" s="11">
        <v>31.692492492492494</v>
      </c>
      <c r="X29" s="11">
        <v>31.692492492492494</v>
      </c>
      <c r="Y29" s="11">
        <v>0</v>
      </c>
      <c r="Z29" s="11">
        <v>0</v>
      </c>
      <c r="AA29" s="11">
        <v>134.22702702702702</v>
      </c>
      <c r="AB29" s="11">
        <v>7.4570570570570558</v>
      </c>
    </row>
    <row r="30" spans="1:28" x14ac:dyDescent="0.25">
      <c r="A30" s="22" t="str">
        <v>Chongoyape</v>
      </c>
      <c r="B30" s="11">
        <v>1771</v>
      </c>
      <c r="C30" s="5">
        <v>45764</v>
      </c>
      <c r="D30" s="11">
        <v>110.06482912200062</v>
      </c>
      <c r="E30" s="11">
        <v>0</v>
      </c>
      <c r="F30" s="11">
        <v>287.6134052136286</v>
      </c>
      <c r="G30" s="11">
        <v>0</v>
      </c>
      <c r="H30" s="11">
        <v>0</v>
      </c>
      <c r="I30" s="11">
        <v>950.72539402436314</v>
      </c>
      <c r="J30" s="11">
        <v>95.10983737787862</v>
      </c>
      <c r="K30" s="11">
        <v>0</v>
      </c>
      <c r="L30" s="11">
        <v>590.92425759092419</v>
      </c>
      <c r="M30" s="11">
        <v>138.98538538538537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73.747347347347343</v>
      </c>
      <c r="AB30" s="11">
        <v>4.2546546546546544</v>
      </c>
    </row>
    <row r="31" spans="1:28" x14ac:dyDescent="0.25">
      <c r="A31" s="22" t="str">
        <v>Olmos</v>
      </c>
      <c r="B31" s="11">
        <v>5611</v>
      </c>
      <c r="C31" s="5">
        <v>45779</v>
      </c>
      <c r="D31" s="11">
        <v>2018.4892013377471</v>
      </c>
      <c r="E31" s="11" cm="1">
        <f t="array" ref="E31:E34">Laminado!E31:E34</f>
        <v>1682.1682264009244</v>
      </c>
      <c r="F31" s="11">
        <v>0</v>
      </c>
      <c r="G31" s="11">
        <v>0</v>
      </c>
      <c r="H31" s="11">
        <f>Molido!E31</f>
        <v>684.31022859594293</v>
      </c>
      <c r="I31" s="11">
        <v>0</v>
      </c>
      <c r="J31" s="11">
        <v>51.994767753236097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986.27787787787793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208.93813813813813</v>
      </c>
      <c r="AB31" s="11">
        <v>11.794894894894895</v>
      </c>
    </row>
    <row r="32" spans="1:28" x14ac:dyDescent="0.25">
      <c r="A32" s="22" t="str">
        <v>Cajamarca</v>
      </c>
      <c r="B32" s="11">
        <v>11448</v>
      </c>
      <c r="C32" s="5">
        <v>45782</v>
      </c>
      <c r="D32" s="11">
        <v>3988.3976253083574</v>
      </c>
      <c r="E32" s="11">
        <v>2155.1139906205103</v>
      </c>
      <c r="F32" s="11">
        <v>0</v>
      </c>
      <c r="G32" s="11">
        <v>0</v>
      </c>
      <c r="H32" s="11" cm="1">
        <f t="array" ref="H32:H34">Laminado!F32:F34</f>
        <v>4310.2279812410206</v>
      </c>
      <c r="I32" s="11">
        <v>0</v>
      </c>
      <c r="J32" s="11">
        <v>452.06157135464946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286.48648648648651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303.67567567567568</v>
      </c>
      <c r="AB32" s="11">
        <v>17.189189189189189</v>
      </c>
    </row>
    <row r="33" spans="1:28" x14ac:dyDescent="0.25">
      <c r="A33" s="22" t="str">
        <v>Cajamarca</v>
      </c>
      <c r="B33" s="11">
        <v>11829.6</v>
      </c>
      <c r="C33" s="5">
        <v>45782</v>
      </c>
      <c r="D33" s="11">
        <v>4121.3442128186362</v>
      </c>
      <c r="E33" s="11">
        <v>2226.951123641194</v>
      </c>
      <c r="F33" s="11">
        <v>0</v>
      </c>
      <c r="G33" s="11">
        <v>0</v>
      </c>
      <c r="H33" s="11">
        <v>4453.9022472823881</v>
      </c>
      <c r="I33" s="11">
        <v>0</v>
      </c>
      <c r="J33" s="11">
        <v>467.13029039980444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296.03603603603608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313.79819819819824</v>
      </c>
      <c r="AB33" s="11">
        <v>17.762162162162163</v>
      </c>
    </row>
    <row r="34" spans="1:28" x14ac:dyDescent="0.25">
      <c r="A34" s="22" t="str">
        <v>Marcabal</v>
      </c>
      <c r="B34" s="11">
        <v>4061.92</v>
      </c>
      <c r="C34" s="5">
        <v>45786</v>
      </c>
      <c r="D34" s="11">
        <v>468.5875524471312</v>
      </c>
      <c r="E34" s="11">
        <v>0</v>
      </c>
      <c r="F34" s="11">
        <v>0</v>
      </c>
      <c r="G34" s="11">
        <v>0</v>
      </c>
      <c r="H34" s="11">
        <v>2374.7478832895085</v>
      </c>
      <c r="I34" s="11">
        <v>0</v>
      </c>
      <c r="J34" s="11">
        <v>345.60453152500281</v>
      </c>
      <c r="K34" s="11">
        <v>0</v>
      </c>
      <c r="L34" s="11">
        <v>0</v>
      </c>
      <c r="M34" s="11">
        <v>260.62970170170172</v>
      </c>
      <c r="N34" s="11">
        <v>0</v>
      </c>
      <c r="O34" s="11">
        <v>0</v>
      </c>
      <c r="P34" s="11">
        <v>458.87556127556132</v>
      </c>
      <c r="Q34" s="11">
        <v>0</v>
      </c>
      <c r="R34" s="11">
        <v>0</v>
      </c>
      <c r="S34" s="11">
        <v>0</v>
      </c>
      <c r="T34" s="11">
        <v>8.1268392314047695</v>
      </c>
      <c r="U34" s="11">
        <v>7.7253733733733734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167.51862262262264</v>
      </c>
      <c r="AB34" s="11">
        <v>9.3517677677677682</v>
      </c>
    </row>
    <row r="35" spans="1:28" x14ac:dyDescent="0.25">
      <c r="A35" s="22" t="str">
        <v>Chongoyape</v>
      </c>
      <c r="B35" s="11">
        <v>1771</v>
      </c>
      <c r="C35" s="5">
        <v>45793</v>
      </c>
      <c r="D35" s="11">
        <v>110.06482912200062</v>
      </c>
      <c r="E35" s="11">
        <v>0</v>
      </c>
      <c r="F35" s="11">
        <v>287.6134052136286</v>
      </c>
      <c r="G35" s="11">
        <v>0</v>
      </c>
      <c r="H35" s="11">
        <v>0</v>
      </c>
      <c r="I35" s="11">
        <v>950.72539402436314</v>
      </c>
      <c r="J35" s="11">
        <v>95.10983737787862</v>
      </c>
      <c r="K35" s="11">
        <v>0</v>
      </c>
      <c r="L35" s="11">
        <v>590.92425759092419</v>
      </c>
      <c r="M35" s="11">
        <v>138.98538538538537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73.747347347347343</v>
      </c>
      <c r="AB35" s="11">
        <v>4.2546546546546544</v>
      </c>
    </row>
    <row r="36" spans="1:28" x14ac:dyDescent="0.25">
      <c r="A36" s="22" t="str">
        <v>Viru</v>
      </c>
      <c r="B36" s="11">
        <v>3006</v>
      </c>
      <c r="C36" s="5">
        <v>45793</v>
      </c>
      <c r="D36" s="11">
        <v>392.95182845834802</v>
      </c>
      <c r="E36" s="11">
        <v>0</v>
      </c>
      <c r="F36" s="11">
        <v>698.19936264631167</v>
      </c>
      <c r="G36" s="11">
        <v>0</v>
      </c>
      <c r="H36" s="11">
        <v>0</v>
      </c>
      <c r="I36" s="11">
        <v>1396.3987252926233</v>
      </c>
      <c r="J36" s="11">
        <v>0</v>
      </c>
      <c r="K36" s="11">
        <v>313.18257032542743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55.365765765765765</v>
      </c>
      <c r="T36" s="11">
        <v>0</v>
      </c>
      <c r="U36" s="11">
        <v>0</v>
      </c>
      <c r="V36" s="11">
        <v>30.691891891891892</v>
      </c>
      <c r="W36" s="11">
        <v>30.691891891891892</v>
      </c>
      <c r="X36" s="11">
        <v>30.691891891891892</v>
      </c>
      <c r="Y36" s="11">
        <v>0</v>
      </c>
      <c r="Z36" s="11">
        <v>0</v>
      </c>
      <c r="AA36" s="11">
        <v>129.9891891891892</v>
      </c>
      <c r="AB36" s="11">
        <v>7.2216216216216207</v>
      </c>
    </row>
    <row r="37" spans="1:28" x14ac:dyDescent="0.25">
      <c r="A37" s="22" t="str">
        <v>Julcán</v>
      </c>
      <c r="B37" s="11">
        <v>2588</v>
      </c>
      <c r="C37" s="5">
        <v>45796</v>
      </c>
      <c r="D37" s="11">
        <v>142.39153898130829</v>
      </c>
      <c r="E37" s="11">
        <v>0</v>
      </c>
      <c r="F37" s="11">
        <v>431.54633399595093</v>
      </c>
      <c r="G37" s="11">
        <v>0</v>
      </c>
      <c r="H37" s="11">
        <v>0</v>
      </c>
      <c r="I37" s="11">
        <v>0</v>
      </c>
      <c r="J37" s="11">
        <v>262.16580561205012</v>
      </c>
      <c r="K37" s="11">
        <v>1704.2385242385246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105.95515515515515</v>
      </c>
      <c r="AB37" s="11">
        <v>5.9583583583583586</v>
      </c>
    </row>
    <row r="38" spans="1:28" x14ac:dyDescent="0.25">
      <c r="A38" s="22" t="str">
        <v>Cajatambo</v>
      </c>
      <c r="B38" s="11">
        <v>2686</v>
      </c>
      <c r="C38" s="5">
        <v>45800</v>
      </c>
      <c r="D38" s="11">
        <v>1887.7453180361906</v>
      </c>
      <c r="E38" s="11">
        <v>0</v>
      </c>
      <c r="F38" s="11">
        <v>834.05536879360398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</row>
    <row r="39" spans="1:28" x14ac:dyDescent="0.25">
      <c r="A39" s="22" t="str">
        <v>Olmos</v>
      </c>
      <c r="B39" s="11">
        <v>5840</v>
      </c>
      <c r="C39" s="5">
        <v>45810</v>
      </c>
      <c r="D39" s="11">
        <v>2100.8691740888335</v>
      </c>
      <c r="E39" s="11" cm="1">
        <f t="array" ref="E39:E40">Laminado!E39:E40</f>
        <v>1750.8220356765992</v>
      </c>
      <c r="F39" s="11">
        <v>0</v>
      </c>
      <c r="G39" s="11">
        <v>0</v>
      </c>
      <c r="H39" s="11">
        <f>Molido!E39</f>
        <v>712.23876938162664</v>
      </c>
      <c r="I39" s="11">
        <v>0</v>
      </c>
      <c r="J39" s="11">
        <v>54.116814057903902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1026.5305305305305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217.46546546546546</v>
      </c>
      <c r="AB39" s="11">
        <v>12.276276276276276</v>
      </c>
    </row>
    <row r="40" spans="1:28" x14ac:dyDescent="0.25">
      <c r="A40" s="22" t="str">
        <v>Marcabal</v>
      </c>
      <c r="B40" s="11">
        <v>4061.92</v>
      </c>
      <c r="C40" s="5">
        <v>45817</v>
      </c>
      <c r="D40" s="11">
        <v>468.5875524471312</v>
      </c>
      <c r="E40" s="11">
        <v>0</v>
      </c>
      <c r="F40" s="11">
        <v>0</v>
      </c>
      <c r="G40" s="11">
        <v>0</v>
      </c>
      <c r="H40" s="11" cm="1">
        <f t="array" ref="H40">Laminado!F40:F40</f>
        <v>2374.7478832895085</v>
      </c>
      <c r="I40" s="11">
        <v>0</v>
      </c>
      <c r="J40" s="11">
        <v>345.60453152500281</v>
      </c>
      <c r="K40" s="11">
        <v>0</v>
      </c>
      <c r="L40" s="11">
        <v>0</v>
      </c>
      <c r="M40" s="11">
        <v>260.62970170170172</v>
      </c>
      <c r="N40" s="11">
        <v>0</v>
      </c>
      <c r="O40" s="11">
        <v>0</v>
      </c>
      <c r="P40" s="11">
        <v>458.87556127556132</v>
      </c>
      <c r="Q40" s="11">
        <v>0</v>
      </c>
      <c r="R40" s="11">
        <v>0</v>
      </c>
      <c r="S40" s="11">
        <v>0</v>
      </c>
      <c r="T40" s="11">
        <v>8.1268392314047695</v>
      </c>
      <c r="U40" s="11">
        <v>7.7253733733733734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167.51862262262264</v>
      </c>
      <c r="AB40" s="11">
        <v>9.3517677677677682</v>
      </c>
    </row>
    <row r="41" spans="1:28" x14ac:dyDescent="0.25">
      <c r="A41" s="22" t="str">
        <v>Viru</v>
      </c>
      <c r="B41" s="11">
        <v>3104</v>
      </c>
      <c r="C41" s="5">
        <v>45821</v>
      </c>
      <c r="D41" s="11">
        <v>405.76263324508062</v>
      </c>
      <c r="E41" s="11">
        <v>0</v>
      </c>
      <c r="F41" s="11">
        <v>720.9616838503498</v>
      </c>
      <c r="G41" s="11">
        <v>0</v>
      </c>
      <c r="H41" s="11">
        <v>0</v>
      </c>
      <c r="I41" s="11">
        <v>1441.9233677006996</v>
      </c>
      <c r="J41" s="11">
        <v>0</v>
      </c>
      <c r="K41" s="11">
        <v>323.39278053563766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57.170770770770766</v>
      </c>
      <c r="T41" s="11">
        <v>0</v>
      </c>
      <c r="U41" s="11">
        <v>0</v>
      </c>
      <c r="V41" s="11">
        <v>31.692492492492494</v>
      </c>
      <c r="W41" s="11">
        <v>31.692492492492494</v>
      </c>
      <c r="X41" s="11">
        <v>31.692492492492494</v>
      </c>
      <c r="Y41" s="11">
        <v>0</v>
      </c>
      <c r="Z41" s="11">
        <v>0</v>
      </c>
      <c r="AA41" s="11">
        <v>134.22702702702702</v>
      </c>
      <c r="AB41" s="11">
        <v>7.4570570570570558</v>
      </c>
    </row>
    <row r="42" spans="1:28" x14ac:dyDescent="0.25">
      <c r="A42" s="22" t="str">
        <v>Chiclayo</v>
      </c>
      <c r="B42" s="11">
        <v>12216</v>
      </c>
      <c r="C42" s="5">
        <v>45824</v>
      </c>
      <c r="D42" s="11">
        <v>3462.5387272929902</v>
      </c>
      <c r="E42" s="11">
        <v>0</v>
      </c>
      <c r="F42" s="11">
        <v>4962.9089118691963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5084.4180567097101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496.46606606606605</v>
      </c>
      <c r="AB42" s="11">
        <v>28.002642642642641</v>
      </c>
    </row>
    <row r="43" spans="1:28" x14ac:dyDescent="0.25">
      <c r="A43" s="22" t="str">
        <v>Julcán</v>
      </c>
      <c r="B43" s="11">
        <v>2588</v>
      </c>
      <c r="C43" s="5">
        <v>45824</v>
      </c>
      <c r="D43" s="11">
        <v>142.39153898130829</v>
      </c>
      <c r="E43" s="11">
        <v>0</v>
      </c>
      <c r="F43" s="11">
        <v>431.54633399595093</v>
      </c>
      <c r="G43" s="11">
        <v>0</v>
      </c>
      <c r="H43" s="11">
        <v>0</v>
      </c>
      <c r="I43" s="11">
        <v>0</v>
      </c>
      <c r="J43" s="11">
        <v>262.16580561205012</v>
      </c>
      <c r="K43" s="11">
        <v>1704.2385242385246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105.95515515515515</v>
      </c>
      <c r="AB43" s="11">
        <v>5.9583583583583586</v>
      </c>
    </row>
    <row r="44" spans="1:28" x14ac:dyDescent="0.25">
      <c r="A44" s="22" t="str">
        <v>San Jose</v>
      </c>
      <c r="B44" s="11">
        <v>3420</v>
      </c>
      <c r="C44" s="5">
        <v>45824</v>
      </c>
      <c r="D44" s="11">
        <v>387.32413456585977</v>
      </c>
      <c r="E44" s="11">
        <v>0</v>
      </c>
      <c r="F44" s="11">
        <v>871.52886168489681</v>
      </c>
      <c r="G44" s="11">
        <v>0</v>
      </c>
      <c r="H44" s="11">
        <v>0</v>
      </c>
      <c r="I44" s="11">
        <v>1307.2932925273456</v>
      </c>
      <c r="J44" s="11">
        <v>73.827246139470006</v>
      </c>
      <c r="K44" s="11">
        <v>716.82294539437396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148.91891891891891</v>
      </c>
      <c r="AB44" s="11">
        <v>8.5585585585585591</v>
      </c>
    </row>
    <row r="45" spans="1:28" x14ac:dyDescent="0.25">
      <c r="A45" s="22" t="str">
        <v>San Pedro de Lloc</v>
      </c>
      <c r="B45" s="11">
        <v>4846</v>
      </c>
      <c r="C45" s="5">
        <v>45824</v>
      </c>
      <c r="D45" s="11">
        <v>309.92898615767228</v>
      </c>
      <c r="E45" s="11">
        <v>0</v>
      </c>
      <c r="F45" s="11">
        <v>778.97314328256641</v>
      </c>
      <c r="G45" s="11">
        <v>0</v>
      </c>
      <c r="H45" s="11">
        <v>0</v>
      </c>
      <c r="I45" s="11">
        <v>2920.7730929390759</v>
      </c>
      <c r="J45" s="11">
        <v>79.095506194180714</v>
      </c>
      <c r="K45" s="11">
        <v>576.65726951441252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94.10650650650652</v>
      </c>
      <c r="Z45" s="11">
        <v>18.91831831831832</v>
      </c>
      <c r="AA45" s="11">
        <v>199.36996996996999</v>
      </c>
      <c r="AB45" s="11">
        <v>11.156956956956957</v>
      </c>
    </row>
    <row r="46" spans="1:28" x14ac:dyDescent="0.25">
      <c r="A46" s="22" t="str">
        <v>Chongoyape</v>
      </c>
      <c r="B46" s="11">
        <v>1771</v>
      </c>
      <c r="C46" s="5">
        <v>45825</v>
      </c>
      <c r="D46" s="11">
        <v>110.06482912200062</v>
      </c>
      <c r="E46" s="11">
        <v>0</v>
      </c>
      <c r="F46" s="11">
        <v>287.6134052136286</v>
      </c>
      <c r="G46" s="11">
        <v>0</v>
      </c>
      <c r="H46" s="11">
        <v>0</v>
      </c>
      <c r="I46" s="11">
        <v>950.72539402436314</v>
      </c>
      <c r="J46" s="11">
        <v>95.10983737787862</v>
      </c>
      <c r="K46" s="11">
        <v>0</v>
      </c>
      <c r="L46" s="11">
        <v>590.92425759092419</v>
      </c>
      <c r="M46" s="11">
        <v>138.98538538538537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73.747347347347343</v>
      </c>
      <c r="AB46" s="11">
        <v>4.2546546546546544</v>
      </c>
    </row>
    <row r="47" spans="1:28" x14ac:dyDescent="0.25">
      <c r="A47" s="22" t="str">
        <v>Pataz - Tayabamba</v>
      </c>
      <c r="B47" s="11">
        <v>9268</v>
      </c>
      <c r="C47" s="5">
        <v>45828</v>
      </c>
      <c r="D47" s="11">
        <v>803.03814345940714</v>
      </c>
      <c r="E47" s="11">
        <v>0</v>
      </c>
      <c r="F47" s="11">
        <v>2602.8296337574689</v>
      </c>
      <c r="G47" s="11">
        <v>0</v>
      </c>
      <c r="H47" s="11">
        <v>0</v>
      </c>
      <c r="I47" s="11">
        <v>2756.0520756397041</v>
      </c>
      <c r="J47" s="11">
        <v>765.13627029090947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1309.9515515515513</v>
      </c>
      <c r="S47" s="11">
        <v>0</v>
      </c>
      <c r="T47" s="11">
        <v>0</v>
      </c>
      <c r="U47" s="11">
        <v>1018.645045045045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308.93333333333334</v>
      </c>
      <c r="AB47" s="11">
        <v>17.626826826826825</v>
      </c>
    </row>
    <row r="48" spans="1:28" x14ac:dyDescent="0.25">
      <c r="A48" s="22" t="str">
        <v>Cajamarca</v>
      </c>
      <c r="B48" s="11">
        <v>23485.599999999999</v>
      </c>
      <c r="C48" s="5">
        <v>45841</v>
      </c>
      <c r="D48" s="11">
        <v>8182.2074833107918</v>
      </c>
      <c r="E48" s="11" cm="1">
        <f t="array" ref="E48:E49">Laminado!E48:E49</f>
        <v>4421.2216228264369</v>
      </c>
      <c r="F48" s="11">
        <v>0</v>
      </c>
      <c r="G48" s="11">
        <v>0</v>
      </c>
      <c r="H48" s="11">
        <f>Laminado!F48</f>
        <v>8842.4432456528739</v>
      </c>
      <c r="I48" s="11">
        <v>0</v>
      </c>
      <c r="J48" s="11">
        <v>927.40541930527195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587.72772772772771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622.99139139139129</v>
      </c>
      <c r="AB48" s="11">
        <v>35.263663663663664</v>
      </c>
    </row>
    <row r="49" spans="1:28" x14ac:dyDescent="0.25">
      <c r="A49" s="22" t="str">
        <v>Olmos</v>
      </c>
      <c r="B49" s="11">
        <v>5840</v>
      </c>
      <c r="C49" s="5">
        <v>45842</v>
      </c>
      <c r="D49" s="11">
        <v>2100.8691740888335</v>
      </c>
      <c r="E49" s="11">
        <v>1750.8220356765992</v>
      </c>
      <c r="F49" s="11">
        <v>0</v>
      </c>
      <c r="G49" s="11">
        <v>0</v>
      </c>
      <c r="H49" s="11" cm="1">
        <f t="array" ref="H49">Molido!E49:E49</f>
        <v>712.23876938162664</v>
      </c>
      <c r="I49" s="11">
        <v>0</v>
      </c>
      <c r="J49" s="11">
        <v>54.116814057903902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1026.5305305305305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217.46546546546546</v>
      </c>
      <c r="AB49" s="11">
        <v>12.276276276276276</v>
      </c>
    </row>
    <row r="50" spans="1:28" x14ac:dyDescent="0.25">
      <c r="A50" s="22" t="str">
        <v>Cajatambo</v>
      </c>
      <c r="B50" s="11">
        <v>1707</v>
      </c>
      <c r="C50" s="5">
        <v>45845</v>
      </c>
      <c r="D50" s="11">
        <v>1199.6951816410192</v>
      </c>
      <c r="E50" s="11">
        <v>0</v>
      </c>
      <c r="F50" s="11">
        <v>530.05678128469174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</row>
    <row r="51" spans="1:28" x14ac:dyDescent="0.25">
      <c r="A51" s="22" t="str">
        <v>Marcabal</v>
      </c>
      <c r="B51" s="11">
        <v>4061.92</v>
      </c>
      <c r="C51" s="5">
        <v>45846</v>
      </c>
      <c r="D51" s="11">
        <v>468.5875524471312</v>
      </c>
      <c r="E51" s="11">
        <v>0</v>
      </c>
      <c r="F51" s="11">
        <v>0</v>
      </c>
      <c r="G51" s="11">
        <v>0</v>
      </c>
      <c r="H51" s="11">
        <v>0</v>
      </c>
      <c r="I51" s="11">
        <v>2448.1936941128956</v>
      </c>
      <c r="J51" s="11">
        <v>345.60453152500281</v>
      </c>
      <c r="K51" s="11">
        <v>0</v>
      </c>
      <c r="L51" s="11">
        <v>0</v>
      </c>
      <c r="M51" s="11">
        <v>260.62970170170172</v>
      </c>
      <c r="N51" s="11">
        <v>0</v>
      </c>
      <c r="O51" s="11">
        <v>0</v>
      </c>
      <c r="P51" s="11">
        <v>458.87556127556132</v>
      </c>
      <c r="Q51" s="11">
        <v>0</v>
      </c>
      <c r="R51" s="11">
        <v>0</v>
      </c>
      <c r="S51" s="11">
        <v>0</v>
      </c>
      <c r="T51" s="11">
        <v>8.1268392314047695</v>
      </c>
      <c r="U51" s="11">
        <v>7.7253733733733734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167.51862262262264</v>
      </c>
      <c r="AB51" s="11">
        <v>9.3517677677677682</v>
      </c>
    </row>
    <row r="52" spans="1:28" x14ac:dyDescent="0.25">
      <c r="A52" s="22" t="str">
        <v>Julcán</v>
      </c>
      <c r="B52" s="11">
        <v>2588</v>
      </c>
      <c r="C52" s="5">
        <v>45849</v>
      </c>
      <c r="D52" s="11">
        <v>142.39153898130829</v>
      </c>
      <c r="E52" s="11">
        <v>0</v>
      </c>
      <c r="F52" s="11">
        <v>0</v>
      </c>
      <c r="G52" s="11" cm="1">
        <f t="array" ref="G52:G53">Tostado!D52:D53/(1-0.07)</f>
        <v>464.02831612467844</v>
      </c>
      <c r="H52" s="11">
        <v>0</v>
      </c>
      <c r="I52" s="11">
        <v>0</v>
      </c>
      <c r="J52" s="11">
        <v>262.16580561205012</v>
      </c>
      <c r="K52" s="11">
        <v>1704.2385242385246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105.95515515515515</v>
      </c>
      <c r="AB52" s="11">
        <v>5.9583583583583586</v>
      </c>
    </row>
    <row r="53" spans="1:28" x14ac:dyDescent="0.25">
      <c r="A53" s="22" t="str">
        <v>Chongoyape</v>
      </c>
      <c r="B53" s="11">
        <v>1771</v>
      </c>
      <c r="C53" s="5">
        <v>45852</v>
      </c>
      <c r="D53" s="11">
        <v>110.06482912200062</v>
      </c>
      <c r="E53" s="11">
        <v>0</v>
      </c>
      <c r="F53" s="11">
        <v>0</v>
      </c>
      <c r="G53" s="11">
        <v>309.26172603615981</v>
      </c>
      <c r="H53" s="11">
        <v>0</v>
      </c>
      <c r="I53" s="11">
        <v>950.72539402436314</v>
      </c>
      <c r="J53" s="11">
        <v>95.10983737787862</v>
      </c>
      <c r="K53" s="11">
        <v>0</v>
      </c>
      <c r="L53" s="11">
        <v>590.92425759092419</v>
      </c>
      <c r="M53" s="11">
        <v>138.98538538538537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73.747347347347343</v>
      </c>
      <c r="AB53" s="11">
        <v>4.2546546546546544</v>
      </c>
    </row>
    <row r="54" spans="1:28" x14ac:dyDescent="0.25">
      <c r="A54" s="22" t="str">
        <v>Viru</v>
      </c>
      <c r="B54" s="11">
        <v>3104</v>
      </c>
      <c r="C54" s="5">
        <v>45852</v>
      </c>
      <c r="D54" s="11">
        <v>405.76263324508062</v>
      </c>
      <c r="E54" s="11">
        <v>0</v>
      </c>
      <c r="F54" s="11" cm="1">
        <f t="array" ref="F54:F56">Tostado!D54:D56</f>
        <v>720.9616838503498</v>
      </c>
      <c r="G54" s="11">
        <v>0</v>
      </c>
      <c r="H54" s="11">
        <v>0</v>
      </c>
      <c r="I54" s="11">
        <v>1441.9233677006996</v>
      </c>
      <c r="J54" s="11">
        <v>0</v>
      </c>
      <c r="K54" s="11">
        <v>323.39278053563766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57.170770770770766</v>
      </c>
      <c r="T54" s="11">
        <v>0</v>
      </c>
      <c r="U54" s="11">
        <v>0</v>
      </c>
      <c r="V54" s="11">
        <v>31.692492492492494</v>
      </c>
      <c r="W54" s="11">
        <v>31.692492492492494</v>
      </c>
      <c r="X54" s="11">
        <v>31.692492492492494</v>
      </c>
      <c r="Y54" s="11">
        <v>0</v>
      </c>
      <c r="Z54" s="11">
        <v>0</v>
      </c>
      <c r="AA54" s="11">
        <v>134.22702702702702</v>
      </c>
      <c r="AB54" s="11">
        <v>7.4570570570570558</v>
      </c>
    </row>
    <row r="55" spans="1:28" s="4" customFormat="1" x14ac:dyDescent="0.25">
      <c r="A55" s="4" t="str">
        <v>Chiclayo</v>
      </c>
      <c r="B55" s="11">
        <v>12220</v>
      </c>
      <c r="C55" s="5">
        <v>45853</v>
      </c>
      <c r="D55" s="11">
        <v>3463.6724989784166</v>
      </c>
      <c r="E55" s="11">
        <v>0</v>
      </c>
      <c r="F55" s="11">
        <v>4964.5339639032063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5086.082895628082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496.62862862862863</v>
      </c>
      <c r="AB55" s="11">
        <v>28.01181181181181</v>
      </c>
    </row>
    <row r="56" spans="1:28" s="4" customFormat="1" x14ac:dyDescent="0.25">
      <c r="A56" s="4" t="str">
        <v>Olmos</v>
      </c>
      <c r="B56" s="11">
        <v>5619</v>
      </c>
      <c r="C56" s="5">
        <v>45870</v>
      </c>
      <c r="D56" s="11">
        <v>2021.3671043159511</v>
      </c>
      <c r="E56" s="11">
        <v>0</v>
      </c>
      <c r="F56" s="11">
        <v>1736.6666110836766</v>
      </c>
      <c r="G56" s="11" cm="1">
        <f t="array" ref="G56:G57">Tostado!D56:D57/(1-0.07)</f>
        <v>1867.3834527781469</v>
      </c>
      <c r="H56" s="11">
        <v>0</v>
      </c>
      <c r="I56" s="11">
        <v>706.48030736395992</v>
      </c>
      <c r="J56" s="11">
        <v>52.068900375233227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987.68408408408413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209.23603603603601</v>
      </c>
      <c r="AB56" s="11">
        <v>11.811711711711711</v>
      </c>
    </row>
    <row r="57" spans="1:28" s="4" customFormat="1" x14ac:dyDescent="0.25">
      <c r="A57" s="4" t="str">
        <v>Marcabal</v>
      </c>
      <c r="B57" s="11">
        <v>4061.92</v>
      </c>
      <c r="C57" s="5">
        <v>45876</v>
      </c>
      <c r="D57" s="11">
        <v>468.5875524471312</v>
      </c>
      <c r="E57" s="11">
        <v>0</v>
      </c>
      <c r="F57" s="11">
        <v>0</v>
      </c>
      <c r="G57" s="11">
        <v>0</v>
      </c>
      <c r="H57" s="11">
        <v>0</v>
      </c>
      <c r="I57" s="11">
        <v>2448.1936941128956</v>
      </c>
      <c r="J57" s="11">
        <v>345.60453152500281</v>
      </c>
      <c r="K57" s="11">
        <v>0</v>
      </c>
      <c r="L57" s="11">
        <v>0</v>
      </c>
      <c r="M57" s="11">
        <v>260.62970170170172</v>
      </c>
      <c r="N57" s="11">
        <v>0</v>
      </c>
      <c r="O57" s="11">
        <v>0</v>
      </c>
      <c r="P57" s="11">
        <v>458.87556127556132</v>
      </c>
      <c r="Q57" s="11">
        <v>0</v>
      </c>
      <c r="R57" s="11">
        <v>0</v>
      </c>
      <c r="S57" s="11">
        <v>0</v>
      </c>
      <c r="T57" s="11">
        <v>8.1268392314047695</v>
      </c>
      <c r="U57" s="11">
        <v>7.7253733733733734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167.51862262262264</v>
      </c>
      <c r="AB57" s="11">
        <v>9.3517677677677682</v>
      </c>
    </row>
    <row r="58" spans="1:28" s="4" customFormat="1" x14ac:dyDescent="0.25">
      <c r="A58" s="4" t="str">
        <v>Julcán</v>
      </c>
      <c r="B58" s="11">
        <v>2588</v>
      </c>
      <c r="C58" s="5">
        <v>45880</v>
      </c>
      <c r="D58" s="11">
        <v>142.39153898130829</v>
      </c>
      <c r="E58" s="11">
        <v>0</v>
      </c>
      <c r="F58" s="11" cm="1">
        <f t="array" ref="F58:F67">Tostado!D58:D67</f>
        <v>431.54633399595093</v>
      </c>
      <c r="G58" s="11">
        <v>0</v>
      </c>
      <c r="H58" s="11">
        <v>0</v>
      </c>
      <c r="I58" s="11">
        <v>0</v>
      </c>
      <c r="J58" s="11">
        <v>262.16580561205012</v>
      </c>
      <c r="K58" s="11">
        <v>1704.2385242385246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105.95515515515515</v>
      </c>
      <c r="AB58" s="11">
        <v>5.9583583583583586</v>
      </c>
    </row>
    <row r="59" spans="1:28" s="4" customFormat="1" x14ac:dyDescent="0.25">
      <c r="A59" s="4" t="str">
        <v>Chongoyape</v>
      </c>
      <c r="B59" s="11">
        <v>1771</v>
      </c>
      <c r="C59" s="5">
        <v>45881</v>
      </c>
      <c r="D59" s="11">
        <v>110.06482912200062</v>
      </c>
      <c r="E59" s="11">
        <v>0</v>
      </c>
      <c r="F59" s="11">
        <v>287.6134052136286</v>
      </c>
      <c r="G59" s="11">
        <v>0</v>
      </c>
      <c r="H59" s="11">
        <v>0</v>
      </c>
      <c r="I59" s="11">
        <v>950.72539402436314</v>
      </c>
      <c r="J59" s="11">
        <v>95.10983737787862</v>
      </c>
      <c r="K59" s="11">
        <v>0</v>
      </c>
      <c r="L59" s="11">
        <v>590.92425759092419</v>
      </c>
      <c r="M59" s="11">
        <v>138.98538538538537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73.747347347347343</v>
      </c>
      <c r="AB59" s="11">
        <v>4.2546546546546544</v>
      </c>
    </row>
    <row r="60" spans="1:28" x14ac:dyDescent="0.25">
      <c r="A60" s="4" t="str">
        <v>Viru</v>
      </c>
      <c r="B60" s="11">
        <v>3006</v>
      </c>
      <c r="C60" s="5">
        <v>45887</v>
      </c>
      <c r="D60" s="11">
        <v>392.95182845834802</v>
      </c>
      <c r="F60" s="11">
        <v>698.19936264631167</v>
      </c>
      <c r="I60" s="11">
        <v>1396.3987252926233</v>
      </c>
      <c r="J60" s="11">
        <v>0</v>
      </c>
      <c r="K60" s="11">
        <v>313.18257032542743</v>
      </c>
      <c r="L60" s="11">
        <v>0</v>
      </c>
      <c r="M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55.365765765765765</v>
      </c>
      <c r="T60" s="11">
        <v>0</v>
      </c>
      <c r="U60" s="11">
        <v>0</v>
      </c>
      <c r="V60" s="11">
        <v>30.691891891891892</v>
      </c>
      <c r="W60" s="11">
        <v>30.691891891891892</v>
      </c>
      <c r="X60" s="11">
        <v>30.691891891891892</v>
      </c>
      <c r="Y60" s="11">
        <v>0</v>
      </c>
      <c r="Z60" s="11">
        <v>0</v>
      </c>
      <c r="AA60" s="11">
        <v>129.9891891891892</v>
      </c>
      <c r="AB60" s="11">
        <v>7.2216216216216207</v>
      </c>
    </row>
    <row r="61" spans="1:28" x14ac:dyDescent="0.25">
      <c r="A61" s="4" t="str">
        <v>Chiclayo</v>
      </c>
      <c r="B61" s="11">
        <v>11825</v>
      </c>
      <c r="C61" s="5">
        <v>45887</v>
      </c>
      <c r="D61" s="11">
        <v>3351.7125450425356</v>
      </c>
      <c r="F61" s="11">
        <v>4804.060075544633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O61" s="11">
        <v>4921.6800524387954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480.57557557557556</v>
      </c>
      <c r="AB61" s="11">
        <v>27.106356356356358</v>
      </c>
    </row>
    <row r="62" spans="1:28" x14ac:dyDescent="0.25">
      <c r="A62" s="4" t="str">
        <v>Cajamarca</v>
      </c>
      <c r="B62" s="11">
        <v>11448</v>
      </c>
      <c r="C62" s="5">
        <v>45902</v>
      </c>
      <c r="D62" s="11">
        <v>3988.3976253083574</v>
      </c>
      <c r="E62" s="11">
        <f>Laminado!E62</f>
        <v>2155.1139906205103</v>
      </c>
      <c r="F62" s="11">
        <v>0</v>
      </c>
      <c r="G62" s="11">
        <v>0</v>
      </c>
      <c r="H62" s="11">
        <f>Laminado!F62</f>
        <v>4310.2279812410206</v>
      </c>
      <c r="I62" s="11">
        <v>0</v>
      </c>
      <c r="J62" s="11">
        <v>452.06157135464946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286.48648648648651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303.67567567567568</v>
      </c>
      <c r="AB62" s="11">
        <v>17.189189189189189</v>
      </c>
    </row>
    <row r="63" spans="1:28" x14ac:dyDescent="0.25">
      <c r="A63" s="4" t="str">
        <v>Cajamarca</v>
      </c>
      <c r="B63" s="11">
        <v>11829.6</v>
      </c>
      <c r="C63" s="5">
        <v>45902</v>
      </c>
      <c r="D63" s="11">
        <v>4121.3442128186362</v>
      </c>
      <c r="E63" s="11">
        <f>Laminado!E63</f>
        <v>2226.951123641194</v>
      </c>
      <c r="F63" s="11">
        <v>0</v>
      </c>
      <c r="G63" s="11">
        <v>0</v>
      </c>
      <c r="H63" s="11">
        <f>Laminado!F63</f>
        <v>4453.9022472823881</v>
      </c>
      <c r="I63" s="11">
        <v>0</v>
      </c>
      <c r="J63" s="11">
        <v>467.13029039980444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296.03603603603608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313.79819819819824</v>
      </c>
      <c r="AB63" s="11">
        <v>17.762162162162163</v>
      </c>
    </row>
    <row r="64" spans="1:28" x14ac:dyDescent="0.25">
      <c r="A64" s="4" t="str">
        <v>Marcabal</v>
      </c>
      <c r="B64" s="11">
        <v>4061.92</v>
      </c>
      <c r="C64" s="5">
        <v>45908</v>
      </c>
      <c r="D64" s="11">
        <v>468.5875524471312</v>
      </c>
      <c r="E64" s="11">
        <v>0</v>
      </c>
      <c r="F64" s="11">
        <v>0</v>
      </c>
      <c r="G64" s="11">
        <v>0</v>
      </c>
      <c r="H64" s="11">
        <f>Laminado!F64</f>
        <v>2374.7478832895085</v>
      </c>
      <c r="I64" s="11">
        <v>0</v>
      </c>
      <c r="J64" s="11">
        <v>345.60453152500281</v>
      </c>
      <c r="K64" s="11">
        <v>0</v>
      </c>
      <c r="L64" s="11">
        <v>0</v>
      </c>
      <c r="M64" s="11">
        <v>260.62970170170172</v>
      </c>
      <c r="N64" s="11">
        <v>0</v>
      </c>
      <c r="O64" s="11">
        <v>0</v>
      </c>
      <c r="P64" s="11">
        <v>458.87556127556132</v>
      </c>
      <c r="Q64" s="11">
        <v>0</v>
      </c>
      <c r="R64" s="11">
        <v>0</v>
      </c>
      <c r="S64" s="11">
        <v>0</v>
      </c>
      <c r="T64" s="11">
        <v>8.1268392314047695</v>
      </c>
      <c r="U64" s="11">
        <v>7.7253733733733734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167.51862262262264</v>
      </c>
      <c r="AB64" s="11">
        <v>9.3517677677677682</v>
      </c>
    </row>
    <row r="65" spans="1:28" x14ac:dyDescent="0.25">
      <c r="A65" s="4" t="str">
        <v>Viru</v>
      </c>
      <c r="B65" s="11">
        <v>3104</v>
      </c>
      <c r="C65" s="5">
        <v>45913</v>
      </c>
      <c r="D65" s="11">
        <v>405.76263324508062</v>
      </c>
      <c r="E65" s="11">
        <v>0</v>
      </c>
      <c r="F65" s="11">
        <v>720.9616838503498</v>
      </c>
      <c r="G65" s="11">
        <v>0</v>
      </c>
      <c r="H65" s="11">
        <v>0</v>
      </c>
      <c r="I65" s="11">
        <v>1441.9233677006996</v>
      </c>
      <c r="J65" s="11">
        <v>0</v>
      </c>
      <c r="K65" s="11">
        <v>323.39278053563766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57.170770770770766</v>
      </c>
      <c r="T65" s="11">
        <v>0</v>
      </c>
      <c r="U65" s="11">
        <v>0</v>
      </c>
      <c r="V65" s="11">
        <v>31.692492492492494</v>
      </c>
      <c r="W65" s="11">
        <v>31.692492492492494</v>
      </c>
      <c r="X65" s="11">
        <v>31.692492492492494</v>
      </c>
      <c r="Y65" s="11">
        <v>0</v>
      </c>
      <c r="Z65" s="11">
        <v>0</v>
      </c>
      <c r="AA65" s="11">
        <v>134.22702702702702</v>
      </c>
      <c r="AB65" s="11">
        <v>7.4570570570570558</v>
      </c>
    </row>
    <row r="66" spans="1:28" x14ac:dyDescent="0.25">
      <c r="A66" s="4" t="str">
        <v>Chongoyape</v>
      </c>
      <c r="B66" s="11">
        <v>5209</v>
      </c>
      <c r="C66" s="5">
        <v>45915</v>
      </c>
      <c r="D66" s="11">
        <v>323.73105301891655</v>
      </c>
      <c r="E66" s="11">
        <v>0</v>
      </c>
      <c r="F66" s="11">
        <v>845.95043916306679</v>
      </c>
      <c r="G66" s="11">
        <v>0</v>
      </c>
      <c r="H66" s="11">
        <v>0</v>
      </c>
      <c r="I66" s="11">
        <v>2796.345893547661</v>
      </c>
      <c r="J66" s="11">
        <v>279.74429299907945</v>
      </c>
      <c r="K66" s="11">
        <v>521.42142142142143</v>
      </c>
      <c r="L66" s="11">
        <v>0</v>
      </c>
      <c r="M66" s="11">
        <v>408.79439439439437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216.91131131131129</v>
      </c>
      <c r="AB66" s="11">
        <v>12.514114114114111</v>
      </c>
    </row>
    <row r="67" spans="1:28" x14ac:dyDescent="0.25">
      <c r="A67" s="4" t="str">
        <v>Chiclayo</v>
      </c>
      <c r="B67" s="11">
        <v>12220</v>
      </c>
      <c r="C67" s="5">
        <v>45916</v>
      </c>
      <c r="D67" s="11">
        <v>3463.6724989784166</v>
      </c>
      <c r="E67" s="11">
        <v>0</v>
      </c>
      <c r="F67" s="11">
        <v>4964.5339639032063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f>Molido!H67</f>
        <v>3523.7566137566137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496.62862862862863</v>
      </c>
      <c r="AB67" s="11">
        <v>28.01181181181181</v>
      </c>
    </row>
    <row r="68" spans="1:28" x14ac:dyDescent="0.25">
      <c r="A68" s="4" t="str">
        <v>Julcán</v>
      </c>
      <c r="B68" s="11">
        <v>2588</v>
      </c>
      <c r="C68" s="5">
        <v>45916</v>
      </c>
      <c r="D68" s="11">
        <v>142.39153898130829</v>
      </c>
      <c r="E68" s="11">
        <v>0</v>
      </c>
      <c r="F68" s="11">
        <v>0</v>
      </c>
      <c r="G68" s="11">
        <f>Tostado!D68/(1-0.07)</f>
        <v>464.02831612467844</v>
      </c>
      <c r="H68" s="11">
        <v>0</v>
      </c>
      <c r="I68" s="11">
        <v>0</v>
      </c>
      <c r="J68" s="11">
        <v>262.16580561205012</v>
      </c>
      <c r="K68" s="11">
        <v>1704.2385242385246</v>
      </c>
      <c r="L68" s="11">
        <v>0</v>
      </c>
      <c r="M68" s="11">
        <v>0</v>
      </c>
      <c r="N68" s="11">
        <v>0</v>
      </c>
      <c r="O68" s="11" cm="1">
        <f t="array" ref="O68:O74">Limpieza!F69:F75</f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105.95515515515515</v>
      </c>
      <c r="AB68" s="11">
        <v>5.9583583583583586</v>
      </c>
    </row>
    <row r="69" spans="1:28" x14ac:dyDescent="0.25">
      <c r="A69" s="4" t="str">
        <v>Pataz - Tayabamba</v>
      </c>
      <c r="B69" s="11">
        <v>9268</v>
      </c>
      <c r="C69" s="5">
        <v>45916</v>
      </c>
      <c r="D69" s="11">
        <v>803.03814345940714</v>
      </c>
      <c r="E69" s="11">
        <v>0</v>
      </c>
      <c r="F69" s="11" cm="1">
        <f t="array" ref="F69:F71">Tostado!D69:D71</f>
        <v>2602.8296337574689</v>
      </c>
      <c r="G69" s="11">
        <v>0</v>
      </c>
      <c r="H69" s="11">
        <v>0</v>
      </c>
      <c r="I69" s="11">
        <v>2756.0520756397041</v>
      </c>
      <c r="J69" s="11">
        <v>765.13627029090947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1309.9515515515513</v>
      </c>
      <c r="S69" s="11">
        <v>0</v>
      </c>
      <c r="T69" s="11">
        <v>0</v>
      </c>
      <c r="U69" s="11">
        <v>1018.645045045045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308.93333333333334</v>
      </c>
      <c r="AB69" s="11">
        <v>17.626826826826825</v>
      </c>
    </row>
    <row r="70" spans="1:28" x14ac:dyDescent="0.25">
      <c r="A70" s="4" t="str">
        <v>San Jose</v>
      </c>
      <c r="B70" s="11">
        <v>3420</v>
      </c>
      <c r="C70" s="5">
        <v>45917</v>
      </c>
      <c r="D70" s="11">
        <v>387.32413456585977</v>
      </c>
      <c r="E70" s="11">
        <v>0</v>
      </c>
      <c r="F70" s="11">
        <v>871.52886168489681</v>
      </c>
      <c r="G70" s="11">
        <v>0</v>
      </c>
      <c r="H70" s="11">
        <v>0</v>
      </c>
      <c r="I70" s="11">
        <v>1307.2932925273456</v>
      </c>
      <c r="J70" s="11">
        <v>73.827246139470006</v>
      </c>
      <c r="K70" s="11">
        <v>716.82294539437396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148.91891891891891</v>
      </c>
      <c r="AB70" s="11">
        <v>8.5585585585585591</v>
      </c>
    </row>
    <row r="71" spans="1:28" x14ac:dyDescent="0.25">
      <c r="A71" s="4" t="str">
        <v>Marcabal</v>
      </c>
      <c r="B71" s="11">
        <v>4061.92</v>
      </c>
      <c r="C71" s="5">
        <v>45945</v>
      </c>
      <c r="D71" s="11">
        <v>468.5875524471312</v>
      </c>
      <c r="E71" s="11">
        <v>0</v>
      </c>
      <c r="F71" s="11">
        <v>0</v>
      </c>
      <c r="G71" s="11">
        <v>0</v>
      </c>
      <c r="H71" s="11">
        <v>0</v>
      </c>
      <c r="I71" s="11">
        <v>2448.1936941128956</v>
      </c>
      <c r="J71" s="11">
        <v>345.60453152500281</v>
      </c>
      <c r="K71" s="11">
        <v>0</v>
      </c>
      <c r="L71" s="11">
        <v>0</v>
      </c>
      <c r="M71" s="11">
        <v>260.62970170170172</v>
      </c>
      <c r="N71" s="11">
        <v>0</v>
      </c>
      <c r="O71" s="11">
        <v>0</v>
      </c>
      <c r="P71" s="11">
        <v>458.87556127556132</v>
      </c>
      <c r="Q71" s="11">
        <v>0</v>
      </c>
      <c r="R71" s="11">
        <v>0</v>
      </c>
      <c r="S71" s="11">
        <v>0</v>
      </c>
      <c r="T71" s="11">
        <v>8.1268392314047695</v>
      </c>
      <c r="U71" s="11">
        <v>7.7253733733733734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167.51862262262264</v>
      </c>
      <c r="AB71" s="11">
        <v>9.3517677677677682</v>
      </c>
    </row>
    <row r="72" spans="1:28" x14ac:dyDescent="0.25">
      <c r="A72" s="4" t="str">
        <v>Julcán</v>
      </c>
      <c r="B72" s="11">
        <v>2588</v>
      </c>
      <c r="C72" s="5">
        <v>45946</v>
      </c>
      <c r="D72" s="11">
        <v>142.39153898130829</v>
      </c>
      <c r="E72" s="11">
        <v>0</v>
      </c>
      <c r="F72" s="11">
        <v>0</v>
      </c>
      <c r="G72" s="11">
        <f>Tostado!D72/(1-0.07)</f>
        <v>464.02831612467844</v>
      </c>
      <c r="H72" s="11">
        <v>0</v>
      </c>
      <c r="I72" s="11">
        <v>0</v>
      </c>
      <c r="J72" s="11">
        <v>262.16580561205012</v>
      </c>
      <c r="K72" s="11">
        <v>1704.2385242385246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105.95515515515515</v>
      </c>
      <c r="AB72" s="11">
        <v>5.9583583583583586</v>
      </c>
    </row>
    <row r="73" spans="1:28" x14ac:dyDescent="0.25">
      <c r="A73" s="4" t="str">
        <v>Chiclayo</v>
      </c>
      <c r="B73" s="11">
        <v>11824</v>
      </c>
      <c r="C73" s="5">
        <v>45951</v>
      </c>
      <c r="D73" s="11">
        <v>3351.4291021211789</v>
      </c>
      <c r="E73" s="11">
        <v>0</v>
      </c>
      <c r="F73" s="11" cm="1">
        <f t="array" ref="F73:F74">Tostado!D73:D74</f>
        <v>4803.6538125361303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4921.2638427092024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480.53493493493494</v>
      </c>
      <c r="AB73" s="11">
        <v>27.104064064064065</v>
      </c>
    </row>
    <row r="74" spans="1:28" x14ac:dyDescent="0.25">
      <c r="A74" s="4" t="str">
        <v>Olmos</v>
      </c>
      <c r="B74" s="11">
        <v>5840</v>
      </c>
      <c r="C74" s="5">
        <v>45962</v>
      </c>
      <c r="D74" s="11">
        <v>2100.8691740888335</v>
      </c>
      <c r="E74" s="11">
        <f>Laminado!E74</f>
        <v>1750.8220356765992</v>
      </c>
      <c r="F74" s="11">
        <v>0</v>
      </c>
      <c r="G74" s="11">
        <v>0</v>
      </c>
      <c r="H74" s="11">
        <f>Molido!E74</f>
        <v>712.23876938162664</v>
      </c>
      <c r="I74" s="11">
        <v>0</v>
      </c>
      <c r="J74" s="11">
        <v>54.116814057903902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1026.5305305305305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217.46546546546546</v>
      </c>
      <c r="AB74" s="11">
        <v>12.276276276276276</v>
      </c>
    </row>
  </sheetData>
  <autoFilter ref="A1:AB74" xr:uid="{2D09086A-2D07-48C4-9FDC-15B21F2FC4C4}"/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A497-A85F-478C-8272-1F249A0E72D1}">
  <dimension ref="A2:I30"/>
  <sheetViews>
    <sheetView workbookViewId="0">
      <selection activeCell="B2" sqref="B2:C2"/>
    </sheetView>
  </sheetViews>
  <sheetFormatPr baseColWidth="10" defaultRowHeight="15" x14ac:dyDescent="0.25"/>
  <cols>
    <col min="2" max="2" width="22.28515625" bestFit="1" customWidth="1"/>
    <col min="3" max="3" width="11.85546875" style="20" customWidth="1"/>
    <col min="4" max="4" width="14.5703125" style="4" customWidth="1"/>
    <col min="5" max="5" width="15.140625" style="11" bestFit="1" customWidth="1"/>
    <col min="6" max="6" width="15.140625" style="11" customWidth="1"/>
    <col min="7" max="7" width="11.42578125" style="4"/>
  </cols>
  <sheetData>
    <row r="2" spans="1:7" ht="31.5" x14ac:dyDescent="0.5">
      <c r="B2" s="62" t="s">
        <v>116</v>
      </c>
      <c r="C2" s="62"/>
      <c r="D2" s="4">
        <f>MONTH(DATE(2024,MATCH(B2,{"enero","febrero","marzo","abril","mayo","junio","julio","agosto","septiembre","octubre","noviembre","diciembre"},0),1))</f>
        <v>10</v>
      </c>
    </row>
    <row r="5" spans="1:7" x14ac:dyDescent="0.25">
      <c r="B5" s="43" t="s">
        <v>103</v>
      </c>
      <c r="C5" s="42" t="s">
        <v>101</v>
      </c>
      <c r="D5" s="41" t="s">
        <v>102</v>
      </c>
      <c r="E5" s="42" t="s">
        <v>104</v>
      </c>
      <c r="F5" s="42" t="s">
        <v>105</v>
      </c>
      <c r="G5" s="41" t="s">
        <v>89</v>
      </c>
    </row>
    <row r="6" spans="1:7" x14ac:dyDescent="0.25">
      <c r="B6" s="44" t="str" cm="1">
        <f t="array" ref="B6:B30">TRANSPOSE('Materia Prima'!D1:AB1)</f>
        <v>Avena</v>
      </c>
      <c r="C6" s="11" cm="1">
        <f t="array" ref="C6">SUMPRODUCT((MONTH('Materia Prima'!$C$2:$C$74)=$D$2)*('Materia Prima'!D2:D74))</f>
        <v>3962.4081935496183</v>
      </c>
      <c r="D6" s="4">
        <v>25</v>
      </c>
      <c r="E6" s="11">
        <f>G6*D6</f>
        <v>3975</v>
      </c>
      <c r="F6" s="11" t="s">
        <v>106</v>
      </c>
      <c r="G6" s="4">
        <f>ROUNDUP(C6/D6,0)</f>
        <v>159</v>
      </c>
    </row>
    <row r="7" spans="1:7" x14ac:dyDescent="0.25">
      <c r="B7" s="44" t="str">
        <v>Quinua Tostada</v>
      </c>
      <c r="C7" s="11" cm="1">
        <f t="array" ref="C7">SUMPRODUCT((MONTH('Materia Prima'!$C$2:$C$74)=$D$2)*('Materia Prima'!E2:E74))</f>
        <v>0</v>
      </c>
      <c r="D7" s="4">
        <v>50</v>
      </c>
      <c r="E7" s="11">
        <f t="shared" ref="E7" si="0">G7*D7</f>
        <v>0</v>
      </c>
      <c r="F7" s="11" t="s">
        <v>106</v>
      </c>
      <c r="G7" s="4">
        <f t="shared" ref="G7" si="1">ROUNDUP(C7/D7,0)</f>
        <v>0</v>
      </c>
    </row>
    <row r="8" spans="1:7" x14ac:dyDescent="0.25">
      <c r="B8" s="44" t="str">
        <v>Quinua Desaponificada</v>
      </c>
      <c r="C8" s="11" cm="1">
        <f t="array" ref="C8">SUMPRODUCT((MONTH('Materia Prima'!$C$2:$C$74)=$D$2)*('Materia Prima'!F2:F74))</f>
        <v>4803.6538125361303</v>
      </c>
      <c r="D8" s="4">
        <v>50</v>
      </c>
      <c r="E8" s="11">
        <f t="shared" ref="E8:E9" si="2">G8*D8</f>
        <v>4850</v>
      </c>
      <c r="F8" s="11" t="s">
        <v>106</v>
      </c>
      <c r="G8" s="4">
        <f t="shared" ref="G8:G9" si="3">ROUNDUP(C8/D8,0)</f>
        <v>97</v>
      </c>
    </row>
    <row r="9" spans="1:7" x14ac:dyDescent="0.25">
      <c r="B9" s="44" t="str">
        <v xml:space="preserve">Quinua </v>
      </c>
      <c r="C9" s="11" cm="1">
        <f t="array" ref="C9">SUMPRODUCT((MONTH('Materia Prima'!$C$2:$C$74)=$D$2)*('Materia Prima'!G2:G74))</f>
        <v>464.02831612467844</v>
      </c>
      <c r="D9" s="4">
        <v>50</v>
      </c>
      <c r="E9" s="11">
        <f t="shared" si="2"/>
        <v>500</v>
      </c>
      <c r="F9" s="11" t="s">
        <v>106</v>
      </c>
      <c r="G9" s="4">
        <f t="shared" si="3"/>
        <v>10</v>
      </c>
    </row>
    <row r="10" spans="1:7" x14ac:dyDescent="0.25">
      <c r="B10" s="44" t="str">
        <v>Kiwicha Tostada</v>
      </c>
      <c r="C10" s="11" cm="1">
        <f t="array" ref="C10">SUMPRODUCT((MONTH('Materia Prima'!$C$2:$C$74)=$D$2)*('Materia Prima'!H2:H74))</f>
        <v>0</v>
      </c>
      <c r="D10" s="4">
        <v>50</v>
      </c>
      <c r="E10" s="11">
        <f t="shared" ref="E10" si="4">G10*D10</f>
        <v>0</v>
      </c>
      <c r="F10" s="11" t="s">
        <v>106</v>
      </c>
      <c r="G10" s="4">
        <f t="shared" ref="G10" si="5">ROUNDUP(C10/D10,0)</f>
        <v>0</v>
      </c>
    </row>
    <row r="11" spans="1:7" x14ac:dyDescent="0.25">
      <c r="B11" s="44" t="str">
        <v>Kiwicha</v>
      </c>
      <c r="C11" s="11" cm="1">
        <f t="array" ref="C11">SUMPRODUCT((MONTH('Materia Prima'!$C$2:$C$74)=$D$2)*('Materia Prima'!I2:I74))</f>
        <v>2448.1936941128956</v>
      </c>
      <c r="D11" s="4">
        <v>50</v>
      </c>
      <c r="E11" s="11">
        <f t="shared" ref="E11:E30" si="6">G11*D11</f>
        <v>2450</v>
      </c>
      <c r="F11" s="11" t="s">
        <v>106</v>
      </c>
      <c r="G11" s="4">
        <f t="shared" ref="G11:G30" si="7">ROUNDUP(C11/D11,0)</f>
        <v>49</v>
      </c>
    </row>
    <row r="12" spans="1:7" x14ac:dyDescent="0.25">
      <c r="B12" s="44" t="str">
        <v>Soya</v>
      </c>
      <c r="C12" s="11" cm="1">
        <f t="array" ref="C12">SUMPRODUCT((MONTH('Materia Prima'!$C$2:$C$74)=$D$2)*('Materia Prima'!J2:J74))</f>
        <v>607.77033713705293</v>
      </c>
      <c r="D12" s="4">
        <v>50</v>
      </c>
      <c r="E12" s="11">
        <f t="shared" si="6"/>
        <v>650</v>
      </c>
      <c r="F12" s="11" t="s">
        <v>106</v>
      </c>
      <c r="G12" s="4">
        <f t="shared" si="7"/>
        <v>13</v>
      </c>
    </row>
    <row r="13" spans="1:7" x14ac:dyDescent="0.25">
      <c r="B13" s="44" t="str">
        <v>Maca Deshidratada</v>
      </c>
      <c r="C13" s="11" cm="1">
        <f t="array" ref="C13">SUMPRODUCT((MONTH('Materia Prima'!$C$2:$C$74)=$D$2)*('Materia Prima'!K2:K74))</f>
        <v>1704.2385242385246</v>
      </c>
      <c r="D13" s="4">
        <v>50</v>
      </c>
      <c r="E13" s="11">
        <f t="shared" si="6"/>
        <v>1750</v>
      </c>
      <c r="F13" s="11" t="s">
        <v>106</v>
      </c>
      <c r="G13" s="4">
        <f t="shared" si="7"/>
        <v>35</v>
      </c>
    </row>
    <row r="14" spans="1:7" x14ac:dyDescent="0.25">
      <c r="B14" s="44" t="str">
        <v>Maca</v>
      </c>
      <c r="C14" s="11" cm="1">
        <f t="array" ref="C14">SUMPRODUCT((MONTH('Materia Prima'!$C$2:$C$74)=$D$2)*('Materia Prima'!L2:L74))</f>
        <v>0</v>
      </c>
      <c r="D14" s="4">
        <v>50</v>
      </c>
      <c r="E14" s="11">
        <f t="shared" si="6"/>
        <v>0</v>
      </c>
      <c r="F14" s="11" t="s">
        <v>106</v>
      </c>
      <c r="G14" s="4">
        <f t="shared" si="7"/>
        <v>0</v>
      </c>
    </row>
    <row r="15" spans="1:7" x14ac:dyDescent="0.25">
      <c r="B15" s="44" t="str">
        <v>Azucar</v>
      </c>
      <c r="C15" s="11" cm="1">
        <f t="array" ref="C15">SUMPRODUCT((MONTH('Materia Prima'!$C$2:$C$74)=$D$2)*('Materia Prima'!M2:M74))</f>
        <v>260.62970170170172</v>
      </c>
      <c r="D15" s="4">
        <v>50</v>
      </c>
      <c r="E15" s="11">
        <f t="shared" si="6"/>
        <v>300</v>
      </c>
      <c r="F15" s="11" t="s">
        <v>106</v>
      </c>
      <c r="G15" s="4">
        <f t="shared" si="7"/>
        <v>6</v>
      </c>
    </row>
    <row r="16" spans="1:7" x14ac:dyDescent="0.25">
      <c r="A16" s="45">
        <v>1</v>
      </c>
      <c r="B16" s="44" t="str">
        <v>Cebada Tostada</v>
      </c>
      <c r="C16" s="11" cm="1">
        <f t="array" ref="C16">SUMPRODUCT((MONTH('Materia Prima'!$C$2:$C$74)=$D$2)*('Materia Prima'!N2:N74))</f>
        <v>0</v>
      </c>
      <c r="D16" s="4">
        <v>25</v>
      </c>
      <c r="E16" s="11">
        <f t="shared" si="6"/>
        <v>0</v>
      </c>
      <c r="F16" s="11" t="s">
        <v>106</v>
      </c>
      <c r="G16" s="4">
        <f t="shared" si="7"/>
        <v>0</v>
      </c>
    </row>
    <row r="17" spans="1:9" x14ac:dyDescent="0.25">
      <c r="A17" s="45"/>
      <c r="B17" s="44" t="str">
        <v>Cebada</v>
      </c>
      <c r="C17" s="11" cm="1">
        <f t="array" ref="C17">SUMPRODUCT((MONTH('Materia Prima'!$C$2:$C$74)=$D$2)*('Materia Prima'!O2:O74))</f>
        <v>4921.2638427092024</v>
      </c>
      <c r="D17" s="4">
        <v>25</v>
      </c>
      <c r="E17" s="11">
        <f t="shared" si="6"/>
        <v>4925</v>
      </c>
      <c r="F17" s="11" t="s">
        <v>106</v>
      </c>
      <c r="G17" s="4">
        <f t="shared" si="7"/>
        <v>197</v>
      </c>
    </row>
    <row r="18" spans="1:9" x14ac:dyDescent="0.25">
      <c r="B18" s="44" t="str">
        <v>Maiz Chufla</v>
      </c>
      <c r="C18" s="11" cm="1">
        <f t="array" ref="C18">SUMPRODUCT((MONTH('Materia Prima'!$C$2:$C$74)=$D$2)*('Materia Prima'!P2:P74))</f>
        <v>458.87556127556132</v>
      </c>
      <c r="D18" s="4">
        <v>50</v>
      </c>
      <c r="E18" s="11">
        <f t="shared" si="6"/>
        <v>500</v>
      </c>
      <c r="F18" s="11" t="s">
        <v>106</v>
      </c>
      <c r="G18" s="4">
        <f t="shared" si="7"/>
        <v>10</v>
      </c>
    </row>
    <row r="19" spans="1:9" x14ac:dyDescent="0.25">
      <c r="A19" s="13">
        <v>3</v>
      </c>
      <c r="B19" s="44" t="str">
        <v>Leche Polvo</v>
      </c>
      <c r="C19" s="11" cm="1">
        <f t="array" ref="C19">SUMPRODUCT((MONTH('Materia Prima'!$C$2:$C$74)=$D$2)*('Materia Prima'!Q2:Q74))</f>
        <v>0</v>
      </c>
      <c r="D19" s="4">
        <v>25</v>
      </c>
      <c r="E19" s="11">
        <f t="shared" si="6"/>
        <v>0</v>
      </c>
      <c r="F19" s="11" t="s">
        <v>106</v>
      </c>
      <c r="G19" s="4">
        <f t="shared" si="7"/>
        <v>0</v>
      </c>
    </row>
    <row r="20" spans="1:9" x14ac:dyDescent="0.25">
      <c r="B20" s="44" t="str">
        <v>Cañihua</v>
      </c>
      <c r="C20" s="11" cm="1">
        <f t="array" ref="C20">SUMPRODUCT((MONTH('Materia Prima'!$C$2:$C$74)=$D$2)*('Materia Prima'!R2:R74))</f>
        <v>0</v>
      </c>
      <c r="D20" s="4">
        <v>50</v>
      </c>
      <c r="E20" s="11">
        <f t="shared" si="6"/>
        <v>0</v>
      </c>
      <c r="F20" s="11" t="s">
        <v>106</v>
      </c>
      <c r="G20" s="4">
        <f t="shared" si="7"/>
        <v>0</v>
      </c>
    </row>
    <row r="21" spans="1:9" x14ac:dyDescent="0.25">
      <c r="A21" s="13"/>
      <c r="B21" s="44" t="str">
        <v>Aceite Girasol</v>
      </c>
      <c r="C21" s="11" cm="1">
        <f t="array" ref="C21">SUMPRODUCT((MONTH('Materia Prima'!$C$2:$C$74)=$D$2)*('Materia Prima'!S2:S74))/0.92</f>
        <v>0</v>
      </c>
      <c r="D21" s="4">
        <v>4</v>
      </c>
      <c r="E21" s="11">
        <f t="shared" si="6"/>
        <v>0</v>
      </c>
      <c r="F21" s="11" t="s">
        <v>107</v>
      </c>
      <c r="G21" s="4">
        <f t="shared" si="7"/>
        <v>0</v>
      </c>
    </row>
    <row r="22" spans="1:9" x14ac:dyDescent="0.25">
      <c r="A22" t="s">
        <v>111</v>
      </c>
      <c r="B22" s="44" t="str">
        <v>Pallar seco</v>
      </c>
      <c r="C22" s="11" cm="1">
        <f t="array" ref="C22">SUMPRODUCT((MONTH('Materia Prima'!$C$2:$C$74)=$D$2)*('Materia Prima'!T2:T74))</f>
        <v>8.1268392314047695</v>
      </c>
      <c r="D22" s="4">
        <v>25</v>
      </c>
      <c r="E22" s="11">
        <f t="shared" si="6"/>
        <v>25</v>
      </c>
      <c r="F22" s="11" t="s">
        <v>106</v>
      </c>
      <c r="G22" s="4">
        <f t="shared" si="7"/>
        <v>1</v>
      </c>
    </row>
    <row r="23" spans="1:9" x14ac:dyDescent="0.25">
      <c r="A23" t="s">
        <v>111</v>
      </c>
      <c r="B23" s="44" t="str">
        <v>Almidon maca</v>
      </c>
      <c r="C23" s="11" cm="1">
        <f t="array" ref="C23">SUMPRODUCT((MONTH('Materia Prima'!$C$2:$C$74)=$D$2)*('Materia Prima'!U2:U74))</f>
        <v>7.7253733733733734</v>
      </c>
      <c r="D23" s="4">
        <v>25</v>
      </c>
      <c r="E23" s="11">
        <f t="shared" si="6"/>
        <v>25</v>
      </c>
      <c r="F23" s="11" t="s">
        <v>106</v>
      </c>
      <c r="G23" s="4">
        <f t="shared" si="7"/>
        <v>1</v>
      </c>
      <c r="I23" s="11"/>
    </row>
    <row r="24" spans="1:9" x14ac:dyDescent="0.25">
      <c r="B24" s="44" t="str">
        <v>Linaza</v>
      </c>
      <c r="C24" s="11" cm="1">
        <f t="array" ref="C24">SUMPRODUCT((MONTH('Materia Prima'!$C$2:$C$74)=$D$2)*('Materia Prima'!V2:V74))</f>
        <v>0</v>
      </c>
      <c r="D24" s="4">
        <v>50</v>
      </c>
      <c r="E24" s="11">
        <f t="shared" si="6"/>
        <v>0</v>
      </c>
      <c r="F24" s="11" t="s">
        <v>106</v>
      </c>
      <c r="G24" s="4">
        <f t="shared" si="7"/>
        <v>0</v>
      </c>
    </row>
    <row r="25" spans="1:9" x14ac:dyDescent="0.25">
      <c r="B25" s="44" t="str">
        <v>Ajonjoli</v>
      </c>
      <c r="C25" s="11" cm="1">
        <f t="array" ref="C25">SUMPRODUCT((MONTH('Materia Prima'!$C$2:$C$74)=$D$2)*('Materia Prima'!W2:W74))</f>
        <v>0</v>
      </c>
      <c r="D25" s="4">
        <v>50</v>
      </c>
      <c r="E25" s="11">
        <f t="shared" si="6"/>
        <v>0</v>
      </c>
      <c r="F25" s="11" t="s">
        <v>106</v>
      </c>
      <c r="G25" s="4">
        <f t="shared" si="7"/>
        <v>0</v>
      </c>
    </row>
    <row r="26" spans="1:9" x14ac:dyDescent="0.25">
      <c r="A26" s="13"/>
      <c r="B26" s="44" t="str">
        <v>Proteina aislada soya</v>
      </c>
      <c r="C26" s="11" cm="1">
        <f t="array" ref="C26">SUMPRODUCT((MONTH('Materia Prima'!$C$2:$C$74)=$D$2)*('Materia Prima'!X2:X74))</f>
        <v>0</v>
      </c>
      <c r="D26" s="4">
        <v>25</v>
      </c>
      <c r="E26" s="11">
        <f t="shared" si="6"/>
        <v>0</v>
      </c>
      <c r="F26" s="11" t="s">
        <v>106</v>
      </c>
      <c r="G26" s="4">
        <f t="shared" si="7"/>
        <v>0</v>
      </c>
    </row>
    <row r="27" spans="1:9" x14ac:dyDescent="0.25">
      <c r="B27" s="44" t="str">
        <v>Frejol tarhui</v>
      </c>
      <c r="C27" s="11" cm="1">
        <f t="array" ref="C27">SUMPRODUCT((MONTH('Materia Prima'!$C$2:$C$74)=$D$2)*('Materia Prima'!Y2:Y74))</f>
        <v>0</v>
      </c>
      <c r="D27" s="4">
        <v>50</v>
      </c>
      <c r="E27" s="11">
        <f t="shared" si="6"/>
        <v>0</v>
      </c>
      <c r="F27" s="11" t="s">
        <v>106</v>
      </c>
      <c r="G27" s="4">
        <f t="shared" si="7"/>
        <v>0</v>
      </c>
    </row>
    <row r="28" spans="1:9" x14ac:dyDescent="0.25">
      <c r="B28" s="44" t="str">
        <v>Garbanzo</v>
      </c>
      <c r="C28" s="11" cm="1">
        <f t="array" ref="C28">SUMPRODUCT((MONTH('Materia Prima'!$C$2:$C$74)=$D$2)*('Materia Prima'!Z2:Z74))</f>
        <v>0</v>
      </c>
      <c r="D28" s="4">
        <v>50</v>
      </c>
      <c r="E28" s="11">
        <f t="shared" si="6"/>
        <v>0</v>
      </c>
      <c r="F28" s="11" t="s">
        <v>106</v>
      </c>
      <c r="G28" s="4">
        <f t="shared" si="7"/>
        <v>0</v>
      </c>
    </row>
    <row r="29" spans="1:9" x14ac:dyDescent="0.25">
      <c r="A29" s="13"/>
      <c r="B29" s="44" t="str">
        <v>Fosfato Tricálcio</v>
      </c>
      <c r="C29" s="11" cm="1">
        <f t="array" ref="C29">SUMPRODUCT((MONTH('Materia Prima'!$C$2:$C$74)=$D$2)*('Materia Prima'!AA2:AA74))</f>
        <v>754.00871271271274</v>
      </c>
      <c r="D29" s="4">
        <v>25</v>
      </c>
      <c r="E29" s="11">
        <f t="shared" si="6"/>
        <v>775</v>
      </c>
      <c r="F29" s="11" t="s">
        <v>106</v>
      </c>
      <c r="G29" s="4">
        <f t="shared" si="7"/>
        <v>31</v>
      </c>
    </row>
    <row r="30" spans="1:9" x14ac:dyDescent="0.25">
      <c r="A30" s="13"/>
      <c r="B30" s="44" t="str">
        <v>Mix vitaminico</v>
      </c>
      <c r="C30" s="11" cm="1">
        <f t="array" ref="C30">SUMPRODUCT((MONTH('Materia Prima'!$C$2:$C$74)=$D$2)*('Materia Prima'!AB2:AB74))</f>
        <v>42.41419019019019</v>
      </c>
      <c r="D30" s="4">
        <v>25</v>
      </c>
      <c r="E30" s="11">
        <f t="shared" si="6"/>
        <v>50</v>
      </c>
      <c r="F30" s="11" t="s">
        <v>106</v>
      </c>
      <c r="G30" s="4">
        <f t="shared" si="7"/>
        <v>2</v>
      </c>
    </row>
  </sheetData>
  <autoFilter ref="A5:G30" xr:uid="{C092A497-A85F-478C-8272-1F249A0E72D1}"/>
  <mergeCells count="1">
    <mergeCell ref="B2:C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FE5328-7722-4946-AD6A-F279FF108B8A}">
          <x14:formula1>
            <xm:f>Formula!$A$21:$A$32</xm:f>
          </x14:formula1>
          <xm:sqref>B2:C2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95F9-5421-4AF0-9517-020270F97623}">
  <dimension ref="A1:V32"/>
  <sheetViews>
    <sheetView workbookViewId="0">
      <pane ySplit="1" topLeftCell="A8" activePane="bottomLeft" state="frozen"/>
      <selection pane="bottomLeft" activeCell="A21" sqref="A21"/>
    </sheetView>
  </sheetViews>
  <sheetFormatPr baseColWidth="10" defaultRowHeight="15" x14ac:dyDescent="0.25"/>
  <cols>
    <col min="1" max="1" width="18" bestFit="1" customWidth="1"/>
    <col min="2" max="9" width="11.42578125" style="16"/>
    <col min="10" max="10" width="12" style="16" customWidth="1"/>
    <col min="11" max="11" width="11.42578125" style="16"/>
    <col min="12" max="12" width="14.140625" style="16" customWidth="1"/>
    <col min="13" max="13" width="10.7109375" style="16" bestFit="1" customWidth="1"/>
    <col min="14" max="14" width="9.85546875" style="16" customWidth="1"/>
    <col min="15" max="15" width="7.85546875" style="16" customWidth="1"/>
    <col min="16" max="16" width="9" style="16" customWidth="1"/>
    <col min="17" max="17" width="10.28515625" style="16" customWidth="1"/>
    <col min="18" max="18" width="11.85546875" style="16" bestFit="1" customWidth="1"/>
    <col min="19" max="19" width="9.42578125" style="16" bestFit="1" customWidth="1"/>
    <col min="20" max="20" width="15.7109375" style="16" bestFit="1" customWidth="1"/>
    <col min="21" max="21" width="13.7109375" style="16" bestFit="1" customWidth="1"/>
    <col min="22" max="22" width="11.42578125" style="4"/>
  </cols>
  <sheetData>
    <row r="1" spans="1:22" x14ac:dyDescent="0.25">
      <c r="B1" s="18" t="s">
        <v>32</v>
      </c>
      <c r="C1" s="18" t="s">
        <v>33</v>
      </c>
      <c r="D1" s="18" t="s">
        <v>31</v>
      </c>
      <c r="E1" s="18" t="s">
        <v>34</v>
      </c>
      <c r="F1" s="18" t="s">
        <v>46</v>
      </c>
      <c r="G1" s="18" t="s">
        <v>49</v>
      </c>
      <c r="H1" s="18" t="s">
        <v>62</v>
      </c>
      <c r="I1" s="18" t="s">
        <v>70</v>
      </c>
      <c r="J1" s="18" t="s">
        <v>58</v>
      </c>
      <c r="K1" s="18" t="s">
        <v>61</v>
      </c>
      <c r="L1" s="18" t="s">
        <v>35</v>
      </c>
      <c r="M1" s="18" t="s">
        <v>55</v>
      </c>
      <c r="N1" s="18" t="s">
        <v>56</v>
      </c>
      <c r="O1" s="15" t="s">
        <v>67</v>
      </c>
      <c r="P1" s="15" t="s">
        <v>68</v>
      </c>
      <c r="Q1" s="15" t="s">
        <v>69</v>
      </c>
      <c r="R1" s="15" t="s">
        <v>74</v>
      </c>
      <c r="S1" s="15" t="s">
        <v>75</v>
      </c>
      <c r="T1" s="18" t="s">
        <v>36</v>
      </c>
      <c r="U1" s="18" t="s">
        <v>37</v>
      </c>
    </row>
    <row r="2" spans="1:22" x14ac:dyDescent="0.25">
      <c r="A2" s="52" t="s">
        <v>11</v>
      </c>
      <c r="B2" s="16">
        <v>0.34699999999999998</v>
      </c>
      <c r="C2" s="16">
        <v>0.1875</v>
      </c>
      <c r="D2" s="17">
        <v>0.375</v>
      </c>
      <c r="E2" s="16">
        <v>3.7499999999999999E-2</v>
      </c>
      <c r="L2" s="16">
        <v>2.5000000000000001E-2</v>
      </c>
      <c r="T2" s="16">
        <v>2.6499999999999999E-2</v>
      </c>
      <c r="U2" s="16">
        <v>1.5E-3</v>
      </c>
      <c r="V2" s="16"/>
    </row>
    <row r="3" spans="1:22" x14ac:dyDescent="0.25">
      <c r="A3" s="52" t="s">
        <v>29</v>
      </c>
      <c r="B3" s="16">
        <v>0.28231000000000001</v>
      </c>
      <c r="C3" s="16">
        <v>0.39250000000000002</v>
      </c>
      <c r="H3" s="16">
        <v>0.28231000000000001</v>
      </c>
      <c r="T3" s="17">
        <v>4.0599999999999997E-2</v>
      </c>
      <c r="U3" s="17">
        <v>2.2899999999999999E-3</v>
      </c>
      <c r="V3" s="16"/>
    </row>
    <row r="4" spans="1:22" x14ac:dyDescent="0.25">
      <c r="A4" s="52" t="s">
        <v>18</v>
      </c>
      <c r="B4" s="16">
        <v>6.1899999999999997E-2</v>
      </c>
      <c r="C4" s="16">
        <v>0.15690000000000001</v>
      </c>
      <c r="D4" s="16">
        <v>0.50980000000000003</v>
      </c>
      <c r="E4" s="16">
        <v>5.0999999999999997E-2</v>
      </c>
      <c r="F4" s="16">
        <v>9.8000000000000004E-2</v>
      </c>
      <c r="G4" s="16">
        <v>7.8399999999999997E-2</v>
      </c>
      <c r="T4" s="17">
        <v>4.1599999999999998E-2</v>
      </c>
      <c r="U4" s="17">
        <v>2.3999999999999998E-3</v>
      </c>
      <c r="V4" s="16"/>
    </row>
    <row r="5" spans="1:22" x14ac:dyDescent="0.25">
      <c r="A5" s="52" t="s">
        <v>22</v>
      </c>
      <c r="B5" s="16">
        <v>5.4800000000000001E-2</v>
      </c>
      <c r="C5" s="16">
        <v>0.16109999999999999</v>
      </c>
      <c r="E5" s="16">
        <v>9.6199999999999994E-2</v>
      </c>
      <c r="F5" s="16">
        <v>0.64470000000000005</v>
      </c>
      <c r="T5" s="16">
        <v>4.0899999999999999E-2</v>
      </c>
      <c r="U5" s="16">
        <v>2.3E-3</v>
      </c>
      <c r="V5" s="16"/>
    </row>
    <row r="6" spans="1:22" x14ac:dyDescent="0.25">
      <c r="A6" s="52" t="s">
        <v>20</v>
      </c>
      <c r="B6" s="16">
        <v>0.1149</v>
      </c>
      <c r="D6" s="16">
        <v>0.58230000000000004</v>
      </c>
      <c r="E6" s="16">
        <v>8.0799999999999997E-2</v>
      </c>
      <c r="G6" s="16">
        <v>6.4100000000000004E-2</v>
      </c>
      <c r="I6" s="16">
        <v>0.1106</v>
      </c>
      <c r="M6" s="16">
        <v>1.9E-3</v>
      </c>
      <c r="N6" s="16">
        <v>1.9E-3</v>
      </c>
      <c r="T6" s="16">
        <v>4.1200000000000001E-2</v>
      </c>
      <c r="U6" s="16">
        <v>2.3E-3</v>
      </c>
      <c r="V6" s="16"/>
    </row>
    <row r="7" spans="1:22" x14ac:dyDescent="0.25">
      <c r="A7" s="52" t="s">
        <v>16</v>
      </c>
      <c r="B7" s="16">
        <v>0.35830000000000001</v>
      </c>
      <c r="C7" s="16">
        <v>0.29859999999999998</v>
      </c>
      <c r="D7" s="16">
        <v>0.11940000000000001</v>
      </c>
      <c r="E7" s="16">
        <v>8.8000000000000005E-3</v>
      </c>
      <c r="J7" s="16">
        <v>0.17560000000000001</v>
      </c>
      <c r="T7" s="16">
        <v>3.7199999999999997E-2</v>
      </c>
      <c r="U7" s="16">
        <v>2.0999999999999999E-3</v>
      </c>
      <c r="V7" s="16"/>
    </row>
    <row r="8" spans="1:22" x14ac:dyDescent="0.25">
      <c r="A8" s="4" t="s">
        <v>71</v>
      </c>
      <c r="B8" s="16">
        <v>0.1128</v>
      </c>
      <c r="C8" s="16">
        <v>0.2462</v>
      </c>
      <c r="D8" s="16">
        <v>0.36930000000000002</v>
      </c>
      <c r="E8" s="16">
        <v>2.0500000000000001E-2</v>
      </c>
      <c r="F8" s="16">
        <v>0.20519999999999999</v>
      </c>
      <c r="T8" s="16">
        <v>4.3499999999999997E-2</v>
      </c>
      <c r="U8" s="16">
        <v>2.5000000000000001E-3</v>
      </c>
      <c r="V8" s="16"/>
    </row>
    <row r="9" spans="1:22" x14ac:dyDescent="0.25">
      <c r="A9" s="4" t="s">
        <v>26</v>
      </c>
      <c r="B9" s="16">
        <v>8.6300000000000002E-2</v>
      </c>
      <c r="C9" s="16">
        <v>0.26669999999999999</v>
      </c>
      <c r="D9" s="16">
        <v>0.28239999999999998</v>
      </c>
      <c r="E9" s="16">
        <v>7.8399999999999997E-2</v>
      </c>
      <c r="K9" s="16">
        <v>0.14119999999999999</v>
      </c>
      <c r="N9" s="16">
        <v>0.10979999999999999</v>
      </c>
      <c r="T9" s="16">
        <v>3.3300000000000003E-2</v>
      </c>
      <c r="U9" s="16">
        <v>1.9E-3</v>
      </c>
      <c r="V9" s="16"/>
    </row>
    <row r="10" spans="1:22" x14ac:dyDescent="0.25">
      <c r="A10" s="52" t="s">
        <v>24</v>
      </c>
      <c r="B10" s="16">
        <v>0.13020000000000001</v>
      </c>
      <c r="C10" s="16">
        <v>0.22439999999999999</v>
      </c>
      <c r="D10" s="16">
        <v>0.44879999999999998</v>
      </c>
      <c r="F10" s="16">
        <v>0.10199999999999999</v>
      </c>
      <c r="L10" s="16">
        <v>1.84E-2</v>
      </c>
      <c r="O10" s="16">
        <v>1.0200000000000001E-2</v>
      </c>
      <c r="P10" s="16">
        <v>1.0200000000000001E-2</v>
      </c>
      <c r="Q10" s="16">
        <v>1.0200000000000001E-2</v>
      </c>
      <c r="T10" s="16">
        <v>4.3200000000000002E-2</v>
      </c>
      <c r="U10" s="16">
        <v>2.3999999999999998E-3</v>
      </c>
      <c r="V10" s="16"/>
    </row>
    <row r="11" spans="1:22" x14ac:dyDescent="0.25">
      <c r="A11" s="52" t="s">
        <v>14</v>
      </c>
      <c r="B11" s="16">
        <v>6.3700000000000007E-2</v>
      </c>
      <c r="C11" s="16">
        <v>0.15529999999999999</v>
      </c>
      <c r="D11" s="16">
        <v>0.58230000000000004</v>
      </c>
      <c r="E11" s="16">
        <v>1.55E-2</v>
      </c>
      <c r="F11" s="16">
        <v>0.11650000000000001</v>
      </c>
      <c r="R11" s="16">
        <v>1.9400000000000001E-2</v>
      </c>
      <c r="S11" s="16">
        <v>3.8999999999999998E-3</v>
      </c>
      <c r="T11" s="16">
        <v>4.1099999999999998E-2</v>
      </c>
      <c r="U11" s="16">
        <v>2.3E-3</v>
      </c>
      <c r="V11" s="16"/>
    </row>
    <row r="12" spans="1:22" x14ac:dyDescent="0.25">
      <c r="A12" s="52" t="s">
        <v>1</v>
      </c>
      <c r="B12" s="16">
        <v>0.7</v>
      </c>
      <c r="C12" s="16">
        <v>0.3</v>
      </c>
    </row>
    <row r="14" spans="1:22" x14ac:dyDescent="0.25">
      <c r="A14" s="4" t="s">
        <v>72</v>
      </c>
    </row>
    <row r="15" spans="1:22" x14ac:dyDescent="0.25">
      <c r="A15" s="4" t="s">
        <v>47</v>
      </c>
      <c r="B15" s="16">
        <v>0.7</v>
      </c>
    </row>
    <row r="16" spans="1:22" x14ac:dyDescent="0.25">
      <c r="A16" s="4" t="s">
        <v>51</v>
      </c>
      <c r="B16" s="36">
        <v>0.03</v>
      </c>
    </row>
    <row r="17" spans="1:2" x14ac:dyDescent="0.25">
      <c r="A17" s="4" t="s">
        <v>73</v>
      </c>
      <c r="B17" s="36">
        <v>0.02</v>
      </c>
    </row>
    <row r="18" spans="1:2" x14ac:dyDescent="0.25">
      <c r="A18" s="4" t="s">
        <v>39</v>
      </c>
      <c r="B18" s="36">
        <v>3.0000000000000001E-3</v>
      </c>
    </row>
    <row r="19" spans="1:2" x14ac:dyDescent="0.25">
      <c r="A19" s="4" t="s">
        <v>40</v>
      </c>
      <c r="B19" s="36">
        <v>1E-3</v>
      </c>
    </row>
    <row r="20" spans="1:2" x14ac:dyDescent="0.25">
      <c r="A20" s="4"/>
      <c r="B20" s="19"/>
    </row>
    <row r="21" spans="1:2" x14ac:dyDescent="0.25">
      <c r="A21" s="4" t="s">
        <v>93</v>
      </c>
    </row>
    <row r="22" spans="1:2" x14ac:dyDescent="0.25">
      <c r="A22" s="4" t="s">
        <v>94</v>
      </c>
    </row>
    <row r="23" spans="1:2" x14ac:dyDescent="0.25">
      <c r="A23" s="4" t="s">
        <v>95</v>
      </c>
    </row>
    <row r="24" spans="1:2" x14ac:dyDescent="0.25">
      <c r="A24" s="4" t="s">
        <v>96</v>
      </c>
    </row>
    <row r="25" spans="1:2" x14ac:dyDescent="0.25">
      <c r="A25" s="4" t="s">
        <v>97</v>
      </c>
    </row>
    <row r="26" spans="1:2" x14ac:dyDescent="0.25">
      <c r="A26" s="4" t="s">
        <v>98</v>
      </c>
    </row>
    <row r="27" spans="1:2" x14ac:dyDescent="0.25">
      <c r="A27" s="4" t="s">
        <v>99</v>
      </c>
    </row>
    <row r="28" spans="1:2" x14ac:dyDescent="0.25">
      <c r="A28" s="4" t="s">
        <v>100</v>
      </c>
    </row>
    <row r="29" spans="1:2" x14ac:dyDescent="0.25">
      <c r="A29" s="4" t="s">
        <v>113</v>
      </c>
    </row>
    <row r="30" spans="1:2" x14ac:dyDescent="0.25">
      <c r="A30" s="4" t="s">
        <v>115</v>
      </c>
    </row>
    <row r="31" spans="1:2" x14ac:dyDescent="0.25">
      <c r="A31" s="4" t="s">
        <v>116</v>
      </c>
    </row>
    <row r="32" spans="1:2" x14ac:dyDescent="0.25">
      <c r="A32" s="4" t="s">
        <v>117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3B62-91F4-4BD6-9496-120C092E2982}">
  <dimension ref="A1:V23"/>
  <sheetViews>
    <sheetView zoomScaleNormal="100" workbookViewId="0">
      <selection activeCell="S2" sqref="S2"/>
    </sheetView>
  </sheetViews>
  <sheetFormatPr baseColWidth="10" defaultRowHeight="15" x14ac:dyDescent="0.25"/>
  <cols>
    <col min="1" max="1" width="18" bestFit="1" customWidth="1"/>
    <col min="19" max="19" width="9.42578125" bestFit="1" customWidth="1"/>
  </cols>
  <sheetData>
    <row r="1" spans="1:22" s="34" customFormat="1" ht="45" x14ac:dyDescent="0.25">
      <c r="B1" s="32" t="s">
        <v>32</v>
      </c>
      <c r="C1" s="32" t="s">
        <v>33</v>
      </c>
      <c r="D1" s="32" t="s">
        <v>31</v>
      </c>
      <c r="E1" s="32" t="s">
        <v>34</v>
      </c>
      <c r="F1" s="32" t="s">
        <v>46</v>
      </c>
      <c r="G1" s="32" t="s">
        <v>49</v>
      </c>
      <c r="H1" s="32" t="s">
        <v>62</v>
      </c>
      <c r="I1" s="32" t="s">
        <v>70</v>
      </c>
      <c r="J1" s="32" t="s">
        <v>58</v>
      </c>
      <c r="K1" s="32" t="s">
        <v>61</v>
      </c>
      <c r="L1" s="32" t="s">
        <v>35</v>
      </c>
      <c r="M1" s="32" t="s">
        <v>55</v>
      </c>
      <c r="N1" s="32" t="s">
        <v>56</v>
      </c>
      <c r="O1" s="33" t="s">
        <v>67</v>
      </c>
      <c r="P1" s="33" t="s">
        <v>68</v>
      </c>
      <c r="Q1" s="33" t="s">
        <v>69</v>
      </c>
      <c r="R1" s="33" t="s">
        <v>74</v>
      </c>
      <c r="S1" s="33" t="s">
        <v>75</v>
      </c>
      <c r="T1" s="32" t="s">
        <v>36</v>
      </c>
      <c r="U1" s="32" t="s">
        <v>37</v>
      </c>
    </row>
    <row r="2" spans="1:22" s="34" customFormat="1" x14ac:dyDescent="0.25">
      <c r="A2" s="4" t="s">
        <v>11</v>
      </c>
      <c r="B2" s="32"/>
      <c r="C2" s="32"/>
      <c r="D2" s="32"/>
      <c r="E2" s="35" t="s">
        <v>51</v>
      </c>
      <c r="F2" s="32"/>
      <c r="G2" s="32"/>
      <c r="H2" s="32"/>
      <c r="I2" s="32"/>
      <c r="J2" s="32"/>
      <c r="K2" s="32"/>
      <c r="L2" s="32"/>
      <c r="M2" s="32"/>
      <c r="N2" s="32"/>
      <c r="O2" s="33"/>
      <c r="P2" s="33"/>
      <c r="Q2" s="33"/>
      <c r="R2" s="33"/>
      <c r="S2" s="33"/>
      <c r="T2" s="32"/>
      <c r="U2" s="32"/>
    </row>
    <row r="3" spans="1:22" x14ac:dyDescent="0.25">
      <c r="A3" s="4" t="s">
        <v>11</v>
      </c>
      <c r="B3" s="17" t="s">
        <v>39</v>
      </c>
      <c r="C3" s="17" t="s">
        <v>39</v>
      </c>
      <c r="D3" s="17" t="s">
        <v>39</v>
      </c>
      <c r="E3" s="17" t="s">
        <v>73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x14ac:dyDescent="0.25">
      <c r="A4" s="4" t="s">
        <v>29</v>
      </c>
      <c r="B4" s="16"/>
      <c r="C4" s="16"/>
      <c r="D4" s="17"/>
      <c r="E4" s="16"/>
      <c r="F4" s="16"/>
      <c r="G4" s="16"/>
      <c r="H4" s="35" t="s">
        <v>51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x14ac:dyDescent="0.25">
      <c r="A5" s="4" t="s">
        <v>29</v>
      </c>
      <c r="B5" s="17" t="s">
        <v>39</v>
      </c>
      <c r="C5" s="17" t="s">
        <v>39</v>
      </c>
      <c r="D5" s="17"/>
      <c r="E5" s="16"/>
      <c r="F5" s="16"/>
      <c r="G5" s="16"/>
      <c r="H5" s="17" t="s">
        <v>73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7"/>
      <c r="U5" s="17"/>
      <c r="V5" s="16"/>
    </row>
    <row r="6" spans="1:22" x14ac:dyDescent="0.25">
      <c r="A6" s="4" t="s">
        <v>18</v>
      </c>
      <c r="B6" s="16"/>
      <c r="C6" s="16"/>
      <c r="D6" s="16"/>
      <c r="E6" s="35" t="s">
        <v>51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7"/>
      <c r="U6" s="17"/>
      <c r="V6" s="16"/>
    </row>
    <row r="7" spans="1:22" x14ac:dyDescent="0.25">
      <c r="A7" s="4" t="s">
        <v>18</v>
      </c>
      <c r="B7" s="16" t="s">
        <v>39</v>
      </c>
      <c r="C7" s="17" t="s">
        <v>39</v>
      </c>
      <c r="D7" s="16" t="s">
        <v>73</v>
      </c>
      <c r="E7" s="16" t="s">
        <v>73</v>
      </c>
      <c r="F7" s="16" t="s">
        <v>73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7"/>
      <c r="U7" s="17"/>
      <c r="V7" s="16"/>
    </row>
    <row r="8" spans="1:22" x14ac:dyDescent="0.25">
      <c r="A8" s="4" t="s">
        <v>22</v>
      </c>
      <c r="B8" s="16"/>
      <c r="C8" s="16"/>
      <c r="E8" s="35" t="s">
        <v>51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7"/>
      <c r="U8" s="17"/>
      <c r="V8" s="16"/>
    </row>
    <row r="9" spans="1:22" x14ac:dyDescent="0.25">
      <c r="A9" s="4" t="s">
        <v>22</v>
      </c>
      <c r="B9" s="16" t="s">
        <v>39</v>
      </c>
      <c r="C9" s="16" t="s">
        <v>39</v>
      </c>
      <c r="E9" s="16" t="s">
        <v>73</v>
      </c>
      <c r="F9" s="16" t="s">
        <v>73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x14ac:dyDescent="0.25">
      <c r="A10" s="4" t="s">
        <v>20</v>
      </c>
      <c r="B10" s="16"/>
      <c r="C10" s="16"/>
      <c r="D10" s="16"/>
      <c r="E10" s="35" t="s">
        <v>51</v>
      </c>
      <c r="F10" s="16"/>
      <c r="G10" s="16"/>
      <c r="H10" s="16"/>
      <c r="I10" s="16"/>
      <c r="J10" s="16"/>
      <c r="K10" s="16"/>
      <c r="L10" s="16"/>
      <c r="M10" s="35" t="s">
        <v>51</v>
      </c>
      <c r="N10" s="16"/>
      <c r="O10" s="16"/>
      <c r="P10" s="16"/>
      <c r="Q10" s="16"/>
      <c r="R10" s="16"/>
      <c r="S10" s="16"/>
      <c r="T10" s="16"/>
      <c r="U10" s="16"/>
      <c r="V10" s="16"/>
    </row>
    <row r="11" spans="1:22" x14ac:dyDescent="0.25">
      <c r="A11" s="4" t="s">
        <v>20</v>
      </c>
      <c r="B11" s="16" t="s">
        <v>39</v>
      </c>
      <c r="C11" s="16"/>
      <c r="D11" s="16" t="s">
        <v>39</v>
      </c>
      <c r="E11" s="16" t="s">
        <v>73</v>
      </c>
      <c r="F11" s="16"/>
      <c r="G11" s="16"/>
      <c r="H11" s="16"/>
      <c r="I11" s="16" t="s">
        <v>73</v>
      </c>
      <c r="J11" s="16"/>
      <c r="K11" s="16"/>
      <c r="L11" s="16"/>
      <c r="M11" s="16" t="s">
        <v>73</v>
      </c>
      <c r="N11" s="16"/>
      <c r="O11" s="16"/>
      <c r="P11" s="16"/>
      <c r="Q11" s="16"/>
      <c r="R11" s="16"/>
      <c r="S11" s="16" t="s">
        <v>73</v>
      </c>
      <c r="T11" s="16"/>
      <c r="U11" s="16"/>
      <c r="V11" s="16"/>
    </row>
    <row r="12" spans="1:22" x14ac:dyDescent="0.25">
      <c r="A12" s="4" t="s">
        <v>16</v>
      </c>
      <c r="B12" s="16"/>
      <c r="C12" s="16"/>
      <c r="D12" s="16"/>
      <c r="E12" s="35" t="s">
        <v>51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x14ac:dyDescent="0.25">
      <c r="A13" s="4" t="s">
        <v>16</v>
      </c>
      <c r="B13" s="16" t="s">
        <v>39</v>
      </c>
      <c r="C13" s="16" t="s">
        <v>39</v>
      </c>
      <c r="D13" s="16" t="s">
        <v>73</v>
      </c>
      <c r="E13" s="16" t="s">
        <v>73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x14ac:dyDescent="0.25">
      <c r="A14" s="4" t="s">
        <v>71</v>
      </c>
      <c r="B14" s="16"/>
      <c r="C14" s="16"/>
      <c r="D14" s="16"/>
      <c r="E14" s="35" t="s">
        <v>51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x14ac:dyDescent="0.25">
      <c r="A15" s="4" t="s">
        <v>71</v>
      </c>
      <c r="B15" s="16" t="s">
        <v>39</v>
      </c>
      <c r="C15" s="16" t="s">
        <v>39</v>
      </c>
      <c r="D15" s="16" t="s">
        <v>39</v>
      </c>
      <c r="E15" s="16" t="s">
        <v>73</v>
      </c>
      <c r="F15" s="16" t="s">
        <v>73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x14ac:dyDescent="0.25">
      <c r="A16" s="4" t="s">
        <v>26</v>
      </c>
      <c r="B16" s="16"/>
      <c r="C16" s="16"/>
      <c r="D16" s="35" t="s">
        <v>51</v>
      </c>
      <c r="E16" s="35" t="s">
        <v>51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x14ac:dyDescent="0.25">
      <c r="A17" s="4" t="s">
        <v>26</v>
      </c>
      <c r="B17" s="16" t="s">
        <v>39</v>
      </c>
      <c r="C17" s="16" t="s">
        <v>73</v>
      </c>
      <c r="D17" s="16" t="s">
        <v>73</v>
      </c>
      <c r="E17" s="16" t="s">
        <v>73</v>
      </c>
      <c r="F17" s="16"/>
      <c r="G17" s="16"/>
      <c r="H17" s="16"/>
      <c r="I17" s="16"/>
      <c r="J17" s="16"/>
      <c r="K17" s="16" t="s">
        <v>73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x14ac:dyDescent="0.25">
      <c r="A18" s="4" t="s">
        <v>24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x14ac:dyDescent="0.25">
      <c r="A19" s="4" t="s">
        <v>24</v>
      </c>
      <c r="B19" s="16" t="s">
        <v>39</v>
      </c>
      <c r="C19" s="16" t="s">
        <v>39</v>
      </c>
      <c r="D19" s="16" t="s">
        <v>39</v>
      </c>
      <c r="E19" s="16"/>
      <c r="F19" s="17" t="s">
        <v>73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x14ac:dyDescent="0.25">
      <c r="A20" s="4" t="s">
        <v>14</v>
      </c>
      <c r="B20" s="16"/>
      <c r="C20" s="16"/>
      <c r="D20" s="16"/>
      <c r="E20" s="35" t="s">
        <v>51</v>
      </c>
      <c r="F20" s="35" t="s">
        <v>51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x14ac:dyDescent="0.25">
      <c r="A21" s="4" t="s">
        <v>14</v>
      </c>
      <c r="B21" s="16" t="s">
        <v>39</v>
      </c>
      <c r="C21" s="16" t="s">
        <v>39</v>
      </c>
      <c r="D21" s="16" t="s">
        <v>39</v>
      </c>
      <c r="E21" s="16" t="s">
        <v>73</v>
      </c>
      <c r="F21" s="16" t="s">
        <v>73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x14ac:dyDescent="0.25">
      <c r="A22" s="4" t="s">
        <v>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x14ac:dyDescent="0.25">
      <c r="A23" s="4" t="s">
        <v>1</v>
      </c>
      <c r="B23" s="16" t="s">
        <v>39</v>
      </c>
      <c r="C23" s="16" t="s">
        <v>39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49DE-C429-44F4-A050-B33CE2363DCE}">
  <dimension ref="B2:K93"/>
  <sheetViews>
    <sheetView topLeftCell="A64" workbookViewId="0">
      <selection activeCell="D80" sqref="D80"/>
    </sheetView>
  </sheetViews>
  <sheetFormatPr baseColWidth="10" defaultRowHeight="15" x14ac:dyDescent="0.25"/>
  <cols>
    <col min="2" max="2" width="13" bestFit="1" customWidth="1"/>
    <col min="3" max="3" width="12.85546875" customWidth="1"/>
  </cols>
  <sheetData>
    <row r="2" spans="2:8" x14ac:dyDescent="0.25">
      <c r="B2" s="64" t="s">
        <v>43</v>
      </c>
      <c r="C2" s="64"/>
      <c r="D2" t="s">
        <v>44</v>
      </c>
    </row>
    <row r="3" spans="2:8" x14ac:dyDescent="0.25">
      <c r="B3" t="s">
        <v>39</v>
      </c>
      <c r="C3" t="s">
        <v>39</v>
      </c>
    </row>
    <row r="4" spans="2:8" x14ac:dyDescent="0.25">
      <c r="B4" t="s">
        <v>40</v>
      </c>
      <c r="C4" t="s">
        <v>40</v>
      </c>
    </row>
    <row r="5" spans="2:8" x14ac:dyDescent="0.25">
      <c r="B5" t="s">
        <v>38</v>
      </c>
      <c r="C5" t="s">
        <v>38</v>
      </c>
    </row>
    <row r="6" spans="2:8" x14ac:dyDescent="0.25">
      <c r="B6" t="s">
        <v>32</v>
      </c>
      <c r="C6" t="s">
        <v>33</v>
      </c>
    </row>
    <row r="7" spans="2:8" x14ac:dyDescent="0.25">
      <c r="B7">
        <v>34.700000000000003</v>
      </c>
      <c r="C7">
        <v>18.75</v>
      </c>
    </row>
    <row r="11" spans="2:8" x14ac:dyDescent="0.25">
      <c r="B11" s="63" t="s">
        <v>42</v>
      </c>
      <c r="C11" s="63"/>
      <c r="D11" s="63"/>
      <c r="E11" s="63"/>
      <c r="F11" s="63"/>
      <c r="G11" s="63"/>
      <c r="H11" s="63"/>
    </row>
    <row r="12" spans="2:8" x14ac:dyDescent="0.25">
      <c r="B12" s="4"/>
      <c r="C12" s="4"/>
      <c r="D12" s="4"/>
      <c r="E12" s="14" t="s">
        <v>51</v>
      </c>
      <c r="F12" s="4"/>
      <c r="G12" s="4"/>
      <c r="H12" s="4"/>
    </row>
    <row r="13" spans="2:8" x14ac:dyDescent="0.25">
      <c r="B13" t="s">
        <v>39</v>
      </c>
      <c r="C13" t="s">
        <v>39</v>
      </c>
      <c r="D13" t="s">
        <v>39</v>
      </c>
      <c r="E13" t="s">
        <v>41</v>
      </c>
    </row>
    <row r="14" spans="2:8" x14ac:dyDescent="0.25">
      <c r="B14" t="s">
        <v>40</v>
      </c>
      <c r="C14" t="s">
        <v>40</v>
      </c>
      <c r="D14" t="s">
        <v>40</v>
      </c>
      <c r="E14" t="s">
        <v>40</v>
      </c>
    </row>
    <row r="15" spans="2:8" x14ac:dyDescent="0.25">
      <c r="B15" t="s">
        <v>38</v>
      </c>
      <c r="C15" t="s">
        <v>38</v>
      </c>
      <c r="D15" t="s">
        <v>38</v>
      </c>
      <c r="E15" t="s">
        <v>38</v>
      </c>
    </row>
    <row r="16" spans="2:8" x14ac:dyDescent="0.25">
      <c r="B16" t="s">
        <v>53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</row>
    <row r="17" spans="2:8" x14ac:dyDescent="0.25">
      <c r="B17">
        <v>37.5</v>
      </c>
      <c r="C17">
        <v>34.700000000000003</v>
      </c>
      <c r="D17">
        <v>18.75</v>
      </c>
      <c r="E17">
        <v>3.75</v>
      </c>
      <c r="F17">
        <v>2.5</v>
      </c>
      <c r="G17">
        <v>2.65</v>
      </c>
      <c r="H17">
        <v>0.15</v>
      </c>
    </row>
    <row r="20" spans="2:8" x14ac:dyDescent="0.25">
      <c r="B20" s="63" t="s">
        <v>45</v>
      </c>
      <c r="C20" s="63"/>
      <c r="D20" s="63"/>
      <c r="E20" s="63"/>
      <c r="F20" s="63"/>
    </row>
    <row r="21" spans="2:8" x14ac:dyDescent="0.25">
      <c r="B21" s="4"/>
      <c r="C21" s="4"/>
      <c r="D21" s="4" t="s">
        <v>65</v>
      </c>
      <c r="E21" s="4"/>
      <c r="F21" s="4"/>
    </row>
    <row r="22" spans="2:8" x14ac:dyDescent="0.25">
      <c r="B22" s="4"/>
      <c r="C22" s="4"/>
      <c r="D22" s="4" t="s">
        <v>63</v>
      </c>
      <c r="E22" s="4"/>
      <c r="F22" s="4"/>
    </row>
    <row r="23" spans="2:8" x14ac:dyDescent="0.25">
      <c r="B23" s="4"/>
      <c r="C23" s="4"/>
      <c r="D23" s="4" t="s">
        <v>64</v>
      </c>
      <c r="E23" s="4"/>
      <c r="F23" s="4"/>
    </row>
    <row r="24" spans="2:8" x14ac:dyDescent="0.25">
      <c r="C24" s="4"/>
      <c r="D24" t="s">
        <v>51</v>
      </c>
      <c r="E24" s="4"/>
      <c r="F24" s="4"/>
    </row>
    <row r="25" spans="2:8" x14ac:dyDescent="0.25">
      <c r="B25" t="s">
        <v>39</v>
      </c>
      <c r="C25" t="s">
        <v>39</v>
      </c>
      <c r="D25" t="s">
        <v>41</v>
      </c>
    </row>
    <row r="26" spans="2:8" x14ac:dyDescent="0.25">
      <c r="B26" t="s">
        <v>40</v>
      </c>
      <c r="C26" t="s">
        <v>40</v>
      </c>
      <c r="D26" t="s">
        <v>40</v>
      </c>
    </row>
    <row r="27" spans="2:8" x14ac:dyDescent="0.25">
      <c r="B27" t="s">
        <v>38</v>
      </c>
      <c r="C27" t="s">
        <v>38</v>
      </c>
      <c r="D27" t="s">
        <v>38</v>
      </c>
    </row>
    <row r="28" spans="2:8" x14ac:dyDescent="0.25">
      <c r="B28" t="s">
        <v>33</v>
      </c>
      <c r="C28" t="s">
        <v>32</v>
      </c>
      <c r="D28" t="s">
        <v>62</v>
      </c>
      <c r="E28" t="s">
        <v>36</v>
      </c>
      <c r="F28" t="s">
        <v>37</v>
      </c>
    </row>
    <row r="29" spans="2:8" x14ac:dyDescent="0.25">
      <c r="B29">
        <v>39.25</v>
      </c>
      <c r="C29">
        <v>28.231000000000002</v>
      </c>
      <c r="D29">
        <v>28.231000000000002</v>
      </c>
      <c r="E29">
        <v>4.0599999999999996</v>
      </c>
      <c r="F29">
        <v>0.22900000000000001</v>
      </c>
    </row>
    <row r="32" spans="2:8" x14ac:dyDescent="0.25">
      <c r="B32" s="63" t="s">
        <v>48</v>
      </c>
      <c r="C32" s="63"/>
      <c r="D32" s="63"/>
      <c r="E32" s="63"/>
      <c r="F32" s="63"/>
      <c r="G32" s="63"/>
      <c r="H32" s="63"/>
    </row>
    <row r="33" spans="2:9" x14ac:dyDescent="0.25">
      <c r="D33" t="s">
        <v>47</v>
      </c>
      <c r="G33" t="s">
        <v>51</v>
      </c>
    </row>
    <row r="34" spans="2:9" x14ac:dyDescent="0.25">
      <c r="B34" t="s">
        <v>41</v>
      </c>
      <c r="C34" t="s">
        <v>39</v>
      </c>
      <c r="D34" t="s">
        <v>41</v>
      </c>
      <c r="F34" t="s">
        <v>39</v>
      </c>
      <c r="G34" t="s">
        <v>41</v>
      </c>
    </row>
    <row r="35" spans="2:9" x14ac:dyDescent="0.25">
      <c r="B35" t="s">
        <v>40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</row>
    <row r="36" spans="2:9" x14ac:dyDescent="0.25">
      <c r="B36" t="s">
        <v>38</v>
      </c>
      <c r="C36" t="s">
        <v>38</v>
      </c>
      <c r="D36" t="s">
        <v>38</v>
      </c>
      <c r="E36" t="s">
        <v>38</v>
      </c>
      <c r="F36" t="s">
        <v>38</v>
      </c>
      <c r="G36" t="s">
        <v>38</v>
      </c>
    </row>
    <row r="37" spans="2:9" x14ac:dyDescent="0.25">
      <c r="B37" t="s">
        <v>31</v>
      </c>
      <c r="C37" t="s">
        <v>33</v>
      </c>
      <c r="D37" t="s">
        <v>46</v>
      </c>
      <c r="E37" t="s">
        <v>49</v>
      </c>
      <c r="F37" t="s">
        <v>32</v>
      </c>
      <c r="G37" t="s">
        <v>34</v>
      </c>
      <c r="H37" t="s">
        <v>36</v>
      </c>
      <c r="I37" t="s">
        <v>37</v>
      </c>
    </row>
    <row r="38" spans="2:9" x14ac:dyDescent="0.25">
      <c r="B38">
        <v>50.98</v>
      </c>
      <c r="C38">
        <v>15.69</v>
      </c>
      <c r="D38">
        <v>9.8000000000000007</v>
      </c>
      <c r="E38">
        <v>7.84</v>
      </c>
      <c r="F38">
        <v>6.19</v>
      </c>
      <c r="G38">
        <v>5.0999999999999996</v>
      </c>
      <c r="H38">
        <v>4.16</v>
      </c>
      <c r="I38">
        <v>0.24</v>
      </c>
    </row>
    <row r="41" spans="2:9" x14ac:dyDescent="0.25">
      <c r="B41" s="63" t="s">
        <v>50</v>
      </c>
      <c r="C41" s="63"/>
      <c r="D41" s="63"/>
      <c r="E41" s="63"/>
      <c r="F41" s="63"/>
      <c r="G41" s="63"/>
      <c r="H41" s="63"/>
    </row>
    <row r="42" spans="2:9" x14ac:dyDescent="0.25">
      <c r="B42" s="13" t="s">
        <v>47</v>
      </c>
      <c r="D42" t="s">
        <v>51</v>
      </c>
    </row>
    <row r="43" spans="2:9" x14ac:dyDescent="0.25">
      <c r="B43" s="13" t="s">
        <v>41</v>
      </c>
      <c r="C43" t="s">
        <v>39</v>
      </c>
      <c r="D43" t="s">
        <v>41</v>
      </c>
      <c r="E43" t="s">
        <v>39</v>
      </c>
    </row>
    <row r="44" spans="2:9" x14ac:dyDescent="0.25">
      <c r="B44" t="s">
        <v>40</v>
      </c>
      <c r="C44" t="s">
        <v>40</v>
      </c>
      <c r="D44" t="s">
        <v>40</v>
      </c>
      <c r="E44" t="s">
        <v>40</v>
      </c>
    </row>
    <row r="45" spans="2:9" x14ac:dyDescent="0.25">
      <c r="B45" t="s">
        <v>38</v>
      </c>
      <c r="C45" t="s">
        <v>38</v>
      </c>
      <c r="D45" t="s">
        <v>38</v>
      </c>
      <c r="E45" t="s">
        <v>38</v>
      </c>
    </row>
    <row r="46" spans="2:9" x14ac:dyDescent="0.25">
      <c r="B46" t="s">
        <v>46</v>
      </c>
      <c r="C46" t="s">
        <v>33</v>
      </c>
      <c r="D46" t="s">
        <v>34</v>
      </c>
      <c r="E46" t="s">
        <v>32</v>
      </c>
      <c r="F46" t="s">
        <v>36</v>
      </c>
      <c r="G46" t="s">
        <v>37</v>
      </c>
    </row>
    <row r="47" spans="2:9" x14ac:dyDescent="0.25">
      <c r="B47">
        <v>64.47</v>
      </c>
      <c r="C47">
        <v>16.11</v>
      </c>
      <c r="D47">
        <v>9.6199999999999992</v>
      </c>
      <c r="E47">
        <v>5.48</v>
      </c>
      <c r="F47">
        <v>4.09</v>
      </c>
      <c r="G47">
        <v>0.23</v>
      </c>
    </row>
    <row r="51" spans="2:10" x14ac:dyDescent="0.25">
      <c r="B51" s="63" t="s">
        <v>52</v>
      </c>
      <c r="C51" s="63"/>
      <c r="D51" s="63"/>
      <c r="E51" s="63"/>
      <c r="F51" s="63"/>
      <c r="G51" s="63"/>
      <c r="H51" s="63"/>
    </row>
    <row r="52" spans="2:10" x14ac:dyDescent="0.25">
      <c r="E52" t="s">
        <v>51</v>
      </c>
      <c r="G52" t="s">
        <v>51</v>
      </c>
    </row>
    <row r="53" spans="2:10" x14ac:dyDescent="0.25">
      <c r="B53" t="s">
        <v>39</v>
      </c>
      <c r="C53" t="s">
        <v>39</v>
      </c>
      <c r="D53" t="s">
        <v>41</v>
      </c>
      <c r="E53" t="s">
        <v>41</v>
      </c>
      <c r="G53" t="s">
        <v>41</v>
      </c>
    </row>
    <row r="54" spans="2:10" x14ac:dyDescent="0.25">
      <c r="B54" t="s">
        <v>40</v>
      </c>
      <c r="C54" t="s">
        <v>40</v>
      </c>
      <c r="D54" t="s">
        <v>40</v>
      </c>
      <c r="E54" t="s">
        <v>40</v>
      </c>
      <c r="F54" t="s">
        <v>40</v>
      </c>
      <c r="G54" t="s">
        <v>40</v>
      </c>
      <c r="H54" t="s">
        <v>40</v>
      </c>
    </row>
    <row r="55" spans="2:10" x14ac:dyDescent="0.25">
      <c r="B55" t="s">
        <v>38</v>
      </c>
      <c r="C55" t="s">
        <v>38</v>
      </c>
      <c r="D55" t="s">
        <v>38</v>
      </c>
      <c r="E55" t="s">
        <v>38</v>
      </c>
      <c r="F55" t="s">
        <v>38</v>
      </c>
      <c r="G55" t="s">
        <v>38</v>
      </c>
      <c r="H55" t="s">
        <v>38</v>
      </c>
    </row>
    <row r="56" spans="2:10" x14ac:dyDescent="0.25">
      <c r="B56" t="s">
        <v>31</v>
      </c>
      <c r="C56" t="s">
        <v>32</v>
      </c>
      <c r="D56" t="s">
        <v>54</v>
      </c>
      <c r="E56" t="s">
        <v>34</v>
      </c>
      <c r="F56" t="s">
        <v>49</v>
      </c>
      <c r="G56" s="13" t="s">
        <v>55</v>
      </c>
      <c r="H56" t="s">
        <v>56</v>
      </c>
      <c r="I56" t="s">
        <v>36</v>
      </c>
      <c r="J56" t="s">
        <v>37</v>
      </c>
    </row>
    <row r="57" spans="2:10" x14ac:dyDescent="0.25">
      <c r="B57">
        <v>58.23</v>
      </c>
      <c r="C57">
        <v>11.49</v>
      </c>
      <c r="D57">
        <v>11.06</v>
      </c>
      <c r="E57">
        <v>8.08</v>
      </c>
      <c r="F57">
        <v>6.41</v>
      </c>
      <c r="G57">
        <v>0.19</v>
      </c>
      <c r="H57">
        <v>0.19</v>
      </c>
      <c r="I57">
        <v>4.12</v>
      </c>
      <c r="J57">
        <v>0.23</v>
      </c>
    </row>
    <row r="60" spans="2:10" x14ac:dyDescent="0.25">
      <c r="B60" s="63" t="s">
        <v>57</v>
      </c>
      <c r="C60" s="63"/>
      <c r="D60" s="63"/>
      <c r="E60" s="63"/>
      <c r="F60" s="63"/>
      <c r="G60" s="63"/>
      <c r="H60" s="63"/>
    </row>
    <row r="61" spans="2:10" x14ac:dyDescent="0.25">
      <c r="F61" t="s">
        <v>51</v>
      </c>
    </row>
    <row r="62" spans="2:10" x14ac:dyDescent="0.25">
      <c r="B62" t="s">
        <v>39</v>
      </c>
      <c r="C62" t="s">
        <v>39</v>
      </c>
      <c r="D62" t="s">
        <v>41</v>
      </c>
      <c r="E62" t="s">
        <v>41</v>
      </c>
      <c r="F62" t="s">
        <v>41</v>
      </c>
    </row>
    <row r="63" spans="2:10" x14ac:dyDescent="0.25">
      <c r="B63" t="s">
        <v>40</v>
      </c>
      <c r="C63" t="s">
        <v>40</v>
      </c>
      <c r="D63" t="s">
        <v>40</v>
      </c>
      <c r="E63" t="s">
        <v>40</v>
      </c>
      <c r="F63" t="s">
        <v>40</v>
      </c>
    </row>
    <row r="64" spans="2:10" x14ac:dyDescent="0.25">
      <c r="B64" t="s">
        <v>38</v>
      </c>
      <c r="C64" t="s">
        <v>38</v>
      </c>
      <c r="D64" t="s">
        <v>38</v>
      </c>
      <c r="E64" t="s">
        <v>38</v>
      </c>
      <c r="F64" t="s">
        <v>38</v>
      </c>
    </row>
    <row r="65" spans="2:8" x14ac:dyDescent="0.25">
      <c r="B65" t="s">
        <v>32</v>
      </c>
      <c r="C65" t="s">
        <v>33</v>
      </c>
      <c r="D65" t="s">
        <v>58</v>
      </c>
      <c r="E65" t="s">
        <v>31</v>
      </c>
      <c r="F65" t="s">
        <v>34</v>
      </c>
      <c r="G65" t="s">
        <v>36</v>
      </c>
      <c r="H65" t="s">
        <v>37</v>
      </c>
    </row>
    <row r="66" spans="2:8" x14ac:dyDescent="0.25">
      <c r="B66">
        <v>35.83</v>
      </c>
      <c r="C66">
        <v>29.86</v>
      </c>
      <c r="D66">
        <v>17.559999999999999</v>
      </c>
      <c r="E66">
        <v>11.94</v>
      </c>
      <c r="F66">
        <v>0.88</v>
      </c>
      <c r="G66">
        <v>3.72</v>
      </c>
      <c r="H66">
        <v>0.21</v>
      </c>
    </row>
    <row r="69" spans="2:8" x14ac:dyDescent="0.25">
      <c r="B69" s="63" t="s">
        <v>59</v>
      </c>
      <c r="C69" s="63"/>
      <c r="D69" s="63"/>
      <c r="E69" s="63"/>
      <c r="F69" s="63"/>
      <c r="G69" s="63"/>
      <c r="H69" s="63"/>
    </row>
    <row r="70" spans="2:8" x14ac:dyDescent="0.25">
      <c r="D70" s="13" t="s">
        <v>47</v>
      </c>
      <c r="F70" t="s">
        <v>51</v>
      </c>
    </row>
    <row r="71" spans="2:8" x14ac:dyDescent="0.25">
      <c r="B71" t="s">
        <v>39</v>
      </c>
      <c r="C71" t="s">
        <v>39</v>
      </c>
      <c r="D71" s="13" t="s">
        <v>41</v>
      </c>
      <c r="E71" t="s">
        <v>39</v>
      </c>
      <c r="F71" t="s">
        <v>41</v>
      </c>
    </row>
    <row r="72" spans="2:8" x14ac:dyDescent="0.25">
      <c r="B72" t="s">
        <v>40</v>
      </c>
      <c r="C72" t="s">
        <v>40</v>
      </c>
      <c r="D72" t="s">
        <v>40</v>
      </c>
      <c r="E72" t="s">
        <v>40</v>
      </c>
      <c r="F72" t="s">
        <v>40</v>
      </c>
    </row>
    <row r="73" spans="2:8" x14ac:dyDescent="0.25">
      <c r="B73" t="s">
        <v>38</v>
      </c>
      <c r="C73" t="s">
        <v>38</v>
      </c>
      <c r="D73" t="s">
        <v>38</v>
      </c>
      <c r="E73" t="s">
        <v>38</v>
      </c>
      <c r="F73" t="s">
        <v>38</v>
      </c>
    </row>
    <row r="74" spans="2:8" x14ac:dyDescent="0.25">
      <c r="B74" t="s">
        <v>31</v>
      </c>
      <c r="C74" t="s">
        <v>33</v>
      </c>
      <c r="D74" t="s">
        <v>46</v>
      </c>
      <c r="E74" t="s">
        <v>32</v>
      </c>
      <c r="F74" t="s">
        <v>34</v>
      </c>
      <c r="G74" t="s">
        <v>36</v>
      </c>
      <c r="H74" t="s">
        <v>37</v>
      </c>
    </row>
    <row r="75" spans="2:8" x14ac:dyDescent="0.25">
      <c r="B75">
        <v>36.93</v>
      </c>
      <c r="C75">
        <v>24.62</v>
      </c>
      <c r="D75">
        <v>20.52</v>
      </c>
      <c r="E75">
        <v>11.28</v>
      </c>
      <c r="F75">
        <v>2.0499999999999998</v>
      </c>
      <c r="G75">
        <v>4.3499999999999996</v>
      </c>
      <c r="H75">
        <v>0.25</v>
      </c>
    </row>
    <row r="78" spans="2:8" x14ac:dyDescent="0.25">
      <c r="B78" s="63" t="s">
        <v>60</v>
      </c>
      <c r="C78" s="63"/>
      <c r="D78" s="63"/>
      <c r="E78" s="63"/>
      <c r="F78" s="63"/>
      <c r="G78" s="63"/>
      <c r="H78" s="63"/>
    </row>
    <row r="79" spans="2:8" x14ac:dyDescent="0.25">
      <c r="B79" t="s">
        <v>51</v>
      </c>
      <c r="G79" t="s">
        <v>51</v>
      </c>
    </row>
    <row r="80" spans="2:8" x14ac:dyDescent="0.25">
      <c r="B80" t="s">
        <v>41</v>
      </c>
      <c r="C80" t="s">
        <v>41</v>
      </c>
      <c r="D80" t="s">
        <v>41</v>
      </c>
      <c r="F80" t="s">
        <v>39</v>
      </c>
      <c r="G80" t="s">
        <v>41</v>
      </c>
    </row>
    <row r="81" spans="2:11" x14ac:dyDescent="0.25">
      <c r="B81" t="s">
        <v>40</v>
      </c>
      <c r="C81" t="s">
        <v>40</v>
      </c>
      <c r="D81" t="s">
        <v>40</v>
      </c>
      <c r="E81" t="s">
        <v>40</v>
      </c>
      <c r="F81" t="s">
        <v>40</v>
      </c>
      <c r="G81" t="s">
        <v>40</v>
      </c>
    </row>
    <row r="82" spans="2:11" x14ac:dyDescent="0.25">
      <c r="B82" t="s">
        <v>38</v>
      </c>
      <c r="C82" t="s">
        <v>38</v>
      </c>
      <c r="D82" t="s">
        <v>38</v>
      </c>
      <c r="E82" t="s">
        <v>38</v>
      </c>
      <c r="F82" t="s">
        <v>38</v>
      </c>
      <c r="G82" t="s">
        <v>38</v>
      </c>
    </row>
    <row r="83" spans="2:11" x14ac:dyDescent="0.25">
      <c r="B83" t="s">
        <v>31</v>
      </c>
      <c r="C83" t="s">
        <v>33</v>
      </c>
      <c r="D83" t="s">
        <v>61</v>
      </c>
      <c r="E83" t="s">
        <v>56</v>
      </c>
      <c r="F83" t="s">
        <v>32</v>
      </c>
      <c r="G83" t="s">
        <v>34</v>
      </c>
      <c r="H83" t="s">
        <v>36</v>
      </c>
      <c r="I83" t="s">
        <v>37</v>
      </c>
    </row>
    <row r="84" spans="2:11" x14ac:dyDescent="0.25">
      <c r="B84">
        <v>28.24</v>
      </c>
      <c r="C84">
        <v>26.67</v>
      </c>
      <c r="D84">
        <v>14.12</v>
      </c>
      <c r="E84">
        <v>10.98</v>
      </c>
      <c r="F84">
        <v>8.6300000000000008</v>
      </c>
      <c r="G84">
        <v>7.84</v>
      </c>
      <c r="H84">
        <v>3.33</v>
      </c>
      <c r="I84">
        <v>0.19</v>
      </c>
    </row>
    <row r="87" spans="2:11" x14ac:dyDescent="0.25">
      <c r="B87" s="63" t="s">
        <v>66</v>
      </c>
      <c r="C87" s="63"/>
      <c r="D87" s="63"/>
      <c r="E87" s="63"/>
      <c r="F87" s="63"/>
      <c r="G87" s="63"/>
      <c r="H87" s="63"/>
    </row>
    <row r="88" spans="2:11" x14ac:dyDescent="0.25">
      <c r="E88" s="13" t="s">
        <v>47</v>
      </c>
      <c r="G88" s="13" t="s">
        <v>51</v>
      </c>
      <c r="H88" s="13" t="s">
        <v>51</v>
      </c>
    </row>
    <row r="89" spans="2:11" x14ac:dyDescent="0.25">
      <c r="B89" t="s">
        <v>39</v>
      </c>
      <c r="C89" t="s">
        <v>39</v>
      </c>
      <c r="D89" t="s">
        <v>39</v>
      </c>
      <c r="E89" s="13" t="s">
        <v>41</v>
      </c>
      <c r="G89" s="13" t="s">
        <v>41</v>
      </c>
      <c r="H89" s="13" t="s">
        <v>41</v>
      </c>
    </row>
    <row r="90" spans="2:11" x14ac:dyDescent="0.25">
      <c r="B90" t="s">
        <v>40</v>
      </c>
      <c r="C90" t="s">
        <v>40</v>
      </c>
      <c r="D90" t="s">
        <v>40</v>
      </c>
      <c r="E90" t="s">
        <v>40</v>
      </c>
      <c r="F90" t="s">
        <v>40</v>
      </c>
      <c r="G90" s="13" t="s">
        <v>40</v>
      </c>
      <c r="H90" s="13" t="s">
        <v>40</v>
      </c>
      <c r="I90" t="s">
        <v>40</v>
      </c>
    </row>
    <row r="91" spans="2:11" x14ac:dyDescent="0.25">
      <c r="B91" t="s">
        <v>38</v>
      </c>
      <c r="C91" t="s">
        <v>38</v>
      </c>
      <c r="D91" t="s">
        <v>38</v>
      </c>
      <c r="E91" t="s">
        <v>38</v>
      </c>
      <c r="F91" t="s">
        <v>38</v>
      </c>
      <c r="G91" s="13" t="s">
        <v>38</v>
      </c>
      <c r="H91" s="13" t="s">
        <v>38</v>
      </c>
      <c r="I91" t="s">
        <v>38</v>
      </c>
    </row>
    <row r="92" spans="2:11" x14ac:dyDescent="0.25">
      <c r="B92" t="s">
        <v>31</v>
      </c>
      <c r="C92" t="s">
        <v>33</v>
      </c>
      <c r="D92" t="s">
        <v>32</v>
      </c>
      <c r="E92" t="s">
        <v>46</v>
      </c>
      <c r="F92" t="s">
        <v>35</v>
      </c>
      <c r="G92" t="s">
        <v>67</v>
      </c>
      <c r="H92" t="s">
        <v>68</v>
      </c>
      <c r="I92" t="s">
        <v>69</v>
      </c>
      <c r="J92" t="s">
        <v>36</v>
      </c>
      <c r="K92" t="s">
        <v>37</v>
      </c>
    </row>
    <row r="93" spans="2:11" x14ac:dyDescent="0.25">
      <c r="B93">
        <v>44.88</v>
      </c>
      <c r="C93">
        <v>22.44</v>
      </c>
      <c r="D93">
        <v>13.02</v>
      </c>
      <c r="E93">
        <v>10.199999999999999</v>
      </c>
      <c r="F93">
        <v>1.84</v>
      </c>
      <c r="G93">
        <v>1.02</v>
      </c>
      <c r="H93">
        <v>1.02</v>
      </c>
      <c r="I93">
        <v>1.02</v>
      </c>
      <c r="J93">
        <v>4.32</v>
      </c>
      <c r="K93">
        <v>0.24</v>
      </c>
    </row>
  </sheetData>
  <mergeCells count="10">
    <mergeCell ref="B87:H87"/>
    <mergeCell ref="B11:H11"/>
    <mergeCell ref="B2:C2"/>
    <mergeCell ref="B20:F20"/>
    <mergeCell ref="B32:H32"/>
    <mergeCell ref="B41:H41"/>
    <mergeCell ref="B51:H51"/>
    <mergeCell ref="B60:H60"/>
    <mergeCell ref="B69:H69"/>
    <mergeCell ref="B78:H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General</vt:lpstr>
      <vt:lpstr>Mezclado</vt:lpstr>
      <vt:lpstr>Laminado</vt:lpstr>
      <vt:lpstr>Molido</vt:lpstr>
      <vt:lpstr>Tostado</vt:lpstr>
      <vt:lpstr>Limpieza</vt:lpstr>
      <vt:lpstr>Deshidratado</vt:lpstr>
      <vt:lpstr>Materia Prima</vt:lpstr>
      <vt:lpstr>Resumen</vt:lpstr>
      <vt:lpstr>Formula</vt:lpstr>
      <vt:lpstr>Procesos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dcterms:created xsi:type="dcterms:W3CDTF">2025-08-19T17:07:40Z</dcterms:created>
  <dcterms:modified xsi:type="dcterms:W3CDTF">2025-11-20T21:10:10Z</dcterms:modified>
</cp:coreProperties>
</file>