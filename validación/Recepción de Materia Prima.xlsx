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COIMPEC\Desktop\"/>
    </mc:Choice>
  </mc:AlternateContent>
  <xr:revisionPtr revIDLastSave="0" documentId="13_ncr:1_{1902E121-0712-48B9-806C-5CB34650BEA9}" xr6:coauthVersionLast="47" xr6:coauthVersionMax="47" xr10:uidLastSave="{00000000-0000-0000-0000-000000000000}"/>
  <bookViews>
    <workbookView xWindow="-120" yWindow="-120" windowWidth="29040" windowHeight="15720" xr2:uid="{C10F0249-787B-4661-9F07-586BD78C4D24}"/>
  </bookViews>
  <sheets>
    <sheet name="Hoja1" sheetId="1" r:id="rId1"/>
  </sheets>
  <definedNames>
    <definedName name="_xlnm._FilterDatabase" localSheetId="0" hidden="1">Hoja1!$A$7:$M$172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4" i="1" l="1"/>
  <c r="H183" i="1"/>
  <c r="H182" i="1"/>
  <c r="H181" i="1"/>
  <c r="H180" i="1"/>
  <c r="H179" i="1"/>
  <c r="H178" i="1"/>
  <c r="H177" i="1"/>
  <c r="H176" i="1"/>
  <c r="H175" i="1"/>
  <c r="H174" i="1"/>
  <c r="H173" i="1"/>
  <c r="E184" i="1"/>
  <c r="F184" i="1" s="1"/>
  <c r="E183" i="1"/>
  <c r="F183" i="1" s="1"/>
  <c r="E182" i="1"/>
  <c r="F182" i="1" s="1"/>
  <c r="E181" i="1"/>
  <c r="F181" i="1" s="1"/>
  <c r="E180" i="1"/>
  <c r="F180" i="1" s="1"/>
  <c r="E179" i="1"/>
  <c r="F179" i="1" s="1"/>
  <c r="E178" i="1"/>
  <c r="F178" i="1" s="1"/>
  <c r="E177" i="1"/>
  <c r="F177" i="1" s="1"/>
  <c r="E176" i="1"/>
  <c r="F176" i="1" s="1"/>
  <c r="E175" i="1"/>
  <c r="F175" i="1" s="1"/>
  <c r="E174" i="1"/>
  <c r="F174" i="1" s="1"/>
  <c r="H130" i="1"/>
  <c r="H121" i="1"/>
  <c r="H13" i="1"/>
  <c r="E13" i="1"/>
  <c r="F13" i="1" s="1"/>
  <c r="E12" i="1"/>
  <c r="F12" i="1" s="1"/>
  <c r="H12" i="1"/>
  <c r="H163" i="1"/>
  <c r="E163" i="1"/>
  <c r="F163" i="1" s="1"/>
  <c r="H162" i="1"/>
  <c r="E162" i="1"/>
  <c r="F162" i="1" s="1"/>
  <c r="H161" i="1"/>
  <c r="E161" i="1"/>
  <c r="F161" i="1" s="1"/>
  <c r="H170" i="1"/>
  <c r="E170" i="1"/>
  <c r="F170" i="1" s="1"/>
  <c r="H169" i="1"/>
  <c r="E169" i="1"/>
  <c r="F169" i="1" s="1"/>
  <c r="H166" i="1"/>
  <c r="E166" i="1"/>
  <c r="F166" i="1" s="1"/>
  <c r="H168" i="1"/>
  <c r="E168" i="1"/>
  <c r="F168" i="1" s="1"/>
  <c r="H167" i="1"/>
  <c r="E167" i="1"/>
  <c r="F167" i="1" s="1"/>
  <c r="H157" i="1"/>
  <c r="E157" i="1"/>
  <c r="F157" i="1" s="1"/>
  <c r="H165" i="1"/>
  <c r="E165" i="1"/>
  <c r="F165" i="1" s="1"/>
  <c r="H160" i="1"/>
  <c r="E160" i="1"/>
  <c r="F160" i="1" s="1"/>
  <c r="H164" i="1"/>
  <c r="E164" i="1"/>
  <c r="F164" i="1" s="1"/>
  <c r="H159" i="1"/>
  <c r="E159" i="1"/>
  <c r="F159" i="1" s="1"/>
  <c r="H158" i="1"/>
  <c r="E158" i="1"/>
  <c r="F158" i="1" s="1"/>
  <c r="H172" i="1"/>
  <c r="E172" i="1"/>
  <c r="F172" i="1" s="1"/>
  <c r="H171" i="1"/>
  <c r="E171" i="1"/>
  <c r="F171" i="1" s="1"/>
  <c r="H156" i="1"/>
  <c r="H34" i="1"/>
  <c r="H35" i="1"/>
  <c r="H33" i="1"/>
  <c r="H32" i="1"/>
  <c r="H31" i="1"/>
  <c r="E82" i="1"/>
  <c r="F82" i="1" s="1"/>
  <c r="E145" i="1"/>
  <c r="F145" i="1" s="1"/>
  <c r="E122" i="1"/>
  <c r="F122" i="1" s="1"/>
  <c r="E107" i="1"/>
  <c r="F107" i="1" s="1"/>
  <c r="E66" i="1"/>
  <c r="F66" i="1" s="1"/>
  <c r="E47" i="1"/>
  <c r="F47" i="1" s="1"/>
  <c r="E31" i="1"/>
  <c r="F31" i="1" s="1"/>
  <c r="E141" i="1"/>
  <c r="F141" i="1" s="1"/>
  <c r="E124" i="1"/>
  <c r="F124" i="1" s="1"/>
  <c r="E100" i="1"/>
  <c r="F100" i="1" s="1"/>
  <c r="E91" i="1"/>
  <c r="F91" i="1" s="1"/>
  <c r="E68" i="1"/>
  <c r="F68" i="1" s="1"/>
  <c r="E49" i="1"/>
  <c r="F49" i="1" s="1"/>
  <c r="E15" i="1"/>
  <c r="F15" i="1" s="1"/>
  <c r="E20" i="1"/>
  <c r="F20" i="1" s="1"/>
  <c r="E34" i="1"/>
  <c r="F34" i="1" s="1"/>
  <c r="E51" i="1"/>
  <c r="F51" i="1" s="1"/>
  <c r="E148" i="1"/>
  <c r="F148" i="1" s="1"/>
  <c r="E76" i="1"/>
  <c r="F76" i="1" s="1"/>
  <c r="E126" i="1"/>
  <c r="F126" i="1" s="1"/>
  <c r="E43" i="1"/>
  <c r="F43" i="1" s="1"/>
  <c r="E73" i="1"/>
  <c r="F73" i="1" s="1"/>
  <c r="E133" i="1"/>
  <c r="F133" i="1" s="1"/>
  <c r="E155" i="1"/>
  <c r="F155" i="1" s="1"/>
  <c r="E131" i="1"/>
  <c r="F131" i="1" s="1"/>
  <c r="E81" i="1"/>
  <c r="F81" i="1" s="1"/>
  <c r="E134" i="1"/>
  <c r="F134" i="1" s="1"/>
  <c r="E74" i="1"/>
  <c r="F74" i="1" s="1"/>
  <c r="E44" i="1"/>
  <c r="F44" i="1" s="1"/>
  <c r="E50" i="1"/>
  <c r="F50" i="1" s="1"/>
  <c r="E69" i="1"/>
  <c r="F69" i="1" s="1"/>
  <c r="E125" i="1"/>
  <c r="F125" i="1" s="1"/>
  <c r="E147" i="1"/>
  <c r="F147" i="1" s="1"/>
  <c r="E33" i="1"/>
  <c r="F33" i="1" s="1"/>
  <c r="E146" i="1"/>
  <c r="F146" i="1" s="1"/>
  <c r="E123" i="1"/>
  <c r="F123" i="1" s="1"/>
  <c r="E108" i="1"/>
  <c r="F108" i="1" s="1"/>
  <c r="E90" i="1"/>
  <c r="F90" i="1" s="1"/>
  <c r="E67" i="1"/>
  <c r="F67" i="1" s="1"/>
  <c r="E48" i="1"/>
  <c r="F48" i="1" s="1"/>
  <c r="E32" i="1"/>
  <c r="F32" i="1" s="1"/>
  <c r="E153" i="1"/>
  <c r="F153" i="1" s="1"/>
  <c r="E128" i="1"/>
  <c r="F128" i="1" s="1"/>
  <c r="E110" i="1"/>
  <c r="F110" i="1" s="1"/>
  <c r="E93" i="1"/>
  <c r="F93" i="1" s="1"/>
  <c r="E71" i="1"/>
  <c r="F71" i="1" s="1"/>
  <c r="E53" i="1"/>
  <c r="F53" i="1" s="1"/>
  <c r="E22" i="1"/>
  <c r="F22" i="1" s="1"/>
  <c r="E152" i="1"/>
  <c r="F152" i="1" s="1"/>
  <c r="E127" i="1"/>
  <c r="F127" i="1" s="1"/>
  <c r="E109" i="1"/>
  <c r="F109" i="1" s="1"/>
  <c r="E92" i="1"/>
  <c r="F92" i="1" s="1"/>
  <c r="E70" i="1"/>
  <c r="F70" i="1" s="1"/>
  <c r="E52" i="1"/>
  <c r="F52" i="1" s="1"/>
  <c r="E21" i="1"/>
  <c r="F21" i="1" s="1"/>
  <c r="E142" i="1"/>
  <c r="F142" i="1" s="1"/>
  <c r="E116" i="1"/>
  <c r="F116" i="1" s="1"/>
  <c r="E99" i="1"/>
  <c r="F99" i="1" s="1"/>
  <c r="E83" i="1"/>
  <c r="F83" i="1" s="1"/>
  <c r="E59" i="1"/>
  <c r="F59" i="1" s="1"/>
  <c r="E40" i="1"/>
  <c r="F40" i="1" s="1"/>
  <c r="E28" i="1"/>
  <c r="F28" i="1" s="1"/>
  <c r="E75" i="1"/>
  <c r="F75" i="1" s="1"/>
  <c r="E19" i="1"/>
  <c r="F19" i="1" s="1"/>
  <c r="E132" i="1"/>
  <c r="F132" i="1" s="1"/>
  <c r="E18" i="1"/>
  <c r="F18" i="1" s="1"/>
  <c r="E30" i="1"/>
  <c r="F30" i="1" s="1"/>
  <c r="E42" i="1"/>
  <c r="F42" i="1" s="1"/>
  <c r="E61" i="1"/>
  <c r="F61" i="1" s="1"/>
  <c r="E85" i="1"/>
  <c r="F85" i="1" s="1"/>
  <c r="E102" i="1"/>
  <c r="F102" i="1" s="1"/>
  <c r="E118" i="1"/>
  <c r="F118" i="1" s="1"/>
  <c r="E139" i="1"/>
  <c r="F139" i="1" s="1"/>
  <c r="E117" i="1"/>
  <c r="F117" i="1" s="1"/>
  <c r="E101" i="1"/>
  <c r="F101" i="1" s="1"/>
  <c r="E84" i="1"/>
  <c r="F84" i="1" s="1"/>
  <c r="E60" i="1"/>
  <c r="F60" i="1" s="1"/>
  <c r="E29" i="1"/>
  <c r="F29" i="1" s="1"/>
  <c r="E41" i="1"/>
  <c r="F41" i="1" s="1"/>
  <c r="E17" i="1"/>
  <c r="F17" i="1" s="1"/>
  <c r="E138" i="1"/>
  <c r="F138" i="1" s="1"/>
  <c r="E154" i="1"/>
  <c r="F154" i="1" s="1"/>
  <c r="E72" i="1"/>
  <c r="F72" i="1" s="1"/>
  <c r="E111" i="1"/>
  <c r="F111" i="1" s="1"/>
  <c r="E16" i="1"/>
  <c r="F16" i="1" s="1"/>
  <c r="E54" i="1"/>
  <c r="F54" i="1" s="1"/>
  <c r="E94" i="1"/>
  <c r="F94" i="1" s="1"/>
  <c r="E129" i="1"/>
  <c r="F129" i="1" s="1"/>
  <c r="E26" i="1"/>
  <c r="F26" i="1" s="1"/>
  <c r="E58" i="1"/>
  <c r="F58" i="1" s="1"/>
  <c r="E98" i="1"/>
  <c r="F98" i="1" s="1"/>
  <c r="E115" i="1"/>
  <c r="F115" i="1" s="1"/>
  <c r="E80" i="1"/>
  <c r="F80" i="1" s="1"/>
  <c r="E38" i="1"/>
  <c r="F38" i="1" s="1"/>
  <c r="E14" i="1"/>
  <c r="F14" i="1" s="1"/>
  <c r="E140" i="1"/>
  <c r="F140" i="1" s="1"/>
  <c r="E151" i="1"/>
  <c r="F151" i="1" s="1"/>
  <c r="E150" i="1"/>
  <c r="F150" i="1" s="1"/>
  <c r="E89" i="1"/>
  <c r="F89" i="1" s="1"/>
  <c r="E88" i="1"/>
  <c r="F88" i="1" s="1"/>
  <c r="E39" i="1"/>
  <c r="F39" i="1" s="1"/>
  <c r="E106" i="1"/>
  <c r="F106" i="1" s="1"/>
  <c r="E105" i="1"/>
  <c r="F105" i="1" s="1"/>
  <c r="E65" i="1"/>
  <c r="F65" i="1" s="1"/>
  <c r="E64" i="1"/>
  <c r="F64" i="1" s="1"/>
  <c r="E27" i="1"/>
  <c r="F27" i="1" s="1"/>
  <c r="E121" i="1"/>
  <c r="F121" i="1" s="1"/>
  <c r="E130" i="1"/>
  <c r="F130" i="1" s="1"/>
  <c r="E149" i="1"/>
  <c r="F149" i="1" s="1"/>
  <c r="E143" i="1"/>
  <c r="F143" i="1" s="1"/>
  <c r="E136" i="1"/>
  <c r="F136" i="1" s="1"/>
  <c r="E119" i="1"/>
  <c r="F119" i="1" s="1"/>
  <c r="E113" i="1"/>
  <c r="F113" i="1" s="1"/>
  <c r="E104" i="1"/>
  <c r="F104" i="1" s="1"/>
  <c r="E96" i="1"/>
  <c r="F96" i="1" s="1"/>
  <c r="E86" i="1"/>
  <c r="F86" i="1" s="1"/>
  <c r="E78" i="1"/>
  <c r="F78" i="1" s="1"/>
  <c r="E62" i="1"/>
  <c r="F62" i="1" s="1"/>
  <c r="E56" i="1"/>
  <c r="F56" i="1" s="1"/>
  <c r="E45" i="1"/>
  <c r="F45" i="1" s="1"/>
  <c r="E36" i="1"/>
  <c r="F36" i="1" s="1"/>
  <c r="E24" i="1"/>
  <c r="F24" i="1" s="1"/>
  <c r="E10" i="1"/>
  <c r="F10" i="1" s="1"/>
  <c r="E144" i="1"/>
  <c r="F144" i="1" s="1"/>
  <c r="E137" i="1"/>
  <c r="F137" i="1" s="1"/>
  <c r="E120" i="1"/>
  <c r="F120" i="1" s="1"/>
  <c r="E114" i="1"/>
  <c r="F114" i="1" s="1"/>
  <c r="E103" i="1"/>
  <c r="F103" i="1" s="1"/>
  <c r="E97" i="1"/>
  <c r="F97" i="1" s="1"/>
  <c r="E87" i="1"/>
  <c r="F87" i="1" s="1"/>
  <c r="E79" i="1"/>
  <c r="F79" i="1" s="1"/>
  <c r="E63" i="1"/>
  <c r="F63" i="1" s="1"/>
  <c r="E57" i="1"/>
  <c r="F57" i="1" s="1"/>
  <c r="E46" i="1"/>
  <c r="F46" i="1" s="1"/>
  <c r="E37" i="1"/>
  <c r="F37" i="1" s="1"/>
  <c r="E25" i="1"/>
  <c r="F25" i="1" s="1"/>
  <c r="E11" i="1"/>
  <c r="F11" i="1" s="1"/>
  <c r="H137" i="1"/>
  <c r="H136" i="1"/>
  <c r="H97" i="1"/>
  <c r="H96" i="1"/>
  <c r="H114" i="1"/>
  <c r="H113" i="1"/>
  <c r="H103" i="1"/>
  <c r="H104" i="1"/>
  <c r="H81" i="1"/>
  <c r="H79" i="1"/>
  <c r="H78" i="1"/>
  <c r="H57" i="1"/>
  <c r="H56" i="1"/>
  <c r="H37" i="1"/>
  <c r="H36" i="1"/>
  <c r="H14" i="1"/>
  <c r="H26" i="1"/>
  <c r="H58" i="1"/>
  <c r="H38" i="1"/>
  <c r="H80" i="1"/>
  <c r="H115" i="1"/>
  <c r="H140" i="1"/>
  <c r="H98" i="1"/>
  <c r="H149" i="1"/>
  <c r="H143" i="1"/>
  <c r="H119" i="1"/>
  <c r="H10" i="1"/>
  <c r="H86" i="1"/>
  <c r="H45" i="1"/>
  <c r="H24" i="1"/>
  <c r="H62" i="1"/>
  <c r="H129" i="1"/>
  <c r="H154" i="1"/>
  <c r="H111" i="1"/>
  <c r="H94" i="1"/>
  <c r="H16" i="1"/>
  <c r="H54" i="1"/>
  <c r="H72" i="1"/>
  <c r="H147" i="1"/>
  <c r="H125" i="1"/>
  <c r="H50" i="1"/>
  <c r="H69" i="1"/>
  <c r="H18" i="1"/>
  <c r="H118" i="1"/>
  <c r="H85" i="1"/>
  <c r="H42" i="1"/>
  <c r="H139" i="1"/>
  <c r="H102" i="1"/>
  <c r="H61" i="1"/>
  <c r="H30" i="1"/>
  <c r="H123" i="1"/>
  <c r="H146" i="1"/>
  <c r="H108" i="1"/>
  <c r="H90" i="1"/>
  <c r="H48" i="1"/>
  <c r="H67" i="1"/>
  <c r="H88" i="1"/>
  <c r="H105" i="1"/>
  <c r="H64" i="1"/>
  <c r="H39" i="1"/>
  <c r="H150" i="1"/>
  <c r="H27" i="1"/>
  <c r="H151" i="1"/>
  <c r="H106" i="1"/>
  <c r="H65" i="1"/>
  <c r="H89" i="1"/>
  <c r="H21" i="1"/>
  <c r="H52" i="1"/>
  <c r="H92" i="1"/>
  <c r="H127" i="1"/>
  <c r="H152" i="1"/>
  <c r="H109" i="1"/>
  <c r="H70" i="1"/>
  <c r="H116" i="1"/>
  <c r="H142" i="1"/>
  <c r="H99" i="1"/>
  <c r="H83" i="1"/>
  <c r="H59" i="1"/>
  <c r="H40" i="1"/>
  <c r="H28" i="1"/>
  <c r="H120" i="1"/>
  <c r="H144" i="1"/>
  <c r="H87" i="1"/>
  <c r="H63" i="1"/>
  <c r="H46" i="1"/>
  <c r="H25" i="1"/>
  <c r="H11" i="1"/>
  <c r="H133" i="1"/>
  <c r="H73" i="1"/>
  <c r="H43" i="1"/>
  <c r="H134" i="1"/>
  <c r="H74" i="1"/>
  <c r="H44" i="1"/>
  <c r="H117" i="1"/>
  <c r="H84" i="1"/>
  <c r="H41" i="1"/>
  <c r="H138" i="1"/>
  <c r="H101" i="1"/>
  <c r="H60" i="1"/>
  <c r="H29" i="1"/>
  <c r="H17" i="1"/>
  <c r="H155" i="1"/>
  <c r="H131" i="1"/>
  <c r="H132" i="1"/>
  <c r="H75" i="1"/>
  <c r="H19" i="1"/>
  <c r="H122" i="1"/>
  <c r="H82" i="1"/>
  <c r="H47" i="1"/>
  <c r="H145" i="1"/>
  <c r="H107" i="1"/>
  <c r="H66" i="1"/>
  <c r="H135" i="1"/>
  <c r="H112" i="1"/>
  <c r="H95" i="1"/>
  <c r="H77" i="1"/>
  <c r="H55" i="1"/>
  <c r="H23" i="1"/>
  <c r="H9" i="1"/>
  <c r="H148" i="1"/>
  <c r="H126" i="1"/>
  <c r="H76" i="1"/>
  <c r="H51" i="1"/>
  <c r="H20" i="1"/>
  <c r="H153" i="1"/>
  <c r="H110" i="1"/>
  <c r="H128" i="1"/>
  <c r="H93" i="1"/>
  <c r="H71" i="1"/>
  <c r="H53" i="1"/>
  <c r="H22" i="1"/>
  <c r="H141" i="1"/>
  <c r="H124" i="1"/>
  <c r="H100" i="1"/>
  <c r="H91" i="1"/>
  <c r="H68" i="1"/>
  <c r="H49" i="1"/>
  <c r="H15" i="1"/>
</calcChain>
</file>

<file path=xl/sharedStrings.xml><?xml version="1.0" encoding="utf-8"?>
<sst xmlns="http://schemas.openxmlformats.org/spreadsheetml/2006/main" count="1299" uniqueCount="180">
  <si>
    <t>FECHA</t>
  </si>
  <si>
    <t>POCEDENCIA: PROVEEDOR</t>
  </si>
  <si>
    <t>M.PRIMA/ INSUMO/ MATERIALES</t>
  </si>
  <si>
    <t>CANTIDAD</t>
  </si>
  <si>
    <t>F. PROD.</t>
  </si>
  <si>
    <t>F. VENC.</t>
  </si>
  <si>
    <t>LOTE</t>
  </si>
  <si>
    <t>CODIGO INTERNO</t>
  </si>
  <si>
    <t>HUMEDAD DEL GRANO</t>
  </si>
  <si>
    <t>ENTREGÓ CERTIF.</t>
  </si>
  <si>
    <t>CALIDAD Y/O FICHA TÉCNICA Y/O REG. SAN. Y/O ANÁLISIS</t>
  </si>
  <si>
    <t>CONDICIONES DE RECEPCIÓN</t>
  </si>
  <si>
    <t>DESTINO</t>
  </si>
  <si>
    <t>INCIDENCIA</t>
  </si>
  <si>
    <t>CONTROL DE RECEPCIÓN Y ALMACENAMIENTO DE MATERIAS PRIMAS, INSUMOS Y MATERIALES (CONTROL DIGITAL)</t>
  </si>
  <si>
    <t>Avena pelada estabilizada precocida</t>
  </si>
  <si>
    <t>Quinua desaponificada en grano</t>
  </si>
  <si>
    <t>Kiwicha en Grano</t>
  </si>
  <si>
    <t>Soya en Grano</t>
  </si>
  <si>
    <t>Maca Deshidratada</t>
  </si>
  <si>
    <t>Maca</t>
  </si>
  <si>
    <t>Cañihua en Grano</t>
  </si>
  <si>
    <t>Aceite de Girasol</t>
  </si>
  <si>
    <t>Linaza</t>
  </si>
  <si>
    <t>Ajonjoli</t>
  </si>
  <si>
    <t>Proteina Aislada de Soya</t>
  </si>
  <si>
    <t>Fosfato Tricálcico</t>
  </si>
  <si>
    <t>Mix Vitáminico</t>
  </si>
  <si>
    <t>Almidon de Maca</t>
  </si>
  <si>
    <t>1,700 Kg</t>
  </si>
  <si>
    <t>4,550 Kg</t>
  </si>
  <si>
    <t>5,350 Kg</t>
  </si>
  <si>
    <t>1,150 Kg</t>
  </si>
  <si>
    <t>2,500 Kg</t>
  </si>
  <si>
    <t>1,050 Kg</t>
  </si>
  <si>
    <t>1,350 Kg</t>
  </si>
  <si>
    <t>1,025 Kg</t>
  </si>
  <si>
    <t>60 L</t>
  </si>
  <si>
    <t>50 Kg</t>
  </si>
  <si>
    <t>700 Kg</t>
  </si>
  <si>
    <t>Almacén 1</t>
  </si>
  <si>
    <t>Almacén 2</t>
  </si>
  <si>
    <t>Almacén 3</t>
  </si>
  <si>
    <t>Azucar Rubia</t>
  </si>
  <si>
    <t>Maiz Chufla en Grano</t>
  </si>
  <si>
    <t>Leche en Polvo</t>
  </si>
  <si>
    <t>Pallar Seco</t>
  </si>
  <si>
    <t>2,525 Kg</t>
  </si>
  <si>
    <t>2,100 Kg</t>
  </si>
  <si>
    <t>3,150 Kg</t>
  </si>
  <si>
    <t>1,800 Kg</t>
  </si>
  <si>
    <t>300 Kg</t>
  </si>
  <si>
    <t>500 Kg</t>
  </si>
  <si>
    <t>925 Kg</t>
  </si>
  <si>
    <t>25 Kg</t>
  </si>
  <si>
    <t>475 Kg</t>
  </si>
  <si>
    <t>3,425 Kg</t>
  </si>
  <si>
    <t>750 Kg</t>
  </si>
  <si>
    <t>825 Kg</t>
  </si>
  <si>
    <t>Harina de Tarwi</t>
  </si>
  <si>
    <t>Garbanzo</t>
  </si>
  <si>
    <t>2,350 Kg</t>
  </si>
  <si>
    <t>64 L</t>
  </si>
  <si>
    <t>100 Kg</t>
  </si>
  <si>
    <t>4,825 Kg</t>
  </si>
  <si>
    <t>1,750 Kg</t>
  </si>
  <si>
    <t>1,000 Kg</t>
  </si>
  <si>
    <t>1,425 Kg</t>
  </si>
  <si>
    <t>27,650 Kg</t>
  </si>
  <si>
    <t>Cebada en Grano</t>
  </si>
  <si>
    <t>2,600 Kg</t>
  </si>
  <si>
    <t>200 Kg</t>
  </si>
  <si>
    <t>400 Kg</t>
  </si>
  <si>
    <t>1,304 L</t>
  </si>
  <si>
    <t>13,150 Kg</t>
  </si>
  <si>
    <t>1,325 Kg</t>
  </si>
  <si>
    <t>75 Kg</t>
  </si>
  <si>
    <t>8,200 Kg</t>
  </si>
  <si>
    <t>1,875 Kg</t>
  </si>
  <si>
    <t>125 Kg</t>
  </si>
  <si>
    <t>3,100 Kg</t>
  </si>
  <si>
    <t>5,100 Kg</t>
  </si>
  <si>
    <t>16,075 Kg</t>
  </si>
  <si>
    <t>704 L</t>
  </si>
  <si>
    <t>1,825 Kg</t>
  </si>
  <si>
    <t>Quinua en Grano</t>
  </si>
  <si>
    <t>800 Kg</t>
  </si>
  <si>
    <t>Kiwicha Tostada</t>
  </si>
  <si>
    <t>Quinua Tostada</t>
  </si>
  <si>
    <t>3,500 Kg</t>
  </si>
  <si>
    <t>1,200 Kg</t>
  </si>
  <si>
    <t>3,900 Kg</t>
  </si>
  <si>
    <t>6,100 Kg</t>
  </si>
  <si>
    <t>12,650 Kg</t>
  </si>
  <si>
    <t>13,600 Kg</t>
  </si>
  <si>
    <t>Cebada Tostada</t>
  </si>
  <si>
    <t>8,675 Kg</t>
  </si>
  <si>
    <t>10,300 Kg</t>
  </si>
  <si>
    <t>20,100 Kg</t>
  </si>
  <si>
    <t>11,850 Kg</t>
  </si>
  <si>
    <t>696 L</t>
  </si>
  <si>
    <t>2,300 Kg</t>
  </si>
  <si>
    <t>10,700 Kg</t>
  </si>
  <si>
    <t>9,400 Kg</t>
  </si>
  <si>
    <t>6,200 Kg</t>
  </si>
  <si>
    <t>9,600 Kg</t>
  </si>
  <si>
    <t>6,250 Kg</t>
  </si>
  <si>
    <t>4,850 Kg</t>
  </si>
  <si>
    <t>S/L</t>
  </si>
  <si>
    <t>SINGULAR CEREALS S.A.</t>
  </si>
  <si>
    <t>AGROPEL S.A.</t>
  </si>
  <si>
    <t>MONTEVERDE S.A</t>
  </si>
  <si>
    <t>Sí</t>
  </si>
  <si>
    <t>050625T1</t>
  </si>
  <si>
    <t>030325T1</t>
  </si>
  <si>
    <t>MUNDO GRANEL E.I.R.L.</t>
  </si>
  <si>
    <t>F.T.</t>
  </si>
  <si>
    <t>Óptima</t>
  </si>
  <si>
    <t>COSECHAS SALJAR SAC</t>
  </si>
  <si>
    <t>CANCHO JUSTA HUAMAN</t>
  </si>
  <si>
    <t>NEGOCIOS E INVERSIONES INTEGRALES DEL PERU EIRL</t>
  </si>
  <si>
    <t>-</t>
  </si>
  <si>
    <t>14/25-AP</t>
  </si>
  <si>
    <t>SYN-0425</t>
  </si>
  <si>
    <t>SYN-0125</t>
  </si>
  <si>
    <t>SYN-1124</t>
  </si>
  <si>
    <t>SYN-1224</t>
  </si>
  <si>
    <t>SYN-225</t>
  </si>
  <si>
    <t>CAS 7758-87</t>
  </si>
  <si>
    <t>CAS 6932-65</t>
  </si>
  <si>
    <t>CAS 6148-78</t>
  </si>
  <si>
    <t>CAS 5318-27</t>
  </si>
  <si>
    <t>CAS 4517-64</t>
  </si>
  <si>
    <t>CAS 3746-39</t>
  </si>
  <si>
    <t>CAS 2953-84</t>
  </si>
  <si>
    <t>CAS 2115-33</t>
  </si>
  <si>
    <t>CORPORACION FRONTERO SAC</t>
  </si>
  <si>
    <t>WE-20135</t>
  </si>
  <si>
    <t>WE-20545</t>
  </si>
  <si>
    <t>WE-21455</t>
  </si>
  <si>
    <t>WE-22465</t>
  </si>
  <si>
    <t>WE-20725</t>
  </si>
  <si>
    <t>WE-22615</t>
  </si>
  <si>
    <t>WE-21124</t>
  </si>
  <si>
    <t>WE-20104</t>
  </si>
  <si>
    <t>REPRESENTACIONES MORAVI SAC</t>
  </si>
  <si>
    <t>CORPORACION FRONTERO SAC.</t>
  </si>
  <si>
    <t>ADIPLUS SAC.</t>
  </si>
  <si>
    <t>PW.561</t>
  </si>
  <si>
    <t>PW.625</t>
  </si>
  <si>
    <t>PW.702</t>
  </si>
  <si>
    <t>PW.796</t>
  </si>
  <si>
    <t>PW.856</t>
  </si>
  <si>
    <t>PW.912</t>
  </si>
  <si>
    <t>PW.989</t>
  </si>
  <si>
    <t>TARWICORP SAC</t>
  </si>
  <si>
    <t>CARTAVIO S.A.A</t>
  </si>
  <si>
    <t>INVERSIONES PUCARA SAC</t>
  </si>
  <si>
    <t>LTDC824</t>
  </si>
  <si>
    <t>LTEN0225</t>
  </si>
  <si>
    <t>LTFB0125</t>
  </si>
  <si>
    <t>LTMR1225</t>
  </si>
  <si>
    <t>LTAB2325</t>
  </si>
  <si>
    <t>LTJN0225</t>
  </si>
  <si>
    <t>4,375 Kg</t>
  </si>
  <si>
    <t>5,550 Kg</t>
  </si>
  <si>
    <t>3,850 Kg</t>
  </si>
  <si>
    <t>650 Kg</t>
  </si>
  <si>
    <t>4,925 Kg</t>
  </si>
  <si>
    <t>900 Kg</t>
  </si>
  <si>
    <t>110725T1</t>
  </si>
  <si>
    <t>LTMY0625</t>
  </si>
  <si>
    <t>LTMK0725</t>
  </si>
  <si>
    <t>CAS 7964-57</t>
  </si>
  <si>
    <t>WE-21875</t>
  </si>
  <si>
    <t>2,050 Kg</t>
  </si>
  <si>
    <t>3,350 Kg</t>
  </si>
  <si>
    <t>600 Kg</t>
  </si>
  <si>
    <t>3,550 Kg</t>
  </si>
  <si>
    <t>2,450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</si>
</sst>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b/>
      <sz val="11"/>
      <color theme="1"/>
      <name val="Arial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/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1" xfId="0" applyBorder="1"/>
    <xf numFmtId="14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7" fontId="0" fillId="0" borderId="1" xfId="0" applyNumberFormat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17" fontId="0" fillId="2" borderId="2" xfId="0" applyNumberFormat="1" applyFill="1" applyBorder="1" applyAlignment="1">
      <alignment horizontal="center" vertical="center"/>
    </xf>
    <xf numFmtId="10" fontId="0" fillId="2" borderId="2" xfId="1" applyNumberFormat="1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164" fontId="0" fillId="2" borderId="1" xfId="1" applyNumberFormat="1" applyFont="1" applyFill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10" fontId="0" fillId="0" borderId="1" xfId="1" applyNumberFormat="1" applyFont="1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4" fontId="0" fillId="0" borderId="1" xfId="1" applyNumberFormat="1" applyFont="1" applyFill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3" fontId="1" fillId="0" borderId="4" xfId="0" applyNumberFormat="1" applyFont="1" applyBorder="1" applyAlignment="1">
      <alignment horizontal="center" vertical="center" wrapText="1"/>
    </xf>
    <xf numFmtId="3" fontId="1" fillId="0" borderId="8" xfId="0" applyNumberFormat="1" applyFont="1" applyBorder="1" applyAlignment="1">
      <alignment horizontal="center" vertical="center" wrapText="1"/>
    </xf>
    <xf numFmtId="17" fontId="1" fillId="0" borderId="4" xfId="0" applyNumberFormat="1" applyFont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610449</xdr:colOff>
      <xdr:row>0</xdr:row>
      <xdr:rowOff>38100</xdr:rowOff>
    </xdr:from>
    <xdr:to>
      <xdr:col>8</xdr:col>
      <xdr:colOff>885826</xdr:colOff>
      <xdr:row>3</xdr:row>
      <xdr:rowOff>95250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CD945A-8336-6253-03AC-5A548EB92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4449" y="38100"/>
          <a:ext cx="6485677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A8DB0-2C2F-428A-ABFB-279F3F6A16DF}">
  <sheetPr>
    <pageSetUpPr fitToPage="1"/>
  </sheetPr>
  <dimension ref="A5:O186"/>
  <sheetViews>
    <sheetView tabSelected="1" topLeftCell="A156" workbookViewId="0">
      <selection activeCell="H175" sqref="H175"/>
    </sheetView>
  </sheetViews>
  <sheetFormatPr baseColWidth="10" defaultRowHeight="15" x14ac:dyDescent="0.25"/>
  <cols>
    <col min="1" max="1" width="11.42578125" style="5"/>
    <col min="2" max="2" width="48.28515625" style="2" bestFit="1" customWidth="1"/>
    <col min="3" max="3" width="34.7109375" style="2" customWidth="1"/>
    <col min="4" max="4" width="11.42578125" style="3"/>
    <col min="5" max="6" width="11.42578125" style="33"/>
    <col min="7" max="7" width="12.7109375" style="2" customWidth="1"/>
    <col min="8" max="8" width="11.42578125" style="2"/>
    <col min="9" max="9" width="14.5703125" style="39" customWidth="1"/>
    <col min="10" max="10" width="12.85546875" style="2" customWidth="1"/>
    <col min="11" max="11" width="13.5703125" style="2" customWidth="1"/>
    <col min="12" max="12" width="12.7109375" style="2" customWidth="1"/>
  </cols>
  <sheetData>
    <row r="5" spans="1:15" ht="21" customHeight="1" x14ac:dyDescent="0.25">
      <c r="A5" s="46" t="s">
        <v>14</v>
      </c>
      <c r="B5" s="46"/>
      <c r="C5" s="46"/>
      <c r="D5" s="46"/>
      <c r="E5" s="47"/>
      <c r="F5" s="47"/>
      <c r="G5" s="46"/>
      <c r="H5" s="46"/>
      <c r="I5" s="48"/>
      <c r="J5" s="46"/>
      <c r="K5" s="46"/>
      <c r="L5" s="46"/>
      <c r="M5" s="46"/>
    </row>
    <row r="6" spans="1:15" ht="15.75" thickBot="1" x14ac:dyDescent="0.3">
      <c r="D6" s="4"/>
      <c r="M6" s="1"/>
    </row>
    <row r="7" spans="1:15" ht="22.5" x14ac:dyDescent="0.25">
      <c r="A7" s="51" t="s">
        <v>0</v>
      </c>
      <c r="B7" s="43" t="s">
        <v>1</v>
      </c>
      <c r="C7" s="43" t="s">
        <v>2</v>
      </c>
      <c r="D7" s="53" t="s">
        <v>3</v>
      </c>
      <c r="E7" s="55" t="s">
        <v>4</v>
      </c>
      <c r="F7" s="55" t="s">
        <v>5</v>
      </c>
      <c r="G7" s="49" t="s">
        <v>6</v>
      </c>
      <c r="H7" s="49" t="s">
        <v>7</v>
      </c>
      <c r="I7" s="41" t="s">
        <v>8</v>
      </c>
      <c r="J7" s="13" t="s">
        <v>9</v>
      </c>
      <c r="K7" s="43" t="s">
        <v>11</v>
      </c>
      <c r="L7" s="43" t="s">
        <v>12</v>
      </c>
      <c r="M7" s="44" t="s">
        <v>13</v>
      </c>
    </row>
    <row r="8" spans="1:15" ht="45.75" thickBot="1" x14ac:dyDescent="0.3">
      <c r="A8" s="52"/>
      <c r="B8" s="42"/>
      <c r="C8" s="42"/>
      <c r="D8" s="54"/>
      <c r="E8" s="42"/>
      <c r="F8" s="42"/>
      <c r="G8" s="50"/>
      <c r="H8" s="50"/>
      <c r="I8" s="42"/>
      <c r="J8" s="14" t="s">
        <v>10</v>
      </c>
      <c r="K8" s="42"/>
      <c r="L8" s="42"/>
      <c r="M8" s="45"/>
    </row>
    <row r="9" spans="1:15" s="2" customFormat="1" ht="20.100000000000001" customHeight="1" x14ac:dyDescent="0.25">
      <c r="A9" s="16">
        <v>45626</v>
      </c>
      <c r="B9" s="17" t="s">
        <v>109</v>
      </c>
      <c r="C9" s="18" t="s">
        <v>15</v>
      </c>
      <c r="D9" s="19" t="s">
        <v>29</v>
      </c>
      <c r="E9" s="29">
        <v>45597</v>
      </c>
      <c r="F9" s="29">
        <v>45962</v>
      </c>
      <c r="G9" s="21" t="s">
        <v>125</v>
      </c>
      <c r="H9" s="21" t="str">
        <f>_xlfn.CONCAT("AP",A9 - DATE(YEAR(A9),1,0)-1)</f>
        <v>AP334</v>
      </c>
      <c r="I9" s="30">
        <v>9.5500000000000002E-2</v>
      </c>
      <c r="J9" s="17" t="s">
        <v>112</v>
      </c>
      <c r="K9" s="17" t="s">
        <v>117</v>
      </c>
      <c r="L9" s="17" t="s">
        <v>41</v>
      </c>
      <c r="M9" s="17"/>
    </row>
    <row r="10" spans="1:15" s="2" customFormat="1" ht="20.100000000000001" customHeight="1" x14ac:dyDescent="0.25">
      <c r="A10" s="20">
        <v>45626</v>
      </c>
      <c r="B10" s="21" t="s">
        <v>115</v>
      </c>
      <c r="C10" s="22" t="s">
        <v>16</v>
      </c>
      <c r="D10" s="23" t="s">
        <v>30</v>
      </c>
      <c r="E10" s="28">
        <f>EDATE(A10,-2)</f>
        <v>45565</v>
      </c>
      <c r="F10" s="28">
        <f>EDATE(E10,18)</f>
        <v>46111</v>
      </c>
      <c r="G10" s="21" t="s">
        <v>108</v>
      </c>
      <c r="H10" s="21" t="str">
        <f>_xlfn.CONCAT("QD",A10 - DATE(YEAR(A10),1,0)-1)</f>
        <v>QD334</v>
      </c>
      <c r="I10" s="35">
        <v>0.11210000000000001</v>
      </c>
      <c r="J10" s="21" t="s">
        <v>116</v>
      </c>
      <c r="K10" s="17" t="s">
        <v>117</v>
      </c>
      <c r="L10" s="21" t="s">
        <v>41</v>
      </c>
      <c r="M10" s="21"/>
    </row>
    <row r="11" spans="1:15" s="2" customFormat="1" ht="20.100000000000001" customHeight="1" x14ac:dyDescent="0.25">
      <c r="A11" s="20">
        <v>45626</v>
      </c>
      <c r="B11" s="21" t="s">
        <v>115</v>
      </c>
      <c r="C11" s="21" t="s">
        <v>17</v>
      </c>
      <c r="D11" s="23" t="s">
        <v>31</v>
      </c>
      <c r="E11" s="28">
        <f>EDATE(A11,-2)</f>
        <v>45565</v>
      </c>
      <c r="F11" s="28">
        <f>EDATE(E11,18)</f>
        <v>46111</v>
      </c>
      <c r="G11" s="21" t="s">
        <v>108</v>
      </c>
      <c r="H11" s="21" t="str">
        <f>_xlfn.CONCAT("KG",A11 - DATE(YEAR(A11),1,0)-1)</f>
        <v>KG334</v>
      </c>
      <c r="I11" s="35">
        <v>0.1232</v>
      </c>
      <c r="J11" s="21" t="s">
        <v>116</v>
      </c>
      <c r="K11" s="17" t="s">
        <v>117</v>
      </c>
      <c r="L11" s="21" t="s">
        <v>41</v>
      </c>
      <c r="M11" s="21"/>
    </row>
    <row r="12" spans="1:15" s="2" customFormat="1" ht="20.100000000000001" customHeight="1" x14ac:dyDescent="0.25">
      <c r="A12" s="20">
        <v>45626</v>
      </c>
      <c r="B12" s="21" t="s">
        <v>118</v>
      </c>
      <c r="C12" s="21" t="s">
        <v>19</v>
      </c>
      <c r="D12" s="23" t="s">
        <v>179</v>
      </c>
      <c r="E12" s="28">
        <f>EDATE(A12,-1)</f>
        <v>45595</v>
      </c>
      <c r="F12" s="28">
        <f>EDATE(E12,8)</f>
        <v>45838</v>
      </c>
      <c r="G12" s="21" t="s">
        <v>108</v>
      </c>
      <c r="H12" s="21" t="str">
        <f>_xlfn.CONCAT("MD",A12 - DATE(YEAR(A12),1,0)-1)</f>
        <v>MD334</v>
      </c>
      <c r="I12" s="35">
        <v>3.7999999999999999E-2</v>
      </c>
      <c r="J12" s="21" t="s">
        <v>116</v>
      </c>
      <c r="K12" s="17" t="s">
        <v>117</v>
      </c>
      <c r="L12" s="21" t="s">
        <v>41</v>
      </c>
      <c r="M12" s="21"/>
    </row>
    <row r="13" spans="1:15" ht="20.100000000000001" customHeight="1" x14ac:dyDescent="0.25">
      <c r="A13" s="20">
        <v>45626</v>
      </c>
      <c r="B13" s="21" t="s">
        <v>145</v>
      </c>
      <c r="C13" s="21" t="s">
        <v>20</v>
      </c>
      <c r="D13" s="19" t="s">
        <v>66</v>
      </c>
      <c r="E13" s="28">
        <f t="shared" ref="E13" si="0">EDATE(A13,-1)</f>
        <v>45595</v>
      </c>
      <c r="F13" s="28">
        <f>EDATE(E13,8)</f>
        <v>45838</v>
      </c>
      <c r="G13" s="21" t="s">
        <v>108</v>
      </c>
      <c r="H13" s="21" t="str">
        <f>_xlfn.CONCAT("MC",A13 - DATE(YEAR(A13),1,0))</f>
        <v>MC335</v>
      </c>
      <c r="I13" s="35">
        <v>0.6966</v>
      </c>
      <c r="J13" s="21" t="s">
        <v>116</v>
      </c>
      <c r="K13" s="21" t="s">
        <v>117</v>
      </c>
      <c r="L13" s="17" t="s">
        <v>41</v>
      </c>
      <c r="M13" s="24"/>
      <c r="O13" s="2"/>
    </row>
    <row r="14" spans="1:15" s="2" customFormat="1" ht="20.100000000000001" customHeight="1" x14ac:dyDescent="0.25">
      <c r="A14" s="20">
        <v>45626</v>
      </c>
      <c r="B14" s="21" t="s">
        <v>119</v>
      </c>
      <c r="C14" s="21" t="s">
        <v>18</v>
      </c>
      <c r="D14" s="23" t="s">
        <v>32</v>
      </c>
      <c r="E14" s="28">
        <f>EDATE(A14,-1)</f>
        <v>45595</v>
      </c>
      <c r="F14" s="28">
        <f>EDATE(E14,12)</f>
        <v>45960</v>
      </c>
      <c r="G14" s="21" t="s">
        <v>108</v>
      </c>
      <c r="H14" s="21" t="str">
        <f>_xlfn.CONCAT("SG",A14 - DATE(YEAR(A14),1,0)-1)</f>
        <v>SG334</v>
      </c>
      <c r="I14" s="34">
        <v>0.13200000000000001</v>
      </c>
      <c r="J14" s="21" t="s">
        <v>116</v>
      </c>
      <c r="K14" s="17" t="s">
        <v>117</v>
      </c>
      <c r="L14" s="21" t="s">
        <v>41</v>
      </c>
      <c r="M14" s="21"/>
    </row>
    <row r="15" spans="1:15" s="2" customFormat="1" ht="20.100000000000001" customHeight="1" x14ac:dyDescent="0.25">
      <c r="A15" s="20">
        <v>45627</v>
      </c>
      <c r="B15" s="21" t="s">
        <v>157</v>
      </c>
      <c r="C15" s="21" t="s">
        <v>22</v>
      </c>
      <c r="D15" s="23" t="s">
        <v>37</v>
      </c>
      <c r="E15" s="28">
        <f>EDATE(A15,-1)</f>
        <v>45597</v>
      </c>
      <c r="F15" s="28">
        <f>EDATE(E15,12)</f>
        <v>45962</v>
      </c>
      <c r="G15" s="21" t="s">
        <v>108</v>
      </c>
      <c r="H15" s="21" t="str">
        <f>_xlfn.CONCAT("AG",A15 - DATE(YEAR(A15),1,0)-1)</f>
        <v>AG335</v>
      </c>
      <c r="I15" s="21" t="s">
        <v>121</v>
      </c>
      <c r="J15" s="21" t="s">
        <v>116</v>
      </c>
      <c r="K15" s="17" t="s">
        <v>117</v>
      </c>
      <c r="L15" s="21" t="s">
        <v>42</v>
      </c>
      <c r="M15" s="21"/>
    </row>
    <row r="16" spans="1:15" s="2" customFormat="1" ht="20.100000000000001" customHeight="1" x14ac:dyDescent="0.25">
      <c r="A16" s="20">
        <v>45627</v>
      </c>
      <c r="B16" s="21" t="s">
        <v>120</v>
      </c>
      <c r="C16" s="21" t="s">
        <v>25</v>
      </c>
      <c r="D16" s="23" t="s">
        <v>38</v>
      </c>
      <c r="E16" s="28">
        <f>EDATE(A16,-4)</f>
        <v>45505</v>
      </c>
      <c r="F16" s="28">
        <f>EDATE(E16,24)</f>
        <v>46235</v>
      </c>
      <c r="G16" s="21" t="s">
        <v>108</v>
      </c>
      <c r="H16" s="21" t="str">
        <f>_xlfn.CONCAT("SP",A16 - DATE(YEAR(A16),1,0)-1)</f>
        <v>SP335</v>
      </c>
      <c r="I16" s="21" t="s">
        <v>121</v>
      </c>
      <c r="J16" s="21" t="s">
        <v>116</v>
      </c>
      <c r="K16" s="17" t="s">
        <v>117</v>
      </c>
      <c r="L16" s="21" t="s">
        <v>42</v>
      </c>
      <c r="M16" s="21"/>
    </row>
    <row r="17" spans="1:15" s="2" customFormat="1" ht="20.100000000000001" customHeight="1" x14ac:dyDescent="0.25">
      <c r="A17" s="20">
        <v>45627</v>
      </c>
      <c r="B17" s="21" t="s">
        <v>120</v>
      </c>
      <c r="C17" s="21" t="s">
        <v>26</v>
      </c>
      <c r="D17" s="23" t="s">
        <v>39</v>
      </c>
      <c r="E17" s="28">
        <f>EDATE(A17,-14)</f>
        <v>45200</v>
      </c>
      <c r="F17" s="28">
        <f>EDATE(E17,24)</f>
        <v>45931</v>
      </c>
      <c r="G17" s="21" t="s">
        <v>135</v>
      </c>
      <c r="H17" s="21" t="str">
        <f>_xlfn.CONCAT("FT",A17 - DATE(YEAR(A17),1,0)-1)</f>
        <v>FT335</v>
      </c>
      <c r="I17" s="21" t="s">
        <v>121</v>
      </c>
      <c r="J17" s="17" t="s">
        <v>112</v>
      </c>
      <c r="K17" s="17" t="s">
        <v>117</v>
      </c>
      <c r="L17" s="21" t="s">
        <v>42</v>
      </c>
      <c r="M17" s="21"/>
    </row>
    <row r="18" spans="1:15" s="2" customFormat="1" ht="20.100000000000001" customHeight="1" x14ac:dyDescent="0.25">
      <c r="A18" s="20">
        <v>45627</v>
      </c>
      <c r="B18" s="21" t="s">
        <v>120</v>
      </c>
      <c r="C18" s="21" t="s">
        <v>27</v>
      </c>
      <c r="D18" s="23" t="s">
        <v>38</v>
      </c>
      <c r="E18" s="28">
        <f>EDATE(A18,-3)</f>
        <v>45536</v>
      </c>
      <c r="F18" s="28">
        <f>EDATE(E18,18)</f>
        <v>46082</v>
      </c>
      <c r="G18" s="21" t="s">
        <v>144</v>
      </c>
      <c r="H18" s="21" t="str">
        <f>_xlfn.CONCAT("MV",A18 - DATE(YEAR(A18),1,0)-1)</f>
        <v>MV335</v>
      </c>
      <c r="I18" s="21" t="s">
        <v>121</v>
      </c>
      <c r="J18" s="17" t="s">
        <v>112</v>
      </c>
      <c r="K18" s="17" t="s">
        <v>117</v>
      </c>
      <c r="L18" s="21" t="s">
        <v>42</v>
      </c>
      <c r="M18" s="21"/>
    </row>
    <row r="19" spans="1:15" s="2" customFormat="1" ht="20.100000000000001" customHeight="1" x14ac:dyDescent="0.25">
      <c r="A19" s="20">
        <v>45636</v>
      </c>
      <c r="B19" s="21" t="s">
        <v>145</v>
      </c>
      <c r="C19" s="21" t="s">
        <v>21</v>
      </c>
      <c r="D19" s="23" t="s">
        <v>35</v>
      </c>
      <c r="E19" s="28">
        <f>EDATE(A19,-1)</f>
        <v>45606</v>
      </c>
      <c r="F19" s="28">
        <f>EDATE(E19,12)</f>
        <v>45971</v>
      </c>
      <c r="G19" s="21" t="s">
        <v>108</v>
      </c>
      <c r="H19" s="21" t="str">
        <f>_xlfn.CONCAT("ÑG",A19 - DATE(YEAR(A19),1,0)-1)</f>
        <v>ÑG344</v>
      </c>
      <c r="I19" s="35">
        <v>0.1125</v>
      </c>
      <c r="J19" s="21" t="s">
        <v>116</v>
      </c>
      <c r="K19" s="17" t="s">
        <v>117</v>
      </c>
      <c r="L19" s="21" t="s">
        <v>41</v>
      </c>
      <c r="M19" s="21"/>
    </row>
    <row r="20" spans="1:15" s="2" customFormat="1" ht="20.100000000000001" customHeight="1" x14ac:dyDescent="0.25">
      <c r="A20" s="20">
        <v>45636</v>
      </c>
      <c r="B20" s="21" t="s">
        <v>118</v>
      </c>
      <c r="C20" s="21" t="s">
        <v>28</v>
      </c>
      <c r="D20" s="23" t="s">
        <v>36</v>
      </c>
      <c r="E20" s="28">
        <f>EDATE(A20,-2)</f>
        <v>45575</v>
      </c>
      <c r="F20" s="28">
        <f>EDATE(E20,12)</f>
        <v>45940</v>
      </c>
      <c r="G20" s="21" t="s">
        <v>108</v>
      </c>
      <c r="H20" s="21" t="str">
        <f>_xlfn.CONCAT("AM",A20 - DATE(YEAR(A20),1,0)-1)</f>
        <v>AM344</v>
      </c>
      <c r="I20" s="21" t="s">
        <v>121</v>
      </c>
      <c r="J20" s="21" t="s">
        <v>116</v>
      </c>
      <c r="K20" s="17" t="s">
        <v>117</v>
      </c>
      <c r="L20" s="21" t="s">
        <v>41</v>
      </c>
      <c r="M20" s="21"/>
    </row>
    <row r="21" spans="1:15" s="2" customFormat="1" ht="20.100000000000001" customHeight="1" x14ac:dyDescent="0.25">
      <c r="A21" s="20">
        <v>45636</v>
      </c>
      <c r="B21" s="21" t="s">
        <v>145</v>
      </c>
      <c r="C21" s="21" t="s">
        <v>23</v>
      </c>
      <c r="D21" s="23" t="s">
        <v>38</v>
      </c>
      <c r="E21" s="28">
        <f>EDATE(A21,-1)</f>
        <v>45606</v>
      </c>
      <c r="F21" s="28">
        <f>EDATE(E21,12)</f>
        <v>45971</v>
      </c>
      <c r="G21" s="21" t="s">
        <v>108</v>
      </c>
      <c r="H21" s="21" t="str">
        <f>_xlfn.CONCAT("LZ",A21 - DATE(YEAR(A21),1,0)-1)</f>
        <v>LZ344</v>
      </c>
      <c r="I21" s="34">
        <v>8.5000000000000006E-2</v>
      </c>
      <c r="J21" s="21" t="s">
        <v>116</v>
      </c>
      <c r="K21" s="17" t="s">
        <v>117</v>
      </c>
      <c r="L21" s="21" t="s">
        <v>41</v>
      </c>
      <c r="M21" s="21"/>
    </row>
    <row r="22" spans="1:15" s="2" customFormat="1" ht="20.100000000000001" customHeight="1" x14ac:dyDescent="0.25">
      <c r="A22" s="20">
        <v>45636</v>
      </c>
      <c r="B22" s="21" t="s">
        <v>145</v>
      </c>
      <c r="C22" s="21" t="s">
        <v>24</v>
      </c>
      <c r="D22" s="23" t="s">
        <v>38</v>
      </c>
      <c r="E22" s="28">
        <f>EDATE(A22,-1)</f>
        <v>45606</v>
      </c>
      <c r="F22" s="28">
        <f>EDATE(E22,12)</f>
        <v>45971</v>
      </c>
      <c r="G22" s="21" t="s">
        <v>108</v>
      </c>
      <c r="H22" s="21" t="str">
        <f>_xlfn.CONCAT("AJ",A22 - DATE(YEAR(A22),1,0)-1)</f>
        <v>AJ344</v>
      </c>
      <c r="I22" s="34">
        <v>0.42099999999999999</v>
      </c>
      <c r="J22" s="21" t="s">
        <v>116</v>
      </c>
      <c r="K22" s="17" t="s">
        <v>117</v>
      </c>
      <c r="L22" s="21" t="s">
        <v>41</v>
      </c>
      <c r="M22" s="21"/>
    </row>
    <row r="23" spans="1:15" ht="20.100000000000001" customHeight="1" x14ac:dyDescent="0.25">
      <c r="A23" s="6">
        <v>45659</v>
      </c>
      <c r="B23" s="7" t="s">
        <v>109</v>
      </c>
      <c r="C23" s="11" t="s">
        <v>15</v>
      </c>
      <c r="D23" s="12" t="s">
        <v>47</v>
      </c>
      <c r="E23" s="27">
        <v>45627</v>
      </c>
      <c r="F23" s="27">
        <v>45992</v>
      </c>
      <c r="G23" s="7" t="s">
        <v>126</v>
      </c>
      <c r="H23" s="7" t="str">
        <f>_xlfn.CONCAT("AP00",A23 - DATE(YEAR(A23),1,0))</f>
        <v>AP002</v>
      </c>
      <c r="I23" s="31">
        <v>9.6199999999999994E-2</v>
      </c>
      <c r="J23" s="7" t="s">
        <v>112</v>
      </c>
      <c r="K23" s="7" t="s">
        <v>117</v>
      </c>
      <c r="L23" s="10" t="s">
        <v>41</v>
      </c>
      <c r="M23" s="15"/>
      <c r="O23" s="2"/>
    </row>
    <row r="24" spans="1:15" ht="20.100000000000001" customHeight="1" x14ac:dyDescent="0.25">
      <c r="A24" s="6">
        <v>45659</v>
      </c>
      <c r="B24" s="7" t="s">
        <v>115</v>
      </c>
      <c r="C24" s="8" t="s">
        <v>16</v>
      </c>
      <c r="D24" s="9" t="s">
        <v>48</v>
      </c>
      <c r="E24" s="27">
        <f>EDATE(A24,-2)</f>
        <v>45598</v>
      </c>
      <c r="F24" s="27">
        <f>EDATE(E24,18)</f>
        <v>46144</v>
      </c>
      <c r="G24" s="7" t="s">
        <v>108</v>
      </c>
      <c r="H24" s="7" t="str">
        <f>_xlfn.CONCAT("QD00",A24 - DATE(YEAR(A24),1,0))</f>
        <v>QD002</v>
      </c>
      <c r="I24" s="36">
        <v>0.1234</v>
      </c>
      <c r="J24" s="7" t="s">
        <v>116</v>
      </c>
      <c r="K24" s="7" t="s">
        <v>117</v>
      </c>
      <c r="L24" s="7" t="s">
        <v>41</v>
      </c>
      <c r="M24" s="15"/>
      <c r="O24" s="2"/>
    </row>
    <row r="25" spans="1:15" ht="20.100000000000001" customHeight="1" x14ac:dyDescent="0.25">
      <c r="A25" s="6">
        <v>45659</v>
      </c>
      <c r="B25" s="7" t="s">
        <v>115</v>
      </c>
      <c r="C25" s="7" t="s">
        <v>17</v>
      </c>
      <c r="D25" s="9" t="s">
        <v>49</v>
      </c>
      <c r="E25" s="27">
        <f>EDATE(A25,-2)</f>
        <v>45598</v>
      </c>
      <c r="F25" s="27">
        <f>EDATE(E25,18)</f>
        <v>46144</v>
      </c>
      <c r="G25" s="7" t="s">
        <v>108</v>
      </c>
      <c r="H25" s="7" t="str">
        <f>_xlfn.CONCAT("KG00",A25 - DATE(YEAR(A25),1,0))</f>
        <v>KG002</v>
      </c>
      <c r="I25" s="36">
        <v>0.14710000000000001</v>
      </c>
      <c r="J25" s="7" t="s">
        <v>116</v>
      </c>
      <c r="K25" s="7" t="s">
        <v>117</v>
      </c>
      <c r="L25" s="7" t="s">
        <v>41</v>
      </c>
      <c r="M25" s="15"/>
      <c r="O25" s="2"/>
    </row>
    <row r="26" spans="1:15" ht="20.100000000000001" customHeight="1" x14ac:dyDescent="0.25">
      <c r="A26" s="6">
        <v>45659</v>
      </c>
      <c r="B26" s="7" t="s">
        <v>119</v>
      </c>
      <c r="C26" s="7" t="s">
        <v>18</v>
      </c>
      <c r="D26" s="9" t="s">
        <v>39</v>
      </c>
      <c r="E26" s="27">
        <f>EDATE(A26,-1)</f>
        <v>45628</v>
      </c>
      <c r="F26" s="27">
        <f>EDATE(E26,12)</f>
        <v>45993</v>
      </c>
      <c r="G26" s="7" t="s">
        <v>108</v>
      </c>
      <c r="H26" s="7" t="str">
        <f>_xlfn.CONCAT("SG00",A26 - DATE(YEAR(A26),1,0))</f>
        <v>SG002</v>
      </c>
      <c r="I26" s="38">
        <v>0.1411</v>
      </c>
      <c r="J26" s="7" t="s">
        <v>116</v>
      </c>
      <c r="K26" s="7" t="s">
        <v>117</v>
      </c>
      <c r="L26" s="7" t="s">
        <v>41</v>
      </c>
      <c r="M26" s="15"/>
      <c r="O26" s="2"/>
    </row>
    <row r="27" spans="1:15" ht="20.100000000000001" customHeight="1" x14ac:dyDescent="0.25">
      <c r="A27" s="6">
        <v>45659</v>
      </c>
      <c r="B27" s="7" t="s">
        <v>118</v>
      </c>
      <c r="C27" s="7" t="s">
        <v>19</v>
      </c>
      <c r="D27" s="9" t="s">
        <v>65</v>
      </c>
      <c r="E27" s="27">
        <f>EDATE(A27,-1)</f>
        <v>45628</v>
      </c>
      <c r="F27" s="27">
        <f>EDATE(E27,8)</f>
        <v>45871</v>
      </c>
      <c r="G27" s="7" t="s">
        <v>108</v>
      </c>
      <c r="H27" s="7" t="str">
        <f>_xlfn.CONCAT("MD00",A27 - DATE(YEAR(A27),1,0))</f>
        <v>MD002</v>
      </c>
      <c r="I27" s="36">
        <v>3.4500000000000003E-2</v>
      </c>
      <c r="J27" s="7" t="s">
        <v>116</v>
      </c>
      <c r="K27" s="7" t="s">
        <v>117</v>
      </c>
      <c r="L27" s="7" t="s">
        <v>41</v>
      </c>
      <c r="M27" s="15"/>
      <c r="O27" s="2"/>
    </row>
    <row r="28" spans="1:15" ht="20.100000000000001" customHeight="1" x14ac:dyDescent="0.25">
      <c r="A28" s="6">
        <v>45662</v>
      </c>
      <c r="B28" s="7" t="s">
        <v>147</v>
      </c>
      <c r="C28" s="7" t="s">
        <v>45</v>
      </c>
      <c r="D28" s="9" t="s">
        <v>53</v>
      </c>
      <c r="E28" s="27">
        <f>EDATE(A28,-13)</f>
        <v>45265</v>
      </c>
      <c r="F28" s="27">
        <f>EDATE(E28,24)</f>
        <v>45996</v>
      </c>
      <c r="G28" s="7" t="s">
        <v>148</v>
      </c>
      <c r="H28" s="7" t="str">
        <f>_xlfn.CONCAT("LP00",A28 - DATE(YEAR(A28),1,0))</f>
        <v>LP005</v>
      </c>
      <c r="I28" s="25" t="s">
        <v>121</v>
      </c>
      <c r="J28" s="7" t="s">
        <v>112</v>
      </c>
      <c r="K28" s="7" t="s">
        <v>117</v>
      </c>
      <c r="L28" s="7" t="s">
        <v>42</v>
      </c>
      <c r="M28" s="15"/>
      <c r="O28" s="2"/>
    </row>
    <row r="29" spans="1:15" ht="20.100000000000001" customHeight="1" x14ac:dyDescent="0.25">
      <c r="A29" s="6">
        <v>45662</v>
      </c>
      <c r="B29" s="7" t="s">
        <v>120</v>
      </c>
      <c r="C29" s="7" t="s">
        <v>26</v>
      </c>
      <c r="D29" s="9" t="s">
        <v>55</v>
      </c>
      <c r="E29" s="27">
        <f>EDATE(A29,-14)</f>
        <v>45235</v>
      </c>
      <c r="F29" s="27">
        <f>EDATE(E29,24)</f>
        <v>45966</v>
      </c>
      <c r="G29" s="7" t="s">
        <v>134</v>
      </c>
      <c r="H29" s="7" t="str">
        <f>_xlfn.CONCAT("FT00",A29 - DATE(YEAR(A29),1,0))</f>
        <v>FT005</v>
      </c>
      <c r="I29" s="25" t="s">
        <v>121</v>
      </c>
      <c r="J29" s="7" t="s">
        <v>112</v>
      </c>
      <c r="K29" s="7" t="s">
        <v>117</v>
      </c>
      <c r="L29" s="7" t="s">
        <v>42</v>
      </c>
      <c r="M29" s="15"/>
      <c r="O29" s="2"/>
    </row>
    <row r="30" spans="1:15" ht="20.100000000000001" customHeight="1" x14ac:dyDescent="0.25">
      <c r="A30" s="6">
        <v>45662</v>
      </c>
      <c r="B30" s="7" t="s">
        <v>136</v>
      </c>
      <c r="C30" s="7" t="s">
        <v>27</v>
      </c>
      <c r="D30" s="9" t="s">
        <v>38</v>
      </c>
      <c r="E30" s="27">
        <f>EDATE(A30,-3)</f>
        <v>45570</v>
      </c>
      <c r="F30" s="27">
        <f>EDATE(E30,18)</f>
        <v>46117</v>
      </c>
      <c r="G30" s="7" t="s">
        <v>143</v>
      </c>
      <c r="H30" s="7" t="str">
        <f>_xlfn.CONCAT("MV00",A30 - DATE(YEAR(A30),1,0))</f>
        <v>MV005</v>
      </c>
      <c r="I30" s="7" t="s">
        <v>121</v>
      </c>
      <c r="J30" s="7" t="s">
        <v>112</v>
      </c>
      <c r="K30" s="7" t="s">
        <v>117</v>
      </c>
      <c r="L30" s="7" t="s">
        <v>42</v>
      </c>
      <c r="M30" s="15"/>
      <c r="O30" s="2"/>
    </row>
    <row r="31" spans="1:15" ht="20.100000000000001" customHeight="1" x14ac:dyDescent="0.25">
      <c r="A31" s="6">
        <v>45665</v>
      </c>
      <c r="B31" s="7" t="s">
        <v>156</v>
      </c>
      <c r="C31" s="7" t="s">
        <v>43</v>
      </c>
      <c r="D31" s="9" t="s">
        <v>51</v>
      </c>
      <c r="E31" s="27">
        <f>EDATE(A31,-1)</f>
        <v>45634</v>
      </c>
      <c r="F31" s="27">
        <f>EDATE(E31,24)</f>
        <v>46364</v>
      </c>
      <c r="G31" s="7" t="s">
        <v>158</v>
      </c>
      <c r="H31" s="7" t="str">
        <f>_xlfn.CONCAT("AR00",A31 - DATE(YEAR(A31),1,0))</f>
        <v>AR008</v>
      </c>
      <c r="I31" s="37">
        <v>6.9999999999999999E-4</v>
      </c>
      <c r="J31" s="7" t="s">
        <v>112</v>
      </c>
      <c r="K31" s="7" t="s">
        <v>117</v>
      </c>
      <c r="L31" s="7" t="s">
        <v>41</v>
      </c>
      <c r="M31" s="15"/>
      <c r="O31" s="2"/>
    </row>
    <row r="32" spans="1:15" ht="20.100000000000001" customHeight="1" x14ac:dyDescent="0.25">
      <c r="A32" s="6">
        <v>45665</v>
      </c>
      <c r="B32" s="7" t="s">
        <v>145</v>
      </c>
      <c r="C32" s="7" t="s">
        <v>44</v>
      </c>
      <c r="D32" s="9" t="s">
        <v>52</v>
      </c>
      <c r="E32" s="27">
        <f>EDATE(A32,-1)</f>
        <v>45634</v>
      </c>
      <c r="F32" s="27">
        <f>EDATE(E32,12)</f>
        <v>45999</v>
      </c>
      <c r="G32" s="7" t="s">
        <v>108</v>
      </c>
      <c r="H32" s="7" t="str">
        <f>_xlfn.CONCAT("MG00",A32 - DATE(YEAR(A32),1,0))</f>
        <v>MG008</v>
      </c>
      <c r="I32" s="37">
        <v>0.1152</v>
      </c>
      <c r="J32" s="7" t="s">
        <v>116</v>
      </c>
      <c r="K32" s="7" t="s">
        <v>117</v>
      </c>
      <c r="L32" s="7" t="s">
        <v>41</v>
      </c>
      <c r="M32" s="15"/>
      <c r="O32" s="2"/>
    </row>
    <row r="33" spans="1:15" ht="20.100000000000001" customHeight="1" x14ac:dyDescent="0.25">
      <c r="A33" s="6">
        <v>45665</v>
      </c>
      <c r="B33" s="7" t="s">
        <v>145</v>
      </c>
      <c r="C33" s="7" t="s">
        <v>46</v>
      </c>
      <c r="D33" s="9" t="s">
        <v>54</v>
      </c>
      <c r="E33" s="27">
        <f>EDATE(A33,-2)</f>
        <v>45604</v>
      </c>
      <c r="F33" s="27">
        <f>EDATE(E33,12)</f>
        <v>45969</v>
      </c>
      <c r="G33" s="7" t="s">
        <v>108</v>
      </c>
      <c r="H33" s="7" t="str">
        <f>_xlfn.CONCAT("PS00",A33 - DATE(YEAR(A33),1,0))</f>
        <v>PS008</v>
      </c>
      <c r="I33" s="38">
        <v>0.25600000000000001</v>
      </c>
      <c r="J33" s="7" t="s">
        <v>116</v>
      </c>
      <c r="K33" s="7" t="s">
        <v>117</v>
      </c>
      <c r="L33" s="10" t="s">
        <v>41</v>
      </c>
      <c r="M33" s="15"/>
      <c r="O33" s="2"/>
    </row>
    <row r="34" spans="1:15" ht="20.100000000000001" customHeight="1" x14ac:dyDescent="0.25">
      <c r="A34" s="6">
        <v>45665</v>
      </c>
      <c r="B34" s="7" t="s">
        <v>118</v>
      </c>
      <c r="C34" s="7" t="s">
        <v>28</v>
      </c>
      <c r="D34" s="9" t="s">
        <v>54</v>
      </c>
      <c r="E34" s="27">
        <f>EDATE(A34,-2)</f>
        <v>45604</v>
      </c>
      <c r="F34" s="27">
        <f>EDATE(E34,12)</f>
        <v>45969</v>
      </c>
      <c r="G34" s="7" t="s">
        <v>108</v>
      </c>
      <c r="H34" s="7" t="str">
        <f>_xlfn.CONCAT("AM00",A34 - DATE(YEAR(A34),1,0))</f>
        <v>AM008</v>
      </c>
      <c r="I34" s="7" t="s">
        <v>121</v>
      </c>
      <c r="J34" s="7" t="s">
        <v>116</v>
      </c>
      <c r="K34" s="7" t="s">
        <v>117</v>
      </c>
      <c r="L34" s="7" t="s">
        <v>42</v>
      </c>
      <c r="M34" s="15"/>
      <c r="O34" s="2"/>
    </row>
    <row r="35" spans="1:15" ht="20.100000000000001" customHeight="1" x14ac:dyDescent="0.25">
      <c r="A35" s="20">
        <v>45685</v>
      </c>
      <c r="B35" s="21" t="s">
        <v>109</v>
      </c>
      <c r="C35" s="18" t="s">
        <v>15</v>
      </c>
      <c r="D35" s="19" t="s">
        <v>56</v>
      </c>
      <c r="E35" s="28">
        <v>45658</v>
      </c>
      <c r="F35" s="28">
        <v>46023</v>
      </c>
      <c r="G35" s="21" t="s">
        <v>124</v>
      </c>
      <c r="H35" s="21" t="str">
        <f>_xlfn.CONCAT("AP0",A35 - DATE(YEAR(A35),1,0))</f>
        <v>AP028</v>
      </c>
      <c r="I35" s="32">
        <v>9.3399999999999997E-2</v>
      </c>
      <c r="J35" s="17" t="s">
        <v>112</v>
      </c>
      <c r="K35" s="21" t="s">
        <v>117</v>
      </c>
      <c r="L35" s="17" t="s">
        <v>41</v>
      </c>
      <c r="M35" s="24"/>
      <c r="O35" s="2"/>
    </row>
    <row r="36" spans="1:15" ht="20.100000000000001" customHeight="1" x14ac:dyDescent="0.25">
      <c r="A36" s="20">
        <v>45685</v>
      </c>
      <c r="B36" s="21" t="s">
        <v>115</v>
      </c>
      <c r="C36" s="18" t="s">
        <v>88</v>
      </c>
      <c r="D36" s="19" t="s">
        <v>33</v>
      </c>
      <c r="E36" s="28">
        <f>EDATE(A36,-2)</f>
        <v>45624</v>
      </c>
      <c r="F36" s="28">
        <f>EDATE(E36,18)</f>
        <v>46170</v>
      </c>
      <c r="G36" s="21" t="s">
        <v>108</v>
      </c>
      <c r="H36" s="21" t="str">
        <f>_xlfn.CONCAT("QT0",A36 - DATE(YEAR(A36),1,0))</f>
        <v>QT028</v>
      </c>
      <c r="I36" s="35">
        <v>4.2299999999999997E-2</v>
      </c>
      <c r="J36" s="21" t="s">
        <v>116</v>
      </c>
      <c r="K36" s="21" t="s">
        <v>117</v>
      </c>
      <c r="L36" s="17" t="s">
        <v>41</v>
      </c>
      <c r="M36" s="24"/>
      <c r="O36" s="2"/>
    </row>
    <row r="37" spans="1:15" ht="20.100000000000001" customHeight="1" x14ac:dyDescent="0.25">
      <c r="A37" s="20">
        <v>45685</v>
      </c>
      <c r="B37" s="21" t="s">
        <v>115</v>
      </c>
      <c r="C37" s="18" t="s">
        <v>87</v>
      </c>
      <c r="D37" s="19" t="s">
        <v>89</v>
      </c>
      <c r="E37" s="28">
        <f>EDATE(A37,-2)</f>
        <v>45624</v>
      </c>
      <c r="F37" s="28">
        <f>EDATE(E37,18)</f>
        <v>46170</v>
      </c>
      <c r="G37" s="21" t="s">
        <v>108</v>
      </c>
      <c r="H37" s="21" t="str">
        <f>_xlfn.CONCAT("KT0",A37 - DATE(YEAR(A37),1,0))</f>
        <v>KT028</v>
      </c>
      <c r="I37" s="35">
        <v>8.7099999999999997E-2</v>
      </c>
      <c r="J37" s="21" t="s">
        <v>116</v>
      </c>
      <c r="K37" s="21" t="s">
        <v>117</v>
      </c>
      <c r="L37" s="17" t="s">
        <v>41</v>
      </c>
      <c r="M37" s="24"/>
      <c r="O37" s="2"/>
    </row>
    <row r="38" spans="1:15" ht="20.100000000000001" customHeight="1" x14ac:dyDescent="0.25">
      <c r="A38" s="20">
        <v>45685</v>
      </c>
      <c r="B38" s="21" t="s">
        <v>119</v>
      </c>
      <c r="C38" s="21" t="s">
        <v>18</v>
      </c>
      <c r="D38" s="23" t="s">
        <v>57</v>
      </c>
      <c r="E38" s="28">
        <f>EDATE(A38,-1)</f>
        <v>45654</v>
      </c>
      <c r="F38" s="28">
        <f>EDATE(E38,12)</f>
        <v>46019</v>
      </c>
      <c r="G38" s="21" t="s">
        <v>108</v>
      </c>
      <c r="H38" s="21" t="str">
        <f>_xlfn.CONCAT("SG0",A38 - DATE(YEAR(A38),1,0))</f>
        <v>SG028</v>
      </c>
      <c r="I38" s="34">
        <v>0.13519999999999999</v>
      </c>
      <c r="J38" s="21" t="s">
        <v>116</v>
      </c>
      <c r="K38" s="21" t="s">
        <v>117</v>
      </c>
      <c r="L38" s="17" t="s">
        <v>41</v>
      </c>
      <c r="M38" s="24"/>
      <c r="O38" s="2"/>
    </row>
    <row r="39" spans="1:15" ht="20.100000000000001" customHeight="1" x14ac:dyDescent="0.25">
      <c r="A39" s="20">
        <v>45685</v>
      </c>
      <c r="B39" s="21" t="s">
        <v>118</v>
      </c>
      <c r="C39" s="21" t="s">
        <v>19</v>
      </c>
      <c r="D39" s="23" t="s">
        <v>70</v>
      </c>
      <c r="E39" s="28">
        <f>EDATE(A39,-1)</f>
        <v>45654</v>
      </c>
      <c r="F39" s="28">
        <f>EDATE(E39,8)</f>
        <v>45897</v>
      </c>
      <c r="G39" s="21" t="s">
        <v>108</v>
      </c>
      <c r="H39" s="21" t="str">
        <f>_xlfn.CONCAT("MD0",A39 - DATE(YEAR(A39),1,0))</f>
        <v>MD028</v>
      </c>
      <c r="I39" s="35">
        <v>3.61E-2</v>
      </c>
      <c r="J39" s="21" t="s">
        <v>116</v>
      </c>
      <c r="K39" s="21" t="s">
        <v>117</v>
      </c>
      <c r="L39" s="17" t="s">
        <v>41</v>
      </c>
      <c r="M39" s="24"/>
      <c r="O39" s="2"/>
    </row>
    <row r="40" spans="1:15" ht="20.100000000000001" customHeight="1" x14ac:dyDescent="0.25">
      <c r="A40" s="20">
        <v>45687</v>
      </c>
      <c r="B40" s="21" t="s">
        <v>146</v>
      </c>
      <c r="C40" s="21" t="s">
        <v>45</v>
      </c>
      <c r="D40" s="19" t="s">
        <v>34</v>
      </c>
      <c r="E40" s="28">
        <f>EDATE(A40,-13)</f>
        <v>45290</v>
      </c>
      <c r="F40" s="28">
        <f>EDATE(E40,24)</f>
        <v>46021</v>
      </c>
      <c r="G40" s="21" t="s">
        <v>149</v>
      </c>
      <c r="H40" s="21" t="str">
        <f>_xlfn.CONCAT("LP0",A40 - DATE(YEAR(A40),1,0))</f>
        <v>LP030</v>
      </c>
      <c r="I40" s="26" t="s">
        <v>121</v>
      </c>
      <c r="J40" s="17" t="s">
        <v>112</v>
      </c>
      <c r="K40" s="21" t="s">
        <v>117</v>
      </c>
      <c r="L40" s="21" t="s">
        <v>42</v>
      </c>
      <c r="M40" s="24"/>
      <c r="O40" s="2"/>
    </row>
    <row r="41" spans="1:15" ht="20.100000000000001" customHeight="1" x14ac:dyDescent="0.25">
      <c r="A41" s="20">
        <v>45687</v>
      </c>
      <c r="B41" s="21" t="s">
        <v>120</v>
      </c>
      <c r="C41" s="21" t="s">
        <v>26</v>
      </c>
      <c r="D41" s="19" t="s">
        <v>58</v>
      </c>
      <c r="E41" s="28">
        <f>EDATE(A41,-14)</f>
        <v>45260</v>
      </c>
      <c r="F41" s="28">
        <f>EDATE(E41,24)</f>
        <v>45991</v>
      </c>
      <c r="G41" s="21" t="s">
        <v>133</v>
      </c>
      <c r="H41" s="21" t="str">
        <f>_xlfn.CONCAT("FT0",A41 - DATE(YEAR(A41),1,0))</f>
        <v>FT030</v>
      </c>
      <c r="I41" s="26" t="s">
        <v>121</v>
      </c>
      <c r="J41" s="17" t="s">
        <v>112</v>
      </c>
      <c r="K41" s="21" t="s">
        <v>117</v>
      </c>
      <c r="L41" s="21" t="s">
        <v>42</v>
      </c>
      <c r="M41" s="24"/>
      <c r="O41" s="2"/>
    </row>
    <row r="42" spans="1:15" ht="20.100000000000001" customHeight="1" x14ac:dyDescent="0.25">
      <c r="A42" s="20">
        <v>45687</v>
      </c>
      <c r="B42" s="21" t="s">
        <v>136</v>
      </c>
      <c r="C42" s="21" t="s">
        <v>27</v>
      </c>
      <c r="D42" s="23" t="s">
        <v>38</v>
      </c>
      <c r="E42" s="28">
        <f>EDATE(A42,-3)</f>
        <v>45595</v>
      </c>
      <c r="F42" s="28">
        <f>EDATE(E42,18)</f>
        <v>46142</v>
      </c>
      <c r="G42" s="21" t="s">
        <v>142</v>
      </c>
      <c r="H42" s="21" t="str">
        <f>_xlfn.CONCAT("MV0",A42 - DATE(YEAR(A42),1,0))</f>
        <v>MV030</v>
      </c>
      <c r="I42" s="21" t="s">
        <v>121</v>
      </c>
      <c r="J42" s="17" t="s">
        <v>112</v>
      </c>
      <c r="K42" s="21" t="s">
        <v>117</v>
      </c>
      <c r="L42" s="21" t="s">
        <v>42</v>
      </c>
      <c r="M42" s="24"/>
      <c r="O42" s="2"/>
    </row>
    <row r="43" spans="1:15" ht="20.100000000000001" customHeight="1" x14ac:dyDescent="0.25">
      <c r="A43" s="20">
        <v>45687</v>
      </c>
      <c r="B43" s="21" t="s">
        <v>155</v>
      </c>
      <c r="C43" s="21" t="s">
        <v>59</v>
      </c>
      <c r="D43" s="23" t="s">
        <v>63</v>
      </c>
      <c r="E43" s="28">
        <f>EDATE(A43,0)</f>
        <v>45687</v>
      </c>
      <c r="F43" s="28">
        <f>EDATE(E43,6)</f>
        <v>45868</v>
      </c>
      <c r="G43" s="21" t="s">
        <v>108</v>
      </c>
      <c r="H43" s="21" t="str">
        <f>_xlfn.CONCAT("TW0",A43 - DATE(YEAR(A43),1,0))</f>
        <v>TW030</v>
      </c>
      <c r="I43" s="35">
        <v>6.54E-2</v>
      </c>
      <c r="J43" s="21" t="s">
        <v>116</v>
      </c>
      <c r="K43" s="21" t="s">
        <v>117</v>
      </c>
      <c r="L43" s="17" t="s">
        <v>41</v>
      </c>
      <c r="M43" s="24"/>
      <c r="O43" s="2"/>
    </row>
    <row r="44" spans="1:15" ht="20.100000000000001" customHeight="1" x14ac:dyDescent="0.25">
      <c r="A44" s="20">
        <v>45687</v>
      </c>
      <c r="B44" s="21" t="s">
        <v>145</v>
      </c>
      <c r="C44" s="21" t="s">
        <v>60</v>
      </c>
      <c r="D44" s="23" t="s">
        <v>38</v>
      </c>
      <c r="E44" s="28">
        <f>EDATE(A44,-2)</f>
        <v>45626</v>
      </c>
      <c r="F44" s="28">
        <f>EDATE(E44,12)</f>
        <v>45991</v>
      </c>
      <c r="G44" s="21" t="s">
        <v>108</v>
      </c>
      <c r="H44" s="21" t="str">
        <f>_xlfn.CONCAT("GZ0",A44 - DATE(YEAR(A44),1,0))</f>
        <v>GZ030</v>
      </c>
      <c r="I44" s="35">
        <v>0.10249999999999999</v>
      </c>
      <c r="J44" s="21" t="s">
        <v>116</v>
      </c>
      <c r="K44" s="21" t="s">
        <v>117</v>
      </c>
      <c r="L44" s="17" t="s">
        <v>41</v>
      </c>
      <c r="M44" s="24"/>
      <c r="O44" s="2"/>
    </row>
    <row r="45" spans="1:15" ht="20.100000000000001" customHeight="1" x14ac:dyDescent="0.25">
      <c r="A45" s="20">
        <v>45690</v>
      </c>
      <c r="B45" s="21" t="s">
        <v>115</v>
      </c>
      <c r="C45" s="22" t="s">
        <v>16</v>
      </c>
      <c r="D45" s="19" t="s">
        <v>90</v>
      </c>
      <c r="E45" s="28">
        <f>EDATE(A45,-2)</f>
        <v>45628</v>
      </c>
      <c r="F45" s="28">
        <f>EDATE(E45,18)</f>
        <v>46175</v>
      </c>
      <c r="G45" s="21" t="s">
        <v>108</v>
      </c>
      <c r="H45" s="21" t="str">
        <f>_xlfn.CONCAT("QD0",A45 - DATE(YEAR(A45),1,0))</f>
        <v>QD033</v>
      </c>
      <c r="I45" s="35">
        <v>0.1203</v>
      </c>
      <c r="J45" s="21" t="s">
        <v>116</v>
      </c>
      <c r="K45" s="21" t="s">
        <v>117</v>
      </c>
      <c r="L45" s="17" t="s">
        <v>41</v>
      </c>
      <c r="M45" s="24"/>
      <c r="O45" s="2"/>
    </row>
    <row r="46" spans="1:15" ht="20.100000000000001" customHeight="1" x14ac:dyDescent="0.25">
      <c r="A46" s="20">
        <v>45690</v>
      </c>
      <c r="B46" s="21" t="s">
        <v>115</v>
      </c>
      <c r="C46" s="21" t="s">
        <v>17</v>
      </c>
      <c r="D46" s="19" t="s">
        <v>91</v>
      </c>
      <c r="E46" s="28">
        <f>EDATE(A46,-2)</f>
        <v>45628</v>
      </c>
      <c r="F46" s="28">
        <f>EDATE(E46,18)</f>
        <v>46175</v>
      </c>
      <c r="G46" s="21" t="s">
        <v>108</v>
      </c>
      <c r="H46" s="21" t="str">
        <f>_xlfn.CONCAT("KG0",A46 - DATE(YEAR(A46),1,0))</f>
        <v>KG033</v>
      </c>
      <c r="I46" s="35">
        <v>0.13650000000000001</v>
      </c>
      <c r="J46" s="21" t="s">
        <v>116</v>
      </c>
      <c r="K46" s="21" t="s">
        <v>117</v>
      </c>
      <c r="L46" s="17" t="s">
        <v>41</v>
      </c>
      <c r="M46" s="24"/>
      <c r="O46" s="2"/>
    </row>
    <row r="47" spans="1:15" ht="20.100000000000001" customHeight="1" x14ac:dyDescent="0.25">
      <c r="A47" s="20">
        <v>45692</v>
      </c>
      <c r="B47" s="21" t="s">
        <v>156</v>
      </c>
      <c r="C47" s="21" t="s">
        <v>43</v>
      </c>
      <c r="D47" s="23" t="s">
        <v>51</v>
      </c>
      <c r="E47" s="28">
        <f>EDATE(A47,-1)</f>
        <v>45661</v>
      </c>
      <c r="F47" s="28">
        <f>EDATE(E47,24)</f>
        <v>46391</v>
      </c>
      <c r="G47" s="21" t="s">
        <v>159</v>
      </c>
      <c r="H47" s="21" t="str">
        <f>_xlfn.CONCAT("AR0",A47 - DATE(YEAR(A47),1,0))</f>
        <v>AR035</v>
      </c>
      <c r="I47" s="35">
        <v>5.9999999999999995E-4</v>
      </c>
      <c r="J47" s="17" t="s">
        <v>112</v>
      </c>
      <c r="K47" s="21" t="s">
        <v>117</v>
      </c>
      <c r="L47" s="17" t="s">
        <v>41</v>
      </c>
      <c r="M47" s="24"/>
      <c r="O47" s="2"/>
    </row>
    <row r="48" spans="1:15" ht="20.100000000000001" customHeight="1" x14ac:dyDescent="0.25">
      <c r="A48" s="20">
        <v>45692</v>
      </c>
      <c r="B48" s="21" t="s">
        <v>145</v>
      </c>
      <c r="C48" s="21" t="s">
        <v>44</v>
      </c>
      <c r="D48" s="23" t="s">
        <v>52</v>
      </c>
      <c r="E48" s="28">
        <f>EDATE(A48,-1)</f>
        <v>45661</v>
      </c>
      <c r="F48" s="28">
        <f t="shared" ref="F48:F53" si="1">EDATE(E48,12)</f>
        <v>46026</v>
      </c>
      <c r="G48" s="21" t="s">
        <v>108</v>
      </c>
      <c r="H48" s="21" t="str">
        <f>_xlfn.CONCAT("MG0",A48 - DATE(YEAR(A48),1,0))</f>
        <v>MG035</v>
      </c>
      <c r="I48" s="35">
        <v>0.1288</v>
      </c>
      <c r="J48" s="21" t="s">
        <v>116</v>
      </c>
      <c r="K48" s="21" t="s">
        <v>117</v>
      </c>
      <c r="L48" s="17" t="s">
        <v>41</v>
      </c>
      <c r="M48" s="24"/>
      <c r="O48" s="2"/>
    </row>
    <row r="49" spans="1:15" ht="20.100000000000001" customHeight="1" x14ac:dyDescent="0.25">
      <c r="A49" s="20">
        <v>45692</v>
      </c>
      <c r="B49" s="21" t="s">
        <v>157</v>
      </c>
      <c r="C49" s="21" t="s">
        <v>22</v>
      </c>
      <c r="D49" s="23" t="s">
        <v>62</v>
      </c>
      <c r="E49" s="28">
        <f>EDATE(A49,-1)</f>
        <v>45661</v>
      </c>
      <c r="F49" s="28">
        <f t="shared" si="1"/>
        <v>46026</v>
      </c>
      <c r="G49" s="21" t="s">
        <v>108</v>
      </c>
      <c r="H49" s="21" t="str">
        <f>_xlfn.CONCAT("AG0",A49 - DATE(YEAR(A49),1,0))</f>
        <v>AG035</v>
      </c>
      <c r="I49" s="26" t="s">
        <v>121</v>
      </c>
      <c r="J49" s="21" t="s">
        <v>116</v>
      </c>
      <c r="K49" s="21" t="s">
        <v>117</v>
      </c>
      <c r="L49" s="21" t="s">
        <v>42</v>
      </c>
      <c r="M49" s="24"/>
      <c r="O49" s="2"/>
    </row>
    <row r="50" spans="1:15" ht="20.100000000000001" customHeight="1" x14ac:dyDescent="0.25">
      <c r="A50" s="20">
        <v>45692</v>
      </c>
      <c r="B50" s="21" t="s">
        <v>145</v>
      </c>
      <c r="C50" s="21" t="s">
        <v>46</v>
      </c>
      <c r="D50" s="23" t="s">
        <v>54</v>
      </c>
      <c r="E50" s="28">
        <f>EDATE(A50,-2)</f>
        <v>45630</v>
      </c>
      <c r="F50" s="28">
        <f t="shared" si="1"/>
        <v>45995</v>
      </c>
      <c r="G50" s="21" t="s">
        <v>108</v>
      </c>
      <c r="H50" s="21" t="str">
        <f>_xlfn.CONCAT("PS0",A50 - DATE(YEAR(A50),1,0))</f>
        <v>PS035</v>
      </c>
      <c r="I50" s="34">
        <v>0.27200000000000002</v>
      </c>
      <c r="J50" s="21" t="s">
        <v>116</v>
      </c>
      <c r="K50" s="21" t="s">
        <v>117</v>
      </c>
      <c r="L50" s="17" t="s">
        <v>41</v>
      </c>
      <c r="M50" s="24"/>
      <c r="O50" s="2"/>
    </row>
    <row r="51" spans="1:15" ht="20.100000000000001" customHeight="1" x14ac:dyDescent="0.25">
      <c r="A51" s="20">
        <v>45692</v>
      </c>
      <c r="B51" s="21" t="s">
        <v>118</v>
      </c>
      <c r="C51" s="21" t="s">
        <v>28</v>
      </c>
      <c r="D51" s="23" t="s">
        <v>54</v>
      </c>
      <c r="E51" s="28">
        <f>EDATE(A51,-2)</f>
        <v>45630</v>
      </c>
      <c r="F51" s="28">
        <f t="shared" si="1"/>
        <v>45995</v>
      </c>
      <c r="G51" s="21" t="s">
        <v>108</v>
      </c>
      <c r="H51" s="21" t="str">
        <f>_xlfn.CONCAT("AM0",A51 - DATE(YEAR(A51),1,0))</f>
        <v>AM035</v>
      </c>
      <c r="I51" s="21" t="s">
        <v>121</v>
      </c>
      <c r="J51" s="21" t="s">
        <v>116</v>
      </c>
      <c r="K51" s="21" t="s">
        <v>117</v>
      </c>
      <c r="L51" s="17" t="s">
        <v>41</v>
      </c>
      <c r="M51" s="24"/>
      <c r="O51" s="2"/>
    </row>
    <row r="52" spans="1:15" ht="20.100000000000001" customHeight="1" x14ac:dyDescent="0.25">
      <c r="A52" s="20">
        <v>45692</v>
      </c>
      <c r="B52" s="21" t="s">
        <v>145</v>
      </c>
      <c r="C52" s="21" t="s">
        <v>23</v>
      </c>
      <c r="D52" s="23" t="s">
        <v>38</v>
      </c>
      <c r="E52" s="28">
        <f>EDATE(A52,-1)</f>
        <v>45661</v>
      </c>
      <c r="F52" s="28">
        <f t="shared" si="1"/>
        <v>46026</v>
      </c>
      <c r="G52" s="21" t="s">
        <v>108</v>
      </c>
      <c r="H52" s="21" t="str">
        <f>_xlfn.CONCAT("LZ0",A52 - DATE(YEAR(A52),1,0))</f>
        <v>LZ035</v>
      </c>
      <c r="I52" s="34">
        <v>8.3000000000000004E-2</v>
      </c>
      <c r="J52" s="21" t="s">
        <v>116</v>
      </c>
      <c r="K52" s="21" t="s">
        <v>117</v>
      </c>
      <c r="L52" s="17" t="s">
        <v>41</v>
      </c>
      <c r="M52" s="24"/>
      <c r="O52" s="2"/>
    </row>
    <row r="53" spans="1:15" ht="20.100000000000001" customHeight="1" x14ac:dyDescent="0.25">
      <c r="A53" s="20">
        <v>45692</v>
      </c>
      <c r="B53" s="21" t="s">
        <v>145</v>
      </c>
      <c r="C53" s="21" t="s">
        <v>24</v>
      </c>
      <c r="D53" s="23" t="s">
        <v>38</v>
      </c>
      <c r="E53" s="28">
        <f>EDATE(A53,-1)</f>
        <v>45661</v>
      </c>
      <c r="F53" s="28">
        <f t="shared" si="1"/>
        <v>46026</v>
      </c>
      <c r="G53" s="21" t="s">
        <v>108</v>
      </c>
      <c r="H53" s="21" t="str">
        <f>_xlfn.CONCAT("AJ0",A53 - DATE(YEAR(A53),1,0))</f>
        <v>AJ035</v>
      </c>
      <c r="I53" s="34">
        <v>0.438</v>
      </c>
      <c r="J53" s="21" t="s">
        <v>116</v>
      </c>
      <c r="K53" s="21" t="s">
        <v>117</v>
      </c>
      <c r="L53" s="17" t="s">
        <v>41</v>
      </c>
      <c r="M53" s="24"/>
      <c r="O53" s="2"/>
    </row>
    <row r="54" spans="1:15" ht="20.100000000000001" customHeight="1" x14ac:dyDescent="0.25">
      <c r="A54" s="20">
        <v>45692</v>
      </c>
      <c r="B54" s="21" t="s">
        <v>120</v>
      </c>
      <c r="C54" s="21" t="s">
        <v>25</v>
      </c>
      <c r="D54" s="23" t="s">
        <v>38</v>
      </c>
      <c r="E54" s="28">
        <f>EDATE(A54,-4)</f>
        <v>45569</v>
      </c>
      <c r="F54" s="28">
        <f>EDATE(E54,24)</f>
        <v>46299</v>
      </c>
      <c r="G54" s="21" t="s">
        <v>108</v>
      </c>
      <c r="H54" s="21" t="str">
        <f>_xlfn.CONCAT("SP0",A54 - DATE(YEAR(A54),1,0))</f>
        <v>SP035</v>
      </c>
      <c r="I54" s="21" t="s">
        <v>121</v>
      </c>
      <c r="J54" s="21" t="s">
        <v>116</v>
      </c>
      <c r="K54" s="21" t="s">
        <v>117</v>
      </c>
      <c r="L54" s="21" t="s">
        <v>42</v>
      </c>
      <c r="M54" s="24"/>
      <c r="O54" s="2"/>
    </row>
    <row r="55" spans="1:15" ht="20.100000000000001" customHeight="1" x14ac:dyDescent="0.25">
      <c r="A55" s="6">
        <v>45714</v>
      </c>
      <c r="B55" s="7" t="s">
        <v>109</v>
      </c>
      <c r="C55" s="11" t="s">
        <v>15</v>
      </c>
      <c r="D55" s="12" t="s">
        <v>64</v>
      </c>
      <c r="E55" s="27">
        <v>45689</v>
      </c>
      <c r="F55" s="27">
        <v>46054</v>
      </c>
      <c r="G55" s="7" t="s">
        <v>127</v>
      </c>
      <c r="H55" s="7" t="str">
        <f>_xlfn.CONCAT("AP0",A55 - DATE(YEAR(A55),1,0))</f>
        <v>AP057</v>
      </c>
      <c r="I55" s="31">
        <v>9.2499999999999999E-2</v>
      </c>
      <c r="J55" s="7" t="s">
        <v>112</v>
      </c>
      <c r="K55" s="7" t="s">
        <v>117</v>
      </c>
      <c r="L55" s="10" t="s">
        <v>41</v>
      </c>
      <c r="M55" s="15"/>
      <c r="O55" s="2"/>
    </row>
    <row r="56" spans="1:15" ht="20.100000000000001" customHeight="1" x14ac:dyDescent="0.25">
      <c r="A56" s="6">
        <v>45714</v>
      </c>
      <c r="B56" s="7" t="s">
        <v>115</v>
      </c>
      <c r="C56" s="11" t="s">
        <v>88</v>
      </c>
      <c r="D56" s="12" t="s">
        <v>29</v>
      </c>
      <c r="E56" s="27">
        <f>EDATE(A56,-2)</f>
        <v>45652</v>
      </c>
      <c r="F56" s="27">
        <f>EDATE(E56,18)</f>
        <v>46199</v>
      </c>
      <c r="G56" s="7" t="s">
        <v>108</v>
      </c>
      <c r="H56" s="7" t="str">
        <f>_xlfn.CONCAT("QT0",A56 - DATE(YEAR(A56),1,0))</f>
        <v>QT057</v>
      </c>
      <c r="I56" s="36">
        <v>4.6800000000000001E-2</v>
      </c>
      <c r="J56" s="7" t="s">
        <v>116</v>
      </c>
      <c r="K56" s="7" t="s">
        <v>117</v>
      </c>
      <c r="L56" s="10" t="s">
        <v>41</v>
      </c>
      <c r="M56" s="15"/>
      <c r="O56" s="2"/>
    </row>
    <row r="57" spans="1:15" ht="20.100000000000001" customHeight="1" x14ac:dyDescent="0.25">
      <c r="A57" s="6">
        <v>45714</v>
      </c>
      <c r="B57" s="7" t="s">
        <v>115</v>
      </c>
      <c r="C57" s="11" t="s">
        <v>87</v>
      </c>
      <c r="D57" s="12" t="s">
        <v>39</v>
      </c>
      <c r="E57" s="27">
        <f>EDATE(A57,-2)</f>
        <v>45652</v>
      </c>
      <c r="F57" s="27">
        <f>EDATE(E57,18)</f>
        <v>46199</v>
      </c>
      <c r="G57" s="7" t="s">
        <v>108</v>
      </c>
      <c r="H57" s="7" t="str">
        <f>_xlfn.CONCAT("KT0",A57 - DATE(YEAR(A57),1,0))</f>
        <v>KT057</v>
      </c>
      <c r="I57" s="36">
        <v>9.2799999999999994E-2</v>
      </c>
      <c r="J57" s="7" t="s">
        <v>116</v>
      </c>
      <c r="K57" s="7" t="s">
        <v>117</v>
      </c>
      <c r="L57" s="10" t="s">
        <v>41</v>
      </c>
      <c r="M57" s="15"/>
      <c r="O57" s="2"/>
    </row>
    <row r="58" spans="1:15" ht="20.100000000000001" customHeight="1" x14ac:dyDescent="0.25">
      <c r="A58" s="6">
        <v>45714</v>
      </c>
      <c r="B58" s="7" t="s">
        <v>119</v>
      </c>
      <c r="C58" s="7" t="s">
        <v>18</v>
      </c>
      <c r="D58" s="12" t="s">
        <v>65</v>
      </c>
      <c r="E58" s="27">
        <f>EDATE(A58,-1)</f>
        <v>45683</v>
      </c>
      <c r="F58" s="27">
        <f>EDATE(E58,12)</f>
        <v>46048</v>
      </c>
      <c r="G58" s="7" t="s">
        <v>108</v>
      </c>
      <c r="H58" s="7" t="str">
        <f>_xlfn.CONCAT("SG0",A58 - DATE(YEAR(A58),1,0))</f>
        <v>SG057</v>
      </c>
      <c r="I58" s="38">
        <v>0.14680000000000001</v>
      </c>
      <c r="J58" s="7" t="s">
        <v>116</v>
      </c>
      <c r="K58" s="7" t="s">
        <v>117</v>
      </c>
      <c r="L58" s="10" t="s">
        <v>41</v>
      </c>
      <c r="M58" s="15"/>
      <c r="O58" s="2"/>
    </row>
    <row r="59" spans="1:15" ht="20.100000000000001" customHeight="1" x14ac:dyDescent="0.25">
      <c r="A59" s="6">
        <v>45714</v>
      </c>
      <c r="B59" s="7" t="s">
        <v>146</v>
      </c>
      <c r="C59" s="7" t="s">
        <v>45</v>
      </c>
      <c r="D59" s="12" t="s">
        <v>66</v>
      </c>
      <c r="E59" s="27">
        <f>EDATE(A59,-13)</f>
        <v>45317</v>
      </c>
      <c r="F59" s="27">
        <f>EDATE(E59,24)</f>
        <v>46048</v>
      </c>
      <c r="G59" s="7" t="s">
        <v>150</v>
      </c>
      <c r="H59" s="7" t="str">
        <f>_xlfn.CONCAT("LP0",A59 - DATE(YEAR(A59),1,0))</f>
        <v>LP057</v>
      </c>
      <c r="I59" s="25" t="s">
        <v>121</v>
      </c>
      <c r="J59" s="7" t="s">
        <v>112</v>
      </c>
      <c r="K59" s="7" t="s">
        <v>117</v>
      </c>
      <c r="L59" s="7" t="s">
        <v>42</v>
      </c>
      <c r="M59" s="15"/>
      <c r="O59" s="2"/>
    </row>
    <row r="60" spans="1:15" ht="20.100000000000001" customHeight="1" x14ac:dyDescent="0.25">
      <c r="A60" s="6">
        <v>45716</v>
      </c>
      <c r="B60" s="7" t="s">
        <v>120</v>
      </c>
      <c r="C60" s="7" t="s">
        <v>26</v>
      </c>
      <c r="D60" s="12" t="s">
        <v>67</v>
      </c>
      <c r="E60" s="27">
        <f>EDATE(A60,-14)</f>
        <v>45288</v>
      </c>
      <c r="F60" s="27">
        <f>EDATE(E60,24)</f>
        <v>46019</v>
      </c>
      <c r="G60" s="7" t="s">
        <v>132</v>
      </c>
      <c r="H60" s="7" t="str">
        <f>_xlfn.CONCAT("FT0",A60 - DATE(YEAR(A60),1,0))</f>
        <v>FT059</v>
      </c>
      <c r="I60" s="25" t="s">
        <v>121</v>
      </c>
      <c r="J60" s="7" t="s">
        <v>112</v>
      </c>
      <c r="K60" s="7" t="s">
        <v>117</v>
      </c>
      <c r="L60" s="7" t="s">
        <v>42</v>
      </c>
      <c r="M60" s="15"/>
      <c r="O60" s="2"/>
    </row>
    <row r="61" spans="1:15" ht="20.100000000000001" customHeight="1" x14ac:dyDescent="0.25">
      <c r="A61" s="6">
        <v>45716</v>
      </c>
      <c r="B61" s="7" t="s">
        <v>136</v>
      </c>
      <c r="C61" s="7" t="s">
        <v>27</v>
      </c>
      <c r="D61" s="9" t="s">
        <v>63</v>
      </c>
      <c r="E61" s="27">
        <f>EDATE(A61,-3)</f>
        <v>45624</v>
      </c>
      <c r="F61" s="27">
        <f>EDATE(E61,18)</f>
        <v>46170</v>
      </c>
      <c r="G61" s="7" t="s">
        <v>141</v>
      </c>
      <c r="H61" s="7" t="str">
        <f>_xlfn.CONCAT("MV0",A61 - DATE(YEAR(A61),1,0))</f>
        <v>MV059</v>
      </c>
      <c r="I61" s="7" t="s">
        <v>121</v>
      </c>
      <c r="J61" s="7" t="s">
        <v>112</v>
      </c>
      <c r="K61" s="7" t="s">
        <v>117</v>
      </c>
      <c r="L61" s="7" t="s">
        <v>42</v>
      </c>
      <c r="M61" s="15"/>
      <c r="O61" s="2"/>
    </row>
    <row r="62" spans="1:15" ht="20.100000000000001" customHeight="1" x14ac:dyDescent="0.25">
      <c r="A62" s="6">
        <v>45718</v>
      </c>
      <c r="B62" s="7" t="s">
        <v>115</v>
      </c>
      <c r="C62" s="8" t="s">
        <v>16</v>
      </c>
      <c r="D62" s="12" t="s">
        <v>92</v>
      </c>
      <c r="E62" s="27">
        <f>EDATE(A62,-2)</f>
        <v>45659</v>
      </c>
      <c r="F62" s="27">
        <f>EDATE(E62,18)</f>
        <v>46205</v>
      </c>
      <c r="G62" s="7" t="s">
        <v>108</v>
      </c>
      <c r="H62" s="7" t="str">
        <f>_xlfn.CONCAT("QD0",A62 - DATE(YEAR(A62),1,0))</f>
        <v>QD061</v>
      </c>
      <c r="I62" s="36">
        <v>0.11749999999999999</v>
      </c>
      <c r="J62" s="7" t="s">
        <v>116</v>
      </c>
      <c r="K62" s="7" t="s">
        <v>117</v>
      </c>
      <c r="L62" s="10" t="s">
        <v>41</v>
      </c>
      <c r="M62" s="15"/>
      <c r="O62" s="2"/>
    </row>
    <row r="63" spans="1:15" ht="20.100000000000001" customHeight="1" x14ac:dyDescent="0.25">
      <c r="A63" s="6">
        <v>45718</v>
      </c>
      <c r="B63" s="7" t="s">
        <v>115</v>
      </c>
      <c r="C63" s="7" t="s">
        <v>17</v>
      </c>
      <c r="D63" s="12" t="s">
        <v>93</v>
      </c>
      <c r="E63" s="27">
        <f>EDATE(A63,-2)</f>
        <v>45659</v>
      </c>
      <c r="F63" s="27">
        <f>EDATE(E63,18)</f>
        <v>46205</v>
      </c>
      <c r="G63" s="7" t="s">
        <v>108</v>
      </c>
      <c r="H63" s="7" t="str">
        <f>_xlfn.CONCAT("KG0",A63 - DATE(YEAR(A63),1,0))</f>
        <v>KG061</v>
      </c>
      <c r="I63" s="36">
        <v>0.1406</v>
      </c>
      <c r="J63" s="7" t="s">
        <v>116</v>
      </c>
      <c r="K63" s="7" t="s">
        <v>117</v>
      </c>
      <c r="L63" s="10" t="s">
        <v>41</v>
      </c>
      <c r="M63" s="15"/>
      <c r="O63" s="2"/>
    </row>
    <row r="64" spans="1:15" ht="20.100000000000001" customHeight="1" x14ac:dyDescent="0.25">
      <c r="A64" s="6">
        <v>45720</v>
      </c>
      <c r="B64" s="7" t="s">
        <v>118</v>
      </c>
      <c r="C64" s="7" t="s">
        <v>19</v>
      </c>
      <c r="D64" s="12" t="s">
        <v>178</v>
      </c>
      <c r="E64" s="27">
        <f>EDATE(A64,-1)</f>
        <v>45692</v>
      </c>
      <c r="F64" s="27">
        <f>EDATE(E64,8)</f>
        <v>45934</v>
      </c>
      <c r="G64" s="7" t="s">
        <v>108</v>
      </c>
      <c r="H64" s="7" t="str">
        <f>_xlfn.CONCAT("MD0",A64 - DATE(YEAR(A64),1,0))</f>
        <v>MD063</v>
      </c>
      <c r="I64" s="36">
        <v>3.8199999999999998E-2</v>
      </c>
      <c r="J64" s="7" t="s">
        <v>116</v>
      </c>
      <c r="K64" s="7" t="s">
        <v>117</v>
      </c>
      <c r="L64" s="10" t="s">
        <v>41</v>
      </c>
      <c r="M64" s="15"/>
      <c r="O64" s="2"/>
    </row>
    <row r="65" spans="1:15" ht="20.100000000000001" customHeight="1" x14ac:dyDescent="0.25">
      <c r="A65" s="6">
        <v>45720</v>
      </c>
      <c r="B65" s="7" t="s">
        <v>118</v>
      </c>
      <c r="C65" s="7" t="s">
        <v>20</v>
      </c>
      <c r="D65" s="12" t="s">
        <v>169</v>
      </c>
      <c r="E65" s="27">
        <f>EDATE(A65,-1)</f>
        <v>45692</v>
      </c>
      <c r="F65" s="27">
        <f>EDATE(E65,8)</f>
        <v>45934</v>
      </c>
      <c r="G65" s="7" t="s">
        <v>108</v>
      </c>
      <c r="H65" s="7" t="str">
        <f>_xlfn.CONCAT("MC0",A65 - DATE(YEAR(A65),1,0))</f>
        <v>MC063</v>
      </c>
      <c r="I65" s="36">
        <v>0.66449999999999998</v>
      </c>
      <c r="J65" s="7" t="s">
        <v>116</v>
      </c>
      <c r="K65" s="7" t="s">
        <v>117</v>
      </c>
      <c r="L65" s="10" t="s">
        <v>41</v>
      </c>
      <c r="M65" s="15"/>
      <c r="O65" s="2"/>
    </row>
    <row r="66" spans="1:15" ht="20.100000000000001" customHeight="1" x14ac:dyDescent="0.25">
      <c r="A66" s="6">
        <v>45722</v>
      </c>
      <c r="B66" s="7" t="s">
        <v>156</v>
      </c>
      <c r="C66" s="7" t="s">
        <v>43</v>
      </c>
      <c r="D66" s="9" t="s">
        <v>52</v>
      </c>
      <c r="E66" s="27">
        <f>EDATE(A66,-1)</f>
        <v>45694</v>
      </c>
      <c r="F66" s="27">
        <f>EDATE(E66,24)</f>
        <v>46424</v>
      </c>
      <c r="G66" s="7" t="s">
        <v>160</v>
      </c>
      <c r="H66" s="7" t="str">
        <f>_xlfn.CONCAT("AR0",A66 - DATE(YEAR(A66),1,0))</f>
        <v>AR065</v>
      </c>
      <c r="I66" s="37">
        <v>5.9999999999999995E-4</v>
      </c>
      <c r="J66" s="7" t="s">
        <v>112</v>
      </c>
      <c r="K66" s="7" t="s">
        <v>117</v>
      </c>
      <c r="L66" s="10" t="s">
        <v>41</v>
      </c>
      <c r="M66" s="15"/>
      <c r="O66" s="2"/>
    </row>
    <row r="67" spans="1:15" ht="20.100000000000001" customHeight="1" x14ac:dyDescent="0.25">
      <c r="A67" s="6">
        <v>45722</v>
      </c>
      <c r="B67" s="7" t="s">
        <v>145</v>
      </c>
      <c r="C67" s="7" t="s">
        <v>44</v>
      </c>
      <c r="D67" s="9" t="s">
        <v>52</v>
      </c>
      <c r="E67" s="27">
        <f>EDATE(A67,-1)</f>
        <v>45694</v>
      </c>
      <c r="F67" s="27">
        <f>EDATE(E67,12)</f>
        <v>46059</v>
      </c>
      <c r="G67" s="7" t="s">
        <v>108</v>
      </c>
      <c r="H67" s="7" t="str">
        <f>_xlfn.CONCAT("MG0",A67 - DATE(YEAR(A67),1,0))</f>
        <v>MG065</v>
      </c>
      <c r="I67" s="37">
        <v>0.1167</v>
      </c>
      <c r="J67" s="7" t="s">
        <v>116</v>
      </c>
      <c r="K67" s="7" t="s">
        <v>117</v>
      </c>
      <c r="L67" s="10" t="s">
        <v>41</v>
      </c>
      <c r="M67" s="15"/>
      <c r="O67" s="2"/>
    </row>
    <row r="68" spans="1:15" ht="20.100000000000001" customHeight="1" x14ac:dyDescent="0.25">
      <c r="A68" s="6">
        <v>45722</v>
      </c>
      <c r="B68" s="7" t="s">
        <v>157</v>
      </c>
      <c r="C68" s="7" t="s">
        <v>22</v>
      </c>
      <c r="D68" s="9" t="s">
        <v>62</v>
      </c>
      <c r="E68" s="27">
        <f>EDATE(A68,-1)</f>
        <v>45694</v>
      </c>
      <c r="F68" s="27">
        <f>EDATE(E68,12)</f>
        <v>46059</v>
      </c>
      <c r="G68" s="7" t="s">
        <v>108</v>
      </c>
      <c r="H68" s="7" t="str">
        <f>_xlfn.CONCAT("AG0",A68 - DATE(YEAR(A68),1,0))</f>
        <v>AG065</v>
      </c>
      <c r="I68" s="25" t="s">
        <v>121</v>
      </c>
      <c r="J68" s="7" t="s">
        <v>116</v>
      </c>
      <c r="K68" s="7" t="s">
        <v>117</v>
      </c>
      <c r="L68" s="7" t="s">
        <v>42</v>
      </c>
      <c r="M68" s="15"/>
      <c r="O68" s="2"/>
    </row>
    <row r="69" spans="1:15" ht="20.100000000000001" customHeight="1" x14ac:dyDescent="0.25">
      <c r="A69" s="6">
        <v>45722</v>
      </c>
      <c r="B69" s="7" t="s">
        <v>145</v>
      </c>
      <c r="C69" s="7" t="s">
        <v>46</v>
      </c>
      <c r="D69" s="9" t="s">
        <v>54</v>
      </c>
      <c r="E69" s="27">
        <f>EDATE(A69,-2)</f>
        <v>45663</v>
      </c>
      <c r="F69" s="27">
        <f>EDATE(E69,12)</f>
        <v>46028</v>
      </c>
      <c r="G69" s="7" t="s">
        <v>108</v>
      </c>
      <c r="H69" s="7" t="str">
        <f>_xlfn.CONCAT("PS0",A69 - DATE(YEAR(A69),1,0))</f>
        <v>PS065</v>
      </c>
      <c r="I69" s="38">
        <v>0.26400000000000001</v>
      </c>
      <c r="J69" s="7" t="s">
        <v>116</v>
      </c>
      <c r="K69" s="7" t="s">
        <v>117</v>
      </c>
      <c r="L69" s="10" t="s">
        <v>41</v>
      </c>
      <c r="M69" s="15"/>
      <c r="O69" s="2"/>
    </row>
    <row r="70" spans="1:15" ht="20.100000000000001" customHeight="1" x14ac:dyDescent="0.25">
      <c r="A70" s="6">
        <v>45722</v>
      </c>
      <c r="B70" s="7" t="s">
        <v>145</v>
      </c>
      <c r="C70" s="7" t="s">
        <v>23</v>
      </c>
      <c r="D70" s="9" t="s">
        <v>38</v>
      </c>
      <c r="E70" s="27">
        <f>EDATE(A70,-1)</f>
        <v>45694</v>
      </c>
      <c r="F70" s="27">
        <f>EDATE(E70,12)</f>
        <v>46059</v>
      </c>
      <c r="G70" s="7" t="s">
        <v>108</v>
      </c>
      <c r="H70" s="7" t="str">
        <f>_xlfn.CONCAT("LZ0",A70 - DATE(YEAR(A70),1,0))</f>
        <v>LZ065</v>
      </c>
      <c r="I70" s="40">
        <v>7.9000000000000001E-2</v>
      </c>
      <c r="J70" s="7" t="s">
        <v>116</v>
      </c>
      <c r="K70" s="7" t="s">
        <v>117</v>
      </c>
      <c r="L70" s="10" t="s">
        <v>41</v>
      </c>
      <c r="M70" s="15"/>
      <c r="O70" s="2"/>
    </row>
    <row r="71" spans="1:15" ht="20.100000000000001" customHeight="1" x14ac:dyDescent="0.25">
      <c r="A71" s="6">
        <v>45722</v>
      </c>
      <c r="B71" s="7" t="s">
        <v>145</v>
      </c>
      <c r="C71" s="7" t="s">
        <v>24</v>
      </c>
      <c r="D71" s="9" t="s">
        <v>38</v>
      </c>
      <c r="E71" s="27">
        <f>EDATE(A71,-1)</f>
        <v>45694</v>
      </c>
      <c r="F71" s="27">
        <f>EDATE(E71,12)</f>
        <v>46059</v>
      </c>
      <c r="G71" s="7" t="s">
        <v>108</v>
      </c>
      <c r="H71" s="7" t="str">
        <f>_xlfn.CONCAT("AJ0",A71 - DATE(YEAR(A71),1,0))</f>
        <v>AJ065</v>
      </c>
      <c r="I71" s="40">
        <v>0.41699999999999998</v>
      </c>
      <c r="J71" s="7" t="s">
        <v>116</v>
      </c>
      <c r="K71" s="7" t="s">
        <v>117</v>
      </c>
      <c r="L71" s="10" t="s">
        <v>41</v>
      </c>
      <c r="M71" s="15"/>
      <c r="O71" s="2"/>
    </row>
    <row r="72" spans="1:15" ht="20.100000000000001" customHeight="1" x14ac:dyDescent="0.25">
      <c r="A72" s="6">
        <v>45722</v>
      </c>
      <c r="B72" s="7" t="s">
        <v>120</v>
      </c>
      <c r="C72" s="7" t="s">
        <v>25</v>
      </c>
      <c r="D72" s="9" t="s">
        <v>38</v>
      </c>
      <c r="E72" s="27">
        <f>EDATE(A72,-4)</f>
        <v>45602</v>
      </c>
      <c r="F72" s="27">
        <f>EDATE(E72,24)</f>
        <v>46332</v>
      </c>
      <c r="G72" s="7" t="s">
        <v>108</v>
      </c>
      <c r="H72" s="7" t="str">
        <f>_xlfn.CONCAT("SP0",A72 - DATE(YEAR(A72),1,0))</f>
        <v>SP065</v>
      </c>
      <c r="I72" s="7" t="s">
        <v>121</v>
      </c>
      <c r="J72" s="7" t="s">
        <v>116</v>
      </c>
      <c r="K72" s="7" t="s">
        <v>117</v>
      </c>
      <c r="L72" s="7" t="s">
        <v>42</v>
      </c>
      <c r="M72" s="15"/>
      <c r="O72" s="2"/>
    </row>
    <row r="73" spans="1:15" ht="20.100000000000001" customHeight="1" x14ac:dyDescent="0.25">
      <c r="A73" s="6">
        <v>45722</v>
      </c>
      <c r="B73" s="7" t="s">
        <v>155</v>
      </c>
      <c r="C73" s="7" t="s">
        <v>59</v>
      </c>
      <c r="D73" s="9" t="s">
        <v>63</v>
      </c>
      <c r="E73" s="27">
        <f>EDATE(A73,0)</f>
        <v>45722</v>
      </c>
      <c r="F73" s="27">
        <f>EDATE(E73,6)</f>
        <v>45906</v>
      </c>
      <c r="G73" s="7" t="s">
        <v>108</v>
      </c>
      <c r="H73" s="7" t="str">
        <f>_xlfn.CONCAT("TW0",A73 - DATE(YEAR(A73),1,0))</f>
        <v>TW065</v>
      </c>
      <c r="I73" s="36">
        <v>7.1499999999999994E-2</v>
      </c>
      <c r="J73" s="7" t="s">
        <v>116</v>
      </c>
      <c r="K73" s="7" t="s">
        <v>117</v>
      </c>
      <c r="L73" s="10" t="s">
        <v>41</v>
      </c>
      <c r="M73" s="15"/>
      <c r="O73" s="2"/>
    </row>
    <row r="74" spans="1:15" ht="20.100000000000001" customHeight="1" x14ac:dyDescent="0.25">
      <c r="A74" s="6">
        <v>45722</v>
      </c>
      <c r="B74" s="7" t="s">
        <v>145</v>
      </c>
      <c r="C74" s="7" t="s">
        <v>60</v>
      </c>
      <c r="D74" s="9" t="s">
        <v>38</v>
      </c>
      <c r="E74" s="27">
        <f>EDATE(A74,-2)</f>
        <v>45663</v>
      </c>
      <c r="F74" s="27">
        <f>EDATE(E74,12)</f>
        <v>46028</v>
      </c>
      <c r="G74" s="7" t="s">
        <v>108</v>
      </c>
      <c r="H74" s="7" t="str">
        <f>_xlfn.CONCAT("GZ0",A74 - DATE(YEAR(A74),1,0))</f>
        <v>GZ065</v>
      </c>
      <c r="I74" s="36">
        <v>0.1159</v>
      </c>
      <c r="J74" s="7" t="s">
        <v>116</v>
      </c>
      <c r="K74" s="7" t="s">
        <v>117</v>
      </c>
      <c r="L74" s="10" t="s">
        <v>41</v>
      </c>
      <c r="M74" s="15"/>
      <c r="O74" s="2"/>
    </row>
    <row r="75" spans="1:15" ht="20.100000000000001" customHeight="1" x14ac:dyDescent="0.25">
      <c r="A75" s="6">
        <v>45724</v>
      </c>
      <c r="B75" s="7" t="s">
        <v>145</v>
      </c>
      <c r="C75" s="7" t="s">
        <v>21</v>
      </c>
      <c r="D75" s="12" t="s">
        <v>35</v>
      </c>
      <c r="E75" s="27">
        <f>EDATE(A75,-1)</f>
        <v>45696</v>
      </c>
      <c r="F75" s="27">
        <f>EDATE(E75,12)</f>
        <v>46061</v>
      </c>
      <c r="G75" s="7" t="s">
        <v>108</v>
      </c>
      <c r="H75" s="7" t="str">
        <f>_xlfn.CONCAT("ÑG0",A75 - DATE(YEAR(A75),1,0))</f>
        <v>ÑG067</v>
      </c>
      <c r="I75" s="36">
        <v>0.1133</v>
      </c>
      <c r="J75" s="7" t="s">
        <v>116</v>
      </c>
      <c r="K75" s="7" t="s">
        <v>117</v>
      </c>
      <c r="L75" s="10" t="s">
        <v>41</v>
      </c>
      <c r="M75" s="15"/>
      <c r="O75" s="2"/>
    </row>
    <row r="76" spans="1:15" ht="20.100000000000001" customHeight="1" x14ac:dyDescent="0.25">
      <c r="A76" s="6">
        <v>45724</v>
      </c>
      <c r="B76" s="7" t="s">
        <v>118</v>
      </c>
      <c r="C76" s="7" t="s">
        <v>28</v>
      </c>
      <c r="D76" s="12" t="s">
        <v>34</v>
      </c>
      <c r="E76" s="27">
        <f>EDATE(A76,-2)</f>
        <v>45665</v>
      </c>
      <c r="F76" s="27">
        <f>EDATE(E76,12)</f>
        <v>46030</v>
      </c>
      <c r="G76" s="7" t="s">
        <v>108</v>
      </c>
      <c r="H76" s="7" t="str">
        <f>_xlfn.CONCAT("AM0",A76 - DATE(YEAR(A76),1,0))</f>
        <v>AM067</v>
      </c>
      <c r="I76" s="7" t="s">
        <v>121</v>
      </c>
      <c r="J76" s="7" t="s">
        <v>116</v>
      </c>
      <c r="K76" s="7" t="s">
        <v>117</v>
      </c>
      <c r="L76" s="10" t="s">
        <v>41</v>
      </c>
      <c r="M76" s="15"/>
      <c r="O76" s="2"/>
    </row>
    <row r="77" spans="1:15" ht="20.100000000000001" customHeight="1" x14ac:dyDescent="0.25">
      <c r="A77" s="20">
        <v>45742</v>
      </c>
      <c r="B77" s="21" t="s">
        <v>109</v>
      </c>
      <c r="C77" s="21" t="s">
        <v>15</v>
      </c>
      <c r="D77" s="19" t="s">
        <v>68</v>
      </c>
      <c r="E77" s="28">
        <v>45717</v>
      </c>
      <c r="F77" s="28">
        <v>46082</v>
      </c>
      <c r="G77" s="21" t="s">
        <v>114</v>
      </c>
      <c r="H77" s="21" t="str">
        <f>_xlfn.CONCAT("AP0",A77 - DATE(YEAR(A77),1,0))</f>
        <v>AP085</v>
      </c>
      <c r="I77" s="32">
        <v>9.7199999999999995E-2</v>
      </c>
      <c r="J77" s="17" t="s">
        <v>112</v>
      </c>
      <c r="K77" s="21" t="s">
        <v>117</v>
      </c>
      <c r="L77" s="17" t="s">
        <v>41</v>
      </c>
      <c r="M77" s="24"/>
      <c r="O77" s="2"/>
    </row>
    <row r="78" spans="1:15" ht="20.100000000000001" customHeight="1" x14ac:dyDescent="0.25">
      <c r="A78" s="20">
        <v>45744</v>
      </c>
      <c r="B78" s="21" t="s">
        <v>115</v>
      </c>
      <c r="C78" s="18" t="s">
        <v>88</v>
      </c>
      <c r="D78" s="19" t="s">
        <v>94</v>
      </c>
      <c r="E78" s="28">
        <f>EDATE(A78,-2)</f>
        <v>45685</v>
      </c>
      <c r="F78" s="28">
        <f>EDATE(E78,18)</f>
        <v>46231</v>
      </c>
      <c r="G78" s="21" t="s">
        <v>108</v>
      </c>
      <c r="H78" s="21" t="str">
        <f>_xlfn.CONCAT("QT0",A78 - DATE(YEAR(A78),1,0))</f>
        <v>QT087</v>
      </c>
      <c r="I78" s="35">
        <v>5.21E-2</v>
      </c>
      <c r="J78" s="21" t="s">
        <v>116</v>
      </c>
      <c r="K78" s="21" t="s">
        <v>117</v>
      </c>
      <c r="L78" s="17" t="s">
        <v>41</v>
      </c>
      <c r="M78" s="24"/>
      <c r="O78" s="2"/>
    </row>
    <row r="79" spans="1:15" ht="20.100000000000001" customHeight="1" x14ac:dyDescent="0.25">
      <c r="A79" s="20">
        <v>45744</v>
      </c>
      <c r="B79" s="21" t="s">
        <v>115</v>
      </c>
      <c r="C79" s="18" t="s">
        <v>87</v>
      </c>
      <c r="D79" s="19" t="s">
        <v>80</v>
      </c>
      <c r="E79" s="28">
        <f>EDATE(A79,-2)</f>
        <v>45685</v>
      </c>
      <c r="F79" s="28">
        <f>EDATE(E79,18)</f>
        <v>46231</v>
      </c>
      <c r="G79" s="21" t="s">
        <v>108</v>
      </c>
      <c r="H79" s="21" t="str">
        <f>_xlfn.CONCAT("KT0",A79 - DATE(YEAR(A79),1,0))</f>
        <v>KT087</v>
      </c>
      <c r="I79" s="35">
        <v>9.5500000000000002E-2</v>
      </c>
      <c r="J79" s="21" t="s">
        <v>116</v>
      </c>
      <c r="K79" s="21" t="s">
        <v>117</v>
      </c>
      <c r="L79" s="17" t="s">
        <v>41</v>
      </c>
      <c r="M79" s="24"/>
      <c r="O79" s="2"/>
    </row>
    <row r="80" spans="1:15" ht="20.100000000000001" customHeight="1" x14ac:dyDescent="0.25">
      <c r="A80" s="20">
        <v>45746</v>
      </c>
      <c r="B80" s="21" t="s">
        <v>119</v>
      </c>
      <c r="C80" s="21" t="s">
        <v>18</v>
      </c>
      <c r="D80" s="19" t="s">
        <v>70</v>
      </c>
      <c r="E80" s="28">
        <f>EDATE(A80,-1)</f>
        <v>45716</v>
      </c>
      <c r="F80" s="28">
        <f>EDATE(E80,12)</f>
        <v>46081</v>
      </c>
      <c r="G80" s="21" t="s">
        <v>108</v>
      </c>
      <c r="H80" s="21" t="str">
        <f>_xlfn.CONCAT("SG0",A80 - DATE(YEAR(A80),1,0))</f>
        <v>SG089</v>
      </c>
      <c r="I80" s="34">
        <v>0.1426</v>
      </c>
      <c r="J80" s="21" t="s">
        <v>116</v>
      </c>
      <c r="K80" s="21" t="s">
        <v>117</v>
      </c>
      <c r="L80" s="17" t="s">
        <v>41</v>
      </c>
      <c r="M80" s="24"/>
      <c r="O80" s="2"/>
    </row>
    <row r="81" spans="1:15" ht="20.100000000000001" customHeight="1" x14ac:dyDescent="0.25">
      <c r="A81" s="20">
        <v>45746</v>
      </c>
      <c r="B81" s="21" t="s">
        <v>145</v>
      </c>
      <c r="C81" s="21" t="s">
        <v>95</v>
      </c>
      <c r="D81" s="19" t="s">
        <v>96</v>
      </c>
      <c r="E81" s="28">
        <f>EDATE(A81,-4)</f>
        <v>45626</v>
      </c>
      <c r="F81" s="28">
        <f>EDATE(E81,24)</f>
        <v>46356</v>
      </c>
      <c r="G81" s="21" t="s">
        <v>108</v>
      </c>
      <c r="H81" s="21" t="str">
        <f>_xlfn.CONCAT("CT0",A81 - DATE(YEAR(A81),1,0))</f>
        <v>CT089</v>
      </c>
      <c r="I81" s="35">
        <v>4.5900000000000003E-2</v>
      </c>
      <c r="J81" s="21" t="s">
        <v>116</v>
      </c>
      <c r="K81" s="21" t="s">
        <v>117</v>
      </c>
      <c r="L81" s="21" t="s">
        <v>40</v>
      </c>
      <c r="M81" s="24"/>
      <c r="O81" s="2"/>
    </row>
    <row r="82" spans="1:15" ht="20.100000000000001" customHeight="1" x14ac:dyDescent="0.25">
      <c r="A82" s="20">
        <v>45746</v>
      </c>
      <c r="B82" s="21" t="s">
        <v>156</v>
      </c>
      <c r="C82" s="21" t="s">
        <v>43</v>
      </c>
      <c r="D82" s="23" t="s">
        <v>72</v>
      </c>
      <c r="E82" s="28">
        <f>EDATE(A82,0)</f>
        <v>45746</v>
      </c>
      <c r="F82" s="28">
        <f>EDATE(E82,24)</f>
        <v>46476</v>
      </c>
      <c r="G82" s="21" t="s">
        <v>161</v>
      </c>
      <c r="H82" s="21" t="str">
        <f>_xlfn.CONCAT("AR0",A82 - DATE(YEAR(A82),1,0))</f>
        <v>AR089</v>
      </c>
      <c r="I82" s="35">
        <v>6.9999999999999999E-4</v>
      </c>
      <c r="J82" s="17" t="s">
        <v>112</v>
      </c>
      <c r="K82" s="21" t="s">
        <v>117</v>
      </c>
      <c r="L82" s="17" t="s">
        <v>41</v>
      </c>
      <c r="M82" s="24"/>
      <c r="O82" s="2"/>
    </row>
    <row r="83" spans="1:15" ht="20.100000000000001" customHeight="1" x14ac:dyDescent="0.25">
      <c r="A83" s="20">
        <v>45746</v>
      </c>
      <c r="B83" s="21" t="s">
        <v>147</v>
      </c>
      <c r="C83" s="21" t="s">
        <v>45</v>
      </c>
      <c r="D83" s="19" t="s">
        <v>34</v>
      </c>
      <c r="E83" s="28">
        <f>EDATE(A83,-13)</f>
        <v>45351</v>
      </c>
      <c r="F83" s="28">
        <f>EDATE(E83,24)</f>
        <v>46081</v>
      </c>
      <c r="G83" s="21" t="s">
        <v>151</v>
      </c>
      <c r="H83" s="21" t="str">
        <f>_xlfn.CONCAT("LP0",A83 - DATE(YEAR(A83),1,0))</f>
        <v>LP089</v>
      </c>
      <c r="I83" s="26" t="s">
        <v>121</v>
      </c>
      <c r="J83" s="17" t="s">
        <v>112</v>
      </c>
      <c r="K83" s="21" t="s">
        <v>117</v>
      </c>
      <c r="L83" s="21" t="s">
        <v>42</v>
      </c>
      <c r="M83" s="24"/>
      <c r="O83" s="2"/>
    </row>
    <row r="84" spans="1:15" ht="20.100000000000001" customHeight="1" x14ac:dyDescent="0.25">
      <c r="A84" s="20">
        <v>45746</v>
      </c>
      <c r="B84" s="21" t="s">
        <v>120</v>
      </c>
      <c r="C84" s="21" t="s">
        <v>26</v>
      </c>
      <c r="D84" s="19" t="s">
        <v>49</v>
      </c>
      <c r="E84" s="28">
        <f>EDATE(A84,-14)</f>
        <v>45321</v>
      </c>
      <c r="F84" s="28">
        <f>EDATE(E84,24)</f>
        <v>46052</v>
      </c>
      <c r="G84" s="21" t="s">
        <v>131</v>
      </c>
      <c r="H84" s="21" t="str">
        <f>_xlfn.CONCAT("FT0",A84 - DATE(YEAR(A84),1,0))</f>
        <v>FT089</v>
      </c>
      <c r="I84" s="26" t="s">
        <v>121</v>
      </c>
      <c r="J84" s="17" t="s">
        <v>112</v>
      </c>
      <c r="K84" s="21" t="s">
        <v>117</v>
      </c>
      <c r="L84" s="21" t="s">
        <v>42</v>
      </c>
      <c r="M84" s="24"/>
      <c r="O84" s="2"/>
    </row>
    <row r="85" spans="1:15" ht="20.100000000000001" customHeight="1" x14ac:dyDescent="0.25">
      <c r="A85" s="20">
        <v>45746</v>
      </c>
      <c r="B85" s="21" t="s">
        <v>120</v>
      </c>
      <c r="C85" s="21" t="s">
        <v>27</v>
      </c>
      <c r="D85" s="23" t="s">
        <v>71</v>
      </c>
      <c r="E85" s="28">
        <f>EDATE(A85,-3)</f>
        <v>45656</v>
      </c>
      <c r="F85" s="28">
        <f>EDATE(E85,18)</f>
        <v>46203</v>
      </c>
      <c r="G85" s="21" t="s">
        <v>137</v>
      </c>
      <c r="H85" s="21" t="str">
        <f>_xlfn.CONCAT("MV0",A85 - DATE(YEAR(A85),1,0))</f>
        <v>MV089</v>
      </c>
      <c r="I85" s="21" t="s">
        <v>121</v>
      </c>
      <c r="J85" s="17" t="s">
        <v>112</v>
      </c>
      <c r="K85" s="21" t="s">
        <v>117</v>
      </c>
      <c r="L85" s="21" t="s">
        <v>42</v>
      </c>
      <c r="M85" s="24"/>
      <c r="O85" s="2"/>
    </row>
    <row r="86" spans="1:15" ht="20.100000000000001" customHeight="1" x14ac:dyDescent="0.25">
      <c r="A86" s="20">
        <v>45749</v>
      </c>
      <c r="B86" s="21" t="s">
        <v>115</v>
      </c>
      <c r="C86" s="21" t="s">
        <v>16</v>
      </c>
      <c r="D86" s="19" t="s">
        <v>97</v>
      </c>
      <c r="E86" s="28">
        <f>EDATE(A86,-2)</f>
        <v>45690</v>
      </c>
      <c r="F86" s="28">
        <f>EDATE(E86,18)</f>
        <v>46236</v>
      </c>
      <c r="G86" s="21" t="s">
        <v>108</v>
      </c>
      <c r="H86" s="21" t="str">
        <f>_xlfn.CONCAT("QD0",A86 - DATE(YEAR(A86),1,0))</f>
        <v>QD092</v>
      </c>
      <c r="I86" s="35">
        <v>0.12239999999999999</v>
      </c>
      <c r="J86" s="21" t="s">
        <v>116</v>
      </c>
      <c r="K86" s="21" t="s">
        <v>117</v>
      </c>
      <c r="L86" s="17" t="s">
        <v>41</v>
      </c>
      <c r="M86" s="24"/>
      <c r="O86" s="2"/>
    </row>
    <row r="87" spans="1:15" ht="20.100000000000001" customHeight="1" x14ac:dyDescent="0.25">
      <c r="A87" s="20">
        <v>45751</v>
      </c>
      <c r="B87" s="21" t="s">
        <v>115</v>
      </c>
      <c r="C87" s="21" t="s">
        <v>17</v>
      </c>
      <c r="D87" s="23" t="s">
        <v>98</v>
      </c>
      <c r="E87" s="28">
        <f>EDATE(A87,-2)</f>
        <v>45692</v>
      </c>
      <c r="F87" s="28">
        <f>EDATE(E87,18)</f>
        <v>46238</v>
      </c>
      <c r="G87" s="21" t="s">
        <v>108</v>
      </c>
      <c r="H87" s="21" t="str">
        <f>_xlfn.CONCAT("KG0",A87 - DATE(YEAR(A87),1,0))</f>
        <v>KG094</v>
      </c>
      <c r="I87" s="35">
        <v>0.14219999999999999</v>
      </c>
      <c r="J87" s="21" t="s">
        <v>116</v>
      </c>
      <c r="K87" s="21" t="s">
        <v>117</v>
      </c>
      <c r="L87" s="17" t="s">
        <v>41</v>
      </c>
      <c r="M87" s="24"/>
      <c r="O87" s="2"/>
    </row>
    <row r="88" spans="1:15" ht="20.100000000000001" customHeight="1" x14ac:dyDescent="0.25">
      <c r="A88" s="20">
        <v>45753</v>
      </c>
      <c r="B88" s="21" t="s">
        <v>118</v>
      </c>
      <c r="C88" s="21" t="s">
        <v>19</v>
      </c>
      <c r="D88" s="19" t="s">
        <v>175</v>
      </c>
      <c r="E88" s="28">
        <f t="shared" ref="E88:E93" si="2">EDATE(A88,-1)</f>
        <v>45722</v>
      </c>
      <c r="F88" s="28">
        <f>EDATE(E88,8)</f>
        <v>45967</v>
      </c>
      <c r="G88" s="21" t="s">
        <v>108</v>
      </c>
      <c r="H88" s="21" t="str">
        <f>_xlfn.CONCAT("MD0",A88 - DATE(YEAR(A88),1,0))</f>
        <v>MD096</v>
      </c>
      <c r="I88" s="35">
        <v>3.9100000000000003E-2</v>
      </c>
      <c r="J88" s="21" t="s">
        <v>116</v>
      </c>
      <c r="K88" s="21" t="s">
        <v>117</v>
      </c>
      <c r="L88" s="17" t="s">
        <v>41</v>
      </c>
      <c r="M88" s="24"/>
      <c r="O88" s="2"/>
    </row>
    <row r="89" spans="1:15" ht="20.100000000000001" customHeight="1" x14ac:dyDescent="0.25">
      <c r="A89" s="20">
        <v>45753</v>
      </c>
      <c r="B89" s="21" t="s">
        <v>118</v>
      </c>
      <c r="C89" s="21" t="s">
        <v>20</v>
      </c>
      <c r="D89" s="19" t="s">
        <v>177</v>
      </c>
      <c r="E89" s="28">
        <f t="shared" si="2"/>
        <v>45722</v>
      </c>
      <c r="F89" s="28">
        <f>EDATE(E89,8)</f>
        <v>45967</v>
      </c>
      <c r="G89" s="21" t="s">
        <v>108</v>
      </c>
      <c r="H89" s="21" t="str">
        <f>_xlfn.CONCAT("MC0",A89 - DATE(YEAR(A89),1,0))</f>
        <v>MC096</v>
      </c>
      <c r="I89" s="35">
        <v>0.6966</v>
      </c>
      <c r="J89" s="21" t="s">
        <v>116</v>
      </c>
      <c r="K89" s="21" t="s">
        <v>117</v>
      </c>
      <c r="L89" s="17" t="s">
        <v>41</v>
      </c>
      <c r="M89" s="24"/>
      <c r="O89" s="2"/>
    </row>
    <row r="90" spans="1:15" ht="20.100000000000001" customHeight="1" x14ac:dyDescent="0.25">
      <c r="A90" s="20">
        <v>45753</v>
      </c>
      <c r="B90" s="21" t="s">
        <v>145</v>
      </c>
      <c r="C90" s="21" t="s">
        <v>44</v>
      </c>
      <c r="D90" s="23" t="s">
        <v>52</v>
      </c>
      <c r="E90" s="28">
        <f t="shared" si="2"/>
        <v>45722</v>
      </c>
      <c r="F90" s="28">
        <f>EDATE(E90,12)</f>
        <v>46087</v>
      </c>
      <c r="G90" s="21" t="s">
        <v>108</v>
      </c>
      <c r="H90" s="21" t="str">
        <f>_xlfn.CONCAT("MG0",A90 - DATE(YEAR(A90),1,0))</f>
        <v>MG096</v>
      </c>
      <c r="I90" s="35">
        <v>0.1215</v>
      </c>
      <c r="J90" s="21" t="s">
        <v>116</v>
      </c>
      <c r="K90" s="21" t="s">
        <v>117</v>
      </c>
      <c r="L90" s="17" t="s">
        <v>41</v>
      </c>
      <c r="M90" s="24"/>
      <c r="O90" s="2"/>
    </row>
    <row r="91" spans="1:15" ht="20.100000000000001" customHeight="1" x14ac:dyDescent="0.25">
      <c r="A91" s="20">
        <v>45753</v>
      </c>
      <c r="B91" s="21" t="s">
        <v>157</v>
      </c>
      <c r="C91" s="21" t="s">
        <v>22</v>
      </c>
      <c r="D91" s="23" t="s">
        <v>73</v>
      </c>
      <c r="E91" s="28">
        <f t="shared" si="2"/>
        <v>45722</v>
      </c>
      <c r="F91" s="28">
        <f>EDATE(E91,12)</f>
        <v>46087</v>
      </c>
      <c r="G91" s="21" t="s">
        <v>108</v>
      </c>
      <c r="H91" s="21" t="str">
        <f>_xlfn.CONCAT("AG0",A91 - DATE(YEAR(A91),1,0))</f>
        <v>AG096</v>
      </c>
      <c r="I91" s="26" t="s">
        <v>121</v>
      </c>
      <c r="J91" s="21" t="s">
        <v>116</v>
      </c>
      <c r="K91" s="21" t="s">
        <v>117</v>
      </c>
      <c r="L91" s="21" t="s">
        <v>42</v>
      </c>
      <c r="M91" s="24"/>
      <c r="O91" s="2"/>
    </row>
    <row r="92" spans="1:15" ht="20.100000000000001" customHeight="1" x14ac:dyDescent="0.25">
      <c r="A92" s="20">
        <v>45753</v>
      </c>
      <c r="B92" s="21" t="s">
        <v>145</v>
      </c>
      <c r="C92" s="21" t="s">
        <v>23</v>
      </c>
      <c r="D92" s="23" t="s">
        <v>38</v>
      </c>
      <c r="E92" s="28">
        <f t="shared" si="2"/>
        <v>45722</v>
      </c>
      <c r="F92" s="28">
        <f>EDATE(E92,12)</f>
        <v>46087</v>
      </c>
      <c r="G92" s="21" t="s">
        <v>108</v>
      </c>
      <c r="H92" s="21" t="str">
        <f>_xlfn.CONCAT("LZ0",A92 - DATE(YEAR(A92),1,0))</f>
        <v>LZ096</v>
      </c>
      <c r="I92" s="34">
        <v>8.4000000000000005E-2</v>
      </c>
      <c r="J92" s="21" t="s">
        <v>116</v>
      </c>
      <c r="K92" s="21" t="s">
        <v>117</v>
      </c>
      <c r="L92" s="17" t="s">
        <v>41</v>
      </c>
      <c r="M92" s="24"/>
      <c r="O92" s="2"/>
    </row>
    <row r="93" spans="1:15" ht="20.100000000000001" customHeight="1" x14ac:dyDescent="0.25">
      <c r="A93" s="20">
        <v>45753</v>
      </c>
      <c r="B93" s="21" t="s">
        <v>145</v>
      </c>
      <c r="C93" s="21" t="s">
        <v>24</v>
      </c>
      <c r="D93" s="23" t="s">
        <v>38</v>
      </c>
      <c r="E93" s="28">
        <f t="shared" si="2"/>
        <v>45722</v>
      </c>
      <c r="F93" s="28">
        <f>EDATE(E93,12)</f>
        <v>46087</v>
      </c>
      <c r="G93" s="21" t="s">
        <v>108</v>
      </c>
      <c r="H93" s="21" t="str">
        <f>_xlfn.CONCAT("AJ0",A93 - DATE(YEAR(A93),1,0))</f>
        <v>AJ096</v>
      </c>
      <c r="I93" s="34">
        <v>0.42499999999999999</v>
      </c>
      <c r="J93" s="21" t="s">
        <v>116</v>
      </c>
      <c r="K93" s="21" t="s">
        <v>117</v>
      </c>
      <c r="L93" s="17" t="s">
        <v>41</v>
      </c>
      <c r="M93" s="24"/>
      <c r="O93" s="2"/>
    </row>
    <row r="94" spans="1:15" ht="20.100000000000001" customHeight="1" x14ac:dyDescent="0.25">
      <c r="A94" s="20">
        <v>45753</v>
      </c>
      <c r="B94" s="21" t="s">
        <v>120</v>
      </c>
      <c r="C94" s="21" t="s">
        <v>25</v>
      </c>
      <c r="D94" s="23" t="s">
        <v>38</v>
      </c>
      <c r="E94" s="28">
        <f>EDATE(A94,-4)</f>
        <v>45632</v>
      </c>
      <c r="F94" s="28">
        <f>EDATE(E94,24)</f>
        <v>46362</v>
      </c>
      <c r="G94" s="21" t="s">
        <v>108</v>
      </c>
      <c r="H94" s="21" t="str">
        <f>_xlfn.CONCAT("SP0",A94 - DATE(YEAR(A94),1,0))</f>
        <v>SP096</v>
      </c>
      <c r="I94" s="21" t="s">
        <v>121</v>
      </c>
      <c r="J94" s="21" t="s">
        <v>116</v>
      </c>
      <c r="K94" s="21" t="s">
        <v>117</v>
      </c>
      <c r="L94" s="21" t="s">
        <v>42</v>
      </c>
      <c r="M94" s="24"/>
      <c r="O94" s="2"/>
    </row>
    <row r="95" spans="1:15" ht="20.100000000000001" customHeight="1" x14ac:dyDescent="0.25">
      <c r="A95" s="6">
        <v>45773</v>
      </c>
      <c r="B95" s="7" t="s">
        <v>111</v>
      </c>
      <c r="C95" s="7" t="s">
        <v>15</v>
      </c>
      <c r="D95" s="12" t="s">
        <v>74</v>
      </c>
      <c r="E95" s="27">
        <v>45748</v>
      </c>
      <c r="F95" s="27">
        <v>46113</v>
      </c>
      <c r="G95" s="7" t="s">
        <v>122</v>
      </c>
      <c r="H95" s="7" t="str">
        <f>_xlfn.CONCAT("AP",A95 - DATE(YEAR(A95),1,0))</f>
        <v>AP116</v>
      </c>
      <c r="I95" s="31">
        <v>9.4600000000000004E-2</v>
      </c>
      <c r="J95" s="7" t="s">
        <v>112</v>
      </c>
      <c r="K95" s="7" t="s">
        <v>117</v>
      </c>
      <c r="L95" s="10" t="s">
        <v>41</v>
      </c>
      <c r="M95" s="15"/>
      <c r="O95" s="2"/>
    </row>
    <row r="96" spans="1:15" ht="20.100000000000001" customHeight="1" x14ac:dyDescent="0.25">
      <c r="A96" s="6">
        <v>45775</v>
      </c>
      <c r="B96" s="7" t="s">
        <v>115</v>
      </c>
      <c r="C96" s="11" t="s">
        <v>88</v>
      </c>
      <c r="D96" s="12" t="s">
        <v>92</v>
      </c>
      <c r="E96" s="27">
        <f>EDATE(A96,-2)</f>
        <v>45716</v>
      </c>
      <c r="F96" s="27">
        <f>EDATE(E96,18)</f>
        <v>46262</v>
      </c>
      <c r="G96" s="7" t="s">
        <v>108</v>
      </c>
      <c r="H96" s="7" t="str">
        <f>_xlfn.CONCAT("QT",A96 - DATE(YEAR(A96),1,0))</f>
        <v>QT118</v>
      </c>
      <c r="I96" s="36">
        <v>4.7699999999999999E-2</v>
      </c>
      <c r="J96" s="7" t="s">
        <v>116</v>
      </c>
      <c r="K96" s="7" t="s">
        <v>117</v>
      </c>
      <c r="L96" s="10" t="s">
        <v>41</v>
      </c>
      <c r="M96" s="15"/>
      <c r="O96" s="2"/>
    </row>
    <row r="97" spans="1:15" ht="20.100000000000001" customHeight="1" x14ac:dyDescent="0.25">
      <c r="A97" s="6">
        <v>45775</v>
      </c>
      <c r="B97" s="7" t="s">
        <v>115</v>
      </c>
      <c r="C97" s="11" t="s">
        <v>87</v>
      </c>
      <c r="D97" s="12" t="s">
        <v>99</v>
      </c>
      <c r="E97" s="27">
        <f>EDATE(A97,-2)</f>
        <v>45716</v>
      </c>
      <c r="F97" s="27">
        <f>EDATE(E97,18)</f>
        <v>46262</v>
      </c>
      <c r="G97" s="7" t="s">
        <v>108</v>
      </c>
      <c r="H97" s="7" t="str">
        <f>_xlfn.CONCAT("KT",A97 - DATE(YEAR(A97),1,0))</f>
        <v>KT118</v>
      </c>
      <c r="I97" s="36">
        <v>9.8000000000000004E-2</v>
      </c>
      <c r="J97" s="7" t="s">
        <v>116</v>
      </c>
      <c r="K97" s="7" t="s">
        <v>117</v>
      </c>
      <c r="L97" s="10" t="s">
        <v>41</v>
      </c>
      <c r="M97" s="15"/>
      <c r="O97" s="2"/>
    </row>
    <row r="98" spans="1:15" ht="20.100000000000001" customHeight="1" x14ac:dyDescent="0.25">
      <c r="A98" s="6">
        <v>45777</v>
      </c>
      <c r="B98" s="7" t="s">
        <v>119</v>
      </c>
      <c r="C98" s="7" t="s">
        <v>18</v>
      </c>
      <c r="D98" s="12" t="s">
        <v>29</v>
      </c>
      <c r="E98" s="27">
        <f>EDATE(A98,-1)</f>
        <v>45746</v>
      </c>
      <c r="F98" s="27">
        <f>EDATE(E98,12)</f>
        <v>46111</v>
      </c>
      <c r="G98" s="7" t="s">
        <v>108</v>
      </c>
      <c r="H98" s="7" t="str">
        <f>_xlfn.CONCAT("SG",A98 - DATE(YEAR(A98),1,0))</f>
        <v>SG120</v>
      </c>
      <c r="I98" s="38">
        <v>0.13769999999999999</v>
      </c>
      <c r="J98" s="7" t="s">
        <v>116</v>
      </c>
      <c r="K98" s="7" t="s">
        <v>117</v>
      </c>
      <c r="L98" s="10" t="s">
        <v>41</v>
      </c>
      <c r="M98" s="15"/>
      <c r="O98" s="2"/>
    </row>
    <row r="99" spans="1:15" ht="20.100000000000001" customHeight="1" x14ac:dyDescent="0.25">
      <c r="A99" s="6">
        <v>45777</v>
      </c>
      <c r="B99" s="7" t="s">
        <v>146</v>
      </c>
      <c r="C99" s="7" t="s">
        <v>45</v>
      </c>
      <c r="D99" s="12" t="s">
        <v>66</v>
      </c>
      <c r="E99" s="27">
        <f>EDATE(A99,-13)</f>
        <v>45381</v>
      </c>
      <c r="F99" s="27">
        <f>EDATE(E99,24)</f>
        <v>46111</v>
      </c>
      <c r="G99" s="7" t="s">
        <v>152</v>
      </c>
      <c r="H99" s="7" t="str">
        <f>_xlfn.CONCAT("LP",A99 - DATE(YEAR(A99),1,0))</f>
        <v>LP120</v>
      </c>
      <c r="I99" s="25" t="s">
        <v>121</v>
      </c>
      <c r="J99" s="7" t="s">
        <v>112</v>
      </c>
      <c r="K99" s="7" t="s">
        <v>117</v>
      </c>
      <c r="L99" s="7" t="s">
        <v>42</v>
      </c>
      <c r="M99" s="15"/>
      <c r="O99" s="2"/>
    </row>
    <row r="100" spans="1:15" ht="20.100000000000001" customHeight="1" x14ac:dyDescent="0.25">
      <c r="A100" s="6">
        <v>45777</v>
      </c>
      <c r="B100" s="7" t="s">
        <v>157</v>
      </c>
      <c r="C100" s="7" t="s">
        <v>22</v>
      </c>
      <c r="D100" s="9" t="s">
        <v>100</v>
      </c>
      <c r="E100" s="27">
        <f>EDATE(A100,-1)</f>
        <v>45746</v>
      </c>
      <c r="F100" s="27">
        <f>EDATE(E100,12)</f>
        <v>46111</v>
      </c>
      <c r="G100" s="7" t="s">
        <v>108</v>
      </c>
      <c r="H100" s="7" t="str">
        <f>_xlfn.CONCAT("AG",A100 - DATE(YEAR(A100),1,0))</f>
        <v>AG120</v>
      </c>
      <c r="I100" s="25" t="s">
        <v>121</v>
      </c>
      <c r="J100" s="7" t="s">
        <v>116</v>
      </c>
      <c r="K100" s="7" t="s">
        <v>117</v>
      </c>
      <c r="L100" s="7" t="s">
        <v>42</v>
      </c>
      <c r="M100" s="15"/>
      <c r="O100" s="2"/>
    </row>
    <row r="101" spans="1:15" ht="20.100000000000001" customHeight="1" x14ac:dyDescent="0.25">
      <c r="A101" s="6">
        <v>45777</v>
      </c>
      <c r="B101" s="7" t="s">
        <v>120</v>
      </c>
      <c r="C101" s="7" t="s">
        <v>26</v>
      </c>
      <c r="D101" s="12" t="s">
        <v>75</v>
      </c>
      <c r="E101" s="27">
        <f>EDATE(A101,-14)</f>
        <v>45351</v>
      </c>
      <c r="F101" s="27">
        <f>EDATE(E101,24)</f>
        <v>46081</v>
      </c>
      <c r="G101" s="7" t="s">
        <v>130</v>
      </c>
      <c r="H101" s="7" t="str">
        <f>_xlfn.CONCAT("FT",A101 - DATE(YEAR(A101),1,0))</f>
        <v>FT120</v>
      </c>
      <c r="I101" s="25" t="s">
        <v>121</v>
      </c>
      <c r="J101" s="7" t="s">
        <v>112</v>
      </c>
      <c r="K101" s="7" t="s">
        <v>117</v>
      </c>
      <c r="L101" s="7" t="s">
        <v>42</v>
      </c>
      <c r="M101" s="15"/>
      <c r="O101" s="2"/>
    </row>
    <row r="102" spans="1:15" ht="20.100000000000001" customHeight="1" x14ac:dyDescent="0.25">
      <c r="A102" s="6">
        <v>45777</v>
      </c>
      <c r="B102" s="7" t="s">
        <v>120</v>
      </c>
      <c r="C102" s="7" t="s">
        <v>27</v>
      </c>
      <c r="D102" s="9" t="s">
        <v>76</v>
      </c>
      <c r="E102" s="27">
        <f>EDATE(A102,-3)</f>
        <v>45687</v>
      </c>
      <c r="F102" s="27">
        <f>EDATE(E102,18)</f>
        <v>46233</v>
      </c>
      <c r="G102" s="7" t="s">
        <v>138</v>
      </c>
      <c r="H102" s="7" t="str">
        <f>_xlfn.CONCAT("MV",A102 - DATE(YEAR(A102),1,0))</f>
        <v>MV120</v>
      </c>
      <c r="I102" s="7" t="s">
        <v>121</v>
      </c>
      <c r="J102" s="7" t="s">
        <v>112</v>
      </c>
      <c r="K102" s="7" t="s">
        <v>117</v>
      </c>
      <c r="L102" s="7" t="s">
        <v>42</v>
      </c>
      <c r="M102" s="15"/>
      <c r="O102" s="2"/>
    </row>
    <row r="103" spans="1:15" ht="20.100000000000001" customHeight="1" x14ac:dyDescent="0.25">
      <c r="A103" s="6">
        <v>45779</v>
      </c>
      <c r="B103" s="7" t="s">
        <v>115</v>
      </c>
      <c r="C103" s="7" t="s">
        <v>17</v>
      </c>
      <c r="D103" s="12" t="s">
        <v>61</v>
      </c>
      <c r="E103" s="27">
        <f>EDATE(A103,-2)</f>
        <v>45718</v>
      </c>
      <c r="F103" s="27">
        <f>EDATE(E103,18)</f>
        <v>46267</v>
      </c>
      <c r="G103" s="7" t="s">
        <v>108</v>
      </c>
      <c r="H103" s="7" t="str">
        <f>_xlfn.CONCAT("KG",A103 - DATE(YEAR(A103),1,0))</f>
        <v>KG122</v>
      </c>
      <c r="I103" s="36">
        <v>0.15010000000000001</v>
      </c>
      <c r="J103" s="7" t="s">
        <v>116</v>
      </c>
      <c r="K103" s="7" t="s">
        <v>117</v>
      </c>
      <c r="L103" s="10" t="s">
        <v>41</v>
      </c>
      <c r="M103" s="15"/>
      <c r="O103" s="2"/>
    </row>
    <row r="104" spans="1:15" ht="20.100000000000001" customHeight="1" x14ac:dyDescent="0.25">
      <c r="A104" s="6">
        <v>45779</v>
      </c>
      <c r="B104" s="7" t="s">
        <v>115</v>
      </c>
      <c r="C104" s="7" t="s">
        <v>16</v>
      </c>
      <c r="D104" s="12" t="s">
        <v>101</v>
      </c>
      <c r="E104" s="27">
        <f>EDATE(A104,-2)</f>
        <v>45718</v>
      </c>
      <c r="F104" s="27">
        <f>EDATE(E104,18)</f>
        <v>46267</v>
      </c>
      <c r="G104" s="7" t="s">
        <v>108</v>
      </c>
      <c r="H104" s="7" t="str">
        <f>_xlfn.CONCAT("QD",A104 - DATE(YEAR(A104),1,0))</f>
        <v>QD122</v>
      </c>
      <c r="I104" s="36">
        <v>0.1169</v>
      </c>
      <c r="J104" s="7" t="s">
        <v>116</v>
      </c>
      <c r="K104" s="7" t="s">
        <v>117</v>
      </c>
      <c r="L104" s="10" t="s">
        <v>41</v>
      </c>
      <c r="M104" s="15"/>
      <c r="O104" s="2"/>
    </row>
    <row r="105" spans="1:15" ht="20.100000000000001" customHeight="1" x14ac:dyDescent="0.25">
      <c r="A105" s="6">
        <v>45779</v>
      </c>
      <c r="B105" s="7" t="s">
        <v>118</v>
      </c>
      <c r="C105" s="7" t="s">
        <v>19</v>
      </c>
      <c r="D105" s="12" t="s">
        <v>175</v>
      </c>
      <c r="E105" s="27">
        <f t="shared" ref="E105:E110" si="3">EDATE(A105,-1)</f>
        <v>45749</v>
      </c>
      <c r="F105" s="27">
        <f>EDATE(E105,8)</f>
        <v>45993</v>
      </c>
      <c r="G105" s="7" t="s">
        <v>108</v>
      </c>
      <c r="H105" s="7" t="str">
        <f>_xlfn.CONCAT("MD",A105 - DATE(YEAR(A105),1,0))</f>
        <v>MD122</v>
      </c>
      <c r="I105" s="36">
        <v>3.7699999999999997E-2</v>
      </c>
      <c r="J105" s="7" t="s">
        <v>116</v>
      </c>
      <c r="K105" s="7" t="s">
        <v>117</v>
      </c>
      <c r="L105" s="10" t="s">
        <v>41</v>
      </c>
      <c r="M105" s="15"/>
      <c r="O105" s="2"/>
    </row>
    <row r="106" spans="1:15" ht="20.100000000000001" customHeight="1" x14ac:dyDescent="0.25">
      <c r="A106" s="6">
        <v>45781</v>
      </c>
      <c r="B106" s="7" t="s">
        <v>118</v>
      </c>
      <c r="C106" s="7" t="s">
        <v>20</v>
      </c>
      <c r="D106" s="12" t="s">
        <v>177</v>
      </c>
      <c r="E106" s="27">
        <f t="shared" si="3"/>
        <v>45751</v>
      </c>
      <c r="F106" s="27">
        <f>EDATE(E106,8)</f>
        <v>45995</v>
      </c>
      <c r="G106" s="7" t="s">
        <v>108</v>
      </c>
      <c r="H106" s="7" t="str">
        <f>_xlfn.CONCAT("MC",A106 - DATE(YEAR(A106),1,0))</f>
        <v>MC124</v>
      </c>
      <c r="I106" s="36">
        <v>0.67020000000000002</v>
      </c>
      <c r="J106" s="7" t="s">
        <v>116</v>
      </c>
      <c r="K106" s="7" t="s">
        <v>117</v>
      </c>
      <c r="L106" s="10" t="s">
        <v>41</v>
      </c>
      <c r="M106" s="15"/>
      <c r="O106" s="2"/>
    </row>
    <row r="107" spans="1:15" ht="20.100000000000001" customHeight="1" x14ac:dyDescent="0.25">
      <c r="A107" s="6">
        <v>45781</v>
      </c>
      <c r="B107" s="7" t="s">
        <v>156</v>
      </c>
      <c r="C107" s="7" t="s">
        <v>43</v>
      </c>
      <c r="D107" s="9" t="s">
        <v>72</v>
      </c>
      <c r="E107" s="27">
        <f t="shared" si="3"/>
        <v>45751</v>
      </c>
      <c r="F107" s="27">
        <f>EDATE(E107,24)</f>
        <v>46481</v>
      </c>
      <c r="G107" s="7" t="s">
        <v>162</v>
      </c>
      <c r="H107" s="7" t="str">
        <f>_xlfn.CONCAT("AR",A107 - DATE(YEAR(A107),1,0))</f>
        <v>AR124</v>
      </c>
      <c r="I107" s="37">
        <v>6.9999999999999999E-4</v>
      </c>
      <c r="J107" s="7" t="s">
        <v>112</v>
      </c>
      <c r="K107" s="7" t="s">
        <v>117</v>
      </c>
      <c r="L107" s="10" t="s">
        <v>41</v>
      </c>
      <c r="M107" s="15"/>
      <c r="O107" s="2"/>
    </row>
    <row r="108" spans="1:15" ht="20.100000000000001" customHeight="1" x14ac:dyDescent="0.25">
      <c r="A108" s="6">
        <v>45781</v>
      </c>
      <c r="B108" s="7" t="s">
        <v>145</v>
      </c>
      <c r="C108" s="7" t="s">
        <v>44</v>
      </c>
      <c r="D108" s="9" t="s">
        <v>52</v>
      </c>
      <c r="E108" s="27">
        <f t="shared" si="3"/>
        <v>45751</v>
      </c>
      <c r="F108" s="27">
        <f>EDATE(E108,12)</f>
        <v>46116</v>
      </c>
      <c r="G108" s="7" t="s">
        <v>108</v>
      </c>
      <c r="H108" s="7" t="str">
        <f>_xlfn.CONCAT("MG",A108 - DATE(YEAR(A108),1,0))</f>
        <v>MG124</v>
      </c>
      <c r="I108" s="37">
        <v>0.11210000000000001</v>
      </c>
      <c r="J108" s="7" t="s">
        <v>116</v>
      </c>
      <c r="K108" s="7" t="s">
        <v>117</v>
      </c>
      <c r="L108" s="10" t="s">
        <v>41</v>
      </c>
      <c r="M108" s="15"/>
      <c r="O108" s="2"/>
    </row>
    <row r="109" spans="1:15" ht="20.100000000000001" customHeight="1" x14ac:dyDescent="0.25">
      <c r="A109" s="6">
        <v>45781</v>
      </c>
      <c r="B109" s="7" t="s">
        <v>145</v>
      </c>
      <c r="C109" s="7" t="s">
        <v>23</v>
      </c>
      <c r="D109" s="9" t="s">
        <v>38</v>
      </c>
      <c r="E109" s="27">
        <f t="shared" si="3"/>
        <v>45751</v>
      </c>
      <c r="F109" s="27">
        <f>EDATE(E109,12)</f>
        <v>46116</v>
      </c>
      <c r="G109" s="7" t="s">
        <v>108</v>
      </c>
      <c r="H109" s="7" t="str">
        <f>_xlfn.CONCAT("LZ",A109 - DATE(YEAR(A109),1,0))</f>
        <v>LZ124</v>
      </c>
      <c r="I109" s="40">
        <v>7.5999999999999998E-2</v>
      </c>
      <c r="J109" s="7" t="s">
        <v>116</v>
      </c>
      <c r="K109" s="7" t="s">
        <v>117</v>
      </c>
      <c r="L109" s="10" t="s">
        <v>41</v>
      </c>
      <c r="M109" s="15"/>
      <c r="O109" s="2"/>
    </row>
    <row r="110" spans="1:15" ht="20.100000000000001" customHeight="1" x14ac:dyDescent="0.25">
      <c r="A110" s="6">
        <v>45781</v>
      </c>
      <c r="B110" s="7" t="s">
        <v>145</v>
      </c>
      <c r="C110" s="7" t="s">
        <v>24</v>
      </c>
      <c r="D110" s="9" t="s">
        <v>38</v>
      </c>
      <c r="E110" s="27">
        <f t="shared" si="3"/>
        <v>45751</v>
      </c>
      <c r="F110" s="27">
        <f>EDATE(E110,12)</f>
        <v>46116</v>
      </c>
      <c r="G110" s="7" t="s">
        <v>108</v>
      </c>
      <c r="H110" s="7" t="str">
        <f>_xlfn.CONCAT("AJ",A110 - DATE(YEAR(A110),1,0))</f>
        <v>AJ124</v>
      </c>
      <c r="I110" s="40">
        <v>0.432</v>
      </c>
      <c r="J110" s="7" t="s">
        <v>116</v>
      </c>
      <c r="K110" s="7" t="s">
        <v>117</v>
      </c>
      <c r="L110" s="10" t="s">
        <v>41</v>
      </c>
      <c r="M110" s="15"/>
      <c r="O110" s="2"/>
    </row>
    <row r="111" spans="1:15" ht="20.100000000000001" customHeight="1" x14ac:dyDescent="0.25">
      <c r="A111" s="6">
        <v>45781</v>
      </c>
      <c r="B111" s="7" t="s">
        <v>120</v>
      </c>
      <c r="C111" s="7" t="s">
        <v>25</v>
      </c>
      <c r="D111" s="9" t="s">
        <v>38</v>
      </c>
      <c r="E111" s="27">
        <f>EDATE(A111,-4)</f>
        <v>45661</v>
      </c>
      <c r="F111" s="27">
        <f>EDATE(E111,24)</f>
        <v>46391</v>
      </c>
      <c r="G111" s="7" t="s">
        <v>108</v>
      </c>
      <c r="H111" s="7" t="str">
        <f>_xlfn.CONCAT("SP",A111 - DATE(YEAR(A111),1,0))</f>
        <v>SP124</v>
      </c>
      <c r="I111" s="7" t="s">
        <v>121</v>
      </c>
      <c r="J111" s="7" t="s">
        <v>116</v>
      </c>
      <c r="K111" s="7" t="s">
        <v>117</v>
      </c>
      <c r="L111" s="7" t="s">
        <v>42</v>
      </c>
      <c r="M111" s="15"/>
      <c r="O111" s="2"/>
    </row>
    <row r="112" spans="1:15" ht="20.100000000000001" customHeight="1" x14ac:dyDescent="0.25">
      <c r="A112" s="20">
        <v>45805</v>
      </c>
      <c r="B112" s="21" t="s">
        <v>109</v>
      </c>
      <c r="C112" s="21" t="s">
        <v>15</v>
      </c>
      <c r="D112" s="19" t="s">
        <v>77</v>
      </c>
      <c r="E112" s="28">
        <v>45778</v>
      </c>
      <c r="F112" s="28">
        <v>46143</v>
      </c>
      <c r="G112" s="21" t="s">
        <v>123</v>
      </c>
      <c r="H112" s="21" t="str">
        <f>_xlfn.CONCAT("AP",A112 - DATE(YEAR(A112),1,0))</f>
        <v>AP148</v>
      </c>
      <c r="I112" s="32">
        <v>9.7699999999999995E-2</v>
      </c>
      <c r="J112" s="17" t="s">
        <v>112</v>
      </c>
      <c r="K112" s="21" t="s">
        <v>117</v>
      </c>
      <c r="L112" s="17" t="s">
        <v>41</v>
      </c>
      <c r="M112" s="24"/>
      <c r="O112" s="2"/>
    </row>
    <row r="113" spans="1:15" ht="20.100000000000001" customHeight="1" x14ac:dyDescent="0.25">
      <c r="A113" s="20">
        <v>45805</v>
      </c>
      <c r="B113" s="21" t="s">
        <v>115</v>
      </c>
      <c r="C113" s="18" t="s">
        <v>88</v>
      </c>
      <c r="D113" s="19" t="s">
        <v>50</v>
      </c>
      <c r="E113" s="28">
        <f>EDATE(A113,-2)</f>
        <v>45744</v>
      </c>
      <c r="F113" s="28">
        <f>EDATE(E113,18)</f>
        <v>46293</v>
      </c>
      <c r="G113" s="21" t="s">
        <v>108</v>
      </c>
      <c r="H113" s="21" t="str">
        <f>_xlfn.CONCAT("QT",A113 - DATE(YEAR(A113),1,0))</f>
        <v>QT148</v>
      </c>
      <c r="I113" s="35">
        <v>5.3600000000000002E-2</v>
      </c>
      <c r="J113" s="21" t="s">
        <v>116</v>
      </c>
      <c r="K113" s="21" t="s">
        <v>117</v>
      </c>
      <c r="L113" s="17" t="s">
        <v>41</v>
      </c>
      <c r="M113" s="24"/>
      <c r="O113" s="2"/>
    </row>
    <row r="114" spans="1:15" ht="20.100000000000001" customHeight="1" x14ac:dyDescent="0.25">
      <c r="A114" s="20">
        <v>45805</v>
      </c>
      <c r="B114" s="21" t="s">
        <v>115</v>
      </c>
      <c r="C114" s="18" t="s">
        <v>87</v>
      </c>
      <c r="D114" s="19" t="s">
        <v>80</v>
      </c>
      <c r="E114" s="28">
        <f>EDATE(A114,-2)</f>
        <v>45744</v>
      </c>
      <c r="F114" s="28">
        <f>EDATE(E114,18)</f>
        <v>46293</v>
      </c>
      <c r="G114" s="21" t="s">
        <v>108</v>
      </c>
      <c r="H114" s="21" t="str">
        <f>_xlfn.CONCAT("KT",A114 - DATE(YEAR(A114),1,0))</f>
        <v>KT148</v>
      </c>
      <c r="I114" s="35">
        <v>9.5699999999999993E-2</v>
      </c>
      <c r="J114" s="21" t="s">
        <v>116</v>
      </c>
      <c r="K114" s="21" t="s">
        <v>117</v>
      </c>
      <c r="L114" s="17" t="s">
        <v>41</v>
      </c>
      <c r="M114" s="24"/>
      <c r="O114" s="2"/>
    </row>
    <row r="115" spans="1:15" ht="20.100000000000001" customHeight="1" x14ac:dyDescent="0.25">
      <c r="A115" s="20">
        <v>45807</v>
      </c>
      <c r="B115" s="21" t="s">
        <v>119</v>
      </c>
      <c r="C115" s="21" t="s">
        <v>18</v>
      </c>
      <c r="D115" s="19" t="s">
        <v>29</v>
      </c>
      <c r="E115" s="28">
        <f>EDATE(A115,-1)</f>
        <v>45777</v>
      </c>
      <c r="F115" s="28">
        <f>EDATE(E115,12)</f>
        <v>46142</v>
      </c>
      <c r="G115" s="21" t="s">
        <v>108</v>
      </c>
      <c r="H115" s="21" t="str">
        <f>_xlfn.CONCAT("SG",A115 - DATE(YEAR(A115),1,0))</f>
        <v>SG150</v>
      </c>
      <c r="I115" s="34">
        <v>0.13200000000000001</v>
      </c>
      <c r="J115" s="21" t="s">
        <v>116</v>
      </c>
      <c r="K115" s="21" t="s">
        <v>117</v>
      </c>
      <c r="L115" s="17" t="s">
        <v>41</v>
      </c>
      <c r="M115" s="24"/>
      <c r="O115" s="2"/>
    </row>
    <row r="116" spans="1:15" ht="20.100000000000001" customHeight="1" x14ac:dyDescent="0.25">
      <c r="A116" s="20">
        <v>45807</v>
      </c>
      <c r="B116" s="21" t="s">
        <v>146</v>
      </c>
      <c r="C116" s="21" t="s">
        <v>45</v>
      </c>
      <c r="D116" s="19" t="s">
        <v>34</v>
      </c>
      <c r="E116" s="28">
        <f>EDATE(A116,-13)</f>
        <v>45412</v>
      </c>
      <c r="F116" s="28">
        <f>EDATE(E116,24)</f>
        <v>46142</v>
      </c>
      <c r="G116" s="21" t="s">
        <v>153</v>
      </c>
      <c r="H116" s="21" t="str">
        <f>_xlfn.CONCAT("LP",A116 - DATE(YEAR(A116),1,0))</f>
        <v>LP150</v>
      </c>
      <c r="I116" s="26" t="s">
        <v>121</v>
      </c>
      <c r="J116" s="17" t="s">
        <v>112</v>
      </c>
      <c r="K116" s="21" t="s">
        <v>117</v>
      </c>
      <c r="L116" s="21" t="s">
        <v>42</v>
      </c>
      <c r="M116" s="24"/>
      <c r="O116" s="2"/>
    </row>
    <row r="117" spans="1:15" ht="20.100000000000001" customHeight="1" x14ac:dyDescent="0.25">
      <c r="A117" s="20">
        <v>45807</v>
      </c>
      <c r="B117" s="21" t="s">
        <v>120</v>
      </c>
      <c r="C117" s="21" t="s">
        <v>26</v>
      </c>
      <c r="D117" s="19" t="s">
        <v>78</v>
      </c>
      <c r="E117" s="28">
        <f>EDATE(A117,-14)</f>
        <v>45381</v>
      </c>
      <c r="F117" s="28">
        <f>EDATE(E117,24)</f>
        <v>46111</v>
      </c>
      <c r="G117" s="21" t="s">
        <v>129</v>
      </c>
      <c r="H117" s="21" t="str">
        <f>_xlfn.CONCAT("FT",A117 - DATE(YEAR(A117),1,0))</f>
        <v>FT150</v>
      </c>
      <c r="I117" s="26" t="s">
        <v>121</v>
      </c>
      <c r="J117" s="17" t="s">
        <v>112</v>
      </c>
      <c r="K117" s="21" t="s">
        <v>117</v>
      </c>
      <c r="L117" s="21" t="s">
        <v>42</v>
      </c>
      <c r="M117" s="24"/>
      <c r="O117" s="2"/>
    </row>
    <row r="118" spans="1:15" ht="20.100000000000001" customHeight="1" x14ac:dyDescent="0.25">
      <c r="A118" s="20">
        <v>45807</v>
      </c>
      <c r="B118" s="21" t="s">
        <v>136</v>
      </c>
      <c r="C118" s="21" t="s">
        <v>27</v>
      </c>
      <c r="D118" s="23" t="s">
        <v>79</v>
      </c>
      <c r="E118" s="28">
        <f>EDATE(A118,-3)</f>
        <v>45716</v>
      </c>
      <c r="F118" s="28">
        <f>EDATE(E118,18)</f>
        <v>46262</v>
      </c>
      <c r="G118" s="21" t="s">
        <v>139</v>
      </c>
      <c r="H118" s="21" t="str">
        <f>_xlfn.CONCAT("MV",A118 - DATE(YEAR(A118),1,0))</f>
        <v>MV150</v>
      </c>
      <c r="I118" s="21" t="s">
        <v>121</v>
      </c>
      <c r="J118" s="17" t="s">
        <v>112</v>
      </c>
      <c r="K118" s="21" t="s">
        <v>117</v>
      </c>
      <c r="L118" s="21" t="s">
        <v>42</v>
      </c>
      <c r="M118" s="24"/>
      <c r="O118" s="2"/>
    </row>
    <row r="119" spans="1:15" ht="20.100000000000001" customHeight="1" x14ac:dyDescent="0.25">
      <c r="A119" s="20">
        <v>45809</v>
      </c>
      <c r="B119" s="21" t="s">
        <v>115</v>
      </c>
      <c r="C119" s="21" t="s">
        <v>16</v>
      </c>
      <c r="D119" s="19" t="s">
        <v>102</v>
      </c>
      <c r="E119" s="28">
        <f>EDATE(A119,-2)</f>
        <v>45748</v>
      </c>
      <c r="F119" s="28">
        <f>EDATE(E119,18)</f>
        <v>46296</v>
      </c>
      <c r="G119" s="21" t="s">
        <v>108</v>
      </c>
      <c r="H119" s="21" t="str">
        <f>_xlfn.CONCAT("QD",A119 - DATE(YEAR(A119),1,0))</f>
        <v>QD152</v>
      </c>
      <c r="I119" s="35">
        <v>0.1205</v>
      </c>
      <c r="J119" s="21" t="s">
        <v>116</v>
      </c>
      <c r="K119" s="21" t="s">
        <v>117</v>
      </c>
      <c r="L119" s="17" t="s">
        <v>41</v>
      </c>
      <c r="M119" s="24"/>
      <c r="O119" s="2"/>
    </row>
    <row r="120" spans="1:15" ht="20.100000000000001" customHeight="1" x14ac:dyDescent="0.25">
      <c r="A120" s="20">
        <v>45811</v>
      </c>
      <c r="B120" s="21" t="s">
        <v>115</v>
      </c>
      <c r="C120" s="21" t="s">
        <v>17</v>
      </c>
      <c r="D120" s="19" t="s">
        <v>103</v>
      </c>
      <c r="E120" s="28">
        <f>EDATE(A120,-2)</f>
        <v>45750</v>
      </c>
      <c r="F120" s="28">
        <f>EDATE(E120,18)</f>
        <v>46298</v>
      </c>
      <c r="G120" s="21" t="s">
        <v>108</v>
      </c>
      <c r="H120" s="21" t="str">
        <f>_xlfn.CONCAT("KG",A120 - DATE(YEAR(A120),1,0))</f>
        <v>KG154</v>
      </c>
      <c r="I120" s="35">
        <v>0.14729999999999999</v>
      </c>
      <c r="J120" s="21" t="s">
        <v>116</v>
      </c>
      <c r="K120" s="21" t="s">
        <v>117</v>
      </c>
      <c r="L120" s="17" t="s">
        <v>41</v>
      </c>
      <c r="M120" s="24"/>
      <c r="O120" s="2"/>
    </row>
    <row r="121" spans="1:15" ht="20.100000000000001" customHeight="1" x14ac:dyDescent="0.25">
      <c r="A121" s="20">
        <v>45813</v>
      </c>
      <c r="B121" s="21" t="s">
        <v>118</v>
      </c>
      <c r="C121" s="21" t="s">
        <v>19</v>
      </c>
      <c r="D121" s="19" t="s">
        <v>176</v>
      </c>
      <c r="E121" s="28">
        <f>EDATE(A121,-1)</f>
        <v>45782</v>
      </c>
      <c r="F121" s="28">
        <f>EDATE(E121,8)</f>
        <v>46027</v>
      </c>
      <c r="G121" s="21" t="s">
        <v>108</v>
      </c>
      <c r="H121" s="21" t="str">
        <f>_xlfn.CONCAT("MD",A121 - DATE(YEAR(A121),1,0))</f>
        <v>MD156</v>
      </c>
      <c r="I121" s="35">
        <v>0.70199999999999996</v>
      </c>
      <c r="J121" s="21" t="s">
        <v>116</v>
      </c>
      <c r="K121" s="21" t="s">
        <v>117</v>
      </c>
      <c r="L121" s="17" t="s">
        <v>41</v>
      </c>
      <c r="M121" s="24"/>
      <c r="O121" s="2"/>
    </row>
    <row r="122" spans="1:15" ht="20.100000000000001" customHeight="1" x14ac:dyDescent="0.25">
      <c r="A122" s="20">
        <v>45813</v>
      </c>
      <c r="B122" s="21" t="s">
        <v>156</v>
      </c>
      <c r="C122" s="21" t="s">
        <v>43</v>
      </c>
      <c r="D122" s="23" t="s">
        <v>72</v>
      </c>
      <c r="E122" s="28">
        <f>EDATE(A122,-1)</f>
        <v>45782</v>
      </c>
      <c r="F122" s="28">
        <f>EDATE(E122,24)</f>
        <v>46512</v>
      </c>
      <c r="G122" s="21" t="s">
        <v>171</v>
      </c>
      <c r="H122" s="21" t="str">
        <f>_xlfn.CONCAT("AR",A122 - DATE(YEAR(A122),1,0))</f>
        <v>AR156</v>
      </c>
      <c r="I122" s="35">
        <v>5.9999999999999995E-4</v>
      </c>
      <c r="J122" s="17" t="s">
        <v>112</v>
      </c>
      <c r="K122" s="21" t="s">
        <v>117</v>
      </c>
      <c r="L122" s="17" t="s">
        <v>41</v>
      </c>
      <c r="M122" s="24"/>
      <c r="O122" s="2"/>
    </row>
    <row r="123" spans="1:15" ht="20.100000000000001" customHeight="1" x14ac:dyDescent="0.25">
      <c r="A123" s="20">
        <v>45813</v>
      </c>
      <c r="B123" s="21" t="s">
        <v>145</v>
      </c>
      <c r="C123" s="21" t="s">
        <v>44</v>
      </c>
      <c r="D123" s="23" t="s">
        <v>52</v>
      </c>
      <c r="E123" s="28">
        <f>EDATE(A123,-1)</f>
        <v>45782</v>
      </c>
      <c r="F123" s="28">
        <f t="shared" ref="F123:F128" si="4">EDATE(E123,12)</f>
        <v>46147</v>
      </c>
      <c r="G123" s="21" t="s">
        <v>108</v>
      </c>
      <c r="H123" s="21" t="str">
        <f>_xlfn.CONCAT("MG",A123 - DATE(YEAR(A123),1,0))</f>
        <v>MG156</v>
      </c>
      <c r="I123" s="35">
        <v>0.1268</v>
      </c>
      <c r="J123" s="21" t="s">
        <v>116</v>
      </c>
      <c r="K123" s="21" t="s">
        <v>117</v>
      </c>
      <c r="L123" s="17" t="s">
        <v>41</v>
      </c>
      <c r="M123" s="24"/>
      <c r="O123" s="2"/>
    </row>
    <row r="124" spans="1:15" ht="20.100000000000001" customHeight="1" x14ac:dyDescent="0.25">
      <c r="A124" s="20">
        <v>45813</v>
      </c>
      <c r="B124" s="21" t="s">
        <v>157</v>
      </c>
      <c r="C124" s="21" t="s">
        <v>22</v>
      </c>
      <c r="D124" s="23" t="s">
        <v>62</v>
      </c>
      <c r="E124" s="28">
        <f>EDATE(A124,-1)</f>
        <v>45782</v>
      </c>
      <c r="F124" s="28">
        <f t="shared" si="4"/>
        <v>46147</v>
      </c>
      <c r="G124" s="21" t="s">
        <v>108</v>
      </c>
      <c r="H124" s="21" t="str">
        <f>_xlfn.CONCAT("AG",A124 - DATE(YEAR(A124),1,0))</f>
        <v>AG156</v>
      </c>
      <c r="I124" s="26" t="s">
        <v>121</v>
      </c>
      <c r="J124" s="21" t="s">
        <v>116</v>
      </c>
      <c r="K124" s="21" t="s">
        <v>117</v>
      </c>
      <c r="L124" s="21" t="s">
        <v>42</v>
      </c>
      <c r="M124" s="24"/>
      <c r="O124" s="2"/>
    </row>
    <row r="125" spans="1:15" ht="20.100000000000001" customHeight="1" x14ac:dyDescent="0.25">
      <c r="A125" s="20">
        <v>45813</v>
      </c>
      <c r="B125" s="21" t="s">
        <v>145</v>
      </c>
      <c r="C125" s="21" t="s">
        <v>46</v>
      </c>
      <c r="D125" s="23" t="s">
        <v>54</v>
      </c>
      <c r="E125" s="28">
        <f>EDATE(A125,-2)</f>
        <v>45752</v>
      </c>
      <c r="F125" s="28">
        <f t="shared" si="4"/>
        <v>46117</v>
      </c>
      <c r="G125" s="21" t="s">
        <v>108</v>
      </c>
      <c r="H125" s="21" t="str">
        <f>_xlfn.CONCAT("PS",A125 - DATE(YEAR(A125),1,0))</f>
        <v>PS156</v>
      </c>
      <c r="I125" s="34">
        <v>0.29299999999999998</v>
      </c>
      <c r="J125" s="21" t="s">
        <v>116</v>
      </c>
      <c r="K125" s="21" t="s">
        <v>117</v>
      </c>
      <c r="L125" s="17" t="s">
        <v>41</v>
      </c>
      <c r="M125" s="24"/>
      <c r="O125" s="2"/>
    </row>
    <row r="126" spans="1:15" ht="20.100000000000001" customHeight="1" x14ac:dyDescent="0.25">
      <c r="A126" s="20">
        <v>45813</v>
      </c>
      <c r="B126" s="21" t="s">
        <v>118</v>
      </c>
      <c r="C126" s="21" t="s">
        <v>28</v>
      </c>
      <c r="D126" s="19" t="s">
        <v>34</v>
      </c>
      <c r="E126" s="28">
        <f>EDATE(A126,-2)</f>
        <v>45752</v>
      </c>
      <c r="F126" s="28">
        <f t="shared" si="4"/>
        <v>46117</v>
      </c>
      <c r="G126" s="21" t="s">
        <v>108</v>
      </c>
      <c r="H126" s="21" t="str">
        <f>_xlfn.CONCAT("AM",A126 - DATE(YEAR(A126),1,0))</f>
        <v>AM156</v>
      </c>
      <c r="I126" s="21" t="s">
        <v>121</v>
      </c>
      <c r="J126" s="21" t="s">
        <v>116</v>
      </c>
      <c r="K126" s="21" t="s">
        <v>117</v>
      </c>
      <c r="L126" s="17" t="s">
        <v>41</v>
      </c>
      <c r="M126" s="24"/>
      <c r="O126" s="2"/>
    </row>
    <row r="127" spans="1:15" ht="20.100000000000001" customHeight="1" x14ac:dyDescent="0.25">
      <c r="A127" s="20">
        <v>45813</v>
      </c>
      <c r="B127" s="21" t="s">
        <v>145</v>
      </c>
      <c r="C127" s="21" t="s">
        <v>23</v>
      </c>
      <c r="D127" s="23" t="s">
        <v>38</v>
      </c>
      <c r="E127" s="28">
        <f>EDATE(A127,-1)</f>
        <v>45782</v>
      </c>
      <c r="F127" s="28">
        <f t="shared" si="4"/>
        <v>46147</v>
      </c>
      <c r="G127" s="21" t="s">
        <v>108</v>
      </c>
      <c r="H127" s="21" t="str">
        <f>_xlfn.CONCAT("LZ",A127 - DATE(YEAR(A127),1,0))</f>
        <v>LZ156</v>
      </c>
      <c r="I127" s="34">
        <v>8.1000000000000003E-2</v>
      </c>
      <c r="J127" s="21" t="s">
        <v>116</v>
      </c>
      <c r="K127" s="21" t="s">
        <v>117</v>
      </c>
      <c r="L127" s="17" t="s">
        <v>41</v>
      </c>
      <c r="M127" s="24"/>
      <c r="O127" s="2"/>
    </row>
    <row r="128" spans="1:15" ht="20.100000000000001" customHeight="1" x14ac:dyDescent="0.25">
      <c r="A128" s="20">
        <v>45813</v>
      </c>
      <c r="B128" s="21" t="s">
        <v>145</v>
      </c>
      <c r="C128" s="21" t="s">
        <v>24</v>
      </c>
      <c r="D128" s="23" t="s">
        <v>38</v>
      </c>
      <c r="E128" s="28">
        <f>EDATE(A128,-1)</f>
        <v>45782</v>
      </c>
      <c r="F128" s="28">
        <f t="shared" si="4"/>
        <v>46147</v>
      </c>
      <c r="G128" s="21" t="s">
        <v>108</v>
      </c>
      <c r="H128" s="21" t="str">
        <f>_xlfn.CONCAT("AJ",A128 - DATE(YEAR(A128),1,0))</f>
        <v>AJ156</v>
      </c>
      <c r="I128" s="34">
        <v>0.42899999999999999</v>
      </c>
      <c r="J128" s="21" t="s">
        <v>116</v>
      </c>
      <c r="K128" s="21" t="s">
        <v>117</v>
      </c>
      <c r="L128" s="17" t="s">
        <v>41</v>
      </c>
      <c r="M128" s="24"/>
      <c r="O128" s="2"/>
    </row>
    <row r="129" spans="1:15" ht="20.100000000000001" customHeight="1" x14ac:dyDescent="0.25">
      <c r="A129" s="20">
        <v>45813</v>
      </c>
      <c r="B129" s="21" t="s">
        <v>120</v>
      </c>
      <c r="C129" s="21" t="s">
        <v>25</v>
      </c>
      <c r="D129" s="23" t="s">
        <v>38</v>
      </c>
      <c r="E129" s="28">
        <f>EDATE(A129,-4)</f>
        <v>45693</v>
      </c>
      <c r="F129" s="28">
        <f>EDATE(E129,24)</f>
        <v>46423</v>
      </c>
      <c r="G129" s="21" t="s">
        <v>108</v>
      </c>
      <c r="H129" s="21" t="str">
        <f>_xlfn.CONCAT("SP",A129 - DATE(YEAR(A129),1,0))</f>
        <v>SP156</v>
      </c>
      <c r="I129" s="21" t="s">
        <v>121</v>
      </c>
      <c r="J129" s="21" t="s">
        <v>116</v>
      </c>
      <c r="K129" s="21" t="s">
        <v>117</v>
      </c>
      <c r="L129" s="21" t="s">
        <v>42</v>
      </c>
      <c r="M129" s="24"/>
      <c r="O129" s="2"/>
    </row>
    <row r="130" spans="1:15" ht="20.100000000000001" customHeight="1" x14ac:dyDescent="0.25">
      <c r="A130" s="20">
        <v>45815</v>
      </c>
      <c r="B130" s="21" t="s">
        <v>118</v>
      </c>
      <c r="C130" s="21" t="s">
        <v>20</v>
      </c>
      <c r="D130" s="19" t="s">
        <v>177</v>
      </c>
      <c r="E130" s="28">
        <f>EDATE(A130,-1)</f>
        <v>45784</v>
      </c>
      <c r="F130" s="28">
        <f>EDATE(E130,8)</f>
        <v>46029</v>
      </c>
      <c r="G130" s="21" t="s">
        <v>108</v>
      </c>
      <c r="H130" s="21" t="str">
        <f>_xlfn.CONCAT("MC",A130 - DATE(YEAR(A130),1,0))</f>
        <v>MC158</v>
      </c>
      <c r="I130" s="35">
        <v>3.5200000000000002E-2</v>
      </c>
      <c r="J130" s="21" t="s">
        <v>116</v>
      </c>
      <c r="K130" s="21" t="s">
        <v>117</v>
      </c>
      <c r="L130" s="17" t="s">
        <v>41</v>
      </c>
      <c r="M130" s="24"/>
      <c r="O130" s="2"/>
    </row>
    <row r="131" spans="1:15" ht="20.100000000000001" customHeight="1" x14ac:dyDescent="0.25">
      <c r="A131" s="20">
        <v>45815</v>
      </c>
      <c r="B131" s="21" t="s">
        <v>145</v>
      </c>
      <c r="C131" s="21" t="s">
        <v>69</v>
      </c>
      <c r="D131" s="19" t="s">
        <v>81</v>
      </c>
      <c r="E131" s="28">
        <f>EDATE(A131,-4)</f>
        <v>45695</v>
      </c>
      <c r="F131" s="28">
        <f>EDATE(E131,24)</f>
        <v>46425</v>
      </c>
      <c r="G131" s="21" t="s">
        <v>108</v>
      </c>
      <c r="H131" s="21" t="str">
        <f>_xlfn.CONCAT("CG",A131 - DATE(YEAR(A131),1,0))</f>
        <v>CG158</v>
      </c>
      <c r="I131" s="35">
        <v>0.11260000000000001</v>
      </c>
      <c r="J131" s="21" t="s">
        <v>116</v>
      </c>
      <c r="K131" s="21" t="s">
        <v>117</v>
      </c>
      <c r="L131" s="21" t="s">
        <v>40</v>
      </c>
      <c r="M131" s="24"/>
      <c r="O131" s="2"/>
    </row>
    <row r="132" spans="1:15" ht="20.100000000000001" customHeight="1" x14ac:dyDescent="0.25">
      <c r="A132" s="20">
        <v>45815</v>
      </c>
      <c r="B132" s="21" t="s">
        <v>145</v>
      </c>
      <c r="C132" s="21" t="s">
        <v>21</v>
      </c>
      <c r="D132" s="19" t="s">
        <v>35</v>
      </c>
      <c r="E132" s="28">
        <f>EDATE(A132,-1)</f>
        <v>45784</v>
      </c>
      <c r="F132" s="28">
        <f>EDATE(E132,12)</f>
        <v>46149</v>
      </c>
      <c r="G132" s="21" t="s">
        <v>108</v>
      </c>
      <c r="H132" s="21" t="str">
        <f>_xlfn.CONCAT("ÑG",A132 - DATE(YEAR(A132),1,0))</f>
        <v>ÑG158</v>
      </c>
      <c r="I132" s="35">
        <v>0.1162</v>
      </c>
      <c r="J132" s="21" t="s">
        <v>116</v>
      </c>
      <c r="K132" s="21" t="s">
        <v>117</v>
      </c>
      <c r="L132" s="17" t="s">
        <v>41</v>
      </c>
      <c r="M132" s="24"/>
      <c r="O132" s="2"/>
    </row>
    <row r="133" spans="1:15" ht="20.100000000000001" customHeight="1" x14ac:dyDescent="0.25">
      <c r="A133" s="20">
        <v>45815</v>
      </c>
      <c r="B133" s="21" t="s">
        <v>155</v>
      </c>
      <c r="C133" s="21" t="s">
        <v>59</v>
      </c>
      <c r="D133" s="23" t="s">
        <v>63</v>
      </c>
      <c r="E133" s="28">
        <f>EDATE(A133,0)</f>
        <v>45815</v>
      </c>
      <c r="F133" s="28">
        <f>EDATE(E133,6)</f>
        <v>45998</v>
      </c>
      <c r="G133" s="21" t="s">
        <v>108</v>
      </c>
      <c r="H133" s="21" t="str">
        <f>_xlfn.CONCAT("TW",A133 - DATE(YEAR(A133),1,0))</f>
        <v>TW158</v>
      </c>
      <c r="I133" s="35">
        <v>6.0499999999999998E-2</v>
      </c>
      <c r="J133" s="21" t="s">
        <v>116</v>
      </c>
      <c r="K133" s="21" t="s">
        <v>117</v>
      </c>
      <c r="L133" s="17" t="s">
        <v>41</v>
      </c>
      <c r="M133" s="24"/>
      <c r="O133" s="2"/>
    </row>
    <row r="134" spans="1:15" ht="20.100000000000001" customHeight="1" x14ac:dyDescent="0.25">
      <c r="A134" s="20">
        <v>45815</v>
      </c>
      <c r="B134" s="21" t="s">
        <v>145</v>
      </c>
      <c r="C134" s="21" t="s">
        <v>60</v>
      </c>
      <c r="D134" s="23" t="s">
        <v>38</v>
      </c>
      <c r="E134" s="28">
        <f>EDATE(A134,-2)</f>
        <v>45754</v>
      </c>
      <c r="F134" s="28">
        <f>EDATE(E134,12)</f>
        <v>46119</v>
      </c>
      <c r="G134" s="21" t="s">
        <v>108</v>
      </c>
      <c r="H134" s="21" t="str">
        <f>_xlfn.CONCAT("GZ",A134 - DATE(YEAR(A134),1,0))</f>
        <v>GZ158</v>
      </c>
      <c r="I134" s="35">
        <v>0.10979999999999999</v>
      </c>
      <c r="J134" s="21" t="s">
        <v>116</v>
      </c>
      <c r="K134" s="21" t="s">
        <v>117</v>
      </c>
      <c r="L134" s="17" t="s">
        <v>41</v>
      </c>
      <c r="M134" s="24"/>
      <c r="O134" s="2"/>
    </row>
    <row r="135" spans="1:15" ht="20.100000000000001" customHeight="1" x14ac:dyDescent="0.25">
      <c r="A135" s="6">
        <v>45834</v>
      </c>
      <c r="B135" s="7" t="s">
        <v>111</v>
      </c>
      <c r="C135" s="7" t="s">
        <v>15</v>
      </c>
      <c r="D135" s="12" t="s">
        <v>82</v>
      </c>
      <c r="E135" s="27">
        <v>45658</v>
      </c>
      <c r="F135" s="27">
        <v>46023</v>
      </c>
      <c r="G135" s="7" t="s">
        <v>113</v>
      </c>
      <c r="H135" s="7" t="str">
        <f>_xlfn.CONCAT("AP",A135 - DATE(YEAR(A135),1,0))</f>
        <v>AP177</v>
      </c>
      <c r="I135" s="31">
        <v>0.10199999999999999</v>
      </c>
      <c r="J135" s="7" t="s">
        <v>112</v>
      </c>
      <c r="K135" s="7" t="s">
        <v>117</v>
      </c>
      <c r="L135" s="10" t="s">
        <v>41</v>
      </c>
      <c r="M135" s="15"/>
      <c r="O135" s="2"/>
    </row>
    <row r="136" spans="1:15" ht="20.100000000000001" customHeight="1" x14ac:dyDescent="0.25">
      <c r="A136" s="6">
        <v>45836</v>
      </c>
      <c r="B136" s="7" t="s">
        <v>115</v>
      </c>
      <c r="C136" s="11" t="s">
        <v>88</v>
      </c>
      <c r="D136" s="12" t="s">
        <v>104</v>
      </c>
      <c r="E136" s="27">
        <f>EDATE(A136,-2)</f>
        <v>45775</v>
      </c>
      <c r="F136" s="27">
        <f>EDATE(E136,18)</f>
        <v>46323</v>
      </c>
      <c r="G136" s="7" t="s">
        <v>108</v>
      </c>
      <c r="H136" s="7" t="str">
        <f>_xlfn.CONCAT("QT",A136 - DATE(YEAR(A136),1,0))</f>
        <v>QT179</v>
      </c>
      <c r="I136" s="36">
        <v>0.12189999999999999</v>
      </c>
      <c r="J136" s="7" t="s">
        <v>116</v>
      </c>
      <c r="K136" s="7" t="s">
        <v>117</v>
      </c>
      <c r="L136" s="10" t="s">
        <v>41</v>
      </c>
      <c r="M136" s="15"/>
      <c r="O136" s="2"/>
    </row>
    <row r="137" spans="1:15" ht="20.100000000000001" customHeight="1" x14ac:dyDescent="0.25">
      <c r="A137" s="6">
        <v>45836</v>
      </c>
      <c r="B137" s="7" t="s">
        <v>115</v>
      </c>
      <c r="C137" s="11" t="s">
        <v>87</v>
      </c>
      <c r="D137" s="12" t="s">
        <v>105</v>
      </c>
      <c r="E137" s="27">
        <f>EDATE(A137,-2)</f>
        <v>45775</v>
      </c>
      <c r="F137" s="27">
        <f>EDATE(E137,18)</f>
        <v>46323</v>
      </c>
      <c r="G137" s="7" t="s">
        <v>108</v>
      </c>
      <c r="H137" s="7" t="str">
        <f>_xlfn.CONCAT("KT",A137 - DATE(YEAR(A137),1,0))</f>
        <v>KT179</v>
      </c>
      <c r="I137" s="36">
        <v>6.5100000000000005E-2</v>
      </c>
      <c r="J137" s="7" t="s">
        <v>116</v>
      </c>
      <c r="K137" s="7" t="s">
        <v>117</v>
      </c>
      <c r="L137" s="10" t="s">
        <v>41</v>
      </c>
      <c r="M137" s="15"/>
      <c r="O137" s="2"/>
    </row>
    <row r="138" spans="1:15" ht="20.100000000000001" customHeight="1" x14ac:dyDescent="0.25">
      <c r="A138" s="6">
        <v>45836</v>
      </c>
      <c r="B138" s="7" t="s">
        <v>120</v>
      </c>
      <c r="C138" s="7" t="s">
        <v>26</v>
      </c>
      <c r="D138" s="12" t="s">
        <v>84</v>
      </c>
      <c r="E138" s="27">
        <f>EDATE(A138,-14)</f>
        <v>45410</v>
      </c>
      <c r="F138" s="27">
        <f>EDATE(E138,24)</f>
        <v>46140</v>
      </c>
      <c r="G138" s="7" t="s">
        <v>128</v>
      </c>
      <c r="H138" s="7" t="str">
        <f>_xlfn.CONCAT("FT",A138 - DATE(YEAR(A138),1,0))</f>
        <v>FT179</v>
      </c>
      <c r="I138" s="25" t="s">
        <v>121</v>
      </c>
      <c r="J138" s="7" t="s">
        <v>112</v>
      </c>
      <c r="K138" s="7" t="s">
        <v>117</v>
      </c>
      <c r="L138" s="7" t="s">
        <v>42</v>
      </c>
      <c r="M138" s="15"/>
      <c r="O138" s="2"/>
    </row>
    <row r="139" spans="1:15" ht="20.100000000000001" customHeight="1" x14ac:dyDescent="0.25">
      <c r="A139" s="6">
        <v>45836</v>
      </c>
      <c r="B139" s="7" t="s">
        <v>120</v>
      </c>
      <c r="C139" s="7" t="s">
        <v>27</v>
      </c>
      <c r="D139" s="12" t="s">
        <v>79</v>
      </c>
      <c r="E139" s="27">
        <f>EDATE(A139,-3)</f>
        <v>45744</v>
      </c>
      <c r="F139" s="27">
        <f>EDATE(E139,18)</f>
        <v>46293</v>
      </c>
      <c r="G139" s="7" t="s">
        <v>140</v>
      </c>
      <c r="H139" s="7" t="str">
        <f>_xlfn.CONCAT("MV",A139 - DATE(YEAR(A139),1,0))</f>
        <v>MV179</v>
      </c>
      <c r="I139" s="7" t="s">
        <v>121</v>
      </c>
      <c r="J139" s="7" t="s">
        <v>112</v>
      </c>
      <c r="K139" s="7" t="s">
        <v>117</v>
      </c>
      <c r="L139" s="7" t="s">
        <v>42</v>
      </c>
      <c r="M139" s="15"/>
      <c r="O139" s="2"/>
    </row>
    <row r="140" spans="1:15" ht="20.100000000000001" customHeight="1" x14ac:dyDescent="0.25">
      <c r="A140" s="6">
        <v>45838</v>
      </c>
      <c r="B140" s="7" t="s">
        <v>119</v>
      </c>
      <c r="C140" s="7" t="s">
        <v>18</v>
      </c>
      <c r="D140" s="12" t="s">
        <v>29</v>
      </c>
      <c r="E140" s="27">
        <f>EDATE(A140,-1)</f>
        <v>45807</v>
      </c>
      <c r="F140" s="27">
        <f>EDATE(E140,12)</f>
        <v>46172</v>
      </c>
      <c r="G140" s="7" t="s">
        <v>108</v>
      </c>
      <c r="H140" s="7" t="str">
        <f>_xlfn.CONCAT("SG",A140 - DATE(YEAR(A140),1,0))</f>
        <v>SG181</v>
      </c>
      <c r="I140" s="38">
        <v>9.8000000000000004E-2</v>
      </c>
      <c r="J140" s="7" t="s">
        <v>116</v>
      </c>
      <c r="K140" s="7" t="s">
        <v>117</v>
      </c>
      <c r="L140" s="10" t="s">
        <v>41</v>
      </c>
      <c r="M140" s="15"/>
      <c r="O140" s="2"/>
    </row>
    <row r="141" spans="1:15" ht="20.100000000000001" customHeight="1" x14ac:dyDescent="0.25">
      <c r="A141" s="6">
        <v>45838</v>
      </c>
      <c r="B141" s="7" t="s">
        <v>157</v>
      </c>
      <c r="C141" s="7" t="s">
        <v>22</v>
      </c>
      <c r="D141" s="9" t="s">
        <v>83</v>
      </c>
      <c r="E141" s="27">
        <f>EDATE(A141,-1)</f>
        <v>45807</v>
      </c>
      <c r="F141" s="27">
        <f>EDATE(E141,12)</f>
        <v>46172</v>
      </c>
      <c r="G141" s="7" t="s">
        <v>108</v>
      </c>
      <c r="H141" s="7" t="str">
        <f>_xlfn.CONCAT("AG",A141 - DATE(YEAR(A141),1,0))</f>
        <v>AG181</v>
      </c>
      <c r="I141" s="25" t="s">
        <v>121</v>
      </c>
      <c r="J141" s="7" t="s">
        <v>116</v>
      </c>
      <c r="K141" s="7" t="s">
        <v>117</v>
      </c>
      <c r="L141" s="7" t="s">
        <v>42</v>
      </c>
      <c r="M141" s="15"/>
      <c r="O141" s="2"/>
    </row>
    <row r="142" spans="1:15" ht="20.100000000000001" customHeight="1" x14ac:dyDescent="0.25">
      <c r="A142" s="6">
        <v>45838</v>
      </c>
      <c r="B142" s="7" t="s">
        <v>147</v>
      </c>
      <c r="C142" s="7" t="s">
        <v>45</v>
      </c>
      <c r="D142" s="12" t="s">
        <v>34</v>
      </c>
      <c r="E142" s="27">
        <f>EDATE(A142,-13)</f>
        <v>45442</v>
      </c>
      <c r="F142" s="27">
        <f>EDATE(E142,24)</f>
        <v>46172</v>
      </c>
      <c r="G142" s="7" t="s">
        <v>154</v>
      </c>
      <c r="H142" s="7" t="str">
        <f>_xlfn.CONCAT("LP",A142 - DATE(YEAR(A142),1,0))</f>
        <v>LP181</v>
      </c>
      <c r="I142" s="25" t="s">
        <v>121</v>
      </c>
      <c r="J142" s="7" t="s">
        <v>112</v>
      </c>
      <c r="K142" s="7" t="s">
        <v>117</v>
      </c>
      <c r="L142" s="7" t="s">
        <v>42</v>
      </c>
      <c r="M142" s="15"/>
      <c r="O142" s="2"/>
    </row>
    <row r="143" spans="1:15" ht="20.100000000000001" customHeight="1" x14ac:dyDescent="0.25">
      <c r="A143" s="6">
        <v>45842</v>
      </c>
      <c r="B143" s="7" t="s">
        <v>115</v>
      </c>
      <c r="C143" s="7" t="s">
        <v>16</v>
      </c>
      <c r="D143" s="12" t="s">
        <v>106</v>
      </c>
      <c r="E143" s="27">
        <f>EDATE(A143,-2)</f>
        <v>45781</v>
      </c>
      <c r="F143" s="27">
        <f>EDATE(E143,18)</f>
        <v>46330</v>
      </c>
      <c r="G143" s="7" t="s">
        <v>108</v>
      </c>
      <c r="H143" s="7" t="str">
        <f>_xlfn.CONCAT("QD",A143 - DATE(YEAR(A143),1,0))</f>
        <v>QD185</v>
      </c>
      <c r="I143" s="36">
        <v>0.1187</v>
      </c>
      <c r="J143" s="7" t="s">
        <v>116</v>
      </c>
      <c r="K143" s="7" t="s">
        <v>117</v>
      </c>
      <c r="L143" s="10" t="s">
        <v>41</v>
      </c>
      <c r="M143" s="15"/>
      <c r="O143" s="2"/>
    </row>
    <row r="144" spans="1:15" ht="20.100000000000001" customHeight="1" x14ac:dyDescent="0.25">
      <c r="A144" s="6">
        <v>45842</v>
      </c>
      <c r="B144" s="7" t="s">
        <v>115</v>
      </c>
      <c r="C144" s="7" t="s">
        <v>17</v>
      </c>
      <c r="D144" s="12" t="s">
        <v>107</v>
      </c>
      <c r="E144" s="27">
        <f>EDATE(A144,-2)</f>
        <v>45781</v>
      </c>
      <c r="F144" s="27">
        <f>EDATE(E144,18)</f>
        <v>46330</v>
      </c>
      <c r="G144" s="7" t="s">
        <v>108</v>
      </c>
      <c r="H144" s="7" t="str">
        <f>_xlfn.CONCAT("KG",A144 - DATE(YEAR(A144),1,0))</f>
        <v>KG185</v>
      </c>
      <c r="I144" s="36">
        <v>0.11849999999999999</v>
      </c>
      <c r="J144" s="7" t="s">
        <v>116</v>
      </c>
      <c r="K144" s="7" t="s">
        <v>117</v>
      </c>
      <c r="L144" s="10" t="s">
        <v>41</v>
      </c>
      <c r="M144" s="15"/>
      <c r="O144" s="2"/>
    </row>
    <row r="145" spans="1:15" ht="20.100000000000001" customHeight="1" x14ac:dyDescent="0.25">
      <c r="A145" s="6">
        <v>45843</v>
      </c>
      <c r="B145" s="7" t="s">
        <v>156</v>
      </c>
      <c r="C145" s="7" t="s">
        <v>43</v>
      </c>
      <c r="D145" s="9" t="s">
        <v>72</v>
      </c>
      <c r="E145" s="27">
        <f>EDATE(A145,-1)</f>
        <v>45813</v>
      </c>
      <c r="F145" s="27">
        <f>EDATE(E145,24)</f>
        <v>46543</v>
      </c>
      <c r="G145" s="7" t="s">
        <v>163</v>
      </c>
      <c r="H145" s="7" t="str">
        <f>_xlfn.CONCAT("AR",A145 - DATE(YEAR(A145),1,0))</f>
        <v>AR186</v>
      </c>
      <c r="I145" s="37">
        <v>6.9999999999999999E-4</v>
      </c>
      <c r="J145" s="7" t="s">
        <v>112</v>
      </c>
      <c r="K145" s="7" t="s">
        <v>117</v>
      </c>
      <c r="L145" s="10" t="s">
        <v>41</v>
      </c>
      <c r="M145" s="15"/>
      <c r="O145" s="2"/>
    </row>
    <row r="146" spans="1:15" ht="20.100000000000001" customHeight="1" x14ac:dyDescent="0.25">
      <c r="A146" s="6">
        <v>45843</v>
      </c>
      <c r="B146" s="7" t="s">
        <v>145</v>
      </c>
      <c r="C146" s="7" t="s">
        <v>44</v>
      </c>
      <c r="D146" s="9" t="s">
        <v>52</v>
      </c>
      <c r="E146" s="27">
        <f>EDATE(A146,-1)</f>
        <v>45813</v>
      </c>
      <c r="F146" s="27">
        <f>EDATE(E146,12)</f>
        <v>46178</v>
      </c>
      <c r="G146" s="7" t="s">
        <v>108</v>
      </c>
      <c r="H146" s="7" t="str">
        <f>_xlfn.CONCAT("MG",A146 - DATE(YEAR(A146),1,0))</f>
        <v>MG186</v>
      </c>
      <c r="I146" s="37">
        <v>0.1205</v>
      </c>
      <c r="J146" s="7" t="s">
        <v>116</v>
      </c>
      <c r="K146" s="7" t="s">
        <v>117</v>
      </c>
      <c r="L146" s="10" t="s">
        <v>41</v>
      </c>
      <c r="M146" s="15"/>
      <c r="O146" s="2"/>
    </row>
    <row r="147" spans="1:15" ht="20.100000000000001" customHeight="1" x14ac:dyDescent="0.25">
      <c r="A147" s="6">
        <v>45843</v>
      </c>
      <c r="B147" s="7" t="s">
        <v>145</v>
      </c>
      <c r="C147" s="7" t="s">
        <v>46</v>
      </c>
      <c r="D147" s="9" t="s">
        <v>54</v>
      </c>
      <c r="E147" s="27">
        <f>EDATE(A147,-2)</f>
        <v>45782</v>
      </c>
      <c r="F147" s="27">
        <f>EDATE(E147,12)</f>
        <v>46147</v>
      </c>
      <c r="G147" s="7" t="s">
        <v>108</v>
      </c>
      <c r="H147" s="7" t="str">
        <f>_xlfn.CONCAT("PS",A147 - DATE(YEAR(A147),1,0))</f>
        <v>PS186</v>
      </c>
      <c r="I147" s="38">
        <v>0.26500000000000001</v>
      </c>
      <c r="J147" s="7" t="s">
        <v>116</v>
      </c>
      <c r="K147" s="7" t="s">
        <v>117</v>
      </c>
      <c r="L147" s="10" t="s">
        <v>41</v>
      </c>
      <c r="M147" s="15"/>
      <c r="O147" s="2"/>
    </row>
    <row r="148" spans="1:15" ht="20.100000000000001" customHeight="1" x14ac:dyDescent="0.25">
      <c r="A148" s="6">
        <v>45843</v>
      </c>
      <c r="B148" s="7" t="s">
        <v>118</v>
      </c>
      <c r="C148" s="7" t="s">
        <v>28</v>
      </c>
      <c r="D148" s="9" t="s">
        <v>54</v>
      </c>
      <c r="E148" s="27">
        <f>EDATE(A148,-2)</f>
        <v>45782</v>
      </c>
      <c r="F148" s="27">
        <f>EDATE(E148,12)</f>
        <v>46147</v>
      </c>
      <c r="G148" s="7" t="s">
        <v>108</v>
      </c>
      <c r="H148" s="7" t="str">
        <f>_xlfn.CONCAT("AM",A148 - DATE(YEAR(A148),1,0))</f>
        <v>AM186</v>
      </c>
      <c r="I148" s="7" t="s">
        <v>121</v>
      </c>
      <c r="J148" s="7" t="s">
        <v>116</v>
      </c>
      <c r="K148" s="7" t="s">
        <v>117</v>
      </c>
      <c r="L148" s="10" t="s">
        <v>41</v>
      </c>
      <c r="M148" s="15"/>
      <c r="O148" s="2"/>
    </row>
    <row r="149" spans="1:15" ht="20.100000000000001" customHeight="1" x14ac:dyDescent="0.25">
      <c r="A149" s="6">
        <v>45845</v>
      </c>
      <c r="B149" s="7" t="s">
        <v>115</v>
      </c>
      <c r="C149" s="7" t="s">
        <v>85</v>
      </c>
      <c r="D149" s="9" t="s">
        <v>86</v>
      </c>
      <c r="E149" s="27">
        <f>EDATE(A149,-2)</f>
        <v>45784</v>
      </c>
      <c r="F149" s="27">
        <f>EDATE(E149,18)</f>
        <v>46333</v>
      </c>
      <c r="G149" s="7" t="s">
        <v>108</v>
      </c>
      <c r="H149" s="7" t="str">
        <f>_xlfn.CONCAT("QG",A149 - DATE(YEAR(A149),1,0))</f>
        <v>QG188</v>
      </c>
      <c r="I149" s="36">
        <v>0.1245</v>
      </c>
      <c r="J149" s="7" t="s">
        <v>116</v>
      </c>
      <c r="K149" s="7" t="s">
        <v>117</v>
      </c>
      <c r="L149" s="10" t="s">
        <v>41</v>
      </c>
      <c r="M149" s="15"/>
      <c r="O149" s="2"/>
    </row>
    <row r="150" spans="1:15" ht="20.100000000000001" customHeight="1" x14ac:dyDescent="0.25">
      <c r="A150" s="6">
        <v>45845</v>
      </c>
      <c r="B150" s="7" t="s">
        <v>118</v>
      </c>
      <c r="C150" s="7" t="s">
        <v>19</v>
      </c>
      <c r="D150" s="12" t="s">
        <v>175</v>
      </c>
      <c r="E150" s="27">
        <f>EDATE(A150,-1)</f>
        <v>45815</v>
      </c>
      <c r="F150" s="27">
        <f>EDATE(E150,8)</f>
        <v>46060</v>
      </c>
      <c r="G150" s="7" t="s">
        <v>108</v>
      </c>
      <c r="H150" s="7" t="str">
        <f>_xlfn.CONCAT("MD",A150 - DATE(YEAR(A150),1,0))</f>
        <v>MD188</v>
      </c>
      <c r="I150" s="36">
        <v>7.1300000000000002E-2</v>
      </c>
      <c r="J150" s="7" t="s">
        <v>116</v>
      </c>
      <c r="K150" s="7" t="s">
        <v>117</v>
      </c>
      <c r="L150" s="10" t="s">
        <v>41</v>
      </c>
      <c r="M150" s="15"/>
      <c r="O150" s="2"/>
    </row>
    <row r="151" spans="1:15" ht="20.100000000000001" customHeight="1" x14ac:dyDescent="0.25">
      <c r="A151" s="6">
        <v>45845</v>
      </c>
      <c r="B151" s="7" t="s">
        <v>118</v>
      </c>
      <c r="C151" s="7" t="s">
        <v>20</v>
      </c>
      <c r="D151" s="12" t="s">
        <v>177</v>
      </c>
      <c r="E151" s="27">
        <f>EDATE(A151,-1)</f>
        <v>45815</v>
      </c>
      <c r="F151" s="27">
        <f>EDATE(E151,8)</f>
        <v>46060</v>
      </c>
      <c r="G151" s="7" t="s">
        <v>108</v>
      </c>
      <c r="H151" s="7" t="str">
        <f>_xlfn.CONCAT("MC",A151 - DATE(YEAR(A151),1,0))</f>
        <v>MC188</v>
      </c>
      <c r="I151" s="36">
        <v>0.61880000000000002</v>
      </c>
      <c r="J151" s="7" t="s">
        <v>116</v>
      </c>
      <c r="K151" s="7" t="s">
        <v>117</v>
      </c>
      <c r="L151" s="10" t="s">
        <v>41</v>
      </c>
      <c r="M151" s="15"/>
      <c r="O151" s="2"/>
    </row>
    <row r="152" spans="1:15" ht="20.100000000000001" customHeight="1" x14ac:dyDescent="0.25">
      <c r="A152" s="6">
        <v>45845</v>
      </c>
      <c r="B152" s="7" t="s">
        <v>145</v>
      </c>
      <c r="C152" s="7" t="s">
        <v>23</v>
      </c>
      <c r="D152" s="9" t="s">
        <v>38</v>
      </c>
      <c r="E152" s="27">
        <f>EDATE(A152,-1)</f>
        <v>45815</v>
      </c>
      <c r="F152" s="27">
        <f>EDATE(E152,12)</f>
        <v>46180</v>
      </c>
      <c r="G152" s="7" t="s">
        <v>108</v>
      </c>
      <c r="H152" s="7" t="str">
        <f>_xlfn.CONCAT("LZ",A152 - DATE(YEAR(A152),1,0))</f>
        <v>LZ188</v>
      </c>
      <c r="I152" s="36">
        <v>6.9199999999999998E-2</v>
      </c>
      <c r="J152" s="7" t="s">
        <v>116</v>
      </c>
      <c r="K152" s="7" t="s">
        <v>117</v>
      </c>
      <c r="L152" s="10" t="s">
        <v>41</v>
      </c>
      <c r="M152" s="15"/>
      <c r="O152" s="2"/>
    </row>
    <row r="153" spans="1:15" ht="20.100000000000001" customHeight="1" x14ac:dyDescent="0.25">
      <c r="A153" s="6">
        <v>45845</v>
      </c>
      <c r="B153" s="7" t="s">
        <v>145</v>
      </c>
      <c r="C153" s="7" t="s">
        <v>24</v>
      </c>
      <c r="D153" s="9" t="s">
        <v>38</v>
      </c>
      <c r="E153" s="27">
        <f>EDATE(A153,-1)</f>
        <v>45815</v>
      </c>
      <c r="F153" s="27">
        <f>EDATE(E153,12)</f>
        <v>46180</v>
      </c>
      <c r="G153" s="7" t="s">
        <v>108</v>
      </c>
      <c r="H153" s="7" t="str">
        <f>_xlfn.CONCAT("AJ",A153 - DATE(YEAR(A153),1,0))</f>
        <v>AJ188</v>
      </c>
      <c r="I153" s="36">
        <v>8.9899999999999994E-2</v>
      </c>
      <c r="J153" s="7" t="s">
        <v>116</v>
      </c>
      <c r="K153" s="7" t="s">
        <v>117</v>
      </c>
      <c r="L153" s="10" t="s">
        <v>41</v>
      </c>
      <c r="M153" s="15"/>
      <c r="O153" s="2"/>
    </row>
    <row r="154" spans="1:15" ht="20.100000000000001" customHeight="1" x14ac:dyDescent="0.25">
      <c r="A154" s="6">
        <v>45845</v>
      </c>
      <c r="B154" s="7" t="s">
        <v>120</v>
      </c>
      <c r="C154" s="7" t="s">
        <v>25</v>
      </c>
      <c r="D154" s="9" t="s">
        <v>38</v>
      </c>
      <c r="E154" s="27">
        <f>EDATE(A154,-4)</f>
        <v>45723</v>
      </c>
      <c r="F154" s="27">
        <f>EDATE(E154,24)</f>
        <v>46453</v>
      </c>
      <c r="G154" s="7" t="s">
        <v>108</v>
      </c>
      <c r="H154" s="7" t="str">
        <f>_xlfn.CONCAT("SP",A154 - DATE(YEAR(A154),1,0))</f>
        <v>SP188</v>
      </c>
      <c r="I154" s="7" t="s">
        <v>121</v>
      </c>
      <c r="J154" s="7" t="s">
        <v>116</v>
      </c>
      <c r="K154" s="7" t="s">
        <v>117</v>
      </c>
      <c r="L154" s="7" t="s">
        <v>42</v>
      </c>
      <c r="M154" s="15"/>
      <c r="O154" s="2"/>
    </row>
    <row r="155" spans="1:15" ht="20.100000000000001" customHeight="1" x14ac:dyDescent="0.25">
      <c r="A155" s="6">
        <v>45847</v>
      </c>
      <c r="B155" s="7" t="s">
        <v>145</v>
      </c>
      <c r="C155" s="7" t="s">
        <v>69</v>
      </c>
      <c r="D155" s="12" t="s">
        <v>81</v>
      </c>
      <c r="E155" s="27">
        <f>EDATE(A155,-4)</f>
        <v>45725</v>
      </c>
      <c r="F155" s="27">
        <f>EDATE(E155,24)</f>
        <v>46455</v>
      </c>
      <c r="G155" s="7" t="s">
        <v>108</v>
      </c>
      <c r="H155" s="7" t="str">
        <f>_xlfn.CONCAT("CG",A155 - DATE(YEAR(A155),1,0))</f>
        <v>CG190</v>
      </c>
      <c r="I155" s="36">
        <v>0.1111</v>
      </c>
      <c r="J155" s="7" t="s">
        <v>116</v>
      </c>
      <c r="K155" s="7" t="s">
        <v>117</v>
      </c>
      <c r="L155" s="7" t="s">
        <v>40</v>
      </c>
      <c r="M155" s="15"/>
      <c r="O155" s="2"/>
    </row>
    <row r="156" spans="1:15" ht="20.100000000000001" customHeight="1" x14ac:dyDescent="0.25">
      <c r="A156" s="20">
        <v>45866</v>
      </c>
      <c r="B156" s="21" t="s">
        <v>110</v>
      </c>
      <c r="C156" s="21" t="s">
        <v>15</v>
      </c>
      <c r="D156" s="19" t="s">
        <v>164</v>
      </c>
      <c r="E156" s="28">
        <v>45809</v>
      </c>
      <c r="F156" s="28">
        <v>46174</v>
      </c>
      <c r="G156" s="21" t="s">
        <v>170</v>
      </c>
      <c r="H156" s="21" t="str">
        <f>_xlfn.CONCAT("AP",A156 - DATE(YEAR(A156),1,0))</f>
        <v>AP209</v>
      </c>
      <c r="I156" s="32">
        <v>9.1600000000000001E-2</v>
      </c>
      <c r="J156" s="21" t="s">
        <v>112</v>
      </c>
      <c r="K156" s="21" t="s">
        <v>117</v>
      </c>
      <c r="L156" s="17" t="s">
        <v>41</v>
      </c>
      <c r="M156" s="24"/>
    </row>
    <row r="157" spans="1:15" ht="20.100000000000001" customHeight="1" x14ac:dyDescent="0.25">
      <c r="A157" s="20">
        <v>45866</v>
      </c>
      <c r="B157" s="21" t="s">
        <v>145</v>
      </c>
      <c r="C157" s="21" t="s">
        <v>44</v>
      </c>
      <c r="D157" s="23" t="s">
        <v>52</v>
      </c>
      <c r="E157" s="28">
        <f>EDATE(A157,-1)</f>
        <v>45836</v>
      </c>
      <c r="F157" s="28">
        <f>EDATE(E157,12)</f>
        <v>46201</v>
      </c>
      <c r="G157" s="21" t="s">
        <v>108</v>
      </c>
      <c r="H157" s="21" t="str">
        <f>_xlfn.CONCAT("MG",A157 - DATE(YEAR(A157),1,0))</f>
        <v>MG209</v>
      </c>
      <c r="I157" s="35">
        <v>0.1208</v>
      </c>
      <c r="J157" s="21" t="s">
        <v>116</v>
      </c>
      <c r="K157" s="21" t="s">
        <v>117</v>
      </c>
      <c r="L157" s="17" t="s">
        <v>41</v>
      </c>
      <c r="M157" s="24"/>
    </row>
    <row r="158" spans="1:15" ht="20.100000000000001" customHeight="1" x14ac:dyDescent="0.25">
      <c r="A158" s="20">
        <v>45868</v>
      </c>
      <c r="B158" s="21" t="s">
        <v>115</v>
      </c>
      <c r="C158" s="21" t="s">
        <v>17</v>
      </c>
      <c r="D158" s="19" t="s">
        <v>166</v>
      </c>
      <c r="E158" s="28">
        <f>EDATE(A158,-2)</f>
        <v>45807</v>
      </c>
      <c r="F158" s="28">
        <f>EDATE(E158,18)</f>
        <v>46356</v>
      </c>
      <c r="G158" s="21" t="s">
        <v>108</v>
      </c>
      <c r="H158" s="21" t="str">
        <f>_xlfn.CONCAT("KG",A158 - DATE(YEAR(A158),1,0))</f>
        <v>KG211</v>
      </c>
      <c r="I158" s="35">
        <v>0.12839999999999999</v>
      </c>
      <c r="J158" s="21" t="s">
        <v>116</v>
      </c>
      <c r="K158" s="21" t="s">
        <v>117</v>
      </c>
      <c r="L158" s="17" t="s">
        <v>41</v>
      </c>
      <c r="M158" s="24"/>
    </row>
    <row r="159" spans="1:15" ht="20.100000000000001" customHeight="1" x14ac:dyDescent="0.25">
      <c r="A159" s="20">
        <v>45868</v>
      </c>
      <c r="B159" s="21" t="s">
        <v>119</v>
      </c>
      <c r="C159" s="21" t="s">
        <v>18</v>
      </c>
      <c r="D159" s="19" t="s">
        <v>167</v>
      </c>
      <c r="E159" s="28">
        <f>EDATE(A159,-1)</f>
        <v>45838</v>
      </c>
      <c r="F159" s="28">
        <f>EDATE(E159,12)</f>
        <v>46203</v>
      </c>
      <c r="G159" s="21" t="s">
        <v>108</v>
      </c>
      <c r="H159" s="21" t="str">
        <f>_xlfn.CONCAT("SG",A159 - DATE(YEAR(A159),1,0))</f>
        <v>SG211</v>
      </c>
      <c r="I159" s="34">
        <v>0.13700000000000001</v>
      </c>
      <c r="J159" s="21" t="s">
        <v>116</v>
      </c>
      <c r="K159" s="21" t="s">
        <v>117</v>
      </c>
      <c r="L159" s="17" t="s">
        <v>41</v>
      </c>
      <c r="M159" s="24"/>
    </row>
    <row r="160" spans="1:15" ht="20.100000000000001" customHeight="1" x14ac:dyDescent="0.25">
      <c r="A160" s="20">
        <v>45870</v>
      </c>
      <c r="B160" s="21" t="s">
        <v>156</v>
      </c>
      <c r="C160" s="21" t="s">
        <v>43</v>
      </c>
      <c r="D160" s="23" t="s">
        <v>51</v>
      </c>
      <c r="E160" s="28">
        <f>EDATE(A160,-1)</f>
        <v>45839</v>
      </c>
      <c r="F160" s="28">
        <f>EDATE(E160,24)</f>
        <v>46569</v>
      </c>
      <c r="G160" s="21" t="s">
        <v>172</v>
      </c>
      <c r="H160" s="21" t="str">
        <f>_xlfn.CONCAT("AR",A160 - DATE(YEAR(A160),1,0))</f>
        <v>AR213</v>
      </c>
      <c r="I160" s="35">
        <v>5.0000000000000001E-4</v>
      </c>
      <c r="J160" s="17" t="s">
        <v>112</v>
      </c>
      <c r="K160" s="21" t="s">
        <v>117</v>
      </c>
      <c r="L160" s="17" t="s">
        <v>41</v>
      </c>
      <c r="M160" s="24"/>
    </row>
    <row r="161" spans="1:13" ht="20.100000000000001" customHeight="1" x14ac:dyDescent="0.25">
      <c r="A161" s="20">
        <v>45870</v>
      </c>
      <c r="B161" s="21" t="s">
        <v>120</v>
      </c>
      <c r="C161" s="21" t="s">
        <v>25</v>
      </c>
      <c r="D161" s="23" t="s">
        <v>38</v>
      </c>
      <c r="E161" s="28">
        <f>EDATE(A161,-4)</f>
        <v>45748</v>
      </c>
      <c r="F161" s="28">
        <f>EDATE(E161,24)</f>
        <v>46478</v>
      </c>
      <c r="G161" s="21" t="s">
        <v>108</v>
      </c>
      <c r="H161" s="21" t="str">
        <f>_xlfn.CONCAT("SP",A161 - DATE(YEAR(A161),1,0))</f>
        <v>SP213</v>
      </c>
      <c r="I161" s="21" t="s">
        <v>121</v>
      </c>
      <c r="J161" s="21" t="s">
        <v>116</v>
      </c>
      <c r="K161" s="21" t="s">
        <v>117</v>
      </c>
      <c r="L161" s="21" t="s">
        <v>42</v>
      </c>
      <c r="M161" s="24"/>
    </row>
    <row r="162" spans="1:13" ht="20.100000000000001" customHeight="1" x14ac:dyDescent="0.25">
      <c r="A162" s="20">
        <v>45870</v>
      </c>
      <c r="B162" s="21" t="s">
        <v>120</v>
      </c>
      <c r="C162" s="21" t="s">
        <v>26</v>
      </c>
      <c r="D162" s="19" t="s">
        <v>169</v>
      </c>
      <c r="E162" s="28">
        <f>EDATE(A162,-14)</f>
        <v>45444</v>
      </c>
      <c r="F162" s="28">
        <f>EDATE(E162,24)</f>
        <v>46174</v>
      </c>
      <c r="G162" s="21" t="s">
        <v>173</v>
      </c>
      <c r="H162" s="21" t="str">
        <f>_xlfn.CONCAT("FT",A162 - DATE(YEAR(A162),1,0))</f>
        <v>FT213</v>
      </c>
      <c r="I162" s="26" t="s">
        <v>121</v>
      </c>
      <c r="J162" s="21" t="s">
        <v>112</v>
      </c>
      <c r="K162" s="21" t="s">
        <v>117</v>
      </c>
      <c r="L162" s="21" t="s">
        <v>42</v>
      </c>
      <c r="M162" s="24"/>
    </row>
    <row r="163" spans="1:13" ht="20.100000000000001" customHeight="1" x14ac:dyDescent="0.25">
      <c r="A163" s="20">
        <v>45870</v>
      </c>
      <c r="B163" s="21" t="s">
        <v>120</v>
      </c>
      <c r="C163" s="21" t="s">
        <v>27</v>
      </c>
      <c r="D163" s="19" t="s">
        <v>38</v>
      </c>
      <c r="E163" s="28">
        <f>EDATE(A163,-3)</f>
        <v>45778</v>
      </c>
      <c r="F163" s="28">
        <f>EDATE(E163,18)</f>
        <v>46327</v>
      </c>
      <c r="G163" s="21" t="s">
        <v>174</v>
      </c>
      <c r="H163" s="21" t="str">
        <f>_xlfn.CONCAT("MV",A163 - DATE(YEAR(A163),1,0))</f>
        <v>MV213</v>
      </c>
      <c r="I163" s="21" t="s">
        <v>121</v>
      </c>
      <c r="J163" s="21" t="s">
        <v>112</v>
      </c>
      <c r="K163" s="21" t="s">
        <v>117</v>
      </c>
      <c r="L163" s="21" t="s">
        <v>42</v>
      </c>
      <c r="M163" s="24"/>
    </row>
    <row r="164" spans="1:13" ht="20.100000000000001" customHeight="1" x14ac:dyDescent="0.25">
      <c r="A164" s="20">
        <v>45870</v>
      </c>
      <c r="B164" s="21" t="s">
        <v>118</v>
      </c>
      <c r="C164" s="21" t="s">
        <v>19</v>
      </c>
      <c r="D164" s="19" t="s">
        <v>175</v>
      </c>
      <c r="E164" s="28">
        <f>EDATE(A164,-1)</f>
        <v>45839</v>
      </c>
      <c r="F164" s="28">
        <f>EDATE(E164,8)</f>
        <v>46082</v>
      </c>
      <c r="G164" s="21" t="s">
        <v>108</v>
      </c>
      <c r="H164" s="21" t="str">
        <f>_xlfn.CONCAT("MD",A164 - DATE(YEAR(A164),1,0))</f>
        <v>MD213</v>
      </c>
      <c r="I164" s="35">
        <v>3.6200000000000003E-2</v>
      </c>
      <c r="J164" s="21" t="s">
        <v>116</v>
      </c>
      <c r="K164" s="21" t="s">
        <v>117</v>
      </c>
      <c r="L164" s="17" t="s">
        <v>41</v>
      </c>
      <c r="M164" s="24"/>
    </row>
    <row r="165" spans="1:13" ht="20.100000000000001" customHeight="1" x14ac:dyDescent="0.25">
      <c r="A165" s="20">
        <v>45873</v>
      </c>
      <c r="B165" s="21" t="s">
        <v>145</v>
      </c>
      <c r="C165" s="21" t="s">
        <v>69</v>
      </c>
      <c r="D165" s="19" t="s">
        <v>168</v>
      </c>
      <c r="E165" s="28">
        <f>EDATE(A165,-4)</f>
        <v>45751</v>
      </c>
      <c r="F165" s="28">
        <f>EDATE(E165,24)</f>
        <v>46481</v>
      </c>
      <c r="G165" s="21" t="s">
        <v>108</v>
      </c>
      <c r="H165" s="21" t="str">
        <f>_xlfn.CONCAT("CG",A165 - DATE(YEAR(A165),1,0))</f>
        <v>CG216</v>
      </c>
      <c r="I165" s="35">
        <v>0.12590000000000001</v>
      </c>
      <c r="J165" s="21" t="s">
        <v>116</v>
      </c>
      <c r="K165" s="21" t="s">
        <v>117</v>
      </c>
      <c r="L165" s="21" t="s">
        <v>40</v>
      </c>
      <c r="M165" s="24"/>
    </row>
    <row r="166" spans="1:13" ht="20.100000000000001" customHeight="1" x14ac:dyDescent="0.25">
      <c r="A166" s="20">
        <v>45873</v>
      </c>
      <c r="B166" s="21" t="s">
        <v>157</v>
      </c>
      <c r="C166" s="21" t="s">
        <v>22</v>
      </c>
      <c r="D166" s="23" t="s">
        <v>62</v>
      </c>
      <c r="E166" s="28">
        <f>EDATE(A166,-1)</f>
        <v>45842</v>
      </c>
      <c r="F166" s="28">
        <f>EDATE(E166,12)</f>
        <v>46207</v>
      </c>
      <c r="G166" s="21" t="s">
        <v>108</v>
      </c>
      <c r="H166" s="21" t="str">
        <f>_xlfn.CONCAT("AG",A166 - DATE(YEAR(A166),1,0))</f>
        <v>AG216</v>
      </c>
      <c r="I166" s="26" t="s">
        <v>121</v>
      </c>
      <c r="J166" s="21" t="s">
        <v>116</v>
      </c>
      <c r="K166" s="21" t="s">
        <v>117</v>
      </c>
      <c r="L166" s="21" t="s">
        <v>42</v>
      </c>
      <c r="M166" s="24"/>
    </row>
    <row r="167" spans="1:13" ht="20.100000000000001" customHeight="1" x14ac:dyDescent="0.25">
      <c r="A167" s="20">
        <v>45873</v>
      </c>
      <c r="B167" s="21" t="s">
        <v>145</v>
      </c>
      <c r="C167" s="21" t="s">
        <v>46</v>
      </c>
      <c r="D167" s="23" t="s">
        <v>54</v>
      </c>
      <c r="E167" s="28">
        <f>EDATE(A167,-2)</f>
        <v>45812</v>
      </c>
      <c r="F167" s="28">
        <f>EDATE(E167,12)</f>
        <v>46177</v>
      </c>
      <c r="G167" s="21" t="s">
        <v>108</v>
      </c>
      <c r="H167" s="21" t="str">
        <f>_xlfn.CONCAT("PS",A167 - DATE(YEAR(A167),1,0))</f>
        <v>PS216</v>
      </c>
      <c r="I167" s="34">
        <v>0.26300000000000001</v>
      </c>
      <c r="J167" s="21" t="s">
        <v>116</v>
      </c>
      <c r="K167" s="21" t="s">
        <v>117</v>
      </c>
      <c r="L167" s="17" t="s">
        <v>41</v>
      </c>
      <c r="M167" s="24"/>
    </row>
    <row r="168" spans="1:13" ht="20.100000000000001" customHeight="1" x14ac:dyDescent="0.25">
      <c r="A168" s="20">
        <v>45873</v>
      </c>
      <c r="B168" s="21" t="s">
        <v>118</v>
      </c>
      <c r="C168" s="21" t="s">
        <v>28</v>
      </c>
      <c r="D168" s="23" t="s">
        <v>54</v>
      </c>
      <c r="E168" s="28">
        <f>EDATE(A168,-2)</f>
        <v>45812</v>
      </c>
      <c r="F168" s="28">
        <f>EDATE(E168,12)</f>
        <v>46177</v>
      </c>
      <c r="G168" s="21" t="s">
        <v>108</v>
      </c>
      <c r="H168" s="21" t="str">
        <f>_xlfn.CONCAT("AM",A168 - DATE(YEAR(A168),1,0))</f>
        <v>AM216</v>
      </c>
      <c r="I168" s="21" t="s">
        <v>121</v>
      </c>
      <c r="J168" s="21" t="s">
        <v>116</v>
      </c>
      <c r="K168" s="21" t="s">
        <v>117</v>
      </c>
      <c r="L168" s="17" t="s">
        <v>41</v>
      </c>
      <c r="M168" s="24"/>
    </row>
    <row r="169" spans="1:13" ht="20.100000000000001" customHeight="1" x14ac:dyDescent="0.25">
      <c r="A169" s="20">
        <v>45873</v>
      </c>
      <c r="B169" s="21" t="s">
        <v>145</v>
      </c>
      <c r="C169" s="21" t="s">
        <v>23</v>
      </c>
      <c r="D169" s="23" t="s">
        <v>38</v>
      </c>
      <c r="E169" s="28">
        <f>EDATE(A169,-1)</f>
        <v>45842</v>
      </c>
      <c r="F169" s="28">
        <f>EDATE(E169,12)</f>
        <v>46207</v>
      </c>
      <c r="G169" s="21" t="s">
        <v>108</v>
      </c>
      <c r="H169" s="21" t="str">
        <f>_xlfn.CONCAT("LZ",A169 - DATE(YEAR(A169),1,0))</f>
        <v>LZ216</v>
      </c>
      <c r="I169" s="34">
        <v>8.6999999999999994E-2</v>
      </c>
      <c r="J169" s="21" t="s">
        <v>116</v>
      </c>
      <c r="K169" s="21" t="s">
        <v>117</v>
      </c>
      <c r="L169" s="17" t="s">
        <v>41</v>
      </c>
      <c r="M169" s="24"/>
    </row>
    <row r="170" spans="1:13" ht="20.100000000000001" customHeight="1" x14ac:dyDescent="0.25">
      <c r="A170" s="20">
        <v>45873</v>
      </c>
      <c r="B170" s="21" t="s">
        <v>145</v>
      </c>
      <c r="C170" s="21" t="s">
        <v>24</v>
      </c>
      <c r="D170" s="23" t="s">
        <v>38</v>
      </c>
      <c r="E170" s="28">
        <f>EDATE(A170,-1)</f>
        <v>45842</v>
      </c>
      <c r="F170" s="28">
        <f>EDATE(E170,12)</f>
        <v>46207</v>
      </c>
      <c r="G170" s="21" t="s">
        <v>108</v>
      </c>
      <c r="H170" s="21" t="str">
        <f>_xlfn.CONCAT("AJ",A170 - DATE(YEAR(A170),1,0))</f>
        <v>AJ216</v>
      </c>
      <c r="I170" s="34">
        <v>0.434</v>
      </c>
      <c r="J170" s="21" t="s">
        <v>116</v>
      </c>
      <c r="K170" s="21" t="s">
        <v>117</v>
      </c>
      <c r="L170" s="17" t="s">
        <v>41</v>
      </c>
      <c r="M170" s="24"/>
    </row>
    <row r="171" spans="1:13" ht="20.100000000000001" customHeight="1" x14ac:dyDescent="0.25">
      <c r="A171" s="20">
        <v>45875</v>
      </c>
      <c r="B171" s="21" t="s">
        <v>115</v>
      </c>
      <c r="C171" s="21" t="s">
        <v>16</v>
      </c>
      <c r="D171" s="19" t="s">
        <v>165</v>
      </c>
      <c r="E171" s="28">
        <f>EDATE(A171,-2)</f>
        <v>45814</v>
      </c>
      <c r="F171" s="28">
        <f>EDATE(E171,18)</f>
        <v>46362</v>
      </c>
      <c r="G171" s="21" t="s">
        <v>108</v>
      </c>
      <c r="H171" s="21" t="str">
        <f>_xlfn.CONCAT("QD",A171 - DATE(YEAR(A171),1,0))</f>
        <v>QD218</v>
      </c>
      <c r="I171" s="35">
        <v>0.11749999999999999</v>
      </c>
      <c r="J171" s="21" t="s">
        <v>116</v>
      </c>
      <c r="K171" s="21" t="s">
        <v>117</v>
      </c>
      <c r="L171" s="17" t="s">
        <v>41</v>
      </c>
      <c r="M171" s="24"/>
    </row>
    <row r="172" spans="1:13" ht="20.100000000000001" customHeight="1" x14ac:dyDescent="0.25">
      <c r="A172" s="20">
        <v>45875</v>
      </c>
      <c r="B172" s="21" t="s">
        <v>115</v>
      </c>
      <c r="C172" s="21" t="s">
        <v>85</v>
      </c>
      <c r="D172" s="23" t="s">
        <v>52</v>
      </c>
      <c r="E172" s="28">
        <f>EDATE(A172,-2)</f>
        <v>45814</v>
      </c>
      <c r="F172" s="28">
        <f>EDATE(E172,18)</f>
        <v>46362</v>
      </c>
      <c r="G172" s="21" t="s">
        <v>108</v>
      </c>
      <c r="H172" s="21" t="str">
        <f>_xlfn.CONCAT("QG",A172 - DATE(YEAR(A172),1,0))</f>
        <v>QG218</v>
      </c>
      <c r="I172" s="35">
        <v>0.1258</v>
      </c>
      <c r="J172" s="21" t="s">
        <v>116</v>
      </c>
      <c r="K172" s="21" t="s">
        <v>117</v>
      </c>
      <c r="L172" s="17" t="s">
        <v>41</v>
      </c>
      <c r="M172" s="24"/>
    </row>
    <row r="173" spans="1:13" ht="20.100000000000001" customHeight="1" x14ac:dyDescent="0.25">
      <c r="A173" s="6">
        <v>45897</v>
      </c>
      <c r="B173" s="7" t="s">
        <v>109</v>
      </c>
      <c r="C173" s="11" t="s">
        <v>15</v>
      </c>
      <c r="D173" s="12" t="s">
        <v>47</v>
      </c>
      <c r="E173" s="27">
        <v>45627</v>
      </c>
      <c r="F173" s="27">
        <v>45992</v>
      </c>
      <c r="G173" s="7" t="s">
        <v>126</v>
      </c>
      <c r="H173" s="7" t="str">
        <f>_xlfn.CONCAT("AP",A173 - DATE(YEAR(A173),1,0))</f>
        <v>AP240</v>
      </c>
      <c r="I173" s="31">
        <v>9.6199999999999994E-2</v>
      </c>
      <c r="J173" s="7" t="s">
        <v>112</v>
      </c>
      <c r="K173" s="7" t="s">
        <v>117</v>
      </c>
      <c r="L173" s="10" t="s">
        <v>41</v>
      </c>
      <c r="M173" s="15"/>
    </row>
    <row r="174" spans="1:13" ht="20.100000000000001" customHeight="1" x14ac:dyDescent="0.25">
      <c r="A174" s="6">
        <v>45897</v>
      </c>
      <c r="B174" s="7" t="s">
        <v>115</v>
      </c>
      <c r="C174" s="8" t="s">
        <v>16</v>
      </c>
      <c r="D174" s="9" t="s">
        <v>48</v>
      </c>
      <c r="E174" s="27">
        <f>EDATE(A174,-2)</f>
        <v>45836</v>
      </c>
      <c r="F174" s="27">
        <f>EDATE(E174,18)</f>
        <v>46384</v>
      </c>
      <c r="G174" s="7" t="s">
        <v>108</v>
      </c>
      <c r="H174" s="7" t="str">
        <f>_xlfn.CONCAT("QD",A174 - DATE(YEAR(A174),1,0))</f>
        <v>QD240</v>
      </c>
      <c r="I174" s="36">
        <v>0.1234</v>
      </c>
      <c r="J174" s="7" t="s">
        <v>116</v>
      </c>
      <c r="K174" s="7" t="s">
        <v>117</v>
      </c>
      <c r="L174" s="7" t="s">
        <v>41</v>
      </c>
      <c r="M174" s="15"/>
    </row>
    <row r="175" spans="1:13" x14ac:dyDescent="0.25">
      <c r="A175" s="6">
        <v>45897</v>
      </c>
      <c r="B175" s="7" t="s">
        <v>115</v>
      </c>
      <c r="C175" s="7" t="s">
        <v>17</v>
      </c>
      <c r="D175" s="9" t="s">
        <v>49</v>
      </c>
      <c r="E175" s="27">
        <f>EDATE(A175,-2)</f>
        <v>45836</v>
      </c>
      <c r="F175" s="27">
        <f>EDATE(E175,18)</f>
        <v>46384</v>
      </c>
      <c r="G175" s="7" t="s">
        <v>108</v>
      </c>
      <c r="H175" s="7" t="str">
        <f>_xlfn.CONCAT("KG",A175 - DATE(YEAR(A175),1,0))</f>
        <v>KG240</v>
      </c>
      <c r="I175" s="36">
        <v>0.14710000000000001</v>
      </c>
      <c r="J175" s="7" t="s">
        <v>116</v>
      </c>
      <c r="K175" s="7" t="s">
        <v>117</v>
      </c>
      <c r="L175" s="7" t="s">
        <v>41</v>
      </c>
      <c r="M175" s="15"/>
    </row>
    <row r="176" spans="1:13" x14ac:dyDescent="0.25">
      <c r="A176" s="6">
        <v>45899</v>
      </c>
      <c r="B176" s="7" t="s">
        <v>119</v>
      </c>
      <c r="C176" s="7" t="s">
        <v>18</v>
      </c>
      <c r="D176" s="9" t="s">
        <v>39</v>
      </c>
      <c r="E176" s="27">
        <f>EDATE(A176,-1)</f>
        <v>45868</v>
      </c>
      <c r="F176" s="27">
        <f>EDATE(E176,12)</f>
        <v>46233</v>
      </c>
      <c r="G176" s="7" t="s">
        <v>108</v>
      </c>
      <c r="H176" s="7" t="str">
        <f>_xlfn.CONCAT("S",A176 - DATE(YEAR(A176),1,0))</f>
        <v>S242</v>
      </c>
      <c r="I176" s="38">
        <v>0.1411</v>
      </c>
      <c r="J176" s="7" t="s">
        <v>116</v>
      </c>
      <c r="K176" s="7" t="s">
        <v>117</v>
      </c>
      <c r="L176" s="7" t="s">
        <v>41</v>
      </c>
      <c r="M176" s="15"/>
    </row>
    <row r="177" spans="1:13" x14ac:dyDescent="0.25">
      <c r="A177" s="6">
        <v>45899</v>
      </c>
      <c r="B177" s="7" t="s">
        <v>118</v>
      </c>
      <c r="C177" s="7" t="s">
        <v>19</v>
      </c>
      <c r="D177" s="9" t="s">
        <v>65</v>
      </c>
      <c r="E177" s="27">
        <f>EDATE(A177,-1)</f>
        <v>45868</v>
      </c>
      <c r="F177" s="27">
        <f>EDATE(E177,8)</f>
        <v>46111</v>
      </c>
      <c r="G177" s="7" t="s">
        <v>108</v>
      </c>
      <c r="H177" s="7" t="str">
        <f>_xlfn.CONCAT("MD",A177 - DATE(YEAR(A177),1,0))</f>
        <v>MD242</v>
      </c>
      <c r="I177" s="36">
        <v>3.4500000000000003E-2</v>
      </c>
      <c r="J177" s="7" t="s">
        <v>116</v>
      </c>
      <c r="K177" s="7" t="s">
        <v>117</v>
      </c>
      <c r="L177" s="7" t="s">
        <v>41</v>
      </c>
      <c r="M177" s="15"/>
    </row>
    <row r="178" spans="1:13" x14ac:dyDescent="0.25">
      <c r="A178" s="6">
        <v>45899</v>
      </c>
      <c r="B178" s="7" t="s">
        <v>147</v>
      </c>
      <c r="C178" s="7" t="s">
        <v>45</v>
      </c>
      <c r="D178" s="9" t="s">
        <v>53</v>
      </c>
      <c r="E178" s="27">
        <f>EDATE(A178,-13)</f>
        <v>45503</v>
      </c>
      <c r="F178" s="27">
        <f>EDATE(E178,24)</f>
        <v>46233</v>
      </c>
      <c r="G178" s="7" t="s">
        <v>148</v>
      </c>
      <c r="H178" s="7" t="str">
        <f>_xlfn.CONCAT("LP",A178 - DATE(YEAR(A178),1,0))</f>
        <v>LP242</v>
      </c>
      <c r="I178" s="25" t="s">
        <v>121</v>
      </c>
      <c r="J178" s="7" t="s">
        <v>112</v>
      </c>
      <c r="K178" s="7" t="s">
        <v>117</v>
      </c>
      <c r="L178" s="7" t="s">
        <v>42</v>
      </c>
      <c r="M178" s="15"/>
    </row>
    <row r="179" spans="1:13" x14ac:dyDescent="0.25">
      <c r="A179" s="6">
        <v>45901</v>
      </c>
      <c r="B179" s="7" t="s">
        <v>120</v>
      </c>
      <c r="C179" s="7" t="s">
        <v>26</v>
      </c>
      <c r="D179" s="9" t="s">
        <v>55</v>
      </c>
      <c r="E179" s="27">
        <f>EDATE(A179,-14)</f>
        <v>45474</v>
      </c>
      <c r="F179" s="27">
        <f>EDATE(E179,24)</f>
        <v>46204</v>
      </c>
      <c r="G179" s="7" t="s">
        <v>134</v>
      </c>
      <c r="H179" s="7" t="str">
        <f>_xlfn.CONCAT("FT",A179 - DATE(YEAR(A179),1,0))</f>
        <v>FT244</v>
      </c>
      <c r="I179" s="25" t="s">
        <v>121</v>
      </c>
      <c r="J179" s="7" t="s">
        <v>112</v>
      </c>
      <c r="K179" s="7" t="s">
        <v>117</v>
      </c>
      <c r="L179" s="7" t="s">
        <v>42</v>
      </c>
      <c r="M179" s="15"/>
    </row>
    <row r="180" spans="1:13" x14ac:dyDescent="0.25">
      <c r="A180" s="6">
        <v>45901</v>
      </c>
      <c r="B180" s="7" t="s">
        <v>136</v>
      </c>
      <c r="C180" s="7" t="s">
        <v>27</v>
      </c>
      <c r="D180" s="9" t="s">
        <v>38</v>
      </c>
      <c r="E180" s="27">
        <f>EDATE(A180,-3)</f>
        <v>45809</v>
      </c>
      <c r="F180" s="27">
        <f>EDATE(E180,18)</f>
        <v>46357</v>
      </c>
      <c r="G180" s="7" t="s">
        <v>143</v>
      </c>
      <c r="H180" s="7" t="str">
        <f>_xlfn.CONCAT("MV",A180 - DATE(YEAR(A180),1,0))</f>
        <v>MV244</v>
      </c>
      <c r="I180" s="7" t="s">
        <v>121</v>
      </c>
      <c r="J180" s="7" t="s">
        <v>112</v>
      </c>
      <c r="K180" s="7" t="s">
        <v>117</v>
      </c>
      <c r="L180" s="7" t="s">
        <v>42</v>
      </c>
      <c r="M180" s="15"/>
    </row>
    <row r="181" spans="1:13" x14ac:dyDescent="0.25">
      <c r="A181" s="6">
        <v>45901</v>
      </c>
      <c r="B181" s="7" t="s">
        <v>156</v>
      </c>
      <c r="C181" s="7" t="s">
        <v>43</v>
      </c>
      <c r="D181" s="9" t="s">
        <v>51</v>
      </c>
      <c r="E181" s="27">
        <f>EDATE(A181,-1)</f>
        <v>45870</v>
      </c>
      <c r="F181" s="27">
        <f>EDATE(E181,24)</f>
        <v>46600</v>
      </c>
      <c r="G181" s="7" t="s">
        <v>158</v>
      </c>
      <c r="H181" s="7" t="str">
        <f>_xlfn.CONCAT("AR",A181 - DATE(YEAR(A181),1,0))</f>
        <v>AR244</v>
      </c>
      <c r="I181" s="37">
        <v>6.9999999999999999E-4</v>
      </c>
      <c r="J181" s="7" t="s">
        <v>112</v>
      </c>
      <c r="K181" s="7" t="s">
        <v>117</v>
      </c>
      <c r="L181" s="7" t="s">
        <v>41</v>
      </c>
      <c r="M181" s="15"/>
    </row>
    <row r="182" spans="1:13" x14ac:dyDescent="0.25">
      <c r="A182" s="6">
        <v>45901</v>
      </c>
      <c r="B182" s="7" t="s">
        <v>145</v>
      </c>
      <c r="C182" s="7" t="s">
        <v>44</v>
      </c>
      <c r="D182" s="9" t="s">
        <v>52</v>
      </c>
      <c r="E182" s="27">
        <f>EDATE(A182,-1)</f>
        <v>45870</v>
      </c>
      <c r="F182" s="27">
        <f>EDATE(E182,12)</f>
        <v>46235</v>
      </c>
      <c r="G182" s="7" t="s">
        <v>108</v>
      </c>
      <c r="H182" s="7" t="str">
        <f>_xlfn.CONCAT("MG",A182 - DATE(YEAR(A182),1,0))</f>
        <v>MG244</v>
      </c>
      <c r="I182" s="37">
        <v>0.1152</v>
      </c>
      <c r="J182" s="7" t="s">
        <v>116</v>
      </c>
      <c r="K182" s="7" t="s">
        <v>117</v>
      </c>
      <c r="L182" s="7" t="s">
        <v>41</v>
      </c>
      <c r="M182" s="15"/>
    </row>
    <row r="183" spans="1:13" x14ac:dyDescent="0.25">
      <c r="A183" s="6">
        <v>45902</v>
      </c>
      <c r="B183" s="7" t="s">
        <v>145</v>
      </c>
      <c r="C183" s="7" t="s">
        <v>46</v>
      </c>
      <c r="D183" s="9" t="s">
        <v>54</v>
      </c>
      <c r="E183" s="27">
        <f>EDATE(A183,-2)</f>
        <v>45840</v>
      </c>
      <c r="F183" s="27">
        <f>EDATE(E183,12)</f>
        <v>46205</v>
      </c>
      <c r="G183" s="7" t="s">
        <v>108</v>
      </c>
      <c r="H183" s="7" t="str">
        <f>_xlfn.CONCAT("PS",A183 - DATE(YEAR(A183),1,0))</f>
        <v>PS245</v>
      </c>
      <c r="I183" s="38">
        <v>0.25600000000000001</v>
      </c>
      <c r="J183" s="7" t="s">
        <v>116</v>
      </c>
      <c r="K183" s="7" t="s">
        <v>117</v>
      </c>
      <c r="L183" s="10" t="s">
        <v>41</v>
      </c>
      <c r="M183" s="15"/>
    </row>
    <row r="184" spans="1:13" x14ac:dyDescent="0.25">
      <c r="A184" s="6">
        <v>45902</v>
      </c>
      <c r="B184" s="7" t="s">
        <v>118</v>
      </c>
      <c r="C184" s="7" t="s">
        <v>28</v>
      </c>
      <c r="D184" s="9" t="s">
        <v>54</v>
      </c>
      <c r="E184" s="27">
        <f>EDATE(A184,-2)</f>
        <v>45840</v>
      </c>
      <c r="F184" s="27">
        <f>EDATE(E184,12)</f>
        <v>46205</v>
      </c>
      <c r="G184" s="7" t="s">
        <v>108</v>
      </c>
      <c r="H184" s="7" t="str">
        <f>_xlfn.CONCAT("AM",A184 - DATE(YEAR(A184),1,0))</f>
        <v>AM245</v>
      </c>
      <c r="I184" s="7" t="s">
        <v>121</v>
      </c>
      <c r="J184" s="7" t="s">
        <v>116</v>
      </c>
      <c r="K184" s="7" t="s">
        <v>117</v>
      </c>
      <c r="L184" s="7" t="s">
        <v>42</v>
      </c>
      <c r="M184" s="15"/>
    </row>
    <row r="185" spans="1:13" x14ac:dyDescent="0.25">
      <c r="A185" s="6"/>
      <c r="B185" s="7"/>
      <c r="C185" s="7"/>
      <c r="D185" s="9"/>
      <c r="E185" s="27"/>
      <c r="F185" s="27"/>
      <c r="G185" s="7"/>
      <c r="H185" s="7"/>
      <c r="I185" s="31"/>
      <c r="J185" s="7"/>
      <c r="K185" s="7"/>
      <c r="L185" s="7"/>
      <c r="M185" s="15"/>
    </row>
    <row r="186" spans="1:13" x14ac:dyDescent="0.25">
      <c r="A186" s="6"/>
      <c r="B186" s="7"/>
      <c r="C186" s="7"/>
      <c r="D186" s="9"/>
      <c r="E186" s="27"/>
      <c r="F186" s="27"/>
      <c r="G186" s="7"/>
      <c r="H186" s="7"/>
      <c r="I186" s="31"/>
      <c r="J186" s="7"/>
      <c r="K186" s="7"/>
      <c r="L186" s="7"/>
      <c r="M186" s="15"/>
    </row>
  </sheetData>
  <autoFilter ref="A7:M172" xr:uid="{023A8DB0-2C2F-428A-ABFB-279F3F6A16DF}"/>
  <mergeCells count="13">
    <mergeCell ref="I7:I8"/>
    <mergeCell ref="K7:K8"/>
    <mergeCell ref="L7:L8"/>
    <mergeCell ref="M7:M8"/>
    <mergeCell ref="A5:M5"/>
    <mergeCell ref="G7:G8"/>
    <mergeCell ref="H7:H8"/>
    <mergeCell ref="A7:A8"/>
    <mergeCell ref="B7:B8"/>
    <mergeCell ref="C7:C8"/>
    <mergeCell ref="D7:D8"/>
    <mergeCell ref="E7:E8"/>
    <mergeCell ref="F7:F8"/>
  </mergeCells>
  <phoneticPr fontId="4" type="noConversion"/>
  <pageMargins left="0.25" right="0.25" top="0.75" bottom="0.75" header="0.3" footer="0.3"/>
  <pageSetup paperSize="9" scale="45" fitToHeight="0" orientation="portrait" r:id="rId1"/>
  <ignoredErrors>
    <ignoredError sqref="E129 E131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Jesús Polo Gonzalez</dc:creator>
  <cp:lastModifiedBy>Diego Jesús Polo Gonzalez</cp:lastModifiedBy>
  <cp:lastPrinted>2025-10-07T17:26:17Z</cp:lastPrinted>
  <dcterms:created xsi:type="dcterms:W3CDTF">2025-08-26T15:24:00Z</dcterms:created>
  <dcterms:modified xsi:type="dcterms:W3CDTF">2025-10-07T17:42:42Z</dcterms:modified>
</cp:coreProperties>
</file>