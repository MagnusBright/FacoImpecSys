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COIMPEC\Desktop\"/>
    </mc:Choice>
  </mc:AlternateContent>
  <xr:revisionPtr revIDLastSave="0" documentId="13_ncr:1_{49EA3DC9-7329-4DCD-AE36-BC4701FCADF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ICIEMBRE" sheetId="174" r:id="rId1"/>
    <sheet name="ENERO" sheetId="170" r:id="rId2"/>
    <sheet name="FEBRERO" sheetId="179" r:id="rId3"/>
    <sheet name="MARZO" sheetId="180" r:id="rId4"/>
    <sheet name="ABRIL" sheetId="182" r:id="rId5"/>
    <sheet name="MAYO" sheetId="183" r:id="rId6"/>
    <sheet name="JUNIO" sheetId="186" r:id="rId7"/>
    <sheet name="JULIO" sheetId="187" r:id="rId8"/>
    <sheet name="AGOSTO" sheetId="188" r:id="rId9"/>
    <sheet name="SEPTIEMBRE" sheetId="189" r:id="rId10"/>
    <sheet name="OCTUBRE" sheetId="190" r:id="rId11"/>
    <sheet name="M.D. JESUS" sheetId="168" r:id="rId12"/>
    <sheet name="M.D. CARABAMBA" sheetId="169" r:id="rId13"/>
    <sheet name="M.P. JULCAN" sheetId="171" r:id="rId14"/>
    <sheet name="M.D. HUASO" sheetId="172" r:id="rId15"/>
    <sheet name="M.D. VICTOR LARCO" sheetId="178" r:id="rId16"/>
    <sheet name="M.D. COISHCO" sheetId="173" r:id="rId17"/>
    <sheet name="M.P. CAJAMARCA - RUR" sheetId="175" r:id="rId18"/>
    <sheet name="M.P. CAJAMARCA - RUR (2)" sheetId="177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3" i="180" l="1"/>
  <c r="I123" i="180"/>
  <c r="J122" i="180"/>
  <c r="J121" i="180"/>
  <c r="J112" i="180"/>
  <c r="J106" i="180"/>
  <c r="J105" i="180"/>
  <c r="I106" i="180"/>
  <c r="I112" i="180"/>
  <c r="I121" i="180"/>
  <c r="I122" i="180"/>
  <c r="I105" i="180"/>
  <c r="D105" i="180"/>
  <c r="D107" i="180"/>
  <c r="D111" i="180"/>
  <c r="D120" i="180"/>
  <c r="D121" i="180"/>
  <c r="D122" i="180"/>
  <c r="D104" i="180"/>
  <c r="J59" i="180" l="1"/>
  <c r="J61" i="180"/>
  <c r="J65" i="180"/>
  <c r="J69" i="180"/>
  <c r="J73" i="180"/>
  <c r="J74" i="180"/>
  <c r="J75" i="180"/>
  <c r="J58" i="180"/>
  <c r="I59" i="180"/>
  <c r="I61" i="180"/>
  <c r="I65" i="180"/>
  <c r="I69" i="180"/>
  <c r="I73" i="180"/>
  <c r="I74" i="180"/>
  <c r="I75" i="180"/>
  <c r="I58" i="180"/>
  <c r="D58" i="180"/>
  <c r="D60" i="180"/>
  <c r="D64" i="180"/>
  <c r="D68" i="180"/>
  <c r="D72" i="180"/>
  <c r="D73" i="180"/>
  <c r="D74" i="180"/>
  <c r="D57" i="180"/>
  <c r="I19" i="180"/>
  <c r="J19" i="180"/>
  <c r="J58" i="179" l="1"/>
  <c r="J59" i="179"/>
  <c r="J61" i="179"/>
  <c r="J63" i="179"/>
  <c r="J65" i="179"/>
  <c r="J66" i="179"/>
  <c r="J69" i="179"/>
  <c r="J75" i="179"/>
  <c r="J74" i="179"/>
  <c r="I58" i="179"/>
  <c r="I59" i="179"/>
  <c r="I61" i="179"/>
  <c r="I63" i="179"/>
  <c r="I65" i="179"/>
  <c r="I66" i="179"/>
  <c r="I68" i="179"/>
  <c r="I69" i="179"/>
  <c r="I74" i="179"/>
  <c r="I75" i="179"/>
  <c r="J18" i="179"/>
  <c r="I18" i="179"/>
  <c r="D17" i="179"/>
  <c r="D60" i="179"/>
  <c r="D62" i="179"/>
  <c r="D64" i="179"/>
  <c r="D65" i="179"/>
  <c r="D67" i="179"/>
  <c r="D68" i="179"/>
  <c r="D73" i="179"/>
  <c r="D74" i="179"/>
  <c r="D76" i="179"/>
  <c r="D57" i="179"/>
  <c r="D58" i="179"/>
  <c r="J58" i="170" l="1"/>
  <c r="J59" i="170"/>
  <c r="J61" i="170"/>
  <c r="J63" i="170"/>
  <c r="J65" i="170"/>
  <c r="J66" i="170"/>
  <c r="J69" i="170"/>
  <c r="J74" i="170"/>
  <c r="J75" i="170"/>
  <c r="D27" i="170"/>
  <c r="D57" i="170"/>
  <c r="D58" i="170"/>
  <c r="D60" i="170"/>
  <c r="D62" i="170"/>
  <c r="D64" i="170"/>
  <c r="D65" i="170"/>
  <c r="D67" i="170"/>
  <c r="D68" i="170"/>
  <c r="D73" i="170"/>
  <c r="D74" i="170"/>
  <c r="D76" i="170"/>
  <c r="J18" i="170"/>
  <c r="I18" i="170"/>
  <c r="D17" i="170"/>
  <c r="I153" i="174" l="1"/>
  <c r="I155" i="174"/>
  <c r="I159" i="174"/>
  <c r="I163" i="174"/>
  <c r="I167" i="174"/>
  <c r="I168" i="174"/>
  <c r="I169" i="174"/>
  <c r="I152" i="174"/>
  <c r="D154" i="174"/>
  <c r="D158" i="174"/>
  <c r="D162" i="174"/>
  <c r="D166" i="174"/>
  <c r="D167" i="174"/>
  <c r="D168" i="174"/>
  <c r="D152" i="174"/>
  <c r="D151" i="174"/>
  <c r="D118" i="174"/>
  <c r="D117" i="174"/>
  <c r="D109" i="174"/>
  <c r="D102" i="174"/>
  <c r="D101" i="174"/>
  <c r="C83" i="174"/>
  <c r="B84" i="174" s="1"/>
  <c r="C84" i="174" s="1"/>
  <c r="B85" i="174" s="1"/>
  <c r="C85" i="174" s="1"/>
  <c r="B86" i="174" s="1"/>
  <c r="C86" i="174" s="1"/>
  <c r="B87" i="174" s="1"/>
  <c r="C87" i="174" s="1"/>
  <c r="B88" i="174" s="1"/>
  <c r="C88" i="174" s="1"/>
  <c r="B89" i="174" s="1"/>
  <c r="C89" i="174" s="1"/>
  <c r="E83" i="174" s="1"/>
  <c r="G83" i="174" s="1"/>
  <c r="E84" i="174" s="1"/>
  <c r="G84" i="174" s="1"/>
  <c r="E85" i="174" s="1"/>
  <c r="G85" i="174" s="1"/>
  <c r="E86" i="174" s="1"/>
  <c r="G86" i="174" s="1"/>
  <c r="E87" i="174" s="1"/>
  <c r="G87" i="174" s="1"/>
  <c r="E88" i="174" s="1"/>
  <c r="G88" i="174" s="1"/>
  <c r="E89" i="174" s="1"/>
  <c r="G89" i="174" s="1"/>
  <c r="I83" i="174" s="1"/>
  <c r="J83" i="174" s="1"/>
  <c r="I84" i="174" s="1"/>
  <c r="J84" i="174" s="1"/>
  <c r="I85" i="174" s="1"/>
  <c r="J85" i="174" s="1"/>
  <c r="I86" i="174" s="1"/>
  <c r="J86" i="174" s="1"/>
  <c r="I87" i="174" s="1"/>
  <c r="J87" i="174" s="1"/>
  <c r="I88" i="174" s="1"/>
  <c r="J88" i="174" s="1"/>
  <c r="I89" i="174" s="1"/>
  <c r="J89" i="174" s="1"/>
  <c r="L83" i="174" s="1"/>
  <c r="M83" i="174" s="1"/>
  <c r="L84" i="174" s="1"/>
  <c r="M84" i="174" s="1"/>
  <c r="L85" i="174" s="1"/>
  <c r="M85" i="174" s="1"/>
  <c r="L86" i="174" s="1"/>
  <c r="M86" i="174" s="1"/>
  <c r="L87" i="174" s="1"/>
  <c r="M87" i="174" s="1"/>
  <c r="L88" i="174" s="1"/>
  <c r="M88" i="174" s="1"/>
  <c r="L89" i="174" s="1"/>
  <c r="M89" i="174" s="1"/>
  <c r="H79" i="174"/>
  <c r="C78" i="174"/>
  <c r="I75" i="174"/>
  <c r="I74" i="174"/>
  <c r="I73" i="174"/>
  <c r="D73" i="174"/>
  <c r="D72" i="174"/>
  <c r="I64" i="174"/>
  <c r="D64" i="174"/>
  <c r="I60" i="174"/>
  <c r="I58" i="174"/>
  <c r="I57" i="174"/>
  <c r="D57" i="174"/>
  <c r="D56" i="174"/>
  <c r="F52" i="174"/>
  <c r="H52" i="174" s="1"/>
  <c r="J79" i="174" s="1"/>
  <c r="B237" i="190"/>
  <c r="C237" i="190" s="1"/>
  <c r="B238" i="190" s="1"/>
  <c r="C238" i="190" s="1"/>
  <c r="B239" i="190" s="1"/>
  <c r="C239" i="190" s="1"/>
  <c r="B240" i="190" s="1"/>
  <c r="C240" i="190" s="1"/>
  <c r="B241" i="190" s="1"/>
  <c r="C241" i="190" s="1"/>
  <c r="B242" i="190" s="1"/>
  <c r="C242" i="190" s="1"/>
  <c r="E236" i="190" s="1"/>
  <c r="G236" i="190" s="1"/>
  <c r="E237" i="190" s="1"/>
  <c r="G237" i="190" s="1"/>
  <c r="E238" i="190" s="1"/>
  <c r="G238" i="190" s="1"/>
  <c r="E239" i="190" s="1"/>
  <c r="G239" i="190" s="1"/>
  <c r="E240" i="190" s="1"/>
  <c r="G240" i="190" s="1"/>
  <c r="E241" i="190" s="1"/>
  <c r="G241" i="190" s="1"/>
  <c r="E242" i="190" s="1"/>
  <c r="G242" i="190" s="1"/>
  <c r="I236" i="190" s="1"/>
  <c r="J236" i="190" s="1"/>
  <c r="I237" i="190" s="1"/>
  <c r="J237" i="190" s="1"/>
  <c r="I238" i="190" s="1"/>
  <c r="J238" i="190" s="1"/>
  <c r="I239" i="190" s="1"/>
  <c r="J239" i="190" s="1"/>
  <c r="I240" i="190" s="1"/>
  <c r="J240" i="190" s="1"/>
  <c r="I241" i="190" s="1"/>
  <c r="J241" i="190" s="1"/>
  <c r="I242" i="190" s="1"/>
  <c r="J242" i="190" s="1"/>
  <c r="L236" i="190" s="1"/>
  <c r="M236" i="190" s="1"/>
  <c r="L237" i="190" s="1"/>
  <c r="M237" i="190" s="1"/>
  <c r="L238" i="190" s="1"/>
  <c r="M238" i="190" s="1"/>
  <c r="L239" i="190" s="1"/>
  <c r="M239" i="190" s="1"/>
  <c r="L240" i="190" s="1"/>
  <c r="M240" i="190" s="1"/>
  <c r="L241" i="190" s="1"/>
  <c r="M241" i="190" s="1"/>
  <c r="L242" i="190" s="1"/>
  <c r="M242" i="190" s="1"/>
  <c r="C236" i="190"/>
  <c r="H232" i="190"/>
  <c r="C231" i="190"/>
  <c r="J228" i="190"/>
  <c r="I228" i="190"/>
  <c r="J227" i="190"/>
  <c r="I227" i="190"/>
  <c r="J226" i="190"/>
  <c r="I226" i="190"/>
  <c r="D226" i="190"/>
  <c r="D225" i="190"/>
  <c r="J217" i="190"/>
  <c r="I217" i="190"/>
  <c r="D217" i="190"/>
  <c r="J213" i="190"/>
  <c r="I213" i="190"/>
  <c r="J211" i="190"/>
  <c r="I211" i="190"/>
  <c r="J210" i="190"/>
  <c r="I210" i="190"/>
  <c r="D210" i="190"/>
  <c r="D209" i="190"/>
  <c r="F205" i="190"/>
  <c r="H205" i="190" s="1"/>
  <c r="J232" i="190" s="1"/>
  <c r="B191" i="190"/>
  <c r="C191" i="190" s="1"/>
  <c r="B192" i="190" s="1"/>
  <c r="C192" i="190" s="1"/>
  <c r="B193" i="190" s="1"/>
  <c r="C193" i="190" s="1"/>
  <c r="B194" i="190" s="1"/>
  <c r="C194" i="190" s="1"/>
  <c r="B195" i="190" s="1"/>
  <c r="C195" i="190" s="1"/>
  <c r="B196" i="190" s="1"/>
  <c r="C196" i="190" s="1"/>
  <c r="E190" i="190" s="1"/>
  <c r="G190" i="190" s="1"/>
  <c r="E191" i="190" s="1"/>
  <c r="G191" i="190" s="1"/>
  <c r="E192" i="190" s="1"/>
  <c r="G192" i="190" s="1"/>
  <c r="E193" i="190" s="1"/>
  <c r="G193" i="190" s="1"/>
  <c r="E194" i="190" s="1"/>
  <c r="G194" i="190" s="1"/>
  <c r="E195" i="190" s="1"/>
  <c r="G195" i="190" s="1"/>
  <c r="E196" i="190" s="1"/>
  <c r="G196" i="190" s="1"/>
  <c r="I190" i="190" s="1"/>
  <c r="J190" i="190" s="1"/>
  <c r="I191" i="190" s="1"/>
  <c r="J191" i="190" s="1"/>
  <c r="I192" i="190" s="1"/>
  <c r="J192" i="190" s="1"/>
  <c r="I193" i="190" s="1"/>
  <c r="J193" i="190" s="1"/>
  <c r="I194" i="190" s="1"/>
  <c r="J194" i="190" s="1"/>
  <c r="I195" i="190" s="1"/>
  <c r="J195" i="190" s="1"/>
  <c r="I196" i="190" s="1"/>
  <c r="J196" i="190" s="1"/>
  <c r="L190" i="190" s="1"/>
  <c r="M190" i="190" s="1"/>
  <c r="L191" i="190" s="1"/>
  <c r="M191" i="190" s="1"/>
  <c r="L192" i="190" s="1"/>
  <c r="M192" i="190" s="1"/>
  <c r="L193" i="190" s="1"/>
  <c r="M193" i="190" s="1"/>
  <c r="L194" i="190" s="1"/>
  <c r="M194" i="190" s="1"/>
  <c r="L195" i="190" s="1"/>
  <c r="M195" i="190" s="1"/>
  <c r="L196" i="190" s="1"/>
  <c r="M196" i="190" s="1"/>
  <c r="C190" i="190"/>
  <c r="C177" i="190"/>
  <c r="B178" i="190" s="1"/>
  <c r="C178" i="190" s="1"/>
  <c r="B179" i="190" s="1"/>
  <c r="C179" i="190" s="1"/>
  <c r="B180" i="190" s="1"/>
  <c r="C180" i="190" s="1"/>
  <c r="B181" i="190" s="1"/>
  <c r="C181" i="190" s="1"/>
  <c r="B182" i="190" s="1"/>
  <c r="C182" i="190" s="1"/>
  <c r="B183" i="190" s="1"/>
  <c r="C183" i="190" s="1"/>
  <c r="E177" i="190" s="1"/>
  <c r="G177" i="190" s="1"/>
  <c r="E178" i="190" s="1"/>
  <c r="G178" i="190" s="1"/>
  <c r="E179" i="190" s="1"/>
  <c r="G179" i="190" s="1"/>
  <c r="E180" i="190" s="1"/>
  <c r="G180" i="190" s="1"/>
  <c r="E181" i="190" s="1"/>
  <c r="G181" i="190" s="1"/>
  <c r="E182" i="190" s="1"/>
  <c r="G182" i="190" s="1"/>
  <c r="E183" i="190" s="1"/>
  <c r="G183" i="190" s="1"/>
  <c r="I177" i="190" s="1"/>
  <c r="J177" i="190" s="1"/>
  <c r="I178" i="190" s="1"/>
  <c r="J178" i="190" s="1"/>
  <c r="I179" i="190" s="1"/>
  <c r="J179" i="190" s="1"/>
  <c r="I180" i="190" s="1"/>
  <c r="J180" i="190" s="1"/>
  <c r="I181" i="190" s="1"/>
  <c r="J181" i="190" s="1"/>
  <c r="I182" i="190" s="1"/>
  <c r="J182" i="190" s="1"/>
  <c r="I183" i="190" s="1"/>
  <c r="J183" i="190" s="1"/>
  <c r="L177" i="190" s="1"/>
  <c r="M177" i="190" s="1"/>
  <c r="L178" i="190" s="1"/>
  <c r="M178" i="190" s="1"/>
  <c r="L179" i="190" s="1"/>
  <c r="M179" i="190" s="1"/>
  <c r="L180" i="190" s="1"/>
  <c r="M180" i="190" s="1"/>
  <c r="L181" i="190" s="1"/>
  <c r="M181" i="190" s="1"/>
  <c r="L182" i="190" s="1"/>
  <c r="M182" i="190" s="1"/>
  <c r="L183" i="190" s="1"/>
  <c r="M183" i="190" s="1"/>
  <c r="H171" i="190"/>
  <c r="C170" i="190"/>
  <c r="I166" i="190"/>
  <c r="D166" i="190"/>
  <c r="I165" i="190"/>
  <c r="D165" i="190"/>
  <c r="D164" i="190"/>
  <c r="I156" i="190"/>
  <c r="D155" i="190"/>
  <c r="D151" i="190"/>
  <c r="I150" i="190"/>
  <c r="I149" i="190"/>
  <c r="D149" i="190"/>
  <c r="D148" i="190"/>
  <c r="F144" i="190"/>
  <c r="H144" i="190" s="1"/>
  <c r="J171" i="190" s="1"/>
  <c r="C129" i="190"/>
  <c r="B130" i="190" s="1"/>
  <c r="C130" i="190" s="1"/>
  <c r="B131" i="190" s="1"/>
  <c r="C131" i="190" s="1"/>
  <c r="B132" i="190" s="1"/>
  <c r="C132" i="190" s="1"/>
  <c r="B133" i="190" s="1"/>
  <c r="C133" i="190" s="1"/>
  <c r="B134" i="190" s="1"/>
  <c r="C134" i="190" s="1"/>
  <c r="B135" i="190" s="1"/>
  <c r="C135" i="190" s="1"/>
  <c r="E129" i="190" s="1"/>
  <c r="G129" i="190" s="1"/>
  <c r="E130" i="190" s="1"/>
  <c r="G130" i="190" s="1"/>
  <c r="E131" i="190" s="1"/>
  <c r="G131" i="190" s="1"/>
  <c r="E132" i="190" s="1"/>
  <c r="G132" i="190" s="1"/>
  <c r="E133" i="190" s="1"/>
  <c r="G133" i="190" s="1"/>
  <c r="E134" i="190" s="1"/>
  <c r="G134" i="190" s="1"/>
  <c r="E135" i="190" s="1"/>
  <c r="G135" i="190" s="1"/>
  <c r="I129" i="190" s="1"/>
  <c r="J129" i="190" s="1"/>
  <c r="I130" i="190" s="1"/>
  <c r="J130" i="190" s="1"/>
  <c r="I131" i="190" s="1"/>
  <c r="J131" i="190" s="1"/>
  <c r="I132" i="190" s="1"/>
  <c r="J132" i="190" s="1"/>
  <c r="I133" i="190" s="1"/>
  <c r="J133" i="190" s="1"/>
  <c r="I134" i="190" s="1"/>
  <c r="J134" i="190" s="1"/>
  <c r="I135" i="190" s="1"/>
  <c r="J135" i="190" s="1"/>
  <c r="L129" i="190" s="1"/>
  <c r="M129" i="190" s="1"/>
  <c r="L130" i="190" s="1"/>
  <c r="M130" i="190" s="1"/>
  <c r="L131" i="190" s="1"/>
  <c r="M131" i="190" s="1"/>
  <c r="L132" i="190" s="1"/>
  <c r="M132" i="190" s="1"/>
  <c r="L133" i="190" s="1"/>
  <c r="M133" i="190" s="1"/>
  <c r="L134" i="190" s="1"/>
  <c r="M134" i="190" s="1"/>
  <c r="L135" i="190" s="1"/>
  <c r="M135" i="190" s="1"/>
  <c r="H125" i="190"/>
  <c r="C124" i="190"/>
  <c r="I120" i="190"/>
  <c r="I119" i="190"/>
  <c r="D119" i="190"/>
  <c r="I118" i="190"/>
  <c r="D118" i="190"/>
  <c r="D117" i="190"/>
  <c r="I114" i="190"/>
  <c r="D113" i="190"/>
  <c r="I110" i="190"/>
  <c r="D109" i="190"/>
  <c r="I106" i="190"/>
  <c r="D105" i="190"/>
  <c r="I104" i="190"/>
  <c r="I103" i="190"/>
  <c r="D103" i="190"/>
  <c r="D102" i="190"/>
  <c r="F98" i="190"/>
  <c r="H98" i="190" s="1"/>
  <c r="J125" i="190" s="1"/>
  <c r="C83" i="190"/>
  <c r="B84" i="190" s="1"/>
  <c r="C84" i="190" s="1"/>
  <c r="B85" i="190" s="1"/>
  <c r="C85" i="190" s="1"/>
  <c r="B86" i="190" s="1"/>
  <c r="C86" i="190" s="1"/>
  <c r="B87" i="190" s="1"/>
  <c r="C87" i="190" s="1"/>
  <c r="B88" i="190" s="1"/>
  <c r="C88" i="190" s="1"/>
  <c r="B89" i="190" s="1"/>
  <c r="C89" i="190" s="1"/>
  <c r="E83" i="190" s="1"/>
  <c r="G83" i="190" s="1"/>
  <c r="E84" i="190" s="1"/>
  <c r="G84" i="190" s="1"/>
  <c r="E85" i="190" s="1"/>
  <c r="G85" i="190" s="1"/>
  <c r="E86" i="190" s="1"/>
  <c r="G86" i="190" s="1"/>
  <c r="E87" i="190" s="1"/>
  <c r="G87" i="190" s="1"/>
  <c r="E88" i="190" s="1"/>
  <c r="G88" i="190" s="1"/>
  <c r="E89" i="190" s="1"/>
  <c r="G89" i="190" s="1"/>
  <c r="I83" i="190" s="1"/>
  <c r="J83" i="190" s="1"/>
  <c r="I84" i="190" s="1"/>
  <c r="J84" i="190" s="1"/>
  <c r="I85" i="190" s="1"/>
  <c r="J85" i="190" s="1"/>
  <c r="I86" i="190" s="1"/>
  <c r="J86" i="190" s="1"/>
  <c r="I87" i="190" s="1"/>
  <c r="J87" i="190" s="1"/>
  <c r="I88" i="190" s="1"/>
  <c r="J88" i="190" s="1"/>
  <c r="I89" i="190" s="1"/>
  <c r="J89" i="190" s="1"/>
  <c r="L83" i="190" s="1"/>
  <c r="M83" i="190" s="1"/>
  <c r="L84" i="190" s="1"/>
  <c r="M84" i="190" s="1"/>
  <c r="L85" i="190" s="1"/>
  <c r="M85" i="190" s="1"/>
  <c r="L86" i="190" s="1"/>
  <c r="M86" i="190" s="1"/>
  <c r="L87" i="190" s="1"/>
  <c r="M87" i="190" s="1"/>
  <c r="L88" i="190" s="1"/>
  <c r="M88" i="190" s="1"/>
  <c r="L89" i="190" s="1"/>
  <c r="M89" i="190" s="1"/>
  <c r="H79" i="190"/>
  <c r="C78" i="190"/>
  <c r="D75" i="190"/>
  <c r="I74" i="190"/>
  <c r="I73" i="190"/>
  <c r="D73" i="190"/>
  <c r="D72" i="190"/>
  <c r="I68" i="190"/>
  <c r="D67" i="190"/>
  <c r="D66" i="190"/>
  <c r="I65" i="190"/>
  <c r="I64" i="190"/>
  <c r="D64" i="190"/>
  <c r="D63" i="190"/>
  <c r="I62" i="190"/>
  <c r="D61" i="190"/>
  <c r="I60" i="190"/>
  <c r="D59" i="190"/>
  <c r="I58" i="190"/>
  <c r="I57" i="190"/>
  <c r="D57" i="190"/>
  <c r="D56" i="190"/>
  <c r="F52" i="190"/>
  <c r="H52" i="190" s="1"/>
  <c r="J79" i="190" s="1"/>
  <c r="C37" i="190"/>
  <c r="B38" i="190" s="1"/>
  <c r="C38" i="190" s="1"/>
  <c r="B39" i="190" s="1"/>
  <c r="C39" i="190" s="1"/>
  <c r="B40" i="190" s="1"/>
  <c r="C40" i="190" s="1"/>
  <c r="B41" i="190" s="1"/>
  <c r="C41" i="190" s="1"/>
  <c r="B42" i="190" s="1"/>
  <c r="C42" i="190" s="1"/>
  <c r="B43" i="190" s="1"/>
  <c r="C43" i="190" s="1"/>
  <c r="E37" i="190" s="1"/>
  <c r="G37" i="190" s="1"/>
  <c r="E38" i="190" s="1"/>
  <c r="G38" i="190" s="1"/>
  <c r="E39" i="190" s="1"/>
  <c r="G39" i="190" s="1"/>
  <c r="E40" i="190" s="1"/>
  <c r="G40" i="190" s="1"/>
  <c r="E41" i="190" s="1"/>
  <c r="G41" i="190" s="1"/>
  <c r="E42" i="190" s="1"/>
  <c r="G42" i="190" s="1"/>
  <c r="E43" i="190" s="1"/>
  <c r="G43" i="190" s="1"/>
  <c r="I37" i="190" s="1"/>
  <c r="J37" i="190" s="1"/>
  <c r="I38" i="190" s="1"/>
  <c r="J38" i="190" s="1"/>
  <c r="I39" i="190" s="1"/>
  <c r="J39" i="190" s="1"/>
  <c r="I40" i="190" s="1"/>
  <c r="J40" i="190" s="1"/>
  <c r="I41" i="190" s="1"/>
  <c r="J41" i="190" s="1"/>
  <c r="I42" i="190" s="1"/>
  <c r="J42" i="190" s="1"/>
  <c r="I43" i="190" s="1"/>
  <c r="J43" i="190" s="1"/>
  <c r="L37" i="190" s="1"/>
  <c r="M37" i="190" s="1"/>
  <c r="L38" i="190" s="1"/>
  <c r="M38" i="190" s="1"/>
  <c r="L39" i="190" s="1"/>
  <c r="M39" i="190" s="1"/>
  <c r="L40" i="190" s="1"/>
  <c r="M40" i="190" s="1"/>
  <c r="L41" i="190" s="1"/>
  <c r="M41" i="190" s="1"/>
  <c r="L42" i="190" s="1"/>
  <c r="M42" i="190" s="1"/>
  <c r="L43" i="190" s="1"/>
  <c r="M43" i="190" s="1"/>
  <c r="H33" i="190"/>
  <c r="C32" i="190"/>
  <c r="I28" i="190"/>
  <c r="I27" i="190"/>
  <c r="D27" i="190"/>
  <c r="I26" i="190"/>
  <c r="D26" i="190"/>
  <c r="D25" i="190"/>
  <c r="I22" i="190"/>
  <c r="D21" i="190"/>
  <c r="I18" i="190"/>
  <c r="D17" i="190"/>
  <c r="I14" i="190"/>
  <c r="D13" i="190"/>
  <c r="I12" i="190"/>
  <c r="I11" i="190"/>
  <c r="D11" i="190"/>
  <c r="D10" i="190"/>
  <c r="F6" i="190"/>
  <c r="H6" i="190" s="1"/>
  <c r="J33" i="190" s="1"/>
  <c r="J62" i="190" s="1"/>
  <c r="C237" i="189"/>
  <c r="B238" i="189" s="1"/>
  <c r="C238" i="189" s="1"/>
  <c r="B239" i="189" s="1"/>
  <c r="C239" i="189" s="1"/>
  <c r="B240" i="189" s="1"/>
  <c r="C240" i="189" s="1"/>
  <c r="B241" i="189" s="1"/>
  <c r="C241" i="189" s="1"/>
  <c r="B242" i="189" s="1"/>
  <c r="C242" i="189" s="1"/>
  <c r="B243" i="189" s="1"/>
  <c r="C243" i="189" s="1"/>
  <c r="E237" i="189" s="1"/>
  <c r="G237" i="189" s="1"/>
  <c r="E238" i="189" s="1"/>
  <c r="G238" i="189" s="1"/>
  <c r="E239" i="189" s="1"/>
  <c r="G239" i="189" s="1"/>
  <c r="E240" i="189" s="1"/>
  <c r="G240" i="189" s="1"/>
  <c r="E241" i="189" s="1"/>
  <c r="G241" i="189" s="1"/>
  <c r="E242" i="189" s="1"/>
  <c r="G242" i="189" s="1"/>
  <c r="E243" i="189" s="1"/>
  <c r="G243" i="189" s="1"/>
  <c r="I237" i="189" s="1"/>
  <c r="J237" i="189" s="1"/>
  <c r="I238" i="189" s="1"/>
  <c r="J238" i="189" s="1"/>
  <c r="I239" i="189" s="1"/>
  <c r="J239" i="189" s="1"/>
  <c r="I240" i="189" s="1"/>
  <c r="J240" i="189" s="1"/>
  <c r="I241" i="189" s="1"/>
  <c r="J241" i="189" s="1"/>
  <c r="I242" i="189" s="1"/>
  <c r="J242" i="189" s="1"/>
  <c r="I243" i="189" s="1"/>
  <c r="J243" i="189" s="1"/>
  <c r="L237" i="189" s="1"/>
  <c r="M237" i="189" s="1"/>
  <c r="L238" i="189" s="1"/>
  <c r="M238" i="189" s="1"/>
  <c r="L239" i="189" s="1"/>
  <c r="M239" i="189" s="1"/>
  <c r="L240" i="189" s="1"/>
  <c r="M240" i="189" s="1"/>
  <c r="L241" i="189" s="1"/>
  <c r="M241" i="189" s="1"/>
  <c r="L242" i="189" s="1"/>
  <c r="M242" i="189" s="1"/>
  <c r="L243" i="189" s="1"/>
  <c r="M243" i="189" s="1"/>
  <c r="H233" i="189"/>
  <c r="C232" i="189"/>
  <c r="J228" i="189"/>
  <c r="I228" i="189"/>
  <c r="J227" i="189"/>
  <c r="I227" i="189"/>
  <c r="D227" i="189"/>
  <c r="D226" i="189"/>
  <c r="J222" i="189"/>
  <c r="I222" i="189"/>
  <c r="D221" i="189"/>
  <c r="J219" i="189"/>
  <c r="I219" i="189"/>
  <c r="D218" i="189"/>
  <c r="J216" i="189"/>
  <c r="I216" i="189"/>
  <c r="D215" i="189"/>
  <c r="J214" i="189"/>
  <c r="I214" i="189"/>
  <c r="D213" i="189"/>
  <c r="J212" i="189"/>
  <c r="I212" i="189"/>
  <c r="J211" i="189"/>
  <c r="I211" i="189"/>
  <c r="D211" i="189"/>
  <c r="D210" i="189"/>
  <c r="F206" i="189"/>
  <c r="H206" i="189" s="1"/>
  <c r="J233" i="189" s="1"/>
  <c r="B192" i="189"/>
  <c r="C192" i="189" s="1"/>
  <c r="B193" i="189" s="1"/>
  <c r="C193" i="189" s="1"/>
  <c r="B194" i="189" s="1"/>
  <c r="C194" i="189" s="1"/>
  <c r="B195" i="189" s="1"/>
  <c r="C195" i="189" s="1"/>
  <c r="B196" i="189" s="1"/>
  <c r="C196" i="189" s="1"/>
  <c r="B197" i="189" s="1"/>
  <c r="C197" i="189" s="1"/>
  <c r="E191" i="189" s="1"/>
  <c r="G191" i="189" s="1"/>
  <c r="E192" i="189" s="1"/>
  <c r="G192" i="189" s="1"/>
  <c r="E193" i="189" s="1"/>
  <c r="G193" i="189" s="1"/>
  <c r="E194" i="189" s="1"/>
  <c r="G194" i="189" s="1"/>
  <c r="E195" i="189" s="1"/>
  <c r="G195" i="189" s="1"/>
  <c r="E196" i="189" s="1"/>
  <c r="G196" i="189" s="1"/>
  <c r="E197" i="189" s="1"/>
  <c r="G197" i="189" s="1"/>
  <c r="I191" i="189" s="1"/>
  <c r="J191" i="189" s="1"/>
  <c r="I192" i="189" s="1"/>
  <c r="J192" i="189" s="1"/>
  <c r="I193" i="189" s="1"/>
  <c r="J193" i="189" s="1"/>
  <c r="I194" i="189" s="1"/>
  <c r="J194" i="189" s="1"/>
  <c r="I195" i="189" s="1"/>
  <c r="J195" i="189" s="1"/>
  <c r="I196" i="189" s="1"/>
  <c r="J196" i="189" s="1"/>
  <c r="I197" i="189" s="1"/>
  <c r="J197" i="189" s="1"/>
  <c r="L191" i="189" s="1"/>
  <c r="M191" i="189" s="1"/>
  <c r="L192" i="189" s="1"/>
  <c r="M192" i="189" s="1"/>
  <c r="L193" i="189" s="1"/>
  <c r="M193" i="189" s="1"/>
  <c r="L194" i="189" s="1"/>
  <c r="M194" i="189" s="1"/>
  <c r="L195" i="189" s="1"/>
  <c r="M195" i="189" s="1"/>
  <c r="L196" i="189" s="1"/>
  <c r="M196" i="189" s="1"/>
  <c r="L197" i="189" s="1"/>
  <c r="M197" i="189" s="1"/>
  <c r="C191" i="189"/>
  <c r="H187" i="189"/>
  <c r="C186" i="189"/>
  <c r="J182" i="189"/>
  <c r="I182" i="189"/>
  <c r="J181" i="189"/>
  <c r="I181" i="189"/>
  <c r="D181" i="189"/>
  <c r="J180" i="189"/>
  <c r="I180" i="189"/>
  <c r="D180" i="189"/>
  <c r="D179" i="189"/>
  <c r="J176" i="189"/>
  <c r="I176" i="189"/>
  <c r="D175" i="189"/>
  <c r="J172" i="189"/>
  <c r="I172" i="189"/>
  <c r="D171" i="189"/>
  <c r="J168" i="189"/>
  <c r="I168" i="189"/>
  <c r="D167" i="189"/>
  <c r="J166" i="189"/>
  <c r="I166" i="189"/>
  <c r="J165" i="189"/>
  <c r="I165" i="189"/>
  <c r="D165" i="189"/>
  <c r="D164" i="189"/>
  <c r="F160" i="189"/>
  <c r="H160" i="189" s="1"/>
  <c r="J187" i="189" s="1"/>
  <c r="C145" i="189"/>
  <c r="B146" i="189" s="1"/>
  <c r="C146" i="189" s="1"/>
  <c r="B147" i="189" s="1"/>
  <c r="C147" i="189" s="1"/>
  <c r="B148" i="189" s="1"/>
  <c r="C148" i="189" s="1"/>
  <c r="B149" i="189" s="1"/>
  <c r="C149" i="189" s="1"/>
  <c r="B150" i="189" s="1"/>
  <c r="C150" i="189" s="1"/>
  <c r="B151" i="189" s="1"/>
  <c r="C151" i="189" s="1"/>
  <c r="E145" i="189" s="1"/>
  <c r="G145" i="189" s="1"/>
  <c r="E146" i="189" s="1"/>
  <c r="G146" i="189" s="1"/>
  <c r="E147" i="189" s="1"/>
  <c r="G147" i="189" s="1"/>
  <c r="E148" i="189" s="1"/>
  <c r="G148" i="189" s="1"/>
  <c r="E149" i="189" s="1"/>
  <c r="G149" i="189" s="1"/>
  <c r="E150" i="189" s="1"/>
  <c r="G150" i="189" s="1"/>
  <c r="E151" i="189" s="1"/>
  <c r="G151" i="189" s="1"/>
  <c r="I145" i="189" s="1"/>
  <c r="J145" i="189" s="1"/>
  <c r="I146" i="189" s="1"/>
  <c r="J146" i="189" s="1"/>
  <c r="I147" i="189" s="1"/>
  <c r="J147" i="189" s="1"/>
  <c r="I148" i="189" s="1"/>
  <c r="J148" i="189" s="1"/>
  <c r="I149" i="189" s="1"/>
  <c r="J149" i="189" s="1"/>
  <c r="I150" i="189" s="1"/>
  <c r="J150" i="189" s="1"/>
  <c r="I151" i="189" s="1"/>
  <c r="J151" i="189" s="1"/>
  <c r="L145" i="189" s="1"/>
  <c r="M145" i="189" s="1"/>
  <c r="L146" i="189" s="1"/>
  <c r="M146" i="189" s="1"/>
  <c r="L147" i="189" s="1"/>
  <c r="M147" i="189" s="1"/>
  <c r="L148" i="189" s="1"/>
  <c r="M148" i="189" s="1"/>
  <c r="L149" i="189" s="1"/>
  <c r="M149" i="189" s="1"/>
  <c r="L150" i="189" s="1"/>
  <c r="M150" i="189" s="1"/>
  <c r="L151" i="189" s="1"/>
  <c r="M151" i="189" s="1"/>
  <c r="H141" i="189"/>
  <c r="C140" i="189"/>
  <c r="D137" i="189"/>
  <c r="J136" i="189"/>
  <c r="I136" i="189"/>
  <c r="J135" i="189"/>
  <c r="I135" i="189"/>
  <c r="D135" i="189"/>
  <c r="D134" i="189"/>
  <c r="J130" i="189"/>
  <c r="I130" i="189"/>
  <c r="D129" i="189"/>
  <c r="D128" i="189"/>
  <c r="J127" i="189"/>
  <c r="I127" i="189"/>
  <c r="J126" i="189"/>
  <c r="I126" i="189"/>
  <c r="D126" i="189"/>
  <c r="D125" i="189"/>
  <c r="J124" i="189"/>
  <c r="I124" i="189"/>
  <c r="D123" i="189"/>
  <c r="J122" i="189"/>
  <c r="I122" i="189"/>
  <c r="D121" i="189"/>
  <c r="J120" i="189"/>
  <c r="I120" i="189"/>
  <c r="J119" i="189"/>
  <c r="I119" i="189"/>
  <c r="D119" i="189"/>
  <c r="D118" i="189"/>
  <c r="F114" i="189"/>
  <c r="H114" i="189" s="1"/>
  <c r="J141" i="189" s="1"/>
  <c r="C99" i="189"/>
  <c r="B100" i="189" s="1"/>
  <c r="C100" i="189" s="1"/>
  <c r="B101" i="189" s="1"/>
  <c r="C101" i="189" s="1"/>
  <c r="B102" i="189" s="1"/>
  <c r="C102" i="189" s="1"/>
  <c r="B103" i="189" s="1"/>
  <c r="C103" i="189" s="1"/>
  <c r="B104" i="189" s="1"/>
  <c r="C104" i="189" s="1"/>
  <c r="B105" i="189" s="1"/>
  <c r="C105" i="189" s="1"/>
  <c r="E99" i="189" s="1"/>
  <c r="G99" i="189" s="1"/>
  <c r="E100" i="189" s="1"/>
  <c r="G100" i="189" s="1"/>
  <c r="E101" i="189" s="1"/>
  <c r="G101" i="189" s="1"/>
  <c r="E102" i="189" s="1"/>
  <c r="G102" i="189" s="1"/>
  <c r="E103" i="189" s="1"/>
  <c r="G103" i="189" s="1"/>
  <c r="E104" i="189" s="1"/>
  <c r="G104" i="189" s="1"/>
  <c r="E105" i="189" s="1"/>
  <c r="G105" i="189" s="1"/>
  <c r="I99" i="189" s="1"/>
  <c r="J99" i="189" s="1"/>
  <c r="I100" i="189" s="1"/>
  <c r="J100" i="189" s="1"/>
  <c r="I101" i="189" s="1"/>
  <c r="J101" i="189" s="1"/>
  <c r="I102" i="189" s="1"/>
  <c r="J102" i="189" s="1"/>
  <c r="I103" i="189" s="1"/>
  <c r="J103" i="189" s="1"/>
  <c r="I104" i="189" s="1"/>
  <c r="J104" i="189" s="1"/>
  <c r="I105" i="189" s="1"/>
  <c r="J105" i="189" s="1"/>
  <c r="L99" i="189" s="1"/>
  <c r="M99" i="189" s="1"/>
  <c r="L100" i="189" s="1"/>
  <c r="M100" i="189" s="1"/>
  <c r="L101" i="189" s="1"/>
  <c r="M101" i="189" s="1"/>
  <c r="L102" i="189" s="1"/>
  <c r="M102" i="189" s="1"/>
  <c r="L103" i="189" s="1"/>
  <c r="M103" i="189" s="1"/>
  <c r="L104" i="189" s="1"/>
  <c r="M104" i="189" s="1"/>
  <c r="L105" i="189" s="1"/>
  <c r="M105" i="189" s="1"/>
  <c r="H95" i="189"/>
  <c r="C94" i="189"/>
  <c r="J91" i="189"/>
  <c r="I91" i="189"/>
  <c r="J90" i="189"/>
  <c r="I90" i="189"/>
  <c r="J89" i="189"/>
  <c r="I89" i="189"/>
  <c r="D89" i="189"/>
  <c r="D88" i="189"/>
  <c r="J80" i="189"/>
  <c r="I80" i="189"/>
  <c r="D80" i="189"/>
  <c r="J76" i="189"/>
  <c r="I76" i="189"/>
  <c r="J74" i="189"/>
  <c r="I74" i="189"/>
  <c r="J73" i="189"/>
  <c r="I73" i="189"/>
  <c r="D73" i="189"/>
  <c r="D72" i="189"/>
  <c r="F68" i="189"/>
  <c r="H68" i="189" s="1"/>
  <c r="J95" i="189" s="1"/>
  <c r="C53" i="189"/>
  <c r="B54" i="189" s="1"/>
  <c r="C54" i="189" s="1"/>
  <c r="B55" i="189" s="1"/>
  <c r="C55" i="189" s="1"/>
  <c r="B56" i="189" s="1"/>
  <c r="C56" i="189" s="1"/>
  <c r="B57" i="189" s="1"/>
  <c r="C57" i="189" s="1"/>
  <c r="B58" i="189" s="1"/>
  <c r="C58" i="189" s="1"/>
  <c r="B59" i="189" s="1"/>
  <c r="C59" i="189" s="1"/>
  <c r="E53" i="189" s="1"/>
  <c r="G53" i="189" s="1"/>
  <c r="E54" i="189" s="1"/>
  <c r="G54" i="189" s="1"/>
  <c r="E55" i="189" s="1"/>
  <c r="G55" i="189" s="1"/>
  <c r="E56" i="189" s="1"/>
  <c r="G56" i="189" s="1"/>
  <c r="E57" i="189" s="1"/>
  <c r="G57" i="189" s="1"/>
  <c r="E58" i="189" s="1"/>
  <c r="G58" i="189" s="1"/>
  <c r="E59" i="189" s="1"/>
  <c r="G59" i="189" s="1"/>
  <c r="I53" i="189" s="1"/>
  <c r="J53" i="189" s="1"/>
  <c r="I54" i="189" s="1"/>
  <c r="J54" i="189" s="1"/>
  <c r="I55" i="189" s="1"/>
  <c r="J55" i="189" s="1"/>
  <c r="I56" i="189" s="1"/>
  <c r="J56" i="189" s="1"/>
  <c r="I57" i="189" s="1"/>
  <c r="J57" i="189" s="1"/>
  <c r="I58" i="189" s="1"/>
  <c r="J58" i="189" s="1"/>
  <c r="I59" i="189" s="1"/>
  <c r="J59" i="189" s="1"/>
  <c r="L53" i="189" s="1"/>
  <c r="M53" i="189" s="1"/>
  <c r="L54" i="189" s="1"/>
  <c r="M54" i="189" s="1"/>
  <c r="L55" i="189" s="1"/>
  <c r="M55" i="189" s="1"/>
  <c r="L56" i="189" s="1"/>
  <c r="M56" i="189" s="1"/>
  <c r="L57" i="189" s="1"/>
  <c r="M57" i="189" s="1"/>
  <c r="L58" i="189" s="1"/>
  <c r="M58" i="189" s="1"/>
  <c r="L59" i="189" s="1"/>
  <c r="M59" i="189" s="1"/>
  <c r="B41" i="189"/>
  <c r="C41" i="189" s="1"/>
  <c r="B42" i="189" s="1"/>
  <c r="C42" i="189" s="1"/>
  <c r="B43" i="189" s="1"/>
  <c r="C43" i="189" s="1"/>
  <c r="B44" i="189" s="1"/>
  <c r="C44" i="189" s="1"/>
  <c r="B45" i="189" s="1"/>
  <c r="C45" i="189" s="1"/>
  <c r="B46" i="189" s="1"/>
  <c r="C46" i="189" s="1"/>
  <c r="E40" i="189" s="1"/>
  <c r="G40" i="189" s="1"/>
  <c r="E41" i="189" s="1"/>
  <c r="G41" i="189" s="1"/>
  <c r="E42" i="189" s="1"/>
  <c r="G42" i="189" s="1"/>
  <c r="E43" i="189" s="1"/>
  <c r="G43" i="189" s="1"/>
  <c r="E44" i="189" s="1"/>
  <c r="G44" i="189" s="1"/>
  <c r="E45" i="189" s="1"/>
  <c r="G45" i="189" s="1"/>
  <c r="E46" i="189" s="1"/>
  <c r="G46" i="189" s="1"/>
  <c r="I40" i="189" s="1"/>
  <c r="J40" i="189" s="1"/>
  <c r="I41" i="189" s="1"/>
  <c r="J41" i="189" s="1"/>
  <c r="I42" i="189" s="1"/>
  <c r="J42" i="189" s="1"/>
  <c r="I43" i="189" s="1"/>
  <c r="J43" i="189" s="1"/>
  <c r="I44" i="189" s="1"/>
  <c r="J44" i="189" s="1"/>
  <c r="I45" i="189" s="1"/>
  <c r="J45" i="189" s="1"/>
  <c r="I46" i="189" s="1"/>
  <c r="J46" i="189" s="1"/>
  <c r="L40" i="189" s="1"/>
  <c r="M40" i="189" s="1"/>
  <c r="L41" i="189" s="1"/>
  <c r="M41" i="189" s="1"/>
  <c r="L42" i="189" s="1"/>
  <c r="M42" i="189" s="1"/>
  <c r="L43" i="189" s="1"/>
  <c r="M43" i="189" s="1"/>
  <c r="L44" i="189" s="1"/>
  <c r="M44" i="189" s="1"/>
  <c r="L45" i="189" s="1"/>
  <c r="M45" i="189" s="1"/>
  <c r="L46" i="189" s="1"/>
  <c r="M46" i="189" s="1"/>
  <c r="C40" i="189"/>
  <c r="H33" i="189"/>
  <c r="C32" i="189"/>
  <c r="I28" i="189"/>
  <c r="D28" i="189"/>
  <c r="I27" i="189"/>
  <c r="D27" i="189"/>
  <c r="D26" i="189"/>
  <c r="I18" i="189"/>
  <c r="D17" i="189"/>
  <c r="D13" i="189"/>
  <c r="I12" i="189"/>
  <c r="I11" i="189"/>
  <c r="D11" i="189"/>
  <c r="D10" i="189"/>
  <c r="F6" i="189"/>
  <c r="H6" i="189" s="1"/>
  <c r="J33" i="189" s="1"/>
  <c r="B192" i="188"/>
  <c r="C192" i="188" s="1"/>
  <c r="B193" i="188" s="1"/>
  <c r="C193" i="188" s="1"/>
  <c r="B194" i="188" s="1"/>
  <c r="C194" i="188" s="1"/>
  <c r="B195" i="188" s="1"/>
  <c r="C195" i="188" s="1"/>
  <c r="B196" i="188" s="1"/>
  <c r="C196" i="188" s="1"/>
  <c r="B197" i="188" s="1"/>
  <c r="C197" i="188" s="1"/>
  <c r="E191" i="188" s="1"/>
  <c r="G191" i="188" s="1"/>
  <c r="E192" i="188" s="1"/>
  <c r="G192" i="188" s="1"/>
  <c r="E193" i="188" s="1"/>
  <c r="G193" i="188" s="1"/>
  <c r="E194" i="188" s="1"/>
  <c r="G194" i="188" s="1"/>
  <c r="E195" i="188" s="1"/>
  <c r="G195" i="188" s="1"/>
  <c r="E196" i="188" s="1"/>
  <c r="G196" i="188" s="1"/>
  <c r="E197" i="188" s="1"/>
  <c r="G197" i="188" s="1"/>
  <c r="I191" i="188" s="1"/>
  <c r="J191" i="188" s="1"/>
  <c r="I192" i="188" s="1"/>
  <c r="J192" i="188" s="1"/>
  <c r="I193" i="188" s="1"/>
  <c r="J193" i="188" s="1"/>
  <c r="I194" i="188" s="1"/>
  <c r="J194" i="188" s="1"/>
  <c r="I195" i="188" s="1"/>
  <c r="J195" i="188" s="1"/>
  <c r="I196" i="188" s="1"/>
  <c r="J196" i="188" s="1"/>
  <c r="I197" i="188" s="1"/>
  <c r="J197" i="188" s="1"/>
  <c r="L191" i="188" s="1"/>
  <c r="M191" i="188" s="1"/>
  <c r="L192" i="188" s="1"/>
  <c r="M192" i="188" s="1"/>
  <c r="L193" i="188" s="1"/>
  <c r="M193" i="188" s="1"/>
  <c r="L194" i="188" s="1"/>
  <c r="M194" i="188" s="1"/>
  <c r="L195" i="188" s="1"/>
  <c r="M195" i="188" s="1"/>
  <c r="L196" i="188" s="1"/>
  <c r="M196" i="188" s="1"/>
  <c r="L197" i="188" s="1"/>
  <c r="M197" i="188" s="1"/>
  <c r="C191" i="188"/>
  <c r="B179" i="188"/>
  <c r="C179" i="188" s="1"/>
  <c r="B180" i="188" s="1"/>
  <c r="C180" i="188" s="1"/>
  <c r="B181" i="188" s="1"/>
  <c r="C181" i="188" s="1"/>
  <c r="B182" i="188" s="1"/>
  <c r="C182" i="188" s="1"/>
  <c r="B183" i="188" s="1"/>
  <c r="C183" i="188" s="1"/>
  <c r="B184" i="188" s="1"/>
  <c r="C184" i="188" s="1"/>
  <c r="E178" i="188" s="1"/>
  <c r="G178" i="188" s="1"/>
  <c r="E179" i="188" s="1"/>
  <c r="G179" i="188" s="1"/>
  <c r="E180" i="188" s="1"/>
  <c r="G180" i="188" s="1"/>
  <c r="E181" i="188" s="1"/>
  <c r="G181" i="188" s="1"/>
  <c r="E182" i="188" s="1"/>
  <c r="G182" i="188" s="1"/>
  <c r="E183" i="188" s="1"/>
  <c r="G183" i="188" s="1"/>
  <c r="E184" i="188" s="1"/>
  <c r="G184" i="188" s="1"/>
  <c r="I178" i="188" s="1"/>
  <c r="J178" i="188" s="1"/>
  <c r="I179" i="188" s="1"/>
  <c r="J179" i="188" s="1"/>
  <c r="I180" i="188" s="1"/>
  <c r="J180" i="188" s="1"/>
  <c r="I181" i="188" s="1"/>
  <c r="J181" i="188" s="1"/>
  <c r="I182" i="188" s="1"/>
  <c r="J182" i="188" s="1"/>
  <c r="I183" i="188" s="1"/>
  <c r="J183" i="188" s="1"/>
  <c r="I184" i="188" s="1"/>
  <c r="J184" i="188" s="1"/>
  <c r="L178" i="188" s="1"/>
  <c r="M178" i="188" s="1"/>
  <c r="L179" i="188" s="1"/>
  <c r="M179" i="188" s="1"/>
  <c r="L180" i="188" s="1"/>
  <c r="M180" i="188" s="1"/>
  <c r="L181" i="188" s="1"/>
  <c r="M181" i="188" s="1"/>
  <c r="L182" i="188" s="1"/>
  <c r="M182" i="188" s="1"/>
  <c r="L183" i="188" s="1"/>
  <c r="M183" i="188" s="1"/>
  <c r="L184" i="188" s="1"/>
  <c r="M184" i="188" s="1"/>
  <c r="C178" i="188"/>
  <c r="J110" i="190" l="1"/>
  <c r="J120" i="190"/>
  <c r="J64" i="190"/>
  <c r="J74" i="190"/>
  <c r="J114" i="190"/>
  <c r="J60" i="190"/>
  <c r="J68" i="190"/>
  <c r="J65" i="190"/>
  <c r="J156" i="190"/>
  <c r="J58" i="190"/>
  <c r="J149" i="190"/>
  <c r="J119" i="190"/>
  <c r="J103" i="190"/>
  <c r="J73" i="190"/>
  <c r="J57" i="190"/>
  <c r="J150" i="190"/>
  <c r="J104" i="190"/>
  <c r="J118" i="190"/>
  <c r="J165" i="190"/>
  <c r="J106" i="190"/>
  <c r="J166" i="190"/>
  <c r="J27" i="190"/>
  <c r="J14" i="190"/>
  <c r="J26" i="190"/>
  <c r="J12" i="190"/>
  <c r="J28" i="190"/>
  <c r="J18" i="190"/>
  <c r="J11" i="190"/>
  <c r="J22" i="190"/>
  <c r="J27" i="189"/>
  <c r="J18" i="189"/>
  <c r="J28" i="189"/>
  <c r="J12" i="189"/>
  <c r="J11" i="189"/>
  <c r="H171" i="188"/>
  <c r="C170" i="188"/>
  <c r="J167" i="188"/>
  <c r="I167" i="188"/>
  <c r="J166" i="188"/>
  <c r="I166" i="188"/>
  <c r="J165" i="188"/>
  <c r="I165" i="188"/>
  <c r="D165" i="188"/>
  <c r="D164" i="188"/>
  <c r="J156" i="188"/>
  <c r="I156" i="188"/>
  <c r="D156" i="188"/>
  <c r="J152" i="188"/>
  <c r="I152" i="188"/>
  <c r="J150" i="188"/>
  <c r="I150" i="188"/>
  <c r="J149" i="188"/>
  <c r="I149" i="188"/>
  <c r="D149" i="188"/>
  <c r="D148" i="188"/>
  <c r="F144" i="188"/>
  <c r="H144" i="188" s="1"/>
  <c r="J171" i="188" s="1"/>
  <c r="B130" i="188" l="1"/>
  <c r="C130" i="188" s="1"/>
  <c r="B131" i="188" s="1"/>
  <c r="C131" i="188" s="1"/>
  <c r="B132" i="188" s="1"/>
  <c r="C132" i="188" s="1"/>
  <c r="B133" i="188" s="1"/>
  <c r="C133" i="188" s="1"/>
  <c r="B134" i="188" s="1"/>
  <c r="C134" i="188" s="1"/>
  <c r="B135" i="188" s="1"/>
  <c r="C135" i="188" s="1"/>
  <c r="E129" i="188" s="1"/>
  <c r="G129" i="188" s="1"/>
  <c r="E130" i="188" s="1"/>
  <c r="G130" i="188" s="1"/>
  <c r="E131" i="188" s="1"/>
  <c r="G131" i="188" s="1"/>
  <c r="E132" i="188" s="1"/>
  <c r="G132" i="188" s="1"/>
  <c r="E133" i="188" s="1"/>
  <c r="G133" i="188" s="1"/>
  <c r="E134" i="188" s="1"/>
  <c r="G134" i="188" s="1"/>
  <c r="E135" i="188" s="1"/>
  <c r="G135" i="188" s="1"/>
  <c r="I129" i="188" s="1"/>
  <c r="J129" i="188" s="1"/>
  <c r="I130" i="188" s="1"/>
  <c r="J130" i="188" s="1"/>
  <c r="I131" i="188" s="1"/>
  <c r="J131" i="188" s="1"/>
  <c r="I132" i="188" s="1"/>
  <c r="J132" i="188" s="1"/>
  <c r="I133" i="188" s="1"/>
  <c r="J133" i="188" s="1"/>
  <c r="I134" i="188" s="1"/>
  <c r="J134" i="188" s="1"/>
  <c r="I135" i="188" s="1"/>
  <c r="J135" i="188" s="1"/>
  <c r="L129" i="188" s="1"/>
  <c r="M129" i="188" s="1"/>
  <c r="L130" i="188" s="1"/>
  <c r="M130" i="188" s="1"/>
  <c r="L131" i="188" s="1"/>
  <c r="M131" i="188" s="1"/>
  <c r="L132" i="188" s="1"/>
  <c r="M132" i="188" s="1"/>
  <c r="L133" i="188" s="1"/>
  <c r="M133" i="188" s="1"/>
  <c r="L134" i="188" s="1"/>
  <c r="M134" i="188" s="1"/>
  <c r="L135" i="188" s="1"/>
  <c r="M135" i="188" s="1"/>
  <c r="C129" i="188"/>
  <c r="H125" i="188"/>
  <c r="C124" i="188"/>
  <c r="D121" i="188"/>
  <c r="J120" i="188"/>
  <c r="I120" i="188"/>
  <c r="J119" i="188"/>
  <c r="I119" i="188"/>
  <c r="D119" i="188"/>
  <c r="D118" i="188"/>
  <c r="J114" i="188"/>
  <c r="I114" i="188"/>
  <c r="D113" i="188"/>
  <c r="D112" i="188"/>
  <c r="J111" i="188"/>
  <c r="I111" i="188"/>
  <c r="J110" i="188"/>
  <c r="I110" i="188"/>
  <c r="D110" i="188"/>
  <c r="D109" i="188"/>
  <c r="J108" i="188"/>
  <c r="I108" i="188"/>
  <c r="D107" i="188"/>
  <c r="J106" i="188"/>
  <c r="I106" i="188"/>
  <c r="D105" i="188"/>
  <c r="J104" i="188"/>
  <c r="I104" i="188"/>
  <c r="J103" i="188"/>
  <c r="I103" i="188"/>
  <c r="D103" i="188"/>
  <c r="D102" i="188"/>
  <c r="F98" i="188"/>
  <c r="H98" i="188" s="1"/>
  <c r="J125" i="188" s="1"/>
  <c r="B84" i="188"/>
  <c r="C84" i="188" s="1"/>
  <c r="B85" i="188" s="1"/>
  <c r="C85" i="188" s="1"/>
  <c r="B86" i="188" s="1"/>
  <c r="C86" i="188" s="1"/>
  <c r="B87" i="188" s="1"/>
  <c r="C87" i="188" s="1"/>
  <c r="B88" i="188" s="1"/>
  <c r="C88" i="188" s="1"/>
  <c r="B89" i="188" s="1"/>
  <c r="C89" i="188" s="1"/>
  <c r="E83" i="188" s="1"/>
  <c r="G83" i="188" s="1"/>
  <c r="E84" i="188" s="1"/>
  <c r="G84" i="188" s="1"/>
  <c r="E85" i="188" s="1"/>
  <c r="G85" i="188" s="1"/>
  <c r="E86" i="188" s="1"/>
  <c r="G86" i="188" s="1"/>
  <c r="E87" i="188" s="1"/>
  <c r="G87" i="188" s="1"/>
  <c r="E88" i="188" s="1"/>
  <c r="G88" i="188" s="1"/>
  <c r="E89" i="188" s="1"/>
  <c r="G89" i="188" s="1"/>
  <c r="I83" i="188" s="1"/>
  <c r="J83" i="188" s="1"/>
  <c r="I84" i="188" s="1"/>
  <c r="J84" i="188" s="1"/>
  <c r="I85" i="188" s="1"/>
  <c r="J85" i="188" s="1"/>
  <c r="I86" i="188" s="1"/>
  <c r="J86" i="188" s="1"/>
  <c r="I87" i="188" s="1"/>
  <c r="J87" i="188" s="1"/>
  <c r="I88" i="188" s="1"/>
  <c r="J88" i="188" s="1"/>
  <c r="I89" i="188" s="1"/>
  <c r="J89" i="188" s="1"/>
  <c r="L83" i="188" s="1"/>
  <c r="M83" i="188" s="1"/>
  <c r="L84" i="188" s="1"/>
  <c r="M84" i="188" s="1"/>
  <c r="L85" i="188" s="1"/>
  <c r="M85" i="188" s="1"/>
  <c r="L86" i="188" s="1"/>
  <c r="M86" i="188" s="1"/>
  <c r="L87" i="188" s="1"/>
  <c r="M87" i="188" s="1"/>
  <c r="L88" i="188" s="1"/>
  <c r="M88" i="188" s="1"/>
  <c r="L89" i="188" s="1"/>
  <c r="M89" i="188" s="1"/>
  <c r="C83" i="188"/>
  <c r="H79" i="188"/>
  <c r="C78" i="188"/>
  <c r="J74" i="188"/>
  <c r="I74" i="188"/>
  <c r="J73" i="188"/>
  <c r="I73" i="188"/>
  <c r="D73" i="188"/>
  <c r="D72" i="188"/>
  <c r="J68" i="188"/>
  <c r="I68" i="188"/>
  <c r="D67" i="188"/>
  <c r="J65" i="188"/>
  <c r="I65" i="188"/>
  <c r="D64" i="188"/>
  <c r="J62" i="188"/>
  <c r="I62" i="188"/>
  <c r="D61" i="188"/>
  <c r="J60" i="188"/>
  <c r="I60" i="188"/>
  <c r="D59" i="188"/>
  <c r="J58" i="188"/>
  <c r="I58" i="188"/>
  <c r="J57" i="188"/>
  <c r="I57" i="188"/>
  <c r="D57" i="188"/>
  <c r="D56" i="188"/>
  <c r="F52" i="188"/>
  <c r="H52" i="188" s="1"/>
  <c r="J79" i="188" s="1"/>
  <c r="B38" i="188"/>
  <c r="C38" i="188" s="1"/>
  <c r="B39" i="188" s="1"/>
  <c r="C39" i="188" s="1"/>
  <c r="B40" i="188" s="1"/>
  <c r="C40" i="188" s="1"/>
  <c r="B41" i="188" s="1"/>
  <c r="C41" i="188" s="1"/>
  <c r="B42" i="188" s="1"/>
  <c r="C42" i="188" s="1"/>
  <c r="B43" i="188" s="1"/>
  <c r="C43" i="188" s="1"/>
  <c r="E37" i="188" s="1"/>
  <c r="G37" i="188" s="1"/>
  <c r="E38" i="188" s="1"/>
  <c r="G38" i="188" s="1"/>
  <c r="E39" i="188" s="1"/>
  <c r="G39" i="188" s="1"/>
  <c r="E40" i="188" s="1"/>
  <c r="G40" i="188" s="1"/>
  <c r="E41" i="188" s="1"/>
  <c r="G41" i="188" s="1"/>
  <c r="E42" i="188" s="1"/>
  <c r="G42" i="188" s="1"/>
  <c r="E43" i="188" s="1"/>
  <c r="G43" i="188" s="1"/>
  <c r="I37" i="188" s="1"/>
  <c r="J37" i="188" s="1"/>
  <c r="I38" i="188" s="1"/>
  <c r="J38" i="188" s="1"/>
  <c r="I39" i="188" s="1"/>
  <c r="J39" i="188" s="1"/>
  <c r="I40" i="188" s="1"/>
  <c r="J40" i="188" s="1"/>
  <c r="I41" i="188" s="1"/>
  <c r="J41" i="188" s="1"/>
  <c r="I42" i="188" s="1"/>
  <c r="J42" i="188" s="1"/>
  <c r="I43" i="188" s="1"/>
  <c r="J43" i="188" s="1"/>
  <c r="L37" i="188" s="1"/>
  <c r="M37" i="188" s="1"/>
  <c r="L38" i="188" s="1"/>
  <c r="M38" i="188" s="1"/>
  <c r="L39" i="188" s="1"/>
  <c r="M39" i="188" s="1"/>
  <c r="L40" i="188" s="1"/>
  <c r="M40" i="188" s="1"/>
  <c r="L41" i="188" s="1"/>
  <c r="M41" i="188" s="1"/>
  <c r="L42" i="188" s="1"/>
  <c r="M42" i="188" s="1"/>
  <c r="L43" i="188" s="1"/>
  <c r="M43" i="188" s="1"/>
  <c r="C37" i="188"/>
  <c r="H33" i="188"/>
  <c r="C32" i="188"/>
  <c r="I28" i="188"/>
  <c r="I27" i="188"/>
  <c r="D27" i="188"/>
  <c r="I26" i="188"/>
  <c r="D26" i="188"/>
  <c r="D25" i="188"/>
  <c r="I22" i="188"/>
  <c r="D21" i="188"/>
  <c r="I18" i="188"/>
  <c r="D17" i="188"/>
  <c r="I14" i="188"/>
  <c r="D13" i="188"/>
  <c r="I12" i="188"/>
  <c r="I11" i="188"/>
  <c r="D11" i="188"/>
  <c r="D10" i="188"/>
  <c r="F6" i="188"/>
  <c r="H6" i="188" s="1"/>
  <c r="J33" i="188" s="1"/>
  <c r="B191" i="187"/>
  <c r="C191" i="187" s="1"/>
  <c r="B192" i="187" s="1"/>
  <c r="C192" i="187" s="1"/>
  <c r="B193" i="187" s="1"/>
  <c r="C193" i="187" s="1"/>
  <c r="B194" i="187" s="1"/>
  <c r="C194" i="187" s="1"/>
  <c r="B195" i="187" s="1"/>
  <c r="C195" i="187" s="1"/>
  <c r="B196" i="187" s="1"/>
  <c r="C196" i="187" s="1"/>
  <c r="E190" i="187" s="1"/>
  <c r="G190" i="187" s="1"/>
  <c r="E191" i="187" s="1"/>
  <c r="G191" i="187" s="1"/>
  <c r="E192" i="187" s="1"/>
  <c r="G192" i="187" s="1"/>
  <c r="E193" i="187" s="1"/>
  <c r="G193" i="187" s="1"/>
  <c r="E194" i="187" s="1"/>
  <c r="G194" i="187" s="1"/>
  <c r="E195" i="187" s="1"/>
  <c r="G195" i="187" s="1"/>
  <c r="E196" i="187" s="1"/>
  <c r="G196" i="187" s="1"/>
  <c r="I190" i="187" s="1"/>
  <c r="J190" i="187" s="1"/>
  <c r="I191" i="187" s="1"/>
  <c r="J191" i="187" s="1"/>
  <c r="I192" i="187" s="1"/>
  <c r="J192" i="187" s="1"/>
  <c r="I193" i="187" s="1"/>
  <c r="J193" i="187" s="1"/>
  <c r="I194" i="187" s="1"/>
  <c r="J194" i="187" s="1"/>
  <c r="I195" i="187" s="1"/>
  <c r="J195" i="187" s="1"/>
  <c r="I196" i="187" s="1"/>
  <c r="J196" i="187" s="1"/>
  <c r="L190" i="187" s="1"/>
  <c r="M190" i="187" s="1"/>
  <c r="L191" i="187" s="1"/>
  <c r="M191" i="187" s="1"/>
  <c r="L192" i="187" s="1"/>
  <c r="M192" i="187" s="1"/>
  <c r="L193" i="187" s="1"/>
  <c r="M193" i="187" s="1"/>
  <c r="L194" i="187" s="1"/>
  <c r="M194" i="187" s="1"/>
  <c r="L195" i="187" s="1"/>
  <c r="M195" i="187" s="1"/>
  <c r="L196" i="187" s="1"/>
  <c r="M196" i="187" s="1"/>
  <c r="C190" i="187"/>
  <c r="H186" i="187"/>
  <c r="C185" i="187"/>
  <c r="D182" i="187"/>
  <c r="J181" i="187"/>
  <c r="I181" i="187"/>
  <c r="J180" i="187"/>
  <c r="I180" i="187"/>
  <c r="D180" i="187"/>
  <c r="D179" i="187"/>
  <c r="J175" i="187"/>
  <c r="I175" i="187"/>
  <c r="D174" i="187"/>
  <c r="D173" i="187"/>
  <c r="J172" i="187"/>
  <c r="I172" i="187"/>
  <c r="J171" i="187"/>
  <c r="I171" i="187"/>
  <c r="D171" i="187"/>
  <c r="D170" i="187"/>
  <c r="J169" i="187"/>
  <c r="I169" i="187"/>
  <c r="D168" i="187"/>
  <c r="J167" i="187"/>
  <c r="I167" i="187"/>
  <c r="D166" i="187"/>
  <c r="J165" i="187"/>
  <c r="I165" i="187"/>
  <c r="J164" i="187"/>
  <c r="I164" i="187"/>
  <c r="D164" i="187"/>
  <c r="D163" i="187"/>
  <c r="F159" i="187"/>
  <c r="H159" i="187" s="1"/>
  <c r="J186" i="187" s="1"/>
  <c r="J27" i="188" l="1"/>
  <c r="J12" i="188"/>
  <c r="J22" i="188"/>
  <c r="J14" i="188"/>
  <c r="J26" i="188"/>
  <c r="J28" i="188"/>
  <c r="J11" i="188"/>
  <c r="J18" i="188"/>
  <c r="B145" i="187" l="1"/>
  <c r="C145" i="187" s="1"/>
  <c r="B146" i="187" s="1"/>
  <c r="C146" i="187" s="1"/>
  <c r="B147" i="187" s="1"/>
  <c r="C147" i="187" s="1"/>
  <c r="B148" i="187" s="1"/>
  <c r="C148" i="187" s="1"/>
  <c r="B149" i="187" s="1"/>
  <c r="C149" i="187" s="1"/>
  <c r="B150" i="187" s="1"/>
  <c r="C150" i="187" s="1"/>
  <c r="E144" i="187" s="1"/>
  <c r="G144" i="187" s="1"/>
  <c r="E145" i="187" s="1"/>
  <c r="G145" i="187" s="1"/>
  <c r="E146" i="187" s="1"/>
  <c r="G146" i="187" s="1"/>
  <c r="E147" i="187" s="1"/>
  <c r="G147" i="187" s="1"/>
  <c r="E148" i="187" s="1"/>
  <c r="G148" i="187" s="1"/>
  <c r="E149" i="187" s="1"/>
  <c r="G149" i="187" s="1"/>
  <c r="E150" i="187" s="1"/>
  <c r="G150" i="187" s="1"/>
  <c r="I144" i="187" s="1"/>
  <c r="J144" i="187" s="1"/>
  <c r="I145" i="187" s="1"/>
  <c r="J145" i="187" s="1"/>
  <c r="I146" i="187" s="1"/>
  <c r="J146" i="187" s="1"/>
  <c r="I147" i="187" s="1"/>
  <c r="J147" i="187" s="1"/>
  <c r="I148" i="187" s="1"/>
  <c r="J148" i="187" s="1"/>
  <c r="I149" i="187" s="1"/>
  <c r="J149" i="187" s="1"/>
  <c r="I150" i="187" s="1"/>
  <c r="J150" i="187" s="1"/>
  <c r="L144" i="187" s="1"/>
  <c r="M144" i="187" s="1"/>
  <c r="L145" i="187" s="1"/>
  <c r="M145" i="187" s="1"/>
  <c r="L146" i="187" s="1"/>
  <c r="M146" i="187" s="1"/>
  <c r="L147" i="187" s="1"/>
  <c r="M147" i="187" s="1"/>
  <c r="L148" i="187" s="1"/>
  <c r="M148" i="187" s="1"/>
  <c r="L149" i="187" s="1"/>
  <c r="M149" i="187" s="1"/>
  <c r="L150" i="187" s="1"/>
  <c r="M150" i="187" s="1"/>
  <c r="C144" i="187"/>
  <c r="H140" i="187"/>
  <c r="C139" i="187"/>
  <c r="J135" i="187"/>
  <c r="I135" i="187"/>
  <c r="J134" i="187"/>
  <c r="I134" i="187"/>
  <c r="D134" i="187"/>
  <c r="D133" i="187"/>
  <c r="J129" i="187"/>
  <c r="I129" i="187"/>
  <c r="D128" i="187"/>
  <c r="J126" i="187"/>
  <c r="I126" i="187"/>
  <c r="D125" i="187"/>
  <c r="J123" i="187"/>
  <c r="I123" i="187"/>
  <c r="D122" i="187"/>
  <c r="J121" i="187"/>
  <c r="I121" i="187"/>
  <c r="D120" i="187"/>
  <c r="J119" i="187"/>
  <c r="I119" i="187"/>
  <c r="J118" i="187"/>
  <c r="I118" i="187"/>
  <c r="D118" i="187"/>
  <c r="D117" i="187"/>
  <c r="F113" i="187"/>
  <c r="H113" i="187" s="1"/>
  <c r="J140" i="187" s="1"/>
  <c r="B99" i="187"/>
  <c r="C99" i="187" s="1"/>
  <c r="B100" i="187" s="1"/>
  <c r="C100" i="187" s="1"/>
  <c r="B101" i="187" s="1"/>
  <c r="C101" i="187" s="1"/>
  <c r="B102" i="187" s="1"/>
  <c r="C102" i="187" s="1"/>
  <c r="B103" i="187" s="1"/>
  <c r="C103" i="187" s="1"/>
  <c r="B104" i="187" s="1"/>
  <c r="C104" i="187" s="1"/>
  <c r="E98" i="187" s="1"/>
  <c r="G98" i="187" s="1"/>
  <c r="E99" i="187" s="1"/>
  <c r="G99" i="187" s="1"/>
  <c r="E100" i="187" s="1"/>
  <c r="G100" i="187" s="1"/>
  <c r="E101" i="187" s="1"/>
  <c r="G101" i="187" s="1"/>
  <c r="E102" i="187" s="1"/>
  <c r="G102" i="187" s="1"/>
  <c r="E103" i="187" s="1"/>
  <c r="G103" i="187" s="1"/>
  <c r="E104" i="187" s="1"/>
  <c r="G104" i="187" s="1"/>
  <c r="I98" i="187" s="1"/>
  <c r="J98" i="187" s="1"/>
  <c r="I99" i="187" s="1"/>
  <c r="J99" i="187" s="1"/>
  <c r="I100" i="187" s="1"/>
  <c r="J100" i="187" s="1"/>
  <c r="I101" i="187" s="1"/>
  <c r="J101" i="187" s="1"/>
  <c r="I102" i="187" s="1"/>
  <c r="J102" i="187" s="1"/>
  <c r="I103" i="187" s="1"/>
  <c r="J103" i="187" s="1"/>
  <c r="I104" i="187" s="1"/>
  <c r="J104" i="187" s="1"/>
  <c r="L98" i="187" s="1"/>
  <c r="M98" i="187" s="1"/>
  <c r="L99" i="187" s="1"/>
  <c r="M99" i="187" s="1"/>
  <c r="L100" i="187" s="1"/>
  <c r="M100" i="187" s="1"/>
  <c r="L101" i="187" s="1"/>
  <c r="M101" i="187" s="1"/>
  <c r="L102" i="187" s="1"/>
  <c r="M102" i="187" s="1"/>
  <c r="L103" i="187" s="1"/>
  <c r="M103" i="187" s="1"/>
  <c r="L104" i="187" s="1"/>
  <c r="M104" i="187" s="1"/>
  <c r="C98" i="187"/>
  <c r="H94" i="187"/>
  <c r="C93" i="187"/>
  <c r="J90" i="187"/>
  <c r="I90" i="187"/>
  <c r="J89" i="187"/>
  <c r="I89" i="187"/>
  <c r="J88" i="187"/>
  <c r="I88" i="187"/>
  <c r="D88" i="187"/>
  <c r="D87" i="187"/>
  <c r="J79" i="187"/>
  <c r="I79" i="187"/>
  <c r="D79" i="187"/>
  <c r="J75" i="187"/>
  <c r="I75" i="187"/>
  <c r="J73" i="187"/>
  <c r="I73" i="187"/>
  <c r="J72" i="187"/>
  <c r="I72" i="187"/>
  <c r="D72" i="187"/>
  <c r="D71" i="187"/>
  <c r="F67" i="187"/>
  <c r="H67" i="187" s="1"/>
  <c r="J94" i="187" s="1"/>
  <c r="B53" i="187"/>
  <c r="C53" i="187" s="1"/>
  <c r="B54" i="187" s="1"/>
  <c r="C54" i="187" s="1"/>
  <c r="B55" i="187" s="1"/>
  <c r="C55" i="187" s="1"/>
  <c r="B56" i="187" s="1"/>
  <c r="C56" i="187" s="1"/>
  <c r="B57" i="187" s="1"/>
  <c r="C57" i="187" s="1"/>
  <c r="B58" i="187" s="1"/>
  <c r="C58" i="187" s="1"/>
  <c r="E52" i="187" s="1"/>
  <c r="G52" i="187" s="1"/>
  <c r="E53" i="187" s="1"/>
  <c r="G53" i="187" s="1"/>
  <c r="E54" i="187" s="1"/>
  <c r="G54" i="187" s="1"/>
  <c r="E55" i="187" s="1"/>
  <c r="G55" i="187" s="1"/>
  <c r="E56" i="187" s="1"/>
  <c r="G56" i="187" s="1"/>
  <c r="E57" i="187" s="1"/>
  <c r="G57" i="187" s="1"/>
  <c r="E58" i="187" s="1"/>
  <c r="G58" i="187" s="1"/>
  <c r="I52" i="187" s="1"/>
  <c r="J52" i="187" s="1"/>
  <c r="I53" i="187" s="1"/>
  <c r="J53" i="187" s="1"/>
  <c r="I54" i="187" s="1"/>
  <c r="J54" i="187" s="1"/>
  <c r="I55" i="187" s="1"/>
  <c r="J55" i="187" s="1"/>
  <c r="I56" i="187" s="1"/>
  <c r="J56" i="187" s="1"/>
  <c r="I57" i="187" s="1"/>
  <c r="J57" i="187" s="1"/>
  <c r="I58" i="187" s="1"/>
  <c r="J58" i="187" s="1"/>
  <c r="L52" i="187" s="1"/>
  <c r="M52" i="187" s="1"/>
  <c r="L53" i="187" s="1"/>
  <c r="M53" i="187" s="1"/>
  <c r="L54" i="187" s="1"/>
  <c r="M54" i="187" s="1"/>
  <c r="L55" i="187" s="1"/>
  <c r="M55" i="187" s="1"/>
  <c r="L56" i="187" s="1"/>
  <c r="M56" i="187" s="1"/>
  <c r="L57" i="187" s="1"/>
  <c r="M57" i="187" s="1"/>
  <c r="L58" i="187" s="1"/>
  <c r="M58" i="187" s="1"/>
  <c r="C52" i="187"/>
  <c r="C39" i="187"/>
  <c r="B40" i="187" s="1"/>
  <c r="C40" i="187" s="1"/>
  <c r="B41" i="187" s="1"/>
  <c r="C41" i="187" s="1"/>
  <c r="B42" i="187" s="1"/>
  <c r="C42" i="187" s="1"/>
  <c r="B43" i="187" s="1"/>
  <c r="C43" i="187" s="1"/>
  <c r="B44" i="187" s="1"/>
  <c r="C44" i="187" s="1"/>
  <c r="B45" i="187" s="1"/>
  <c r="C45" i="187" s="1"/>
  <c r="E39" i="187" s="1"/>
  <c r="G39" i="187" s="1"/>
  <c r="E40" i="187" s="1"/>
  <c r="G40" i="187" s="1"/>
  <c r="E41" i="187" s="1"/>
  <c r="G41" i="187" s="1"/>
  <c r="E42" i="187" s="1"/>
  <c r="G42" i="187" s="1"/>
  <c r="E43" i="187" s="1"/>
  <c r="G43" i="187" s="1"/>
  <c r="E44" i="187" s="1"/>
  <c r="G44" i="187" s="1"/>
  <c r="E45" i="187" s="1"/>
  <c r="G45" i="187" s="1"/>
  <c r="I39" i="187" s="1"/>
  <c r="J39" i="187" s="1"/>
  <c r="I40" i="187" s="1"/>
  <c r="J40" i="187" s="1"/>
  <c r="I41" i="187" s="1"/>
  <c r="J41" i="187" s="1"/>
  <c r="I42" i="187" s="1"/>
  <c r="J42" i="187" s="1"/>
  <c r="I43" i="187" s="1"/>
  <c r="J43" i="187" s="1"/>
  <c r="I44" i="187" s="1"/>
  <c r="J44" i="187" s="1"/>
  <c r="I45" i="187" s="1"/>
  <c r="J45" i="187" s="1"/>
  <c r="L39" i="187" s="1"/>
  <c r="M39" i="187" s="1"/>
  <c r="L40" i="187" s="1"/>
  <c r="M40" i="187" s="1"/>
  <c r="L41" i="187" s="1"/>
  <c r="M41" i="187" s="1"/>
  <c r="L42" i="187" s="1"/>
  <c r="M42" i="187" s="1"/>
  <c r="L43" i="187" s="1"/>
  <c r="M43" i="187" s="1"/>
  <c r="L44" i="187" s="1"/>
  <c r="M44" i="187" s="1"/>
  <c r="L45" i="187" s="1"/>
  <c r="M45" i="187" s="1"/>
  <c r="H33" i="187"/>
  <c r="C32" i="187"/>
  <c r="I28" i="187"/>
  <c r="D28" i="187"/>
  <c r="I27" i="187"/>
  <c r="D27" i="187"/>
  <c r="D26" i="187"/>
  <c r="I18" i="187"/>
  <c r="D17" i="187"/>
  <c r="D13" i="187"/>
  <c r="I12" i="187"/>
  <c r="I11" i="187"/>
  <c r="D11" i="187"/>
  <c r="D10" i="187"/>
  <c r="F6" i="187"/>
  <c r="H6" i="187" s="1"/>
  <c r="J33" i="187" s="1"/>
  <c r="J27" i="187" l="1"/>
  <c r="J18" i="187"/>
  <c r="J28" i="187"/>
  <c r="J11" i="187"/>
  <c r="J12" i="187"/>
  <c r="C37" i="186" l="1"/>
  <c r="B38" i="186" s="1"/>
  <c r="C38" i="186" s="1"/>
  <c r="B39" i="186" s="1"/>
  <c r="C39" i="186" s="1"/>
  <c r="B40" i="186" s="1"/>
  <c r="C40" i="186" s="1"/>
  <c r="B41" i="186" s="1"/>
  <c r="C41" i="186" s="1"/>
  <c r="B42" i="186" s="1"/>
  <c r="C42" i="186" s="1"/>
  <c r="B43" i="186" s="1"/>
  <c r="C43" i="186" s="1"/>
  <c r="E37" i="186" s="1"/>
  <c r="G37" i="186" s="1"/>
  <c r="E38" i="186" s="1"/>
  <c r="G38" i="186" s="1"/>
  <c r="E39" i="186" s="1"/>
  <c r="G39" i="186" s="1"/>
  <c r="E40" i="186" s="1"/>
  <c r="G40" i="186" s="1"/>
  <c r="E41" i="186" s="1"/>
  <c r="G41" i="186" s="1"/>
  <c r="E42" i="186" s="1"/>
  <c r="G42" i="186" s="1"/>
  <c r="E43" i="186" s="1"/>
  <c r="G43" i="186" s="1"/>
  <c r="I37" i="186" s="1"/>
  <c r="J37" i="186" s="1"/>
  <c r="I38" i="186" s="1"/>
  <c r="J38" i="186" s="1"/>
  <c r="I39" i="186" s="1"/>
  <c r="J39" i="186" s="1"/>
  <c r="I40" i="186" s="1"/>
  <c r="J40" i="186" s="1"/>
  <c r="I41" i="186" s="1"/>
  <c r="J41" i="186" s="1"/>
  <c r="I42" i="186" s="1"/>
  <c r="J42" i="186" s="1"/>
  <c r="I43" i="186" s="1"/>
  <c r="J43" i="186" s="1"/>
  <c r="L37" i="186" s="1"/>
  <c r="M37" i="186" s="1"/>
  <c r="L38" i="186" s="1"/>
  <c r="M38" i="186" s="1"/>
  <c r="L39" i="186" s="1"/>
  <c r="M39" i="186" s="1"/>
  <c r="L40" i="186" s="1"/>
  <c r="M40" i="186" s="1"/>
  <c r="L41" i="186" s="1"/>
  <c r="M41" i="186" s="1"/>
  <c r="L42" i="186" s="1"/>
  <c r="M42" i="186" s="1"/>
  <c r="L43" i="186" s="1"/>
  <c r="M43" i="186" s="1"/>
  <c r="H33" i="186"/>
  <c r="C32" i="186"/>
  <c r="I28" i="186"/>
  <c r="I27" i="186"/>
  <c r="D27" i="186"/>
  <c r="I26" i="186"/>
  <c r="D26" i="186"/>
  <c r="D25" i="186"/>
  <c r="I22" i="186"/>
  <c r="D21" i="186"/>
  <c r="I18" i="186"/>
  <c r="D17" i="186"/>
  <c r="I14" i="186"/>
  <c r="D13" i="186"/>
  <c r="I12" i="186"/>
  <c r="I11" i="186"/>
  <c r="D11" i="186"/>
  <c r="D10" i="186"/>
  <c r="F6" i="186"/>
  <c r="H6" i="186" s="1"/>
  <c r="J33" i="186" s="1"/>
  <c r="B132" i="183"/>
  <c r="C132" i="183" s="1"/>
  <c r="B133" i="183" s="1"/>
  <c r="C133" i="183" s="1"/>
  <c r="B134" i="183" s="1"/>
  <c r="C134" i="183" s="1"/>
  <c r="B135" i="183" s="1"/>
  <c r="C135" i="183" s="1"/>
  <c r="B136" i="183" s="1"/>
  <c r="C136" i="183" s="1"/>
  <c r="B137" i="183" s="1"/>
  <c r="C137" i="183" s="1"/>
  <c r="E131" i="183" s="1"/>
  <c r="G131" i="183" s="1"/>
  <c r="E132" i="183" s="1"/>
  <c r="G132" i="183" s="1"/>
  <c r="E133" i="183" s="1"/>
  <c r="G133" i="183" s="1"/>
  <c r="E134" i="183" s="1"/>
  <c r="G134" i="183" s="1"/>
  <c r="E135" i="183" s="1"/>
  <c r="G135" i="183" s="1"/>
  <c r="E136" i="183" s="1"/>
  <c r="G136" i="183" s="1"/>
  <c r="E137" i="183" s="1"/>
  <c r="G137" i="183" s="1"/>
  <c r="I131" i="183" s="1"/>
  <c r="J131" i="183" s="1"/>
  <c r="I132" i="183" s="1"/>
  <c r="J132" i="183" s="1"/>
  <c r="I133" i="183" s="1"/>
  <c r="J133" i="183" s="1"/>
  <c r="I134" i="183" s="1"/>
  <c r="J134" i="183" s="1"/>
  <c r="I135" i="183" s="1"/>
  <c r="J135" i="183" s="1"/>
  <c r="I136" i="183" s="1"/>
  <c r="J136" i="183" s="1"/>
  <c r="I137" i="183" s="1"/>
  <c r="J137" i="183" s="1"/>
  <c r="L131" i="183" s="1"/>
  <c r="M131" i="183" s="1"/>
  <c r="L132" i="183" s="1"/>
  <c r="M132" i="183" s="1"/>
  <c r="L133" i="183" s="1"/>
  <c r="M133" i="183" s="1"/>
  <c r="L134" i="183" s="1"/>
  <c r="M134" i="183" s="1"/>
  <c r="L135" i="183" s="1"/>
  <c r="M135" i="183" s="1"/>
  <c r="L136" i="183" s="1"/>
  <c r="M136" i="183" s="1"/>
  <c r="L137" i="183" s="1"/>
  <c r="M137" i="183" s="1"/>
  <c r="C131" i="183"/>
  <c r="H127" i="183"/>
  <c r="C126" i="183"/>
  <c r="J122" i="183"/>
  <c r="I122" i="183"/>
  <c r="J121" i="183"/>
  <c r="I121" i="183"/>
  <c r="D121" i="183"/>
  <c r="D120" i="183"/>
  <c r="J116" i="183"/>
  <c r="I116" i="183"/>
  <c r="D115" i="183"/>
  <c r="J113" i="183"/>
  <c r="I113" i="183"/>
  <c r="D112" i="183"/>
  <c r="J110" i="183"/>
  <c r="I110" i="183"/>
  <c r="D109" i="183"/>
  <c r="J108" i="183"/>
  <c r="I108" i="183"/>
  <c r="D107" i="183"/>
  <c r="J106" i="183"/>
  <c r="I106" i="183"/>
  <c r="J105" i="183"/>
  <c r="I105" i="183"/>
  <c r="D105" i="183"/>
  <c r="D104" i="183"/>
  <c r="F100" i="183"/>
  <c r="H100" i="183" s="1"/>
  <c r="J127" i="183" s="1"/>
  <c r="B85" i="183"/>
  <c r="C85" i="183" s="1"/>
  <c r="B86" i="183" s="1"/>
  <c r="C86" i="183" s="1"/>
  <c r="B87" i="183" s="1"/>
  <c r="C87" i="183" s="1"/>
  <c r="B88" i="183" s="1"/>
  <c r="C88" i="183" s="1"/>
  <c r="B89" i="183" s="1"/>
  <c r="C89" i="183" s="1"/>
  <c r="B90" i="183" s="1"/>
  <c r="C90" i="183" s="1"/>
  <c r="E84" i="183" s="1"/>
  <c r="G84" i="183" s="1"/>
  <c r="E85" i="183" s="1"/>
  <c r="G85" i="183" s="1"/>
  <c r="E86" i="183" s="1"/>
  <c r="G86" i="183" s="1"/>
  <c r="E87" i="183" s="1"/>
  <c r="G87" i="183" s="1"/>
  <c r="E88" i="183" s="1"/>
  <c r="G88" i="183" s="1"/>
  <c r="E89" i="183" s="1"/>
  <c r="G89" i="183" s="1"/>
  <c r="E90" i="183" s="1"/>
  <c r="G90" i="183" s="1"/>
  <c r="I84" i="183" s="1"/>
  <c r="J84" i="183" s="1"/>
  <c r="I85" i="183" s="1"/>
  <c r="J85" i="183" s="1"/>
  <c r="I86" i="183" s="1"/>
  <c r="J86" i="183" s="1"/>
  <c r="I87" i="183" s="1"/>
  <c r="J87" i="183" s="1"/>
  <c r="I88" i="183" s="1"/>
  <c r="J88" i="183" s="1"/>
  <c r="I89" i="183" s="1"/>
  <c r="J89" i="183" s="1"/>
  <c r="I90" i="183" s="1"/>
  <c r="J90" i="183" s="1"/>
  <c r="L84" i="183" s="1"/>
  <c r="M84" i="183" s="1"/>
  <c r="L85" i="183" s="1"/>
  <c r="M85" i="183" s="1"/>
  <c r="L86" i="183" s="1"/>
  <c r="M86" i="183" s="1"/>
  <c r="L87" i="183" s="1"/>
  <c r="M87" i="183" s="1"/>
  <c r="L88" i="183" s="1"/>
  <c r="M88" i="183" s="1"/>
  <c r="L89" i="183" s="1"/>
  <c r="M89" i="183" s="1"/>
  <c r="L90" i="183" s="1"/>
  <c r="M90" i="183" s="1"/>
  <c r="C84" i="183"/>
  <c r="H80" i="183"/>
  <c r="C79" i="183"/>
  <c r="D76" i="183"/>
  <c r="J75" i="183"/>
  <c r="I75" i="183"/>
  <c r="J74" i="183"/>
  <c r="I74" i="183"/>
  <c r="D74" i="183"/>
  <c r="D73" i="183"/>
  <c r="J69" i="183"/>
  <c r="I69" i="183"/>
  <c r="D68" i="183"/>
  <c r="D67" i="183"/>
  <c r="J66" i="183"/>
  <c r="I66" i="183"/>
  <c r="J65" i="183"/>
  <c r="I65" i="183"/>
  <c r="D65" i="183"/>
  <c r="D64" i="183"/>
  <c r="J63" i="183"/>
  <c r="I63" i="183"/>
  <c r="D62" i="183"/>
  <c r="J61" i="183"/>
  <c r="I61" i="183"/>
  <c r="D60" i="183"/>
  <c r="J59" i="183"/>
  <c r="I59" i="183"/>
  <c r="J58" i="183"/>
  <c r="I58" i="183"/>
  <c r="D58" i="183"/>
  <c r="D57" i="183"/>
  <c r="F53" i="183"/>
  <c r="H53" i="183" s="1"/>
  <c r="J80" i="183" s="1"/>
  <c r="H33" i="183"/>
  <c r="C32" i="183"/>
  <c r="I29" i="183"/>
  <c r="I28" i="183"/>
  <c r="I27" i="183"/>
  <c r="D27" i="183"/>
  <c r="D26" i="183"/>
  <c r="I18" i="183"/>
  <c r="D18" i="183"/>
  <c r="I14" i="183"/>
  <c r="I12" i="183"/>
  <c r="I11" i="183"/>
  <c r="D11" i="183"/>
  <c r="D10" i="183"/>
  <c r="F6" i="183"/>
  <c r="H6" i="183" s="1"/>
  <c r="J33" i="183" s="1"/>
  <c r="B38" i="183"/>
  <c r="C38" i="183" s="1"/>
  <c r="B39" i="183" s="1"/>
  <c r="C39" i="183" s="1"/>
  <c r="B40" i="183" s="1"/>
  <c r="C40" i="183" s="1"/>
  <c r="B41" i="183" s="1"/>
  <c r="C41" i="183" s="1"/>
  <c r="B42" i="183" s="1"/>
  <c r="C42" i="183" s="1"/>
  <c r="B43" i="183" s="1"/>
  <c r="C43" i="183" s="1"/>
  <c r="E37" i="183" s="1"/>
  <c r="G37" i="183" s="1"/>
  <c r="E38" i="183" s="1"/>
  <c r="G38" i="183" s="1"/>
  <c r="E39" i="183" s="1"/>
  <c r="G39" i="183" s="1"/>
  <c r="E40" i="183" s="1"/>
  <c r="G40" i="183" s="1"/>
  <c r="E41" i="183" s="1"/>
  <c r="G41" i="183" s="1"/>
  <c r="E42" i="183" s="1"/>
  <c r="G42" i="183" s="1"/>
  <c r="E43" i="183" s="1"/>
  <c r="G43" i="183" s="1"/>
  <c r="I37" i="183" s="1"/>
  <c r="J37" i="183" s="1"/>
  <c r="I38" i="183" s="1"/>
  <c r="J38" i="183" s="1"/>
  <c r="I39" i="183" s="1"/>
  <c r="J39" i="183" s="1"/>
  <c r="I40" i="183" s="1"/>
  <c r="J40" i="183" s="1"/>
  <c r="I41" i="183" s="1"/>
  <c r="J41" i="183" s="1"/>
  <c r="I42" i="183" s="1"/>
  <c r="J42" i="183" s="1"/>
  <c r="I43" i="183" s="1"/>
  <c r="J43" i="183" s="1"/>
  <c r="L37" i="183" s="1"/>
  <c r="M37" i="183" s="1"/>
  <c r="L38" i="183" s="1"/>
  <c r="M38" i="183" s="1"/>
  <c r="L39" i="183" s="1"/>
  <c r="M39" i="183" s="1"/>
  <c r="L40" i="183" s="1"/>
  <c r="M40" i="183" s="1"/>
  <c r="L41" i="183" s="1"/>
  <c r="M41" i="183" s="1"/>
  <c r="L42" i="183" s="1"/>
  <c r="M42" i="183" s="1"/>
  <c r="L43" i="183" s="1"/>
  <c r="M43" i="183" s="1"/>
  <c r="C37" i="183"/>
  <c r="H127" i="180"/>
  <c r="C126" i="180"/>
  <c r="F100" i="180"/>
  <c r="H100" i="180" s="1"/>
  <c r="J127" i="180" s="1"/>
  <c r="B85" i="182"/>
  <c r="C85" i="182" s="1"/>
  <c r="B86" i="182" s="1"/>
  <c r="C86" i="182" s="1"/>
  <c r="B87" i="182" s="1"/>
  <c r="C87" i="182" s="1"/>
  <c r="B88" i="182" s="1"/>
  <c r="C88" i="182" s="1"/>
  <c r="B89" i="182" s="1"/>
  <c r="C89" i="182" s="1"/>
  <c r="B90" i="182" s="1"/>
  <c r="C90" i="182" s="1"/>
  <c r="E84" i="182" s="1"/>
  <c r="G84" i="182" s="1"/>
  <c r="E85" i="182" s="1"/>
  <c r="G85" i="182" s="1"/>
  <c r="E86" i="182" s="1"/>
  <c r="G86" i="182" s="1"/>
  <c r="E87" i="182" s="1"/>
  <c r="G87" i="182" s="1"/>
  <c r="E88" i="182" s="1"/>
  <c r="G88" i="182" s="1"/>
  <c r="E89" i="182" s="1"/>
  <c r="G89" i="182" s="1"/>
  <c r="E90" i="182" s="1"/>
  <c r="G90" i="182" s="1"/>
  <c r="I84" i="182" s="1"/>
  <c r="J84" i="182" s="1"/>
  <c r="I85" i="182" s="1"/>
  <c r="J85" i="182" s="1"/>
  <c r="I86" i="182" s="1"/>
  <c r="J86" i="182" s="1"/>
  <c r="I87" i="182" s="1"/>
  <c r="J87" i="182" s="1"/>
  <c r="I88" i="182" s="1"/>
  <c r="J88" i="182" s="1"/>
  <c r="I89" i="182" s="1"/>
  <c r="J89" i="182" s="1"/>
  <c r="I90" i="182" s="1"/>
  <c r="J90" i="182" s="1"/>
  <c r="L84" i="182" s="1"/>
  <c r="M84" i="182" s="1"/>
  <c r="L85" i="182" s="1"/>
  <c r="M85" i="182" s="1"/>
  <c r="L86" i="182" s="1"/>
  <c r="M86" i="182" s="1"/>
  <c r="L87" i="182" s="1"/>
  <c r="M87" i="182" s="1"/>
  <c r="L88" i="182" s="1"/>
  <c r="M88" i="182" s="1"/>
  <c r="L89" i="182" s="1"/>
  <c r="M89" i="182" s="1"/>
  <c r="L90" i="182" s="1"/>
  <c r="M90" i="182" s="1"/>
  <c r="C84" i="182"/>
  <c r="H80" i="182"/>
  <c r="C79" i="182"/>
  <c r="J75" i="182"/>
  <c r="I75" i="182"/>
  <c r="J74" i="182"/>
  <c r="I74" i="182"/>
  <c r="D74" i="182"/>
  <c r="J73" i="182"/>
  <c r="I73" i="182"/>
  <c r="D73" i="182"/>
  <c r="D72" i="182"/>
  <c r="J69" i="182"/>
  <c r="I69" i="182"/>
  <c r="D68" i="182"/>
  <c r="J65" i="182"/>
  <c r="I65" i="182"/>
  <c r="D64" i="182"/>
  <c r="J61" i="182"/>
  <c r="I61" i="182"/>
  <c r="D60" i="182"/>
  <c r="J59" i="182"/>
  <c r="I59" i="182"/>
  <c r="J58" i="182"/>
  <c r="I58" i="182"/>
  <c r="D58" i="182"/>
  <c r="D57" i="182"/>
  <c r="F53" i="182"/>
  <c r="H53" i="182" s="1"/>
  <c r="J80" i="182" s="1"/>
  <c r="B38" i="182"/>
  <c r="C38" i="182" s="1"/>
  <c r="B39" i="182" s="1"/>
  <c r="C39" i="182" s="1"/>
  <c r="B40" i="182" s="1"/>
  <c r="C40" i="182" s="1"/>
  <c r="B41" i="182" s="1"/>
  <c r="C41" i="182" s="1"/>
  <c r="B42" i="182" s="1"/>
  <c r="C42" i="182" s="1"/>
  <c r="B43" i="182" s="1"/>
  <c r="C43" i="182" s="1"/>
  <c r="E37" i="182" s="1"/>
  <c r="G37" i="182" s="1"/>
  <c r="E38" i="182" s="1"/>
  <c r="G38" i="182" s="1"/>
  <c r="E39" i="182" s="1"/>
  <c r="G39" i="182" s="1"/>
  <c r="E40" i="182" s="1"/>
  <c r="G40" i="182" s="1"/>
  <c r="E41" i="182" s="1"/>
  <c r="G41" i="182" s="1"/>
  <c r="E42" i="182" s="1"/>
  <c r="G42" i="182" s="1"/>
  <c r="E43" i="182" s="1"/>
  <c r="G43" i="182" s="1"/>
  <c r="I37" i="182" s="1"/>
  <c r="J37" i="182" s="1"/>
  <c r="I38" i="182" s="1"/>
  <c r="J38" i="182" s="1"/>
  <c r="I39" i="182" s="1"/>
  <c r="J39" i="182" s="1"/>
  <c r="I40" i="182" s="1"/>
  <c r="J40" i="182" s="1"/>
  <c r="I41" i="182" s="1"/>
  <c r="J41" i="182" s="1"/>
  <c r="I42" i="182" s="1"/>
  <c r="J42" i="182" s="1"/>
  <c r="I43" i="182" s="1"/>
  <c r="J43" i="182" s="1"/>
  <c r="L37" i="182" s="1"/>
  <c r="M37" i="182" s="1"/>
  <c r="L38" i="182" s="1"/>
  <c r="M38" i="182" s="1"/>
  <c r="L39" i="182" s="1"/>
  <c r="M39" i="182" s="1"/>
  <c r="L40" i="182" s="1"/>
  <c r="M40" i="182" s="1"/>
  <c r="L41" i="182" s="1"/>
  <c r="M41" i="182" s="1"/>
  <c r="L42" i="182" s="1"/>
  <c r="M42" i="182" s="1"/>
  <c r="L43" i="182" s="1"/>
  <c r="M43" i="182" s="1"/>
  <c r="C37" i="182"/>
  <c r="H33" i="182"/>
  <c r="C32" i="182"/>
  <c r="D29" i="182"/>
  <c r="I28" i="182"/>
  <c r="I27" i="182"/>
  <c r="D27" i="182"/>
  <c r="D26" i="182"/>
  <c r="I22" i="182"/>
  <c r="D21" i="182"/>
  <c r="D20" i="182"/>
  <c r="I19" i="182"/>
  <c r="I18" i="182"/>
  <c r="D18" i="182"/>
  <c r="D17" i="182"/>
  <c r="I16" i="182"/>
  <c r="D15" i="182"/>
  <c r="I14" i="182"/>
  <c r="D13" i="182"/>
  <c r="I12" i="182"/>
  <c r="I11" i="182"/>
  <c r="D11" i="182"/>
  <c r="D10" i="182"/>
  <c r="F6" i="182"/>
  <c r="H6" i="182" s="1"/>
  <c r="J33" i="182" s="1"/>
  <c r="B194" i="180"/>
  <c r="C194" i="180" s="1"/>
  <c r="B195" i="180" s="1"/>
  <c r="C195" i="180" s="1"/>
  <c r="B196" i="180" s="1"/>
  <c r="C196" i="180" s="1"/>
  <c r="B197" i="180" s="1"/>
  <c r="C197" i="180" s="1"/>
  <c r="B198" i="180" s="1"/>
  <c r="C198" i="180" s="1"/>
  <c r="B199" i="180" s="1"/>
  <c r="C199" i="180" s="1"/>
  <c r="E193" i="180" s="1"/>
  <c r="G193" i="180" s="1"/>
  <c r="E194" i="180" s="1"/>
  <c r="G194" i="180" s="1"/>
  <c r="E195" i="180" s="1"/>
  <c r="G195" i="180" s="1"/>
  <c r="E196" i="180" s="1"/>
  <c r="G196" i="180" s="1"/>
  <c r="E197" i="180" s="1"/>
  <c r="G197" i="180" s="1"/>
  <c r="E198" i="180" s="1"/>
  <c r="G198" i="180" s="1"/>
  <c r="E199" i="180" s="1"/>
  <c r="G199" i="180" s="1"/>
  <c r="I193" i="180" s="1"/>
  <c r="J193" i="180" s="1"/>
  <c r="I194" i="180" s="1"/>
  <c r="J194" i="180" s="1"/>
  <c r="I195" i="180" s="1"/>
  <c r="J195" i="180" s="1"/>
  <c r="I196" i="180" s="1"/>
  <c r="J196" i="180" s="1"/>
  <c r="I197" i="180" s="1"/>
  <c r="J197" i="180" s="1"/>
  <c r="I198" i="180" s="1"/>
  <c r="J198" i="180" s="1"/>
  <c r="I199" i="180" s="1"/>
  <c r="J199" i="180" s="1"/>
  <c r="L193" i="180" s="1"/>
  <c r="M193" i="180" s="1"/>
  <c r="L194" i="180" s="1"/>
  <c r="M194" i="180" s="1"/>
  <c r="L195" i="180" s="1"/>
  <c r="M195" i="180" s="1"/>
  <c r="L196" i="180" s="1"/>
  <c r="M196" i="180" s="1"/>
  <c r="L197" i="180" s="1"/>
  <c r="M197" i="180" s="1"/>
  <c r="L198" i="180" s="1"/>
  <c r="M198" i="180" s="1"/>
  <c r="L199" i="180" s="1"/>
  <c r="M199" i="180" s="1"/>
  <c r="C193" i="180"/>
  <c r="H189" i="180"/>
  <c r="C188" i="180"/>
  <c r="J184" i="180"/>
  <c r="I184" i="180"/>
  <c r="J183" i="180"/>
  <c r="I183" i="180"/>
  <c r="D183" i="180"/>
  <c r="D182" i="180"/>
  <c r="J178" i="180"/>
  <c r="I178" i="180"/>
  <c r="D177" i="180"/>
  <c r="J175" i="180"/>
  <c r="I175" i="180"/>
  <c r="D174" i="180"/>
  <c r="J172" i="180"/>
  <c r="I172" i="180"/>
  <c r="D171" i="180"/>
  <c r="J170" i="180"/>
  <c r="I170" i="180"/>
  <c r="D169" i="180"/>
  <c r="J168" i="180"/>
  <c r="I168" i="180"/>
  <c r="J167" i="180"/>
  <c r="I167" i="180"/>
  <c r="D167" i="180"/>
  <c r="D166" i="180"/>
  <c r="F162" i="180"/>
  <c r="H162" i="180" s="1"/>
  <c r="J189" i="180" s="1"/>
  <c r="B147" i="180"/>
  <c r="C147" i="180" s="1"/>
  <c r="B148" i="180" s="1"/>
  <c r="C148" i="180" s="1"/>
  <c r="B149" i="180" s="1"/>
  <c r="C149" i="180" s="1"/>
  <c r="B150" i="180" s="1"/>
  <c r="C150" i="180" s="1"/>
  <c r="B151" i="180" s="1"/>
  <c r="C151" i="180" s="1"/>
  <c r="B152" i="180" s="1"/>
  <c r="C152" i="180" s="1"/>
  <c r="E146" i="180" s="1"/>
  <c r="G146" i="180" s="1"/>
  <c r="E147" i="180" s="1"/>
  <c r="G147" i="180" s="1"/>
  <c r="E148" i="180" s="1"/>
  <c r="G148" i="180" s="1"/>
  <c r="E149" i="180" s="1"/>
  <c r="G149" i="180" s="1"/>
  <c r="E150" i="180" s="1"/>
  <c r="G150" i="180" s="1"/>
  <c r="E151" i="180" s="1"/>
  <c r="G151" i="180" s="1"/>
  <c r="E152" i="180" s="1"/>
  <c r="G152" i="180" s="1"/>
  <c r="I146" i="180" s="1"/>
  <c r="J146" i="180" s="1"/>
  <c r="I147" i="180" s="1"/>
  <c r="J147" i="180" s="1"/>
  <c r="I148" i="180" s="1"/>
  <c r="J148" i="180" s="1"/>
  <c r="I149" i="180" s="1"/>
  <c r="J149" i="180" s="1"/>
  <c r="I150" i="180" s="1"/>
  <c r="J150" i="180" s="1"/>
  <c r="I151" i="180" s="1"/>
  <c r="J151" i="180" s="1"/>
  <c r="I152" i="180" s="1"/>
  <c r="J152" i="180" s="1"/>
  <c r="L146" i="180" s="1"/>
  <c r="M146" i="180" s="1"/>
  <c r="L147" i="180" s="1"/>
  <c r="M147" i="180" s="1"/>
  <c r="L148" i="180" s="1"/>
  <c r="M148" i="180" s="1"/>
  <c r="L149" i="180" s="1"/>
  <c r="M149" i="180" s="1"/>
  <c r="L150" i="180" s="1"/>
  <c r="M150" i="180" s="1"/>
  <c r="L151" i="180" s="1"/>
  <c r="M151" i="180" s="1"/>
  <c r="L152" i="180" s="1"/>
  <c r="M152" i="180" s="1"/>
  <c r="C146" i="180"/>
  <c r="B134" i="180"/>
  <c r="C134" i="180" s="1"/>
  <c r="B135" i="180" s="1"/>
  <c r="C135" i="180" s="1"/>
  <c r="B136" i="180" s="1"/>
  <c r="C136" i="180" s="1"/>
  <c r="B137" i="180" s="1"/>
  <c r="C137" i="180" s="1"/>
  <c r="B138" i="180" s="1"/>
  <c r="C138" i="180" s="1"/>
  <c r="B139" i="180" s="1"/>
  <c r="C139" i="180" s="1"/>
  <c r="E133" i="180" s="1"/>
  <c r="G133" i="180" s="1"/>
  <c r="E134" i="180" s="1"/>
  <c r="G134" i="180" s="1"/>
  <c r="E135" i="180" s="1"/>
  <c r="G135" i="180" s="1"/>
  <c r="E136" i="180" s="1"/>
  <c r="G136" i="180" s="1"/>
  <c r="E137" i="180" s="1"/>
  <c r="G137" i="180" s="1"/>
  <c r="E138" i="180" s="1"/>
  <c r="G138" i="180" s="1"/>
  <c r="E139" i="180" s="1"/>
  <c r="G139" i="180" s="1"/>
  <c r="I133" i="180" s="1"/>
  <c r="J133" i="180" s="1"/>
  <c r="I134" i="180" s="1"/>
  <c r="J134" i="180" s="1"/>
  <c r="I135" i="180" s="1"/>
  <c r="J135" i="180" s="1"/>
  <c r="I136" i="180" s="1"/>
  <c r="J136" i="180" s="1"/>
  <c r="I137" i="180" s="1"/>
  <c r="J137" i="180" s="1"/>
  <c r="I138" i="180" s="1"/>
  <c r="J138" i="180" s="1"/>
  <c r="I139" i="180" s="1"/>
  <c r="J139" i="180" s="1"/>
  <c r="L133" i="180" s="1"/>
  <c r="M133" i="180" s="1"/>
  <c r="L134" i="180" s="1"/>
  <c r="M134" i="180" s="1"/>
  <c r="L135" i="180" s="1"/>
  <c r="M135" i="180" s="1"/>
  <c r="L136" i="180" s="1"/>
  <c r="M136" i="180" s="1"/>
  <c r="L137" i="180" s="1"/>
  <c r="M137" i="180" s="1"/>
  <c r="L138" i="180" s="1"/>
  <c r="M138" i="180" s="1"/>
  <c r="L139" i="180" s="1"/>
  <c r="M139" i="180" s="1"/>
  <c r="C133" i="180"/>
  <c r="B85" i="180"/>
  <c r="C85" i="180" s="1"/>
  <c r="B86" i="180" s="1"/>
  <c r="C86" i="180" s="1"/>
  <c r="B87" i="180" s="1"/>
  <c r="C87" i="180" s="1"/>
  <c r="B88" i="180" s="1"/>
  <c r="C88" i="180" s="1"/>
  <c r="B89" i="180" s="1"/>
  <c r="C89" i="180" s="1"/>
  <c r="B90" i="180" s="1"/>
  <c r="C90" i="180" s="1"/>
  <c r="E84" i="180" s="1"/>
  <c r="G84" i="180" s="1"/>
  <c r="E85" i="180" s="1"/>
  <c r="G85" i="180" s="1"/>
  <c r="E86" i="180" s="1"/>
  <c r="G86" i="180" s="1"/>
  <c r="E87" i="180" s="1"/>
  <c r="G87" i="180" s="1"/>
  <c r="E88" i="180" s="1"/>
  <c r="G88" i="180" s="1"/>
  <c r="E89" i="180" s="1"/>
  <c r="G89" i="180" s="1"/>
  <c r="E90" i="180" s="1"/>
  <c r="G90" i="180" s="1"/>
  <c r="I84" i="180" s="1"/>
  <c r="J84" i="180" s="1"/>
  <c r="I85" i="180" s="1"/>
  <c r="J85" i="180" s="1"/>
  <c r="I86" i="180" s="1"/>
  <c r="J86" i="180" s="1"/>
  <c r="I87" i="180" s="1"/>
  <c r="J87" i="180" s="1"/>
  <c r="I88" i="180" s="1"/>
  <c r="J88" i="180" s="1"/>
  <c r="I89" i="180" s="1"/>
  <c r="J89" i="180" s="1"/>
  <c r="I90" i="180" s="1"/>
  <c r="J90" i="180" s="1"/>
  <c r="L84" i="180" s="1"/>
  <c r="M84" i="180" s="1"/>
  <c r="L85" i="180" s="1"/>
  <c r="M85" i="180" s="1"/>
  <c r="L86" i="180" s="1"/>
  <c r="M86" i="180" s="1"/>
  <c r="L87" i="180" s="1"/>
  <c r="M87" i="180" s="1"/>
  <c r="L88" i="180" s="1"/>
  <c r="M88" i="180" s="1"/>
  <c r="L89" i="180" s="1"/>
  <c r="M89" i="180" s="1"/>
  <c r="L90" i="180" s="1"/>
  <c r="M90" i="180" s="1"/>
  <c r="C84" i="180"/>
  <c r="H80" i="180"/>
  <c r="C79" i="180"/>
  <c r="F53" i="180"/>
  <c r="H53" i="180" s="1"/>
  <c r="J80" i="180" s="1"/>
  <c r="C37" i="180"/>
  <c r="B38" i="180" s="1"/>
  <c r="C38" i="180" s="1"/>
  <c r="B39" i="180" s="1"/>
  <c r="C39" i="180" s="1"/>
  <c r="B40" i="180" s="1"/>
  <c r="C40" i="180" s="1"/>
  <c r="B41" i="180" s="1"/>
  <c r="C41" i="180" s="1"/>
  <c r="B42" i="180" s="1"/>
  <c r="C42" i="180" s="1"/>
  <c r="B43" i="180" s="1"/>
  <c r="C43" i="180" s="1"/>
  <c r="E37" i="180" s="1"/>
  <c r="G37" i="180" s="1"/>
  <c r="E38" i="180" s="1"/>
  <c r="G38" i="180" s="1"/>
  <c r="E39" i="180" s="1"/>
  <c r="G39" i="180" s="1"/>
  <c r="E40" i="180" s="1"/>
  <c r="G40" i="180" s="1"/>
  <c r="E41" i="180" s="1"/>
  <c r="G41" i="180" s="1"/>
  <c r="E42" i="180" s="1"/>
  <c r="G42" i="180" s="1"/>
  <c r="E43" i="180" s="1"/>
  <c r="G43" i="180" s="1"/>
  <c r="I37" i="180" s="1"/>
  <c r="J37" i="180" s="1"/>
  <c r="I38" i="180" s="1"/>
  <c r="J38" i="180" s="1"/>
  <c r="I39" i="180" s="1"/>
  <c r="J39" i="180" s="1"/>
  <c r="I40" i="180" s="1"/>
  <c r="J40" i="180" s="1"/>
  <c r="I41" i="180" s="1"/>
  <c r="J41" i="180" s="1"/>
  <c r="I42" i="180" s="1"/>
  <c r="J42" i="180" s="1"/>
  <c r="I43" i="180" s="1"/>
  <c r="J43" i="180" s="1"/>
  <c r="L37" i="180" s="1"/>
  <c r="M37" i="180" s="1"/>
  <c r="L38" i="180" s="1"/>
  <c r="M38" i="180" s="1"/>
  <c r="L39" i="180" s="1"/>
  <c r="M39" i="180" s="1"/>
  <c r="L40" i="180" s="1"/>
  <c r="M40" i="180" s="1"/>
  <c r="L41" i="180" s="1"/>
  <c r="M41" i="180" s="1"/>
  <c r="L42" i="180" s="1"/>
  <c r="M42" i="180" s="1"/>
  <c r="L43" i="180" s="1"/>
  <c r="M43" i="180" s="1"/>
  <c r="H33" i="180"/>
  <c r="C32" i="180"/>
  <c r="I28" i="180"/>
  <c r="I27" i="180"/>
  <c r="D27" i="180"/>
  <c r="D26" i="180"/>
  <c r="D18" i="180"/>
  <c r="I12" i="180"/>
  <c r="I11" i="180"/>
  <c r="D11" i="180"/>
  <c r="D10" i="180"/>
  <c r="F6" i="180"/>
  <c r="H6" i="180" s="1"/>
  <c r="J33" i="180" s="1"/>
  <c r="B85" i="179"/>
  <c r="C85" i="179" s="1"/>
  <c r="B86" i="179" s="1"/>
  <c r="C86" i="179" s="1"/>
  <c r="B87" i="179" s="1"/>
  <c r="C87" i="179" s="1"/>
  <c r="B88" i="179" s="1"/>
  <c r="C88" i="179" s="1"/>
  <c r="B89" i="179" s="1"/>
  <c r="C89" i="179" s="1"/>
  <c r="B90" i="179" s="1"/>
  <c r="C90" i="179" s="1"/>
  <c r="E84" i="179" s="1"/>
  <c r="G84" i="179" s="1"/>
  <c r="E85" i="179" s="1"/>
  <c r="G85" i="179" s="1"/>
  <c r="E86" i="179" s="1"/>
  <c r="G86" i="179" s="1"/>
  <c r="E87" i="179" s="1"/>
  <c r="G87" i="179" s="1"/>
  <c r="E88" i="179" s="1"/>
  <c r="G88" i="179" s="1"/>
  <c r="E89" i="179" s="1"/>
  <c r="G89" i="179" s="1"/>
  <c r="E90" i="179" s="1"/>
  <c r="G90" i="179" s="1"/>
  <c r="I84" i="179" s="1"/>
  <c r="J84" i="179" s="1"/>
  <c r="I85" i="179" s="1"/>
  <c r="J85" i="179" s="1"/>
  <c r="I86" i="179" s="1"/>
  <c r="J86" i="179" s="1"/>
  <c r="I87" i="179" s="1"/>
  <c r="J87" i="179" s="1"/>
  <c r="I88" i="179" s="1"/>
  <c r="J88" i="179" s="1"/>
  <c r="I89" i="179" s="1"/>
  <c r="J89" i="179" s="1"/>
  <c r="I90" i="179" s="1"/>
  <c r="J90" i="179" s="1"/>
  <c r="L84" i="179" s="1"/>
  <c r="M84" i="179" s="1"/>
  <c r="L85" i="179" s="1"/>
  <c r="M85" i="179" s="1"/>
  <c r="L86" i="179" s="1"/>
  <c r="M86" i="179" s="1"/>
  <c r="L87" i="179" s="1"/>
  <c r="M87" i="179" s="1"/>
  <c r="L88" i="179" s="1"/>
  <c r="M88" i="179" s="1"/>
  <c r="L89" i="179" s="1"/>
  <c r="M89" i="179" s="1"/>
  <c r="L90" i="179" s="1"/>
  <c r="M90" i="179" s="1"/>
  <c r="C84" i="179"/>
  <c r="H80" i="179"/>
  <c r="C79" i="179"/>
  <c r="F53" i="179"/>
  <c r="H53" i="179" s="1"/>
  <c r="J80" i="179" s="1"/>
  <c r="B38" i="179"/>
  <c r="C38" i="179" s="1"/>
  <c r="B39" i="179" s="1"/>
  <c r="C39" i="179" s="1"/>
  <c r="B40" i="179" s="1"/>
  <c r="C40" i="179" s="1"/>
  <c r="B41" i="179" s="1"/>
  <c r="C41" i="179" s="1"/>
  <c r="B42" i="179" s="1"/>
  <c r="C42" i="179" s="1"/>
  <c r="B43" i="179" s="1"/>
  <c r="C43" i="179" s="1"/>
  <c r="E37" i="179" s="1"/>
  <c r="G37" i="179" s="1"/>
  <c r="E38" i="179" s="1"/>
  <c r="G38" i="179" s="1"/>
  <c r="E39" i="179" s="1"/>
  <c r="G39" i="179" s="1"/>
  <c r="E40" i="179" s="1"/>
  <c r="G40" i="179" s="1"/>
  <c r="E41" i="179" s="1"/>
  <c r="G41" i="179" s="1"/>
  <c r="E42" i="179" s="1"/>
  <c r="G42" i="179" s="1"/>
  <c r="E43" i="179" s="1"/>
  <c r="G43" i="179" s="1"/>
  <c r="I37" i="179" s="1"/>
  <c r="J37" i="179" s="1"/>
  <c r="I38" i="179" s="1"/>
  <c r="J38" i="179" s="1"/>
  <c r="I39" i="179" s="1"/>
  <c r="J39" i="179" s="1"/>
  <c r="I40" i="179" s="1"/>
  <c r="J40" i="179" s="1"/>
  <c r="I41" i="179" s="1"/>
  <c r="J41" i="179" s="1"/>
  <c r="I42" i="179" s="1"/>
  <c r="J42" i="179" s="1"/>
  <c r="I43" i="179" s="1"/>
  <c r="J43" i="179" s="1"/>
  <c r="L37" i="179" s="1"/>
  <c r="M37" i="179" s="1"/>
  <c r="L38" i="179" s="1"/>
  <c r="M38" i="179" s="1"/>
  <c r="L39" i="179" s="1"/>
  <c r="M39" i="179" s="1"/>
  <c r="L40" i="179" s="1"/>
  <c r="M40" i="179" s="1"/>
  <c r="L41" i="179" s="1"/>
  <c r="M41" i="179" s="1"/>
  <c r="L42" i="179" s="1"/>
  <c r="M42" i="179" s="1"/>
  <c r="L43" i="179" s="1"/>
  <c r="M43" i="179" s="1"/>
  <c r="C37" i="179"/>
  <c r="H33" i="179"/>
  <c r="C32" i="179"/>
  <c r="I28" i="179"/>
  <c r="I27" i="179"/>
  <c r="D27" i="179"/>
  <c r="D26" i="179"/>
  <c r="I22" i="179"/>
  <c r="D21" i="179"/>
  <c r="I16" i="179"/>
  <c r="D15" i="179"/>
  <c r="I14" i="179"/>
  <c r="D13" i="179"/>
  <c r="I12" i="179"/>
  <c r="I11" i="179"/>
  <c r="D11" i="179"/>
  <c r="D10" i="179"/>
  <c r="F6" i="179"/>
  <c r="H6" i="179" s="1"/>
  <c r="J33" i="179" s="1"/>
  <c r="C84" i="170"/>
  <c r="B85" i="170" s="1"/>
  <c r="C85" i="170" s="1"/>
  <c r="B86" i="170" s="1"/>
  <c r="C86" i="170" s="1"/>
  <c r="B87" i="170" s="1"/>
  <c r="C87" i="170" s="1"/>
  <c r="B88" i="170" s="1"/>
  <c r="C88" i="170" s="1"/>
  <c r="B89" i="170" s="1"/>
  <c r="C89" i="170" s="1"/>
  <c r="B90" i="170" s="1"/>
  <c r="C90" i="170" s="1"/>
  <c r="E84" i="170" s="1"/>
  <c r="G84" i="170" s="1"/>
  <c r="E85" i="170" s="1"/>
  <c r="G85" i="170" s="1"/>
  <c r="E86" i="170" s="1"/>
  <c r="G86" i="170" s="1"/>
  <c r="E87" i="170" s="1"/>
  <c r="G87" i="170" s="1"/>
  <c r="E88" i="170" s="1"/>
  <c r="G88" i="170" s="1"/>
  <c r="E89" i="170" s="1"/>
  <c r="G89" i="170" s="1"/>
  <c r="E90" i="170" s="1"/>
  <c r="G90" i="170" s="1"/>
  <c r="I84" i="170" s="1"/>
  <c r="J84" i="170" s="1"/>
  <c r="I85" i="170" s="1"/>
  <c r="J85" i="170" s="1"/>
  <c r="I86" i="170" s="1"/>
  <c r="J86" i="170" s="1"/>
  <c r="I87" i="170" s="1"/>
  <c r="J87" i="170" s="1"/>
  <c r="I88" i="170" s="1"/>
  <c r="J88" i="170" s="1"/>
  <c r="I89" i="170" s="1"/>
  <c r="J89" i="170" s="1"/>
  <c r="I90" i="170" s="1"/>
  <c r="J90" i="170" s="1"/>
  <c r="L84" i="170" s="1"/>
  <c r="M84" i="170" s="1"/>
  <c r="L85" i="170" s="1"/>
  <c r="M85" i="170" s="1"/>
  <c r="L86" i="170" s="1"/>
  <c r="M86" i="170" s="1"/>
  <c r="L87" i="170" s="1"/>
  <c r="M87" i="170" s="1"/>
  <c r="L88" i="170" s="1"/>
  <c r="M88" i="170" s="1"/>
  <c r="L89" i="170" s="1"/>
  <c r="M89" i="170" s="1"/>
  <c r="L90" i="170" s="1"/>
  <c r="M90" i="170" s="1"/>
  <c r="H80" i="170"/>
  <c r="C79" i="170"/>
  <c r="I75" i="170"/>
  <c r="I74" i="170"/>
  <c r="I69" i="170"/>
  <c r="I66" i="170"/>
  <c r="I65" i="170"/>
  <c r="I63" i="170"/>
  <c r="I61" i="170"/>
  <c r="I59" i="170"/>
  <c r="I58" i="170"/>
  <c r="F53" i="170"/>
  <c r="H53" i="170" s="1"/>
  <c r="J80" i="170" s="1"/>
  <c r="C178" i="174"/>
  <c r="B179" i="174" s="1"/>
  <c r="C179" i="174" s="1"/>
  <c r="B180" i="174" s="1"/>
  <c r="C180" i="174" s="1"/>
  <c r="B181" i="174" s="1"/>
  <c r="C181" i="174" s="1"/>
  <c r="B182" i="174" s="1"/>
  <c r="C182" i="174" s="1"/>
  <c r="B183" i="174" s="1"/>
  <c r="C183" i="174" s="1"/>
  <c r="B184" i="174" s="1"/>
  <c r="C184" i="174" s="1"/>
  <c r="E178" i="174" s="1"/>
  <c r="G178" i="174" s="1"/>
  <c r="E179" i="174" s="1"/>
  <c r="G179" i="174" s="1"/>
  <c r="E180" i="174" s="1"/>
  <c r="G180" i="174" s="1"/>
  <c r="E181" i="174" s="1"/>
  <c r="G181" i="174" s="1"/>
  <c r="E182" i="174" s="1"/>
  <c r="G182" i="174" s="1"/>
  <c r="E183" i="174" s="1"/>
  <c r="G183" i="174" s="1"/>
  <c r="E184" i="174" s="1"/>
  <c r="G184" i="174" s="1"/>
  <c r="I178" i="174" s="1"/>
  <c r="J178" i="174" s="1"/>
  <c r="I179" i="174" s="1"/>
  <c r="J179" i="174" s="1"/>
  <c r="I180" i="174" s="1"/>
  <c r="J180" i="174" s="1"/>
  <c r="I181" i="174" s="1"/>
  <c r="J181" i="174" s="1"/>
  <c r="I182" i="174" s="1"/>
  <c r="J182" i="174" s="1"/>
  <c r="I183" i="174" s="1"/>
  <c r="J183" i="174" s="1"/>
  <c r="I184" i="174" s="1"/>
  <c r="J184" i="174" s="1"/>
  <c r="L178" i="174" s="1"/>
  <c r="M178" i="174" s="1"/>
  <c r="L179" i="174" s="1"/>
  <c r="M179" i="174" s="1"/>
  <c r="L180" i="174" s="1"/>
  <c r="M180" i="174" s="1"/>
  <c r="L181" i="174" s="1"/>
  <c r="M181" i="174" s="1"/>
  <c r="L182" i="174" s="1"/>
  <c r="M182" i="174" s="1"/>
  <c r="L183" i="174" s="1"/>
  <c r="M183" i="174" s="1"/>
  <c r="L184" i="174" s="1"/>
  <c r="M184" i="174" s="1"/>
  <c r="H174" i="174"/>
  <c r="C173" i="174"/>
  <c r="F147" i="174"/>
  <c r="H147" i="174" s="1"/>
  <c r="J174" i="174" s="1"/>
  <c r="C129" i="174"/>
  <c r="B130" i="174" s="1"/>
  <c r="C130" i="174" s="1"/>
  <c r="B131" i="174" s="1"/>
  <c r="C131" i="174" s="1"/>
  <c r="B132" i="174" s="1"/>
  <c r="C132" i="174" s="1"/>
  <c r="B133" i="174" s="1"/>
  <c r="C133" i="174" s="1"/>
  <c r="B134" i="174" s="1"/>
  <c r="C134" i="174" s="1"/>
  <c r="B135" i="174" s="1"/>
  <c r="C135" i="174" s="1"/>
  <c r="E129" i="174" s="1"/>
  <c r="G129" i="174" s="1"/>
  <c r="E130" i="174" s="1"/>
  <c r="G130" i="174" s="1"/>
  <c r="E131" i="174" s="1"/>
  <c r="G131" i="174" s="1"/>
  <c r="E132" i="174" s="1"/>
  <c r="G132" i="174" s="1"/>
  <c r="E133" i="174" s="1"/>
  <c r="G133" i="174" s="1"/>
  <c r="E134" i="174" s="1"/>
  <c r="G134" i="174" s="1"/>
  <c r="E135" i="174" s="1"/>
  <c r="G135" i="174" s="1"/>
  <c r="I129" i="174" s="1"/>
  <c r="J129" i="174" s="1"/>
  <c r="I130" i="174" s="1"/>
  <c r="J130" i="174" s="1"/>
  <c r="I131" i="174" s="1"/>
  <c r="J131" i="174" s="1"/>
  <c r="I132" i="174" s="1"/>
  <c r="J132" i="174" s="1"/>
  <c r="I133" i="174" s="1"/>
  <c r="J133" i="174" s="1"/>
  <c r="I134" i="174" s="1"/>
  <c r="J134" i="174" s="1"/>
  <c r="I135" i="174" s="1"/>
  <c r="J135" i="174" s="1"/>
  <c r="L129" i="174" s="1"/>
  <c r="M129" i="174" s="1"/>
  <c r="L130" i="174" s="1"/>
  <c r="M130" i="174" s="1"/>
  <c r="L131" i="174" s="1"/>
  <c r="M131" i="174" s="1"/>
  <c r="L132" i="174" s="1"/>
  <c r="M132" i="174" s="1"/>
  <c r="L133" i="174" s="1"/>
  <c r="M133" i="174" s="1"/>
  <c r="L134" i="174" s="1"/>
  <c r="M134" i="174" s="1"/>
  <c r="L135" i="174" s="1"/>
  <c r="M135" i="174" s="1"/>
  <c r="H124" i="174"/>
  <c r="C123" i="174"/>
  <c r="I120" i="174"/>
  <c r="I119" i="174"/>
  <c r="I118" i="174"/>
  <c r="I109" i="174"/>
  <c r="I105" i="174"/>
  <c r="I103" i="174"/>
  <c r="I102" i="174"/>
  <c r="F97" i="174"/>
  <c r="H97" i="174" s="1"/>
  <c r="J124" i="174" s="1"/>
  <c r="J103" i="174" l="1"/>
  <c r="J105" i="174"/>
  <c r="J109" i="174"/>
  <c r="J118" i="174"/>
  <c r="J119" i="174"/>
  <c r="J120" i="174"/>
  <c r="J102" i="174"/>
  <c r="J167" i="174"/>
  <c r="J168" i="174"/>
  <c r="J152" i="174"/>
  <c r="J153" i="174"/>
  <c r="J169" i="174"/>
  <c r="J155" i="174"/>
  <c r="J159" i="174"/>
  <c r="J163" i="174"/>
  <c r="J14" i="186"/>
  <c r="J26" i="186"/>
  <c r="J12" i="186"/>
  <c r="J11" i="186"/>
  <c r="J22" i="186"/>
  <c r="J28" i="186"/>
  <c r="J18" i="186"/>
  <c r="J27" i="186"/>
  <c r="J28" i="183"/>
  <c r="J11" i="183"/>
  <c r="J27" i="183"/>
  <c r="J18" i="183"/>
  <c r="J14" i="183"/>
  <c r="J29" i="183"/>
  <c r="J12" i="183"/>
  <c r="J27" i="182"/>
  <c r="J12" i="182"/>
  <c r="J11" i="182"/>
  <c r="J19" i="182"/>
  <c r="J28" i="182"/>
  <c r="J16" i="182"/>
  <c r="J22" i="182"/>
  <c r="J14" i="182"/>
  <c r="J18" i="182"/>
  <c r="J11" i="180"/>
  <c r="J27" i="180"/>
  <c r="J12" i="180"/>
  <c r="J28" i="180"/>
  <c r="J28" i="179"/>
  <c r="J16" i="179"/>
  <c r="J27" i="179"/>
  <c r="J14" i="179"/>
  <c r="J22" i="179"/>
  <c r="J12" i="179"/>
  <c r="J11" i="179"/>
  <c r="D27" i="178" l="1"/>
  <c r="D26" i="178"/>
  <c r="D21" i="178"/>
  <c r="D17" i="178"/>
  <c r="D15" i="178"/>
  <c r="D13" i="178"/>
  <c r="D11" i="178"/>
  <c r="D10" i="178"/>
  <c r="C37" i="178" l="1"/>
  <c r="B38" i="178" s="1"/>
  <c r="C38" i="178" s="1"/>
  <c r="B39" i="178" s="1"/>
  <c r="C39" i="178" s="1"/>
  <c r="B40" i="178" s="1"/>
  <c r="C40" i="178" s="1"/>
  <c r="B41" i="178" s="1"/>
  <c r="C41" i="178" s="1"/>
  <c r="B42" i="178" s="1"/>
  <c r="C42" i="178" s="1"/>
  <c r="B43" i="178" s="1"/>
  <c r="C43" i="178" s="1"/>
  <c r="E37" i="178" s="1"/>
  <c r="G37" i="178" s="1"/>
  <c r="E38" i="178" s="1"/>
  <c r="G38" i="178" s="1"/>
  <c r="E39" i="178" s="1"/>
  <c r="G39" i="178" s="1"/>
  <c r="E40" i="178" s="1"/>
  <c r="G40" i="178" s="1"/>
  <c r="E41" i="178" s="1"/>
  <c r="G41" i="178" s="1"/>
  <c r="E42" i="178" s="1"/>
  <c r="G42" i="178" s="1"/>
  <c r="E43" i="178" s="1"/>
  <c r="G43" i="178" s="1"/>
  <c r="I37" i="178" s="1"/>
  <c r="J37" i="178" s="1"/>
  <c r="I38" i="178" s="1"/>
  <c r="J38" i="178" s="1"/>
  <c r="I39" i="178" s="1"/>
  <c r="J39" i="178" s="1"/>
  <c r="I40" i="178" s="1"/>
  <c r="J40" i="178" s="1"/>
  <c r="I41" i="178" s="1"/>
  <c r="J41" i="178" s="1"/>
  <c r="I42" i="178" s="1"/>
  <c r="J42" i="178" s="1"/>
  <c r="I43" i="178" s="1"/>
  <c r="J43" i="178" s="1"/>
  <c r="L37" i="178" s="1"/>
  <c r="M37" i="178" s="1"/>
  <c r="L38" i="178" s="1"/>
  <c r="M38" i="178" s="1"/>
  <c r="L39" i="178" s="1"/>
  <c r="M39" i="178" s="1"/>
  <c r="L40" i="178" s="1"/>
  <c r="M40" i="178" s="1"/>
  <c r="L41" i="178" s="1"/>
  <c r="M41" i="178" s="1"/>
  <c r="L42" i="178" s="1"/>
  <c r="M42" i="178" s="1"/>
  <c r="L43" i="178" s="1"/>
  <c r="M43" i="178" s="1"/>
  <c r="H33" i="178"/>
  <c r="C32" i="178"/>
  <c r="I28" i="178"/>
  <c r="I27" i="178"/>
  <c r="I22" i="178"/>
  <c r="I18" i="178"/>
  <c r="I16" i="178"/>
  <c r="I14" i="178"/>
  <c r="I12" i="178"/>
  <c r="I11" i="178"/>
  <c r="F6" i="178"/>
  <c r="H6" i="178" s="1"/>
  <c r="J33" i="178" s="1"/>
  <c r="B38" i="177"/>
  <c r="C38" i="177" s="1"/>
  <c r="B39" i="177" s="1"/>
  <c r="C39" i="177" s="1"/>
  <c r="B40" i="177" s="1"/>
  <c r="C40" i="177" s="1"/>
  <c r="B41" i="177" s="1"/>
  <c r="C41" i="177" s="1"/>
  <c r="B42" i="177" s="1"/>
  <c r="C42" i="177" s="1"/>
  <c r="B43" i="177" s="1"/>
  <c r="C43" i="177" s="1"/>
  <c r="E37" i="177" s="1"/>
  <c r="G37" i="177" s="1"/>
  <c r="E38" i="177" s="1"/>
  <c r="G38" i="177" s="1"/>
  <c r="E39" i="177" s="1"/>
  <c r="G39" i="177" s="1"/>
  <c r="E40" i="177" s="1"/>
  <c r="G40" i="177" s="1"/>
  <c r="E41" i="177" s="1"/>
  <c r="G41" i="177" s="1"/>
  <c r="E42" i="177" s="1"/>
  <c r="G42" i="177" s="1"/>
  <c r="E43" i="177" s="1"/>
  <c r="G43" i="177" s="1"/>
  <c r="I37" i="177" s="1"/>
  <c r="J37" i="177" s="1"/>
  <c r="I38" i="177" s="1"/>
  <c r="J38" i="177" s="1"/>
  <c r="I39" i="177" s="1"/>
  <c r="J39" i="177" s="1"/>
  <c r="I40" i="177" s="1"/>
  <c r="J40" i="177" s="1"/>
  <c r="I41" i="177" s="1"/>
  <c r="J41" i="177" s="1"/>
  <c r="I42" i="177" s="1"/>
  <c r="J42" i="177" s="1"/>
  <c r="I43" i="177" s="1"/>
  <c r="J43" i="177" s="1"/>
  <c r="L37" i="177" s="1"/>
  <c r="M37" i="177" s="1"/>
  <c r="L38" i="177" s="1"/>
  <c r="M38" i="177" s="1"/>
  <c r="L39" i="177" s="1"/>
  <c r="M39" i="177" s="1"/>
  <c r="L40" i="177" s="1"/>
  <c r="M40" i="177" s="1"/>
  <c r="L41" i="177" s="1"/>
  <c r="M41" i="177" s="1"/>
  <c r="L42" i="177" s="1"/>
  <c r="M42" i="177" s="1"/>
  <c r="L43" i="177" s="1"/>
  <c r="M43" i="177" s="1"/>
  <c r="C37" i="177"/>
  <c r="H33" i="177"/>
  <c r="C32" i="177"/>
  <c r="I28" i="177"/>
  <c r="D28" i="177"/>
  <c r="I27" i="177"/>
  <c r="D27" i="177"/>
  <c r="D26" i="177"/>
  <c r="I18" i="177"/>
  <c r="D17" i="177"/>
  <c r="D13" i="177"/>
  <c r="I12" i="177"/>
  <c r="I11" i="177"/>
  <c r="D11" i="177"/>
  <c r="D10" i="177"/>
  <c r="F6" i="177"/>
  <c r="H6" i="177" s="1"/>
  <c r="J33" i="177" s="1"/>
  <c r="D11" i="175"/>
  <c r="D13" i="175"/>
  <c r="D17" i="175"/>
  <c r="D26" i="175"/>
  <c r="D27" i="175"/>
  <c r="D28" i="175"/>
  <c r="D11" i="174"/>
  <c r="D18" i="174"/>
  <c r="D26" i="174"/>
  <c r="D27" i="174"/>
  <c r="D11" i="173"/>
  <c r="D13" i="173"/>
  <c r="D17" i="173"/>
  <c r="D26" i="173"/>
  <c r="D27" i="173"/>
  <c r="D28" i="173"/>
  <c r="D11" i="169"/>
  <c r="D13" i="169"/>
  <c r="D15" i="169"/>
  <c r="D17" i="169"/>
  <c r="D18" i="169"/>
  <c r="D20" i="169"/>
  <c r="D21" i="169"/>
  <c r="D26" i="169"/>
  <c r="D27" i="169"/>
  <c r="D29" i="169"/>
  <c r="F6" i="168"/>
  <c r="D10" i="168"/>
  <c r="D11" i="168"/>
  <c r="D13" i="168"/>
  <c r="D17" i="168"/>
  <c r="D21" i="168"/>
  <c r="D26" i="168"/>
  <c r="D27" i="168"/>
  <c r="C32" i="168"/>
  <c r="C37" i="175"/>
  <c r="B38" i="175" s="1"/>
  <c r="C38" i="175" s="1"/>
  <c r="B39" i="175" s="1"/>
  <c r="C39" i="175" s="1"/>
  <c r="B40" i="175" s="1"/>
  <c r="C40" i="175" s="1"/>
  <c r="B41" i="175" s="1"/>
  <c r="C41" i="175" s="1"/>
  <c r="B42" i="175" s="1"/>
  <c r="C42" i="175" s="1"/>
  <c r="B43" i="175" s="1"/>
  <c r="C43" i="175" s="1"/>
  <c r="E37" i="175" s="1"/>
  <c r="G37" i="175" s="1"/>
  <c r="E38" i="175" s="1"/>
  <c r="G38" i="175" s="1"/>
  <c r="E39" i="175" s="1"/>
  <c r="G39" i="175" s="1"/>
  <c r="E40" i="175" s="1"/>
  <c r="G40" i="175" s="1"/>
  <c r="E41" i="175" s="1"/>
  <c r="G41" i="175" s="1"/>
  <c r="E42" i="175" s="1"/>
  <c r="G42" i="175" s="1"/>
  <c r="E43" i="175" s="1"/>
  <c r="G43" i="175" s="1"/>
  <c r="I37" i="175" s="1"/>
  <c r="J37" i="175" s="1"/>
  <c r="I38" i="175" s="1"/>
  <c r="J38" i="175" s="1"/>
  <c r="I39" i="175" s="1"/>
  <c r="J39" i="175" s="1"/>
  <c r="I40" i="175" s="1"/>
  <c r="J40" i="175" s="1"/>
  <c r="I41" i="175" s="1"/>
  <c r="J41" i="175" s="1"/>
  <c r="I42" i="175" s="1"/>
  <c r="J42" i="175" s="1"/>
  <c r="I43" i="175" s="1"/>
  <c r="J43" i="175" s="1"/>
  <c r="L37" i="175" s="1"/>
  <c r="M37" i="175" s="1"/>
  <c r="L38" i="175" s="1"/>
  <c r="M38" i="175" s="1"/>
  <c r="L39" i="175" s="1"/>
  <c r="M39" i="175" s="1"/>
  <c r="L40" i="175" s="1"/>
  <c r="M40" i="175" s="1"/>
  <c r="L41" i="175" s="1"/>
  <c r="M41" i="175" s="1"/>
  <c r="L42" i="175" s="1"/>
  <c r="M42" i="175" s="1"/>
  <c r="L43" i="175" s="1"/>
  <c r="M43" i="175" s="1"/>
  <c r="H33" i="175"/>
  <c r="C32" i="175"/>
  <c r="I28" i="175"/>
  <c r="I27" i="175"/>
  <c r="I18" i="175"/>
  <c r="I12" i="175"/>
  <c r="I11" i="175"/>
  <c r="D10" i="175"/>
  <c r="F6" i="175"/>
  <c r="H6" i="175" s="1"/>
  <c r="J33" i="175" s="1"/>
  <c r="I12" i="174"/>
  <c r="I14" i="174"/>
  <c r="I18" i="174"/>
  <c r="I27" i="174"/>
  <c r="I28" i="174"/>
  <c r="I29" i="174"/>
  <c r="C37" i="174"/>
  <c r="B38" i="174" s="1"/>
  <c r="C38" i="174" s="1"/>
  <c r="B39" i="174" s="1"/>
  <c r="C39" i="174" s="1"/>
  <c r="B40" i="174" s="1"/>
  <c r="C40" i="174" s="1"/>
  <c r="B41" i="174" s="1"/>
  <c r="C41" i="174" s="1"/>
  <c r="B42" i="174" s="1"/>
  <c r="C42" i="174" s="1"/>
  <c r="B43" i="174" s="1"/>
  <c r="C43" i="174" s="1"/>
  <c r="E37" i="174" s="1"/>
  <c r="G37" i="174" s="1"/>
  <c r="E38" i="174" s="1"/>
  <c r="G38" i="174" s="1"/>
  <c r="E39" i="174" s="1"/>
  <c r="G39" i="174" s="1"/>
  <c r="E40" i="174" s="1"/>
  <c r="G40" i="174" s="1"/>
  <c r="E41" i="174" s="1"/>
  <c r="G41" i="174" s="1"/>
  <c r="E42" i="174" s="1"/>
  <c r="G42" i="174" s="1"/>
  <c r="E43" i="174" s="1"/>
  <c r="G43" i="174" s="1"/>
  <c r="I37" i="174" s="1"/>
  <c r="J37" i="174" s="1"/>
  <c r="I38" i="174" s="1"/>
  <c r="J38" i="174" s="1"/>
  <c r="I39" i="174" s="1"/>
  <c r="J39" i="174" s="1"/>
  <c r="I40" i="174" s="1"/>
  <c r="J40" i="174" s="1"/>
  <c r="I41" i="174" s="1"/>
  <c r="J41" i="174" s="1"/>
  <c r="I42" i="174" s="1"/>
  <c r="J42" i="174" s="1"/>
  <c r="I43" i="174" s="1"/>
  <c r="J43" i="174" s="1"/>
  <c r="L37" i="174" s="1"/>
  <c r="M37" i="174" s="1"/>
  <c r="L38" i="174" s="1"/>
  <c r="M38" i="174" s="1"/>
  <c r="L39" i="174" s="1"/>
  <c r="M39" i="174" s="1"/>
  <c r="L40" i="174" s="1"/>
  <c r="M40" i="174" s="1"/>
  <c r="L41" i="174" s="1"/>
  <c r="M41" i="174" s="1"/>
  <c r="L42" i="174" s="1"/>
  <c r="M42" i="174" s="1"/>
  <c r="L43" i="174" s="1"/>
  <c r="M43" i="174" s="1"/>
  <c r="H33" i="174"/>
  <c r="C32" i="174"/>
  <c r="I11" i="174"/>
  <c r="D10" i="174"/>
  <c r="F6" i="174"/>
  <c r="H6" i="174" s="1"/>
  <c r="J33" i="174" s="1"/>
  <c r="I14" i="173"/>
  <c r="I18" i="173"/>
  <c r="I19" i="173"/>
  <c r="I25" i="173"/>
  <c r="I26" i="173"/>
  <c r="I27" i="173"/>
  <c r="I28" i="173"/>
  <c r="I29" i="173"/>
  <c r="C37" i="173"/>
  <c r="B38" i="173" s="1"/>
  <c r="C38" i="173" s="1"/>
  <c r="B39" i="173" s="1"/>
  <c r="C39" i="173" s="1"/>
  <c r="B40" i="173" s="1"/>
  <c r="C40" i="173" s="1"/>
  <c r="B41" i="173" s="1"/>
  <c r="C41" i="173" s="1"/>
  <c r="B42" i="173" s="1"/>
  <c r="C42" i="173" s="1"/>
  <c r="B43" i="173" s="1"/>
  <c r="C43" i="173" s="1"/>
  <c r="E37" i="173" s="1"/>
  <c r="G37" i="173" s="1"/>
  <c r="E38" i="173" s="1"/>
  <c r="G38" i="173" s="1"/>
  <c r="E39" i="173" s="1"/>
  <c r="G39" i="173" s="1"/>
  <c r="E40" i="173" s="1"/>
  <c r="G40" i="173" s="1"/>
  <c r="E41" i="173" s="1"/>
  <c r="G41" i="173" s="1"/>
  <c r="E42" i="173" s="1"/>
  <c r="G42" i="173" s="1"/>
  <c r="E43" i="173" s="1"/>
  <c r="G43" i="173" s="1"/>
  <c r="I37" i="173" s="1"/>
  <c r="J37" i="173" s="1"/>
  <c r="I38" i="173" s="1"/>
  <c r="J38" i="173" s="1"/>
  <c r="I39" i="173" s="1"/>
  <c r="J39" i="173" s="1"/>
  <c r="I40" i="173" s="1"/>
  <c r="J40" i="173" s="1"/>
  <c r="I41" i="173" s="1"/>
  <c r="J41" i="173" s="1"/>
  <c r="I42" i="173" s="1"/>
  <c r="J42" i="173" s="1"/>
  <c r="I43" i="173" s="1"/>
  <c r="J43" i="173" s="1"/>
  <c r="L37" i="173" s="1"/>
  <c r="M37" i="173" s="1"/>
  <c r="L38" i="173" s="1"/>
  <c r="M38" i="173" s="1"/>
  <c r="L39" i="173" s="1"/>
  <c r="M39" i="173" s="1"/>
  <c r="L40" i="173" s="1"/>
  <c r="M40" i="173" s="1"/>
  <c r="L41" i="173" s="1"/>
  <c r="M41" i="173" s="1"/>
  <c r="L42" i="173" s="1"/>
  <c r="M42" i="173" s="1"/>
  <c r="L43" i="173" s="1"/>
  <c r="M43" i="173" s="1"/>
  <c r="H33" i="173"/>
  <c r="C32" i="173"/>
  <c r="I11" i="173"/>
  <c r="D10" i="173"/>
  <c r="F6" i="173"/>
  <c r="H6" i="173" s="1"/>
  <c r="J33" i="173" s="1"/>
  <c r="J29" i="173" s="1"/>
  <c r="I12" i="172"/>
  <c r="I14" i="172"/>
  <c r="I16" i="172"/>
  <c r="I18" i="172"/>
  <c r="I22" i="172"/>
  <c r="I27" i="172"/>
  <c r="I28" i="172"/>
  <c r="D11" i="172"/>
  <c r="D13" i="172"/>
  <c r="D15" i="172"/>
  <c r="D17" i="172"/>
  <c r="D21" i="172"/>
  <c r="D26" i="172"/>
  <c r="D27" i="172"/>
  <c r="C37" i="172"/>
  <c r="B38" i="172" s="1"/>
  <c r="C38" i="172" s="1"/>
  <c r="B39" i="172" s="1"/>
  <c r="C39" i="172" s="1"/>
  <c r="B40" i="172" s="1"/>
  <c r="C40" i="172" s="1"/>
  <c r="B41" i="172" s="1"/>
  <c r="C41" i="172" s="1"/>
  <c r="B42" i="172" s="1"/>
  <c r="C42" i="172" s="1"/>
  <c r="B43" i="172" s="1"/>
  <c r="C43" i="172" s="1"/>
  <c r="E37" i="172" s="1"/>
  <c r="G37" i="172" s="1"/>
  <c r="E38" i="172" s="1"/>
  <c r="G38" i="172" s="1"/>
  <c r="E39" i="172" s="1"/>
  <c r="G39" i="172" s="1"/>
  <c r="E40" i="172" s="1"/>
  <c r="G40" i="172" s="1"/>
  <c r="E41" i="172" s="1"/>
  <c r="G41" i="172" s="1"/>
  <c r="E42" i="172" s="1"/>
  <c r="G42" i="172" s="1"/>
  <c r="E43" i="172" s="1"/>
  <c r="G43" i="172" s="1"/>
  <c r="I37" i="172" s="1"/>
  <c r="J37" i="172" s="1"/>
  <c r="I38" i="172" s="1"/>
  <c r="J38" i="172" s="1"/>
  <c r="I39" i="172" s="1"/>
  <c r="J39" i="172" s="1"/>
  <c r="I40" i="172" s="1"/>
  <c r="J40" i="172" s="1"/>
  <c r="I41" i="172" s="1"/>
  <c r="J41" i="172" s="1"/>
  <c r="I42" i="172" s="1"/>
  <c r="J42" i="172" s="1"/>
  <c r="I43" i="172" s="1"/>
  <c r="J43" i="172" s="1"/>
  <c r="L37" i="172" s="1"/>
  <c r="M37" i="172" s="1"/>
  <c r="L38" i="172" s="1"/>
  <c r="M38" i="172" s="1"/>
  <c r="L39" i="172" s="1"/>
  <c r="M39" i="172" s="1"/>
  <c r="L40" i="172" s="1"/>
  <c r="M40" i="172" s="1"/>
  <c r="L41" i="172" s="1"/>
  <c r="M41" i="172" s="1"/>
  <c r="L42" i="172" s="1"/>
  <c r="M42" i="172" s="1"/>
  <c r="L43" i="172" s="1"/>
  <c r="M43" i="172" s="1"/>
  <c r="H33" i="172"/>
  <c r="C32" i="172"/>
  <c r="I11" i="172"/>
  <c r="D10" i="172"/>
  <c r="F6" i="172"/>
  <c r="H6" i="172" s="1"/>
  <c r="J33" i="172" s="1"/>
  <c r="J14" i="172" s="1"/>
  <c r="I12" i="171"/>
  <c r="I14" i="171"/>
  <c r="I18" i="171"/>
  <c r="I22" i="171"/>
  <c r="I26" i="171"/>
  <c r="I27" i="171"/>
  <c r="I28" i="171"/>
  <c r="D11" i="171"/>
  <c r="D13" i="171"/>
  <c r="D17" i="171"/>
  <c r="D21" i="171"/>
  <c r="D25" i="171"/>
  <c r="D26" i="171"/>
  <c r="D27" i="171"/>
  <c r="C37" i="171"/>
  <c r="B38" i="171" s="1"/>
  <c r="C38" i="171" s="1"/>
  <c r="B39" i="171" s="1"/>
  <c r="C39" i="171" s="1"/>
  <c r="B40" i="171" s="1"/>
  <c r="C40" i="171" s="1"/>
  <c r="B41" i="171" s="1"/>
  <c r="C41" i="171" s="1"/>
  <c r="B42" i="171" s="1"/>
  <c r="C42" i="171" s="1"/>
  <c r="B43" i="171" s="1"/>
  <c r="C43" i="171" s="1"/>
  <c r="E37" i="171" s="1"/>
  <c r="G37" i="171" s="1"/>
  <c r="E38" i="171" s="1"/>
  <c r="G38" i="171" s="1"/>
  <c r="E39" i="171" s="1"/>
  <c r="G39" i="171" s="1"/>
  <c r="E40" i="171" s="1"/>
  <c r="G40" i="171" s="1"/>
  <c r="E41" i="171" s="1"/>
  <c r="G41" i="171" s="1"/>
  <c r="E42" i="171" s="1"/>
  <c r="G42" i="171" s="1"/>
  <c r="E43" i="171" s="1"/>
  <c r="G43" i="171" s="1"/>
  <c r="I37" i="171" s="1"/>
  <c r="J37" i="171" s="1"/>
  <c r="I38" i="171" s="1"/>
  <c r="J38" i="171" s="1"/>
  <c r="I39" i="171" s="1"/>
  <c r="J39" i="171" s="1"/>
  <c r="I40" i="171" s="1"/>
  <c r="J40" i="171" s="1"/>
  <c r="I41" i="171" s="1"/>
  <c r="J41" i="171" s="1"/>
  <c r="I42" i="171" s="1"/>
  <c r="J42" i="171" s="1"/>
  <c r="I43" i="171" s="1"/>
  <c r="J43" i="171" s="1"/>
  <c r="L37" i="171" s="1"/>
  <c r="M37" i="171" s="1"/>
  <c r="L38" i="171" s="1"/>
  <c r="M38" i="171" s="1"/>
  <c r="L39" i="171" s="1"/>
  <c r="M39" i="171" s="1"/>
  <c r="L40" i="171" s="1"/>
  <c r="M40" i="171" s="1"/>
  <c r="L41" i="171" s="1"/>
  <c r="M41" i="171" s="1"/>
  <c r="H33" i="171"/>
  <c r="C32" i="171"/>
  <c r="I11" i="171"/>
  <c r="D10" i="171"/>
  <c r="F6" i="171"/>
  <c r="H6" i="171" s="1"/>
  <c r="J33" i="171" s="1"/>
  <c r="J28" i="171" s="1"/>
  <c r="C37" i="170"/>
  <c r="B38" i="170" s="1"/>
  <c r="C38" i="170" s="1"/>
  <c r="B39" i="170" s="1"/>
  <c r="C39" i="170" s="1"/>
  <c r="B40" i="170" s="1"/>
  <c r="C40" i="170" s="1"/>
  <c r="B41" i="170" s="1"/>
  <c r="C41" i="170" s="1"/>
  <c r="B42" i="170" s="1"/>
  <c r="C42" i="170" s="1"/>
  <c r="B43" i="170" s="1"/>
  <c r="C43" i="170" s="1"/>
  <c r="E37" i="170" s="1"/>
  <c r="G37" i="170" s="1"/>
  <c r="E38" i="170" s="1"/>
  <c r="G38" i="170" s="1"/>
  <c r="E39" i="170" s="1"/>
  <c r="G39" i="170" s="1"/>
  <c r="E40" i="170" s="1"/>
  <c r="G40" i="170" s="1"/>
  <c r="E41" i="170" s="1"/>
  <c r="G41" i="170" s="1"/>
  <c r="E42" i="170" s="1"/>
  <c r="G42" i="170" s="1"/>
  <c r="E43" i="170" s="1"/>
  <c r="G43" i="170" s="1"/>
  <c r="I37" i="170" s="1"/>
  <c r="J37" i="170" s="1"/>
  <c r="I38" i="170" s="1"/>
  <c r="J38" i="170" s="1"/>
  <c r="I39" i="170" s="1"/>
  <c r="J39" i="170" s="1"/>
  <c r="I40" i="170" s="1"/>
  <c r="J40" i="170" s="1"/>
  <c r="I41" i="170" s="1"/>
  <c r="J41" i="170" s="1"/>
  <c r="I42" i="170" s="1"/>
  <c r="J42" i="170" s="1"/>
  <c r="I43" i="170" s="1"/>
  <c r="J43" i="170" s="1"/>
  <c r="L37" i="170" s="1"/>
  <c r="M37" i="170" s="1"/>
  <c r="L38" i="170" s="1"/>
  <c r="M38" i="170" s="1"/>
  <c r="L39" i="170" s="1"/>
  <c r="M39" i="170" s="1"/>
  <c r="L40" i="170" s="1"/>
  <c r="M40" i="170" s="1"/>
  <c r="L41" i="170" s="1"/>
  <c r="M41" i="170" s="1"/>
  <c r="L42" i="170" s="1"/>
  <c r="M42" i="170" s="1"/>
  <c r="L43" i="170" s="1"/>
  <c r="M43" i="170" s="1"/>
  <c r="H33" i="170"/>
  <c r="C32" i="170"/>
  <c r="I28" i="170"/>
  <c r="I27" i="170"/>
  <c r="D26" i="170"/>
  <c r="I22" i="170"/>
  <c r="D21" i="170"/>
  <c r="I16" i="170"/>
  <c r="D15" i="170"/>
  <c r="I14" i="170"/>
  <c r="D13" i="170"/>
  <c r="I12" i="170"/>
  <c r="I11" i="170"/>
  <c r="D11" i="170"/>
  <c r="D10" i="170"/>
  <c r="F6" i="170"/>
  <c r="H6" i="170" s="1"/>
  <c r="J33" i="170" s="1"/>
  <c r="I12" i="169"/>
  <c r="I14" i="169"/>
  <c r="I16" i="169"/>
  <c r="I18" i="169"/>
  <c r="I19" i="169"/>
  <c r="I22" i="169"/>
  <c r="I27" i="169"/>
  <c r="I28" i="169"/>
  <c r="B38" i="169"/>
  <c r="C38" i="169" s="1"/>
  <c r="B39" i="169" s="1"/>
  <c r="C39" i="169" s="1"/>
  <c r="B40" i="169" s="1"/>
  <c r="C40" i="169" s="1"/>
  <c r="B41" i="169" s="1"/>
  <c r="C41" i="169" s="1"/>
  <c r="B42" i="169" s="1"/>
  <c r="C42" i="169" s="1"/>
  <c r="B43" i="169" s="1"/>
  <c r="C43" i="169" s="1"/>
  <c r="E37" i="169" s="1"/>
  <c r="G37" i="169" s="1"/>
  <c r="E38" i="169" s="1"/>
  <c r="G38" i="169" s="1"/>
  <c r="E39" i="169" s="1"/>
  <c r="G39" i="169" s="1"/>
  <c r="E40" i="169" s="1"/>
  <c r="G40" i="169" s="1"/>
  <c r="E41" i="169" s="1"/>
  <c r="G41" i="169" s="1"/>
  <c r="E42" i="169" s="1"/>
  <c r="G42" i="169" s="1"/>
  <c r="E43" i="169" s="1"/>
  <c r="G43" i="169" s="1"/>
  <c r="I37" i="169" s="1"/>
  <c r="J37" i="169" s="1"/>
  <c r="I38" i="169" s="1"/>
  <c r="J38" i="169" s="1"/>
  <c r="I39" i="169" s="1"/>
  <c r="J39" i="169" s="1"/>
  <c r="I40" i="169" s="1"/>
  <c r="J40" i="169" s="1"/>
  <c r="I41" i="169" s="1"/>
  <c r="J41" i="169" s="1"/>
  <c r="I42" i="169" s="1"/>
  <c r="J42" i="169" s="1"/>
  <c r="I43" i="169" s="1"/>
  <c r="J43" i="169" s="1"/>
  <c r="L37" i="169" s="1"/>
  <c r="M37" i="169" s="1"/>
  <c r="L38" i="169" s="1"/>
  <c r="M38" i="169" s="1"/>
  <c r="L39" i="169" s="1"/>
  <c r="M39" i="169" s="1"/>
  <c r="L40" i="169" s="1"/>
  <c r="M40" i="169" s="1"/>
  <c r="L41" i="169" s="1"/>
  <c r="M41" i="169" s="1"/>
  <c r="L42" i="169" s="1"/>
  <c r="M42" i="169" s="1"/>
  <c r="L43" i="169" s="1"/>
  <c r="M43" i="169" s="1"/>
  <c r="C37" i="169"/>
  <c r="H33" i="169"/>
  <c r="C32" i="169"/>
  <c r="I11" i="169"/>
  <c r="D10" i="169"/>
  <c r="F6" i="169"/>
  <c r="H6" i="169" s="1"/>
  <c r="J33" i="169" s="1"/>
  <c r="J22" i="169" s="1"/>
  <c r="I11" i="168"/>
  <c r="I12" i="168"/>
  <c r="I14" i="168"/>
  <c r="I18" i="168"/>
  <c r="I22" i="168"/>
  <c r="I26" i="168"/>
  <c r="I27" i="168"/>
  <c r="I28" i="168"/>
  <c r="C37" i="168"/>
  <c r="B38" i="168" s="1"/>
  <c r="C38" i="168" s="1"/>
  <c r="B39" i="168" s="1"/>
  <c r="C39" i="168" s="1"/>
  <c r="B40" i="168" s="1"/>
  <c r="C40" i="168" s="1"/>
  <c r="B41" i="168" s="1"/>
  <c r="C41" i="168" s="1"/>
  <c r="B42" i="168" s="1"/>
  <c r="C42" i="168" s="1"/>
  <c r="B43" i="168" s="1"/>
  <c r="C43" i="168" s="1"/>
  <c r="E37" i="168" s="1"/>
  <c r="G37" i="168" s="1"/>
  <c r="E38" i="168" s="1"/>
  <c r="G38" i="168" s="1"/>
  <c r="E39" i="168" s="1"/>
  <c r="G39" i="168" s="1"/>
  <c r="E40" i="168" s="1"/>
  <c r="G40" i="168" s="1"/>
  <c r="E41" i="168" s="1"/>
  <c r="G41" i="168" s="1"/>
  <c r="E42" i="168" s="1"/>
  <c r="G42" i="168" s="1"/>
  <c r="E43" i="168" s="1"/>
  <c r="G43" i="168" s="1"/>
  <c r="I37" i="168" s="1"/>
  <c r="J37" i="168" s="1"/>
  <c r="I38" i="168" s="1"/>
  <c r="J38" i="168" s="1"/>
  <c r="I39" i="168" s="1"/>
  <c r="J39" i="168" s="1"/>
  <c r="I40" i="168" s="1"/>
  <c r="J40" i="168" s="1"/>
  <c r="I41" i="168" s="1"/>
  <c r="J41" i="168" s="1"/>
  <c r="I42" i="168" s="1"/>
  <c r="J42" i="168" s="1"/>
  <c r="I43" i="168" s="1"/>
  <c r="J43" i="168" s="1"/>
  <c r="L37" i="168" s="1"/>
  <c r="M37" i="168" s="1"/>
  <c r="L38" i="168" s="1"/>
  <c r="M38" i="168" s="1"/>
  <c r="L39" i="168" s="1"/>
  <c r="M39" i="168" s="1"/>
  <c r="L40" i="168" s="1"/>
  <c r="M40" i="168" s="1"/>
  <c r="L41" i="168" s="1"/>
  <c r="M41" i="168" s="1"/>
  <c r="L42" i="168" s="1"/>
  <c r="M42" i="168" s="1"/>
  <c r="L43" i="168" s="1"/>
  <c r="M43" i="168" s="1"/>
  <c r="O37" i="168" s="1"/>
  <c r="P37" i="168" s="1"/>
  <c r="O38" i="168" s="1"/>
  <c r="P38" i="168" s="1"/>
  <c r="O39" i="168" s="1"/>
  <c r="P39" i="168" s="1"/>
  <c r="O40" i="168" s="1"/>
  <c r="P40" i="168" s="1"/>
  <c r="O41" i="168" s="1"/>
  <c r="P41" i="168" s="1"/>
  <c r="O42" i="168" s="1"/>
  <c r="P42" i="168" s="1"/>
  <c r="O43" i="168" s="1"/>
  <c r="P43" i="168" s="1"/>
  <c r="H33" i="168"/>
  <c r="H6" i="168"/>
  <c r="J33" i="168" s="1"/>
  <c r="J11" i="168" s="1"/>
  <c r="J57" i="174" l="1"/>
  <c r="J73" i="174"/>
  <c r="J60" i="174"/>
  <c r="J75" i="174"/>
  <c r="J64" i="174"/>
  <c r="J58" i="174"/>
  <c r="J74" i="174"/>
  <c r="J14" i="174"/>
  <c r="J27" i="178"/>
  <c r="J14" i="178"/>
  <c r="J22" i="178"/>
  <c r="J12" i="178"/>
  <c r="J28" i="178"/>
  <c r="J11" i="178"/>
  <c r="J18" i="178"/>
  <c r="J16" i="178"/>
  <c r="J11" i="177"/>
  <c r="J27" i="177"/>
  <c r="J12" i="177"/>
  <c r="J18" i="177"/>
  <c r="J28" i="177"/>
  <c r="J12" i="174"/>
  <c r="J29" i="174"/>
  <c r="J28" i="174"/>
  <c r="J27" i="174"/>
  <c r="J18" i="174"/>
  <c r="J26" i="173"/>
  <c r="J28" i="173"/>
  <c r="J25" i="173"/>
  <c r="J19" i="173"/>
  <c r="J18" i="173"/>
  <c r="J27" i="173"/>
  <c r="J14" i="173"/>
  <c r="J28" i="172"/>
  <c r="J27" i="172"/>
  <c r="J22" i="172"/>
  <c r="J18" i="172"/>
  <c r="J16" i="172"/>
  <c r="J12" i="172"/>
  <c r="J27" i="171"/>
  <c r="J26" i="171"/>
  <c r="J12" i="171"/>
  <c r="J18" i="171"/>
  <c r="J22" i="171"/>
  <c r="J14" i="171"/>
  <c r="J18" i="169"/>
  <c r="J16" i="169"/>
  <c r="J14" i="169"/>
  <c r="J12" i="169"/>
  <c r="J19" i="169"/>
  <c r="J28" i="169"/>
  <c r="J27" i="169"/>
  <c r="J28" i="168"/>
  <c r="J26" i="168"/>
  <c r="J27" i="168"/>
  <c r="J22" i="168"/>
  <c r="J18" i="168"/>
  <c r="J14" i="168"/>
  <c r="J12" i="168"/>
  <c r="J28" i="175"/>
  <c r="J12" i="175"/>
  <c r="J27" i="175"/>
  <c r="J11" i="175"/>
  <c r="J18" i="175"/>
  <c r="J11" i="174"/>
  <c r="J11" i="173"/>
  <c r="J11" i="172"/>
  <c r="L42" i="171"/>
  <c r="M42" i="171" s="1"/>
  <c r="L43" i="171" s="1"/>
  <c r="M43" i="171" s="1"/>
  <c r="J11" i="171"/>
  <c r="J27" i="170"/>
  <c r="J16" i="170"/>
  <c r="J28" i="170"/>
  <c r="J22" i="170"/>
  <c r="J14" i="170"/>
  <c r="J12" i="170"/>
  <c r="J11" i="170"/>
  <c r="J11" i="169"/>
</calcChain>
</file>

<file path=xl/sharedStrings.xml><?xml version="1.0" encoding="utf-8"?>
<sst xmlns="http://schemas.openxmlformats.org/spreadsheetml/2006/main" count="3831" uniqueCount="75">
  <si>
    <t>DESTINO:</t>
  </si>
  <si>
    <t>FECHA:</t>
  </si>
  <si>
    <t xml:space="preserve">PRODUCTO: </t>
  </si>
  <si>
    <t>RESPONSABLE:</t>
  </si>
  <si>
    <t>INSUMO</t>
  </si>
  <si>
    <t>PORCENTAJE</t>
  </si>
  <si>
    <t>CANTIDAD</t>
  </si>
  <si>
    <t>MEZCLADO</t>
  </si>
  <si>
    <t>Tandas x 400 Kg +</t>
  </si>
  <si>
    <t>Kg</t>
  </si>
  <si>
    <t>Leche en Polvo</t>
  </si>
  <si>
    <t>TOTAL</t>
  </si>
  <si>
    <t>N° BACH</t>
  </si>
  <si>
    <t>HORA INICIO</t>
  </si>
  <si>
    <t>HORA FINAL</t>
  </si>
  <si>
    <t>MEZCLADORA 1</t>
  </si>
  <si>
    <t>Tarwi en harina</t>
  </si>
  <si>
    <t>Aceite vegetal de soya</t>
  </si>
  <si>
    <r>
      <t xml:space="preserve">TIEMPO DE MEZCLADO: </t>
    </r>
    <r>
      <rPr>
        <b/>
        <sz val="11"/>
        <color theme="1"/>
        <rFont val="Calibri"/>
        <family val="2"/>
      </rPr>
      <t>≥1</t>
    </r>
    <r>
      <rPr>
        <b/>
        <sz val="11"/>
        <color theme="1"/>
        <rFont val="Calibri"/>
        <family val="2"/>
        <scheme val="minor"/>
      </rPr>
      <t>5 min/BATCH</t>
    </r>
  </si>
  <si>
    <t>Azúcar rubia</t>
  </si>
  <si>
    <t>FACOIMPEC EIRL</t>
  </si>
  <si>
    <t>PRODUCCIÓN-FORMATOS</t>
  </si>
  <si>
    <t>Linaza en grano</t>
  </si>
  <si>
    <t>Cañihua en grano</t>
  </si>
  <si>
    <t>Trigo en grano</t>
  </si>
  <si>
    <t>Avena pelada estabilizada</t>
  </si>
  <si>
    <t>Soya en grano</t>
  </si>
  <si>
    <t xml:space="preserve">Arroz </t>
  </si>
  <si>
    <t>Maiz Chufla en grano</t>
  </si>
  <si>
    <t>Maca deshidratada molida</t>
  </si>
  <si>
    <t>Albumina de Huevo</t>
  </si>
  <si>
    <t>Proteina de Soya aislada</t>
  </si>
  <si>
    <t>Fosfato Tricálcico</t>
  </si>
  <si>
    <t>Premix Vitamínico</t>
  </si>
  <si>
    <t>Aceite vegetal de girasol</t>
  </si>
  <si>
    <t>Ajonjolí</t>
  </si>
  <si>
    <t xml:space="preserve">Cebada </t>
  </si>
  <si>
    <t>DARIO</t>
  </si>
  <si>
    <t>HOJUELA PRECOCIDA DE QUINUA, KIWICHA, AVENA CON SOYA, TARHUI Y MACA ENRIQUECIDA O FORTIFICADA CON VITAMINAS Y MINERALES</t>
  </si>
  <si>
    <t>HOJUELAS DE AVENA, KIWICHA, QUINUA, MAIZ CHUFLA CON SOYA, MACA Y AZUCAR FORTIFICADA CON VITAMINAS Y MINERALES</t>
  </si>
  <si>
    <t>HOJUELAS PRECOCIDAS DE AVENA, KIWICHA, QUINUA CONHARINA DE SOYA, ACEITE VEGETAL FORTIFICADA CON VITAMINAS Y MINERALES</t>
  </si>
  <si>
    <t>WIMAN</t>
  </si>
  <si>
    <t>Cañihua tostada</t>
  </si>
  <si>
    <t>Soya tostada</t>
  </si>
  <si>
    <t>Kiwicha tostada entera</t>
  </si>
  <si>
    <t>Maiz Chufla tostado</t>
  </si>
  <si>
    <t>Quinua tostada desap.</t>
  </si>
  <si>
    <t>Quinua desap. en grano</t>
  </si>
  <si>
    <t>HOJUELAS DE QUINUA, AVENA, KIWICHA, SOYA, MACA Y CHOCHO FORTIFICADA CON VITAMINAS Y MINERALES</t>
  </si>
  <si>
    <t>MEZCLADORA 2</t>
  </si>
  <si>
    <t xml:space="preserve"> </t>
  </si>
  <si>
    <t>M.D. JESUS</t>
  </si>
  <si>
    <t>M.D. CARABAMBA</t>
  </si>
  <si>
    <t>MEZCLA DE HOJUELAS PRECOCIDAS DE AVENA, QUINUA, KIWICHA, SOYA, LINAZA, MACA Y MAIZ CHUFLA, LACTEADA Y AZUCARADA ENRIQUECIDA CON VITAMINAS Y MINERALES</t>
  </si>
  <si>
    <t>M.P. CHEPEN</t>
  </si>
  <si>
    <t>M.P. JULCAN</t>
  </si>
  <si>
    <t>M.D. HUASO</t>
  </si>
  <si>
    <t>M.D. COISHCO</t>
  </si>
  <si>
    <t>M.P. CAJAMARCA - URB</t>
  </si>
  <si>
    <t>HOJUELAS QUINUA AVENA MAIZ CHUFLA ENRIQUECIDA CON VITAMINAS Y MINERALES</t>
  </si>
  <si>
    <t>M.P. CAJAMARCA - RUR</t>
  </si>
  <si>
    <t>HOJUELAS PRECOCIDAS DE AVENA, KIWICHA, QUINUA CON HARINA DE SOYA, ACEITE VEGETAL FORTIFICADA CON VITAMINAS Y MINERALES</t>
  </si>
  <si>
    <t>M.D. VICTOR LARCO</t>
  </si>
  <si>
    <t>MEZCLA PRECOCIDA DE AVENA, QUINUA, KIWICHA CON SOYA Y MACA AZUCARADA FORTIFICADA CON VITAMINAS Y MINERALES</t>
  </si>
  <si>
    <t>MEZCLADORA 2.</t>
  </si>
  <si>
    <r>
      <t xml:space="preserve">Fecha: </t>
    </r>
    <r>
      <rPr>
        <b/>
        <sz val="20"/>
        <color rgb="FFFF0000"/>
        <rFont val="Calibri"/>
        <family val="2"/>
        <scheme val="minor"/>
      </rPr>
      <t>27/02/2024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</si>
  <si>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28/02/2024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</si>
  <si>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27/06/2024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</si>
  <si>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26/06/2024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</si>
  <si>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21/08/2024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</si>
  <si>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22/08/2024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</si>
  <si>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29/08/2024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</si>
  <si>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28/08/2024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</si>
  <si>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20/10/2024</t>
    </r>
  </si>
  <si>
    <r>
      <t xml:space="preserve">Fecha: </t>
    </r>
    <r>
      <rPr>
        <b/>
        <sz val="20"/>
        <color rgb="FFFF0000"/>
        <rFont val="Calibri"/>
        <family val="2"/>
        <scheme val="minor"/>
      </rPr>
      <t>21/10/2024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</si>
</sst>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sz val="11"/>
      <color theme="1"/>
      <name val="Calibri"/>
      <family val="2"/>
      <scheme val="minor"/>
    </font>
    <font>
      <sz val="12"/>
      <name val="Aptos"/>
      <family val="2"/>
    </font>
    <font>
      <sz val="10"/>
      <color theme="1"/>
      <name val="Aptos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0" borderId="0"/>
    <xf numFmtId="9" fontId="13" fillId="0" borderId="0" applyFont="0" applyFill="0" applyBorder="0" applyAlignment="0" applyProtection="0"/>
  </cellStyleXfs>
  <cellXfs count="119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/>
    <xf numFmtId="0" fontId="5" fillId="2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12" fillId="0" borderId="2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65" fontId="0" fillId="5" borderId="3" xfId="0" applyNumberFormat="1" applyFill="1" applyBorder="1" applyAlignment="1">
      <alignment horizontal="center" vertical="center"/>
    </xf>
    <xf numFmtId="0" fontId="14" fillId="0" borderId="11" xfId="1" applyFont="1" applyBorder="1"/>
    <xf numFmtId="0" fontId="14" fillId="0" borderId="12" xfId="1" applyFont="1" applyBorder="1"/>
    <xf numFmtId="0" fontId="14" fillId="0" borderId="13" xfId="1" applyFont="1" applyBorder="1"/>
    <xf numFmtId="0" fontId="12" fillId="0" borderId="2" xfId="1" applyFont="1" applyBorder="1"/>
    <xf numFmtId="10" fontId="15" fillId="0" borderId="14" xfId="2" applyNumberFormat="1" applyFont="1" applyBorder="1" applyAlignment="1">
      <alignment horizontal="center" vertical="center"/>
    </xf>
    <xf numFmtId="10" fontId="15" fillId="0" borderId="15" xfId="2" applyNumberFormat="1" applyFont="1" applyBorder="1" applyAlignment="1">
      <alignment horizontal="center" vertical="center"/>
    </xf>
    <xf numFmtId="10" fontId="15" fillId="0" borderId="16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165" fontId="0" fillId="5" borderId="0" xfId="0" applyNumberFormat="1" applyFill="1" applyAlignment="1">
      <alignment horizontal="center" vertical="center"/>
    </xf>
    <xf numFmtId="10" fontId="15" fillId="0" borderId="2" xfId="2" applyNumberFormat="1" applyFont="1" applyBorder="1" applyAlignment="1">
      <alignment horizontal="center" vertical="center"/>
    </xf>
    <xf numFmtId="10" fontId="15" fillId="0" borderId="17" xfId="2" applyNumberFormat="1" applyFont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18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0" fontId="15" fillId="0" borderId="19" xfId="2" applyNumberFormat="1" applyFont="1" applyBorder="1" applyAlignment="1">
      <alignment horizontal="center" vertical="center"/>
    </xf>
    <xf numFmtId="10" fontId="15" fillId="0" borderId="20" xfId="2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6" fillId="0" borderId="0" xfId="0" applyFont="1"/>
    <xf numFmtId="165" fontId="0" fillId="0" borderId="3" xfId="0" applyNumberFormat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14" fillId="0" borderId="1" xfId="1" applyFont="1" applyBorder="1"/>
    <xf numFmtId="0" fontId="12" fillId="0" borderId="1" xfId="1" applyFont="1" applyBorder="1"/>
    <xf numFmtId="10" fontId="15" fillId="0" borderId="1" xfId="2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4" fillId="0" borderId="29" xfId="1" applyFont="1" applyBorder="1"/>
    <xf numFmtId="0" fontId="14" fillId="0" borderId="28" xfId="1" applyFont="1" applyBorder="1"/>
    <xf numFmtId="0" fontId="14" fillId="0" borderId="3" xfId="1" applyFont="1" applyBorder="1"/>
    <xf numFmtId="0" fontId="12" fillId="0" borderId="19" xfId="1" applyFont="1" applyBorder="1"/>
    <xf numFmtId="165" fontId="0" fillId="5" borderId="3" xfId="0" applyNumberFormat="1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textRotation="90"/>
    </xf>
    <xf numFmtId="0" fontId="4" fillId="2" borderId="27" xfId="0" applyFont="1" applyFill="1" applyBorder="1" applyAlignment="1">
      <alignment horizontal="center" vertical="center" textRotation="90"/>
    </xf>
    <xf numFmtId="0" fontId="4" fillId="2" borderId="25" xfId="0" applyFont="1" applyFill="1" applyBorder="1" applyAlignment="1">
      <alignment horizontal="center" vertical="center" textRotation="90"/>
    </xf>
    <xf numFmtId="0" fontId="2" fillId="3" borderId="2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4" fontId="9" fillId="0" borderId="6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textRotation="90"/>
    </xf>
    <xf numFmtId="0" fontId="2" fillId="3" borderId="2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left"/>
    </xf>
    <xf numFmtId="165" fontId="0" fillId="0" borderId="1" xfId="0" applyNumberFormat="1" applyFill="1" applyBorder="1" applyAlignment="1">
      <alignment horizontal="center" vertical="center"/>
    </xf>
    <xf numFmtId="165" fontId="0" fillId="0" borderId="3" xfId="0" applyNumberForma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A75B3C6C-1B14-474D-9400-C6FABE916477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286-CA50-45DB-8A30-420B11548EFB}">
  <sheetPr>
    <pageSetUpPr fitToPage="1"/>
  </sheetPr>
  <dimension ref="A1:M184"/>
  <sheetViews>
    <sheetView zoomScaleNormal="100" workbookViewId="0">
      <selection activeCell="K12" sqref="K12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58</v>
      </c>
      <c r="D3" s="100"/>
      <c r="E3" s="100"/>
      <c r="F3" s="100"/>
      <c r="G3" s="100"/>
      <c r="H3" s="1" t="s">
        <v>1</v>
      </c>
      <c r="I3" s="101">
        <v>45279</v>
      </c>
      <c r="J3" s="102"/>
    </row>
    <row r="4" spans="1:10" ht="37.5" customHeight="1" x14ac:dyDescent="0.25">
      <c r="A4" s="87" t="s">
        <v>2</v>
      </c>
      <c r="B4" s="87"/>
      <c r="C4" s="88" t="s">
        <v>59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49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11</v>
      </c>
      <c r="G6" s="5" t="s">
        <v>8</v>
      </c>
      <c r="H6" s="6">
        <f>D32-(F6*400)</f>
        <v>80.109999999999673</v>
      </c>
      <c r="I6" s="7" t="s">
        <v>9</v>
      </c>
    </row>
    <row r="7" spans="1:10" ht="16.5" thickBot="1" x14ac:dyDescent="0.3">
      <c r="A7" s="26" t="s">
        <v>23</v>
      </c>
      <c r="B7" s="29"/>
      <c r="C7" s="48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48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8">
        <v>0.2727</v>
      </c>
      <c r="D10" s="20">
        <f>C10*$D$32</f>
        <v>1221.725997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8">
        <v>0.1047</v>
      </c>
      <c r="D11" s="20">
        <f t="shared" ref="D11:D27" si="0">C11*$D$32</f>
        <v>469.06751699999995</v>
      </c>
      <c r="E11" s="92"/>
      <c r="F11" s="27" t="s">
        <v>25</v>
      </c>
      <c r="G11" s="33"/>
      <c r="H11" s="31">
        <v>0.3291</v>
      </c>
      <c r="I11" s="35">
        <f t="shared" ref="I11:I29" si="1">H11*$I$33</f>
        <v>131.64000000000001</v>
      </c>
      <c r="J11" s="35">
        <f t="shared" ref="J11:J29" si="2">H11*$J$33</f>
        <v>26.364200999999891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1">
        <v>0.1404</v>
      </c>
      <c r="I12" s="35">
        <f t="shared" si="1"/>
        <v>56.16</v>
      </c>
      <c r="J12" s="35">
        <f t="shared" si="2"/>
        <v>11.247443999999954</v>
      </c>
    </row>
    <row r="13" spans="1:10" ht="15.75" x14ac:dyDescent="0.25">
      <c r="A13" s="27" t="s">
        <v>26</v>
      </c>
      <c r="B13" s="29"/>
      <c r="C13" s="38"/>
      <c r="D13" s="20"/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1">
        <v>1.7500000000000002E-2</v>
      </c>
      <c r="I14" s="35">
        <f t="shared" si="1"/>
        <v>7.0000000000000009</v>
      </c>
      <c r="J14" s="35">
        <f t="shared" si="2"/>
        <v>1.4019249999999943</v>
      </c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1"/>
      <c r="I16" s="35"/>
      <c r="J16" s="35"/>
    </row>
    <row r="17" spans="1:10" ht="15.75" x14ac:dyDescent="0.25">
      <c r="A17" s="27" t="s">
        <v>44</v>
      </c>
      <c r="B17" s="29"/>
      <c r="C17" s="38"/>
      <c r="D17" s="20"/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8">
        <v>0.58179999999999998</v>
      </c>
      <c r="D18" s="20">
        <f t="shared" si="0"/>
        <v>2606.5279979999996</v>
      </c>
      <c r="E18" s="92"/>
      <c r="F18" s="27" t="s">
        <v>44</v>
      </c>
      <c r="G18" s="33"/>
      <c r="H18" s="31">
        <v>0.43859999999999999</v>
      </c>
      <c r="I18" s="35">
        <f t="shared" si="1"/>
        <v>175.44</v>
      </c>
      <c r="J18" s="35">
        <f t="shared" si="2"/>
        <v>35.136245999999858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1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8">
        <v>3.8600000000000002E-2</v>
      </c>
      <c r="D26" s="20">
        <f t="shared" si="0"/>
        <v>172.93224599999999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8">
        <v>2.2000000000000001E-3</v>
      </c>
      <c r="D27" s="20">
        <f t="shared" si="0"/>
        <v>9.8562419999999999</v>
      </c>
      <c r="E27" s="92"/>
      <c r="F27" s="27" t="s">
        <v>32</v>
      </c>
      <c r="G27" s="24"/>
      <c r="H27" s="31">
        <v>3.7199999999999997E-2</v>
      </c>
      <c r="I27" s="35">
        <f t="shared" si="1"/>
        <v>14.879999999999999</v>
      </c>
      <c r="J27" s="35">
        <f t="shared" si="2"/>
        <v>2.9800919999999875</v>
      </c>
    </row>
    <row r="28" spans="1:10" ht="15.75" x14ac:dyDescent="0.25">
      <c r="A28" s="27" t="s">
        <v>34</v>
      </c>
      <c r="B28" s="23"/>
      <c r="C28" s="38"/>
      <c r="D28" s="20"/>
      <c r="E28" s="92"/>
      <c r="F28" s="27" t="s">
        <v>33</v>
      </c>
      <c r="G28" s="24"/>
      <c r="H28" s="31">
        <v>2.0999999999999999E-3</v>
      </c>
      <c r="I28" s="35">
        <f t="shared" si="1"/>
        <v>0.84</v>
      </c>
      <c r="J28" s="35">
        <f t="shared" si="2"/>
        <v>0.1682309999999993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1">
        <v>3.5099999999999999E-2</v>
      </c>
      <c r="I29" s="35">
        <f t="shared" si="1"/>
        <v>14.04</v>
      </c>
      <c r="J29" s="35">
        <f t="shared" si="2"/>
        <v>2.8118609999999884</v>
      </c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49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4480.1099999999997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80.109999999999673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9">
        <f t="shared" si="5"/>
        <v>0.47222222222222227</v>
      </c>
      <c r="F40" s="80"/>
      <c r="G40" s="16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9">
        <f t="shared" si="5"/>
        <v>0.48611111111111116</v>
      </c>
      <c r="F41" s="80"/>
      <c r="G41" s="16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ht="15.75" thickBot="1" x14ac:dyDescent="0.3">
      <c r="H46" s="36"/>
      <c r="I46" s="37"/>
      <c r="J46" s="37"/>
    </row>
    <row r="47" spans="1:13" x14ac:dyDescent="0.25">
      <c r="A47" s="94" t="s">
        <v>20</v>
      </c>
      <c r="B47" s="95"/>
      <c r="C47" s="95"/>
      <c r="D47" s="96"/>
      <c r="E47" s="95" t="s">
        <v>21</v>
      </c>
      <c r="F47" s="95"/>
      <c r="G47" s="95"/>
      <c r="H47" s="95"/>
      <c r="I47" s="95"/>
      <c r="J47" s="96"/>
    </row>
    <row r="48" spans="1:13" ht="15.75" thickBot="1" x14ac:dyDescent="0.3">
      <c r="A48" s="97"/>
      <c r="B48" s="98"/>
      <c r="C48" s="98"/>
      <c r="D48" s="99"/>
      <c r="E48" s="98"/>
      <c r="F48" s="98"/>
      <c r="G48" s="98"/>
      <c r="H48" s="98"/>
      <c r="I48" s="98"/>
      <c r="J48" s="99"/>
    </row>
    <row r="49" spans="1:10" ht="15.75" customHeight="1" x14ac:dyDescent="0.25">
      <c r="A49" s="87" t="s">
        <v>0</v>
      </c>
      <c r="B49" s="87"/>
      <c r="C49" s="100" t="s">
        <v>58</v>
      </c>
      <c r="D49" s="100"/>
      <c r="E49" s="100"/>
      <c r="F49" s="100"/>
      <c r="G49" s="100"/>
      <c r="H49" s="1" t="s">
        <v>1</v>
      </c>
      <c r="I49" s="101">
        <v>45281</v>
      </c>
      <c r="J49" s="102"/>
    </row>
    <row r="50" spans="1:10" ht="37.5" customHeight="1" x14ac:dyDescent="0.25">
      <c r="A50" s="87" t="s">
        <v>2</v>
      </c>
      <c r="B50" s="87"/>
      <c r="C50" s="88" t="s">
        <v>59</v>
      </c>
      <c r="D50" s="88"/>
      <c r="E50" s="88"/>
      <c r="F50" s="88"/>
      <c r="G50" s="88"/>
      <c r="H50" s="1" t="s">
        <v>3</v>
      </c>
      <c r="I50" s="89" t="s">
        <v>41</v>
      </c>
      <c r="J50" s="89"/>
    </row>
    <row r="51" spans="1:10" ht="15" customHeight="1" x14ac:dyDescent="0.25">
      <c r="A51" s="2"/>
      <c r="B51" s="2"/>
      <c r="C51" s="2"/>
      <c r="D51" s="2"/>
      <c r="E51" s="2"/>
      <c r="F51" s="2"/>
      <c r="G51" s="2"/>
      <c r="I51" s="90" t="s">
        <v>49</v>
      </c>
      <c r="J51" s="90"/>
    </row>
    <row r="52" spans="1:10" ht="18.75" x14ac:dyDescent="0.3">
      <c r="A52" s="91" t="s">
        <v>4</v>
      </c>
      <c r="B52" s="91"/>
      <c r="C52" s="3" t="s">
        <v>5</v>
      </c>
      <c r="D52" s="14" t="s">
        <v>6</v>
      </c>
      <c r="E52" s="92" t="s">
        <v>7</v>
      </c>
      <c r="F52" s="4">
        <f>ROUNDDOWN(D78/400,0)</f>
        <v>11</v>
      </c>
      <c r="G52" s="5" t="s">
        <v>8</v>
      </c>
      <c r="H52" s="6">
        <f>D78-(F52*400)</f>
        <v>80.109999999999673</v>
      </c>
      <c r="I52" s="7" t="s">
        <v>9</v>
      </c>
    </row>
    <row r="53" spans="1:10" ht="16.5" thickBot="1" x14ac:dyDescent="0.3">
      <c r="A53" s="26" t="s">
        <v>23</v>
      </c>
      <c r="B53" s="29"/>
      <c r="C53" s="48"/>
      <c r="D53" s="20"/>
      <c r="E53" s="92"/>
      <c r="F53" s="91" t="s">
        <v>4</v>
      </c>
      <c r="G53" s="91"/>
      <c r="H53" s="3" t="s">
        <v>5</v>
      </c>
      <c r="I53" s="14" t="s">
        <v>6</v>
      </c>
      <c r="J53" s="14" t="s">
        <v>6</v>
      </c>
    </row>
    <row r="54" spans="1:10" ht="15.75" x14ac:dyDescent="0.25">
      <c r="A54" s="26" t="s">
        <v>42</v>
      </c>
      <c r="B54" s="29"/>
      <c r="C54" s="48"/>
      <c r="D54" s="20"/>
      <c r="E54" s="92"/>
      <c r="F54" s="26" t="s">
        <v>23</v>
      </c>
      <c r="G54" s="33"/>
      <c r="H54" s="30"/>
      <c r="I54" s="35"/>
      <c r="J54" s="35"/>
    </row>
    <row r="55" spans="1:10" ht="15.75" x14ac:dyDescent="0.25">
      <c r="A55" s="27" t="s">
        <v>24</v>
      </c>
      <c r="B55" s="29"/>
      <c r="C55" s="38"/>
      <c r="D55" s="20"/>
      <c r="E55" s="92"/>
      <c r="F55" s="26" t="s">
        <v>42</v>
      </c>
      <c r="G55" s="33"/>
      <c r="H55" s="39"/>
      <c r="I55" s="35"/>
      <c r="J55" s="35"/>
    </row>
    <row r="56" spans="1:10" ht="15.75" x14ac:dyDescent="0.25">
      <c r="A56" s="27" t="s">
        <v>25</v>
      </c>
      <c r="B56" s="29"/>
      <c r="C56" s="38">
        <v>0.2727</v>
      </c>
      <c r="D56" s="20">
        <f>C56*$D$32</f>
        <v>1221.725997</v>
      </c>
      <c r="E56" s="92"/>
      <c r="F56" s="27" t="s">
        <v>24</v>
      </c>
      <c r="G56" s="33"/>
      <c r="H56" s="31"/>
      <c r="I56" s="35"/>
      <c r="J56" s="35"/>
    </row>
    <row r="57" spans="1:10" ht="15.75" x14ac:dyDescent="0.25">
      <c r="A57" s="27" t="s">
        <v>47</v>
      </c>
      <c r="B57" s="29"/>
      <c r="C57" s="38">
        <v>0.1047</v>
      </c>
      <c r="D57" s="20">
        <f t="shared" ref="D57" si="11">C57*$D$32</f>
        <v>469.06751699999995</v>
      </c>
      <c r="E57" s="92"/>
      <c r="F57" s="27" t="s">
        <v>25</v>
      </c>
      <c r="G57" s="33"/>
      <c r="H57" s="31">
        <v>0.3291</v>
      </c>
      <c r="I57" s="35">
        <f t="shared" ref="I57:I58" si="12">H57*$I$33</f>
        <v>131.64000000000001</v>
      </c>
      <c r="J57" s="35">
        <f t="shared" ref="J57:J58" si="13">H57*$J$33</f>
        <v>26.364200999999891</v>
      </c>
    </row>
    <row r="58" spans="1:10" ht="15.75" x14ac:dyDescent="0.25">
      <c r="A58" s="27" t="s">
        <v>46</v>
      </c>
      <c r="B58" s="29"/>
      <c r="C58" s="38"/>
      <c r="D58" s="20"/>
      <c r="E58" s="92"/>
      <c r="F58" s="27" t="s">
        <v>47</v>
      </c>
      <c r="G58" s="33"/>
      <c r="H58" s="31">
        <v>0.1404</v>
      </c>
      <c r="I58" s="35">
        <f t="shared" si="12"/>
        <v>56.16</v>
      </c>
      <c r="J58" s="35">
        <f t="shared" si="13"/>
        <v>11.247443999999954</v>
      </c>
    </row>
    <row r="59" spans="1:10" ht="15.75" x14ac:dyDescent="0.25">
      <c r="A59" s="27" t="s">
        <v>26</v>
      </c>
      <c r="B59" s="29"/>
      <c r="C59" s="38"/>
      <c r="D59" s="20"/>
      <c r="E59" s="92"/>
      <c r="F59" s="27" t="s">
        <v>46</v>
      </c>
      <c r="G59" s="33"/>
      <c r="H59" s="31"/>
      <c r="I59" s="35"/>
      <c r="J59" s="35"/>
    </row>
    <row r="60" spans="1:10" ht="15.75" x14ac:dyDescent="0.25">
      <c r="A60" s="27" t="s">
        <v>43</v>
      </c>
      <c r="B60" s="29"/>
      <c r="C60" s="38"/>
      <c r="D60" s="20"/>
      <c r="E60" s="92"/>
      <c r="F60" s="27" t="s">
        <v>26</v>
      </c>
      <c r="G60" s="33"/>
      <c r="H60" s="31">
        <v>1.7500000000000002E-2</v>
      </c>
      <c r="I60" s="35">
        <f t="shared" ref="I60" si="14">H60*$I$33</f>
        <v>7.0000000000000009</v>
      </c>
      <c r="J60" s="35">
        <f t="shared" ref="J60" si="15">H60*$J$33</f>
        <v>1.4019249999999943</v>
      </c>
    </row>
    <row r="61" spans="1:10" ht="15.75" x14ac:dyDescent="0.25">
      <c r="A61" s="27" t="s">
        <v>19</v>
      </c>
      <c r="B61" s="29"/>
      <c r="C61" s="38"/>
      <c r="D61" s="20"/>
      <c r="E61" s="92"/>
      <c r="F61" s="27" t="s">
        <v>43</v>
      </c>
      <c r="G61" s="33"/>
      <c r="H61" s="31"/>
      <c r="I61" s="35"/>
      <c r="J61" s="35"/>
    </row>
    <row r="62" spans="1:10" ht="15.75" x14ac:dyDescent="0.25">
      <c r="A62" s="27" t="s">
        <v>27</v>
      </c>
      <c r="B62" s="29"/>
      <c r="C62" s="38"/>
      <c r="D62" s="20"/>
      <c r="E62" s="92"/>
      <c r="F62" s="27" t="s">
        <v>19</v>
      </c>
      <c r="G62" s="33"/>
      <c r="H62" s="31"/>
      <c r="I62" s="35"/>
      <c r="J62" s="35"/>
    </row>
    <row r="63" spans="1:10" ht="15.75" x14ac:dyDescent="0.25">
      <c r="A63" s="27" t="s">
        <v>44</v>
      </c>
      <c r="B63" s="29"/>
      <c r="C63" s="38"/>
      <c r="D63" s="20"/>
      <c r="E63" s="92"/>
      <c r="F63" s="27" t="s">
        <v>27</v>
      </c>
      <c r="G63" s="33"/>
      <c r="H63" s="31"/>
      <c r="I63" s="35"/>
      <c r="J63" s="35"/>
    </row>
    <row r="64" spans="1:10" ht="15.75" x14ac:dyDescent="0.25">
      <c r="A64" s="27" t="s">
        <v>28</v>
      </c>
      <c r="B64" s="29"/>
      <c r="C64" s="38">
        <v>0.58179999999999998</v>
      </c>
      <c r="D64" s="20">
        <f t="shared" ref="D64" si="16">C64*$D$32</f>
        <v>2606.5279979999996</v>
      </c>
      <c r="E64" s="92"/>
      <c r="F64" s="27" t="s">
        <v>44</v>
      </c>
      <c r="G64" s="33"/>
      <c r="H64" s="31">
        <v>0.43859999999999999</v>
      </c>
      <c r="I64" s="35">
        <f t="shared" ref="I64" si="17">H64*$I$33</f>
        <v>175.44</v>
      </c>
      <c r="J64" s="35">
        <f t="shared" ref="J64" si="18">H64*$J$33</f>
        <v>35.136245999999858</v>
      </c>
    </row>
    <row r="65" spans="1:10" ht="15.75" x14ac:dyDescent="0.25">
      <c r="A65" s="27" t="s">
        <v>45</v>
      </c>
      <c r="B65" s="29"/>
      <c r="C65" s="38"/>
      <c r="D65" s="20"/>
      <c r="E65" s="92"/>
      <c r="F65" s="27" t="s">
        <v>28</v>
      </c>
      <c r="G65" s="33"/>
      <c r="H65" s="31"/>
      <c r="I65" s="35"/>
      <c r="J65" s="35"/>
    </row>
    <row r="66" spans="1:10" ht="15.75" x14ac:dyDescent="0.25">
      <c r="A66" s="27" t="s">
        <v>10</v>
      </c>
      <c r="B66" s="29"/>
      <c r="C66" s="38"/>
      <c r="D66" s="20"/>
      <c r="E66" s="92"/>
      <c r="F66" s="27" t="s">
        <v>45</v>
      </c>
      <c r="G66" s="33"/>
      <c r="H66" s="31"/>
      <c r="I66" s="35"/>
      <c r="J66" s="35"/>
    </row>
    <row r="67" spans="1:10" ht="15.75" x14ac:dyDescent="0.25">
      <c r="A67" s="27" t="s">
        <v>29</v>
      </c>
      <c r="B67" s="29"/>
      <c r="C67" s="38"/>
      <c r="D67" s="20"/>
      <c r="E67" s="92"/>
      <c r="F67" s="27" t="s">
        <v>10</v>
      </c>
      <c r="G67" s="33"/>
      <c r="H67" s="31"/>
      <c r="I67" s="35"/>
      <c r="J67" s="35"/>
    </row>
    <row r="68" spans="1:10" ht="15.75" x14ac:dyDescent="0.25">
      <c r="A68" s="27" t="s">
        <v>17</v>
      </c>
      <c r="B68" s="29"/>
      <c r="C68" s="38"/>
      <c r="D68" s="20"/>
      <c r="E68" s="92"/>
      <c r="F68" s="27" t="s">
        <v>29</v>
      </c>
      <c r="G68" s="33"/>
      <c r="H68" s="31"/>
      <c r="I68" s="35"/>
      <c r="J68" s="35"/>
    </row>
    <row r="69" spans="1:10" ht="15.75" x14ac:dyDescent="0.25">
      <c r="A69" s="27" t="s">
        <v>30</v>
      </c>
      <c r="B69" s="29"/>
      <c r="C69" s="38"/>
      <c r="D69" s="20"/>
      <c r="E69" s="92"/>
      <c r="F69" s="27" t="s">
        <v>17</v>
      </c>
      <c r="G69" s="33"/>
      <c r="H69" s="31"/>
      <c r="I69" s="35"/>
      <c r="J69" s="35"/>
    </row>
    <row r="70" spans="1:10" ht="15.75" x14ac:dyDescent="0.25">
      <c r="A70" s="27" t="s">
        <v>31</v>
      </c>
      <c r="B70" s="29"/>
      <c r="C70" s="38"/>
      <c r="D70" s="20"/>
      <c r="E70" s="92"/>
      <c r="F70" s="27" t="s">
        <v>30</v>
      </c>
      <c r="G70" s="33"/>
      <c r="H70" s="31"/>
      <c r="I70" s="35"/>
      <c r="J70" s="35"/>
    </row>
    <row r="71" spans="1:10" ht="15.75" x14ac:dyDescent="0.25">
      <c r="A71" s="27" t="s">
        <v>16</v>
      </c>
      <c r="B71" s="29"/>
      <c r="C71" s="38"/>
      <c r="D71" s="20"/>
      <c r="E71" s="92"/>
      <c r="F71" s="27" t="s">
        <v>31</v>
      </c>
      <c r="G71" s="33"/>
      <c r="H71" s="31"/>
      <c r="I71" s="35"/>
      <c r="J71" s="35"/>
    </row>
    <row r="72" spans="1:10" ht="15.75" x14ac:dyDescent="0.25">
      <c r="A72" s="27" t="s">
        <v>32</v>
      </c>
      <c r="B72" s="23"/>
      <c r="C72" s="38">
        <v>3.8600000000000002E-2</v>
      </c>
      <c r="D72" s="20">
        <f t="shared" ref="D72:D73" si="19">C72*$D$32</f>
        <v>172.93224599999999</v>
      </c>
      <c r="E72" s="92"/>
      <c r="F72" s="27" t="s">
        <v>16</v>
      </c>
      <c r="G72" s="24"/>
      <c r="H72" s="31"/>
      <c r="I72" s="35"/>
      <c r="J72" s="35"/>
    </row>
    <row r="73" spans="1:10" ht="15.75" x14ac:dyDescent="0.25">
      <c r="A73" s="27" t="s">
        <v>33</v>
      </c>
      <c r="B73" s="23"/>
      <c r="C73" s="38">
        <v>2.2000000000000001E-3</v>
      </c>
      <c r="D73" s="20">
        <f t="shared" si="19"/>
        <v>9.8562419999999999</v>
      </c>
      <c r="E73" s="92"/>
      <c r="F73" s="27" t="s">
        <v>32</v>
      </c>
      <c r="G73" s="24"/>
      <c r="H73" s="31">
        <v>3.7199999999999997E-2</v>
      </c>
      <c r="I73" s="35">
        <f t="shared" ref="I73:I75" si="20">H73*$I$33</f>
        <v>14.879999999999999</v>
      </c>
      <c r="J73" s="35">
        <f t="shared" ref="J73:J75" si="21">H73*$J$33</f>
        <v>2.9800919999999875</v>
      </c>
    </row>
    <row r="74" spans="1:10" ht="15.75" x14ac:dyDescent="0.25">
      <c r="A74" s="27" t="s">
        <v>34</v>
      </c>
      <c r="B74" s="23"/>
      <c r="C74" s="38"/>
      <c r="D74" s="20"/>
      <c r="E74" s="92"/>
      <c r="F74" s="27" t="s">
        <v>33</v>
      </c>
      <c r="G74" s="24"/>
      <c r="H74" s="31">
        <v>2.0999999999999999E-3</v>
      </c>
      <c r="I74" s="35">
        <f t="shared" si="20"/>
        <v>0.84</v>
      </c>
      <c r="J74" s="35">
        <f t="shared" si="21"/>
        <v>0.1682309999999993</v>
      </c>
    </row>
    <row r="75" spans="1:10" ht="15.75" x14ac:dyDescent="0.25">
      <c r="A75" s="27" t="s">
        <v>22</v>
      </c>
      <c r="B75" s="23"/>
      <c r="C75" s="38"/>
      <c r="D75" s="20"/>
      <c r="E75" s="92"/>
      <c r="F75" s="27" t="s">
        <v>34</v>
      </c>
      <c r="G75" s="24"/>
      <c r="H75" s="31">
        <v>3.5099999999999999E-2</v>
      </c>
      <c r="I75" s="35">
        <f t="shared" si="20"/>
        <v>14.04</v>
      </c>
      <c r="J75" s="35">
        <f t="shared" si="21"/>
        <v>2.8118609999999884</v>
      </c>
    </row>
    <row r="76" spans="1:10" ht="15.75" x14ac:dyDescent="0.25">
      <c r="A76" s="27" t="s">
        <v>35</v>
      </c>
      <c r="B76" s="29"/>
      <c r="C76" s="38"/>
      <c r="D76" s="20"/>
      <c r="E76" s="92"/>
      <c r="F76" s="27" t="s">
        <v>22</v>
      </c>
      <c r="G76" s="33"/>
      <c r="H76" s="31"/>
      <c r="I76" s="35"/>
      <c r="J76" s="35"/>
    </row>
    <row r="77" spans="1:10" ht="16.5" thickBot="1" x14ac:dyDescent="0.3">
      <c r="A77" s="28" t="s">
        <v>36</v>
      </c>
      <c r="B77" s="29"/>
      <c r="C77" s="49"/>
      <c r="D77" s="20"/>
      <c r="E77" s="92"/>
      <c r="F77" s="27" t="s">
        <v>35</v>
      </c>
      <c r="G77" s="33"/>
      <c r="H77" s="31"/>
      <c r="I77" s="35"/>
      <c r="J77" s="35"/>
    </row>
    <row r="78" spans="1:10" ht="16.5" thickBot="1" x14ac:dyDescent="0.3">
      <c r="A78" s="93" t="s">
        <v>11</v>
      </c>
      <c r="B78" s="93"/>
      <c r="C78" s="8">
        <f>SUM(C53:C77)</f>
        <v>1</v>
      </c>
      <c r="D78" s="15">
        <v>4480.1099999999997</v>
      </c>
      <c r="E78" s="92"/>
      <c r="F78" s="28" t="s">
        <v>36</v>
      </c>
      <c r="G78" s="34"/>
      <c r="H78" s="32"/>
      <c r="I78" s="35"/>
      <c r="J78" s="35"/>
    </row>
    <row r="79" spans="1:10" x14ac:dyDescent="0.25">
      <c r="A79" s="2"/>
      <c r="B79" s="2"/>
      <c r="C79" s="2"/>
      <c r="D79" s="2"/>
      <c r="E79" s="2"/>
      <c r="F79" s="81" t="s">
        <v>11</v>
      </c>
      <c r="G79" s="81"/>
      <c r="H79" s="17">
        <f>SUM(H54:H78)</f>
        <v>1</v>
      </c>
      <c r="I79" s="13">
        <v>400</v>
      </c>
      <c r="J79" s="13">
        <f>+H52</f>
        <v>80.109999999999673</v>
      </c>
    </row>
    <row r="80" spans="1:10" ht="23.25" x14ac:dyDescent="0.35">
      <c r="A80" s="82"/>
      <c r="B80" s="83"/>
      <c r="C80" s="2"/>
      <c r="D80" s="2"/>
      <c r="E80" s="2"/>
      <c r="F80" s="18"/>
      <c r="G80" s="18"/>
      <c r="H80" s="19"/>
      <c r="I80" s="18"/>
      <c r="J80" s="18"/>
    </row>
    <row r="81" spans="1:13" x14ac:dyDescent="0.25">
      <c r="A81" s="84" t="s">
        <v>18</v>
      </c>
      <c r="B81" s="84"/>
      <c r="C81" s="84"/>
      <c r="D81" s="84"/>
      <c r="E81" s="2"/>
      <c r="F81" s="2"/>
      <c r="G81" s="2"/>
    </row>
    <row r="82" spans="1:13" x14ac:dyDescent="0.25">
      <c r="A82" s="9" t="s">
        <v>12</v>
      </c>
      <c r="B82" s="9" t="s">
        <v>13</v>
      </c>
      <c r="C82" s="9" t="s">
        <v>14</v>
      </c>
      <c r="D82" s="10" t="s">
        <v>12</v>
      </c>
      <c r="E82" s="85" t="s">
        <v>13</v>
      </c>
      <c r="F82" s="86"/>
      <c r="G82" s="10" t="s">
        <v>14</v>
      </c>
      <c r="H82" s="9" t="s">
        <v>12</v>
      </c>
      <c r="I82" s="10" t="s">
        <v>13</v>
      </c>
      <c r="J82" s="10" t="s">
        <v>14</v>
      </c>
      <c r="K82" s="9" t="s">
        <v>12</v>
      </c>
      <c r="L82" s="10" t="s">
        <v>13</v>
      </c>
      <c r="M82" s="10" t="s">
        <v>14</v>
      </c>
    </row>
    <row r="83" spans="1:13" x14ac:dyDescent="0.25">
      <c r="A83" s="11">
        <v>1</v>
      </c>
      <c r="B83" s="16">
        <v>0.33333333333333331</v>
      </c>
      <c r="C83" s="16">
        <f>+B83+15/1440</f>
        <v>0.34375</v>
      </c>
      <c r="D83" s="11">
        <v>8</v>
      </c>
      <c r="E83" s="79">
        <f>+C89+5/1440</f>
        <v>0.43055555555555558</v>
      </c>
      <c r="F83" s="80"/>
      <c r="G83" s="16">
        <f>+E83+15/1440</f>
        <v>0.44097222222222227</v>
      </c>
      <c r="H83" s="11"/>
      <c r="I83" s="12">
        <f>G89+5/1440</f>
        <v>0.52777777777777779</v>
      </c>
      <c r="J83" s="12">
        <f>I83+15/1440</f>
        <v>0.53819444444444442</v>
      </c>
      <c r="K83" s="11">
        <v>19</v>
      </c>
      <c r="L83" s="12">
        <f>J89+5/1440</f>
        <v>0.62499999999999967</v>
      </c>
      <c r="M83" s="12">
        <f>L83+15/1440</f>
        <v>0.6354166666666663</v>
      </c>
    </row>
    <row r="84" spans="1:13" x14ac:dyDescent="0.25">
      <c r="A84" s="11">
        <v>2</v>
      </c>
      <c r="B84" s="16">
        <f t="shared" ref="B84:B89" si="22">+C83+5/1440</f>
        <v>0.34722222222222221</v>
      </c>
      <c r="C84" s="16">
        <f>+B84+15/1440</f>
        <v>0.3576388888888889</v>
      </c>
      <c r="D84" s="11">
        <v>9</v>
      </c>
      <c r="E84" s="79">
        <f>+G83+5/1440</f>
        <v>0.44444444444444448</v>
      </c>
      <c r="F84" s="80"/>
      <c r="G84" s="16">
        <f>+E84+15/1440</f>
        <v>0.45486111111111116</v>
      </c>
      <c r="H84" s="11">
        <v>13</v>
      </c>
      <c r="I84" s="12">
        <f>J83+5/1440</f>
        <v>0.54166666666666663</v>
      </c>
      <c r="J84" s="12">
        <f>I84+15/1440</f>
        <v>0.55208333333333326</v>
      </c>
      <c r="K84" s="11">
        <v>20</v>
      </c>
      <c r="L84" s="12">
        <f>M83+5/1440</f>
        <v>0.63888888888888851</v>
      </c>
      <c r="M84" s="12">
        <f>L84+15/1440</f>
        <v>0.64930555555555514</v>
      </c>
    </row>
    <row r="85" spans="1:13" x14ac:dyDescent="0.25">
      <c r="A85" s="11">
        <v>3</v>
      </c>
      <c r="B85" s="16">
        <f t="shared" si="22"/>
        <v>0.3611111111111111</v>
      </c>
      <c r="C85" s="16">
        <f t="shared" ref="C85:C89" si="23">+B85+15/1440</f>
        <v>0.37152777777777779</v>
      </c>
      <c r="D85" s="11">
        <v>10</v>
      </c>
      <c r="E85" s="79">
        <f t="shared" ref="E85:E89" si="24">+G84+5/1440</f>
        <v>0.45833333333333337</v>
      </c>
      <c r="F85" s="80"/>
      <c r="G85" s="16">
        <f t="shared" ref="G85:G89" si="25">+E85+15/1440</f>
        <v>0.46875000000000006</v>
      </c>
      <c r="H85" s="11">
        <v>14</v>
      </c>
      <c r="I85" s="12">
        <f t="shared" ref="I85:I89" si="26">J84+5/1440</f>
        <v>0.55555555555555547</v>
      </c>
      <c r="J85" s="12">
        <f t="shared" ref="J85:J89" si="27">I85+15/1440</f>
        <v>0.5659722222222221</v>
      </c>
      <c r="K85" s="11">
        <v>21</v>
      </c>
      <c r="L85" s="12">
        <f t="shared" ref="L85:L89" si="28">M84+5/1440</f>
        <v>0.65277777777777735</v>
      </c>
      <c r="M85" s="12">
        <f t="shared" ref="M85:M89" si="29">L85+15/1440</f>
        <v>0.66319444444444398</v>
      </c>
    </row>
    <row r="86" spans="1:13" x14ac:dyDescent="0.25">
      <c r="A86" s="11">
        <v>4</v>
      </c>
      <c r="B86" s="16">
        <f t="shared" si="22"/>
        <v>0.375</v>
      </c>
      <c r="C86" s="16">
        <f t="shared" si="23"/>
        <v>0.38541666666666669</v>
      </c>
      <c r="D86" s="11">
        <v>11</v>
      </c>
      <c r="E86" s="79">
        <f t="shared" si="24"/>
        <v>0.47222222222222227</v>
      </c>
      <c r="F86" s="80"/>
      <c r="G86" s="16">
        <f t="shared" si="25"/>
        <v>0.48263888888888895</v>
      </c>
      <c r="H86" s="11">
        <v>15</v>
      </c>
      <c r="I86" s="12">
        <f t="shared" si="26"/>
        <v>0.56944444444444431</v>
      </c>
      <c r="J86" s="12">
        <f t="shared" si="27"/>
        <v>0.57986111111111094</v>
      </c>
      <c r="K86" s="11">
        <v>22</v>
      </c>
      <c r="L86" s="12">
        <f t="shared" si="28"/>
        <v>0.66666666666666619</v>
      </c>
      <c r="M86" s="12">
        <f t="shared" si="29"/>
        <v>0.67708333333333282</v>
      </c>
    </row>
    <row r="87" spans="1:13" x14ac:dyDescent="0.25">
      <c r="A87" s="11">
        <v>5</v>
      </c>
      <c r="B87" s="16">
        <f t="shared" si="22"/>
        <v>0.3888888888888889</v>
      </c>
      <c r="C87" s="16">
        <f t="shared" si="23"/>
        <v>0.39930555555555558</v>
      </c>
      <c r="D87" s="11">
        <v>12</v>
      </c>
      <c r="E87" s="79">
        <f t="shared" si="24"/>
        <v>0.48611111111111116</v>
      </c>
      <c r="F87" s="80"/>
      <c r="G87" s="16">
        <f t="shared" si="25"/>
        <v>0.49652777777777785</v>
      </c>
      <c r="H87" s="11">
        <v>16</v>
      </c>
      <c r="I87" s="12">
        <f t="shared" si="26"/>
        <v>0.58333333333333315</v>
      </c>
      <c r="J87" s="12">
        <f t="shared" si="27"/>
        <v>0.59374999999999978</v>
      </c>
      <c r="K87" s="11">
        <v>23</v>
      </c>
      <c r="L87" s="12">
        <f t="shared" si="28"/>
        <v>0.68055555555555503</v>
      </c>
      <c r="M87" s="12">
        <f t="shared" si="29"/>
        <v>0.69097222222222165</v>
      </c>
    </row>
    <row r="88" spans="1:13" x14ac:dyDescent="0.25">
      <c r="A88" s="11">
        <v>6</v>
      </c>
      <c r="B88" s="16">
        <f t="shared" si="22"/>
        <v>0.40277777777777779</v>
      </c>
      <c r="C88" s="16">
        <f t="shared" si="23"/>
        <v>0.41319444444444448</v>
      </c>
      <c r="D88" s="11"/>
      <c r="E88" s="77">
        <f t="shared" si="24"/>
        <v>0.50000000000000011</v>
      </c>
      <c r="F88" s="78"/>
      <c r="G88" s="21">
        <f t="shared" si="25"/>
        <v>0.51041666666666674</v>
      </c>
      <c r="H88" s="11">
        <v>17</v>
      </c>
      <c r="I88" s="12">
        <f t="shared" si="26"/>
        <v>0.59722222222222199</v>
      </c>
      <c r="J88" s="12">
        <f t="shared" si="27"/>
        <v>0.60763888888888862</v>
      </c>
      <c r="K88" s="11">
        <v>24</v>
      </c>
      <c r="L88" s="12">
        <f t="shared" si="28"/>
        <v>0.69444444444444386</v>
      </c>
      <c r="M88" s="12">
        <f t="shared" si="29"/>
        <v>0.70486111111111049</v>
      </c>
    </row>
    <row r="89" spans="1:13" x14ac:dyDescent="0.25">
      <c r="A89" s="11">
        <v>7</v>
      </c>
      <c r="B89" s="16">
        <f t="shared" si="22"/>
        <v>0.41666666666666669</v>
      </c>
      <c r="C89" s="16">
        <f t="shared" si="23"/>
        <v>0.42708333333333337</v>
      </c>
      <c r="D89" s="11"/>
      <c r="E89" s="77">
        <f t="shared" si="24"/>
        <v>0.51388888888888895</v>
      </c>
      <c r="F89" s="78"/>
      <c r="G89" s="21">
        <f t="shared" si="25"/>
        <v>0.52430555555555558</v>
      </c>
      <c r="H89" s="11">
        <v>18</v>
      </c>
      <c r="I89" s="12">
        <f t="shared" si="26"/>
        <v>0.61111111111111083</v>
      </c>
      <c r="J89" s="12">
        <f t="shared" si="27"/>
        <v>0.62152777777777746</v>
      </c>
      <c r="K89" s="11">
        <v>25</v>
      </c>
      <c r="L89" s="12">
        <f t="shared" si="28"/>
        <v>0.7083333333333327</v>
      </c>
      <c r="M89" s="12">
        <f t="shared" si="29"/>
        <v>0.71874999999999933</v>
      </c>
    </row>
    <row r="90" spans="1:13" x14ac:dyDescent="0.25">
      <c r="H90" s="36"/>
      <c r="I90" s="37"/>
      <c r="J90" s="37"/>
    </row>
    <row r="91" spans="1:13" ht="15.75" thickBot="1" x14ac:dyDescent="0.3">
      <c r="H91" s="36"/>
      <c r="I91" s="37"/>
      <c r="J91" s="37"/>
      <c r="M91" t="s">
        <v>50</v>
      </c>
    </row>
    <row r="92" spans="1:13" x14ac:dyDescent="0.25">
      <c r="A92" s="94" t="s">
        <v>20</v>
      </c>
      <c r="B92" s="95"/>
      <c r="C92" s="95"/>
      <c r="D92" s="96"/>
      <c r="E92" s="95" t="s">
        <v>21</v>
      </c>
      <c r="F92" s="95"/>
      <c r="G92" s="95"/>
      <c r="H92" s="95"/>
      <c r="I92" s="95"/>
      <c r="J92" s="96"/>
    </row>
    <row r="93" spans="1:13" ht="15.75" thickBot="1" x14ac:dyDescent="0.3">
      <c r="A93" s="97"/>
      <c r="B93" s="98"/>
      <c r="C93" s="98"/>
      <c r="D93" s="99"/>
      <c r="E93" s="98"/>
      <c r="F93" s="98"/>
      <c r="G93" s="98"/>
      <c r="H93" s="98"/>
      <c r="I93" s="98"/>
      <c r="J93" s="99"/>
    </row>
    <row r="94" spans="1:13" ht="18.75" x14ac:dyDescent="0.25">
      <c r="A94" s="87" t="s">
        <v>0</v>
      </c>
      <c r="B94" s="87"/>
      <c r="C94" s="100" t="s">
        <v>58</v>
      </c>
      <c r="D94" s="100"/>
      <c r="E94" s="100"/>
      <c r="F94" s="100"/>
      <c r="G94" s="100"/>
      <c r="H94" s="1" t="s">
        <v>1</v>
      </c>
      <c r="I94" s="101">
        <v>45283</v>
      </c>
      <c r="J94" s="102"/>
    </row>
    <row r="95" spans="1:13" x14ac:dyDescent="0.25">
      <c r="A95" s="87" t="s">
        <v>2</v>
      </c>
      <c r="B95" s="87"/>
      <c r="C95" s="88" t="s">
        <v>59</v>
      </c>
      <c r="D95" s="88"/>
      <c r="E95" s="88"/>
      <c r="F95" s="88"/>
      <c r="G95" s="88"/>
      <c r="H95" s="1" t="s">
        <v>3</v>
      </c>
      <c r="I95" s="89" t="s">
        <v>37</v>
      </c>
      <c r="J95" s="89"/>
    </row>
    <row r="96" spans="1:13" x14ac:dyDescent="0.25">
      <c r="A96" s="2"/>
      <c r="B96" s="2"/>
      <c r="C96" s="2"/>
      <c r="D96" s="2"/>
      <c r="E96" s="2"/>
      <c r="F96" s="2"/>
      <c r="G96" s="2"/>
      <c r="I96" s="90" t="s">
        <v>15</v>
      </c>
      <c r="J96" s="90"/>
    </row>
    <row r="97" spans="1:10" ht="18.75" x14ac:dyDescent="0.3">
      <c r="A97" s="91" t="s">
        <v>4</v>
      </c>
      <c r="B97" s="91"/>
      <c r="C97" s="3" t="s">
        <v>5</v>
      </c>
      <c r="D97" s="14" t="s">
        <v>6</v>
      </c>
      <c r="E97" s="92" t="s">
        <v>7</v>
      </c>
      <c r="F97" s="4">
        <f>ROUNDDOWN(D123/400,0)</f>
        <v>21</v>
      </c>
      <c r="G97" s="5" t="s">
        <v>8</v>
      </c>
      <c r="H97" s="6">
        <f>D123-(F97*400)</f>
        <v>56.459999999999127</v>
      </c>
      <c r="I97" s="7" t="s">
        <v>9</v>
      </c>
    </row>
    <row r="98" spans="1:10" ht="16.5" thickBot="1" x14ac:dyDescent="0.3">
      <c r="A98" s="26" t="s">
        <v>23</v>
      </c>
      <c r="B98" s="29"/>
      <c r="C98" s="48"/>
      <c r="D98" s="20"/>
      <c r="E98" s="92"/>
      <c r="F98" s="91" t="s">
        <v>4</v>
      </c>
      <c r="G98" s="91"/>
      <c r="H98" s="3" t="s">
        <v>5</v>
      </c>
      <c r="I98" s="14" t="s">
        <v>6</v>
      </c>
      <c r="J98" s="14" t="s">
        <v>6</v>
      </c>
    </row>
    <row r="99" spans="1:10" ht="15.75" x14ac:dyDescent="0.25">
      <c r="A99" s="26" t="s">
        <v>42</v>
      </c>
      <c r="B99" s="29"/>
      <c r="C99" s="48"/>
      <c r="D99" s="20"/>
      <c r="E99" s="92"/>
      <c r="F99" s="26" t="s">
        <v>23</v>
      </c>
      <c r="G99" s="33"/>
      <c r="H99" s="30"/>
      <c r="I99" s="35"/>
      <c r="J99" s="35"/>
    </row>
    <row r="100" spans="1:10" ht="15.75" x14ac:dyDescent="0.25">
      <c r="A100" s="27" t="s">
        <v>24</v>
      </c>
      <c r="B100" s="29"/>
      <c r="C100" s="38"/>
      <c r="D100" s="20"/>
      <c r="E100" s="92"/>
      <c r="F100" s="26" t="s">
        <v>42</v>
      </c>
      <c r="G100" s="33"/>
      <c r="H100" s="39"/>
      <c r="I100" s="35"/>
      <c r="J100" s="35"/>
    </row>
    <row r="101" spans="1:10" ht="15.75" x14ac:dyDescent="0.25">
      <c r="A101" s="27" t="s">
        <v>25</v>
      </c>
      <c r="B101" s="29"/>
      <c r="C101" s="38">
        <v>0.2727</v>
      </c>
      <c r="D101" s="20">
        <f>C101*$D$123</f>
        <v>2306.0766419999995</v>
      </c>
      <c r="E101" s="92"/>
      <c r="F101" s="27" t="s">
        <v>24</v>
      </c>
      <c r="G101" s="33"/>
      <c r="H101" s="31"/>
      <c r="I101" s="35"/>
      <c r="J101" s="35"/>
    </row>
    <row r="102" spans="1:10" ht="15.75" x14ac:dyDescent="0.25">
      <c r="A102" s="27" t="s">
        <v>47</v>
      </c>
      <c r="B102" s="29"/>
      <c r="C102" s="38">
        <v>0.1047</v>
      </c>
      <c r="D102" s="20">
        <f>C102*$D$123</f>
        <v>885.39136199999996</v>
      </c>
      <c r="E102" s="92"/>
      <c r="F102" s="27" t="s">
        <v>25</v>
      </c>
      <c r="G102" s="33"/>
      <c r="H102" s="31">
        <v>0.3291</v>
      </c>
      <c r="I102" s="35">
        <f t="shared" ref="I102:I103" si="30">H102*$I$33</f>
        <v>131.64000000000001</v>
      </c>
      <c r="J102" s="35">
        <f>H102*$J$124</f>
        <v>18.580985999999712</v>
      </c>
    </row>
    <row r="103" spans="1:10" ht="15.75" x14ac:dyDescent="0.25">
      <c r="A103" s="27" t="s">
        <v>46</v>
      </c>
      <c r="B103" s="29"/>
      <c r="C103" s="38"/>
      <c r="D103" s="20"/>
      <c r="E103" s="92"/>
      <c r="F103" s="27" t="s">
        <v>47</v>
      </c>
      <c r="G103" s="33"/>
      <c r="H103" s="31">
        <v>0.1404</v>
      </c>
      <c r="I103" s="35">
        <f t="shared" si="30"/>
        <v>56.16</v>
      </c>
      <c r="J103" s="35">
        <f t="shared" ref="J103:J120" si="31">H103*$J$124</f>
        <v>7.9269839999998775</v>
      </c>
    </row>
    <row r="104" spans="1:10" ht="15.75" x14ac:dyDescent="0.25">
      <c r="A104" s="27" t="s">
        <v>26</v>
      </c>
      <c r="B104" s="29"/>
      <c r="C104" s="38"/>
      <c r="D104" s="20"/>
      <c r="E104" s="92"/>
      <c r="F104" s="27" t="s">
        <v>46</v>
      </c>
      <c r="G104" s="33"/>
      <c r="H104" s="31"/>
      <c r="I104" s="35"/>
      <c r="J104" s="35"/>
    </row>
    <row r="105" spans="1:10" ht="15.75" x14ac:dyDescent="0.25">
      <c r="A105" s="27" t="s">
        <v>43</v>
      </c>
      <c r="B105" s="29"/>
      <c r="C105" s="38"/>
      <c r="D105" s="20"/>
      <c r="E105" s="92"/>
      <c r="F105" s="27" t="s">
        <v>26</v>
      </c>
      <c r="G105" s="33"/>
      <c r="H105" s="31">
        <v>1.7500000000000002E-2</v>
      </c>
      <c r="I105" s="35">
        <f t="shared" ref="I105" si="32">H105*$I$33</f>
        <v>7.0000000000000009</v>
      </c>
      <c r="J105" s="35">
        <f t="shared" si="31"/>
        <v>0.98804999999998477</v>
      </c>
    </row>
    <row r="106" spans="1:10" ht="15.75" x14ac:dyDescent="0.25">
      <c r="A106" s="27" t="s">
        <v>19</v>
      </c>
      <c r="B106" s="29"/>
      <c r="C106" s="38"/>
      <c r="D106" s="20"/>
      <c r="E106" s="92"/>
      <c r="F106" s="27" t="s">
        <v>43</v>
      </c>
      <c r="G106" s="33"/>
      <c r="H106" s="31"/>
      <c r="I106" s="35"/>
      <c r="J106" s="35"/>
    </row>
    <row r="107" spans="1:10" ht="15.75" x14ac:dyDescent="0.25">
      <c r="A107" s="27" t="s">
        <v>27</v>
      </c>
      <c r="B107" s="29"/>
      <c r="C107" s="38"/>
      <c r="D107" s="20"/>
      <c r="E107" s="92"/>
      <c r="F107" s="27" t="s">
        <v>19</v>
      </c>
      <c r="G107" s="33"/>
      <c r="H107" s="31"/>
      <c r="I107" s="35"/>
      <c r="J107" s="35"/>
    </row>
    <row r="108" spans="1:10" ht="15.75" x14ac:dyDescent="0.25">
      <c r="A108" s="27" t="s">
        <v>44</v>
      </c>
      <c r="B108" s="29"/>
      <c r="C108" s="38"/>
      <c r="D108" s="20"/>
      <c r="E108" s="92"/>
      <c r="F108" s="27" t="s">
        <v>27</v>
      </c>
      <c r="G108" s="33"/>
      <c r="H108" s="31"/>
      <c r="I108" s="35"/>
      <c r="J108" s="35"/>
    </row>
    <row r="109" spans="1:10" ht="15.75" x14ac:dyDescent="0.25">
      <c r="A109" s="27" t="s">
        <v>28</v>
      </c>
      <c r="B109" s="29"/>
      <c r="C109" s="38">
        <v>0.58179999999999998</v>
      </c>
      <c r="D109" s="20">
        <f>C109*$D$123</f>
        <v>4919.9684279999992</v>
      </c>
      <c r="E109" s="92"/>
      <c r="F109" s="27" t="s">
        <v>44</v>
      </c>
      <c r="G109" s="33"/>
      <c r="H109" s="31">
        <v>0.43859999999999999</v>
      </c>
      <c r="I109" s="35">
        <f t="shared" ref="I109" si="33">H109*$I$33</f>
        <v>175.44</v>
      </c>
      <c r="J109" s="35">
        <f t="shared" si="31"/>
        <v>24.763355999999618</v>
      </c>
    </row>
    <row r="110" spans="1:10" ht="15.75" x14ac:dyDescent="0.25">
      <c r="A110" s="27" t="s">
        <v>45</v>
      </c>
      <c r="B110" s="29"/>
      <c r="C110" s="38"/>
      <c r="D110" s="20"/>
      <c r="E110" s="92"/>
      <c r="F110" s="27" t="s">
        <v>28</v>
      </c>
      <c r="G110" s="33"/>
      <c r="H110" s="31"/>
      <c r="I110" s="35"/>
      <c r="J110" s="35"/>
    </row>
    <row r="111" spans="1:10" ht="15.75" x14ac:dyDescent="0.25">
      <c r="A111" s="27" t="s">
        <v>10</v>
      </c>
      <c r="B111" s="29"/>
      <c r="C111" s="38"/>
      <c r="D111" s="20"/>
      <c r="E111" s="92"/>
      <c r="F111" s="27" t="s">
        <v>45</v>
      </c>
      <c r="G111" s="33"/>
      <c r="H111" s="31"/>
      <c r="I111" s="35"/>
      <c r="J111" s="35"/>
    </row>
    <row r="112" spans="1:10" ht="15.75" x14ac:dyDescent="0.25">
      <c r="A112" s="27" t="s">
        <v>29</v>
      </c>
      <c r="B112" s="29"/>
      <c r="C112" s="38"/>
      <c r="D112" s="20"/>
      <c r="E112" s="92"/>
      <c r="F112" s="27" t="s">
        <v>10</v>
      </c>
      <c r="G112" s="33"/>
      <c r="H112" s="31"/>
      <c r="I112" s="35"/>
      <c r="J112" s="35"/>
    </row>
    <row r="113" spans="1:13" ht="15.75" x14ac:dyDescent="0.25">
      <c r="A113" s="27" t="s">
        <v>17</v>
      </c>
      <c r="B113" s="29"/>
      <c r="C113" s="38"/>
      <c r="D113" s="20"/>
      <c r="E113" s="92"/>
      <c r="F113" s="27" t="s">
        <v>29</v>
      </c>
      <c r="G113" s="33"/>
      <c r="H113" s="31"/>
      <c r="I113" s="35"/>
      <c r="J113" s="35"/>
    </row>
    <row r="114" spans="1:13" ht="15.75" x14ac:dyDescent="0.25">
      <c r="A114" s="27" t="s">
        <v>30</v>
      </c>
      <c r="B114" s="29"/>
      <c r="C114" s="38"/>
      <c r="D114" s="20"/>
      <c r="E114" s="92"/>
      <c r="F114" s="27" t="s">
        <v>17</v>
      </c>
      <c r="G114" s="33"/>
      <c r="H114" s="31"/>
      <c r="I114" s="35"/>
      <c r="J114" s="35"/>
    </row>
    <row r="115" spans="1:13" ht="15.75" x14ac:dyDescent="0.25">
      <c r="A115" s="27" t="s">
        <v>31</v>
      </c>
      <c r="B115" s="29"/>
      <c r="C115" s="38"/>
      <c r="D115" s="20"/>
      <c r="E115" s="92"/>
      <c r="F115" s="27" t="s">
        <v>30</v>
      </c>
      <c r="G115" s="33"/>
      <c r="H115" s="31"/>
      <c r="I115" s="35"/>
      <c r="J115" s="35"/>
    </row>
    <row r="116" spans="1:13" ht="15.75" x14ac:dyDescent="0.25">
      <c r="A116" s="27" t="s">
        <v>16</v>
      </c>
      <c r="B116" s="29"/>
      <c r="C116" s="38"/>
      <c r="D116" s="20"/>
      <c r="E116" s="92"/>
      <c r="F116" s="27" t="s">
        <v>31</v>
      </c>
      <c r="G116" s="33"/>
      <c r="H116" s="31"/>
      <c r="I116" s="35"/>
      <c r="J116" s="35"/>
    </row>
    <row r="117" spans="1:13" ht="15.75" x14ac:dyDescent="0.25">
      <c r="A117" s="27" t="s">
        <v>32</v>
      </c>
      <c r="B117" s="23"/>
      <c r="C117" s="38">
        <v>3.8600000000000002E-2</v>
      </c>
      <c r="D117" s="20">
        <f>C117*$D$123</f>
        <v>326.41935599999999</v>
      </c>
      <c r="E117" s="92"/>
      <c r="F117" s="27" t="s">
        <v>16</v>
      </c>
      <c r="G117" s="24"/>
      <c r="H117" s="31"/>
      <c r="I117" s="35"/>
      <c r="J117" s="35"/>
    </row>
    <row r="118" spans="1:13" ht="15.75" x14ac:dyDescent="0.25">
      <c r="A118" s="27" t="s">
        <v>33</v>
      </c>
      <c r="B118" s="23"/>
      <c r="C118" s="38">
        <v>2.2000000000000001E-3</v>
      </c>
      <c r="D118" s="20">
        <f>C118*$D$123</f>
        <v>18.604212</v>
      </c>
      <c r="E118" s="92"/>
      <c r="F118" s="27" t="s">
        <v>32</v>
      </c>
      <c r="G118" s="24"/>
      <c r="H118" s="31">
        <v>3.7199999999999997E-2</v>
      </c>
      <c r="I118" s="35">
        <f t="shared" ref="I118:I120" si="34">H118*$I$33</f>
        <v>14.879999999999999</v>
      </c>
      <c r="J118" s="35">
        <f t="shared" si="31"/>
        <v>2.1003119999999673</v>
      </c>
    </row>
    <row r="119" spans="1:13" ht="15.75" x14ac:dyDescent="0.25">
      <c r="A119" s="27" t="s">
        <v>34</v>
      </c>
      <c r="B119" s="23"/>
      <c r="C119" s="38"/>
      <c r="D119" s="20"/>
      <c r="E119" s="92"/>
      <c r="F119" s="27" t="s">
        <v>33</v>
      </c>
      <c r="G119" s="24"/>
      <c r="H119" s="31">
        <v>2.0999999999999999E-3</v>
      </c>
      <c r="I119" s="35">
        <f t="shared" si="34"/>
        <v>0.84</v>
      </c>
      <c r="J119" s="35">
        <f t="shared" si="31"/>
        <v>0.11856599999999816</v>
      </c>
    </row>
    <row r="120" spans="1:13" ht="15.75" x14ac:dyDescent="0.25">
      <c r="A120" s="27" t="s">
        <v>22</v>
      </c>
      <c r="B120" s="23"/>
      <c r="C120" s="38"/>
      <c r="D120" s="20"/>
      <c r="E120" s="92"/>
      <c r="F120" s="27" t="s">
        <v>34</v>
      </c>
      <c r="G120" s="24"/>
      <c r="H120" s="31">
        <v>3.5099999999999999E-2</v>
      </c>
      <c r="I120" s="35">
        <f t="shared" si="34"/>
        <v>14.04</v>
      </c>
      <c r="J120" s="35">
        <f t="shared" si="31"/>
        <v>1.9817459999999694</v>
      </c>
    </row>
    <row r="121" spans="1:13" ht="15.75" x14ac:dyDescent="0.25">
      <c r="A121" s="27" t="s">
        <v>35</v>
      </c>
      <c r="B121" s="29"/>
      <c r="C121" s="38"/>
      <c r="D121" s="20"/>
      <c r="E121" s="92"/>
      <c r="F121" s="27" t="s">
        <v>22</v>
      </c>
      <c r="G121" s="33"/>
      <c r="H121" s="31"/>
      <c r="I121" s="35"/>
      <c r="J121" s="35"/>
    </row>
    <row r="122" spans="1:13" ht="16.5" thickBot="1" x14ac:dyDescent="0.3">
      <c r="A122" s="28" t="s">
        <v>36</v>
      </c>
      <c r="B122" s="29"/>
      <c r="C122" s="49"/>
      <c r="D122" s="20"/>
      <c r="E122" s="92"/>
      <c r="F122" s="27" t="s">
        <v>35</v>
      </c>
      <c r="G122" s="33"/>
      <c r="H122" s="31"/>
      <c r="I122" s="35"/>
      <c r="J122" s="35"/>
    </row>
    <row r="123" spans="1:13" ht="16.5" thickBot="1" x14ac:dyDescent="0.3">
      <c r="A123" s="93" t="s">
        <v>11</v>
      </c>
      <c r="B123" s="93"/>
      <c r="C123" s="8">
        <f>SUM(C98:C122)</f>
        <v>1</v>
      </c>
      <c r="D123" s="15">
        <v>8456.4599999999991</v>
      </c>
      <c r="E123" s="92"/>
      <c r="F123" s="28" t="s">
        <v>36</v>
      </c>
      <c r="G123" s="34"/>
      <c r="H123" s="32"/>
      <c r="I123" s="35"/>
      <c r="J123" s="35"/>
    </row>
    <row r="124" spans="1:13" x14ac:dyDescent="0.25">
      <c r="A124" s="2"/>
      <c r="B124" s="2"/>
      <c r="C124" s="2"/>
      <c r="D124" s="2"/>
      <c r="E124" s="2"/>
      <c r="F124" s="81" t="s">
        <v>11</v>
      </c>
      <c r="G124" s="81"/>
      <c r="H124" s="17">
        <f>SUM(H99:H123)</f>
        <v>1</v>
      </c>
      <c r="I124" s="13">
        <v>400</v>
      </c>
      <c r="J124" s="13">
        <f>+H97</f>
        <v>56.459999999999127</v>
      </c>
    </row>
    <row r="125" spans="1:13" x14ac:dyDescent="0.25">
      <c r="A125" s="2"/>
      <c r="B125" s="2"/>
      <c r="C125" s="2"/>
      <c r="D125" s="2"/>
      <c r="E125" s="2"/>
      <c r="F125" s="55"/>
      <c r="G125" s="55"/>
      <c r="H125" s="56"/>
      <c r="I125" s="55"/>
      <c r="J125" s="55"/>
    </row>
    <row r="126" spans="1:13" ht="15.75" customHeight="1" x14ac:dyDescent="0.35">
      <c r="A126" s="82"/>
      <c r="B126" s="83"/>
      <c r="C126" s="2"/>
      <c r="D126" s="2"/>
      <c r="E126" s="2"/>
      <c r="F126" s="18"/>
      <c r="G126" s="18"/>
      <c r="H126" s="19"/>
      <c r="I126" s="18"/>
      <c r="J126" s="18"/>
    </row>
    <row r="127" spans="1:13" x14ac:dyDescent="0.25">
      <c r="A127" s="84" t="s">
        <v>18</v>
      </c>
      <c r="B127" s="84"/>
      <c r="C127" s="84"/>
      <c r="D127" s="84"/>
      <c r="E127" s="2"/>
      <c r="F127" s="2"/>
      <c r="G127" s="2"/>
    </row>
    <row r="128" spans="1:13" x14ac:dyDescent="0.25">
      <c r="A128" s="9" t="s">
        <v>12</v>
      </c>
      <c r="B128" s="9" t="s">
        <v>13</v>
      </c>
      <c r="C128" s="9" t="s">
        <v>14</v>
      </c>
      <c r="D128" s="10" t="s">
        <v>12</v>
      </c>
      <c r="E128" s="85" t="s">
        <v>13</v>
      </c>
      <c r="F128" s="86"/>
      <c r="G128" s="10" t="s">
        <v>14</v>
      </c>
      <c r="H128" s="9" t="s">
        <v>12</v>
      </c>
      <c r="I128" s="10" t="s">
        <v>13</v>
      </c>
      <c r="J128" s="10" t="s">
        <v>14</v>
      </c>
      <c r="K128" s="9" t="s">
        <v>12</v>
      </c>
      <c r="L128" s="10" t="s">
        <v>13</v>
      </c>
      <c r="M128" s="10" t="s">
        <v>14</v>
      </c>
    </row>
    <row r="129" spans="1:13" x14ac:dyDescent="0.25">
      <c r="A129" s="11">
        <v>1</v>
      </c>
      <c r="B129" s="16">
        <v>0.33333333333333331</v>
      </c>
      <c r="C129" s="16">
        <f>+B129+15/1440</f>
        <v>0.34375</v>
      </c>
      <c r="D129" s="11">
        <v>8</v>
      </c>
      <c r="E129" s="79">
        <f>+C135+5/1440</f>
        <v>0.43055555555555558</v>
      </c>
      <c r="F129" s="80"/>
      <c r="G129" s="16">
        <f>+E129+15/1440</f>
        <v>0.44097222222222227</v>
      </c>
      <c r="H129" s="11"/>
      <c r="I129" s="12">
        <f>G135+5/1440</f>
        <v>0.52777777777777779</v>
      </c>
      <c r="J129" s="12">
        <f>I129+15/1440</f>
        <v>0.53819444444444442</v>
      </c>
      <c r="K129" s="11">
        <v>19</v>
      </c>
      <c r="L129" s="16">
        <f>J135+5/1440</f>
        <v>0.62499999999999967</v>
      </c>
      <c r="M129" s="16">
        <f>L129+15/1440</f>
        <v>0.6354166666666663</v>
      </c>
    </row>
    <row r="130" spans="1:13" x14ac:dyDescent="0.25">
      <c r="A130" s="11">
        <v>2</v>
      </c>
      <c r="B130" s="16">
        <f t="shared" ref="B130:B135" si="35">+C129+5/1440</f>
        <v>0.34722222222222221</v>
      </c>
      <c r="C130" s="16">
        <f>+B130+15/1440</f>
        <v>0.3576388888888889</v>
      </c>
      <c r="D130" s="11">
        <v>9</v>
      </c>
      <c r="E130" s="79">
        <f>+G129+5/1440</f>
        <v>0.44444444444444448</v>
      </c>
      <c r="F130" s="80"/>
      <c r="G130" s="16">
        <f>+E130+15/1440</f>
        <v>0.45486111111111116</v>
      </c>
      <c r="H130" s="11">
        <v>13</v>
      </c>
      <c r="I130" s="16">
        <f>J129+5/1440</f>
        <v>0.54166666666666663</v>
      </c>
      <c r="J130" s="16">
        <f>I130+15/1440</f>
        <v>0.55208333333333326</v>
      </c>
      <c r="K130" s="11">
        <v>20</v>
      </c>
      <c r="L130" s="16">
        <f>M129+5/1440</f>
        <v>0.63888888888888851</v>
      </c>
      <c r="M130" s="16">
        <f>L130+15/1440</f>
        <v>0.64930555555555514</v>
      </c>
    </row>
    <row r="131" spans="1:13" x14ac:dyDescent="0.25">
      <c r="A131" s="11">
        <v>3</v>
      </c>
      <c r="B131" s="16">
        <f t="shared" si="35"/>
        <v>0.3611111111111111</v>
      </c>
      <c r="C131" s="16">
        <f t="shared" ref="C131:C135" si="36">+B131+15/1440</f>
        <v>0.37152777777777779</v>
      </c>
      <c r="D131" s="11">
        <v>10</v>
      </c>
      <c r="E131" s="79">
        <f t="shared" ref="E131:E135" si="37">+G130+5/1440</f>
        <v>0.45833333333333337</v>
      </c>
      <c r="F131" s="80"/>
      <c r="G131" s="16">
        <f t="shared" ref="G131:G135" si="38">+E131+15/1440</f>
        <v>0.46875000000000006</v>
      </c>
      <c r="H131" s="11">
        <v>14</v>
      </c>
      <c r="I131" s="16">
        <f t="shared" ref="I131:I135" si="39">J130+5/1440</f>
        <v>0.55555555555555547</v>
      </c>
      <c r="J131" s="16">
        <f t="shared" ref="J131:J135" si="40">I131+15/1440</f>
        <v>0.5659722222222221</v>
      </c>
      <c r="K131" s="11">
        <v>21</v>
      </c>
      <c r="L131" s="16">
        <f t="shared" ref="L131:L135" si="41">M130+5/1440</f>
        <v>0.65277777777777735</v>
      </c>
      <c r="M131" s="16">
        <f t="shared" ref="M131:M135" si="42">L131+15/1440</f>
        <v>0.66319444444444398</v>
      </c>
    </row>
    <row r="132" spans="1:13" x14ac:dyDescent="0.25">
      <c r="A132" s="11">
        <v>4</v>
      </c>
      <c r="B132" s="16">
        <f t="shared" si="35"/>
        <v>0.375</v>
      </c>
      <c r="C132" s="16">
        <f t="shared" si="36"/>
        <v>0.38541666666666669</v>
      </c>
      <c r="D132" s="11">
        <v>11</v>
      </c>
      <c r="E132" s="79">
        <f t="shared" si="37"/>
        <v>0.47222222222222227</v>
      </c>
      <c r="F132" s="80"/>
      <c r="G132" s="16">
        <f t="shared" si="38"/>
        <v>0.48263888888888895</v>
      </c>
      <c r="H132" s="11">
        <v>15</v>
      </c>
      <c r="I132" s="16">
        <f t="shared" si="39"/>
        <v>0.56944444444444431</v>
      </c>
      <c r="J132" s="16">
        <f t="shared" si="40"/>
        <v>0.57986111111111094</v>
      </c>
      <c r="K132" s="11">
        <v>22</v>
      </c>
      <c r="L132" s="16">
        <f t="shared" si="41"/>
        <v>0.66666666666666619</v>
      </c>
      <c r="M132" s="16">
        <f t="shared" si="42"/>
        <v>0.67708333333333282</v>
      </c>
    </row>
    <row r="133" spans="1:13" x14ac:dyDescent="0.25">
      <c r="A133" s="11">
        <v>5</v>
      </c>
      <c r="B133" s="16">
        <f t="shared" si="35"/>
        <v>0.3888888888888889</v>
      </c>
      <c r="C133" s="16">
        <f t="shared" si="36"/>
        <v>0.39930555555555558</v>
      </c>
      <c r="D133" s="11">
        <v>12</v>
      </c>
      <c r="E133" s="79">
        <f t="shared" si="37"/>
        <v>0.48611111111111116</v>
      </c>
      <c r="F133" s="80"/>
      <c r="G133" s="16">
        <f t="shared" si="38"/>
        <v>0.49652777777777785</v>
      </c>
      <c r="H133" s="11">
        <v>16</v>
      </c>
      <c r="I133" s="16">
        <f t="shared" si="39"/>
        <v>0.58333333333333315</v>
      </c>
      <c r="J133" s="16">
        <f t="shared" si="40"/>
        <v>0.59374999999999978</v>
      </c>
      <c r="K133" s="11">
        <v>23</v>
      </c>
      <c r="L133" s="12">
        <f t="shared" si="41"/>
        <v>0.68055555555555503</v>
      </c>
      <c r="M133" s="12">
        <f t="shared" si="42"/>
        <v>0.69097222222222165</v>
      </c>
    </row>
    <row r="134" spans="1:13" x14ac:dyDescent="0.25">
      <c r="A134" s="11">
        <v>6</v>
      </c>
      <c r="B134" s="16">
        <f t="shared" si="35"/>
        <v>0.40277777777777779</v>
      </c>
      <c r="C134" s="16">
        <f t="shared" si="36"/>
        <v>0.41319444444444448</v>
      </c>
      <c r="D134" s="11"/>
      <c r="E134" s="77">
        <f t="shared" si="37"/>
        <v>0.50000000000000011</v>
      </c>
      <c r="F134" s="78"/>
      <c r="G134" s="21">
        <f t="shared" si="38"/>
        <v>0.51041666666666674</v>
      </c>
      <c r="H134" s="11">
        <v>17</v>
      </c>
      <c r="I134" s="16">
        <f t="shared" si="39"/>
        <v>0.59722222222222199</v>
      </c>
      <c r="J134" s="16">
        <f t="shared" si="40"/>
        <v>0.60763888888888862</v>
      </c>
      <c r="K134" s="11">
        <v>24</v>
      </c>
      <c r="L134" s="12">
        <f t="shared" si="41"/>
        <v>0.69444444444444386</v>
      </c>
      <c r="M134" s="12">
        <f t="shared" si="42"/>
        <v>0.70486111111111049</v>
      </c>
    </row>
    <row r="135" spans="1:13" x14ac:dyDescent="0.25">
      <c r="A135" s="11">
        <v>7</v>
      </c>
      <c r="B135" s="16">
        <f t="shared" si="35"/>
        <v>0.41666666666666669</v>
      </c>
      <c r="C135" s="16">
        <f t="shared" si="36"/>
        <v>0.42708333333333337</v>
      </c>
      <c r="D135" s="11"/>
      <c r="E135" s="77">
        <f t="shared" si="37"/>
        <v>0.51388888888888895</v>
      </c>
      <c r="F135" s="78"/>
      <c r="G135" s="21">
        <f t="shared" si="38"/>
        <v>0.52430555555555558</v>
      </c>
      <c r="H135" s="11">
        <v>18</v>
      </c>
      <c r="I135" s="16">
        <f t="shared" si="39"/>
        <v>0.61111111111111083</v>
      </c>
      <c r="J135" s="16">
        <f t="shared" si="40"/>
        <v>0.62152777777777746</v>
      </c>
      <c r="K135" s="11">
        <v>25</v>
      </c>
      <c r="L135" s="12">
        <f t="shared" si="41"/>
        <v>0.7083333333333327</v>
      </c>
      <c r="M135" s="12">
        <f t="shared" si="42"/>
        <v>0.71874999999999933</v>
      </c>
    </row>
    <row r="141" spans="1:13" ht="15.75" thickBot="1" x14ac:dyDescent="0.3"/>
    <row r="142" spans="1:13" x14ac:dyDescent="0.25">
      <c r="A142" s="94" t="s">
        <v>20</v>
      </c>
      <c r="B142" s="95"/>
      <c r="C142" s="95"/>
      <c r="D142" s="96"/>
      <c r="E142" s="95" t="s">
        <v>21</v>
      </c>
      <c r="F142" s="95"/>
      <c r="G142" s="95"/>
      <c r="H142" s="95"/>
      <c r="I142" s="95"/>
      <c r="J142" s="96"/>
    </row>
    <row r="143" spans="1:13" ht="15.75" thickBot="1" x14ac:dyDescent="0.3">
      <c r="A143" s="97"/>
      <c r="B143" s="98"/>
      <c r="C143" s="98"/>
      <c r="D143" s="99"/>
      <c r="E143" s="98"/>
      <c r="F143" s="98"/>
      <c r="G143" s="98"/>
      <c r="H143" s="98"/>
      <c r="I143" s="98"/>
      <c r="J143" s="99"/>
    </row>
    <row r="144" spans="1:13" ht="18.75" x14ac:dyDescent="0.25">
      <c r="A144" s="87" t="s">
        <v>0</v>
      </c>
      <c r="B144" s="87"/>
      <c r="C144" s="100" t="s">
        <v>55</v>
      </c>
      <c r="D144" s="100"/>
      <c r="E144" s="100"/>
      <c r="F144" s="100"/>
      <c r="G144" s="100"/>
      <c r="H144" s="1" t="s">
        <v>1</v>
      </c>
      <c r="I144" s="101">
        <v>45284</v>
      </c>
      <c r="J144" s="102"/>
    </row>
    <row r="145" spans="1:10" ht="30" customHeight="1" x14ac:dyDescent="0.25">
      <c r="A145" s="87" t="s">
        <v>2</v>
      </c>
      <c r="B145" s="87"/>
      <c r="C145" s="88" t="s">
        <v>48</v>
      </c>
      <c r="D145" s="88"/>
      <c r="E145" s="88"/>
      <c r="F145" s="88"/>
      <c r="G145" s="88"/>
      <c r="H145" s="1" t="s">
        <v>3</v>
      </c>
      <c r="I145" s="89" t="s">
        <v>41</v>
      </c>
      <c r="J145" s="89"/>
    </row>
    <row r="146" spans="1:10" x14ac:dyDescent="0.25">
      <c r="A146" s="2"/>
      <c r="B146" s="2"/>
      <c r="C146" s="2"/>
      <c r="D146" s="2"/>
      <c r="E146" s="2"/>
      <c r="F146" s="2"/>
      <c r="G146" s="2"/>
      <c r="I146" s="90" t="s">
        <v>64</v>
      </c>
      <c r="J146" s="90"/>
    </row>
    <row r="147" spans="1:10" ht="18.75" x14ac:dyDescent="0.3">
      <c r="A147" s="91" t="s">
        <v>4</v>
      </c>
      <c r="B147" s="91"/>
      <c r="C147" s="3" t="s">
        <v>5</v>
      </c>
      <c r="D147" s="14" t="s">
        <v>6</v>
      </c>
      <c r="E147" s="92" t="s">
        <v>7</v>
      </c>
      <c r="F147" s="4">
        <f>ROUNDDOWN(D173/400,0)</f>
        <v>12</v>
      </c>
      <c r="G147" s="5" t="s">
        <v>8</v>
      </c>
      <c r="H147" s="6">
        <f>D173-(F147*400)</f>
        <v>146.67000000000007</v>
      </c>
      <c r="I147" s="7" t="s">
        <v>9</v>
      </c>
    </row>
    <row r="148" spans="1:10" ht="15.75" x14ac:dyDescent="0.25">
      <c r="A148" s="26" t="s">
        <v>23</v>
      </c>
      <c r="B148" s="29"/>
      <c r="C148" s="39"/>
      <c r="D148" s="20"/>
      <c r="E148" s="92"/>
      <c r="F148" s="91" t="s">
        <v>4</v>
      </c>
      <c r="G148" s="91"/>
      <c r="H148" s="3" t="s">
        <v>5</v>
      </c>
      <c r="I148" s="14" t="s">
        <v>6</v>
      </c>
      <c r="J148" s="14" t="s">
        <v>6</v>
      </c>
    </row>
    <row r="149" spans="1:10" ht="15.75" x14ac:dyDescent="0.25">
      <c r="A149" s="26" t="s">
        <v>42</v>
      </c>
      <c r="B149" s="29"/>
      <c r="C149" s="39"/>
      <c r="D149" s="20"/>
      <c r="E149" s="92"/>
      <c r="F149" s="26" t="s">
        <v>23</v>
      </c>
      <c r="G149" s="33"/>
      <c r="H149" s="38"/>
      <c r="I149" s="35"/>
      <c r="J149" s="35"/>
    </row>
    <row r="150" spans="1:10" ht="15.75" x14ac:dyDescent="0.25">
      <c r="A150" s="27" t="s">
        <v>24</v>
      </c>
      <c r="B150" s="29"/>
      <c r="C150" s="31"/>
      <c r="D150" s="20"/>
      <c r="E150" s="92"/>
      <c r="F150" s="26" t="s">
        <v>42</v>
      </c>
      <c r="G150" s="33"/>
      <c r="H150" s="38"/>
      <c r="I150" s="35"/>
      <c r="J150" s="35"/>
    </row>
    <row r="151" spans="1:10" ht="15.75" x14ac:dyDescent="0.25">
      <c r="A151" s="27" t="s">
        <v>25</v>
      </c>
      <c r="B151" s="29"/>
      <c r="C151" s="31">
        <v>0.11</v>
      </c>
      <c r="D151" s="20">
        <f>C151*$D$173</f>
        <v>544.13369999999998</v>
      </c>
      <c r="E151" s="92"/>
      <c r="F151" s="27" t="s">
        <v>24</v>
      </c>
      <c r="G151" s="33"/>
      <c r="H151" s="38"/>
      <c r="I151" s="35"/>
      <c r="J151" s="35"/>
    </row>
    <row r="152" spans="1:10" ht="15.75" x14ac:dyDescent="0.25">
      <c r="A152" s="27" t="s">
        <v>47</v>
      </c>
      <c r="B152" s="29"/>
      <c r="C152" s="31">
        <v>0.21879999999999999</v>
      </c>
      <c r="D152" s="20">
        <f>C152*$D$173</f>
        <v>1082.331396</v>
      </c>
      <c r="E152" s="92"/>
      <c r="F152" s="27" t="s">
        <v>25</v>
      </c>
      <c r="G152" s="33"/>
      <c r="H152" s="38">
        <v>0.1032</v>
      </c>
      <c r="I152" s="35">
        <f>H152*$I$174</f>
        <v>41.28</v>
      </c>
      <c r="J152" s="35">
        <f>H152*$J$174</f>
        <v>15.136344000000008</v>
      </c>
    </row>
    <row r="153" spans="1:10" ht="15.75" x14ac:dyDescent="0.25">
      <c r="A153" s="27" t="s">
        <v>46</v>
      </c>
      <c r="B153" s="29"/>
      <c r="C153" s="31"/>
      <c r="D153" s="20"/>
      <c r="E153" s="92"/>
      <c r="F153" s="27" t="s">
        <v>47</v>
      </c>
      <c r="G153" s="33"/>
      <c r="H153" s="38">
        <v>0.219</v>
      </c>
      <c r="I153" s="35">
        <f t="shared" ref="I153:I169" si="43">H153*$I$33</f>
        <v>87.6</v>
      </c>
      <c r="J153" s="35">
        <f t="shared" ref="J153:J169" si="44">H153*$J$174</f>
        <v>32.120730000000016</v>
      </c>
    </row>
    <row r="154" spans="1:10" ht="15.75" x14ac:dyDescent="0.25">
      <c r="A154" s="27" t="s">
        <v>26</v>
      </c>
      <c r="B154" s="29"/>
      <c r="C154" s="31">
        <v>1.9900000000000001E-2</v>
      </c>
      <c r="D154" s="20">
        <f t="shared" ref="D154:D168" si="45">C154*$D$173</f>
        <v>98.438733000000013</v>
      </c>
      <c r="E154" s="92"/>
      <c r="F154" s="27" t="s">
        <v>46</v>
      </c>
      <c r="G154" s="33"/>
      <c r="H154" s="38"/>
      <c r="I154" s="35"/>
      <c r="J154" s="35"/>
    </row>
    <row r="155" spans="1:10" ht="15.75" x14ac:dyDescent="0.25">
      <c r="A155" s="27" t="s">
        <v>43</v>
      </c>
      <c r="B155" s="29"/>
      <c r="C155" s="31"/>
      <c r="D155" s="20"/>
      <c r="E155" s="92"/>
      <c r="F155" s="27" t="s">
        <v>26</v>
      </c>
      <c r="G155" s="33"/>
      <c r="H155" s="38">
        <v>1.5900000000000001E-2</v>
      </c>
      <c r="I155" s="35">
        <f t="shared" si="43"/>
        <v>6.36</v>
      </c>
      <c r="J155" s="35">
        <f t="shared" si="44"/>
        <v>2.3320530000000015</v>
      </c>
    </row>
    <row r="156" spans="1:10" ht="15.75" x14ac:dyDescent="0.25">
      <c r="A156" s="27" t="s">
        <v>19</v>
      </c>
      <c r="B156" s="29"/>
      <c r="C156" s="31"/>
      <c r="D156" s="20"/>
      <c r="E156" s="92"/>
      <c r="F156" s="27" t="s">
        <v>43</v>
      </c>
      <c r="G156" s="33"/>
      <c r="H156" s="38"/>
      <c r="I156" s="35"/>
      <c r="J156" s="35"/>
    </row>
    <row r="157" spans="1:10" ht="15.75" x14ac:dyDescent="0.25">
      <c r="A157" s="27" t="s">
        <v>27</v>
      </c>
      <c r="B157" s="29"/>
      <c r="C157" s="31"/>
      <c r="D157" s="20"/>
      <c r="E157" s="92"/>
      <c r="F157" s="27" t="s">
        <v>19</v>
      </c>
      <c r="G157" s="33"/>
      <c r="H157" s="38"/>
      <c r="I157" s="35"/>
      <c r="J157" s="35"/>
    </row>
    <row r="158" spans="1:10" ht="15.75" x14ac:dyDescent="0.25">
      <c r="A158" s="27" t="s">
        <v>44</v>
      </c>
      <c r="B158" s="29"/>
      <c r="C158" s="31">
        <v>0.45750000000000002</v>
      </c>
      <c r="D158" s="20">
        <f t="shared" si="45"/>
        <v>2263.101525</v>
      </c>
      <c r="E158" s="92"/>
      <c r="F158" s="27" t="s">
        <v>27</v>
      </c>
      <c r="G158" s="33"/>
      <c r="H158" s="38"/>
      <c r="I158" s="35"/>
      <c r="J158" s="35"/>
    </row>
    <row r="159" spans="1:10" ht="15.75" x14ac:dyDescent="0.25">
      <c r="A159" s="27" t="s">
        <v>28</v>
      </c>
      <c r="B159" s="29"/>
      <c r="C159" s="31"/>
      <c r="D159" s="20"/>
      <c r="E159" s="92"/>
      <c r="F159" s="27" t="s">
        <v>44</v>
      </c>
      <c r="G159" s="33"/>
      <c r="H159" s="38">
        <v>0.46789999999999998</v>
      </c>
      <c r="I159" s="35">
        <f t="shared" si="43"/>
        <v>187.16</v>
      </c>
      <c r="J159" s="35">
        <f t="shared" si="44"/>
        <v>68.626893000000038</v>
      </c>
    </row>
    <row r="160" spans="1:10" ht="15.75" x14ac:dyDescent="0.25">
      <c r="A160" s="27" t="s">
        <v>45</v>
      </c>
      <c r="B160" s="29"/>
      <c r="C160" s="31"/>
      <c r="D160" s="20"/>
      <c r="E160" s="92"/>
      <c r="F160" s="27" t="s">
        <v>28</v>
      </c>
      <c r="G160" s="33"/>
      <c r="H160" s="38"/>
      <c r="I160" s="35"/>
      <c r="J160" s="35"/>
    </row>
    <row r="161" spans="1:10" ht="15.75" x14ac:dyDescent="0.25">
      <c r="A161" s="27" t="s">
        <v>10</v>
      </c>
      <c r="B161" s="29"/>
      <c r="C161" s="31"/>
      <c r="D161" s="20"/>
      <c r="E161" s="92"/>
      <c r="F161" s="27" t="s">
        <v>45</v>
      </c>
      <c r="G161" s="33"/>
      <c r="H161" s="38"/>
      <c r="I161" s="35"/>
      <c r="J161" s="35"/>
    </row>
    <row r="162" spans="1:10" ht="15.75" x14ac:dyDescent="0.25">
      <c r="A162" s="27" t="s">
        <v>29</v>
      </c>
      <c r="B162" s="29"/>
      <c r="C162" s="31">
        <v>0.13919999999999999</v>
      </c>
      <c r="D162" s="20">
        <f t="shared" si="45"/>
        <v>688.57646399999999</v>
      </c>
      <c r="E162" s="92"/>
      <c r="F162" s="27" t="s">
        <v>10</v>
      </c>
      <c r="G162" s="33"/>
      <c r="H162" s="38"/>
      <c r="I162" s="35"/>
      <c r="J162" s="35"/>
    </row>
    <row r="163" spans="1:10" ht="15.75" x14ac:dyDescent="0.25">
      <c r="A163" s="27" t="s">
        <v>17</v>
      </c>
      <c r="B163" s="29"/>
      <c r="C163" s="31"/>
      <c r="D163" s="20"/>
      <c r="E163" s="92"/>
      <c r="F163" s="27" t="s">
        <v>29</v>
      </c>
      <c r="G163" s="33"/>
      <c r="H163" s="38">
        <v>0.1394</v>
      </c>
      <c r="I163" s="35">
        <f t="shared" si="43"/>
        <v>55.76</v>
      </c>
      <c r="J163" s="35">
        <f t="shared" si="44"/>
        <v>20.445798000000011</v>
      </c>
    </row>
    <row r="164" spans="1:10" ht="15.75" x14ac:dyDescent="0.25">
      <c r="A164" s="27" t="s">
        <v>30</v>
      </c>
      <c r="B164" s="29"/>
      <c r="C164" s="31"/>
      <c r="D164" s="20"/>
      <c r="E164" s="92"/>
      <c r="F164" s="27" t="s">
        <v>17</v>
      </c>
      <c r="G164" s="33"/>
      <c r="H164" s="38"/>
      <c r="I164" s="35"/>
      <c r="J164" s="35"/>
    </row>
    <row r="165" spans="1:10" ht="15.75" x14ac:dyDescent="0.25">
      <c r="A165" s="27" t="s">
        <v>31</v>
      </c>
      <c r="B165" s="29"/>
      <c r="C165" s="31"/>
      <c r="D165" s="20"/>
      <c r="E165" s="92"/>
      <c r="F165" s="27" t="s">
        <v>30</v>
      </c>
      <c r="G165" s="33"/>
      <c r="H165" s="38"/>
      <c r="I165" s="35"/>
      <c r="J165" s="35"/>
    </row>
    <row r="166" spans="1:10" ht="15.75" x14ac:dyDescent="0.25">
      <c r="A166" s="27" t="s">
        <v>16</v>
      </c>
      <c r="B166" s="29"/>
      <c r="C166" s="31">
        <v>0.01</v>
      </c>
      <c r="D166" s="20">
        <f t="shared" si="45"/>
        <v>49.466700000000003</v>
      </c>
      <c r="E166" s="92"/>
      <c r="F166" s="27" t="s">
        <v>31</v>
      </c>
      <c r="G166" s="33"/>
      <c r="H166" s="38"/>
      <c r="I166" s="35"/>
      <c r="J166" s="35"/>
    </row>
    <row r="167" spans="1:10" ht="15.75" x14ac:dyDescent="0.25">
      <c r="A167" s="27" t="s">
        <v>32</v>
      </c>
      <c r="B167" s="23"/>
      <c r="C167" s="31">
        <v>4.2200000000000001E-2</v>
      </c>
      <c r="D167" s="20">
        <f t="shared" si="45"/>
        <v>208.74947400000002</v>
      </c>
      <c r="E167" s="92"/>
      <c r="F167" s="27" t="s">
        <v>16</v>
      </c>
      <c r="G167" s="24"/>
      <c r="H167" s="38">
        <v>0.01</v>
      </c>
      <c r="I167" s="35">
        <f t="shared" si="43"/>
        <v>4</v>
      </c>
      <c r="J167" s="35">
        <f t="shared" si="44"/>
        <v>1.4667000000000008</v>
      </c>
    </row>
    <row r="168" spans="1:10" ht="15.75" x14ac:dyDescent="0.25">
      <c r="A168" s="27" t="s">
        <v>33</v>
      </c>
      <c r="B168" s="23"/>
      <c r="C168" s="31">
        <v>2.3999999999999998E-3</v>
      </c>
      <c r="D168" s="20">
        <f t="shared" si="45"/>
        <v>11.872007999999999</v>
      </c>
      <c r="E168" s="92"/>
      <c r="F168" s="27" t="s">
        <v>32</v>
      </c>
      <c r="G168" s="24"/>
      <c r="H168" s="38">
        <v>4.2200000000000001E-2</v>
      </c>
      <c r="I168" s="35">
        <f t="shared" si="43"/>
        <v>16.88</v>
      </c>
      <c r="J168" s="35">
        <f t="shared" si="44"/>
        <v>6.1894740000000033</v>
      </c>
    </row>
    <row r="169" spans="1:10" ht="15.75" x14ac:dyDescent="0.25">
      <c r="A169" s="27" t="s">
        <v>34</v>
      </c>
      <c r="B169" s="23"/>
      <c r="C169" s="31"/>
      <c r="D169" s="20"/>
      <c r="E169" s="92"/>
      <c r="F169" s="27" t="s">
        <v>33</v>
      </c>
      <c r="G169" s="24"/>
      <c r="H169" s="38">
        <v>2.3999999999999998E-3</v>
      </c>
      <c r="I169" s="35">
        <f t="shared" si="43"/>
        <v>0.96</v>
      </c>
      <c r="J169" s="35">
        <f t="shared" si="44"/>
        <v>0.35200800000000015</v>
      </c>
    </row>
    <row r="170" spans="1:10" ht="15.75" x14ac:dyDescent="0.25">
      <c r="A170" s="27" t="s">
        <v>22</v>
      </c>
      <c r="B170" s="23"/>
      <c r="C170" s="31"/>
      <c r="D170" s="20"/>
      <c r="E170" s="92"/>
      <c r="F170" s="27" t="s">
        <v>34</v>
      </c>
      <c r="G170" s="24"/>
      <c r="H170" s="38"/>
      <c r="I170" s="35"/>
      <c r="J170" s="35"/>
    </row>
    <row r="171" spans="1:10" ht="15.75" x14ac:dyDescent="0.25">
      <c r="A171" s="27" t="s">
        <v>35</v>
      </c>
      <c r="B171" s="29"/>
      <c r="C171" s="31"/>
      <c r="D171" s="20"/>
      <c r="E171" s="92"/>
      <c r="F171" s="27" t="s">
        <v>22</v>
      </c>
      <c r="G171" s="33"/>
      <c r="H171" s="38"/>
      <c r="I171" s="35"/>
      <c r="J171" s="35"/>
    </row>
    <row r="172" spans="1:10" ht="16.5" thickBot="1" x14ac:dyDescent="0.3">
      <c r="A172" s="28" t="s">
        <v>36</v>
      </c>
      <c r="B172" s="29"/>
      <c r="C172" s="32"/>
      <c r="D172" s="20"/>
      <c r="E172" s="92"/>
      <c r="F172" s="27" t="s">
        <v>35</v>
      </c>
      <c r="G172" s="33"/>
      <c r="H172" s="38"/>
      <c r="I172" s="35"/>
      <c r="J172" s="35"/>
    </row>
    <row r="173" spans="1:10" ht="16.5" thickBot="1" x14ac:dyDescent="0.3">
      <c r="A173" s="93" t="s">
        <v>11</v>
      </c>
      <c r="B173" s="93"/>
      <c r="C173" s="8">
        <f>SUM(C148:C172)</f>
        <v>1</v>
      </c>
      <c r="D173" s="15">
        <v>4946.67</v>
      </c>
      <c r="E173" s="92"/>
      <c r="F173" s="28" t="s">
        <v>36</v>
      </c>
      <c r="G173" s="34"/>
      <c r="H173" s="38"/>
      <c r="I173" s="35"/>
      <c r="J173" s="35"/>
    </row>
    <row r="174" spans="1:10" x14ac:dyDescent="0.25">
      <c r="A174" s="2"/>
      <c r="B174" s="2"/>
      <c r="C174" s="2"/>
      <c r="D174" s="2"/>
      <c r="E174" s="2"/>
      <c r="F174" s="81" t="s">
        <v>11</v>
      </c>
      <c r="G174" s="81"/>
      <c r="H174" s="17">
        <f>SUM(H149:H173)</f>
        <v>1</v>
      </c>
      <c r="I174" s="13">
        <v>400</v>
      </c>
      <c r="J174" s="13">
        <f>+H147</f>
        <v>146.67000000000007</v>
      </c>
    </row>
    <row r="175" spans="1:10" ht="23.25" x14ac:dyDescent="0.35">
      <c r="A175" s="82"/>
      <c r="B175" s="83"/>
      <c r="C175" s="2"/>
      <c r="D175" s="2"/>
      <c r="E175" s="2"/>
      <c r="F175" s="18"/>
      <c r="G175" s="18"/>
      <c r="H175" s="19"/>
      <c r="I175" s="18"/>
      <c r="J175" s="18"/>
    </row>
    <row r="176" spans="1:10" x14ac:dyDescent="0.25">
      <c r="A176" s="84" t="s">
        <v>18</v>
      </c>
      <c r="B176" s="84"/>
      <c r="C176" s="84"/>
      <c r="D176" s="84"/>
      <c r="E176" s="2"/>
      <c r="F176" s="2"/>
      <c r="G176" s="2"/>
    </row>
    <row r="177" spans="1:13" x14ac:dyDescent="0.25">
      <c r="A177" s="9" t="s">
        <v>12</v>
      </c>
      <c r="B177" s="9" t="s">
        <v>13</v>
      </c>
      <c r="C177" s="9" t="s">
        <v>14</v>
      </c>
      <c r="D177" s="10" t="s">
        <v>12</v>
      </c>
      <c r="E177" s="85" t="s">
        <v>13</v>
      </c>
      <c r="F177" s="86"/>
      <c r="G177" s="10" t="s">
        <v>14</v>
      </c>
      <c r="H177" s="9" t="s">
        <v>12</v>
      </c>
      <c r="I177" s="10" t="s">
        <v>13</v>
      </c>
      <c r="J177" s="10" t="s">
        <v>14</v>
      </c>
      <c r="K177" s="9" t="s">
        <v>12</v>
      </c>
      <c r="L177" s="10" t="s">
        <v>13</v>
      </c>
      <c r="M177" s="10" t="s">
        <v>14</v>
      </c>
    </row>
    <row r="178" spans="1:13" x14ac:dyDescent="0.25">
      <c r="A178" s="11">
        <v>1</v>
      </c>
      <c r="B178" s="16">
        <v>0.33333333333333331</v>
      </c>
      <c r="C178" s="16">
        <f>+B178+15/1440</f>
        <v>0.34375</v>
      </c>
      <c r="D178" s="11">
        <v>8</v>
      </c>
      <c r="E178" s="79">
        <f>+C184+5/1440</f>
        <v>0.43055555555555558</v>
      </c>
      <c r="F178" s="80"/>
      <c r="G178" s="16">
        <f>+E178+15/1440</f>
        <v>0.44097222222222227</v>
      </c>
      <c r="H178" s="11"/>
      <c r="I178" s="12">
        <f>G184+5/1440</f>
        <v>0.52777777777777779</v>
      </c>
      <c r="J178" s="12">
        <f>I178+15/1440</f>
        <v>0.53819444444444442</v>
      </c>
      <c r="K178" s="11">
        <v>19</v>
      </c>
      <c r="L178" s="12">
        <f>J184+5/1440</f>
        <v>0.62499999999999967</v>
      </c>
      <c r="M178" s="12">
        <f>L178+15/1440</f>
        <v>0.6354166666666663</v>
      </c>
    </row>
    <row r="179" spans="1:13" x14ac:dyDescent="0.25">
      <c r="A179" s="11">
        <v>2</v>
      </c>
      <c r="B179" s="16">
        <f t="shared" ref="B179:B184" si="46">+C178+5/1440</f>
        <v>0.34722222222222221</v>
      </c>
      <c r="C179" s="16">
        <f>+B179+15/1440</f>
        <v>0.3576388888888889</v>
      </c>
      <c r="D179" s="11">
        <v>9</v>
      </c>
      <c r="E179" s="79">
        <f>+G178+5/1440</f>
        <v>0.44444444444444448</v>
      </c>
      <c r="F179" s="80"/>
      <c r="G179" s="16">
        <f>+E179+15/1440</f>
        <v>0.45486111111111116</v>
      </c>
      <c r="H179" s="11"/>
      <c r="I179" s="12">
        <f>J178+5/1440</f>
        <v>0.54166666666666663</v>
      </c>
      <c r="J179" s="12">
        <f>I179+15/1440</f>
        <v>0.55208333333333326</v>
      </c>
      <c r="K179" s="11">
        <v>20</v>
      </c>
      <c r="L179" s="12">
        <f>M178+5/1440</f>
        <v>0.63888888888888851</v>
      </c>
      <c r="M179" s="12">
        <f>L179+15/1440</f>
        <v>0.64930555555555514</v>
      </c>
    </row>
    <row r="180" spans="1:13" x14ac:dyDescent="0.25">
      <c r="A180" s="11">
        <v>3</v>
      </c>
      <c r="B180" s="16">
        <f t="shared" si="46"/>
        <v>0.3611111111111111</v>
      </c>
      <c r="C180" s="16">
        <f t="shared" ref="C180:C184" si="47">+B180+15/1440</f>
        <v>0.37152777777777779</v>
      </c>
      <c r="D180" s="11">
        <v>10</v>
      </c>
      <c r="E180" s="79">
        <f t="shared" ref="E180:E184" si="48">+G179+5/1440</f>
        <v>0.45833333333333337</v>
      </c>
      <c r="F180" s="80"/>
      <c r="G180" s="16">
        <f t="shared" ref="G180:G184" si="49">+E180+15/1440</f>
        <v>0.46875000000000006</v>
      </c>
      <c r="H180" s="11">
        <v>14</v>
      </c>
      <c r="I180" s="12">
        <f t="shared" ref="I180:I184" si="50">J179+5/1440</f>
        <v>0.55555555555555547</v>
      </c>
      <c r="J180" s="12">
        <f t="shared" ref="J180:J184" si="51">I180+15/1440</f>
        <v>0.5659722222222221</v>
      </c>
      <c r="K180" s="11">
        <v>21</v>
      </c>
      <c r="L180" s="12">
        <f t="shared" ref="L180:L184" si="52">M179+5/1440</f>
        <v>0.65277777777777735</v>
      </c>
      <c r="M180" s="12">
        <f t="shared" ref="M180:M184" si="53">L180+15/1440</f>
        <v>0.66319444444444398</v>
      </c>
    </row>
    <row r="181" spans="1:13" x14ac:dyDescent="0.25">
      <c r="A181" s="11">
        <v>4</v>
      </c>
      <c r="B181" s="16">
        <f t="shared" si="46"/>
        <v>0.375</v>
      </c>
      <c r="C181" s="16">
        <f t="shared" si="47"/>
        <v>0.38541666666666669</v>
      </c>
      <c r="D181" s="11">
        <v>11</v>
      </c>
      <c r="E181" s="79">
        <f t="shared" si="48"/>
        <v>0.47222222222222227</v>
      </c>
      <c r="F181" s="80"/>
      <c r="G181" s="16">
        <f t="shared" si="49"/>
        <v>0.48263888888888895</v>
      </c>
      <c r="H181" s="11">
        <v>15</v>
      </c>
      <c r="I181" s="12">
        <f t="shared" si="50"/>
        <v>0.56944444444444431</v>
      </c>
      <c r="J181" s="12">
        <f t="shared" si="51"/>
        <v>0.57986111111111094</v>
      </c>
      <c r="K181" s="11">
        <v>22</v>
      </c>
      <c r="L181" s="12">
        <f t="shared" si="52"/>
        <v>0.66666666666666619</v>
      </c>
      <c r="M181" s="12">
        <f t="shared" si="53"/>
        <v>0.67708333333333282</v>
      </c>
    </row>
    <row r="182" spans="1:13" x14ac:dyDescent="0.25">
      <c r="A182" s="11">
        <v>5</v>
      </c>
      <c r="B182" s="16">
        <f t="shared" si="46"/>
        <v>0.3888888888888889</v>
      </c>
      <c r="C182" s="16">
        <f t="shared" si="47"/>
        <v>0.39930555555555558</v>
      </c>
      <c r="D182" s="11">
        <v>12</v>
      </c>
      <c r="E182" s="79">
        <f t="shared" si="48"/>
        <v>0.48611111111111116</v>
      </c>
      <c r="F182" s="80"/>
      <c r="G182" s="16">
        <f t="shared" si="49"/>
        <v>0.49652777777777785</v>
      </c>
      <c r="H182" s="11">
        <v>16</v>
      </c>
      <c r="I182" s="12">
        <f t="shared" si="50"/>
        <v>0.58333333333333315</v>
      </c>
      <c r="J182" s="12">
        <f t="shared" si="51"/>
        <v>0.59374999999999978</v>
      </c>
      <c r="K182" s="11">
        <v>23</v>
      </c>
      <c r="L182" s="12">
        <f t="shared" si="52"/>
        <v>0.68055555555555503</v>
      </c>
      <c r="M182" s="12">
        <f t="shared" si="53"/>
        <v>0.69097222222222165</v>
      </c>
    </row>
    <row r="183" spans="1:13" x14ac:dyDescent="0.25">
      <c r="A183" s="11">
        <v>6</v>
      </c>
      <c r="B183" s="16">
        <f t="shared" si="46"/>
        <v>0.40277777777777779</v>
      </c>
      <c r="C183" s="16">
        <f t="shared" si="47"/>
        <v>0.41319444444444448</v>
      </c>
      <c r="D183" s="11">
        <v>13</v>
      </c>
      <c r="E183" s="79">
        <f t="shared" si="48"/>
        <v>0.50000000000000011</v>
      </c>
      <c r="F183" s="80"/>
      <c r="G183" s="16">
        <f t="shared" si="49"/>
        <v>0.51041666666666674</v>
      </c>
      <c r="H183" s="11">
        <v>17</v>
      </c>
      <c r="I183" s="12">
        <f t="shared" si="50"/>
        <v>0.59722222222222199</v>
      </c>
      <c r="J183" s="12">
        <f t="shared" si="51"/>
        <v>0.60763888888888862</v>
      </c>
      <c r="K183" s="11">
        <v>24</v>
      </c>
      <c r="L183" s="12">
        <f t="shared" si="52"/>
        <v>0.69444444444444386</v>
      </c>
      <c r="M183" s="12">
        <f t="shared" si="53"/>
        <v>0.70486111111111049</v>
      </c>
    </row>
    <row r="184" spans="1:13" x14ac:dyDescent="0.25">
      <c r="A184" s="11">
        <v>7</v>
      </c>
      <c r="B184" s="16">
        <f t="shared" si="46"/>
        <v>0.41666666666666669</v>
      </c>
      <c r="C184" s="16">
        <f t="shared" si="47"/>
        <v>0.42708333333333337</v>
      </c>
      <c r="D184" s="11"/>
      <c r="E184" s="77">
        <f t="shared" si="48"/>
        <v>0.51388888888888895</v>
      </c>
      <c r="F184" s="78"/>
      <c r="G184" s="21">
        <f t="shared" si="49"/>
        <v>0.52430555555555558</v>
      </c>
      <c r="H184" s="11">
        <v>18</v>
      </c>
      <c r="I184" s="12">
        <f t="shared" si="50"/>
        <v>0.61111111111111083</v>
      </c>
      <c r="J184" s="12">
        <f t="shared" si="51"/>
        <v>0.62152777777777746</v>
      </c>
      <c r="K184" s="11">
        <v>25</v>
      </c>
      <c r="L184" s="12">
        <f t="shared" si="52"/>
        <v>0.7083333333333327</v>
      </c>
      <c r="M184" s="12">
        <f t="shared" si="53"/>
        <v>0.71874999999999933</v>
      </c>
    </row>
  </sheetData>
  <mergeCells count="96">
    <mergeCell ref="E89:F89"/>
    <mergeCell ref="E84:F84"/>
    <mergeCell ref="E85:F85"/>
    <mergeCell ref="E86:F86"/>
    <mergeCell ref="E87:F87"/>
    <mergeCell ref="E88:F88"/>
    <mergeCell ref="F79:G79"/>
    <mergeCell ref="A80:B80"/>
    <mergeCell ref="A81:D81"/>
    <mergeCell ref="E82:F82"/>
    <mergeCell ref="E83:F83"/>
    <mergeCell ref="A50:B50"/>
    <mergeCell ref="C50:G50"/>
    <mergeCell ref="I50:J50"/>
    <mergeCell ref="I51:J51"/>
    <mergeCell ref="A52:B52"/>
    <mergeCell ref="E52:E78"/>
    <mergeCell ref="F53:G53"/>
    <mergeCell ref="A78:B78"/>
    <mergeCell ref="A47:D48"/>
    <mergeCell ref="E47:J48"/>
    <mergeCell ref="A49:B49"/>
    <mergeCell ref="C49:G49"/>
    <mergeCell ref="I49:J49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A34:B34"/>
    <mergeCell ref="A35:D35"/>
    <mergeCell ref="E36:F36"/>
    <mergeCell ref="E42:F42"/>
    <mergeCell ref="E43:F43"/>
    <mergeCell ref="E41:F41"/>
    <mergeCell ref="E37:F37"/>
    <mergeCell ref="E38:F38"/>
    <mergeCell ref="E39:F39"/>
    <mergeCell ref="E40:F40"/>
    <mergeCell ref="A92:D93"/>
    <mergeCell ref="E92:J93"/>
    <mergeCell ref="A94:B94"/>
    <mergeCell ref="C94:G94"/>
    <mergeCell ref="I94:J94"/>
    <mergeCell ref="A95:B95"/>
    <mergeCell ref="C95:G95"/>
    <mergeCell ref="I95:J95"/>
    <mergeCell ref="I96:J96"/>
    <mergeCell ref="A97:B97"/>
    <mergeCell ref="E97:E123"/>
    <mergeCell ref="F98:G98"/>
    <mergeCell ref="A123:B123"/>
    <mergeCell ref="F124:G124"/>
    <mergeCell ref="A126:B126"/>
    <mergeCell ref="A127:D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A142:D143"/>
    <mergeCell ref="E142:J143"/>
    <mergeCell ref="A144:B144"/>
    <mergeCell ref="C144:G144"/>
    <mergeCell ref="I144:J144"/>
    <mergeCell ref="A145:B145"/>
    <mergeCell ref="C145:G145"/>
    <mergeCell ref="I145:J145"/>
    <mergeCell ref="I146:J146"/>
    <mergeCell ref="A147:B147"/>
    <mergeCell ref="E147:E173"/>
    <mergeCell ref="F148:G148"/>
    <mergeCell ref="A173:B173"/>
    <mergeCell ref="F174:G174"/>
    <mergeCell ref="A175:B175"/>
    <mergeCell ref="A176:D176"/>
    <mergeCell ref="E177:F177"/>
    <mergeCell ref="E178:F178"/>
    <mergeCell ref="E184:F184"/>
    <mergeCell ref="E179:F179"/>
    <mergeCell ref="E180:F180"/>
    <mergeCell ref="E181:F181"/>
    <mergeCell ref="E182:F182"/>
    <mergeCell ref="E183:F183"/>
  </mergeCells>
  <pageMargins left="0.7" right="0.7" top="0.75" bottom="0.75" header="0.3" footer="0.3"/>
  <pageSetup paperSize="9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D74-3045-4E3D-AE03-DA1F06F2BA42}">
  <sheetPr>
    <pageSetUpPr fitToPage="1"/>
  </sheetPr>
  <dimension ref="A1:M91"/>
  <sheetViews>
    <sheetView zoomScaleNormal="100" workbookViewId="0">
      <selection activeCell="G15" sqref="G15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3.140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54</v>
      </c>
      <c r="D3" s="100"/>
      <c r="E3" s="100"/>
      <c r="F3" s="100"/>
      <c r="G3" s="100"/>
      <c r="H3" s="1" t="s">
        <v>1</v>
      </c>
      <c r="I3" s="101">
        <v>45297</v>
      </c>
      <c r="J3" s="102"/>
    </row>
    <row r="4" spans="1:10" ht="37.5" customHeight="1" x14ac:dyDescent="0.25">
      <c r="A4" s="87" t="s">
        <v>2</v>
      </c>
      <c r="B4" s="87"/>
      <c r="C4" s="88" t="s">
        <v>38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9.5" thickBot="1" x14ac:dyDescent="0.35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5</v>
      </c>
      <c r="G6" s="5" t="s">
        <v>8</v>
      </c>
      <c r="H6" s="6">
        <f>D32-(F6*400)</f>
        <v>197.19999999999982</v>
      </c>
      <c r="I6" s="7" t="s">
        <v>9</v>
      </c>
    </row>
    <row r="7" spans="1:10" ht="16.5" thickBot="1" x14ac:dyDescent="0.3">
      <c r="A7" s="26" t="s">
        <v>23</v>
      </c>
      <c r="B7" s="29"/>
      <c r="C7" s="30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1">
        <v>0.10829999999999999</v>
      </c>
      <c r="D10" s="20">
        <f>C10*$D$32</f>
        <v>237.95675999999997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1">
        <v>0.36359999999999998</v>
      </c>
      <c r="D11" s="20">
        <f t="shared" ref="D11:D26" si="0">C11*$D$32</f>
        <v>798.9019199999999</v>
      </c>
      <c r="E11" s="92"/>
      <c r="F11" s="27" t="s">
        <v>25</v>
      </c>
      <c r="G11" s="33"/>
      <c r="H11" s="31">
        <v>0.10829999999999999</v>
      </c>
      <c r="I11" s="35">
        <f t="shared" ref="I11:I28" si="1">H11*$I$33</f>
        <v>43.32</v>
      </c>
      <c r="J11" s="35">
        <f t="shared" ref="J11:J28" si="2">H11*$J$33</f>
        <v>21.35675999999998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1">
        <v>0.36359999999999998</v>
      </c>
      <c r="I12" s="35">
        <f t="shared" si="1"/>
        <v>145.44</v>
      </c>
      <c r="J12" s="35">
        <f t="shared" si="2"/>
        <v>71.70191999999993</v>
      </c>
    </row>
    <row r="13" spans="1:10" ht="15.75" x14ac:dyDescent="0.25">
      <c r="A13" s="27" t="s">
        <v>26</v>
      </c>
      <c r="B13" s="29"/>
      <c r="C13" s="31">
        <v>0.11360000000000001</v>
      </c>
      <c r="D13" s="20">
        <f t="shared" si="0"/>
        <v>249.60192000000001</v>
      </c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1">
        <v>0.11360000000000001</v>
      </c>
      <c r="I14" s="35">
        <f t="shared" si="1"/>
        <v>45.440000000000005</v>
      </c>
      <c r="J14" s="35">
        <f t="shared" si="2"/>
        <v>22.401919999999979</v>
      </c>
    </row>
    <row r="15" spans="1:10" ht="15.75" x14ac:dyDescent="0.25">
      <c r="A15" s="27" t="s">
        <v>19</v>
      </c>
      <c r="B15" s="29"/>
      <c r="C15" s="31">
        <v>0.11360000000000001</v>
      </c>
      <c r="D15" s="20">
        <f t="shared" si="0"/>
        <v>249.60192000000001</v>
      </c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1">
        <v>0.11360000000000001</v>
      </c>
      <c r="I16" s="35">
        <f t="shared" si="1"/>
        <v>45.440000000000005</v>
      </c>
      <c r="J16" s="35">
        <f t="shared" si="2"/>
        <v>22.401919999999979</v>
      </c>
    </row>
    <row r="17" spans="1:10" ht="15.75" x14ac:dyDescent="0.25">
      <c r="A17" s="27" t="s">
        <v>44</v>
      </c>
      <c r="B17" s="29"/>
      <c r="C17" s="31">
        <v>0.18179999999999999</v>
      </c>
      <c r="D17" s="20">
        <f>C17*$D$32</f>
        <v>399.45095999999995</v>
      </c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1">
        <v>0.18179999999999999</v>
      </c>
      <c r="I18" s="35">
        <f t="shared" ref="I18" si="3">H18*$I$33</f>
        <v>72.72</v>
      </c>
      <c r="J18" s="35">
        <f t="shared" ref="J18" si="4">H18*$J$33</f>
        <v>35.850959999999965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1">
        <v>6.8199999999999997E-2</v>
      </c>
      <c r="D21" s="20">
        <f t="shared" si="0"/>
        <v>149.84903999999997</v>
      </c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1">
        <v>6.8199999999999997E-2</v>
      </c>
      <c r="I22" s="35">
        <f t="shared" si="1"/>
        <v>27.279999999999998</v>
      </c>
      <c r="J22" s="35">
        <f t="shared" si="2"/>
        <v>13.449039999999988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1">
        <v>4.82E-2</v>
      </c>
      <c r="D26" s="20">
        <f t="shared" si="0"/>
        <v>105.90503999999999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1">
        <v>2.7000000000000001E-3</v>
      </c>
      <c r="D27" s="20">
        <f>C27*$D$32</f>
        <v>5.9324399999999997</v>
      </c>
      <c r="E27" s="92"/>
      <c r="F27" s="27" t="s">
        <v>32</v>
      </c>
      <c r="G27" s="24"/>
      <c r="H27" s="31">
        <v>4.82E-2</v>
      </c>
      <c r="I27" s="35">
        <f t="shared" si="1"/>
        <v>19.28</v>
      </c>
      <c r="J27" s="35">
        <f t="shared" si="2"/>
        <v>9.5050399999999904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1">
        <v>2.7000000000000001E-3</v>
      </c>
      <c r="I28" s="35">
        <f t="shared" si="1"/>
        <v>1.08</v>
      </c>
      <c r="J28" s="35">
        <f t="shared" si="2"/>
        <v>0.53243999999999958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1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2197.1999999999998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197.19999999999982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2">
        <v>0.33333333333333331</v>
      </c>
      <c r="C37" s="12">
        <f>+B37+15/1440</f>
        <v>0.34375</v>
      </c>
      <c r="D37" s="11">
        <v>8</v>
      </c>
      <c r="E37" s="77">
        <f>+C43+5/1440</f>
        <v>0.43055555555555558</v>
      </c>
      <c r="F37" s="78"/>
      <c r="G37" s="21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2">
        <f t="shared" ref="B38:B43" si="5">+C37+5/1440</f>
        <v>0.34722222222222221</v>
      </c>
      <c r="C38" s="12">
        <f>+B38+15/1440</f>
        <v>0.3576388888888889</v>
      </c>
      <c r="D38" s="11">
        <v>9</v>
      </c>
      <c r="E38" s="77">
        <f>+G37+5/1440</f>
        <v>0.44444444444444448</v>
      </c>
      <c r="F38" s="78"/>
      <c r="G38" s="21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2">
        <f t="shared" si="5"/>
        <v>0.3611111111111111</v>
      </c>
      <c r="C39" s="12">
        <f t="shared" ref="C39:C43" si="6">+B39+15/1440</f>
        <v>0.37152777777777779</v>
      </c>
      <c r="D39" s="11">
        <v>10</v>
      </c>
      <c r="E39" s="77">
        <f t="shared" ref="E39:E43" si="7">+G38+5/1440</f>
        <v>0.45833333333333337</v>
      </c>
      <c r="F39" s="78"/>
      <c r="G39" s="21">
        <f t="shared" ref="G39:G43" si="8">+E39+15/1440</f>
        <v>0.46875000000000006</v>
      </c>
      <c r="H39" s="11">
        <v>14</v>
      </c>
      <c r="I39" s="16">
        <f t="shared" ref="I39:I43" si="9">J38+5/1440</f>
        <v>0.55555555555555547</v>
      </c>
      <c r="J39" s="16">
        <f t="shared" ref="J39:J43" si="10">I39+15/1440</f>
        <v>0.5659722222222221</v>
      </c>
      <c r="K39" s="11">
        <v>21</v>
      </c>
      <c r="L39" s="21">
        <f t="shared" ref="L39:L43" si="11">M38+5/1440</f>
        <v>0.65277777777777735</v>
      </c>
      <c r="M39" s="21">
        <f t="shared" ref="M39:M43" si="12">L39+15/1440</f>
        <v>0.66319444444444398</v>
      </c>
    </row>
    <row r="40" spans="1:13" x14ac:dyDescent="0.25">
      <c r="A40" s="11">
        <v>4</v>
      </c>
      <c r="B40" s="12">
        <f t="shared" si="5"/>
        <v>0.375</v>
      </c>
      <c r="C40" s="12">
        <f t="shared" si="6"/>
        <v>0.38541666666666669</v>
      </c>
      <c r="D40" s="11">
        <v>11</v>
      </c>
      <c r="E40" s="77">
        <f t="shared" si="7"/>
        <v>0.47222222222222227</v>
      </c>
      <c r="F40" s="78"/>
      <c r="G40" s="21">
        <f t="shared" si="8"/>
        <v>0.48263888888888895</v>
      </c>
      <c r="H40" s="11">
        <v>15</v>
      </c>
      <c r="I40" s="16">
        <f t="shared" si="9"/>
        <v>0.56944444444444431</v>
      </c>
      <c r="J40" s="16">
        <f t="shared" si="10"/>
        <v>0.57986111111111094</v>
      </c>
      <c r="K40" s="11">
        <v>22</v>
      </c>
      <c r="L40" s="21">
        <f t="shared" si="11"/>
        <v>0.66666666666666619</v>
      </c>
      <c r="M40" s="21">
        <f t="shared" si="12"/>
        <v>0.67708333333333282</v>
      </c>
    </row>
    <row r="41" spans="1:13" x14ac:dyDescent="0.25">
      <c r="A41" s="11">
        <v>5</v>
      </c>
      <c r="B41" s="12">
        <f t="shared" si="5"/>
        <v>0.3888888888888889</v>
      </c>
      <c r="C41" s="12">
        <f t="shared" si="6"/>
        <v>0.39930555555555558</v>
      </c>
      <c r="D41" s="11">
        <v>12</v>
      </c>
      <c r="E41" s="77">
        <f t="shared" si="7"/>
        <v>0.48611111111111116</v>
      </c>
      <c r="F41" s="78"/>
      <c r="G41" s="21">
        <f t="shared" si="8"/>
        <v>0.49652777777777785</v>
      </c>
      <c r="H41" s="11">
        <v>16</v>
      </c>
      <c r="I41" s="16">
        <f t="shared" si="9"/>
        <v>0.58333333333333315</v>
      </c>
      <c r="J41" s="16">
        <f t="shared" si="10"/>
        <v>0.59374999999999978</v>
      </c>
      <c r="K41" s="11">
        <v>23</v>
      </c>
      <c r="L41" s="21">
        <f t="shared" si="11"/>
        <v>0.68055555555555503</v>
      </c>
      <c r="M41" s="21">
        <f t="shared" si="12"/>
        <v>0.69097222222222165</v>
      </c>
    </row>
    <row r="42" spans="1:13" x14ac:dyDescent="0.25">
      <c r="A42" s="11">
        <v>6</v>
      </c>
      <c r="B42" s="12">
        <f t="shared" si="5"/>
        <v>0.40277777777777779</v>
      </c>
      <c r="C42" s="12">
        <f t="shared" si="6"/>
        <v>0.41319444444444448</v>
      </c>
      <c r="D42" s="11">
        <v>13</v>
      </c>
      <c r="E42" s="77">
        <f t="shared" si="7"/>
        <v>0.50000000000000011</v>
      </c>
      <c r="F42" s="78"/>
      <c r="G42" s="21">
        <f t="shared" si="8"/>
        <v>0.51041666666666674</v>
      </c>
      <c r="H42" s="11">
        <v>17</v>
      </c>
      <c r="I42" s="16">
        <f t="shared" si="9"/>
        <v>0.59722222222222199</v>
      </c>
      <c r="J42" s="16">
        <f t="shared" si="10"/>
        <v>0.60763888888888862</v>
      </c>
      <c r="K42" s="11">
        <v>24</v>
      </c>
      <c r="L42" s="21">
        <f t="shared" si="11"/>
        <v>0.69444444444444386</v>
      </c>
      <c r="M42" s="21">
        <f t="shared" si="12"/>
        <v>0.70486111111111049</v>
      </c>
    </row>
    <row r="43" spans="1:13" x14ac:dyDescent="0.25">
      <c r="A43" s="11">
        <v>7</v>
      </c>
      <c r="B43" s="21">
        <f t="shared" si="5"/>
        <v>0.41666666666666669</v>
      </c>
      <c r="C43" s="21">
        <f t="shared" si="6"/>
        <v>0.42708333333333337</v>
      </c>
      <c r="D43" s="11"/>
      <c r="E43" s="77">
        <f t="shared" si="7"/>
        <v>0.51388888888888895</v>
      </c>
      <c r="F43" s="78"/>
      <c r="G43" s="21">
        <f t="shared" si="8"/>
        <v>0.52430555555555558</v>
      </c>
      <c r="H43" s="11">
        <v>18</v>
      </c>
      <c r="I43" s="16">
        <f t="shared" si="9"/>
        <v>0.61111111111111083</v>
      </c>
      <c r="J43" s="16">
        <f t="shared" si="10"/>
        <v>0.62152777777777746</v>
      </c>
      <c r="K43" s="11">
        <v>25</v>
      </c>
      <c r="L43" s="21">
        <f t="shared" si="11"/>
        <v>0.7083333333333327</v>
      </c>
      <c r="M43" s="21">
        <f t="shared" si="12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ht="15.75" thickBot="1" x14ac:dyDescent="0.3">
      <c r="H47" s="36"/>
      <c r="I47" s="37"/>
      <c r="J47" s="37"/>
    </row>
    <row r="48" spans="1:13" x14ac:dyDescent="0.25">
      <c r="A48" s="94" t="s">
        <v>20</v>
      </c>
      <c r="B48" s="95"/>
      <c r="C48" s="95"/>
      <c r="D48" s="96"/>
      <c r="E48" s="95" t="s">
        <v>21</v>
      </c>
      <c r="F48" s="95"/>
      <c r="G48" s="95"/>
      <c r="H48" s="95"/>
      <c r="I48" s="95"/>
      <c r="J48" s="96"/>
    </row>
    <row r="49" spans="1:10" ht="15.75" thickBot="1" x14ac:dyDescent="0.3">
      <c r="A49" s="97"/>
      <c r="B49" s="98"/>
      <c r="C49" s="98"/>
      <c r="D49" s="99"/>
      <c r="E49" s="98"/>
      <c r="F49" s="98"/>
      <c r="G49" s="98"/>
      <c r="H49" s="98"/>
      <c r="I49" s="98"/>
      <c r="J49" s="99"/>
    </row>
    <row r="50" spans="1:10" ht="18.75" x14ac:dyDescent="0.25">
      <c r="A50" s="87" t="s">
        <v>0</v>
      </c>
      <c r="B50" s="87"/>
      <c r="C50" s="42" t="s">
        <v>52</v>
      </c>
      <c r="D50" s="42"/>
      <c r="E50" s="42"/>
      <c r="F50" s="42"/>
      <c r="G50" s="42"/>
      <c r="H50" s="1" t="s">
        <v>1</v>
      </c>
      <c r="I50" s="101">
        <v>45302</v>
      </c>
      <c r="J50" s="102"/>
    </row>
    <row r="51" spans="1:10" ht="36.75" customHeight="1" x14ac:dyDescent="0.25">
      <c r="A51" s="87" t="s">
        <v>2</v>
      </c>
      <c r="B51" s="87"/>
      <c r="C51" s="88" t="s">
        <v>53</v>
      </c>
      <c r="D51" s="88"/>
      <c r="E51" s="88"/>
      <c r="F51" s="88"/>
      <c r="G51" s="88"/>
      <c r="H51" s="1" t="s">
        <v>3</v>
      </c>
      <c r="I51" s="89" t="s">
        <v>37</v>
      </c>
      <c r="J51" s="89"/>
    </row>
    <row r="52" spans="1:10" x14ac:dyDescent="0.25">
      <c r="A52" s="2"/>
      <c r="B52" s="2"/>
      <c r="C52" s="2"/>
      <c r="D52" s="2"/>
      <c r="E52" s="2"/>
      <c r="F52" s="2"/>
      <c r="G52" s="2"/>
      <c r="I52" s="90" t="s">
        <v>15</v>
      </c>
      <c r="J52" s="90"/>
    </row>
    <row r="53" spans="1:10" ht="18.75" x14ac:dyDescent="0.3">
      <c r="A53" s="91" t="s">
        <v>4</v>
      </c>
      <c r="B53" s="91"/>
      <c r="C53" s="3" t="s">
        <v>5</v>
      </c>
      <c r="D53" s="14" t="s">
        <v>6</v>
      </c>
      <c r="E53" s="92" t="s">
        <v>7</v>
      </c>
      <c r="F53" s="4">
        <f>ROUNDDOWN(D79/400,0)</f>
        <v>10</v>
      </c>
      <c r="G53" s="5" t="s">
        <v>8</v>
      </c>
      <c r="H53" s="6">
        <f>D79-(F53*400)</f>
        <v>38.139999999999873</v>
      </c>
      <c r="I53" s="7" t="s">
        <v>9</v>
      </c>
    </row>
    <row r="54" spans="1:10" ht="15.75" x14ac:dyDescent="0.25">
      <c r="A54" s="26" t="s">
        <v>23</v>
      </c>
      <c r="B54" s="29"/>
      <c r="C54" s="39"/>
      <c r="D54" s="20"/>
      <c r="E54" s="92"/>
      <c r="F54" s="91" t="s">
        <v>4</v>
      </c>
      <c r="G54" s="91"/>
      <c r="H54" s="3" t="s">
        <v>5</v>
      </c>
      <c r="I54" s="14" t="s">
        <v>6</v>
      </c>
      <c r="J54" s="14" t="s">
        <v>6</v>
      </c>
    </row>
    <row r="55" spans="1:10" ht="15.75" x14ac:dyDescent="0.25">
      <c r="A55" s="26" t="s">
        <v>42</v>
      </c>
      <c r="B55" s="29"/>
      <c r="C55" s="31"/>
      <c r="D55" s="20"/>
      <c r="E55" s="92"/>
      <c r="F55" s="26" t="s">
        <v>23</v>
      </c>
      <c r="G55" s="33"/>
      <c r="H55" s="38"/>
      <c r="I55" s="35"/>
      <c r="J55" s="35"/>
    </row>
    <row r="56" spans="1:10" ht="15.75" x14ac:dyDescent="0.25">
      <c r="A56" s="27" t="s">
        <v>24</v>
      </c>
      <c r="B56" s="29"/>
      <c r="C56" s="31"/>
      <c r="D56" s="20"/>
      <c r="E56" s="92"/>
      <c r="F56" s="26" t="s">
        <v>42</v>
      </c>
      <c r="G56" s="33"/>
      <c r="H56" s="38"/>
      <c r="I56" s="35"/>
      <c r="J56" s="35"/>
    </row>
    <row r="57" spans="1:10" ht="15.75" x14ac:dyDescent="0.25">
      <c r="A57" s="27" t="s">
        <v>25</v>
      </c>
      <c r="B57" s="29"/>
      <c r="C57" s="31">
        <v>0.18559999999999999</v>
      </c>
      <c r="D57" s="20">
        <f t="shared" ref="D57:D74" si="13">C57*$D$79</f>
        <v>749.47878399999991</v>
      </c>
      <c r="E57" s="92"/>
      <c r="F57" s="27" t="s">
        <v>24</v>
      </c>
      <c r="G57" s="33"/>
      <c r="H57" s="38"/>
      <c r="I57" s="35"/>
      <c r="J57" s="35"/>
    </row>
    <row r="58" spans="1:10" ht="15.75" x14ac:dyDescent="0.25">
      <c r="A58" s="27" t="s">
        <v>47</v>
      </c>
      <c r="B58" s="29"/>
      <c r="C58" s="31">
        <v>0.20219999999999999</v>
      </c>
      <c r="D58" s="20">
        <f t="shared" si="13"/>
        <v>816.51190799999995</v>
      </c>
      <c r="E58" s="92"/>
      <c r="F58" s="27" t="s">
        <v>25</v>
      </c>
      <c r="G58" s="33"/>
      <c r="H58" s="38">
        <v>4.4900000000000002E-2</v>
      </c>
      <c r="I58" s="35">
        <f t="shared" ref="I58:I75" si="14">H58*$I$33</f>
        <v>17.96</v>
      </c>
      <c r="J58" s="35">
        <f t="shared" ref="J58:J74" si="15">H58*$J$80</f>
        <v>1.7124859999999944</v>
      </c>
    </row>
    <row r="59" spans="1:10" ht="15.75" x14ac:dyDescent="0.25">
      <c r="A59" s="27" t="s">
        <v>46</v>
      </c>
      <c r="B59" s="29"/>
      <c r="C59" s="31"/>
      <c r="D59" s="20"/>
      <c r="E59" s="92"/>
      <c r="F59" s="27" t="s">
        <v>47</v>
      </c>
      <c r="G59" s="33"/>
      <c r="H59" s="38">
        <v>0.15790000000000001</v>
      </c>
      <c r="I59" s="35">
        <f t="shared" si="14"/>
        <v>63.160000000000004</v>
      </c>
      <c r="J59" s="35">
        <f t="shared" si="15"/>
        <v>6.02230599999998</v>
      </c>
    </row>
    <row r="60" spans="1:10" ht="15.75" x14ac:dyDescent="0.25">
      <c r="A60" s="27" t="s">
        <v>26</v>
      </c>
      <c r="B60" s="29"/>
      <c r="C60" s="31">
        <v>7.0499999999999993E-2</v>
      </c>
      <c r="D60" s="20">
        <f t="shared" si="13"/>
        <v>284.68886999999995</v>
      </c>
      <c r="E60" s="92"/>
      <c r="F60" s="27" t="s">
        <v>46</v>
      </c>
      <c r="G60" s="33"/>
      <c r="H60" s="38"/>
      <c r="I60" s="35"/>
      <c r="J60" s="35"/>
    </row>
    <row r="61" spans="1:10" ht="15.75" x14ac:dyDescent="0.25">
      <c r="A61" s="27" t="s">
        <v>43</v>
      </c>
      <c r="B61" s="29"/>
      <c r="C61" s="31"/>
      <c r="D61" s="20"/>
      <c r="E61" s="92"/>
      <c r="F61" s="27" t="s">
        <v>26</v>
      </c>
      <c r="G61" s="33"/>
      <c r="H61" s="38">
        <v>0.1386</v>
      </c>
      <c r="I61" s="35">
        <f t="shared" si="14"/>
        <v>55.44</v>
      </c>
      <c r="J61" s="35">
        <f t="shared" si="15"/>
        <v>5.2862039999999828</v>
      </c>
    </row>
    <row r="62" spans="1:10" ht="15.75" x14ac:dyDescent="0.25">
      <c r="A62" s="27" t="s">
        <v>19</v>
      </c>
      <c r="B62" s="29"/>
      <c r="C62" s="31">
        <v>0.1057</v>
      </c>
      <c r="D62" s="20">
        <f t="shared" si="13"/>
        <v>426.83139799999998</v>
      </c>
      <c r="E62" s="92"/>
      <c r="F62" s="27" t="s">
        <v>43</v>
      </c>
      <c r="G62" s="33"/>
      <c r="H62" s="38"/>
      <c r="I62" s="35"/>
      <c r="J62" s="35"/>
    </row>
    <row r="63" spans="1:10" ht="15.75" x14ac:dyDescent="0.25">
      <c r="A63" s="27" t="s">
        <v>27</v>
      </c>
      <c r="B63" s="29"/>
      <c r="C63" s="31"/>
      <c r="D63" s="20"/>
      <c r="E63" s="92"/>
      <c r="F63" s="27" t="s">
        <v>19</v>
      </c>
      <c r="G63" s="33"/>
      <c r="H63" s="38">
        <v>5.2600000000000001E-2</v>
      </c>
      <c r="I63" s="35">
        <f t="shared" si="14"/>
        <v>21.04</v>
      </c>
      <c r="J63" s="35">
        <f t="shared" si="15"/>
        <v>2.0061639999999934</v>
      </c>
    </row>
    <row r="64" spans="1:10" ht="15.75" x14ac:dyDescent="0.25">
      <c r="A64" s="27" t="s">
        <v>44</v>
      </c>
      <c r="B64" s="29"/>
      <c r="C64" s="31">
        <v>9.69E-2</v>
      </c>
      <c r="D64" s="20">
        <f t="shared" si="13"/>
        <v>391.29576600000001</v>
      </c>
      <c r="E64" s="92"/>
      <c r="F64" s="27" t="s">
        <v>27</v>
      </c>
      <c r="G64" s="33"/>
      <c r="H64" s="38"/>
      <c r="I64" s="35"/>
      <c r="J64" s="35"/>
    </row>
    <row r="65" spans="1:10" ht="15.75" x14ac:dyDescent="0.25">
      <c r="A65" s="27" t="s">
        <v>28</v>
      </c>
      <c r="B65" s="29"/>
      <c r="C65" s="31">
        <v>0.12330000000000001</v>
      </c>
      <c r="D65" s="20">
        <f t="shared" si="13"/>
        <v>497.90266200000002</v>
      </c>
      <c r="E65" s="92"/>
      <c r="F65" s="27" t="s">
        <v>44</v>
      </c>
      <c r="G65" s="33"/>
      <c r="H65" s="38">
        <v>0.31580000000000003</v>
      </c>
      <c r="I65" s="35">
        <f t="shared" si="14"/>
        <v>126.32000000000001</v>
      </c>
      <c r="J65" s="35">
        <f t="shared" si="15"/>
        <v>12.04461199999996</v>
      </c>
    </row>
    <row r="66" spans="1:10" ht="15.75" x14ac:dyDescent="0.25">
      <c r="A66" s="27" t="s">
        <v>45</v>
      </c>
      <c r="B66" s="29"/>
      <c r="C66" s="31"/>
      <c r="D66" s="20"/>
      <c r="E66" s="92"/>
      <c r="F66" s="27" t="s">
        <v>28</v>
      </c>
      <c r="G66" s="33"/>
      <c r="H66" s="38">
        <v>0.1807</v>
      </c>
      <c r="I66" s="35">
        <f t="shared" si="14"/>
        <v>72.28</v>
      </c>
      <c r="J66" s="35">
        <f t="shared" si="15"/>
        <v>6.8918979999999772</v>
      </c>
    </row>
    <row r="67" spans="1:10" ht="15.75" x14ac:dyDescent="0.25">
      <c r="A67" s="27" t="s">
        <v>10</v>
      </c>
      <c r="B67" s="29"/>
      <c r="C67" s="31">
        <v>5.2900000000000003E-2</v>
      </c>
      <c r="D67" s="20">
        <f t="shared" si="13"/>
        <v>213.61760599999999</v>
      </c>
      <c r="E67" s="92"/>
      <c r="F67" s="27" t="s">
        <v>45</v>
      </c>
      <c r="G67" s="33"/>
      <c r="H67" s="38"/>
      <c r="I67" s="35"/>
      <c r="J67" s="35"/>
    </row>
    <row r="68" spans="1:10" ht="15.75" x14ac:dyDescent="0.25">
      <c r="A68" s="27" t="s">
        <v>29</v>
      </c>
      <c r="B68" s="29"/>
      <c r="C68" s="31">
        <v>7.0499999999999993E-2</v>
      </c>
      <c r="D68" s="20">
        <f t="shared" si="13"/>
        <v>284.68886999999995</v>
      </c>
      <c r="E68" s="92"/>
      <c r="F68" s="27" t="s">
        <v>10</v>
      </c>
      <c r="G68" s="33"/>
      <c r="H68" s="38"/>
      <c r="I68" s="35"/>
      <c r="J68" s="35"/>
    </row>
    <row r="69" spans="1:10" ht="15.75" x14ac:dyDescent="0.25">
      <c r="A69" s="27" t="s">
        <v>17</v>
      </c>
      <c r="B69" s="29"/>
      <c r="C69" s="31"/>
      <c r="D69" s="20"/>
      <c r="E69" s="92"/>
      <c r="F69" s="27" t="s">
        <v>29</v>
      </c>
      <c r="G69" s="33"/>
      <c r="H69" s="38">
        <v>7.0199999999999999E-2</v>
      </c>
      <c r="I69" s="35">
        <f t="shared" si="14"/>
        <v>28.08</v>
      </c>
      <c r="J69" s="35">
        <f t="shared" si="15"/>
        <v>2.677427999999991</v>
      </c>
    </row>
    <row r="70" spans="1:10" ht="15.75" x14ac:dyDescent="0.25">
      <c r="A70" s="27" t="s">
        <v>30</v>
      </c>
      <c r="B70" s="29"/>
      <c r="C70" s="31"/>
      <c r="D70" s="20"/>
      <c r="E70" s="92"/>
      <c r="F70" s="27" t="s">
        <v>17</v>
      </c>
      <c r="G70" s="33"/>
      <c r="H70" s="38"/>
      <c r="I70" s="35"/>
      <c r="J70" s="35"/>
    </row>
    <row r="71" spans="1:10" ht="15.75" x14ac:dyDescent="0.25">
      <c r="A71" s="27" t="s">
        <v>31</v>
      </c>
      <c r="B71" s="29"/>
      <c r="C71" s="31"/>
      <c r="D71" s="20"/>
      <c r="E71" s="92"/>
      <c r="F71" s="27" t="s">
        <v>30</v>
      </c>
      <c r="G71" s="33"/>
      <c r="H71" s="38"/>
      <c r="I71" s="35"/>
      <c r="J71" s="35"/>
    </row>
    <row r="72" spans="1:10" ht="15.75" x14ac:dyDescent="0.25">
      <c r="A72" s="27" t="s">
        <v>16</v>
      </c>
      <c r="B72" s="29"/>
      <c r="C72" s="31"/>
      <c r="D72" s="20"/>
      <c r="E72" s="92"/>
      <c r="F72" s="27" t="s">
        <v>31</v>
      </c>
      <c r="G72" s="33"/>
      <c r="H72" s="38"/>
      <c r="I72" s="35"/>
      <c r="J72" s="35"/>
    </row>
    <row r="73" spans="1:10" ht="15.75" x14ac:dyDescent="0.25">
      <c r="A73" s="27" t="s">
        <v>32</v>
      </c>
      <c r="B73" s="23"/>
      <c r="C73" s="31">
        <v>3.7400000000000003E-2</v>
      </c>
      <c r="D73" s="20">
        <f t="shared" si="13"/>
        <v>151.02643600000002</v>
      </c>
      <c r="E73" s="92"/>
      <c r="F73" s="27" t="s">
        <v>16</v>
      </c>
      <c r="G73" s="24"/>
      <c r="H73" s="38"/>
      <c r="I73" s="35"/>
      <c r="J73" s="35"/>
    </row>
    <row r="74" spans="1:10" ht="15.75" x14ac:dyDescent="0.25">
      <c r="A74" s="27" t="s">
        <v>33</v>
      </c>
      <c r="B74" s="23"/>
      <c r="C74" s="31">
        <v>2.0999999999999999E-3</v>
      </c>
      <c r="D74" s="20">
        <f t="shared" si="13"/>
        <v>8.4800939999999994</v>
      </c>
      <c r="E74" s="92"/>
      <c r="F74" s="27" t="s">
        <v>32</v>
      </c>
      <c r="G74" s="24"/>
      <c r="H74" s="38">
        <v>3.7199999999999997E-2</v>
      </c>
      <c r="I74" s="35">
        <f t="shared" si="14"/>
        <v>14.879999999999999</v>
      </c>
      <c r="J74" s="35">
        <f t="shared" si="15"/>
        <v>1.4188079999999952</v>
      </c>
    </row>
    <row r="75" spans="1:10" ht="15.75" x14ac:dyDescent="0.25">
      <c r="A75" s="27" t="s">
        <v>34</v>
      </c>
      <c r="B75" s="23"/>
      <c r="C75" s="31"/>
      <c r="D75" s="20"/>
      <c r="E75" s="92"/>
      <c r="F75" s="27" t="s">
        <v>33</v>
      </c>
      <c r="G75" s="24"/>
      <c r="H75" s="38">
        <v>2.0999999999999999E-3</v>
      </c>
      <c r="I75" s="35">
        <f t="shared" si="14"/>
        <v>0.84</v>
      </c>
      <c r="J75" s="35">
        <f>H75*$J$80</f>
        <v>8.0093999999999721E-2</v>
      </c>
    </row>
    <row r="76" spans="1:10" ht="15.75" x14ac:dyDescent="0.25">
      <c r="A76" s="27" t="s">
        <v>22</v>
      </c>
      <c r="B76" s="23"/>
      <c r="C76" s="31">
        <v>5.2900000000000003E-2</v>
      </c>
      <c r="D76" s="20">
        <f>C76*$D$79</f>
        <v>213.61760599999999</v>
      </c>
      <c r="E76" s="92"/>
      <c r="F76" s="27" t="s">
        <v>34</v>
      </c>
      <c r="G76" s="24"/>
      <c r="H76" s="38"/>
      <c r="I76" s="35"/>
      <c r="J76" s="35"/>
    </row>
    <row r="77" spans="1:10" ht="15.75" x14ac:dyDescent="0.25">
      <c r="A77" s="27" t="s">
        <v>35</v>
      </c>
      <c r="B77" s="29"/>
      <c r="C77" s="31"/>
      <c r="D77" s="20"/>
      <c r="E77" s="92"/>
      <c r="F77" s="27" t="s">
        <v>22</v>
      </c>
      <c r="G77" s="33"/>
      <c r="H77" s="38"/>
      <c r="I77" s="35"/>
      <c r="J77" s="35"/>
    </row>
    <row r="78" spans="1:10" ht="16.5" thickBot="1" x14ac:dyDescent="0.3">
      <c r="A78" s="28" t="s">
        <v>36</v>
      </c>
      <c r="B78" s="29"/>
      <c r="C78" s="32"/>
      <c r="D78" s="20"/>
      <c r="E78" s="92"/>
      <c r="F78" s="27" t="s">
        <v>35</v>
      </c>
      <c r="G78" s="33"/>
      <c r="H78" s="38"/>
      <c r="I78" s="35"/>
      <c r="J78" s="35"/>
    </row>
    <row r="79" spans="1:10" ht="16.5" thickBot="1" x14ac:dyDescent="0.3">
      <c r="A79" s="93" t="s">
        <v>11</v>
      </c>
      <c r="B79" s="93"/>
      <c r="C79" s="8">
        <f>SUM(C54:C78)</f>
        <v>1</v>
      </c>
      <c r="D79" s="15">
        <v>4038.14</v>
      </c>
      <c r="E79" s="92"/>
      <c r="F79" s="28" t="s">
        <v>36</v>
      </c>
      <c r="G79" s="34"/>
      <c r="H79" s="38"/>
      <c r="I79" s="35"/>
      <c r="J79" s="35"/>
    </row>
    <row r="80" spans="1:10" x14ac:dyDescent="0.25">
      <c r="A80" s="2"/>
      <c r="B80" s="2"/>
      <c r="C80" s="2"/>
      <c r="D80" s="2"/>
      <c r="E80" s="2"/>
      <c r="F80" s="81" t="s">
        <v>11</v>
      </c>
      <c r="G80" s="81"/>
      <c r="H80" s="17">
        <f>SUM(H55:H79)</f>
        <v>1</v>
      </c>
      <c r="I80" s="13">
        <v>400</v>
      </c>
      <c r="J80" s="13">
        <f>+H53</f>
        <v>38.139999999999873</v>
      </c>
    </row>
    <row r="81" spans="1:13" ht="23.25" x14ac:dyDescent="0.35">
      <c r="A81" s="82"/>
      <c r="B81" s="83"/>
      <c r="C81" s="2"/>
      <c r="D81" s="2"/>
      <c r="E81" s="2"/>
      <c r="F81" s="18"/>
      <c r="G81" s="18"/>
      <c r="H81" s="19"/>
      <c r="I81" s="18"/>
      <c r="J81" s="18"/>
    </row>
    <row r="82" spans="1:13" x14ac:dyDescent="0.25">
      <c r="A82" s="84" t="s">
        <v>18</v>
      </c>
      <c r="B82" s="84"/>
      <c r="C82" s="84"/>
      <c r="D82" s="84"/>
      <c r="E82" s="2"/>
      <c r="F82" s="2"/>
      <c r="G82" s="2"/>
    </row>
    <row r="83" spans="1:13" x14ac:dyDescent="0.25">
      <c r="A83" s="9" t="s">
        <v>12</v>
      </c>
      <c r="B83" s="9" t="s">
        <v>13</v>
      </c>
      <c r="C83" s="9" t="s">
        <v>14</v>
      </c>
      <c r="D83" s="10" t="s">
        <v>12</v>
      </c>
      <c r="E83" s="85" t="s">
        <v>13</v>
      </c>
      <c r="F83" s="86"/>
      <c r="G83" s="10" t="s">
        <v>14</v>
      </c>
      <c r="H83" s="9" t="s">
        <v>12</v>
      </c>
      <c r="I83" s="10" t="s">
        <v>13</v>
      </c>
      <c r="J83" s="10" t="s">
        <v>14</v>
      </c>
      <c r="K83" s="9" t="s">
        <v>12</v>
      </c>
      <c r="L83" s="10" t="s">
        <v>13</v>
      </c>
      <c r="M83" s="10" t="s">
        <v>14</v>
      </c>
    </row>
    <row r="84" spans="1:13" x14ac:dyDescent="0.25">
      <c r="A84" s="11">
        <v>1</v>
      </c>
      <c r="B84" s="16">
        <v>0.33333333333333331</v>
      </c>
      <c r="C84" s="16">
        <f>+B84+15/1440</f>
        <v>0.34375</v>
      </c>
      <c r="D84" s="11">
        <v>8</v>
      </c>
      <c r="E84" s="79">
        <f>+C90+5/1440</f>
        <v>0.43055555555555558</v>
      </c>
      <c r="F84" s="80"/>
      <c r="G84" s="40">
        <f>+E84+15/1440</f>
        <v>0.44097222222222227</v>
      </c>
      <c r="H84" s="11"/>
      <c r="I84" s="12">
        <f>G90+5/1440</f>
        <v>0.52777777777777779</v>
      </c>
      <c r="J84" s="12">
        <f>I84+15/1440</f>
        <v>0.53819444444444442</v>
      </c>
      <c r="K84" s="11">
        <v>19</v>
      </c>
      <c r="L84" s="12">
        <f>J90+5/1440</f>
        <v>0.62499999999999967</v>
      </c>
      <c r="M84" s="12">
        <f>L84+15/1440</f>
        <v>0.6354166666666663</v>
      </c>
    </row>
    <row r="85" spans="1:13" x14ac:dyDescent="0.25">
      <c r="A85" s="11">
        <v>2</v>
      </c>
      <c r="B85" s="16">
        <f t="shared" ref="B85:B90" si="16">+C84+5/1440</f>
        <v>0.34722222222222221</v>
      </c>
      <c r="C85" s="16">
        <f>+B85+15/1440</f>
        <v>0.3576388888888889</v>
      </c>
      <c r="D85" s="11">
        <v>9</v>
      </c>
      <c r="E85" s="79">
        <f>+G84+5/1440</f>
        <v>0.44444444444444448</v>
      </c>
      <c r="F85" s="80"/>
      <c r="G85" s="16">
        <f>+E85+15/1440</f>
        <v>0.45486111111111116</v>
      </c>
      <c r="H85" s="11">
        <v>13</v>
      </c>
      <c r="I85" s="12">
        <f>J84+5/1440</f>
        <v>0.54166666666666663</v>
      </c>
      <c r="J85" s="12">
        <f>I85+15/1440</f>
        <v>0.55208333333333326</v>
      </c>
      <c r="K85" s="11">
        <v>20</v>
      </c>
      <c r="L85" s="12">
        <f>M84+5/1440</f>
        <v>0.63888888888888851</v>
      </c>
      <c r="M85" s="12">
        <f>L85+15/1440</f>
        <v>0.64930555555555514</v>
      </c>
    </row>
    <row r="86" spans="1:13" x14ac:dyDescent="0.25">
      <c r="A86" s="11">
        <v>3</v>
      </c>
      <c r="B86" s="16">
        <f t="shared" si="16"/>
        <v>0.3611111111111111</v>
      </c>
      <c r="C86" s="16">
        <f t="shared" ref="C86:C90" si="17">+B86+15/1440</f>
        <v>0.37152777777777779</v>
      </c>
      <c r="D86" s="11">
        <v>10</v>
      </c>
      <c r="E86" s="79">
        <f t="shared" ref="E86:E90" si="18">+G85+5/1440</f>
        <v>0.45833333333333337</v>
      </c>
      <c r="F86" s="80"/>
      <c r="G86" s="16">
        <f t="shared" ref="G86:G90" si="19">+E86+15/1440</f>
        <v>0.46875000000000006</v>
      </c>
      <c r="H86" s="11">
        <v>14</v>
      </c>
      <c r="I86" s="12">
        <f t="shared" ref="I86:I90" si="20">J85+5/1440</f>
        <v>0.55555555555555547</v>
      </c>
      <c r="J86" s="12">
        <f t="shared" ref="J86:J90" si="21">I86+15/1440</f>
        <v>0.5659722222222221</v>
      </c>
      <c r="K86" s="11">
        <v>21</v>
      </c>
      <c r="L86" s="21">
        <f t="shared" ref="L86:L90" si="22">M85+5/1440</f>
        <v>0.65277777777777735</v>
      </c>
      <c r="M86" s="21">
        <f t="shared" ref="M86:M90" si="23">L86+15/1440</f>
        <v>0.66319444444444398</v>
      </c>
    </row>
    <row r="87" spans="1:13" x14ac:dyDescent="0.25">
      <c r="A87" s="11">
        <v>4</v>
      </c>
      <c r="B87" s="16">
        <f t="shared" si="16"/>
        <v>0.375</v>
      </c>
      <c r="C87" s="16">
        <f t="shared" si="17"/>
        <v>0.38541666666666669</v>
      </c>
      <c r="D87" s="11">
        <v>11</v>
      </c>
      <c r="E87" s="79">
        <f t="shared" si="18"/>
        <v>0.47222222222222227</v>
      </c>
      <c r="F87" s="80"/>
      <c r="G87" s="16">
        <f t="shared" si="19"/>
        <v>0.48263888888888895</v>
      </c>
      <c r="H87" s="11">
        <v>15</v>
      </c>
      <c r="I87" s="12">
        <f t="shared" si="20"/>
        <v>0.56944444444444431</v>
      </c>
      <c r="J87" s="12">
        <f t="shared" si="21"/>
        <v>0.57986111111111094</v>
      </c>
      <c r="K87" s="11">
        <v>22</v>
      </c>
      <c r="L87" s="21">
        <f t="shared" si="22"/>
        <v>0.66666666666666619</v>
      </c>
      <c r="M87" s="21">
        <f t="shared" si="23"/>
        <v>0.67708333333333282</v>
      </c>
    </row>
    <row r="88" spans="1:13" x14ac:dyDescent="0.25">
      <c r="A88" s="11">
        <v>5</v>
      </c>
      <c r="B88" s="16">
        <f t="shared" si="16"/>
        <v>0.3888888888888889</v>
      </c>
      <c r="C88" s="16">
        <f t="shared" si="17"/>
        <v>0.39930555555555558</v>
      </c>
      <c r="D88" s="11">
        <v>12</v>
      </c>
      <c r="E88" s="103">
        <f t="shared" si="18"/>
        <v>0.48611111111111116</v>
      </c>
      <c r="F88" s="104"/>
      <c r="G88" s="12">
        <f t="shared" si="19"/>
        <v>0.49652777777777785</v>
      </c>
      <c r="H88" s="11">
        <v>16</v>
      </c>
      <c r="I88" s="12">
        <f t="shared" si="20"/>
        <v>0.58333333333333315</v>
      </c>
      <c r="J88" s="12">
        <f t="shared" si="21"/>
        <v>0.59374999999999978</v>
      </c>
      <c r="K88" s="11">
        <v>23</v>
      </c>
      <c r="L88" s="21">
        <f t="shared" si="22"/>
        <v>0.68055555555555503</v>
      </c>
      <c r="M88" s="21">
        <f t="shared" si="23"/>
        <v>0.69097222222222165</v>
      </c>
    </row>
    <row r="89" spans="1:13" x14ac:dyDescent="0.25">
      <c r="A89" s="11">
        <v>6</v>
      </c>
      <c r="B89" s="16">
        <f t="shared" si="16"/>
        <v>0.40277777777777779</v>
      </c>
      <c r="C89" s="16">
        <f t="shared" si="17"/>
        <v>0.41319444444444448</v>
      </c>
      <c r="D89" s="11"/>
      <c r="E89" s="77">
        <f t="shared" si="18"/>
        <v>0.50000000000000011</v>
      </c>
      <c r="F89" s="78"/>
      <c r="G89" s="21">
        <f t="shared" si="19"/>
        <v>0.51041666666666674</v>
      </c>
      <c r="H89" s="11">
        <v>17</v>
      </c>
      <c r="I89" s="12">
        <f t="shared" si="20"/>
        <v>0.59722222222222199</v>
      </c>
      <c r="J89" s="12">
        <f t="shared" si="21"/>
        <v>0.60763888888888862</v>
      </c>
      <c r="K89" s="11">
        <v>24</v>
      </c>
      <c r="L89" s="21">
        <f t="shared" si="22"/>
        <v>0.69444444444444386</v>
      </c>
      <c r="M89" s="21">
        <f t="shared" si="23"/>
        <v>0.70486111111111049</v>
      </c>
    </row>
    <row r="90" spans="1:13" x14ac:dyDescent="0.25">
      <c r="A90" s="11">
        <v>7</v>
      </c>
      <c r="B90" s="16">
        <f t="shared" si="16"/>
        <v>0.41666666666666669</v>
      </c>
      <c r="C90" s="16">
        <f t="shared" si="17"/>
        <v>0.42708333333333337</v>
      </c>
      <c r="D90" s="11"/>
      <c r="E90" s="77">
        <f t="shared" si="18"/>
        <v>0.51388888888888895</v>
      </c>
      <c r="F90" s="78"/>
      <c r="G90" s="21">
        <f t="shared" si="19"/>
        <v>0.52430555555555558</v>
      </c>
      <c r="H90" s="11">
        <v>18</v>
      </c>
      <c r="I90" s="12">
        <f t="shared" si="20"/>
        <v>0.61111111111111083</v>
      </c>
      <c r="J90" s="12">
        <f t="shared" si="21"/>
        <v>0.62152777777777746</v>
      </c>
      <c r="K90" s="11">
        <v>25</v>
      </c>
      <c r="L90" s="21">
        <f t="shared" si="22"/>
        <v>0.7083333333333327</v>
      </c>
      <c r="M90" s="21">
        <f t="shared" si="23"/>
        <v>0.71874999999999933</v>
      </c>
    </row>
    <row r="91" spans="1:13" x14ac:dyDescent="0.25">
      <c r="H91" s="36"/>
      <c r="I91" s="37"/>
      <c r="J91" s="37"/>
    </row>
  </sheetData>
  <mergeCells count="47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1:F41"/>
    <mergeCell ref="E42:F42"/>
    <mergeCell ref="E43:F43"/>
    <mergeCell ref="E37:F37"/>
    <mergeCell ref="A34:B34"/>
    <mergeCell ref="A35:D35"/>
    <mergeCell ref="E36:F36"/>
    <mergeCell ref="E38:F38"/>
    <mergeCell ref="E39:F39"/>
    <mergeCell ref="E40:F40"/>
    <mergeCell ref="A48:D49"/>
    <mergeCell ref="E48:J49"/>
    <mergeCell ref="A50:B50"/>
    <mergeCell ref="I50:J50"/>
    <mergeCell ref="A51:B51"/>
    <mergeCell ref="C51:G51"/>
    <mergeCell ref="I51:J51"/>
    <mergeCell ref="I52:J52"/>
    <mergeCell ref="A53:B53"/>
    <mergeCell ref="E53:E79"/>
    <mergeCell ref="F54:G54"/>
    <mergeCell ref="A79:B79"/>
    <mergeCell ref="F80:G80"/>
    <mergeCell ref="A81:B81"/>
    <mergeCell ref="A82:D82"/>
    <mergeCell ref="E83:F83"/>
    <mergeCell ref="E84:F84"/>
    <mergeCell ref="E90:F90"/>
    <mergeCell ref="E85:F85"/>
    <mergeCell ref="E86:F86"/>
    <mergeCell ref="E87:F87"/>
    <mergeCell ref="E88:F88"/>
    <mergeCell ref="E89:F89"/>
  </mergeCells>
  <pageMargins left="0.7" right="0.7" top="0.75" bottom="0.75" header="0.3" footer="0.3"/>
  <pageSetup paperSize="9" scale="3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99D3-26C2-4955-A720-C47AFB271F38}">
  <sheetPr>
    <pageSetUpPr fitToPage="1"/>
  </sheetPr>
  <dimension ref="A1:M91"/>
  <sheetViews>
    <sheetView topLeftCell="A28" zoomScaleNormal="100" workbookViewId="0">
      <selection activeCell="C45" sqref="C45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54</v>
      </c>
      <c r="D3" s="100"/>
      <c r="E3" s="100"/>
      <c r="F3" s="100"/>
      <c r="G3" s="100"/>
      <c r="H3" s="1" t="s">
        <v>1</v>
      </c>
      <c r="I3" s="101">
        <v>45328</v>
      </c>
      <c r="J3" s="102"/>
    </row>
    <row r="4" spans="1:10" ht="37.5" customHeight="1" x14ac:dyDescent="0.25">
      <c r="A4" s="87" t="s">
        <v>2</v>
      </c>
      <c r="B4" s="87"/>
      <c r="C4" s="88" t="s">
        <v>38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9.5" thickBot="1" x14ac:dyDescent="0.35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5</v>
      </c>
      <c r="G6" s="5" t="s">
        <v>8</v>
      </c>
      <c r="H6" s="6">
        <f>D32-(F6*400)</f>
        <v>344.34000000000015</v>
      </c>
      <c r="I6" s="7" t="s">
        <v>9</v>
      </c>
    </row>
    <row r="7" spans="1:10" ht="16.5" thickBot="1" x14ac:dyDescent="0.3">
      <c r="A7" s="26" t="s">
        <v>23</v>
      </c>
      <c r="B7" s="29"/>
      <c r="C7" s="30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1">
        <v>0.10829999999999999</v>
      </c>
      <c r="D10" s="20">
        <f>C10*$D$32</f>
        <v>253.892022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1">
        <v>0.36359999999999998</v>
      </c>
      <c r="D11" s="20">
        <f t="shared" ref="D11:D27" si="0">C11*$D$32</f>
        <v>852.40202399999998</v>
      </c>
      <c r="E11" s="92"/>
      <c r="F11" s="27" t="s">
        <v>25</v>
      </c>
      <c r="G11" s="33"/>
      <c r="H11" s="31">
        <v>0.10829999999999999</v>
      </c>
      <c r="I11" s="35">
        <f t="shared" ref="I11:I28" si="1">H11*$I$33</f>
        <v>43.32</v>
      </c>
      <c r="J11" s="35">
        <f t="shared" ref="J11:J28" si="2">H11*$J$33</f>
        <v>37.29202200000001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1">
        <v>0.36359999999999998</v>
      </c>
      <c r="I12" s="35">
        <f t="shared" si="1"/>
        <v>145.44</v>
      </c>
      <c r="J12" s="35">
        <f t="shared" si="2"/>
        <v>125.20202400000005</v>
      </c>
    </row>
    <row r="13" spans="1:10" ht="15.75" x14ac:dyDescent="0.25">
      <c r="A13" s="27" t="s">
        <v>26</v>
      </c>
      <c r="B13" s="29"/>
      <c r="C13" s="31">
        <v>0.11360000000000001</v>
      </c>
      <c r="D13" s="20">
        <f t="shared" si="0"/>
        <v>266.317024</v>
      </c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1">
        <v>0.11360000000000001</v>
      </c>
      <c r="I14" s="35">
        <f t="shared" si="1"/>
        <v>45.440000000000005</v>
      </c>
      <c r="J14" s="35">
        <f t="shared" si="2"/>
        <v>39.117024000000022</v>
      </c>
    </row>
    <row r="15" spans="1:10" ht="15.75" x14ac:dyDescent="0.25">
      <c r="A15" s="27" t="s">
        <v>19</v>
      </c>
      <c r="B15" s="29"/>
      <c r="C15" s="31">
        <v>0.11360000000000001</v>
      </c>
      <c r="D15" s="20">
        <f t="shared" si="0"/>
        <v>266.317024</v>
      </c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1">
        <v>0.11360000000000001</v>
      </c>
      <c r="I16" s="35">
        <f t="shared" si="1"/>
        <v>45.440000000000005</v>
      </c>
      <c r="J16" s="35">
        <f t="shared" si="2"/>
        <v>39.117024000000022</v>
      </c>
    </row>
    <row r="17" spans="1:10" ht="15.75" x14ac:dyDescent="0.25">
      <c r="A17" s="27" t="s">
        <v>44</v>
      </c>
      <c r="B17" s="29"/>
      <c r="C17" s="31">
        <v>0.18179999999999999</v>
      </c>
      <c r="D17" s="20">
        <f>C17*$D$32</f>
        <v>426.20101199999999</v>
      </c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1">
        <v>0.18179999999999999</v>
      </c>
      <c r="I18" s="35">
        <f t="shared" ref="I18" si="3">H18*$I$33</f>
        <v>72.72</v>
      </c>
      <c r="J18" s="35">
        <f t="shared" ref="J18" si="4">H18*$J$33</f>
        <v>62.601012000000026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1">
        <v>6.8199999999999997E-2</v>
      </c>
      <c r="D21" s="20">
        <f t="shared" si="0"/>
        <v>159.88398800000002</v>
      </c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1">
        <v>6.8199999999999997E-2</v>
      </c>
      <c r="I22" s="35">
        <f t="shared" si="1"/>
        <v>27.279999999999998</v>
      </c>
      <c r="J22" s="35">
        <f t="shared" si="2"/>
        <v>23.483988000000007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1">
        <v>4.82E-2</v>
      </c>
      <c r="D26" s="20">
        <f t="shared" si="0"/>
        <v>112.99718800000001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1">
        <v>2.7000000000000001E-3</v>
      </c>
      <c r="D27" s="20">
        <f t="shared" si="0"/>
        <v>6.3297180000000006</v>
      </c>
      <c r="E27" s="92"/>
      <c r="F27" s="27" t="s">
        <v>32</v>
      </c>
      <c r="G27" s="24"/>
      <c r="H27" s="31">
        <v>4.82E-2</v>
      </c>
      <c r="I27" s="35">
        <f t="shared" si="1"/>
        <v>19.28</v>
      </c>
      <c r="J27" s="35">
        <f t="shared" si="2"/>
        <v>16.597188000000006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1">
        <v>2.7000000000000001E-3</v>
      </c>
      <c r="I28" s="35">
        <f t="shared" si="1"/>
        <v>1.08</v>
      </c>
      <c r="J28" s="35">
        <f t="shared" si="2"/>
        <v>0.92971800000000049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1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2344.34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344.34000000000015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2">
        <v>0.33333333333333331</v>
      </c>
      <c r="C37" s="12">
        <f>+B37+15/1440</f>
        <v>0.34375</v>
      </c>
      <c r="D37" s="11">
        <v>8</v>
      </c>
      <c r="E37" s="77">
        <f>+C43+5/1440</f>
        <v>0.43055555555555558</v>
      </c>
      <c r="F37" s="78"/>
      <c r="G37" s="21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2">
        <f t="shared" ref="B38:B43" si="5">+C37+5/1440</f>
        <v>0.34722222222222221</v>
      </c>
      <c r="C38" s="12">
        <f>+B38+15/1440</f>
        <v>0.3576388888888889</v>
      </c>
      <c r="D38" s="11">
        <v>9</v>
      </c>
      <c r="E38" s="77">
        <f>+G37+5/1440</f>
        <v>0.44444444444444448</v>
      </c>
      <c r="F38" s="78"/>
      <c r="G38" s="21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6">
        <f>M37+5/1440</f>
        <v>0.63888888888888851</v>
      </c>
      <c r="M38" s="16">
        <f>L38+15/1440</f>
        <v>0.64930555555555514</v>
      </c>
    </row>
    <row r="39" spans="1:13" x14ac:dyDescent="0.25">
      <c r="A39" s="11">
        <v>3</v>
      </c>
      <c r="B39" s="12">
        <f t="shared" si="5"/>
        <v>0.3611111111111111</v>
      </c>
      <c r="C39" s="12">
        <f t="shared" ref="C39:C43" si="6">+B39+15/1440</f>
        <v>0.37152777777777779</v>
      </c>
      <c r="D39" s="11">
        <v>10</v>
      </c>
      <c r="E39" s="77">
        <f t="shared" ref="E39:E43" si="7">+G38+5/1440</f>
        <v>0.45833333333333337</v>
      </c>
      <c r="F39" s="78"/>
      <c r="G39" s="21">
        <f t="shared" ref="G39:G43" si="8">+E39+15/1440</f>
        <v>0.46875000000000006</v>
      </c>
      <c r="H39" s="11">
        <v>14</v>
      </c>
      <c r="I39" s="12">
        <f t="shared" ref="I39:I43" si="9">J38+5/1440</f>
        <v>0.55555555555555547</v>
      </c>
      <c r="J39" s="12">
        <f t="shared" ref="J39:J43" si="10">I39+15/1440</f>
        <v>0.5659722222222221</v>
      </c>
      <c r="K39" s="11">
        <v>21</v>
      </c>
      <c r="L39" s="16">
        <f t="shared" ref="L39:L43" si="11">M38+5/1440</f>
        <v>0.65277777777777735</v>
      </c>
      <c r="M39" s="16">
        <f t="shared" ref="M39:M43" si="12">L39+15/1440</f>
        <v>0.66319444444444398</v>
      </c>
    </row>
    <row r="40" spans="1:13" x14ac:dyDescent="0.25">
      <c r="A40" s="11">
        <v>4</v>
      </c>
      <c r="B40" s="12">
        <f t="shared" si="5"/>
        <v>0.375</v>
      </c>
      <c r="C40" s="12">
        <f t="shared" si="6"/>
        <v>0.38541666666666669</v>
      </c>
      <c r="D40" s="11">
        <v>11</v>
      </c>
      <c r="E40" s="77">
        <f t="shared" si="7"/>
        <v>0.47222222222222227</v>
      </c>
      <c r="F40" s="78"/>
      <c r="G40" s="21">
        <f t="shared" si="8"/>
        <v>0.48263888888888895</v>
      </c>
      <c r="H40" s="11">
        <v>15</v>
      </c>
      <c r="I40" s="12">
        <f t="shared" si="9"/>
        <v>0.56944444444444431</v>
      </c>
      <c r="J40" s="12">
        <f t="shared" si="10"/>
        <v>0.57986111111111094</v>
      </c>
      <c r="K40" s="11">
        <v>22</v>
      </c>
      <c r="L40" s="21">
        <f t="shared" si="11"/>
        <v>0.66666666666666619</v>
      </c>
      <c r="M40" s="21">
        <f t="shared" si="12"/>
        <v>0.67708333333333282</v>
      </c>
    </row>
    <row r="41" spans="1:13" x14ac:dyDescent="0.25">
      <c r="A41" s="11">
        <v>5</v>
      </c>
      <c r="B41" s="12">
        <f t="shared" si="5"/>
        <v>0.3888888888888889</v>
      </c>
      <c r="C41" s="12">
        <f t="shared" si="6"/>
        <v>0.39930555555555558</v>
      </c>
      <c r="D41" s="11">
        <v>12</v>
      </c>
      <c r="E41" s="77">
        <f t="shared" si="7"/>
        <v>0.48611111111111116</v>
      </c>
      <c r="F41" s="78"/>
      <c r="G41" s="21">
        <f t="shared" si="8"/>
        <v>0.49652777777777785</v>
      </c>
      <c r="H41" s="11">
        <v>16</v>
      </c>
      <c r="I41" s="16">
        <f t="shared" si="9"/>
        <v>0.58333333333333315</v>
      </c>
      <c r="J41" s="16">
        <f t="shared" si="10"/>
        <v>0.59374999999999978</v>
      </c>
      <c r="K41" s="11">
        <v>23</v>
      </c>
      <c r="L41" s="21">
        <f t="shared" si="11"/>
        <v>0.68055555555555503</v>
      </c>
      <c r="M41" s="21">
        <f t="shared" si="12"/>
        <v>0.69097222222222165</v>
      </c>
    </row>
    <row r="42" spans="1:13" x14ac:dyDescent="0.25">
      <c r="A42" s="11">
        <v>6</v>
      </c>
      <c r="B42" s="12">
        <f t="shared" si="5"/>
        <v>0.40277777777777779</v>
      </c>
      <c r="C42" s="12">
        <f t="shared" si="6"/>
        <v>0.41319444444444448</v>
      </c>
      <c r="D42" s="11">
        <v>13</v>
      </c>
      <c r="E42" s="77">
        <f t="shared" si="7"/>
        <v>0.50000000000000011</v>
      </c>
      <c r="F42" s="78"/>
      <c r="G42" s="21">
        <f t="shared" si="8"/>
        <v>0.51041666666666674</v>
      </c>
      <c r="H42" s="11">
        <v>17</v>
      </c>
      <c r="I42" s="16">
        <f t="shared" si="9"/>
        <v>0.59722222222222199</v>
      </c>
      <c r="J42" s="16">
        <f t="shared" si="10"/>
        <v>0.60763888888888862</v>
      </c>
      <c r="K42" s="11">
        <v>24</v>
      </c>
      <c r="L42" s="21">
        <f t="shared" si="11"/>
        <v>0.69444444444444386</v>
      </c>
      <c r="M42" s="21">
        <f t="shared" si="12"/>
        <v>0.70486111111111049</v>
      </c>
    </row>
    <row r="43" spans="1:13" x14ac:dyDescent="0.25">
      <c r="A43" s="11">
        <v>7</v>
      </c>
      <c r="B43" s="21">
        <f t="shared" si="5"/>
        <v>0.41666666666666669</v>
      </c>
      <c r="C43" s="21">
        <f t="shared" si="6"/>
        <v>0.42708333333333337</v>
      </c>
      <c r="D43" s="11"/>
      <c r="E43" s="77">
        <f t="shared" si="7"/>
        <v>0.51388888888888895</v>
      </c>
      <c r="F43" s="78"/>
      <c r="G43" s="21">
        <f t="shared" si="8"/>
        <v>0.52430555555555558</v>
      </c>
      <c r="H43" s="11">
        <v>18</v>
      </c>
      <c r="I43" s="16">
        <f t="shared" si="9"/>
        <v>0.61111111111111083</v>
      </c>
      <c r="J43" s="16">
        <f t="shared" si="10"/>
        <v>0.62152777777777746</v>
      </c>
      <c r="K43" s="11">
        <v>25</v>
      </c>
      <c r="L43" s="21">
        <f t="shared" si="11"/>
        <v>0.7083333333333327</v>
      </c>
      <c r="M43" s="21">
        <f t="shared" si="12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ht="15.75" thickBot="1" x14ac:dyDescent="0.3">
      <c r="H47" s="36"/>
      <c r="I47" s="37"/>
      <c r="J47" s="37"/>
    </row>
    <row r="48" spans="1:13" x14ac:dyDescent="0.25">
      <c r="A48" s="94" t="s">
        <v>20</v>
      </c>
      <c r="B48" s="95"/>
      <c r="C48" s="95"/>
      <c r="D48" s="96"/>
      <c r="E48" s="95" t="s">
        <v>21</v>
      </c>
      <c r="F48" s="95"/>
      <c r="G48" s="95"/>
      <c r="H48" s="95"/>
      <c r="I48" s="95"/>
      <c r="J48" s="96"/>
    </row>
    <row r="49" spans="1:10" ht="15.75" thickBot="1" x14ac:dyDescent="0.3">
      <c r="A49" s="97"/>
      <c r="B49" s="98"/>
      <c r="C49" s="98"/>
      <c r="D49" s="99"/>
      <c r="E49" s="98"/>
      <c r="F49" s="98"/>
      <c r="G49" s="98"/>
      <c r="H49" s="98"/>
      <c r="I49" s="98"/>
      <c r="J49" s="99"/>
    </row>
    <row r="50" spans="1:10" ht="18.75" x14ac:dyDescent="0.25">
      <c r="A50" s="87" t="s">
        <v>0</v>
      </c>
      <c r="B50" s="87"/>
      <c r="C50" s="42" t="s">
        <v>52</v>
      </c>
      <c r="D50" s="42"/>
      <c r="E50" s="42"/>
      <c r="F50" s="42"/>
      <c r="G50" s="42"/>
      <c r="H50" s="1" t="s">
        <v>1</v>
      </c>
      <c r="I50" s="101">
        <v>45335</v>
      </c>
      <c r="J50" s="102"/>
    </row>
    <row r="51" spans="1:10" ht="36.75" customHeight="1" x14ac:dyDescent="0.25">
      <c r="A51" s="87" t="s">
        <v>2</v>
      </c>
      <c r="B51" s="87"/>
      <c r="C51" s="88" t="s">
        <v>53</v>
      </c>
      <c r="D51" s="88"/>
      <c r="E51" s="88"/>
      <c r="F51" s="88"/>
      <c r="G51" s="88"/>
      <c r="H51" s="1" t="s">
        <v>3</v>
      </c>
      <c r="I51" s="89" t="s">
        <v>37</v>
      </c>
      <c r="J51" s="89"/>
    </row>
    <row r="52" spans="1:10" x14ac:dyDescent="0.25">
      <c r="A52" s="2"/>
      <c r="B52" s="2"/>
      <c r="C52" s="2"/>
      <c r="D52" s="2"/>
      <c r="E52" s="2"/>
      <c r="F52" s="2"/>
      <c r="G52" s="2"/>
      <c r="I52" s="90" t="s">
        <v>15</v>
      </c>
      <c r="J52" s="90"/>
    </row>
    <row r="53" spans="1:10" ht="18.75" x14ac:dyDescent="0.3">
      <c r="A53" s="91" t="s">
        <v>4</v>
      </c>
      <c r="B53" s="91"/>
      <c r="C53" s="3" t="s">
        <v>5</v>
      </c>
      <c r="D53" s="14" t="s">
        <v>6</v>
      </c>
      <c r="E53" s="92" t="s">
        <v>7</v>
      </c>
      <c r="F53" s="4">
        <f>ROUNDDOWN(D79/400,0)</f>
        <v>10</v>
      </c>
      <c r="G53" s="5" t="s">
        <v>8</v>
      </c>
      <c r="H53" s="6">
        <f>D79-(F53*400)</f>
        <v>6.0799999999999272</v>
      </c>
      <c r="I53" s="7" t="s">
        <v>9</v>
      </c>
    </row>
    <row r="54" spans="1:10" ht="15.75" x14ac:dyDescent="0.25">
      <c r="A54" s="26" t="s">
        <v>23</v>
      </c>
      <c r="B54" s="29"/>
      <c r="C54" s="39"/>
      <c r="D54" s="20"/>
      <c r="E54" s="92"/>
      <c r="F54" s="91" t="s">
        <v>4</v>
      </c>
      <c r="G54" s="91"/>
      <c r="H54" s="3" t="s">
        <v>5</v>
      </c>
      <c r="I54" s="14" t="s">
        <v>6</v>
      </c>
      <c r="J54" s="14" t="s">
        <v>6</v>
      </c>
    </row>
    <row r="55" spans="1:10" ht="15.75" x14ac:dyDescent="0.25">
      <c r="A55" s="26" t="s">
        <v>42</v>
      </c>
      <c r="B55" s="29"/>
      <c r="C55" s="31"/>
      <c r="D55" s="20"/>
      <c r="E55" s="92"/>
      <c r="F55" s="26" t="s">
        <v>23</v>
      </c>
      <c r="G55" s="33"/>
      <c r="H55" s="38"/>
      <c r="I55" s="35"/>
      <c r="J55" s="35"/>
    </row>
    <row r="56" spans="1:10" ht="15.75" x14ac:dyDescent="0.25">
      <c r="A56" s="27" t="s">
        <v>24</v>
      </c>
      <c r="B56" s="29"/>
      <c r="C56" s="31"/>
      <c r="D56" s="20"/>
      <c r="E56" s="92"/>
      <c r="F56" s="26" t="s">
        <v>42</v>
      </c>
      <c r="G56" s="33"/>
      <c r="H56" s="38"/>
      <c r="I56" s="35"/>
      <c r="J56" s="35"/>
    </row>
    <row r="57" spans="1:10" ht="15.75" x14ac:dyDescent="0.25">
      <c r="A57" s="27" t="s">
        <v>25</v>
      </c>
      <c r="B57" s="29"/>
      <c r="C57" s="31">
        <v>0.18559999999999999</v>
      </c>
      <c r="D57" s="20">
        <f>C57*$D$79</f>
        <v>743.52844799999991</v>
      </c>
      <c r="E57" s="92"/>
      <c r="F57" s="27" t="s">
        <v>24</v>
      </c>
      <c r="G57" s="33"/>
      <c r="H57" s="38"/>
      <c r="I57" s="35"/>
      <c r="J57" s="35"/>
    </row>
    <row r="58" spans="1:10" ht="15.75" x14ac:dyDescent="0.25">
      <c r="A58" s="27" t="s">
        <v>47</v>
      </c>
      <c r="B58" s="29"/>
      <c r="C58" s="31">
        <v>0.20219999999999999</v>
      </c>
      <c r="D58" s="20">
        <f>C58*$D$79</f>
        <v>810.02937599999996</v>
      </c>
      <c r="E58" s="92"/>
      <c r="F58" s="27" t="s">
        <v>25</v>
      </c>
      <c r="G58" s="33"/>
      <c r="H58" s="38">
        <v>4.4900000000000002E-2</v>
      </c>
      <c r="I58" s="35">
        <f t="shared" ref="I58:I74" si="13">H58*$I$80</f>
        <v>17.96</v>
      </c>
      <c r="J58" s="35">
        <f t="shared" ref="J58:J69" si="14">H58*$J$80</f>
        <v>0.27299199999999674</v>
      </c>
    </row>
    <row r="59" spans="1:10" ht="15.75" x14ac:dyDescent="0.25">
      <c r="A59" s="27" t="s">
        <v>46</v>
      </c>
      <c r="B59" s="29"/>
      <c r="C59" s="31"/>
      <c r="D59" s="20"/>
      <c r="E59" s="92"/>
      <c r="F59" s="27" t="s">
        <v>47</v>
      </c>
      <c r="G59" s="33"/>
      <c r="H59" s="38">
        <v>0.15790000000000001</v>
      </c>
      <c r="I59" s="35">
        <f t="shared" si="13"/>
        <v>63.160000000000004</v>
      </c>
      <c r="J59" s="35">
        <f t="shared" si="14"/>
        <v>0.96003199999998856</v>
      </c>
    </row>
    <row r="60" spans="1:10" ht="15.75" x14ac:dyDescent="0.25">
      <c r="A60" s="27" t="s">
        <v>26</v>
      </c>
      <c r="B60" s="29"/>
      <c r="C60" s="31">
        <v>7.0499999999999993E-2</v>
      </c>
      <c r="D60" s="20">
        <f t="shared" ref="D60:D76" si="15">C60*$D$79</f>
        <v>282.42863999999997</v>
      </c>
      <c r="E60" s="92"/>
      <c r="F60" s="27" t="s">
        <v>46</v>
      </c>
      <c r="G60" s="33"/>
      <c r="H60" s="38"/>
      <c r="I60" s="35"/>
      <c r="J60" s="35"/>
    </row>
    <row r="61" spans="1:10" ht="15.75" x14ac:dyDescent="0.25">
      <c r="A61" s="27" t="s">
        <v>43</v>
      </c>
      <c r="B61" s="29"/>
      <c r="C61" s="31"/>
      <c r="D61" s="20"/>
      <c r="E61" s="92"/>
      <c r="F61" s="27" t="s">
        <v>26</v>
      </c>
      <c r="G61" s="33"/>
      <c r="H61" s="38">
        <v>0.1386</v>
      </c>
      <c r="I61" s="35">
        <f t="shared" si="13"/>
        <v>55.44</v>
      </c>
      <c r="J61" s="35">
        <f t="shared" si="14"/>
        <v>0.84268799999998989</v>
      </c>
    </row>
    <row r="62" spans="1:10" ht="15.75" x14ac:dyDescent="0.25">
      <c r="A62" s="27" t="s">
        <v>19</v>
      </c>
      <c r="B62" s="29"/>
      <c r="C62" s="31">
        <v>0.1057</v>
      </c>
      <c r="D62" s="20">
        <f t="shared" si="15"/>
        <v>423.442656</v>
      </c>
      <c r="E62" s="92"/>
      <c r="F62" s="27" t="s">
        <v>43</v>
      </c>
      <c r="G62" s="33"/>
      <c r="H62" s="38"/>
      <c r="I62" s="35"/>
      <c r="J62" s="35"/>
    </row>
    <row r="63" spans="1:10" ht="15.75" x14ac:dyDescent="0.25">
      <c r="A63" s="27" t="s">
        <v>27</v>
      </c>
      <c r="B63" s="29"/>
      <c r="C63" s="31"/>
      <c r="D63" s="20"/>
      <c r="E63" s="92"/>
      <c r="F63" s="27" t="s">
        <v>19</v>
      </c>
      <c r="G63" s="33"/>
      <c r="H63" s="38">
        <v>5.2600000000000001E-2</v>
      </c>
      <c r="I63" s="35">
        <f t="shared" si="13"/>
        <v>21.04</v>
      </c>
      <c r="J63" s="35">
        <f t="shared" si="14"/>
        <v>0.31980799999999615</v>
      </c>
    </row>
    <row r="64" spans="1:10" ht="15.75" x14ac:dyDescent="0.25">
      <c r="A64" s="27" t="s">
        <v>44</v>
      </c>
      <c r="B64" s="29"/>
      <c r="C64" s="31">
        <v>9.69E-2</v>
      </c>
      <c r="D64" s="20">
        <f t="shared" si="15"/>
        <v>388.18915199999998</v>
      </c>
      <c r="E64" s="92"/>
      <c r="F64" s="27" t="s">
        <v>27</v>
      </c>
      <c r="G64" s="33"/>
      <c r="H64" s="38"/>
      <c r="I64" s="35"/>
      <c r="J64" s="35"/>
    </row>
    <row r="65" spans="1:10" ht="15.75" x14ac:dyDescent="0.25">
      <c r="A65" s="27" t="s">
        <v>28</v>
      </c>
      <c r="B65" s="29"/>
      <c r="C65" s="31">
        <v>0.12330000000000001</v>
      </c>
      <c r="D65" s="20">
        <f t="shared" si="15"/>
        <v>493.94966400000004</v>
      </c>
      <c r="E65" s="92"/>
      <c r="F65" s="27" t="s">
        <v>44</v>
      </c>
      <c r="G65" s="33"/>
      <c r="H65" s="38">
        <v>0.31580000000000003</v>
      </c>
      <c r="I65" s="35">
        <f t="shared" si="13"/>
        <v>126.32000000000001</v>
      </c>
      <c r="J65" s="35">
        <f t="shared" si="14"/>
        <v>1.9200639999999771</v>
      </c>
    </row>
    <row r="66" spans="1:10" ht="15.75" x14ac:dyDescent="0.25">
      <c r="A66" s="27" t="s">
        <v>45</v>
      </c>
      <c r="B66" s="29"/>
      <c r="C66" s="31"/>
      <c r="D66" s="20"/>
      <c r="E66" s="92"/>
      <c r="F66" s="27" t="s">
        <v>28</v>
      </c>
      <c r="G66" s="33"/>
      <c r="H66" s="38">
        <v>0.1807</v>
      </c>
      <c r="I66" s="35">
        <f t="shared" si="13"/>
        <v>72.28</v>
      </c>
      <c r="J66" s="35">
        <f t="shared" si="14"/>
        <v>1.0986559999999868</v>
      </c>
    </row>
    <row r="67" spans="1:10" ht="15.75" x14ac:dyDescent="0.25">
      <c r="A67" s="27" t="s">
        <v>10</v>
      </c>
      <c r="B67" s="29"/>
      <c r="C67" s="31">
        <v>5.2900000000000003E-2</v>
      </c>
      <c r="D67" s="20">
        <f t="shared" si="15"/>
        <v>211.92163200000002</v>
      </c>
      <c r="E67" s="92"/>
      <c r="F67" s="27" t="s">
        <v>45</v>
      </c>
      <c r="G67" s="33"/>
      <c r="H67" s="38"/>
      <c r="I67" s="35"/>
      <c r="J67" s="35"/>
    </row>
    <row r="68" spans="1:10" ht="15.75" x14ac:dyDescent="0.25">
      <c r="A68" s="27" t="s">
        <v>29</v>
      </c>
      <c r="B68" s="29"/>
      <c r="C68" s="31">
        <v>7.0499999999999993E-2</v>
      </c>
      <c r="D68" s="20">
        <f t="shared" si="15"/>
        <v>282.42863999999997</v>
      </c>
      <c r="E68" s="92"/>
      <c r="F68" s="27" t="s">
        <v>10</v>
      </c>
      <c r="G68" s="33"/>
      <c r="H68" s="38"/>
      <c r="I68" s="35">
        <f t="shared" si="13"/>
        <v>0</v>
      </c>
      <c r="J68" s="35"/>
    </row>
    <row r="69" spans="1:10" ht="15.75" x14ac:dyDescent="0.25">
      <c r="A69" s="27" t="s">
        <v>17</v>
      </c>
      <c r="B69" s="29"/>
      <c r="C69" s="31"/>
      <c r="D69" s="20"/>
      <c r="E69" s="92"/>
      <c r="F69" s="27" t="s">
        <v>29</v>
      </c>
      <c r="G69" s="33"/>
      <c r="H69" s="38">
        <v>7.0199999999999999E-2</v>
      </c>
      <c r="I69" s="35">
        <f t="shared" si="13"/>
        <v>28.08</v>
      </c>
      <c r="J69" s="35">
        <f t="shared" si="14"/>
        <v>0.42681599999999487</v>
      </c>
    </row>
    <row r="70" spans="1:10" ht="15.75" x14ac:dyDescent="0.25">
      <c r="A70" s="27" t="s">
        <v>30</v>
      </c>
      <c r="B70" s="29"/>
      <c r="C70" s="31"/>
      <c r="D70" s="20"/>
      <c r="E70" s="92"/>
      <c r="F70" s="27" t="s">
        <v>17</v>
      </c>
      <c r="G70" s="33"/>
      <c r="H70" s="38"/>
      <c r="I70" s="35"/>
      <c r="J70" s="35"/>
    </row>
    <row r="71" spans="1:10" ht="15.75" x14ac:dyDescent="0.25">
      <c r="A71" s="27" t="s">
        <v>31</v>
      </c>
      <c r="B71" s="29"/>
      <c r="C71" s="31"/>
      <c r="D71" s="20"/>
      <c r="E71" s="92"/>
      <c r="F71" s="27" t="s">
        <v>30</v>
      </c>
      <c r="G71" s="33"/>
      <c r="H71" s="38"/>
      <c r="I71" s="35"/>
      <c r="J71" s="35"/>
    </row>
    <row r="72" spans="1:10" ht="15.75" x14ac:dyDescent="0.25">
      <c r="A72" s="27" t="s">
        <v>16</v>
      </c>
      <c r="B72" s="29"/>
      <c r="C72" s="31"/>
      <c r="D72" s="20"/>
      <c r="E72" s="92"/>
      <c r="F72" s="27" t="s">
        <v>31</v>
      </c>
      <c r="G72" s="33"/>
      <c r="H72" s="38"/>
      <c r="I72" s="35"/>
      <c r="J72" s="35"/>
    </row>
    <row r="73" spans="1:10" ht="15.75" x14ac:dyDescent="0.25">
      <c r="A73" s="27" t="s">
        <v>32</v>
      </c>
      <c r="B73" s="23"/>
      <c r="C73" s="31">
        <v>3.7400000000000003E-2</v>
      </c>
      <c r="D73" s="20">
        <f t="shared" si="15"/>
        <v>149.827392</v>
      </c>
      <c r="E73" s="92"/>
      <c r="F73" s="27" t="s">
        <v>16</v>
      </c>
      <c r="G73" s="24"/>
      <c r="H73" s="38"/>
      <c r="I73" s="35"/>
      <c r="J73" s="35"/>
    </row>
    <row r="74" spans="1:10" ht="15.75" x14ac:dyDescent="0.25">
      <c r="A74" s="27" t="s">
        <v>33</v>
      </c>
      <c r="B74" s="23"/>
      <c r="C74" s="31">
        <v>2.0999999999999999E-3</v>
      </c>
      <c r="D74" s="20">
        <f t="shared" si="15"/>
        <v>8.4127679999999998</v>
      </c>
      <c r="E74" s="92"/>
      <c r="F74" s="27" t="s">
        <v>32</v>
      </c>
      <c r="G74" s="24"/>
      <c r="H74" s="38">
        <v>3.7199999999999997E-2</v>
      </c>
      <c r="I74" s="35">
        <f t="shared" si="13"/>
        <v>14.879999999999999</v>
      </c>
      <c r="J74" s="35">
        <f>H74*$J$80</f>
        <v>0.22617599999999727</v>
      </c>
    </row>
    <row r="75" spans="1:10" ht="15.75" x14ac:dyDescent="0.25">
      <c r="A75" s="27" t="s">
        <v>34</v>
      </c>
      <c r="B75" s="23"/>
      <c r="C75" s="31"/>
      <c r="D75" s="20"/>
      <c r="E75" s="92"/>
      <c r="F75" s="27" t="s">
        <v>33</v>
      </c>
      <c r="G75" s="24"/>
      <c r="H75" s="38">
        <v>2.0999999999999999E-3</v>
      </c>
      <c r="I75" s="35">
        <f>H75*$I$80</f>
        <v>0.84</v>
      </c>
      <c r="J75" s="35">
        <f>H75*$J$80</f>
        <v>1.2767999999999847E-2</v>
      </c>
    </row>
    <row r="76" spans="1:10" ht="15.75" x14ac:dyDescent="0.25">
      <c r="A76" s="27" t="s">
        <v>22</v>
      </c>
      <c r="B76" s="23"/>
      <c r="C76" s="31">
        <v>5.2900000000000003E-2</v>
      </c>
      <c r="D76" s="20">
        <f t="shared" si="15"/>
        <v>211.92163200000002</v>
      </c>
      <c r="E76" s="92"/>
      <c r="F76" s="27" t="s">
        <v>34</v>
      </c>
      <c r="G76" s="24"/>
      <c r="H76" s="38"/>
      <c r="I76" s="35"/>
      <c r="J76" s="35"/>
    </row>
    <row r="77" spans="1:10" ht="15.75" x14ac:dyDescent="0.25">
      <c r="A77" s="27" t="s">
        <v>35</v>
      </c>
      <c r="B77" s="29"/>
      <c r="C77" s="31"/>
      <c r="D77" s="20"/>
      <c r="E77" s="92"/>
      <c r="F77" s="27" t="s">
        <v>22</v>
      </c>
      <c r="G77" s="33"/>
      <c r="H77" s="38"/>
      <c r="I77" s="35"/>
      <c r="J77" s="35"/>
    </row>
    <row r="78" spans="1:10" ht="16.5" thickBot="1" x14ac:dyDescent="0.3">
      <c r="A78" s="28" t="s">
        <v>36</v>
      </c>
      <c r="B78" s="29"/>
      <c r="C78" s="32"/>
      <c r="D78" s="20"/>
      <c r="E78" s="92"/>
      <c r="F78" s="27" t="s">
        <v>35</v>
      </c>
      <c r="G78" s="33"/>
      <c r="H78" s="38"/>
      <c r="I78" s="35"/>
      <c r="J78" s="35"/>
    </row>
    <row r="79" spans="1:10" ht="16.5" thickBot="1" x14ac:dyDescent="0.3">
      <c r="A79" s="93" t="s">
        <v>11</v>
      </c>
      <c r="B79" s="93"/>
      <c r="C79" s="8">
        <f>SUM(C54:C78)</f>
        <v>1</v>
      </c>
      <c r="D79" s="15">
        <v>4006.08</v>
      </c>
      <c r="E79" s="92"/>
      <c r="F79" s="28" t="s">
        <v>36</v>
      </c>
      <c r="G79" s="34"/>
      <c r="H79" s="38"/>
      <c r="I79" s="35"/>
      <c r="J79" s="35"/>
    </row>
    <row r="80" spans="1:10" x14ac:dyDescent="0.25">
      <c r="A80" s="2"/>
      <c r="B80" s="2"/>
      <c r="C80" s="2"/>
      <c r="D80" s="2"/>
      <c r="E80" s="2"/>
      <c r="F80" s="81" t="s">
        <v>11</v>
      </c>
      <c r="G80" s="81"/>
      <c r="H80" s="17">
        <f>SUM(H55:H79)</f>
        <v>1</v>
      </c>
      <c r="I80" s="13">
        <v>400</v>
      </c>
      <c r="J80" s="13">
        <f>+H53</f>
        <v>6.0799999999999272</v>
      </c>
    </row>
    <row r="81" spans="1:13" ht="23.25" x14ac:dyDescent="0.35">
      <c r="A81" s="82"/>
      <c r="B81" s="83"/>
      <c r="C81" s="2"/>
      <c r="D81" s="2"/>
      <c r="E81" s="2"/>
      <c r="F81" s="18"/>
      <c r="G81" s="18"/>
      <c r="H81" s="19"/>
      <c r="I81" s="18"/>
      <c r="J81" s="18"/>
    </row>
    <row r="82" spans="1:13" x14ac:dyDescent="0.25">
      <c r="A82" s="84" t="s">
        <v>18</v>
      </c>
      <c r="B82" s="84"/>
      <c r="C82" s="84"/>
      <c r="D82" s="84"/>
      <c r="E82" s="2"/>
      <c r="F82" s="2"/>
      <c r="G82" s="2"/>
    </row>
    <row r="83" spans="1:13" x14ac:dyDescent="0.25">
      <c r="A83" s="9" t="s">
        <v>12</v>
      </c>
      <c r="B83" s="9" t="s">
        <v>13</v>
      </c>
      <c r="C83" s="9" t="s">
        <v>14</v>
      </c>
      <c r="D83" s="10" t="s">
        <v>12</v>
      </c>
      <c r="E83" s="85" t="s">
        <v>13</v>
      </c>
      <c r="F83" s="86"/>
      <c r="G83" s="10" t="s">
        <v>14</v>
      </c>
      <c r="H83" s="9" t="s">
        <v>12</v>
      </c>
      <c r="I83" s="10" t="s">
        <v>13</v>
      </c>
      <c r="J83" s="10" t="s">
        <v>14</v>
      </c>
      <c r="K83" s="9" t="s">
        <v>12</v>
      </c>
      <c r="L83" s="10" t="s">
        <v>13</v>
      </c>
      <c r="M83" s="10" t="s">
        <v>14</v>
      </c>
    </row>
    <row r="84" spans="1:13" x14ac:dyDescent="0.25">
      <c r="A84" s="11">
        <v>1</v>
      </c>
      <c r="B84" s="16">
        <v>0.33333333333333331</v>
      </c>
      <c r="C84" s="16">
        <f>+B84+15/1440</f>
        <v>0.34375</v>
      </c>
      <c r="D84" s="11">
        <v>8</v>
      </c>
      <c r="E84" s="79">
        <f>+C90+5/1440</f>
        <v>0.43055555555555558</v>
      </c>
      <c r="F84" s="80"/>
      <c r="G84" s="40">
        <f>+E84+15/1440</f>
        <v>0.44097222222222227</v>
      </c>
      <c r="H84" s="11"/>
      <c r="I84" s="12">
        <f>G90+5/1440</f>
        <v>0.52777777777777779</v>
      </c>
      <c r="J84" s="12">
        <f>I84+15/1440</f>
        <v>0.53819444444444442</v>
      </c>
      <c r="K84" s="11">
        <v>19</v>
      </c>
      <c r="L84" s="12">
        <f>J90+5/1440</f>
        <v>0.62499999999999967</v>
      </c>
      <c r="M84" s="12">
        <f>L84+15/1440</f>
        <v>0.6354166666666663</v>
      </c>
    </row>
    <row r="85" spans="1:13" x14ac:dyDescent="0.25">
      <c r="A85" s="11">
        <v>2</v>
      </c>
      <c r="B85" s="16">
        <f t="shared" ref="B85:B90" si="16">+C84+5/1440</f>
        <v>0.34722222222222221</v>
      </c>
      <c r="C85" s="16">
        <f>+B85+15/1440</f>
        <v>0.3576388888888889</v>
      </c>
      <c r="D85" s="11">
        <v>9</v>
      </c>
      <c r="E85" s="79">
        <f>+G84+5/1440</f>
        <v>0.44444444444444448</v>
      </c>
      <c r="F85" s="80"/>
      <c r="G85" s="16">
        <f>+E85+15/1440</f>
        <v>0.45486111111111116</v>
      </c>
      <c r="H85" s="11">
        <v>13</v>
      </c>
      <c r="I85" s="12">
        <f>J84+5/1440</f>
        <v>0.54166666666666663</v>
      </c>
      <c r="J85" s="12">
        <f>I85+15/1440</f>
        <v>0.55208333333333326</v>
      </c>
      <c r="K85" s="11">
        <v>20</v>
      </c>
      <c r="L85" s="12">
        <f>M84+5/1440</f>
        <v>0.63888888888888851</v>
      </c>
      <c r="M85" s="12">
        <f>L85+15/1440</f>
        <v>0.64930555555555514</v>
      </c>
    </row>
    <row r="86" spans="1:13" x14ac:dyDescent="0.25">
      <c r="A86" s="11">
        <v>3</v>
      </c>
      <c r="B86" s="16">
        <f t="shared" si="16"/>
        <v>0.3611111111111111</v>
      </c>
      <c r="C86" s="16">
        <f t="shared" ref="C86:C90" si="17">+B86+15/1440</f>
        <v>0.37152777777777779</v>
      </c>
      <c r="D86" s="11">
        <v>10</v>
      </c>
      <c r="E86" s="79">
        <f t="shared" ref="E86:E90" si="18">+G85+5/1440</f>
        <v>0.45833333333333337</v>
      </c>
      <c r="F86" s="80"/>
      <c r="G86" s="16">
        <f t="shared" ref="G86:G90" si="19">+E86+15/1440</f>
        <v>0.46875000000000006</v>
      </c>
      <c r="H86" s="11">
        <v>14</v>
      </c>
      <c r="I86" s="12">
        <f t="shared" ref="I86:I90" si="20">J85+5/1440</f>
        <v>0.55555555555555547</v>
      </c>
      <c r="J86" s="12">
        <f t="shared" ref="J86:J90" si="21">I86+15/1440</f>
        <v>0.5659722222222221</v>
      </c>
      <c r="K86" s="11">
        <v>21</v>
      </c>
      <c r="L86" s="21">
        <f t="shared" ref="L86:L90" si="22">M85+5/1440</f>
        <v>0.65277777777777735</v>
      </c>
      <c r="M86" s="21">
        <f t="shared" ref="M86:M90" si="23">L86+15/1440</f>
        <v>0.66319444444444398</v>
      </c>
    </row>
    <row r="87" spans="1:13" x14ac:dyDescent="0.25">
      <c r="A87" s="11">
        <v>4</v>
      </c>
      <c r="B87" s="16">
        <f t="shared" si="16"/>
        <v>0.375</v>
      </c>
      <c r="C87" s="16">
        <f t="shared" si="17"/>
        <v>0.38541666666666669</v>
      </c>
      <c r="D87" s="11">
        <v>11</v>
      </c>
      <c r="E87" s="79">
        <f t="shared" si="18"/>
        <v>0.47222222222222227</v>
      </c>
      <c r="F87" s="80"/>
      <c r="G87" s="16">
        <f t="shared" si="19"/>
        <v>0.48263888888888895</v>
      </c>
      <c r="H87" s="11">
        <v>15</v>
      </c>
      <c r="I87" s="12">
        <f t="shared" si="20"/>
        <v>0.56944444444444431</v>
      </c>
      <c r="J87" s="12">
        <f t="shared" si="21"/>
        <v>0.57986111111111094</v>
      </c>
      <c r="K87" s="11">
        <v>22</v>
      </c>
      <c r="L87" s="21">
        <f t="shared" si="22"/>
        <v>0.66666666666666619</v>
      </c>
      <c r="M87" s="21">
        <f t="shared" si="23"/>
        <v>0.67708333333333282</v>
      </c>
    </row>
    <row r="88" spans="1:13" x14ac:dyDescent="0.25">
      <c r="A88" s="11">
        <v>5</v>
      </c>
      <c r="B88" s="16">
        <f t="shared" si="16"/>
        <v>0.3888888888888889</v>
      </c>
      <c r="C88" s="16">
        <f t="shared" si="17"/>
        <v>0.39930555555555558</v>
      </c>
      <c r="D88" s="11">
        <v>12</v>
      </c>
      <c r="E88" s="103">
        <f t="shared" si="18"/>
        <v>0.48611111111111116</v>
      </c>
      <c r="F88" s="104"/>
      <c r="G88" s="12">
        <f t="shared" si="19"/>
        <v>0.49652777777777785</v>
      </c>
      <c r="H88" s="11">
        <v>16</v>
      </c>
      <c r="I88" s="12">
        <f t="shared" si="20"/>
        <v>0.58333333333333315</v>
      </c>
      <c r="J88" s="12">
        <f t="shared" si="21"/>
        <v>0.59374999999999978</v>
      </c>
      <c r="K88" s="11">
        <v>23</v>
      </c>
      <c r="L88" s="21">
        <f t="shared" si="22"/>
        <v>0.68055555555555503</v>
      </c>
      <c r="M88" s="21">
        <f t="shared" si="23"/>
        <v>0.69097222222222165</v>
      </c>
    </row>
    <row r="89" spans="1:13" x14ac:dyDescent="0.25">
      <c r="A89" s="11">
        <v>6</v>
      </c>
      <c r="B89" s="16">
        <f t="shared" si="16"/>
        <v>0.40277777777777779</v>
      </c>
      <c r="C89" s="16">
        <f t="shared" si="17"/>
        <v>0.41319444444444448</v>
      </c>
      <c r="D89" s="11"/>
      <c r="E89" s="77">
        <f t="shared" si="18"/>
        <v>0.50000000000000011</v>
      </c>
      <c r="F89" s="78"/>
      <c r="G89" s="21">
        <f t="shared" si="19"/>
        <v>0.51041666666666674</v>
      </c>
      <c r="H89" s="11">
        <v>17</v>
      </c>
      <c r="I89" s="12">
        <f t="shared" si="20"/>
        <v>0.59722222222222199</v>
      </c>
      <c r="J89" s="12">
        <f t="shared" si="21"/>
        <v>0.60763888888888862</v>
      </c>
      <c r="K89" s="11">
        <v>24</v>
      </c>
      <c r="L89" s="21">
        <f t="shared" si="22"/>
        <v>0.69444444444444386</v>
      </c>
      <c r="M89" s="21">
        <f t="shared" si="23"/>
        <v>0.70486111111111049</v>
      </c>
    </row>
    <row r="90" spans="1:13" x14ac:dyDescent="0.25">
      <c r="A90" s="11">
        <v>7</v>
      </c>
      <c r="B90" s="16">
        <f t="shared" si="16"/>
        <v>0.41666666666666669</v>
      </c>
      <c r="C90" s="16">
        <f t="shared" si="17"/>
        <v>0.42708333333333337</v>
      </c>
      <c r="D90" s="11"/>
      <c r="E90" s="77">
        <f t="shared" si="18"/>
        <v>0.51388888888888895</v>
      </c>
      <c r="F90" s="78"/>
      <c r="G90" s="21">
        <f t="shared" si="19"/>
        <v>0.52430555555555558</v>
      </c>
      <c r="H90" s="11">
        <v>18</v>
      </c>
      <c r="I90" s="12">
        <f t="shared" si="20"/>
        <v>0.61111111111111083</v>
      </c>
      <c r="J90" s="12">
        <f t="shared" si="21"/>
        <v>0.62152777777777746</v>
      </c>
      <c r="K90" s="11">
        <v>25</v>
      </c>
      <c r="L90" s="21">
        <f t="shared" si="22"/>
        <v>0.7083333333333327</v>
      </c>
      <c r="M90" s="21">
        <f t="shared" si="23"/>
        <v>0.71874999999999933</v>
      </c>
    </row>
    <row r="91" spans="1:13" x14ac:dyDescent="0.25">
      <c r="H91" s="36"/>
      <c r="I91" s="37"/>
      <c r="J91" s="37"/>
    </row>
  </sheetData>
  <mergeCells count="47">
    <mergeCell ref="A4:B4"/>
    <mergeCell ref="C4:G4"/>
    <mergeCell ref="I4:J4"/>
    <mergeCell ref="A1:D2"/>
    <mergeCell ref="E1:J2"/>
    <mergeCell ref="A3:B3"/>
    <mergeCell ref="C3:G3"/>
    <mergeCell ref="I3:J3"/>
    <mergeCell ref="E39:F39"/>
    <mergeCell ref="I5:J5"/>
    <mergeCell ref="A6:B6"/>
    <mergeCell ref="E6:E32"/>
    <mergeCell ref="F7:G7"/>
    <mergeCell ref="A32:B32"/>
    <mergeCell ref="F33:G33"/>
    <mergeCell ref="A34:B34"/>
    <mergeCell ref="A35:D35"/>
    <mergeCell ref="E36:F36"/>
    <mergeCell ref="E37:F37"/>
    <mergeCell ref="E38:F38"/>
    <mergeCell ref="E40:F40"/>
    <mergeCell ref="E41:F41"/>
    <mergeCell ref="E42:F42"/>
    <mergeCell ref="E43:F43"/>
    <mergeCell ref="A48:D49"/>
    <mergeCell ref="E48:J49"/>
    <mergeCell ref="A81:B81"/>
    <mergeCell ref="A50:B50"/>
    <mergeCell ref="I50:J50"/>
    <mergeCell ref="A51:B51"/>
    <mergeCell ref="C51:G51"/>
    <mergeCell ref="I51:J51"/>
    <mergeCell ref="I52:J52"/>
    <mergeCell ref="A53:B53"/>
    <mergeCell ref="E53:E79"/>
    <mergeCell ref="F54:G54"/>
    <mergeCell ref="A79:B79"/>
    <mergeCell ref="F80:G80"/>
    <mergeCell ref="E88:F88"/>
    <mergeCell ref="E89:F89"/>
    <mergeCell ref="E90:F90"/>
    <mergeCell ref="A82:D82"/>
    <mergeCell ref="E83:F83"/>
    <mergeCell ref="E84:F84"/>
    <mergeCell ref="E85:F85"/>
    <mergeCell ref="E86:F86"/>
    <mergeCell ref="E87:F87"/>
  </mergeCells>
  <pageMargins left="0.7" right="0.7" top="0.75" bottom="0.75" header="0.3" footer="0.3"/>
  <pageSetup paperSize="9" scale="3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CDEC-ACBC-4851-8D2D-21C907E4415E}">
  <sheetPr>
    <pageSetUpPr fitToPage="1"/>
  </sheetPr>
  <dimension ref="A1:M200"/>
  <sheetViews>
    <sheetView topLeftCell="A167" zoomScaleNormal="100" workbookViewId="0">
      <selection activeCell="A159" sqref="A159:B159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58</v>
      </c>
      <c r="D3" s="100"/>
      <c r="E3" s="100"/>
      <c r="F3" s="100"/>
      <c r="G3" s="100"/>
      <c r="H3" s="1" t="s">
        <v>1</v>
      </c>
      <c r="I3" s="101">
        <v>45347</v>
      </c>
      <c r="J3" s="102"/>
    </row>
    <row r="4" spans="1:10" ht="37.5" customHeight="1" x14ac:dyDescent="0.25">
      <c r="A4" s="87" t="s">
        <v>2</v>
      </c>
      <c r="B4" s="87"/>
      <c r="C4" s="88" t="s">
        <v>59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49</v>
      </c>
      <c r="J5" s="90"/>
    </row>
    <row r="6" spans="1:10" ht="18.75" x14ac:dyDescent="0.3">
      <c r="A6" s="91" t="s">
        <v>4</v>
      </c>
      <c r="B6" s="91"/>
      <c r="C6" s="14" t="s">
        <v>5</v>
      </c>
      <c r="D6" s="14" t="s">
        <v>6</v>
      </c>
      <c r="E6" s="92" t="s">
        <v>7</v>
      </c>
      <c r="F6" s="63">
        <f>ROUNDDOWN(D32/400,0)</f>
        <v>22</v>
      </c>
      <c r="G6" s="64" t="s">
        <v>8</v>
      </c>
      <c r="H6" s="63">
        <f>D32-(F6*400)</f>
        <v>14.040000000000873</v>
      </c>
      <c r="I6" s="65" t="s">
        <v>9</v>
      </c>
      <c r="J6" s="66"/>
    </row>
    <row r="7" spans="1:10" ht="15.75" x14ac:dyDescent="0.25">
      <c r="A7" s="67" t="s">
        <v>23</v>
      </c>
      <c r="B7" s="68"/>
      <c r="C7" s="69"/>
      <c r="D7" s="20"/>
      <c r="E7" s="92"/>
      <c r="F7" s="91" t="s">
        <v>4</v>
      </c>
      <c r="G7" s="91"/>
      <c r="H7" s="14" t="s">
        <v>5</v>
      </c>
      <c r="I7" s="14" t="s">
        <v>6</v>
      </c>
      <c r="J7" s="14" t="s">
        <v>6</v>
      </c>
    </row>
    <row r="8" spans="1:10" ht="15.75" x14ac:dyDescent="0.25">
      <c r="A8" s="67" t="s">
        <v>42</v>
      </c>
      <c r="B8" s="68"/>
      <c r="C8" s="69"/>
      <c r="D8" s="20"/>
      <c r="E8" s="92"/>
      <c r="F8" s="67" t="s">
        <v>23</v>
      </c>
      <c r="G8" s="33"/>
      <c r="H8" s="69"/>
      <c r="I8" s="35"/>
      <c r="J8" s="35"/>
    </row>
    <row r="9" spans="1:10" ht="15.75" x14ac:dyDescent="0.25">
      <c r="A9" s="67" t="s">
        <v>24</v>
      </c>
      <c r="B9" s="68"/>
      <c r="C9" s="69"/>
      <c r="D9" s="20"/>
      <c r="E9" s="92"/>
      <c r="F9" s="67" t="s">
        <v>42</v>
      </c>
      <c r="G9" s="33"/>
      <c r="H9" s="69"/>
      <c r="I9" s="35"/>
      <c r="J9" s="35"/>
    </row>
    <row r="10" spans="1:10" ht="15.75" x14ac:dyDescent="0.25">
      <c r="A10" s="67" t="s">
        <v>25</v>
      </c>
      <c r="B10" s="68"/>
      <c r="C10" s="69">
        <v>0.2727</v>
      </c>
      <c r="D10" s="20">
        <f>C10*$D$32</f>
        <v>2403.5887080000002</v>
      </c>
      <c r="E10" s="92"/>
      <c r="F10" s="67" t="s">
        <v>24</v>
      </c>
      <c r="G10" s="33"/>
      <c r="H10" s="69"/>
      <c r="I10" s="35"/>
      <c r="J10" s="35"/>
    </row>
    <row r="11" spans="1:10" ht="15.75" x14ac:dyDescent="0.25">
      <c r="A11" s="67" t="s">
        <v>47</v>
      </c>
      <c r="B11" s="68"/>
      <c r="C11" s="69">
        <v>0.1047</v>
      </c>
      <c r="D11" s="20">
        <f t="shared" ref="D11:D27" si="0">C11*$D$32</f>
        <v>922.82998800000007</v>
      </c>
      <c r="E11" s="92"/>
      <c r="F11" s="67" t="s">
        <v>25</v>
      </c>
      <c r="G11" s="33"/>
      <c r="H11" s="69">
        <v>0.2727</v>
      </c>
      <c r="I11" s="35">
        <f t="shared" ref="I11:I28" si="1">H11*$I$33</f>
        <v>109.08</v>
      </c>
      <c r="J11" s="35">
        <f t="shared" ref="J11:J28" si="2">H11*$J$33</f>
        <v>3.8287080000002383</v>
      </c>
    </row>
    <row r="12" spans="1:10" ht="15.75" x14ac:dyDescent="0.25">
      <c r="A12" s="67" t="s">
        <v>46</v>
      </c>
      <c r="B12" s="68"/>
      <c r="C12" s="69"/>
      <c r="D12" s="20"/>
      <c r="E12" s="92"/>
      <c r="F12" s="67" t="s">
        <v>47</v>
      </c>
      <c r="G12" s="33"/>
      <c r="H12" s="69">
        <v>0.1047</v>
      </c>
      <c r="I12" s="35">
        <f t="shared" si="1"/>
        <v>41.88</v>
      </c>
      <c r="J12" s="35">
        <f t="shared" si="2"/>
        <v>1.4699880000000913</v>
      </c>
    </row>
    <row r="13" spans="1:10" ht="15.75" x14ac:dyDescent="0.25">
      <c r="A13" s="67" t="s">
        <v>26</v>
      </c>
      <c r="B13" s="68"/>
      <c r="C13" s="69"/>
      <c r="D13" s="20"/>
      <c r="E13" s="92"/>
      <c r="F13" s="67" t="s">
        <v>46</v>
      </c>
      <c r="G13" s="33"/>
      <c r="H13" s="69"/>
      <c r="I13" s="35"/>
      <c r="J13" s="35"/>
    </row>
    <row r="14" spans="1:10" ht="15.75" x14ac:dyDescent="0.25">
      <c r="A14" s="67" t="s">
        <v>43</v>
      </c>
      <c r="B14" s="68"/>
      <c r="C14" s="69"/>
      <c r="D14" s="20"/>
      <c r="E14" s="92"/>
      <c r="F14" s="67" t="s">
        <v>26</v>
      </c>
      <c r="G14" s="33"/>
      <c r="H14" s="69"/>
      <c r="I14" s="35"/>
      <c r="J14" s="35"/>
    </row>
    <row r="15" spans="1:10" ht="15.75" x14ac:dyDescent="0.25">
      <c r="A15" s="67" t="s">
        <v>19</v>
      </c>
      <c r="B15" s="68"/>
      <c r="C15" s="69"/>
      <c r="D15" s="20"/>
      <c r="E15" s="92"/>
      <c r="F15" s="67" t="s">
        <v>43</v>
      </c>
      <c r="G15" s="33"/>
      <c r="H15" s="69"/>
      <c r="I15" s="35"/>
      <c r="J15" s="35"/>
    </row>
    <row r="16" spans="1:10" ht="15.75" x14ac:dyDescent="0.25">
      <c r="A16" s="67" t="s">
        <v>27</v>
      </c>
      <c r="B16" s="68"/>
      <c r="C16" s="69"/>
      <c r="D16" s="20"/>
      <c r="E16" s="92"/>
      <c r="F16" s="67" t="s">
        <v>19</v>
      </c>
      <c r="G16" s="33"/>
      <c r="H16" s="69"/>
      <c r="I16" s="35"/>
      <c r="J16" s="35"/>
    </row>
    <row r="17" spans="1:10" ht="15.75" x14ac:dyDescent="0.25">
      <c r="A17" s="67" t="s">
        <v>44</v>
      </c>
      <c r="B17" s="68"/>
      <c r="C17" s="69"/>
      <c r="D17" s="20"/>
      <c r="E17" s="92"/>
      <c r="F17" s="67" t="s">
        <v>27</v>
      </c>
      <c r="G17" s="33"/>
      <c r="H17" s="69"/>
      <c r="I17" s="35"/>
      <c r="J17" s="35"/>
    </row>
    <row r="18" spans="1:10" ht="15.75" x14ac:dyDescent="0.25">
      <c r="A18" s="67" t="s">
        <v>28</v>
      </c>
      <c r="B18" s="68"/>
      <c r="C18" s="69">
        <v>0.58179999999999998</v>
      </c>
      <c r="D18" s="20">
        <f t="shared" si="0"/>
        <v>5128.0084720000004</v>
      </c>
      <c r="E18" s="92"/>
      <c r="F18" s="67" t="s">
        <v>44</v>
      </c>
      <c r="G18" s="33"/>
      <c r="H18" s="69"/>
      <c r="I18" s="35"/>
      <c r="J18" s="35"/>
    </row>
    <row r="19" spans="1:10" ht="15.75" x14ac:dyDescent="0.25">
      <c r="A19" s="67" t="s">
        <v>45</v>
      </c>
      <c r="B19" s="68"/>
      <c r="C19" s="69"/>
      <c r="D19" s="20"/>
      <c r="E19" s="92"/>
      <c r="F19" s="67" t="s">
        <v>28</v>
      </c>
      <c r="G19" s="33"/>
      <c r="H19" s="69">
        <v>0.58179999999999998</v>
      </c>
      <c r="I19" s="35">
        <f t="shared" ref="I19" si="3">H19*$I$33</f>
        <v>232.72</v>
      </c>
      <c r="J19" s="35">
        <f t="shared" ref="J19" si="4">H19*$J$33</f>
        <v>8.1684720000005075</v>
      </c>
    </row>
    <row r="20" spans="1:10" ht="15.75" x14ac:dyDescent="0.25">
      <c r="A20" s="67" t="s">
        <v>10</v>
      </c>
      <c r="B20" s="68"/>
      <c r="C20" s="69"/>
      <c r="D20" s="20"/>
      <c r="E20" s="92"/>
      <c r="F20" s="67" t="s">
        <v>45</v>
      </c>
      <c r="G20" s="33"/>
      <c r="H20" s="69"/>
      <c r="I20" s="35"/>
      <c r="J20" s="35"/>
    </row>
    <row r="21" spans="1:10" ht="15.75" x14ac:dyDescent="0.25">
      <c r="A21" s="67" t="s">
        <v>29</v>
      </c>
      <c r="B21" s="68"/>
      <c r="C21" s="69"/>
      <c r="D21" s="20"/>
      <c r="E21" s="92"/>
      <c r="F21" s="67" t="s">
        <v>10</v>
      </c>
      <c r="G21" s="33"/>
      <c r="H21" s="69"/>
      <c r="I21" s="35"/>
      <c r="J21" s="35"/>
    </row>
    <row r="22" spans="1:10" ht="15.75" x14ac:dyDescent="0.25">
      <c r="A22" s="67" t="s">
        <v>17</v>
      </c>
      <c r="B22" s="68"/>
      <c r="C22" s="69"/>
      <c r="D22" s="20"/>
      <c r="E22" s="92"/>
      <c r="F22" s="67" t="s">
        <v>29</v>
      </c>
      <c r="G22" s="33"/>
      <c r="H22" s="69"/>
      <c r="I22" s="35"/>
      <c r="J22" s="35"/>
    </row>
    <row r="23" spans="1:10" ht="15.75" x14ac:dyDescent="0.25">
      <c r="A23" s="67" t="s">
        <v>30</v>
      </c>
      <c r="B23" s="68"/>
      <c r="C23" s="69"/>
      <c r="D23" s="20"/>
      <c r="E23" s="92"/>
      <c r="F23" s="67" t="s">
        <v>17</v>
      </c>
      <c r="G23" s="33"/>
      <c r="H23" s="69"/>
      <c r="I23" s="35"/>
      <c r="J23" s="35"/>
    </row>
    <row r="24" spans="1:10" ht="15.75" x14ac:dyDescent="0.25">
      <c r="A24" s="67" t="s">
        <v>31</v>
      </c>
      <c r="B24" s="68"/>
      <c r="C24" s="69"/>
      <c r="D24" s="20"/>
      <c r="E24" s="92"/>
      <c r="F24" s="67" t="s">
        <v>30</v>
      </c>
      <c r="G24" s="33"/>
      <c r="H24" s="69"/>
      <c r="I24" s="35"/>
      <c r="J24" s="35"/>
    </row>
    <row r="25" spans="1:10" ht="15.75" x14ac:dyDescent="0.25">
      <c r="A25" s="67" t="s">
        <v>16</v>
      </c>
      <c r="B25" s="68"/>
      <c r="C25" s="69"/>
      <c r="D25" s="20"/>
      <c r="E25" s="92"/>
      <c r="F25" s="67" t="s">
        <v>31</v>
      </c>
      <c r="G25" s="33"/>
      <c r="H25" s="69"/>
      <c r="I25" s="35"/>
      <c r="J25" s="35"/>
    </row>
    <row r="26" spans="1:10" ht="15.75" x14ac:dyDescent="0.25">
      <c r="A26" s="67" t="s">
        <v>32</v>
      </c>
      <c r="B26" s="70"/>
      <c r="C26" s="69">
        <v>3.8600000000000002E-2</v>
      </c>
      <c r="D26" s="20">
        <f t="shared" si="0"/>
        <v>340.22194400000006</v>
      </c>
      <c r="E26" s="92"/>
      <c r="F26" s="67" t="s">
        <v>16</v>
      </c>
      <c r="G26" s="24"/>
      <c r="H26" s="69"/>
      <c r="I26" s="35"/>
      <c r="J26" s="35"/>
    </row>
    <row r="27" spans="1:10" ht="15.75" x14ac:dyDescent="0.25">
      <c r="A27" s="67" t="s">
        <v>33</v>
      </c>
      <c r="B27" s="70"/>
      <c r="C27" s="69">
        <v>2.2000000000000001E-3</v>
      </c>
      <c r="D27" s="20">
        <f t="shared" si="0"/>
        <v>19.390888000000004</v>
      </c>
      <c r="E27" s="92"/>
      <c r="F27" s="67" t="s">
        <v>32</v>
      </c>
      <c r="G27" s="24"/>
      <c r="H27" s="69">
        <v>3.8600000000000002E-2</v>
      </c>
      <c r="I27" s="35">
        <f t="shared" si="1"/>
        <v>15.440000000000001</v>
      </c>
      <c r="J27" s="35">
        <f t="shared" si="2"/>
        <v>0.54194400000003373</v>
      </c>
    </row>
    <row r="28" spans="1:10" ht="15.75" x14ac:dyDescent="0.25">
      <c r="A28" s="67" t="s">
        <v>34</v>
      </c>
      <c r="B28" s="70"/>
      <c r="C28" s="69"/>
      <c r="D28" s="20"/>
      <c r="E28" s="92"/>
      <c r="F28" s="67" t="s">
        <v>33</v>
      </c>
      <c r="G28" s="24"/>
      <c r="H28" s="69">
        <v>2.2000000000000001E-3</v>
      </c>
      <c r="I28" s="35">
        <f t="shared" si="1"/>
        <v>0.88</v>
      </c>
      <c r="J28" s="35">
        <f t="shared" si="2"/>
        <v>3.0888000000001924E-2</v>
      </c>
    </row>
    <row r="29" spans="1:10" ht="15.75" x14ac:dyDescent="0.25">
      <c r="A29" s="67" t="s">
        <v>22</v>
      </c>
      <c r="B29" s="70"/>
      <c r="C29" s="69"/>
      <c r="D29" s="20"/>
      <c r="E29" s="92"/>
      <c r="F29" s="67" t="s">
        <v>34</v>
      </c>
      <c r="G29" s="24"/>
      <c r="H29" s="69"/>
      <c r="I29" s="35"/>
      <c r="J29" s="35"/>
    </row>
    <row r="30" spans="1:10" ht="15.75" x14ac:dyDescent="0.25">
      <c r="A30" s="67" t="s">
        <v>35</v>
      </c>
      <c r="B30" s="68"/>
      <c r="C30" s="69"/>
      <c r="D30" s="20"/>
      <c r="E30" s="92"/>
      <c r="F30" s="67" t="s">
        <v>22</v>
      </c>
      <c r="G30" s="33"/>
      <c r="H30" s="69"/>
      <c r="I30" s="35"/>
      <c r="J30" s="35"/>
    </row>
    <row r="31" spans="1:10" ht="15.75" x14ac:dyDescent="0.25">
      <c r="A31" s="67" t="s">
        <v>36</v>
      </c>
      <c r="B31" s="68"/>
      <c r="C31" s="69"/>
      <c r="D31" s="20"/>
      <c r="E31" s="92"/>
      <c r="F31" s="67" t="s">
        <v>35</v>
      </c>
      <c r="G31" s="33"/>
      <c r="H31" s="69"/>
      <c r="I31" s="35"/>
      <c r="J31" s="35"/>
    </row>
    <row r="32" spans="1:10" ht="15.75" x14ac:dyDescent="0.25">
      <c r="A32" s="93" t="s">
        <v>11</v>
      </c>
      <c r="B32" s="93"/>
      <c r="C32" s="71">
        <f>SUM(C7:C31)</f>
        <v>1</v>
      </c>
      <c r="D32" s="72">
        <v>8814.0400000000009</v>
      </c>
      <c r="E32" s="92"/>
      <c r="F32" s="67" t="s">
        <v>36</v>
      </c>
      <c r="G32" s="33"/>
      <c r="H32" s="69"/>
      <c r="I32" s="35"/>
      <c r="J32" s="35"/>
    </row>
    <row r="33" spans="1:13" x14ac:dyDescent="0.25">
      <c r="A33" s="2"/>
      <c r="B33" s="2"/>
      <c r="C33" s="2"/>
      <c r="D33" s="2"/>
      <c r="E33" s="2"/>
      <c r="F33" s="114" t="s">
        <v>11</v>
      </c>
      <c r="G33" s="114"/>
      <c r="H33" s="62">
        <f>SUM(H8:H32)</f>
        <v>1</v>
      </c>
      <c r="I33" s="61">
        <v>400</v>
      </c>
      <c r="J33" s="61">
        <f>+H6</f>
        <v>14.040000000000873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6">
        <f t="shared" ref="B38:B43" si="5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>
        <v>13</v>
      </c>
      <c r="I38" s="16">
        <f>J37+5/1440</f>
        <v>0.54166666666666663</v>
      </c>
      <c r="J38" s="16">
        <f>I38+15/1440</f>
        <v>0.55208333333333326</v>
      </c>
      <c r="K38" s="11">
        <v>20</v>
      </c>
      <c r="L38" s="16">
        <f>M37+5/1440</f>
        <v>0.63888888888888851</v>
      </c>
      <c r="M38" s="16">
        <f>L38+15/1440</f>
        <v>0.64930555555555514</v>
      </c>
    </row>
    <row r="39" spans="1:13" x14ac:dyDescent="0.25">
      <c r="A39" s="11">
        <v>3</v>
      </c>
      <c r="B39" s="16">
        <f t="shared" si="5"/>
        <v>0.3611111111111111</v>
      </c>
      <c r="C39" s="16">
        <f t="shared" ref="C39:C43" si="6">+B39+15/1440</f>
        <v>0.37152777777777779</v>
      </c>
      <c r="D39" s="11">
        <v>10</v>
      </c>
      <c r="E39" s="79">
        <f t="shared" ref="E39:E43" si="7">+G38+5/1440</f>
        <v>0.45833333333333337</v>
      </c>
      <c r="F39" s="80"/>
      <c r="G39" s="16">
        <f t="shared" ref="G39:G43" si="8">+E39+15/1440</f>
        <v>0.46875000000000006</v>
      </c>
      <c r="H39" s="11">
        <v>14</v>
      </c>
      <c r="I39" s="16">
        <f t="shared" ref="I39:I43" si="9">J38+5/1440</f>
        <v>0.55555555555555547</v>
      </c>
      <c r="J39" s="16">
        <f t="shared" ref="J39:J43" si="10">I39+15/1440</f>
        <v>0.5659722222222221</v>
      </c>
      <c r="K39" s="11">
        <v>21</v>
      </c>
      <c r="L39" s="16">
        <f t="shared" ref="L39:L43" si="11">M38+5/1440</f>
        <v>0.65277777777777735</v>
      </c>
      <c r="M39" s="16">
        <f t="shared" ref="M39:M43" si="12">L39+15/1440</f>
        <v>0.66319444444444398</v>
      </c>
    </row>
    <row r="40" spans="1:13" x14ac:dyDescent="0.25">
      <c r="A40" s="11">
        <v>4</v>
      </c>
      <c r="B40" s="16">
        <f t="shared" si="5"/>
        <v>0.375</v>
      </c>
      <c r="C40" s="16">
        <f t="shared" si="6"/>
        <v>0.38541666666666669</v>
      </c>
      <c r="D40" s="11">
        <v>11</v>
      </c>
      <c r="E40" s="79">
        <f t="shared" si="7"/>
        <v>0.47222222222222227</v>
      </c>
      <c r="F40" s="80"/>
      <c r="G40" s="16">
        <f t="shared" si="8"/>
        <v>0.48263888888888895</v>
      </c>
      <c r="H40" s="11">
        <v>15</v>
      </c>
      <c r="I40" s="16">
        <f t="shared" si="9"/>
        <v>0.56944444444444431</v>
      </c>
      <c r="J40" s="16">
        <f t="shared" si="10"/>
        <v>0.57986111111111094</v>
      </c>
      <c r="K40" s="11">
        <v>22</v>
      </c>
      <c r="L40" s="16">
        <f t="shared" si="11"/>
        <v>0.66666666666666619</v>
      </c>
      <c r="M40" s="16">
        <f t="shared" si="12"/>
        <v>0.67708333333333282</v>
      </c>
    </row>
    <row r="41" spans="1:13" x14ac:dyDescent="0.25">
      <c r="A41" s="11">
        <v>5</v>
      </c>
      <c r="B41" s="16">
        <f t="shared" si="5"/>
        <v>0.3888888888888889</v>
      </c>
      <c r="C41" s="16">
        <f t="shared" si="6"/>
        <v>0.39930555555555558</v>
      </c>
      <c r="D41" s="11">
        <v>12</v>
      </c>
      <c r="E41" s="79">
        <f t="shared" si="7"/>
        <v>0.48611111111111116</v>
      </c>
      <c r="F41" s="80"/>
      <c r="G41" s="16">
        <f t="shared" si="8"/>
        <v>0.49652777777777785</v>
      </c>
      <c r="H41" s="11">
        <v>16</v>
      </c>
      <c r="I41" s="16">
        <f t="shared" si="9"/>
        <v>0.58333333333333315</v>
      </c>
      <c r="J41" s="16">
        <f t="shared" si="10"/>
        <v>0.59374999999999978</v>
      </c>
      <c r="K41" s="11">
        <v>23</v>
      </c>
      <c r="L41" s="16">
        <f t="shared" si="11"/>
        <v>0.68055555555555503</v>
      </c>
      <c r="M41" s="16">
        <f t="shared" si="12"/>
        <v>0.69097222222222165</v>
      </c>
    </row>
    <row r="42" spans="1:13" x14ac:dyDescent="0.25">
      <c r="A42" s="11">
        <v>6</v>
      </c>
      <c r="B42" s="16">
        <f t="shared" si="5"/>
        <v>0.40277777777777779</v>
      </c>
      <c r="C42" s="16">
        <f t="shared" si="6"/>
        <v>0.41319444444444448</v>
      </c>
      <c r="D42" s="11"/>
      <c r="E42" s="77">
        <f t="shared" si="7"/>
        <v>0.50000000000000011</v>
      </c>
      <c r="F42" s="78"/>
      <c r="G42" s="21">
        <f t="shared" si="8"/>
        <v>0.51041666666666674</v>
      </c>
      <c r="H42" s="11">
        <v>17</v>
      </c>
      <c r="I42" s="16">
        <f t="shared" si="9"/>
        <v>0.59722222222222199</v>
      </c>
      <c r="J42" s="16">
        <f t="shared" si="10"/>
        <v>0.60763888888888862</v>
      </c>
      <c r="K42" s="11">
        <v>24</v>
      </c>
      <c r="L42" s="12">
        <f t="shared" si="11"/>
        <v>0.69444444444444386</v>
      </c>
      <c r="M42" s="12">
        <f t="shared" si="12"/>
        <v>0.70486111111111049</v>
      </c>
    </row>
    <row r="43" spans="1:13" x14ac:dyDescent="0.25">
      <c r="A43" s="11">
        <v>7</v>
      </c>
      <c r="B43" s="16">
        <f t="shared" si="5"/>
        <v>0.41666666666666669</v>
      </c>
      <c r="C43" s="16">
        <f t="shared" si="6"/>
        <v>0.42708333333333337</v>
      </c>
      <c r="D43" s="11"/>
      <c r="E43" s="77">
        <f t="shared" si="7"/>
        <v>0.51388888888888895</v>
      </c>
      <c r="F43" s="78"/>
      <c r="G43" s="21">
        <f t="shared" si="8"/>
        <v>0.52430555555555558</v>
      </c>
      <c r="H43" s="11">
        <v>18</v>
      </c>
      <c r="I43" s="16">
        <f t="shared" si="9"/>
        <v>0.61111111111111083</v>
      </c>
      <c r="J43" s="16">
        <f t="shared" si="10"/>
        <v>0.62152777777777746</v>
      </c>
      <c r="K43" s="11">
        <v>25</v>
      </c>
      <c r="L43" s="12">
        <f t="shared" si="11"/>
        <v>0.7083333333333327</v>
      </c>
      <c r="M43" s="12">
        <f t="shared" si="12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ht="15.75" thickBot="1" x14ac:dyDescent="0.3">
      <c r="H47" s="36"/>
      <c r="I47" s="37"/>
      <c r="J47" s="37"/>
      <c r="M47" t="s">
        <v>50</v>
      </c>
    </row>
    <row r="48" spans="1:13" x14ac:dyDescent="0.25">
      <c r="A48" s="94" t="s">
        <v>20</v>
      </c>
      <c r="B48" s="95"/>
      <c r="C48" s="95"/>
      <c r="D48" s="96"/>
      <c r="E48" s="95" t="s">
        <v>21</v>
      </c>
      <c r="F48" s="95"/>
      <c r="G48" s="95"/>
      <c r="H48" s="95"/>
      <c r="I48" s="95"/>
      <c r="J48" s="96"/>
    </row>
    <row r="49" spans="1:10" ht="15.75" thickBot="1" x14ac:dyDescent="0.3">
      <c r="A49" s="97"/>
      <c r="B49" s="98"/>
      <c r="C49" s="98"/>
      <c r="D49" s="99"/>
      <c r="E49" s="98"/>
      <c r="F49" s="98"/>
      <c r="G49" s="98"/>
      <c r="H49" s="98"/>
      <c r="I49" s="98"/>
      <c r="J49" s="99"/>
    </row>
    <row r="50" spans="1:10" ht="18.75" x14ac:dyDescent="0.25">
      <c r="A50" s="87" t="s">
        <v>0</v>
      </c>
      <c r="B50" s="87"/>
      <c r="C50" s="100" t="s">
        <v>55</v>
      </c>
      <c r="D50" s="100"/>
      <c r="E50" s="100"/>
      <c r="F50" s="100"/>
      <c r="G50" s="100"/>
      <c r="H50" s="1" t="s">
        <v>1</v>
      </c>
      <c r="I50" s="101">
        <v>45348</v>
      </c>
      <c r="J50" s="102"/>
    </row>
    <row r="51" spans="1:10" ht="26.25" customHeight="1" x14ac:dyDescent="0.25">
      <c r="A51" s="87" t="s">
        <v>2</v>
      </c>
      <c r="B51" s="87"/>
      <c r="C51" s="88" t="s">
        <v>48</v>
      </c>
      <c r="D51" s="88"/>
      <c r="E51" s="88"/>
      <c r="F51" s="88"/>
      <c r="G51" s="88"/>
      <c r="H51" s="1" t="s">
        <v>3</v>
      </c>
      <c r="I51" s="89" t="s">
        <v>41</v>
      </c>
      <c r="J51" s="89"/>
    </row>
    <row r="52" spans="1:10" x14ac:dyDescent="0.25">
      <c r="A52" s="2"/>
      <c r="B52" s="2"/>
      <c r="C52" s="2"/>
      <c r="D52" s="2"/>
      <c r="E52" s="2"/>
      <c r="F52" s="2"/>
      <c r="G52" s="2"/>
      <c r="I52" s="90" t="s">
        <v>64</v>
      </c>
      <c r="J52" s="90"/>
    </row>
    <row r="53" spans="1:10" ht="18.75" x14ac:dyDescent="0.3">
      <c r="A53" s="91" t="s">
        <v>4</v>
      </c>
      <c r="B53" s="91"/>
      <c r="C53" s="3" t="s">
        <v>5</v>
      </c>
      <c r="D53" s="14" t="s">
        <v>6</v>
      </c>
      <c r="E53" s="92" t="s">
        <v>7</v>
      </c>
      <c r="F53" s="4">
        <f>ROUNDDOWN(D79/400,0)</f>
        <v>12</v>
      </c>
      <c r="G53" s="5" t="s">
        <v>8</v>
      </c>
      <c r="H53" s="6">
        <f>D79-(F53*400)</f>
        <v>150.94999999999982</v>
      </c>
      <c r="I53" s="7" t="s">
        <v>9</v>
      </c>
    </row>
    <row r="54" spans="1:10" ht="15.75" x14ac:dyDescent="0.25">
      <c r="A54" s="67" t="s">
        <v>23</v>
      </c>
      <c r="B54" s="68"/>
      <c r="C54" s="69"/>
      <c r="D54" s="20"/>
      <c r="E54" s="113"/>
      <c r="F54" s="91" t="s">
        <v>4</v>
      </c>
      <c r="G54" s="91"/>
      <c r="H54" s="14" t="s">
        <v>5</v>
      </c>
      <c r="I54" s="14" t="s">
        <v>6</v>
      </c>
      <c r="J54" s="14" t="s">
        <v>6</v>
      </c>
    </row>
    <row r="55" spans="1:10" ht="15.75" x14ac:dyDescent="0.25">
      <c r="A55" s="67" t="s">
        <v>42</v>
      </c>
      <c r="B55" s="68"/>
      <c r="C55" s="69"/>
      <c r="D55" s="20"/>
      <c r="E55" s="113"/>
      <c r="F55" s="67" t="s">
        <v>23</v>
      </c>
      <c r="G55" s="33"/>
      <c r="H55" s="69"/>
      <c r="I55" s="35"/>
      <c r="J55" s="35"/>
    </row>
    <row r="56" spans="1:10" ht="15.75" x14ac:dyDescent="0.25">
      <c r="A56" s="67" t="s">
        <v>24</v>
      </c>
      <c r="B56" s="68"/>
      <c r="C56" s="69"/>
      <c r="D56" s="20"/>
      <c r="E56" s="113"/>
      <c r="F56" s="67" t="s">
        <v>42</v>
      </c>
      <c r="G56" s="33"/>
      <c r="H56" s="69"/>
      <c r="I56" s="35"/>
      <c r="J56" s="35"/>
    </row>
    <row r="57" spans="1:10" ht="15.75" x14ac:dyDescent="0.25">
      <c r="A57" s="67" t="s">
        <v>25</v>
      </c>
      <c r="B57" s="68"/>
      <c r="C57" s="69">
        <v>0.11</v>
      </c>
      <c r="D57" s="20">
        <f>C57*$D$79</f>
        <v>544.60450000000003</v>
      </c>
      <c r="E57" s="113"/>
      <c r="F57" s="67" t="s">
        <v>24</v>
      </c>
      <c r="G57" s="33"/>
      <c r="H57" s="69"/>
      <c r="I57" s="35"/>
      <c r="J57" s="35"/>
    </row>
    <row r="58" spans="1:10" ht="15.75" x14ac:dyDescent="0.25">
      <c r="A58" s="67" t="s">
        <v>47</v>
      </c>
      <c r="B58" s="68"/>
      <c r="C58" s="69">
        <v>0.21879999999999999</v>
      </c>
      <c r="D58" s="20">
        <f t="shared" ref="D58:D74" si="13">C58*$D$79</f>
        <v>1083.2678599999999</v>
      </c>
      <c r="E58" s="113"/>
      <c r="F58" s="67" t="s">
        <v>25</v>
      </c>
      <c r="G58" s="33"/>
      <c r="H58" s="69">
        <v>0.1032</v>
      </c>
      <c r="I58" s="35">
        <f>H58*$I$80</f>
        <v>41.28</v>
      </c>
      <c r="J58" s="35">
        <f>H58*$J$80</f>
        <v>15.578039999999982</v>
      </c>
    </row>
    <row r="59" spans="1:10" ht="15.75" x14ac:dyDescent="0.25">
      <c r="A59" s="67" t="s">
        <v>46</v>
      </c>
      <c r="B59" s="68"/>
      <c r="C59" s="69"/>
      <c r="D59" s="20"/>
      <c r="E59" s="113"/>
      <c r="F59" s="67" t="s">
        <v>47</v>
      </c>
      <c r="G59" s="33"/>
      <c r="H59" s="69">
        <v>0.219</v>
      </c>
      <c r="I59" s="35">
        <f t="shared" ref="I59:I75" si="14">H59*$I$80</f>
        <v>87.6</v>
      </c>
      <c r="J59" s="35">
        <f t="shared" ref="J59:J75" si="15">H59*$J$80</f>
        <v>33.058049999999959</v>
      </c>
    </row>
    <row r="60" spans="1:10" ht="15.75" x14ac:dyDescent="0.25">
      <c r="A60" s="67" t="s">
        <v>26</v>
      </c>
      <c r="B60" s="68"/>
      <c r="C60" s="69">
        <v>1.9900000000000001E-2</v>
      </c>
      <c r="D60" s="20">
        <f t="shared" si="13"/>
        <v>98.523904999999999</v>
      </c>
      <c r="E60" s="113"/>
      <c r="F60" s="67" t="s">
        <v>46</v>
      </c>
      <c r="G60" s="33"/>
      <c r="H60" s="69"/>
      <c r="I60" s="35"/>
      <c r="J60" s="35"/>
    </row>
    <row r="61" spans="1:10" ht="15.75" x14ac:dyDescent="0.25">
      <c r="A61" s="67" t="s">
        <v>43</v>
      </c>
      <c r="B61" s="68"/>
      <c r="C61" s="69"/>
      <c r="D61" s="20"/>
      <c r="E61" s="113"/>
      <c r="F61" s="67" t="s">
        <v>26</v>
      </c>
      <c r="G61" s="33"/>
      <c r="H61" s="69">
        <v>1.5900000000000001E-2</v>
      </c>
      <c r="I61" s="35">
        <f t="shared" si="14"/>
        <v>6.36</v>
      </c>
      <c r="J61" s="35">
        <f t="shared" si="15"/>
        <v>2.4001049999999973</v>
      </c>
    </row>
    <row r="62" spans="1:10" ht="15.75" x14ac:dyDescent="0.25">
      <c r="A62" s="67" t="s">
        <v>19</v>
      </c>
      <c r="B62" s="68"/>
      <c r="C62" s="69"/>
      <c r="D62" s="20"/>
      <c r="E62" s="113"/>
      <c r="F62" s="67" t="s">
        <v>43</v>
      </c>
      <c r="G62" s="33"/>
      <c r="H62" s="69"/>
      <c r="I62" s="35"/>
      <c r="J62" s="35"/>
    </row>
    <row r="63" spans="1:10" ht="15.75" x14ac:dyDescent="0.25">
      <c r="A63" s="67" t="s">
        <v>27</v>
      </c>
      <c r="B63" s="68"/>
      <c r="C63" s="69"/>
      <c r="D63" s="20"/>
      <c r="E63" s="113"/>
      <c r="F63" s="67" t="s">
        <v>19</v>
      </c>
      <c r="G63" s="33"/>
      <c r="H63" s="69"/>
      <c r="I63" s="35"/>
      <c r="J63" s="35"/>
    </row>
    <row r="64" spans="1:10" ht="15.75" x14ac:dyDescent="0.25">
      <c r="A64" s="67" t="s">
        <v>44</v>
      </c>
      <c r="B64" s="68"/>
      <c r="C64" s="69">
        <v>0.45750000000000002</v>
      </c>
      <c r="D64" s="20">
        <f t="shared" si="13"/>
        <v>2265.0596249999999</v>
      </c>
      <c r="E64" s="113"/>
      <c r="F64" s="67" t="s">
        <v>27</v>
      </c>
      <c r="G64" s="33"/>
      <c r="H64" s="69"/>
      <c r="I64" s="35"/>
      <c r="J64" s="35"/>
    </row>
    <row r="65" spans="1:10" ht="15.75" x14ac:dyDescent="0.25">
      <c r="A65" s="67" t="s">
        <v>28</v>
      </c>
      <c r="B65" s="68"/>
      <c r="C65" s="69"/>
      <c r="D65" s="20"/>
      <c r="E65" s="113"/>
      <c r="F65" s="67" t="s">
        <v>44</v>
      </c>
      <c r="G65" s="33"/>
      <c r="H65" s="69">
        <v>0.46789999999999998</v>
      </c>
      <c r="I65" s="35">
        <f t="shared" si="14"/>
        <v>187.16</v>
      </c>
      <c r="J65" s="35">
        <f t="shared" si="15"/>
        <v>70.629504999999909</v>
      </c>
    </row>
    <row r="66" spans="1:10" ht="15.75" x14ac:dyDescent="0.25">
      <c r="A66" s="67" t="s">
        <v>45</v>
      </c>
      <c r="B66" s="68"/>
      <c r="C66" s="69"/>
      <c r="D66" s="20"/>
      <c r="E66" s="113"/>
      <c r="F66" s="67" t="s">
        <v>28</v>
      </c>
      <c r="G66" s="33"/>
      <c r="H66" s="69"/>
      <c r="I66" s="35"/>
      <c r="J66" s="35"/>
    </row>
    <row r="67" spans="1:10" ht="15.75" x14ac:dyDescent="0.25">
      <c r="A67" s="67" t="s">
        <v>10</v>
      </c>
      <c r="B67" s="68"/>
      <c r="C67" s="69"/>
      <c r="D67" s="20"/>
      <c r="E67" s="113"/>
      <c r="F67" s="67" t="s">
        <v>45</v>
      </c>
      <c r="G67" s="33"/>
      <c r="H67" s="69"/>
      <c r="I67" s="35"/>
      <c r="J67" s="35"/>
    </row>
    <row r="68" spans="1:10" ht="15.75" x14ac:dyDescent="0.25">
      <c r="A68" s="67" t="s">
        <v>29</v>
      </c>
      <c r="B68" s="68"/>
      <c r="C68" s="69">
        <v>0.13919999999999999</v>
      </c>
      <c r="D68" s="20">
        <f t="shared" si="13"/>
        <v>689.17223999999987</v>
      </c>
      <c r="E68" s="113"/>
      <c r="F68" s="67" t="s">
        <v>10</v>
      </c>
      <c r="G68" s="33"/>
      <c r="H68" s="69"/>
      <c r="I68" s="35"/>
      <c r="J68" s="35"/>
    </row>
    <row r="69" spans="1:10" ht="15.75" x14ac:dyDescent="0.25">
      <c r="A69" s="67" t="s">
        <v>17</v>
      </c>
      <c r="B69" s="68"/>
      <c r="C69" s="69"/>
      <c r="D69" s="20"/>
      <c r="E69" s="113"/>
      <c r="F69" s="67" t="s">
        <v>29</v>
      </c>
      <c r="G69" s="33"/>
      <c r="H69" s="69">
        <v>0.1394</v>
      </c>
      <c r="I69" s="35">
        <f t="shared" si="14"/>
        <v>55.76</v>
      </c>
      <c r="J69" s="35">
        <f t="shared" si="15"/>
        <v>21.042429999999975</v>
      </c>
    </row>
    <row r="70" spans="1:10" ht="15.75" x14ac:dyDescent="0.25">
      <c r="A70" s="67" t="s">
        <v>30</v>
      </c>
      <c r="B70" s="68"/>
      <c r="C70" s="69"/>
      <c r="D70" s="20"/>
      <c r="E70" s="113"/>
      <c r="F70" s="67" t="s">
        <v>17</v>
      </c>
      <c r="G70" s="33"/>
      <c r="H70" s="69"/>
      <c r="I70" s="35"/>
      <c r="J70" s="35"/>
    </row>
    <row r="71" spans="1:10" ht="15.75" x14ac:dyDescent="0.25">
      <c r="A71" s="67" t="s">
        <v>31</v>
      </c>
      <c r="B71" s="68"/>
      <c r="C71" s="69"/>
      <c r="D71" s="20"/>
      <c r="E71" s="113"/>
      <c r="F71" s="67" t="s">
        <v>30</v>
      </c>
      <c r="G71" s="33"/>
      <c r="H71" s="69"/>
      <c r="I71" s="35"/>
      <c r="J71" s="35"/>
    </row>
    <row r="72" spans="1:10" ht="15.75" x14ac:dyDescent="0.25">
      <c r="A72" s="67" t="s">
        <v>16</v>
      </c>
      <c r="B72" s="68"/>
      <c r="C72" s="69">
        <v>0.01</v>
      </c>
      <c r="D72" s="20">
        <f t="shared" si="13"/>
        <v>49.509500000000003</v>
      </c>
      <c r="E72" s="113"/>
      <c r="F72" s="67" t="s">
        <v>31</v>
      </c>
      <c r="G72" s="33"/>
      <c r="H72" s="69"/>
      <c r="I72" s="35"/>
      <c r="J72" s="35"/>
    </row>
    <row r="73" spans="1:10" ht="15.75" x14ac:dyDescent="0.25">
      <c r="A73" s="67" t="s">
        <v>32</v>
      </c>
      <c r="B73" s="70"/>
      <c r="C73" s="69">
        <v>4.2200000000000001E-2</v>
      </c>
      <c r="D73" s="20">
        <f t="shared" si="13"/>
        <v>208.93009000000001</v>
      </c>
      <c r="E73" s="113"/>
      <c r="F73" s="67" t="s">
        <v>16</v>
      </c>
      <c r="G73" s="24"/>
      <c r="H73" s="69">
        <v>0.01</v>
      </c>
      <c r="I73" s="35">
        <f t="shared" si="14"/>
        <v>4</v>
      </c>
      <c r="J73" s="35">
        <f t="shared" si="15"/>
        <v>1.5094999999999983</v>
      </c>
    </row>
    <row r="74" spans="1:10" ht="15.75" x14ac:dyDescent="0.25">
      <c r="A74" s="67" t="s">
        <v>33</v>
      </c>
      <c r="B74" s="70"/>
      <c r="C74" s="69">
        <v>2.3999999999999998E-3</v>
      </c>
      <c r="D74" s="20">
        <f t="shared" si="13"/>
        <v>11.882279999999998</v>
      </c>
      <c r="E74" s="113"/>
      <c r="F74" s="67" t="s">
        <v>32</v>
      </c>
      <c r="G74" s="24"/>
      <c r="H74" s="69">
        <v>4.2200000000000001E-2</v>
      </c>
      <c r="I74" s="35">
        <f t="shared" si="14"/>
        <v>16.88</v>
      </c>
      <c r="J74" s="35">
        <f t="shared" si="15"/>
        <v>6.3700899999999923</v>
      </c>
    </row>
    <row r="75" spans="1:10" ht="15.75" x14ac:dyDescent="0.25">
      <c r="A75" s="67" t="s">
        <v>34</v>
      </c>
      <c r="B75" s="70"/>
      <c r="C75" s="69"/>
      <c r="D75" s="20"/>
      <c r="E75" s="113"/>
      <c r="F75" s="67" t="s">
        <v>33</v>
      </c>
      <c r="G75" s="24"/>
      <c r="H75" s="69">
        <v>2.3999999999999998E-3</v>
      </c>
      <c r="I75" s="35">
        <f t="shared" si="14"/>
        <v>0.96</v>
      </c>
      <c r="J75" s="35">
        <f t="shared" si="15"/>
        <v>0.36227999999999955</v>
      </c>
    </row>
    <row r="76" spans="1:10" ht="15.75" x14ac:dyDescent="0.25">
      <c r="A76" s="67" t="s">
        <v>22</v>
      </c>
      <c r="B76" s="70"/>
      <c r="C76" s="69"/>
      <c r="D76" s="20"/>
      <c r="E76" s="113"/>
      <c r="F76" s="67" t="s">
        <v>34</v>
      </c>
      <c r="G76" s="24"/>
      <c r="H76" s="69"/>
      <c r="I76" s="35"/>
      <c r="J76" s="35"/>
    </row>
    <row r="77" spans="1:10" ht="15.75" x14ac:dyDescent="0.25">
      <c r="A77" s="67" t="s">
        <v>35</v>
      </c>
      <c r="B77" s="68"/>
      <c r="C77" s="69"/>
      <c r="D77" s="20"/>
      <c r="E77" s="113"/>
      <c r="F77" s="67" t="s">
        <v>22</v>
      </c>
      <c r="G77" s="33"/>
      <c r="H77" s="69"/>
      <c r="I77" s="35"/>
      <c r="J77" s="35"/>
    </row>
    <row r="78" spans="1:10" ht="15.75" x14ac:dyDescent="0.25">
      <c r="A78" s="67" t="s">
        <v>36</v>
      </c>
      <c r="B78" s="68"/>
      <c r="C78" s="69"/>
      <c r="D78" s="20"/>
      <c r="E78" s="113"/>
      <c r="F78" s="67" t="s">
        <v>35</v>
      </c>
      <c r="G78" s="33"/>
      <c r="H78" s="69"/>
      <c r="I78" s="35"/>
      <c r="J78" s="35"/>
    </row>
    <row r="79" spans="1:10" ht="15.75" x14ac:dyDescent="0.25">
      <c r="A79" s="93" t="s">
        <v>11</v>
      </c>
      <c r="B79" s="93"/>
      <c r="C79" s="71">
        <f>SUM(C54:C78)</f>
        <v>1</v>
      </c>
      <c r="D79" s="72">
        <v>4950.95</v>
      </c>
      <c r="E79" s="113"/>
      <c r="F79" s="67" t="s">
        <v>36</v>
      </c>
      <c r="G79" s="33"/>
      <c r="H79" s="69"/>
      <c r="I79" s="35"/>
      <c r="J79" s="35"/>
    </row>
    <row r="80" spans="1:10" x14ac:dyDescent="0.25">
      <c r="A80" s="2"/>
      <c r="B80" s="2"/>
      <c r="C80" s="2"/>
      <c r="D80" s="2"/>
      <c r="E80" s="2"/>
      <c r="F80" s="114" t="s">
        <v>11</v>
      </c>
      <c r="G80" s="114"/>
      <c r="H80" s="62">
        <f>SUM(H55:H79)</f>
        <v>1</v>
      </c>
      <c r="I80" s="61">
        <v>400</v>
      </c>
      <c r="J80" s="61">
        <f>+H53</f>
        <v>150.94999999999982</v>
      </c>
    </row>
    <row r="81" spans="1:13" ht="23.25" x14ac:dyDescent="0.35">
      <c r="A81" s="82"/>
      <c r="B81" s="83"/>
      <c r="C81" s="2"/>
      <c r="D81" s="2"/>
      <c r="E81" s="2"/>
      <c r="F81" s="18"/>
      <c r="G81" s="18"/>
      <c r="H81" s="19"/>
      <c r="I81" s="18"/>
      <c r="J81" s="18"/>
    </row>
    <row r="82" spans="1:13" x14ac:dyDescent="0.25">
      <c r="A82" s="84" t="s">
        <v>18</v>
      </c>
      <c r="B82" s="84"/>
      <c r="C82" s="84"/>
      <c r="D82" s="84"/>
      <c r="E82" s="2"/>
      <c r="F82" s="2"/>
      <c r="G82" s="2"/>
    </row>
    <row r="83" spans="1:13" x14ac:dyDescent="0.25">
      <c r="A83" s="9" t="s">
        <v>12</v>
      </c>
      <c r="B83" s="9" t="s">
        <v>13</v>
      </c>
      <c r="C83" s="9" t="s">
        <v>14</v>
      </c>
      <c r="D83" s="10" t="s">
        <v>12</v>
      </c>
      <c r="E83" s="85" t="s">
        <v>13</v>
      </c>
      <c r="F83" s="86"/>
      <c r="G83" s="10" t="s">
        <v>14</v>
      </c>
      <c r="H83" s="9" t="s">
        <v>12</v>
      </c>
      <c r="I83" s="10" t="s">
        <v>13</v>
      </c>
      <c r="J83" s="10" t="s">
        <v>14</v>
      </c>
      <c r="K83" s="9" t="s">
        <v>12</v>
      </c>
      <c r="L83" s="10" t="s">
        <v>13</v>
      </c>
      <c r="M83" s="10" t="s">
        <v>14</v>
      </c>
    </row>
    <row r="84" spans="1:13" x14ac:dyDescent="0.25">
      <c r="A84" s="11">
        <v>1</v>
      </c>
      <c r="B84" s="16">
        <v>0.33333333333333331</v>
      </c>
      <c r="C84" s="16">
        <f>+B84+15/1440</f>
        <v>0.34375</v>
      </c>
      <c r="D84" s="11">
        <v>8</v>
      </c>
      <c r="E84" s="79">
        <f>+C90+5/1440</f>
        <v>0.43055555555555558</v>
      </c>
      <c r="F84" s="80"/>
      <c r="G84" s="16">
        <f>+E84+15/1440</f>
        <v>0.44097222222222227</v>
      </c>
      <c r="H84" s="11"/>
      <c r="I84" s="12">
        <f>G90+5/1440</f>
        <v>0.52777777777777779</v>
      </c>
      <c r="J84" s="12">
        <f>I84+15/1440</f>
        <v>0.53819444444444442</v>
      </c>
      <c r="K84" s="11">
        <v>19</v>
      </c>
      <c r="L84" s="12">
        <f>J90+5/1440</f>
        <v>0.62499999999999967</v>
      </c>
      <c r="M84" s="12">
        <f>L84+15/1440</f>
        <v>0.6354166666666663</v>
      </c>
    </row>
    <row r="85" spans="1:13" x14ac:dyDescent="0.25">
      <c r="A85" s="11">
        <v>2</v>
      </c>
      <c r="B85" s="16">
        <f t="shared" ref="B85:B90" si="16">+C84+5/1440</f>
        <v>0.34722222222222221</v>
      </c>
      <c r="C85" s="16">
        <f>+B85+15/1440</f>
        <v>0.3576388888888889</v>
      </c>
      <c r="D85" s="11">
        <v>9</v>
      </c>
      <c r="E85" s="79">
        <f>+G84+5/1440</f>
        <v>0.44444444444444448</v>
      </c>
      <c r="F85" s="80"/>
      <c r="G85" s="16">
        <f>+E85+15/1440</f>
        <v>0.45486111111111116</v>
      </c>
      <c r="H85" s="11"/>
      <c r="I85" s="12">
        <f>J84+5/1440</f>
        <v>0.54166666666666663</v>
      </c>
      <c r="J85" s="12">
        <f>I85+15/1440</f>
        <v>0.55208333333333326</v>
      </c>
      <c r="K85" s="11">
        <v>20</v>
      </c>
      <c r="L85" s="12">
        <f>M84+5/1440</f>
        <v>0.63888888888888851</v>
      </c>
      <c r="M85" s="12">
        <f>L85+15/1440</f>
        <v>0.64930555555555514</v>
      </c>
    </row>
    <row r="86" spans="1:13" x14ac:dyDescent="0.25">
      <c r="A86" s="11">
        <v>3</v>
      </c>
      <c r="B86" s="16">
        <f t="shared" si="16"/>
        <v>0.3611111111111111</v>
      </c>
      <c r="C86" s="16">
        <f t="shared" ref="C86:C90" si="17">+B86+15/1440</f>
        <v>0.37152777777777779</v>
      </c>
      <c r="D86" s="11">
        <v>10</v>
      </c>
      <c r="E86" s="79">
        <f t="shared" ref="E86:E90" si="18">+G85+5/1440</f>
        <v>0.45833333333333337</v>
      </c>
      <c r="F86" s="80"/>
      <c r="G86" s="16">
        <f t="shared" ref="G86:G90" si="19">+E86+15/1440</f>
        <v>0.46875000000000006</v>
      </c>
      <c r="H86" s="11">
        <v>14</v>
      </c>
      <c r="I86" s="12">
        <f t="shared" ref="I86:I90" si="20">J85+5/1440</f>
        <v>0.55555555555555547</v>
      </c>
      <c r="J86" s="12">
        <f t="shared" ref="J86:J90" si="21">I86+15/1440</f>
        <v>0.5659722222222221</v>
      </c>
      <c r="K86" s="11">
        <v>21</v>
      </c>
      <c r="L86" s="12">
        <f t="shared" ref="L86:L90" si="22">M85+5/1440</f>
        <v>0.65277777777777735</v>
      </c>
      <c r="M86" s="12">
        <f t="shared" ref="M86:M90" si="23">L86+15/1440</f>
        <v>0.66319444444444398</v>
      </c>
    </row>
    <row r="87" spans="1:13" x14ac:dyDescent="0.25">
      <c r="A87" s="11">
        <v>4</v>
      </c>
      <c r="B87" s="16">
        <f t="shared" si="16"/>
        <v>0.375</v>
      </c>
      <c r="C87" s="16">
        <f t="shared" si="17"/>
        <v>0.38541666666666669</v>
      </c>
      <c r="D87" s="11">
        <v>11</v>
      </c>
      <c r="E87" s="79">
        <f t="shared" si="18"/>
        <v>0.47222222222222227</v>
      </c>
      <c r="F87" s="80"/>
      <c r="G87" s="16">
        <f t="shared" si="19"/>
        <v>0.48263888888888895</v>
      </c>
      <c r="H87" s="11">
        <v>15</v>
      </c>
      <c r="I87" s="12">
        <f t="shared" si="20"/>
        <v>0.56944444444444431</v>
      </c>
      <c r="J87" s="12">
        <f t="shared" si="21"/>
        <v>0.57986111111111094</v>
      </c>
      <c r="K87" s="11">
        <v>22</v>
      </c>
      <c r="L87" s="12">
        <f t="shared" si="22"/>
        <v>0.66666666666666619</v>
      </c>
      <c r="M87" s="12">
        <f t="shared" si="23"/>
        <v>0.67708333333333282</v>
      </c>
    </row>
    <row r="88" spans="1:13" x14ac:dyDescent="0.25">
      <c r="A88" s="11">
        <v>5</v>
      </c>
      <c r="B88" s="16">
        <f t="shared" si="16"/>
        <v>0.3888888888888889</v>
      </c>
      <c r="C88" s="16">
        <f t="shared" si="17"/>
        <v>0.39930555555555558</v>
      </c>
      <c r="D88" s="11">
        <v>12</v>
      </c>
      <c r="E88" s="79">
        <f t="shared" si="18"/>
        <v>0.48611111111111116</v>
      </c>
      <c r="F88" s="80"/>
      <c r="G88" s="16">
        <f t="shared" si="19"/>
        <v>0.49652777777777785</v>
      </c>
      <c r="H88" s="11">
        <v>16</v>
      </c>
      <c r="I88" s="12">
        <f t="shared" si="20"/>
        <v>0.58333333333333315</v>
      </c>
      <c r="J88" s="12">
        <f t="shared" si="21"/>
        <v>0.59374999999999978</v>
      </c>
      <c r="K88" s="11">
        <v>23</v>
      </c>
      <c r="L88" s="12">
        <f t="shared" si="22"/>
        <v>0.68055555555555503</v>
      </c>
      <c r="M88" s="12">
        <f t="shared" si="23"/>
        <v>0.69097222222222165</v>
      </c>
    </row>
    <row r="89" spans="1:13" x14ac:dyDescent="0.25">
      <c r="A89" s="11">
        <v>6</v>
      </c>
      <c r="B89" s="16">
        <f t="shared" si="16"/>
        <v>0.40277777777777779</v>
      </c>
      <c r="C89" s="16">
        <f t="shared" si="17"/>
        <v>0.41319444444444448</v>
      </c>
      <c r="D89" s="11">
        <v>13</v>
      </c>
      <c r="E89" s="79">
        <f t="shared" si="18"/>
        <v>0.50000000000000011</v>
      </c>
      <c r="F89" s="80"/>
      <c r="G89" s="16">
        <f t="shared" si="19"/>
        <v>0.51041666666666674</v>
      </c>
      <c r="H89" s="11">
        <v>17</v>
      </c>
      <c r="I89" s="12">
        <f t="shared" si="20"/>
        <v>0.59722222222222199</v>
      </c>
      <c r="J89" s="12">
        <f t="shared" si="21"/>
        <v>0.60763888888888862</v>
      </c>
      <c r="K89" s="11">
        <v>24</v>
      </c>
      <c r="L89" s="12">
        <f t="shared" si="22"/>
        <v>0.69444444444444386</v>
      </c>
      <c r="M89" s="12">
        <f t="shared" si="23"/>
        <v>0.70486111111111049</v>
      </c>
    </row>
    <row r="90" spans="1:13" x14ac:dyDescent="0.25">
      <c r="A90" s="11">
        <v>7</v>
      </c>
      <c r="B90" s="16">
        <f t="shared" si="16"/>
        <v>0.41666666666666669</v>
      </c>
      <c r="C90" s="16">
        <f t="shared" si="17"/>
        <v>0.42708333333333337</v>
      </c>
      <c r="D90" s="11"/>
      <c r="E90" s="77">
        <f t="shared" si="18"/>
        <v>0.51388888888888895</v>
      </c>
      <c r="F90" s="78"/>
      <c r="G90" s="21">
        <f t="shared" si="19"/>
        <v>0.52430555555555558</v>
      </c>
      <c r="H90" s="11">
        <v>18</v>
      </c>
      <c r="I90" s="12">
        <f t="shared" si="20"/>
        <v>0.61111111111111083</v>
      </c>
      <c r="J90" s="12">
        <f t="shared" si="21"/>
        <v>0.62152777777777746</v>
      </c>
      <c r="K90" s="11">
        <v>25</v>
      </c>
      <c r="L90" s="12">
        <f t="shared" si="22"/>
        <v>0.7083333333333327</v>
      </c>
      <c r="M90" s="12">
        <f t="shared" si="23"/>
        <v>0.71874999999999933</v>
      </c>
    </row>
    <row r="91" spans="1:13" x14ac:dyDescent="0.25">
      <c r="H91" s="36"/>
      <c r="I91" s="37"/>
      <c r="J91" s="37"/>
    </row>
    <row r="94" spans="1:13" ht="15.75" thickBot="1" x14ac:dyDescent="0.3"/>
    <row r="95" spans="1:13" x14ac:dyDescent="0.25">
      <c r="A95" s="94" t="s">
        <v>20</v>
      </c>
      <c r="B95" s="95"/>
      <c r="C95" s="95"/>
      <c r="D95" s="96"/>
      <c r="E95" s="95" t="s">
        <v>21</v>
      </c>
      <c r="F95" s="95"/>
      <c r="G95" s="95"/>
      <c r="H95" s="95"/>
      <c r="I95" s="95"/>
      <c r="J95" s="96"/>
    </row>
    <row r="96" spans="1:13" ht="15.75" thickBot="1" x14ac:dyDescent="0.3">
      <c r="A96" s="97"/>
      <c r="B96" s="98"/>
      <c r="C96" s="98"/>
      <c r="D96" s="99"/>
      <c r="E96" s="98"/>
      <c r="F96" s="98"/>
      <c r="G96" s="98"/>
      <c r="H96" s="98"/>
      <c r="I96" s="98"/>
      <c r="J96" s="99"/>
    </row>
    <row r="97" spans="1:10" ht="18.75" x14ac:dyDescent="0.25">
      <c r="A97" s="110" t="s">
        <v>0</v>
      </c>
      <c r="B97" s="110"/>
      <c r="C97" s="111" t="s">
        <v>60</v>
      </c>
      <c r="D97" s="111"/>
      <c r="E97" s="111"/>
      <c r="F97" s="111"/>
      <c r="G97" s="111"/>
      <c r="H97" s="1" t="s">
        <v>1</v>
      </c>
      <c r="I97" s="112">
        <v>45349</v>
      </c>
      <c r="J97" s="112"/>
    </row>
    <row r="98" spans="1:10" ht="31.5" customHeight="1" x14ac:dyDescent="0.25">
      <c r="A98" s="87" t="s">
        <v>2</v>
      </c>
      <c r="B98" s="87"/>
      <c r="C98" s="88" t="s">
        <v>61</v>
      </c>
      <c r="D98" s="88"/>
      <c r="E98" s="88"/>
      <c r="F98" s="88"/>
      <c r="G98" s="88"/>
      <c r="H98" s="1" t="s">
        <v>3</v>
      </c>
      <c r="I98" s="89" t="s">
        <v>37</v>
      </c>
      <c r="J98" s="89"/>
    </row>
    <row r="99" spans="1:10" ht="15" customHeight="1" x14ac:dyDescent="0.25">
      <c r="A99" s="2"/>
      <c r="B99" s="2"/>
      <c r="C99" s="2"/>
      <c r="D99" s="2"/>
      <c r="E99" s="2"/>
      <c r="F99" s="2"/>
      <c r="G99" s="2"/>
      <c r="I99" s="90" t="s">
        <v>15</v>
      </c>
      <c r="J99" s="90"/>
    </row>
    <row r="100" spans="1:10" ht="18.75" customHeight="1" x14ac:dyDescent="0.3">
      <c r="A100" s="91" t="s">
        <v>4</v>
      </c>
      <c r="B100" s="91"/>
      <c r="C100" s="14" t="s">
        <v>5</v>
      </c>
      <c r="D100" s="14" t="s">
        <v>6</v>
      </c>
      <c r="E100" s="105" t="s">
        <v>7</v>
      </c>
      <c r="F100" s="4">
        <f>ROUNDDOWN(D126/400,0)</f>
        <v>38</v>
      </c>
      <c r="G100" s="5" t="s">
        <v>8</v>
      </c>
      <c r="H100" s="6">
        <f>D126-(F100*400)</f>
        <v>44.200000000000728</v>
      </c>
      <c r="I100" s="7" t="s">
        <v>9</v>
      </c>
    </row>
    <row r="101" spans="1:10" ht="15.75" x14ac:dyDescent="0.25">
      <c r="A101" s="67" t="s">
        <v>23</v>
      </c>
      <c r="B101" s="68"/>
      <c r="C101" s="69" t="s">
        <v>50</v>
      </c>
      <c r="D101" s="20"/>
      <c r="E101" s="106"/>
      <c r="F101" s="91" t="s">
        <v>4</v>
      </c>
      <c r="G101" s="91"/>
      <c r="H101" s="14" t="s">
        <v>5</v>
      </c>
      <c r="I101" s="14" t="s">
        <v>6</v>
      </c>
      <c r="J101" s="14" t="s">
        <v>6</v>
      </c>
    </row>
    <row r="102" spans="1:10" ht="15.75" x14ac:dyDescent="0.25">
      <c r="A102" s="67" t="s">
        <v>42</v>
      </c>
      <c r="B102" s="68"/>
      <c r="C102" s="69"/>
      <c r="D102" s="20"/>
      <c r="E102" s="106"/>
      <c r="F102" s="67" t="s">
        <v>23</v>
      </c>
      <c r="G102" s="33"/>
      <c r="H102" s="69"/>
      <c r="I102" s="35"/>
      <c r="J102" s="35"/>
    </row>
    <row r="103" spans="1:10" ht="15.75" x14ac:dyDescent="0.25">
      <c r="A103" s="67" t="s">
        <v>24</v>
      </c>
      <c r="B103" s="68"/>
      <c r="C103" s="69"/>
      <c r="D103" s="20"/>
      <c r="E103" s="106"/>
      <c r="F103" s="67" t="s">
        <v>42</v>
      </c>
      <c r="G103" s="33"/>
      <c r="H103" s="69"/>
      <c r="I103" s="35"/>
      <c r="J103" s="35"/>
    </row>
    <row r="104" spans="1:10" ht="15.75" x14ac:dyDescent="0.25">
      <c r="A104" s="67" t="s">
        <v>25</v>
      </c>
      <c r="B104" s="68"/>
      <c r="C104" s="69">
        <v>0.32269999999999999</v>
      </c>
      <c r="D104" s="20">
        <f>C104*$D$126</f>
        <v>4919.3033400000004</v>
      </c>
      <c r="E104" s="106"/>
      <c r="F104" s="67" t="s">
        <v>24</v>
      </c>
      <c r="G104" s="33"/>
      <c r="H104" s="69"/>
      <c r="I104" s="35"/>
      <c r="J104" s="35"/>
    </row>
    <row r="105" spans="1:10" ht="15.75" x14ac:dyDescent="0.25">
      <c r="A105" s="67" t="s">
        <v>47</v>
      </c>
      <c r="B105" s="68"/>
      <c r="C105" s="69">
        <v>0.17780000000000001</v>
      </c>
      <c r="D105" s="20">
        <f t="shared" ref="D105:D122" si="24">C105*$D$126</f>
        <v>2710.4187600000005</v>
      </c>
      <c r="E105" s="106"/>
      <c r="F105" s="67" t="s">
        <v>25</v>
      </c>
      <c r="G105" s="33"/>
      <c r="H105" s="69">
        <v>0.32269999999999999</v>
      </c>
      <c r="I105" s="35">
        <f>H105*$I$127</f>
        <v>129.07999999999998</v>
      </c>
      <c r="J105" s="35">
        <f>H105*$J$127</f>
        <v>14.263340000000234</v>
      </c>
    </row>
    <row r="106" spans="1:10" ht="15.75" x14ac:dyDescent="0.25">
      <c r="A106" s="67" t="s">
        <v>46</v>
      </c>
      <c r="B106" s="68"/>
      <c r="C106" s="69"/>
      <c r="D106" s="20"/>
      <c r="E106" s="106"/>
      <c r="F106" s="67" t="s">
        <v>47</v>
      </c>
      <c r="G106" s="33"/>
      <c r="H106" s="69">
        <v>0.17780000000000001</v>
      </c>
      <c r="I106" s="35">
        <f t="shared" ref="I106:I123" si="25">H106*$I$127</f>
        <v>71.12</v>
      </c>
      <c r="J106" s="35">
        <f>H106*$J$127</f>
        <v>7.8587600000001299</v>
      </c>
    </row>
    <row r="107" spans="1:10" ht="15.75" x14ac:dyDescent="0.25">
      <c r="A107" s="67" t="s">
        <v>26</v>
      </c>
      <c r="B107" s="68"/>
      <c r="C107" s="69">
        <v>3.5799999999999998E-2</v>
      </c>
      <c r="D107" s="20">
        <f t="shared" si="24"/>
        <v>545.74235999999996</v>
      </c>
      <c r="E107" s="106"/>
      <c r="F107" s="67" t="s">
        <v>46</v>
      </c>
      <c r="G107" s="33"/>
      <c r="H107" s="69"/>
      <c r="I107" s="35"/>
      <c r="J107" s="35"/>
    </row>
    <row r="108" spans="1:10" ht="15.75" x14ac:dyDescent="0.25">
      <c r="A108" s="67" t="s">
        <v>43</v>
      </c>
      <c r="B108" s="68"/>
      <c r="C108" s="69"/>
      <c r="D108" s="20"/>
      <c r="E108" s="106"/>
      <c r="F108" s="67" t="s">
        <v>26</v>
      </c>
      <c r="G108" s="33"/>
      <c r="H108" s="69">
        <v>3.5799999999999998E-2</v>
      </c>
      <c r="I108" s="35"/>
      <c r="J108" s="35"/>
    </row>
    <row r="109" spans="1:10" ht="15.75" x14ac:dyDescent="0.25">
      <c r="A109" s="73" t="s">
        <v>19</v>
      </c>
      <c r="B109" s="68"/>
      <c r="C109" s="69"/>
      <c r="D109" s="20"/>
      <c r="E109" s="106"/>
      <c r="F109" s="67" t="s">
        <v>43</v>
      </c>
      <c r="G109" s="33"/>
      <c r="H109" s="69"/>
      <c r="I109" s="35"/>
      <c r="J109" s="35"/>
    </row>
    <row r="110" spans="1:10" ht="15.75" x14ac:dyDescent="0.25">
      <c r="A110" s="75" t="s">
        <v>27</v>
      </c>
      <c r="B110" s="29"/>
      <c r="C110" s="69"/>
      <c r="D110" s="20"/>
      <c r="E110" s="106"/>
      <c r="F110" s="67" t="s">
        <v>19</v>
      </c>
      <c r="G110" s="33"/>
      <c r="H110" s="69"/>
      <c r="I110" s="35"/>
      <c r="J110" s="35"/>
    </row>
    <row r="111" spans="1:10" ht="15.75" x14ac:dyDescent="0.25">
      <c r="A111" s="74" t="s">
        <v>44</v>
      </c>
      <c r="B111" s="68"/>
      <c r="C111" s="69">
        <v>0.39119999999999999</v>
      </c>
      <c r="D111" s="20">
        <f t="shared" si="24"/>
        <v>5963.5310399999998</v>
      </c>
      <c r="E111" s="106"/>
      <c r="F111" s="67" t="s">
        <v>27</v>
      </c>
      <c r="G111" s="33"/>
      <c r="H111" s="69"/>
      <c r="I111" s="35"/>
      <c r="J111" s="35"/>
    </row>
    <row r="112" spans="1:10" ht="15.75" x14ac:dyDescent="0.25">
      <c r="A112" s="67" t="s">
        <v>28</v>
      </c>
      <c r="B112" s="68"/>
      <c r="C112" s="69"/>
      <c r="D112" s="20"/>
      <c r="E112" s="106"/>
      <c r="F112" s="67" t="s">
        <v>44</v>
      </c>
      <c r="G112" s="33"/>
      <c r="H112" s="69">
        <v>0.39119999999999999</v>
      </c>
      <c r="I112" s="35">
        <f t="shared" si="25"/>
        <v>156.47999999999999</v>
      </c>
      <c r="J112" s="35">
        <f>H112*$J$127</f>
        <v>17.291040000000283</v>
      </c>
    </row>
    <row r="113" spans="1:10" ht="30" customHeight="1" x14ac:dyDescent="0.25">
      <c r="A113" s="67" t="s">
        <v>45</v>
      </c>
      <c r="B113" s="68"/>
      <c r="C113" s="69"/>
      <c r="D113" s="20"/>
      <c r="E113" s="106"/>
      <c r="F113" s="67" t="s">
        <v>28</v>
      </c>
      <c r="G113" s="33"/>
      <c r="H113" s="69"/>
      <c r="I113" s="35"/>
      <c r="J113" s="35"/>
    </row>
    <row r="114" spans="1:10" ht="15.75" x14ac:dyDescent="0.25">
      <c r="A114" s="67" t="s">
        <v>10</v>
      </c>
      <c r="B114" s="68"/>
      <c r="C114" s="69"/>
      <c r="D114" s="20"/>
      <c r="E114" s="106"/>
      <c r="F114" s="67" t="s">
        <v>45</v>
      </c>
      <c r="G114" s="33"/>
      <c r="H114" s="69"/>
      <c r="I114" s="35"/>
      <c r="J114" s="35"/>
    </row>
    <row r="115" spans="1:10" ht="15.75" x14ac:dyDescent="0.25">
      <c r="A115" s="67" t="s">
        <v>29</v>
      </c>
      <c r="B115" s="68"/>
      <c r="C115" s="69"/>
      <c r="D115" s="20"/>
      <c r="E115" s="106"/>
      <c r="F115" s="67" t="s">
        <v>10</v>
      </c>
      <c r="G115" s="33"/>
      <c r="H115" s="69"/>
      <c r="I115" s="35"/>
      <c r="J115" s="35"/>
    </row>
    <row r="116" spans="1:10" ht="15.75" x14ac:dyDescent="0.25">
      <c r="A116" s="67" t="s">
        <v>17</v>
      </c>
      <c r="B116" s="68"/>
      <c r="C116" s="69"/>
      <c r="D116" s="20"/>
      <c r="E116" s="106"/>
      <c r="F116" s="67" t="s">
        <v>29</v>
      </c>
      <c r="G116" s="33"/>
      <c r="H116" s="69"/>
      <c r="I116" s="35"/>
      <c r="J116" s="35"/>
    </row>
    <row r="117" spans="1:10" ht="15.75" x14ac:dyDescent="0.25">
      <c r="A117" s="67" t="s">
        <v>30</v>
      </c>
      <c r="B117" s="68"/>
      <c r="C117" s="69"/>
      <c r="D117" s="20"/>
      <c r="E117" s="106"/>
      <c r="F117" s="67" t="s">
        <v>17</v>
      </c>
      <c r="G117" s="33"/>
      <c r="H117" s="69"/>
      <c r="I117" s="35"/>
      <c r="J117" s="35"/>
    </row>
    <row r="118" spans="1:10" ht="15.75" x14ac:dyDescent="0.25">
      <c r="A118" s="67" t="s">
        <v>31</v>
      </c>
      <c r="B118" s="68"/>
      <c r="C118" s="69"/>
      <c r="D118" s="20"/>
      <c r="E118" s="106"/>
      <c r="F118" s="67" t="s">
        <v>30</v>
      </c>
      <c r="G118" s="33"/>
      <c r="H118" s="69"/>
      <c r="I118" s="35"/>
      <c r="J118" s="35"/>
    </row>
    <row r="119" spans="1:10" ht="15.75" x14ac:dyDescent="0.25">
      <c r="A119" s="67" t="s">
        <v>16</v>
      </c>
      <c r="B119" s="68"/>
      <c r="C119" s="69"/>
      <c r="D119" s="20"/>
      <c r="E119" s="106"/>
      <c r="F119" s="67" t="s">
        <v>31</v>
      </c>
      <c r="G119" s="33"/>
      <c r="H119" s="69"/>
      <c r="I119" s="35"/>
      <c r="J119" s="35"/>
    </row>
    <row r="120" spans="1:10" ht="15.75" x14ac:dyDescent="0.25">
      <c r="A120" s="67" t="s">
        <v>32</v>
      </c>
      <c r="B120" s="70"/>
      <c r="C120" s="69">
        <v>3.7699999999999997E-2</v>
      </c>
      <c r="D120" s="20">
        <f t="shared" si="24"/>
        <v>574.70633999999995</v>
      </c>
      <c r="E120" s="106"/>
      <c r="F120" s="67" t="s">
        <v>16</v>
      </c>
      <c r="G120" s="24"/>
      <c r="H120" s="69"/>
      <c r="I120" s="35"/>
      <c r="J120" s="35"/>
    </row>
    <row r="121" spans="1:10" ht="15.75" x14ac:dyDescent="0.25">
      <c r="A121" s="67" t="s">
        <v>33</v>
      </c>
      <c r="B121" s="70"/>
      <c r="C121" s="69">
        <v>2.0999999999999999E-3</v>
      </c>
      <c r="D121" s="20">
        <f t="shared" si="24"/>
        <v>32.012819999999998</v>
      </c>
      <c r="E121" s="106"/>
      <c r="F121" s="67" t="s">
        <v>32</v>
      </c>
      <c r="G121" s="24"/>
      <c r="H121" s="69">
        <v>3.7699999999999997E-2</v>
      </c>
      <c r="I121" s="35">
        <f t="shared" si="25"/>
        <v>15.079999999999998</v>
      </c>
      <c r="J121" s="35">
        <f>H121*$J$127</f>
        <v>1.6663400000000272</v>
      </c>
    </row>
    <row r="122" spans="1:10" ht="15.75" x14ac:dyDescent="0.25">
      <c r="A122" s="67" t="s">
        <v>34</v>
      </c>
      <c r="B122" s="70"/>
      <c r="C122" s="69">
        <v>3.2899999999999999E-2</v>
      </c>
      <c r="D122" s="20">
        <f t="shared" si="24"/>
        <v>501.53417999999999</v>
      </c>
      <c r="E122" s="106"/>
      <c r="F122" s="67" t="s">
        <v>33</v>
      </c>
      <c r="G122" s="24"/>
      <c r="H122" s="69">
        <v>2.0999999999999999E-3</v>
      </c>
      <c r="I122" s="35">
        <f t="shared" si="25"/>
        <v>0.84</v>
      </c>
      <c r="J122" s="35">
        <f>H122*$J$127</f>
        <v>9.2820000000001526E-2</v>
      </c>
    </row>
    <row r="123" spans="1:10" ht="15.75" x14ac:dyDescent="0.25">
      <c r="A123" s="67" t="s">
        <v>22</v>
      </c>
      <c r="B123" s="70"/>
      <c r="C123" s="69"/>
      <c r="D123" s="20"/>
      <c r="E123" s="106"/>
      <c r="F123" s="67" t="s">
        <v>34</v>
      </c>
      <c r="G123" s="24"/>
      <c r="H123" s="69">
        <v>3.2899999999999999E-2</v>
      </c>
      <c r="I123" s="35">
        <f t="shared" si="25"/>
        <v>13.16</v>
      </c>
      <c r="J123" s="35">
        <f>H123*$J$127</f>
        <v>1.4541800000000238</v>
      </c>
    </row>
    <row r="124" spans="1:10" ht="15.75" x14ac:dyDescent="0.25">
      <c r="A124" s="75" t="s">
        <v>35</v>
      </c>
      <c r="B124" s="29"/>
      <c r="C124" s="69"/>
      <c r="D124" s="20"/>
      <c r="E124" s="106"/>
      <c r="F124" s="67" t="s">
        <v>22</v>
      </c>
      <c r="G124" s="33"/>
      <c r="H124" s="69"/>
      <c r="I124" s="35"/>
      <c r="J124" s="35"/>
    </row>
    <row r="125" spans="1:10" ht="15.75" x14ac:dyDescent="0.25">
      <c r="A125" s="75" t="s">
        <v>36</v>
      </c>
      <c r="B125" s="76"/>
      <c r="C125" s="69"/>
      <c r="D125" s="20"/>
      <c r="E125" s="106"/>
      <c r="F125" s="67" t="s">
        <v>35</v>
      </c>
      <c r="G125" s="33"/>
      <c r="H125" s="69"/>
      <c r="I125" s="35"/>
      <c r="J125" s="35"/>
    </row>
    <row r="126" spans="1:10" ht="15.75" x14ac:dyDescent="0.25">
      <c r="A126" s="93" t="s">
        <v>11</v>
      </c>
      <c r="B126" s="93"/>
      <c r="C126" s="71">
        <f>SUM(C101:C125)</f>
        <v>1.0002</v>
      </c>
      <c r="D126" s="72">
        <v>15244.2</v>
      </c>
      <c r="E126" s="107"/>
      <c r="F126" s="67" t="s">
        <v>36</v>
      </c>
      <c r="G126" s="33"/>
      <c r="H126" s="69"/>
      <c r="I126" s="35"/>
      <c r="J126" s="35"/>
    </row>
    <row r="127" spans="1:10" x14ac:dyDescent="0.25">
      <c r="A127" s="2"/>
      <c r="B127" s="2"/>
      <c r="C127" s="2"/>
      <c r="D127" s="2"/>
      <c r="E127" s="2"/>
      <c r="F127" s="108" t="s">
        <v>11</v>
      </c>
      <c r="G127" s="109"/>
      <c r="H127" s="62">
        <f>SUM(H102:H126)</f>
        <v>1.0002</v>
      </c>
      <c r="I127" s="61">
        <v>400</v>
      </c>
      <c r="J127" s="61">
        <f>+H100</f>
        <v>44.200000000000728</v>
      </c>
    </row>
    <row r="128" spans="1:10" x14ac:dyDescent="0.25">
      <c r="A128" s="2"/>
      <c r="B128" s="2"/>
      <c r="C128" s="2"/>
      <c r="D128" s="2"/>
      <c r="E128" s="2"/>
      <c r="F128" s="55"/>
      <c r="G128" s="55"/>
      <c r="H128" s="56"/>
      <c r="I128" s="55"/>
      <c r="J128" s="55"/>
    </row>
    <row r="129" spans="1:13" ht="26.25" x14ac:dyDescent="0.4">
      <c r="A129" s="57" t="s">
        <v>65</v>
      </c>
      <c r="B129" s="2"/>
      <c r="C129" s="2"/>
      <c r="D129" s="2"/>
      <c r="E129" s="2"/>
      <c r="F129" s="55"/>
      <c r="G129" s="55"/>
      <c r="H129" s="56"/>
      <c r="I129" s="55"/>
      <c r="J129" s="55"/>
    </row>
    <row r="130" spans="1:13" ht="23.25" x14ac:dyDescent="0.35">
      <c r="A130" s="82"/>
      <c r="B130" s="83"/>
      <c r="C130" s="2"/>
      <c r="D130" s="2"/>
      <c r="E130" s="2"/>
      <c r="F130" s="18"/>
      <c r="G130" s="18"/>
      <c r="H130" s="19"/>
      <c r="I130" s="18"/>
      <c r="J130" s="18"/>
    </row>
    <row r="131" spans="1:13" x14ac:dyDescent="0.25">
      <c r="A131" s="84" t="s">
        <v>18</v>
      </c>
      <c r="B131" s="84"/>
      <c r="C131" s="84"/>
      <c r="D131" s="84"/>
      <c r="E131" s="2"/>
      <c r="F131" s="2"/>
      <c r="G131" s="2"/>
    </row>
    <row r="132" spans="1:13" x14ac:dyDescent="0.25">
      <c r="A132" s="9" t="s">
        <v>12</v>
      </c>
      <c r="B132" s="9" t="s">
        <v>13</v>
      </c>
      <c r="C132" s="9" t="s">
        <v>14</v>
      </c>
      <c r="D132" s="10" t="s">
        <v>12</v>
      </c>
      <c r="E132" s="85" t="s">
        <v>13</v>
      </c>
      <c r="F132" s="86"/>
      <c r="G132" s="10" t="s">
        <v>14</v>
      </c>
      <c r="H132" s="9" t="s">
        <v>12</v>
      </c>
      <c r="I132" s="10" t="s">
        <v>13</v>
      </c>
      <c r="J132" s="10" t="s">
        <v>14</v>
      </c>
      <c r="K132" s="9" t="s">
        <v>12</v>
      </c>
      <c r="L132" s="10" t="s">
        <v>13</v>
      </c>
      <c r="M132" s="10" t="s">
        <v>14</v>
      </c>
    </row>
    <row r="133" spans="1:13" x14ac:dyDescent="0.25">
      <c r="A133" s="11">
        <v>1</v>
      </c>
      <c r="B133" s="16">
        <v>0.33333333333333331</v>
      </c>
      <c r="C133" s="16">
        <f>+B133+15/1440</f>
        <v>0.34375</v>
      </c>
      <c r="D133" s="11">
        <v>8</v>
      </c>
      <c r="E133" s="79">
        <f>+C139+5/1440</f>
        <v>0.43055555555555558</v>
      </c>
      <c r="F133" s="80"/>
      <c r="G133" s="16">
        <f>+E133+15/1440</f>
        <v>0.44097222222222227</v>
      </c>
      <c r="H133" s="11"/>
      <c r="I133" s="12">
        <f>G139+5/1440</f>
        <v>0.52777777777777779</v>
      </c>
      <c r="J133" s="12">
        <f>I133+15/1440</f>
        <v>0.53819444444444442</v>
      </c>
      <c r="K133" s="11">
        <v>19</v>
      </c>
      <c r="L133" s="16">
        <f>J139+5/1440</f>
        <v>0.62499999999999967</v>
      </c>
      <c r="M133" s="16">
        <f>L133+15/1440</f>
        <v>0.6354166666666663</v>
      </c>
    </row>
    <row r="134" spans="1:13" x14ac:dyDescent="0.25">
      <c r="A134" s="11">
        <v>2</v>
      </c>
      <c r="B134" s="16">
        <f t="shared" ref="B134:B139" si="26">+C133+5/1440</f>
        <v>0.34722222222222221</v>
      </c>
      <c r="C134" s="16">
        <f>+B134+15/1440</f>
        <v>0.3576388888888889</v>
      </c>
      <c r="D134" s="11">
        <v>9</v>
      </c>
      <c r="E134" s="79">
        <f>+G133+5/1440</f>
        <v>0.44444444444444448</v>
      </c>
      <c r="F134" s="80"/>
      <c r="G134" s="16">
        <f>+E134+15/1440</f>
        <v>0.45486111111111116</v>
      </c>
      <c r="H134" s="11">
        <v>13</v>
      </c>
      <c r="I134" s="16">
        <f>J133+5/1440</f>
        <v>0.54166666666666663</v>
      </c>
      <c r="J134" s="16">
        <f>I134+15/1440</f>
        <v>0.55208333333333326</v>
      </c>
      <c r="K134" s="11">
        <v>20</v>
      </c>
      <c r="L134" s="16">
        <f>M133+5/1440</f>
        <v>0.63888888888888851</v>
      </c>
      <c r="M134" s="16">
        <f>L134+15/1440</f>
        <v>0.64930555555555514</v>
      </c>
    </row>
    <row r="135" spans="1:13" x14ac:dyDescent="0.25">
      <c r="A135" s="11">
        <v>3</v>
      </c>
      <c r="B135" s="16">
        <f t="shared" si="26"/>
        <v>0.3611111111111111</v>
      </c>
      <c r="C135" s="16">
        <f t="shared" ref="C135:C139" si="27">+B135+15/1440</f>
        <v>0.37152777777777779</v>
      </c>
      <c r="D135" s="11">
        <v>10</v>
      </c>
      <c r="E135" s="79">
        <f t="shared" ref="E135:E139" si="28">+G134+5/1440</f>
        <v>0.45833333333333337</v>
      </c>
      <c r="F135" s="80"/>
      <c r="G135" s="16">
        <f t="shared" ref="G135:G139" si="29">+E135+15/1440</f>
        <v>0.46875000000000006</v>
      </c>
      <c r="H135" s="11">
        <v>14</v>
      </c>
      <c r="I135" s="16">
        <f t="shared" ref="I135:I139" si="30">J134+5/1440</f>
        <v>0.55555555555555547</v>
      </c>
      <c r="J135" s="16">
        <f t="shared" ref="J135:J139" si="31">I135+15/1440</f>
        <v>0.5659722222222221</v>
      </c>
      <c r="K135" s="11">
        <v>21</v>
      </c>
      <c r="L135" s="16">
        <f t="shared" ref="L135:L139" si="32">M134+5/1440</f>
        <v>0.65277777777777735</v>
      </c>
      <c r="M135" s="16">
        <f t="shared" ref="M135:M139" si="33">L135+15/1440</f>
        <v>0.66319444444444398</v>
      </c>
    </row>
    <row r="136" spans="1:13" x14ac:dyDescent="0.25">
      <c r="A136" s="11">
        <v>4</v>
      </c>
      <c r="B136" s="16">
        <f t="shared" si="26"/>
        <v>0.375</v>
      </c>
      <c r="C136" s="16">
        <f t="shared" si="27"/>
        <v>0.38541666666666669</v>
      </c>
      <c r="D136" s="11">
        <v>11</v>
      </c>
      <c r="E136" s="79">
        <f t="shared" si="28"/>
        <v>0.47222222222222227</v>
      </c>
      <c r="F136" s="80"/>
      <c r="G136" s="16">
        <f t="shared" si="29"/>
        <v>0.48263888888888895</v>
      </c>
      <c r="H136" s="11">
        <v>15</v>
      </c>
      <c r="I136" s="16">
        <f t="shared" si="30"/>
        <v>0.56944444444444431</v>
      </c>
      <c r="J136" s="16">
        <f t="shared" si="31"/>
        <v>0.57986111111111094</v>
      </c>
      <c r="K136" s="11">
        <v>22</v>
      </c>
      <c r="L136" s="12">
        <f t="shared" si="32"/>
        <v>0.66666666666666619</v>
      </c>
      <c r="M136" s="12">
        <f t="shared" si="33"/>
        <v>0.67708333333333282</v>
      </c>
    </row>
    <row r="137" spans="1:13" x14ac:dyDescent="0.25">
      <c r="A137" s="11">
        <v>5</v>
      </c>
      <c r="B137" s="16">
        <f t="shared" si="26"/>
        <v>0.3888888888888889</v>
      </c>
      <c r="C137" s="16">
        <f t="shared" si="27"/>
        <v>0.39930555555555558</v>
      </c>
      <c r="D137" s="11">
        <v>12</v>
      </c>
      <c r="E137" s="79">
        <f t="shared" si="28"/>
        <v>0.48611111111111116</v>
      </c>
      <c r="F137" s="80"/>
      <c r="G137" s="16">
        <f t="shared" si="29"/>
        <v>0.49652777777777785</v>
      </c>
      <c r="H137" s="11">
        <v>16</v>
      </c>
      <c r="I137" s="16">
        <f t="shared" si="30"/>
        <v>0.58333333333333315</v>
      </c>
      <c r="J137" s="16">
        <f t="shared" si="31"/>
        <v>0.59374999999999978</v>
      </c>
      <c r="K137" s="11">
        <v>23</v>
      </c>
      <c r="L137" s="12">
        <f t="shared" si="32"/>
        <v>0.68055555555555503</v>
      </c>
      <c r="M137" s="12">
        <f t="shared" si="33"/>
        <v>0.69097222222222165</v>
      </c>
    </row>
    <row r="138" spans="1:13" x14ac:dyDescent="0.25">
      <c r="A138" s="11">
        <v>6</v>
      </c>
      <c r="B138" s="16">
        <f t="shared" si="26"/>
        <v>0.40277777777777779</v>
      </c>
      <c r="C138" s="16">
        <f t="shared" si="27"/>
        <v>0.41319444444444448</v>
      </c>
      <c r="D138" s="11"/>
      <c r="E138" s="77">
        <f t="shared" si="28"/>
        <v>0.50000000000000011</v>
      </c>
      <c r="F138" s="78"/>
      <c r="G138" s="21">
        <f t="shared" si="29"/>
        <v>0.51041666666666674</v>
      </c>
      <c r="H138" s="11">
        <v>17</v>
      </c>
      <c r="I138" s="16">
        <f t="shared" si="30"/>
        <v>0.59722222222222199</v>
      </c>
      <c r="J138" s="16">
        <f t="shared" si="31"/>
        <v>0.60763888888888862</v>
      </c>
      <c r="K138" s="11">
        <v>24</v>
      </c>
      <c r="L138" s="12">
        <f t="shared" si="32"/>
        <v>0.69444444444444386</v>
      </c>
      <c r="M138" s="12">
        <f t="shared" si="33"/>
        <v>0.70486111111111049</v>
      </c>
    </row>
    <row r="139" spans="1:13" x14ac:dyDescent="0.25">
      <c r="A139" s="11">
        <v>7</v>
      </c>
      <c r="B139" s="16">
        <f t="shared" si="26"/>
        <v>0.41666666666666669</v>
      </c>
      <c r="C139" s="16">
        <f t="shared" si="27"/>
        <v>0.42708333333333337</v>
      </c>
      <c r="D139" s="11"/>
      <c r="E139" s="77">
        <f t="shared" si="28"/>
        <v>0.51388888888888895</v>
      </c>
      <c r="F139" s="78"/>
      <c r="G139" s="21">
        <f t="shared" si="29"/>
        <v>0.52430555555555558</v>
      </c>
      <c r="H139" s="11">
        <v>18</v>
      </c>
      <c r="I139" s="16">
        <f t="shared" si="30"/>
        <v>0.61111111111111083</v>
      </c>
      <c r="J139" s="16">
        <f t="shared" si="31"/>
        <v>0.62152777777777746</v>
      </c>
      <c r="K139" s="11">
        <v>25</v>
      </c>
      <c r="L139" s="12">
        <f t="shared" si="32"/>
        <v>0.7083333333333327</v>
      </c>
      <c r="M139" s="12">
        <f t="shared" si="33"/>
        <v>0.71874999999999933</v>
      </c>
    </row>
    <row r="142" spans="1:13" ht="26.25" x14ac:dyDescent="0.4">
      <c r="A142" s="57" t="s">
        <v>66</v>
      </c>
      <c r="B142" s="2"/>
      <c r="C142" s="2"/>
      <c r="D142" s="2"/>
      <c r="E142" s="2"/>
      <c r="F142" s="55"/>
      <c r="G142" s="55"/>
      <c r="H142" s="56"/>
      <c r="I142" s="55"/>
      <c r="J142" s="55"/>
    </row>
    <row r="143" spans="1:13" ht="23.25" x14ac:dyDescent="0.35">
      <c r="A143" s="82"/>
      <c r="B143" s="83"/>
      <c r="C143" s="2"/>
      <c r="D143" s="2"/>
      <c r="E143" s="2"/>
      <c r="F143" s="18"/>
      <c r="G143" s="18"/>
      <c r="H143" s="19"/>
      <c r="I143" s="18"/>
      <c r="J143" s="18"/>
    </row>
    <row r="144" spans="1:13" x14ac:dyDescent="0.25">
      <c r="A144" s="84" t="s">
        <v>18</v>
      </c>
      <c r="B144" s="84"/>
      <c r="C144" s="84"/>
      <c r="D144" s="84"/>
      <c r="E144" s="2"/>
      <c r="F144" s="2"/>
      <c r="G144" s="2"/>
    </row>
    <row r="145" spans="1:13" x14ac:dyDescent="0.25">
      <c r="A145" s="9" t="s">
        <v>12</v>
      </c>
      <c r="B145" s="9" t="s">
        <v>13</v>
      </c>
      <c r="C145" s="9" t="s">
        <v>14</v>
      </c>
      <c r="D145" s="10" t="s">
        <v>12</v>
      </c>
      <c r="E145" s="85" t="s">
        <v>13</v>
      </c>
      <c r="F145" s="86"/>
      <c r="G145" s="10" t="s">
        <v>14</v>
      </c>
      <c r="H145" s="9" t="s">
        <v>12</v>
      </c>
      <c r="I145" s="10" t="s">
        <v>13</v>
      </c>
      <c r="J145" s="10" t="s">
        <v>14</v>
      </c>
      <c r="K145" s="9" t="s">
        <v>12</v>
      </c>
      <c r="L145" s="10" t="s">
        <v>13</v>
      </c>
      <c r="M145" s="10" t="s">
        <v>14</v>
      </c>
    </row>
    <row r="146" spans="1:13" x14ac:dyDescent="0.25">
      <c r="A146" s="11">
        <v>1</v>
      </c>
      <c r="B146" s="16">
        <v>0.33333333333333331</v>
      </c>
      <c r="C146" s="16">
        <f>+B146+15/1440</f>
        <v>0.34375</v>
      </c>
      <c r="D146" s="11">
        <v>8</v>
      </c>
      <c r="E146" s="79">
        <f>+C152+5/1440</f>
        <v>0.43055555555555558</v>
      </c>
      <c r="F146" s="80"/>
      <c r="G146" s="16">
        <f>+E146+15/1440</f>
        <v>0.44097222222222227</v>
      </c>
      <c r="H146" s="11"/>
      <c r="I146" s="12">
        <f>G152+5/1440</f>
        <v>0.52777777777777779</v>
      </c>
      <c r="J146" s="12">
        <f>I146+15/1440</f>
        <v>0.53819444444444442</v>
      </c>
      <c r="K146" s="11">
        <v>19</v>
      </c>
      <c r="L146" s="12">
        <f>J152+5/1440</f>
        <v>0.62499999999999967</v>
      </c>
      <c r="M146" s="12">
        <f>L146+15/1440</f>
        <v>0.6354166666666663</v>
      </c>
    </row>
    <row r="147" spans="1:13" x14ac:dyDescent="0.25">
      <c r="A147" s="11">
        <v>2</v>
      </c>
      <c r="B147" s="16">
        <f t="shared" ref="B147:B152" si="34">+C146+5/1440</f>
        <v>0.34722222222222221</v>
      </c>
      <c r="C147" s="16">
        <f>+B147+15/1440</f>
        <v>0.3576388888888889</v>
      </c>
      <c r="D147" s="11">
        <v>9</v>
      </c>
      <c r="E147" s="79">
        <f>+G146+5/1440</f>
        <v>0.44444444444444448</v>
      </c>
      <c r="F147" s="80"/>
      <c r="G147" s="16">
        <f>+E147+15/1440</f>
        <v>0.45486111111111116</v>
      </c>
      <c r="H147" s="11">
        <v>13</v>
      </c>
      <c r="I147" s="16">
        <f>J146+5/1440</f>
        <v>0.54166666666666663</v>
      </c>
      <c r="J147" s="16">
        <f>I147+15/1440</f>
        <v>0.55208333333333326</v>
      </c>
      <c r="K147" s="11">
        <v>20</v>
      </c>
      <c r="L147" s="12">
        <f>M146+5/1440</f>
        <v>0.63888888888888851</v>
      </c>
      <c r="M147" s="12">
        <f>L147+15/1440</f>
        <v>0.64930555555555514</v>
      </c>
    </row>
    <row r="148" spans="1:13" x14ac:dyDescent="0.25">
      <c r="A148" s="11">
        <v>3</v>
      </c>
      <c r="B148" s="16">
        <f t="shared" si="34"/>
        <v>0.3611111111111111</v>
      </c>
      <c r="C148" s="16">
        <f t="shared" ref="C148:C152" si="35">+B148+15/1440</f>
        <v>0.37152777777777779</v>
      </c>
      <c r="D148" s="11">
        <v>10</v>
      </c>
      <c r="E148" s="79">
        <f t="shared" ref="E148:E152" si="36">+G147+5/1440</f>
        <v>0.45833333333333337</v>
      </c>
      <c r="F148" s="80"/>
      <c r="G148" s="16">
        <f t="shared" ref="G148:G152" si="37">+E148+15/1440</f>
        <v>0.46875000000000006</v>
      </c>
      <c r="H148" s="11">
        <v>14</v>
      </c>
      <c r="I148" s="16">
        <f t="shared" ref="I148:I152" si="38">J147+5/1440</f>
        <v>0.55555555555555547</v>
      </c>
      <c r="J148" s="16">
        <f t="shared" ref="J148:J152" si="39">I148+15/1440</f>
        <v>0.5659722222222221</v>
      </c>
      <c r="K148" s="11">
        <v>21</v>
      </c>
      <c r="L148" s="12">
        <f t="shared" ref="L148:L152" si="40">M147+5/1440</f>
        <v>0.65277777777777735</v>
      </c>
      <c r="M148" s="12">
        <f t="shared" ref="M148:M152" si="41">L148+15/1440</f>
        <v>0.66319444444444398</v>
      </c>
    </row>
    <row r="149" spans="1:13" x14ac:dyDescent="0.25">
      <c r="A149" s="11">
        <v>4</v>
      </c>
      <c r="B149" s="16">
        <f t="shared" si="34"/>
        <v>0.375</v>
      </c>
      <c r="C149" s="16">
        <f t="shared" si="35"/>
        <v>0.38541666666666669</v>
      </c>
      <c r="D149" s="11">
        <v>11</v>
      </c>
      <c r="E149" s="79">
        <f t="shared" si="36"/>
        <v>0.47222222222222227</v>
      </c>
      <c r="F149" s="80"/>
      <c r="G149" s="16">
        <f t="shared" si="37"/>
        <v>0.48263888888888895</v>
      </c>
      <c r="H149" s="11">
        <v>15</v>
      </c>
      <c r="I149" s="16">
        <f t="shared" si="38"/>
        <v>0.56944444444444431</v>
      </c>
      <c r="J149" s="16">
        <f t="shared" si="39"/>
        <v>0.57986111111111094</v>
      </c>
      <c r="K149" s="11">
        <v>22</v>
      </c>
      <c r="L149" s="12">
        <f t="shared" si="40"/>
        <v>0.66666666666666619</v>
      </c>
      <c r="M149" s="12">
        <f t="shared" si="41"/>
        <v>0.67708333333333282</v>
      </c>
    </row>
    <row r="150" spans="1:13" x14ac:dyDescent="0.25">
      <c r="A150" s="11">
        <v>5</v>
      </c>
      <c r="B150" s="16">
        <f t="shared" si="34"/>
        <v>0.3888888888888889</v>
      </c>
      <c r="C150" s="16">
        <f t="shared" si="35"/>
        <v>0.39930555555555558</v>
      </c>
      <c r="D150" s="11">
        <v>12</v>
      </c>
      <c r="E150" s="79">
        <f t="shared" si="36"/>
        <v>0.48611111111111116</v>
      </c>
      <c r="F150" s="80"/>
      <c r="G150" s="16">
        <f t="shared" si="37"/>
        <v>0.49652777777777785</v>
      </c>
      <c r="H150" s="11">
        <v>16</v>
      </c>
      <c r="I150" s="16">
        <f t="shared" si="38"/>
        <v>0.58333333333333315</v>
      </c>
      <c r="J150" s="16">
        <f t="shared" si="39"/>
        <v>0.59374999999999978</v>
      </c>
      <c r="K150" s="11">
        <v>23</v>
      </c>
      <c r="L150" s="12">
        <f t="shared" si="40"/>
        <v>0.68055555555555503</v>
      </c>
      <c r="M150" s="12">
        <f t="shared" si="41"/>
        <v>0.69097222222222165</v>
      </c>
    </row>
    <row r="151" spans="1:13" x14ac:dyDescent="0.25">
      <c r="A151" s="11">
        <v>6</v>
      </c>
      <c r="B151" s="16">
        <f t="shared" si="34"/>
        <v>0.40277777777777779</v>
      </c>
      <c r="C151" s="16">
        <f t="shared" si="35"/>
        <v>0.41319444444444448</v>
      </c>
      <c r="D151" s="11"/>
      <c r="E151" s="77">
        <f t="shared" si="36"/>
        <v>0.50000000000000011</v>
      </c>
      <c r="F151" s="78"/>
      <c r="G151" s="21">
        <f t="shared" si="37"/>
        <v>0.51041666666666674</v>
      </c>
      <c r="H151" s="11">
        <v>17</v>
      </c>
      <c r="I151" s="16">
        <f t="shared" si="38"/>
        <v>0.59722222222222199</v>
      </c>
      <c r="J151" s="16">
        <f t="shared" si="39"/>
        <v>0.60763888888888862</v>
      </c>
      <c r="K151" s="11">
        <v>24</v>
      </c>
      <c r="L151" s="12">
        <f t="shared" si="40"/>
        <v>0.69444444444444386</v>
      </c>
      <c r="M151" s="12">
        <f t="shared" si="41"/>
        <v>0.70486111111111049</v>
      </c>
    </row>
    <row r="152" spans="1:13" x14ac:dyDescent="0.25">
      <c r="A152" s="11">
        <v>7</v>
      </c>
      <c r="B152" s="16">
        <f t="shared" si="34"/>
        <v>0.41666666666666669</v>
      </c>
      <c r="C152" s="16">
        <f t="shared" si="35"/>
        <v>0.42708333333333337</v>
      </c>
      <c r="D152" s="11"/>
      <c r="E152" s="77">
        <f t="shared" si="36"/>
        <v>0.51388888888888895</v>
      </c>
      <c r="F152" s="78"/>
      <c r="G152" s="21">
        <f t="shared" si="37"/>
        <v>0.52430555555555558</v>
      </c>
      <c r="H152" s="11">
        <v>18</v>
      </c>
      <c r="I152" s="16">
        <f t="shared" si="38"/>
        <v>0.61111111111111083</v>
      </c>
      <c r="J152" s="16">
        <f t="shared" si="39"/>
        <v>0.62152777777777746</v>
      </c>
      <c r="K152" s="11">
        <v>25</v>
      </c>
      <c r="L152" s="12">
        <f t="shared" si="40"/>
        <v>0.7083333333333327</v>
      </c>
      <c r="M152" s="12">
        <f t="shared" si="41"/>
        <v>0.71874999999999933</v>
      </c>
    </row>
    <row r="156" spans="1:13" ht="15.75" thickBot="1" x14ac:dyDescent="0.3"/>
    <row r="157" spans="1:13" x14ac:dyDescent="0.25">
      <c r="A157" s="94" t="s">
        <v>20</v>
      </c>
      <c r="B157" s="95"/>
      <c r="C157" s="95"/>
      <c r="D157" s="96"/>
      <c r="E157" s="95" t="s">
        <v>21</v>
      </c>
      <c r="F157" s="95"/>
      <c r="G157" s="95"/>
      <c r="H157" s="95"/>
      <c r="I157" s="95"/>
      <c r="J157" s="96"/>
    </row>
    <row r="158" spans="1:13" ht="15.75" thickBot="1" x14ac:dyDescent="0.3">
      <c r="A158" s="97"/>
      <c r="B158" s="98"/>
      <c r="C158" s="98"/>
      <c r="D158" s="99"/>
      <c r="E158" s="98"/>
      <c r="F158" s="98"/>
      <c r="G158" s="98"/>
      <c r="H158" s="98"/>
      <c r="I158" s="98"/>
      <c r="J158" s="99"/>
    </row>
    <row r="159" spans="1:13" ht="18.75" x14ac:dyDescent="0.25">
      <c r="A159" s="87" t="s">
        <v>0</v>
      </c>
      <c r="B159" s="87"/>
      <c r="C159" s="100" t="s">
        <v>54</v>
      </c>
      <c r="D159" s="100"/>
      <c r="E159" s="100"/>
      <c r="F159" s="100"/>
      <c r="G159" s="100"/>
      <c r="H159" s="1" t="s">
        <v>1</v>
      </c>
      <c r="I159" s="101">
        <v>45363</v>
      </c>
      <c r="J159" s="102"/>
    </row>
    <row r="160" spans="1:13" ht="28.5" customHeight="1" x14ac:dyDescent="0.25">
      <c r="A160" s="87" t="s">
        <v>2</v>
      </c>
      <c r="B160" s="87"/>
      <c r="C160" s="88" t="s">
        <v>38</v>
      </c>
      <c r="D160" s="88"/>
      <c r="E160" s="88"/>
      <c r="F160" s="88"/>
      <c r="G160" s="88"/>
      <c r="H160" s="1" t="s">
        <v>3</v>
      </c>
      <c r="I160" s="89" t="s">
        <v>37</v>
      </c>
      <c r="J160" s="89"/>
    </row>
    <row r="161" spans="1:10" x14ac:dyDescent="0.25">
      <c r="A161" s="2"/>
      <c r="B161" s="2"/>
      <c r="C161" s="2"/>
      <c r="D161" s="2"/>
      <c r="E161" s="2"/>
      <c r="F161" s="2"/>
      <c r="G161" s="2"/>
      <c r="I161" s="90" t="s">
        <v>15</v>
      </c>
      <c r="J161" s="90"/>
    </row>
    <row r="162" spans="1:10" ht="19.5" thickBot="1" x14ac:dyDescent="0.35">
      <c r="A162" s="91" t="s">
        <v>4</v>
      </c>
      <c r="B162" s="91"/>
      <c r="C162" s="3" t="s">
        <v>5</v>
      </c>
      <c r="D162" s="14" t="s">
        <v>6</v>
      </c>
      <c r="E162" s="92" t="s">
        <v>7</v>
      </c>
      <c r="F162" s="4">
        <f>ROUNDDOWN(D188/400,0)</f>
        <v>5</v>
      </c>
      <c r="G162" s="5" t="s">
        <v>8</v>
      </c>
      <c r="H162" s="6">
        <f>D188-(F162*400)</f>
        <v>270.27</v>
      </c>
      <c r="I162" s="7" t="s">
        <v>9</v>
      </c>
    </row>
    <row r="163" spans="1:10" ht="16.5" thickBot="1" x14ac:dyDescent="0.3">
      <c r="A163" s="26" t="s">
        <v>23</v>
      </c>
      <c r="B163" s="29"/>
      <c r="C163" s="30"/>
      <c r="D163" s="20"/>
      <c r="E163" s="92"/>
      <c r="F163" s="91" t="s">
        <v>4</v>
      </c>
      <c r="G163" s="91"/>
      <c r="H163" s="3" t="s">
        <v>5</v>
      </c>
      <c r="I163" s="14" t="s">
        <v>6</v>
      </c>
      <c r="J163" s="14" t="s">
        <v>6</v>
      </c>
    </row>
    <row r="164" spans="1:10" ht="15.75" x14ac:dyDescent="0.25">
      <c r="A164" s="26" t="s">
        <v>42</v>
      </c>
      <c r="B164" s="29"/>
      <c r="C164" s="39"/>
      <c r="D164" s="20"/>
      <c r="E164" s="92"/>
      <c r="F164" s="26" t="s">
        <v>23</v>
      </c>
      <c r="G164" s="33"/>
      <c r="H164" s="30"/>
      <c r="I164" s="35"/>
      <c r="J164" s="35"/>
    </row>
    <row r="165" spans="1:10" ht="15.75" x14ac:dyDescent="0.25">
      <c r="A165" s="27" t="s">
        <v>24</v>
      </c>
      <c r="B165" s="29"/>
      <c r="C165" s="31"/>
      <c r="D165" s="20"/>
      <c r="E165" s="92"/>
      <c r="F165" s="26" t="s">
        <v>42</v>
      </c>
      <c r="G165" s="33"/>
      <c r="H165" s="39"/>
      <c r="I165" s="35"/>
      <c r="J165" s="35"/>
    </row>
    <row r="166" spans="1:10" ht="15.75" x14ac:dyDescent="0.25">
      <c r="A166" s="27" t="s">
        <v>25</v>
      </c>
      <c r="B166" s="29"/>
      <c r="C166" s="31">
        <v>0.10829999999999999</v>
      </c>
      <c r="D166" s="20">
        <f>C166*$D$32</f>
        <v>954.56053200000008</v>
      </c>
      <c r="E166" s="92"/>
      <c r="F166" s="27" t="s">
        <v>24</v>
      </c>
      <c r="G166" s="33"/>
      <c r="H166" s="31"/>
      <c r="I166" s="35"/>
      <c r="J166" s="35"/>
    </row>
    <row r="167" spans="1:10" ht="15.75" x14ac:dyDescent="0.25">
      <c r="A167" s="27" t="s">
        <v>47</v>
      </c>
      <c r="B167" s="29"/>
      <c r="C167" s="31">
        <v>0.36359999999999998</v>
      </c>
      <c r="D167" s="20">
        <f t="shared" ref="D167:D183" si="42">C167*$D$32</f>
        <v>3204.784944</v>
      </c>
      <c r="E167" s="92"/>
      <c r="F167" s="27" t="s">
        <v>25</v>
      </c>
      <c r="G167" s="33"/>
      <c r="H167" s="31">
        <v>0.10829999999999999</v>
      </c>
      <c r="I167" s="35">
        <f t="shared" ref="I167:I184" si="43">H167*$I$33</f>
        <v>43.32</v>
      </c>
      <c r="J167" s="35">
        <f t="shared" ref="J167:J184" si="44">H167*$J$33</f>
        <v>1.5205320000000944</v>
      </c>
    </row>
    <row r="168" spans="1:10" ht="15.75" x14ac:dyDescent="0.25">
      <c r="A168" s="27" t="s">
        <v>46</v>
      </c>
      <c r="B168" s="29"/>
      <c r="C168" s="31"/>
      <c r="D168" s="20"/>
      <c r="E168" s="92"/>
      <c r="F168" s="27" t="s">
        <v>47</v>
      </c>
      <c r="G168" s="33"/>
      <c r="H168" s="31">
        <v>0.36359999999999998</v>
      </c>
      <c r="I168" s="35">
        <f t="shared" si="43"/>
        <v>145.44</v>
      </c>
      <c r="J168" s="35">
        <f t="shared" si="44"/>
        <v>5.1049440000003168</v>
      </c>
    </row>
    <row r="169" spans="1:10" ht="15.75" x14ac:dyDescent="0.25">
      <c r="A169" s="27" t="s">
        <v>26</v>
      </c>
      <c r="B169" s="29"/>
      <c r="C169" s="31">
        <v>0.11360000000000001</v>
      </c>
      <c r="D169" s="20">
        <f t="shared" si="42"/>
        <v>1001.2749440000001</v>
      </c>
      <c r="E169" s="92"/>
      <c r="F169" s="27" t="s">
        <v>46</v>
      </c>
      <c r="G169" s="33"/>
      <c r="H169" s="31"/>
      <c r="I169" s="35"/>
      <c r="J169" s="35"/>
    </row>
    <row r="170" spans="1:10" ht="15.75" x14ac:dyDescent="0.25">
      <c r="A170" s="27" t="s">
        <v>43</v>
      </c>
      <c r="B170" s="29"/>
      <c r="C170" s="31"/>
      <c r="D170" s="20"/>
      <c r="E170" s="92"/>
      <c r="F170" s="27" t="s">
        <v>26</v>
      </c>
      <c r="G170" s="33"/>
      <c r="H170" s="31">
        <v>0.11360000000000001</v>
      </c>
      <c r="I170" s="35">
        <f t="shared" si="43"/>
        <v>45.440000000000005</v>
      </c>
      <c r="J170" s="35">
        <f t="shared" si="44"/>
        <v>1.5949440000000992</v>
      </c>
    </row>
    <row r="171" spans="1:10" ht="15.75" x14ac:dyDescent="0.25">
      <c r="A171" s="27" t="s">
        <v>19</v>
      </c>
      <c r="B171" s="29"/>
      <c r="C171" s="31">
        <v>0.11360000000000001</v>
      </c>
      <c r="D171" s="20">
        <f t="shared" si="42"/>
        <v>1001.2749440000001</v>
      </c>
      <c r="E171" s="92"/>
      <c r="F171" s="27" t="s">
        <v>43</v>
      </c>
      <c r="G171" s="33"/>
      <c r="H171" s="31"/>
      <c r="I171" s="35"/>
      <c r="J171" s="35"/>
    </row>
    <row r="172" spans="1:10" ht="15.75" x14ac:dyDescent="0.25">
      <c r="A172" s="27" t="s">
        <v>27</v>
      </c>
      <c r="B172" s="29"/>
      <c r="C172" s="31"/>
      <c r="D172" s="20"/>
      <c r="E172" s="92"/>
      <c r="F172" s="27" t="s">
        <v>19</v>
      </c>
      <c r="G172" s="33"/>
      <c r="H172" s="31">
        <v>0.11360000000000001</v>
      </c>
      <c r="I172" s="35">
        <f t="shared" si="43"/>
        <v>45.440000000000005</v>
      </c>
      <c r="J172" s="35">
        <f t="shared" si="44"/>
        <v>1.5949440000000992</v>
      </c>
    </row>
    <row r="173" spans="1:10" ht="15.75" x14ac:dyDescent="0.25">
      <c r="A173" s="27" t="s">
        <v>44</v>
      </c>
      <c r="B173" s="29"/>
      <c r="C173" s="31"/>
      <c r="D173" s="20"/>
      <c r="E173" s="92"/>
      <c r="F173" s="27" t="s">
        <v>27</v>
      </c>
      <c r="G173" s="33"/>
      <c r="H173" s="31"/>
      <c r="I173" s="35"/>
      <c r="J173" s="35"/>
    </row>
    <row r="174" spans="1:10" ht="15.75" x14ac:dyDescent="0.25">
      <c r="A174" s="27" t="s">
        <v>28</v>
      </c>
      <c r="B174" s="29"/>
      <c r="C174" s="31">
        <v>0.18179999999999999</v>
      </c>
      <c r="D174" s="20">
        <f t="shared" si="42"/>
        <v>1602.392472</v>
      </c>
      <c r="E174" s="92"/>
      <c r="F174" s="27" t="s">
        <v>44</v>
      </c>
      <c r="G174" s="33"/>
      <c r="H174" s="31"/>
      <c r="I174" s="35"/>
      <c r="J174" s="35"/>
    </row>
    <row r="175" spans="1:10" ht="15.75" x14ac:dyDescent="0.25">
      <c r="A175" s="27" t="s">
        <v>45</v>
      </c>
      <c r="B175" s="29"/>
      <c r="C175" s="31"/>
      <c r="D175" s="20"/>
      <c r="E175" s="92"/>
      <c r="F175" s="27" t="s">
        <v>28</v>
      </c>
      <c r="G175" s="33"/>
      <c r="H175" s="31">
        <v>0.18179999999999999</v>
      </c>
      <c r="I175" s="35">
        <f t="shared" si="43"/>
        <v>72.72</v>
      </c>
      <c r="J175" s="35">
        <f t="shared" si="44"/>
        <v>2.5524720000001584</v>
      </c>
    </row>
    <row r="176" spans="1:10" ht="15.75" x14ac:dyDescent="0.25">
      <c r="A176" s="27" t="s">
        <v>10</v>
      </c>
      <c r="B176" s="29"/>
      <c r="C176" s="31"/>
      <c r="D176" s="20"/>
      <c r="E176" s="92"/>
      <c r="F176" s="27" t="s">
        <v>45</v>
      </c>
      <c r="G176" s="33"/>
      <c r="H176" s="31"/>
      <c r="I176" s="35"/>
      <c r="J176" s="35"/>
    </row>
    <row r="177" spans="1:13" ht="15.75" x14ac:dyDescent="0.25">
      <c r="A177" s="27" t="s">
        <v>29</v>
      </c>
      <c r="B177" s="29"/>
      <c r="C177" s="31">
        <v>6.8199999999999997E-2</v>
      </c>
      <c r="D177" s="20">
        <f t="shared" si="42"/>
        <v>601.11752799999999</v>
      </c>
      <c r="E177" s="92"/>
      <c r="F177" s="27" t="s">
        <v>10</v>
      </c>
      <c r="G177" s="33"/>
      <c r="H177" s="31"/>
      <c r="I177" s="35"/>
      <c r="J177" s="35"/>
    </row>
    <row r="178" spans="1:13" ht="15.75" x14ac:dyDescent="0.25">
      <c r="A178" s="27" t="s">
        <v>17</v>
      </c>
      <c r="B178" s="29"/>
      <c r="C178" s="31"/>
      <c r="D178" s="20"/>
      <c r="E178" s="92"/>
      <c r="F178" s="27" t="s">
        <v>29</v>
      </c>
      <c r="G178" s="33"/>
      <c r="H178" s="31">
        <v>6.8199999999999997E-2</v>
      </c>
      <c r="I178" s="35">
        <f t="shared" si="43"/>
        <v>27.279999999999998</v>
      </c>
      <c r="J178" s="35">
        <f t="shared" si="44"/>
        <v>0.95752800000005955</v>
      </c>
    </row>
    <row r="179" spans="1:13" ht="15.75" x14ac:dyDescent="0.25">
      <c r="A179" s="27" t="s">
        <v>30</v>
      </c>
      <c r="B179" s="29"/>
      <c r="C179" s="31"/>
      <c r="D179" s="20"/>
      <c r="E179" s="92"/>
      <c r="F179" s="27" t="s">
        <v>17</v>
      </c>
      <c r="G179" s="33"/>
      <c r="H179" s="31"/>
      <c r="I179" s="35"/>
      <c r="J179" s="35"/>
    </row>
    <row r="180" spans="1:13" ht="15.75" x14ac:dyDescent="0.25">
      <c r="A180" s="27" t="s">
        <v>31</v>
      </c>
      <c r="B180" s="29"/>
      <c r="C180" s="31"/>
      <c r="D180" s="20"/>
      <c r="E180" s="92"/>
      <c r="F180" s="27" t="s">
        <v>30</v>
      </c>
      <c r="G180" s="33"/>
      <c r="H180" s="31"/>
      <c r="I180" s="35"/>
      <c r="J180" s="35"/>
    </row>
    <row r="181" spans="1:13" ht="15.75" x14ac:dyDescent="0.25">
      <c r="A181" s="27" t="s">
        <v>16</v>
      </c>
      <c r="B181" s="29"/>
      <c r="C181" s="31"/>
      <c r="D181" s="20"/>
      <c r="E181" s="92"/>
      <c r="F181" s="27" t="s">
        <v>31</v>
      </c>
      <c r="G181" s="33"/>
      <c r="H181" s="31"/>
      <c r="I181" s="35"/>
      <c r="J181" s="35"/>
    </row>
    <row r="182" spans="1:13" ht="15.75" x14ac:dyDescent="0.25">
      <c r="A182" s="27" t="s">
        <v>32</v>
      </c>
      <c r="B182" s="23"/>
      <c r="C182" s="31">
        <v>4.82E-2</v>
      </c>
      <c r="D182" s="20">
        <f t="shared" si="42"/>
        <v>424.83672800000005</v>
      </c>
      <c r="E182" s="92"/>
      <c r="F182" s="27" t="s">
        <v>16</v>
      </c>
      <c r="G182" s="24"/>
      <c r="H182" s="31"/>
      <c r="I182" s="35"/>
      <c r="J182" s="35"/>
    </row>
    <row r="183" spans="1:13" ht="15.75" x14ac:dyDescent="0.25">
      <c r="A183" s="27" t="s">
        <v>33</v>
      </c>
      <c r="B183" s="23"/>
      <c r="C183" s="31">
        <v>2.7000000000000001E-3</v>
      </c>
      <c r="D183" s="20">
        <f t="shared" si="42"/>
        <v>23.797908000000003</v>
      </c>
      <c r="E183" s="92"/>
      <c r="F183" s="27" t="s">
        <v>32</v>
      </c>
      <c r="G183" s="24"/>
      <c r="H183" s="31">
        <v>4.82E-2</v>
      </c>
      <c r="I183" s="35">
        <f t="shared" si="43"/>
        <v>19.28</v>
      </c>
      <c r="J183" s="35">
        <f t="shared" si="44"/>
        <v>0.67672800000004207</v>
      </c>
    </row>
    <row r="184" spans="1:13" ht="15.75" x14ac:dyDescent="0.25">
      <c r="A184" s="27" t="s">
        <v>34</v>
      </c>
      <c r="B184" s="23"/>
      <c r="C184" s="31"/>
      <c r="D184" s="20"/>
      <c r="E184" s="92"/>
      <c r="F184" s="27" t="s">
        <v>33</v>
      </c>
      <c r="G184" s="24"/>
      <c r="H184" s="31">
        <v>2.7000000000000001E-3</v>
      </c>
      <c r="I184" s="35">
        <f t="shared" si="43"/>
        <v>1.08</v>
      </c>
      <c r="J184" s="35">
        <f t="shared" si="44"/>
        <v>3.7908000000002356E-2</v>
      </c>
    </row>
    <row r="185" spans="1:13" ht="15.75" x14ac:dyDescent="0.25">
      <c r="A185" s="27" t="s">
        <v>22</v>
      </c>
      <c r="B185" s="23"/>
      <c r="C185" s="31"/>
      <c r="D185" s="20"/>
      <c r="E185" s="92"/>
      <c r="F185" s="27" t="s">
        <v>34</v>
      </c>
      <c r="G185" s="24"/>
      <c r="H185" s="31"/>
      <c r="I185" s="35"/>
      <c r="J185" s="35"/>
    </row>
    <row r="186" spans="1:13" ht="15.75" x14ac:dyDescent="0.25">
      <c r="A186" s="27" t="s">
        <v>35</v>
      </c>
      <c r="B186" s="29"/>
      <c r="C186" s="31"/>
      <c r="D186" s="20"/>
      <c r="E186" s="92"/>
      <c r="F186" s="27" t="s">
        <v>22</v>
      </c>
      <c r="G186" s="33"/>
      <c r="H186" s="31"/>
      <c r="I186" s="35"/>
      <c r="J186" s="35"/>
    </row>
    <row r="187" spans="1:13" ht="16.5" thickBot="1" x14ac:dyDescent="0.3">
      <c r="A187" s="28" t="s">
        <v>36</v>
      </c>
      <c r="B187" s="29"/>
      <c r="C187" s="32"/>
      <c r="D187" s="20"/>
      <c r="E187" s="92"/>
      <c r="F187" s="27" t="s">
        <v>35</v>
      </c>
      <c r="G187" s="33"/>
      <c r="H187" s="31"/>
      <c r="I187" s="35"/>
      <c r="J187" s="35"/>
    </row>
    <row r="188" spans="1:13" ht="16.5" thickBot="1" x14ac:dyDescent="0.3">
      <c r="A188" s="93" t="s">
        <v>11</v>
      </c>
      <c r="B188" s="93"/>
      <c r="C188" s="8">
        <f>SUM(C163:C187)</f>
        <v>1</v>
      </c>
      <c r="D188" s="15">
        <v>2270.27</v>
      </c>
      <c r="E188" s="92"/>
      <c r="F188" s="28" t="s">
        <v>36</v>
      </c>
      <c r="G188" s="34"/>
      <c r="H188" s="32"/>
      <c r="I188" s="35"/>
      <c r="J188" s="35"/>
    </row>
    <row r="189" spans="1:13" x14ac:dyDescent="0.25">
      <c r="A189" s="2"/>
      <c r="B189" s="2"/>
      <c r="C189" s="2"/>
      <c r="D189" s="2"/>
      <c r="E189" s="2"/>
      <c r="F189" s="81" t="s">
        <v>11</v>
      </c>
      <c r="G189" s="81"/>
      <c r="H189" s="17">
        <f>SUM(H164:H188)</f>
        <v>1</v>
      </c>
      <c r="I189" s="13">
        <v>400</v>
      </c>
      <c r="J189" s="13">
        <f>+H162</f>
        <v>270.27</v>
      </c>
    </row>
    <row r="190" spans="1:13" ht="23.25" x14ac:dyDescent="0.35">
      <c r="A190" s="82"/>
      <c r="B190" s="83"/>
      <c r="C190" s="2"/>
      <c r="D190" s="2"/>
      <c r="E190" s="2"/>
      <c r="F190" s="18"/>
      <c r="G190" s="18"/>
      <c r="H190" s="19"/>
      <c r="I190" s="18"/>
      <c r="J190" s="18"/>
    </row>
    <row r="191" spans="1:13" x14ac:dyDescent="0.25">
      <c r="A191" s="84" t="s">
        <v>18</v>
      </c>
      <c r="B191" s="84"/>
      <c r="C191" s="84"/>
      <c r="D191" s="84"/>
      <c r="E191" s="2"/>
      <c r="F191" s="2"/>
      <c r="G191" s="2"/>
    </row>
    <row r="192" spans="1:13" x14ac:dyDescent="0.25">
      <c r="A192" s="9" t="s">
        <v>12</v>
      </c>
      <c r="B192" s="9" t="s">
        <v>13</v>
      </c>
      <c r="C192" s="9" t="s">
        <v>14</v>
      </c>
      <c r="D192" s="10" t="s">
        <v>12</v>
      </c>
      <c r="E192" s="85" t="s">
        <v>13</v>
      </c>
      <c r="F192" s="86"/>
      <c r="G192" s="10" t="s">
        <v>14</v>
      </c>
      <c r="H192" s="9" t="s">
        <v>12</v>
      </c>
      <c r="I192" s="10" t="s">
        <v>13</v>
      </c>
      <c r="J192" s="10" t="s">
        <v>14</v>
      </c>
      <c r="K192" s="9" t="s">
        <v>12</v>
      </c>
      <c r="L192" s="10" t="s">
        <v>13</v>
      </c>
      <c r="M192" s="10" t="s">
        <v>14</v>
      </c>
    </row>
    <row r="193" spans="1:13" x14ac:dyDescent="0.25">
      <c r="A193" s="11">
        <v>1</v>
      </c>
      <c r="B193" s="16">
        <v>0.33333333333333331</v>
      </c>
      <c r="C193" s="16">
        <f>+B193+15/1440</f>
        <v>0.34375</v>
      </c>
      <c r="D193" s="11">
        <v>8</v>
      </c>
      <c r="E193" s="77">
        <f>+C199+5/1440</f>
        <v>0.43055555555555558</v>
      </c>
      <c r="F193" s="78"/>
      <c r="G193" s="21">
        <f>+E193+15/1440</f>
        <v>0.44097222222222227</v>
      </c>
      <c r="H193" s="11"/>
      <c r="I193" s="12">
        <f>G199+5/1440</f>
        <v>0.52777777777777779</v>
      </c>
      <c r="J193" s="12">
        <f>I193+15/1440</f>
        <v>0.53819444444444442</v>
      </c>
      <c r="K193" s="11">
        <v>19</v>
      </c>
      <c r="L193" s="12">
        <f>J199+5/1440</f>
        <v>0.62499999999999967</v>
      </c>
      <c r="M193" s="12">
        <f>L193+15/1440</f>
        <v>0.6354166666666663</v>
      </c>
    </row>
    <row r="194" spans="1:13" x14ac:dyDescent="0.25">
      <c r="A194" s="11">
        <v>2</v>
      </c>
      <c r="B194" s="16">
        <f t="shared" ref="B194:B199" si="45">+C193+5/1440</f>
        <v>0.34722222222222221</v>
      </c>
      <c r="C194" s="16">
        <f>+B194+15/1440</f>
        <v>0.3576388888888889</v>
      </c>
      <c r="D194" s="11">
        <v>9</v>
      </c>
      <c r="E194" s="77">
        <f>+G193+5/1440</f>
        <v>0.44444444444444448</v>
      </c>
      <c r="F194" s="78"/>
      <c r="G194" s="21">
        <f>+E194+15/1440</f>
        <v>0.45486111111111116</v>
      </c>
      <c r="H194" s="11"/>
      <c r="I194" s="12">
        <f>J193+5/1440</f>
        <v>0.54166666666666663</v>
      </c>
      <c r="J194" s="12">
        <f>I194+15/1440</f>
        <v>0.55208333333333326</v>
      </c>
      <c r="K194" s="11">
        <v>20</v>
      </c>
      <c r="L194" s="12">
        <f>M193+5/1440</f>
        <v>0.63888888888888851</v>
      </c>
      <c r="M194" s="12">
        <f>L194+15/1440</f>
        <v>0.64930555555555514</v>
      </c>
    </row>
    <row r="195" spans="1:13" x14ac:dyDescent="0.25">
      <c r="A195" s="11">
        <v>3</v>
      </c>
      <c r="B195" s="16">
        <f t="shared" si="45"/>
        <v>0.3611111111111111</v>
      </c>
      <c r="C195" s="16">
        <f t="shared" ref="C195:C199" si="46">+B195+15/1440</f>
        <v>0.37152777777777779</v>
      </c>
      <c r="D195" s="11">
        <v>10</v>
      </c>
      <c r="E195" s="77">
        <f t="shared" ref="E195:E199" si="47">+G194+5/1440</f>
        <v>0.45833333333333337</v>
      </c>
      <c r="F195" s="78"/>
      <c r="G195" s="21">
        <f t="shared" ref="G195:G199" si="48">+E195+15/1440</f>
        <v>0.46875000000000006</v>
      </c>
      <c r="H195" s="11">
        <v>14</v>
      </c>
      <c r="I195" s="12">
        <f t="shared" ref="I195:I199" si="49">J194+5/1440</f>
        <v>0.55555555555555547</v>
      </c>
      <c r="J195" s="12">
        <f t="shared" ref="J195:J199" si="50">I195+15/1440</f>
        <v>0.5659722222222221</v>
      </c>
      <c r="K195" s="11">
        <v>21</v>
      </c>
      <c r="L195" s="21">
        <f t="shared" ref="L195:L199" si="51">M194+5/1440</f>
        <v>0.65277777777777735</v>
      </c>
      <c r="M195" s="21">
        <f t="shared" ref="M195:M199" si="52">L195+15/1440</f>
        <v>0.66319444444444398</v>
      </c>
    </row>
    <row r="196" spans="1:13" x14ac:dyDescent="0.25">
      <c r="A196" s="11">
        <v>4</v>
      </c>
      <c r="B196" s="16">
        <f t="shared" si="45"/>
        <v>0.375</v>
      </c>
      <c r="C196" s="16">
        <f t="shared" si="46"/>
        <v>0.38541666666666669</v>
      </c>
      <c r="D196" s="11">
        <v>11</v>
      </c>
      <c r="E196" s="77">
        <f t="shared" si="47"/>
        <v>0.47222222222222227</v>
      </c>
      <c r="F196" s="78"/>
      <c r="G196" s="21">
        <f t="shared" si="48"/>
        <v>0.48263888888888895</v>
      </c>
      <c r="H196" s="11">
        <v>15</v>
      </c>
      <c r="I196" s="12">
        <f t="shared" si="49"/>
        <v>0.56944444444444431</v>
      </c>
      <c r="J196" s="12">
        <f t="shared" si="50"/>
        <v>0.57986111111111094</v>
      </c>
      <c r="K196" s="11">
        <v>22</v>
      </c>
      <c r="L196" s="21">
        <f t="shared" si="51"/>
        <v>0.66666666666666619</v>
      </c>
      <c r="M196" s="21">
        <f t="shared" si="52"/>
        <v>0.67708333333333282</v>
      </c>
    </row>
    <row r="197" spans="1:13" x14ac:dyDescent="0.25">
      <c r="A197" s="11">
        <v>5</v>
      </c>
      <c r="B197" s="16">
        <f t="shared" si="45"/>
        <v>0.3888888888888889</v>
      </c>
      <c r="C197" s="16">
        <f t="shared" si="46"/>
        <v>0.39930555555555558</v>
      </c>
      <c r="D197" s="11">
        <v>12</v>
      </c>
      <c r="E197" s="77">
        <f t="shared" si="47"/>
        <v>0.48611111111111116</v>
      </c>
      <c r="F197" s="78"/>
      <c r="G197" s="21">
        <f t="shared" si="48"/>
        <v>0.49652777777777785</v>
      </c>
      <c r="H197" s="11">
        <v>16</v>
      </c>
      <c r="I197" s="12">
        <f t="shared" si="49"/>
        <v>0.58333333333333315</v>
      </c>
      <c r="J197" s="12">
        <f t="shared" si="50"/>
        <v>0.59374999999999978</v>
      </c>
      <c r="K197" s="11">
        <v>23</v>
      </c>
      <c r="L197" s="21">
        <f t="shared" si="51"/>
        <v>0.68055555555555503</v>
      </c>
      <c r="M197" s="21">
        <f t="shared" si="52"/>
        <v>0.69097222222222165</v>
      </c>
    </row>
    <row r="198" spans="1:13" x14ac:dyDescent="0.25">
      <c r="A198" s="11">
        <v>6</v>
      </c>
      <c r="B198" s="16">
        <f t="shared" si="45"/>
        <v>0.40277777777777779</v>
      </c>
      <c r="C198" s="16">
        <f t="shared" si="46"/>
        <v>0.41319444444444448</v>
      </c>
      <c r="D198" s="11">
        <v>13</v>
      </c>
      <c r="E198" s="77">
        <f t="shared" si="47"/>
        <v>0.50000000000000011</v>
      </c>
      <c r="F198" s="78"/>
      <c r="G198" s="21">
        <f t="shared" si="48"/>
        <v>0.51041666666666674</v>
      </c>
      <c r="H198" s="11">
        <v>17</v>
      </c>
      <c r="I198" s="12">
        <f t="shared" si="49"/>
        <v>0.59722222222222199</v>
      </c>
      <c r="J198" s="12">
        <f t="shared" si="50"/>
        <v>0.60763888888888862</v>
      </c>
      <c r="K198" s="11">
        <v>24</v>
      </c>
      <c r="L198" s="21">
        <f t="shared" si="51"/>
        <v>0.69444444444444386</v>
      </c>
      <c r="M198" s="21">
        <f t="shared" si="52"/>
        <v>0.70486111111111049</v>
      </c>
    </row>
    <row r="199" spans="1:13" x14ac:dyDescent="0.25">
      <c r="A199" s="11">
        <v>7</v>
      </c>
      <c r="B199" s="21">
        <f t="shared" si="45"/>
        <v>0.41666666666666669</v>
      </c>
      <c r="C199" s="21">
        <f t="shared" si="46"/>
        <v>0.42708333333333337</v>
      </c>
      <c r="D199" s="11"/>
      <c r="E199" s="77">
        <f t="shared" si="47"/>
        <v>0.51388888888888895</v>
      </c>
      <c r="F199" s="78"/>
      <c r="G199" s="21">
        <f t="shared" si="48"/>
        <v>0.52430555555555558</v>
      </c>
      <c r="H199" s="11">
        <v>18</v>
      </c>
      <c r="I199" s="12">
        <f t="shared" si="49"/>
        <v>0.61111111111111083</v>
      </c>
      <c r="J199" s="12">
        <f t="shared" si="50"/>
        <v>0.62152777777777746</v>
      </c>
      <c r="K199" s="11">
        <v>25</v>
      </c>
      <c r="L199" s="21">
        <f t="shared" si="51"/>
        <v>0.7083333333333327</v>
      </c>
      <c r="M199" s="21">
        <f t="shared" si="52"/>
        <v>0.71874999999999933</v>
      </c>
    </row>
    <row r="200" spans="1:13" x14ac:dyDescent="0.25">
      <c r="H200" s="36"/>
      <c r="I200" s="37"/>
      <c r="J200" s="37"/>
    </row>
  </sheetData>
  <mergeCells count="106">
    <mergeCell ref="I5:J5"/>
    <mergeCell ref="A6:B6"/>
    <mergeCell ref="E6:E32"/>
    <mergeCell ref="F7:G7"/>
    <mergeCell ref="A32:B32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E40:F40"/>
    <mergeCell ref="E41:F41"/>
    <mergeCell ref="E42:F42"/>
    <mergeCell ref="E43:F43"/>
    <mergeCell ref="A48:D49"/>
    <mergeCell ref="E48:J49"/>
    <mergeCell ref="A34:B34"/>
    <mergeCell ref="A35:D35"/>
    <mergeCell ref="E36:F36"/>
    <mergeCell ref="E37:F37"/>
    <mergeCell ref="E38:F38"/>
    <mergeCell ref="E39:F39"/>
    <mergeCell ref="I52:J52"/>
    <mergeCell ref="A53:B53"/>
    <mergeCell ref="E53:E79"/>
    <mergeCell ref="F54:G54"/>
    <mergeCell ref="A79:B79"/>
    <mergeCell ref="F80:G80"/>
    <mergeCell ref="A50:B50"/>
    <mergeCell ref="C50:G50"/>
    <mergeCell ref="I50:J50"/>
    <mergeCell ref="A51:B51"/>
    <mergeCell ref="C51:G51"/>
    <mergeCell ref="I51:J51"/>
    <mergeCell ref="A81:B81"/>
    <mergeCell ref="A82:D82"/>
    <mergeCell ref="E83:F83"/>
    <mergeCell ref="E84:F84"/>
    <mergeCell ref="A95:D96"/>
    <mergeCell ref="A143:B143"/>
    <mergeCell ref="A144:D144"/>
    <mergeCell ref="E145:F145"/>
    <mergeCell ref="E146:F146"/>
    <mergeCell ref="F127:G127"/>
    <mergeCell ref="A130:B130"/>
    <mergeCell ref="E89:F89"/>
    <mergeCell ref="E90:F90"/>
    <mergeCell ref="E95:J96"/>
    <mergeCell ref="A97:B97"/>
    <mergeCell ref="C97:G97"/>
    <mergeCell ref="I97:J97"/>
    <mergeCell ref="E85:F85"/>
    <mergeCell ref="E86:F86"/>
    <mergeCell ref="E87:F87"/>
    <mergeCell ref="E88:F88"/>
    <mergeCell ref="A131:D131"/>
    <mergeCell ref="E132:F132"/>
    <mergeCell ref="E133:F133"/>
    <mergeCell ref="E134:F134"/>
    <mergeCell ref="E135:F135"/>
    <mergeCell ref="E136:F136"/>
    <mergeCell ref="A98:B98"/>
    <mergeCell ref="C98:G98"/>
    <mergeCell ref="I98:J98"/>
    <mergeCell ref="I99:J99"/>
    <mergeCell ref="A100:B100"/>
    <mergeCell ref="E100:E126"/>
    <mergeCell ref="F101:G101"/>
    <mergeCell ref="A126:B126"/>
    <mergeCell ref="A160:B160"/>
    <mergeCell ref="C160:G160"/>
    <mergeCell ref="I160:J160"/>
    <mergeCell ref="I161:J161"/>
    <mergeCell ref="A162:B162"/>
    <mergeCell ref="E162:E188"/>
    <mergeCell ref="F163:G163"/>
    <mergeCell ref="A188:B188"/>
    <mergeCell ref="E137:F137"/>
    <mergeCell ref="E138:F138"/>
    <mergeCell ref="E139:F139"/>
    <mergeCell ref="A157:D158"/>
    <mergeCell ref="E157:J158"/>
    <mergeCell ref="A159:B159"/>
    <mergeCell ref="C159:G159"/>
    <mergeCell ref="I159:J159"/>
    <mergeCell ref="E148:F148"/>
    <mergeCell ref="E149:F149"/>
    <mergeCell ref="E150:F150"/>
    <mergeCell ref="E151:F151"/>
    <mergeCell ref="E152:F152"/>
    <mergeCell ref="E147:F147"/>
    <mergeCell ref="E195:F195"/>
    <mergeCell ref="E196:F196"/>
    <mergeCell ref="E197:F197"/>
    <mergeCell ref="E198:F198"/>
    <mergeCell ref="E199:F199"/>
    <mergeCell ref="F189:G189"/>
    <mergeCell ref="A190:B190"/>
    <mergeCell ref="A191:D191"/>
    <mergeCell ref="E192:F192"/>
    <mergeCell ref="E193:F193"/>
    <mergeCell ref="E194:F194"/>
  </mergeCells>
  <pageMargins left="0.7" right="0.7" top="0.75" bottom="0.75" header="0.3" footer="0.3"/>
  <pageSetup paperSize="9" scale="1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3B66-1C75-4F79-9CC3-9EF8243C8FF0}">
  <dimension ref="A1:M90"/>
  <sheetViews>
    <sheetView zoomScaleNormal="100" workbookViewId="0">
      <selection activeCell="D80" sqref="D80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42" t="s">
        <v>52</v>
      </c>
      <c r="D3" s="42"/>
      <c r="E3" s="42"/>
      <c r="F3" s="42"/>
      <c r="G3" s="42"/>
      <c r="H3" s="1" t="s">
        <v>1</v>
      </c>
      <c r="I3" s="101">
        <v>45389</v>
      </c>
      <c r="J3" s="102"/>
    </row>
    <row r="4" spans="1:10" ht="37.5" customHeight="1" x14ac:dyDescent="0.25">
      <c r="A4" s="87" t="s">
        <v>2</v>
      </c>
      <c r="B4" s="87"/>
      <c r="C4" s="88" t="s">
        <v>53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5</v>
      </c>
      <c r="G6" s="5" t="s">
        <v>8</v>
      </c>
      <c r="H6" s="6">
        <f>D32-(F6*400)</f>
        <v>26.430000000000064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1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0.18559999999999999</v>
      </c>
      <c r="D10" s="20">
        <f>C10*$D$32</f>
        <v>376.10540800000001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0.20219999999999999</v>
      </c>
      <c r="D11" s="20">
        <f t="shared" ref="D11:D29" si="0">C11*$D$32</f>
        <v>409.744146</v>
      </c>
      <c r="E11" s="92"/>
      <c r="F11" s="27" t="s">
        <v>25</v>
      </c>
      <c r="G11" s="33"/>
      <c r="H11" s="38">
        <v>4.4900000000000002E-2</v>
      </c>
      <c r="I11" s="35">
        <f t="shared" ref="I11:I28" si="1">H11*$I$33</f>
        <v>17.96</v>
      </c>
      <c r="J11" s="35">
        <f t="shared" ref="J11:J28" si="2">H11*$J$33</f>
        <v>1.1867070000000028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0.15790000000000001</v>
      </c>
      <c r="I12" s="35">
        <f t="shared" si="1"/>
        <v>63.160000000000004</v>
      </c>
      <c r="J12" s="35">
        <f t="shared" si="2"/>
        <v>4.1732970000000105</v>
      </c>
    </row>
    <row r="13" spans="1:10" ht="15.75" x14ac:dyDescent="0.25">
      <c r="A13" s="27" t="s">
        <v>26</v>
      </c>
      <c r="B13" s="29"/>
      <c r="C13" s="31">
        <v>7.0499999999999993E-2</v>
      </c>
      <c r="D13" s="20">
        <f t="shared" si="0"/>
        <v>142.863315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0.1386</v>
      </c>
      <c r="I14" s="35">
        <f t="shared" si="1"/>
        <v>55.44</v>
      </c>
      <c r="J14" s="35">
        <f t="shared" si="2"/>
        <v>3.6631980000000088</v>
      </c>
    </row>
    <row r="15" spans="1:10" ht="15.75" x14ac:dyDescent="0.25">
      <c r="A15" s="27" t="s">
        <v>19</v>
      </c>
      <c r="B15" s="29"/>
      <c r="C15" s="31">
        <v>0.1057</v>
      </c>
      <c r="D15" s="20">
        <f t="shared" si="0"/>
        <v>214.19365100000002</v>
      </c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>
        <v>5.2600000000000001E-2</v>
      </c>
      <c r="I16" s="35">
        <f t="shared" si="1"/>
        <v>21.04</v>
      </c>
      <c r="J16" s="35">
        <f t="shared" si="2"/>
        <v>1.3902180000000033</v>
      </c>
    </row>
    <row r="17" spans="1:10" ht="15.75" x14ac:dyDescent="0.25">
      <c r="A17" s="27" t="s">
        <v>44</v>
      </c>
      <c r="B17" s="29"/>
      <c r="C17" s="31">
        <v>9.69E-2</v>
      </c>
      <c r="D17" s="20">
        <f t="shared" si="0"/>
        <v>196.36106700000002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>
        <v>0.12330000000000001</v>
      </c>
      <c r="D18" s="20">
        <f t="shared" si="0"/>
        <v>249.85881900000001</v>
      </c>
      <c r="E18" s="92"/>
      <c r="F18" s="27" t="s">
        <v>44</v>
      </c>
      <c r="G18" s="33"/>
      <c r="H18" s="38">
        <v>0.31580000000000003</v>
      </c>
      <c r="I18" s="35">
        <f t="shared" si="1"/>
        <v>126.32000000000001</v>
      </c>
      <c r="J18" s="35">
        <f t="shared" si="2"/>
        <v>8.3465940000000209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>
        <v>0.1807</v>
      </c>
      <c r="I19" s="35">
        <f t="shared" si="1"/>
        <v>72.28</v>
      </c>
      <c r="J19" s="35">
        <f t="shared" si="2"/>
        <v>4.7759010000000117</v>
      </c>
    </row>
    <row r="20" spans="1:10" ht="15.75" x14ac:dyDescent="0.25">
      <c r="A20" s="27" t="s">
        <v>10</v>
      </c>
      <c r="B20" s="29"/>
      <c r="C20" s="31">
        <v>5.2900000000000003E-2</v>
      </c>
      <c r="D20" s="20">
        <f t="shared" si="0"/>
        <v>107.19814700000001</v>
      </c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7.0499999999999993E-2</v>
      </c>
      <c r="D21" s="20">
        <f t="shared" si="0"/>
        <v>142.863315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7.0199999999999999E-2</v>
      </c>
      <c r="I22" s="35">
        <f t="shared" si="1"/>
        <v>28.08</v>
      </c>
      <c r="J22" s="35">
        <f t="shared" si="2"/>
        <v>1.8553860000000044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3.7400000000000003E-2</v>
      </c>
      <c r="D26" s="20">
        <f t="shared" si="0"/>
        <v>75.788482000000002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4.255503</v>
      </c>
      <c r="E27" s="92"/>
      <c r="F27" s="27" t="s">
        <v>32</v>
      </c>
      <c r="G27" s="24"/>
      <c r="H27" s="38">
        <v>3.7199999999999997E-2</v>
      </c>
      <c r="I27" s="35">
        <f t="shared" si="1"/>
        <v>14.879999999999999</v>
      </c>
      <c r="J27" s="35">
        <f t="shared" si="2"/>
        <v>0.98319600000000229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2.0999999999999999E-3</v>
      </c>
      <c r="I28" s="35">
        <f t="shared" si="1"/>
        <v>0.84</v>
      </c>
      <c r="J28" s="35">
        <f t="shared" si="2"/>
        <v>5.5503000000000129E-2</v>
      </c>
    </row>
    <row r="29" spans="1:10" ht="15.75" x14ac:dyDescent="0.25">
      <c r="A29" s="27" t="s">
        <v>22</v>
      </c>
      <c r="B29" s="23"/>
      <c r="C29" s="31">
        <v>5.2900000000000003E-2</v>
      </c>
      <c r="D29" s="20">
        <f t="shared" si="0"/>
        <v>107.19814700000001</v>
      </c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2026.43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26.430000000000064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103">
        <f>+C43+5/1440</f>
        <v>0.43055555555555558</v>
      </c>
      <c r="F37" s="104"/>
      <c r="G37" s="58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103">
        <f>+G37+5/1440</f>
        <v>0.44444444444444448</v>
      </c>
      <c r="F38" s="104"/>
      <c r="G38" s="12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103">
        <f t="shared" ref="E39:E43" si="5">+G38+5/1440</f>
        <v>0.45833333333333337</v>
      </c>
      <c r="F39" s="104"/>
      <c r="G39" s="12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21">
        <f t="shared" ref="L39:L43" si="9">M38+5/1440</f>
        <v>0.65277777777777735</v>
      </c>
      <c r="M39" s="21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103">
        <f t="shared" si="5"/>
        <v>0.47222222222222227</v>
      </c>
      <c r="F40" s="104"/>
      <c r="G40" s="12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21">
        <f t="shared" si="9"/>
        <v>0.66666666666666619</v>
      </c>
      <c r="M40" s="21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103">
        <f t="shared" si="5"/>
        <v>0.48611111111111116</v>
      </c>
      <c r="F41" s="104"/>
      <c r="G41" s="12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21">
        <f t="shared" si="9"/>
        <v>0.68055555555555503</v>
      </c>
      <c r="M41" s="21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21">
        <f t="shared" si="9"/>
        <v>0.69444444444444386</v>
      </c>
      <c r="M42" s="21">
        <f t="shared" si="10"/>
        <v>0.70486111111111049</v>
      </c>
    </row>
    <row r="43" spans="1:13" x14ac:dyDescent="0.25">
      <c r="A43" s="11">
        <v>7</v>
      </c>
      <c r="B43" s="12">
        <f t="shared" si="3"/>
        <v>0.41666666666666669</v>
      </c>
      <c r="C43" s="12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21">
        <f t="shared" si="9"/>
        <v>0.7083333333333327</v>
      </c>
      <c r="M43" s="21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ht="15.75" thickBot="1" x14ac:dyDescent="0.3">
      <c r="H47" s="36"/>
      <c r="I47" s="37"/>
      <c r="J47" s="37"/>
    </row>
    <row r="48" spans="1:13" x14ac:dyDescent="0.25">
      <c r="A48" s="94" t="s">
        <v>20</v>
      </c>
      <c r="B48" s="95"/>
      <c r="C48" s="95"/>
      <c r="D48" s="96"/>
      <c r="E48" s="95" t="s">
        <v>21</v>
      </c>
      <c r="F48" s="95"/>
      <c r="G48" s="95"/>
      <c r="H48" s="95"/>
      <c r="I48" s="95"/>
      <c r="J48" s="96"/>
    </row>
    <row r="49" spans="1:10" ht="15.75" thickBot="1" x14ac:dyDescent="0.3">
      <c r="A49" s="97"/>
      <c r="B49" s="98"/>
      <c r="C49" s="98"/>
      <c r="D49" s="99"/>
      <c r="E49" s="98"/>
      <c r="F49" s="98"/>
      <c r="G49" s="98"/>
      <c r="H49" s="98"/>
      <c r="I49" s="98"/>
      <c r="J49" s="99"/>
    </row>
    <row r="50" spans="1:10" ht="18.75" x14ac:dyDescent="0.25">
      <c r="A50" s="87" t="s">
        <v>0</v>
      </c>
      <c r="B50" s="87"/>
      <c r="C50" s="100" t="s">
        <v>55</v>
      </c>
      <c r="D50" s="100"/>
      <c r="E50" s="100"/>
      <c r="F50" s="100"/>
      <c r="G50" s="100"/>
      <c r="H50" s="1" t="s">
        <v>1</v>
      </c>
      <c r="I50" s="101">
        <v>45390</v>
      </c>
      <c r="J50" s="102"/>
    </row>
    <row r="51" spans="1:10" ht="28.5" customHeight="1" x14ac:dyDescent="0.25">
      <c r="A51" s="87" t="s">
        <v>2</v>
      </c>
      <c r="B51" s="87"/>
      <c r="C51" s="88" t="s">
        <v>48</v>
      </c>
      <c r="D51" s="88"/>
      <c r="E51" s="88"/>
      <c r="F51" s="88"/>
      <c r="G51" s="88"/>
      <c r="H51" s="1" t="s">
        <v>3</v>
      </c>
      <c r="I51" s="89" t="s">
        <v>41</v>
      </c>
      <c r="J51" s="89"/>
    </row>
    <row r="52" spans="1:10" x14ac:dyDescent="0.25">
      <c r="A52" s="2"/>
      <c r="B52" s="2"/>
      <c r="C52" s="2"/>
      <c r="D52" s="2"/>
      <c r="E52" s="2"/>
      <c r="F52" s="2"/>
      <c r="G52" s="2"/>
      <c r="I52" s="90" t="s">
        <v>64</v>
      </c>
      <c r="J52" s="90"/>
    </row>
    <row r="53" spans="1:10" ht="18.75" x14ac:dyDescent="0.3">
      <c r="A53" s="91" t="s">
        <v>4</v>
      </c>
      <c r="B53" s="91"/>
      <c r="C53" s="3" t="s">
        <v>5</v>
      </c>
      <c r="D53" s="14" t="s">
        <v>6</v>
      </c>
      <c r="E53" s="92" t="s">
        <v>7</v>
      </c>
      <c r="F53" s="4">
        <f>ROUNDDOWN(D79/400,0)</f>
        <v>12</v>
      </c>
      <c r="G53" s="5" t="s">
        <v>8</v>
      </c>
      <c r="H53" s="6">
        <f>D79-(F53*400)</f>
        <v>150.94999999999982</v>
      </c>
      <c r="I53" s="7" t="s">
        <v>9</v>
      </c>
    </row>
    <row r="54" spans="1:10" ht="15.75" x14ac:dyDescent="0.25">
      <c r="A54" s="26" t="s">
        <v>23</v>
      </c>
      <c r="B54" s="29"/>
      <c r="C54" s="39"/>
      <c r="D54" s="20"/>
      <c r="E54" s="92"/>
      <c r="F54" s="91" t="s">
        <v>4</v>
      </c>
      <c r="G54" s="91"/>
      <c r="H54" s="3" t="s">
        <v>5</v>
      </c>
      <c r="I54" s="14" t="s">
        <v>6</v>
      </c>
      <c r="J54" s="14" t="s">
        <v>6</v>
      </c>
    </row>
    <row r="55" spans="1:10" ht="15.75" x14ac:dyDescent="0.25">
      <c r="A55" s="26" t="s">
        <v>42</v>
      </c>
      <c r="B55" s="29"/>
      <c r="C55" s="39"/>
      <c r="D55" s="20"/>
      <c r="E55" s="92"/>
      <c r="F55" s="26" t="s">
        <v>23</v>
      </c>
      <c r="G55" s="33"/>
      <c r="H55" s="38"/>
      <c r="I55" s="35"/>
      <c r="J55" s="35"/>
    </row>
    <row r="56" spans="1:10" ht="15.75" x14ac:dyDescent="0.25">
      <c r="A56" s="27" t="s">
        <v>24</v>
      </c>
      <c r="B56" s="29"/>
      <c r="C56" s="31"/>
      <c r="D56" s="20"/>
      <c r="E56" s="92"/>
      <c r="F56" s="26" t="s">
        <v>42</v>
      </c>
      <c r="G56" s="33"/>
      <c r="H56" s="38"/>
      <c r="I56" s="35"/>
      <c r="J56" s="35"/>
    </row>
    <row r="57" spans="1:10" ht="15.75" x14ac:dyDescent="0.25">
      <c r="A57" s="27" t="s">
        <v>25</v>
      </c>
      <c r="B57" s="29"/>
      <c r="C57" s="31">
        <v>0.11</v>
      </c>
      <c r="D57" s="20">
        <f>C57*$D$32</f>
        <v>222.90730000000002</v>
      </c>
      <c r="E57" s="92"/>
      <c r="F57" s="27" t="s">
        <v>24</v>
      </c>
      <c r="G57" s="33"/>
      <c r="H57" s="38"/>
      <c r="I57" s="35"/>
      <c r="J57" s="35"/>
    </row>
    <row r="58" spans="1:10" ht="15.75" x14ac:dyDescent="0.25">
      <c r="A58" s="27" t="s">
        <v>47</v>
      </c>
      <c r="B58" s="29"/>
      <c r="C58" s="31">
        <v>0.21879999999999999</v>
      </c>
      <c r="D58" s="20">
        <f t="shared" ref="D58:D74" si="11">C58*$D$32</f>
        <v>443.38288399999999</v>
      </c>
      <c r="E58" s="92"/>
      <c r="F58" s="27" t="s">
        <v>25</v>
      </c>
      <c r="G58" s="33"/>
      <c r="H58" s="38">
        <v>0.1032</v>
      </c>
      <c r="I58" s="35">
        <f t="shared" ref="I58:I75" si="12">H58*$I$33</f>
        <v>41.28</v>
      </c>
      <c r="J58" s="35">
        <f t="shared" ref="J58:J75" si="13">H58*$J$33</f>
        <v>2.7275760000000067</v>
      </c>
    </row>
    <row r="59" spans="1:10" ht="15.75" x14ac:dyDescent="0.25">
      <c r="A59" s="27" t="s">
        <v>46</v>
      </c>
      <c r="B59" s="29"/>
      <c r="C59" s="31"/>
      <c r="D59" s="20"/>
      <c r="E59" s="92"/>
      <c r="F59" s="27" t="s">
        <v>47</v>
      </c>
      <c r="G59" s="33"/>
      <c r="H59" s="38">
        <v>0.219</v>
      </c>
      <c r="I59" s="35">
        <f t="shared" si="12"/>
        <v>87.6</v>
      </c>
      <c r="J59" s="35">
        <f t="shared" si="13"/>
        <v>5.7881700000000142</v>
      </c>
    </row>
    <row r="60" spans="1:10" ht="15.75" x14ac:dyDescent="0.25">
      <c r="A60" s="27" t="s">
        <v>26</v>
      </c>
      <c r="B60" s="29"/>
      <c r="C60" s="31">
        <v>1.9900000000000001E-2</v>
      </c>
      <c r="D60" s="20">
        <f t="shared" si="11"/>
        <v>40.325957000000002</v>
      </c>
      <c r="E60" s="92"/>
      <c r="F60" s="27" t="s">
        <v>46</v>
      </c>
      <c r="G60" s="33"/>
      <c r="H60" s="38"/>
      <c r="I60" s="35"/>
      <c r="J60" s="35"/>
    </row>
    <row r="61" spans="1:10" ht="15.75" x14ac:dyDescent="0.25">
      <c r="A61" s="27" t="s">
        <v>43</v>
      </c>
      <c r="B61" s="29"/>
      <c r="C61" s="31"/>
      <c r="D61" s="20"/>
      <c r="E61" s="92"/>
      <c r="F61" s="27" t="s">
        <v>26</v>
      </c>
      <c r="G61" s="33"/>
      <c r="H61" s="38">
        <v>1.5900000000000001E-2</v>
      </c>
      <c r="I61" s="35">
        <f t="shared" si="12"/>
        <v>6.36</v>
      </c>
      <c r="J61" s="35">
        <f t="shared" si="13"/>
        <v>0.42023700000000103</v>
      </c>
    </row>
    <row r="62" spans="1:10" ht="15.75" x14ac:dyDescent="0.25">
      <c r="A62" s="27" t="s">
        <v>19</v>
      </c>
      <c r="B62" s="29"/>
      <c r="C62" s="31"/>
      <c r="D62" s="20"/>
      <c r="E62" s="92"/>
      <c r="F62" s="27" t="s">
        <v>43</v>
      </c>
      <c r="G62" s="33"/>
      <c r="H62" s="38"/>
      <c r="I62" s="35"/>
      <c r="J62" s="35"/>
    </row>
    <row r="63" spans="1:10" ht="15.75" x14ac:dyDescent="0.25">
      <c r="A63" s="27" t="s">
        <v>27</v>
      </c>
      <c r="B63" s="29"/>
      <c r="C63" s="31"/>
      <c r="D63" s="20"/>
      <c r="E63" s="92"/>
      <c r="F63" s="27" t="s">
        <v>19</v>
      </c>
      <c r="G63" s="33"/>
      <c r="H63" s="38"/>
      <c r="I63" s="35"/>
      <c r="J63" s="35"/>
    </row>
    <row r="64" spans="1:10" ht="15.75" x14ac:dyDescent="0.25">
      <c r="A64" s="27" t="s">
        <v>44</v>
      </c>
      <c r="B64" s="29"/>
      <c r="C64" s="31">
        <v>0.45750000000000002</v>
      </c>
      <c r="D64" s="20">
        <f t="shared" si="11"/>
        <v>927.09172500000011</v>
      </c>
      <c r="E64" s="92"/>
      <c r="F64" s="27" t="s">
        <v>27</v>
      </c>
      <c r="G64" s="33"/>
      <c r="H64" s="38"/>
      <c r="I64" s="35"/>
      <c r="J64" s="35"/>
    </row>
    <row r="65" spans="1:10" ht="15.75" x14ac:dyDescent="0.25">
      <c r="A65" s="27" t="s">
        <v>28</v>
      </c>
      <c r="B65" s="29"/>
      <c r="C65" s="31"/>
      <c r="D65" s="20"/>
      <c r="E65" s="92"/>
      <c r="F65" s="27" t="s">
        <v>44</v>
      </c>
      <c r="G65" s="33"/>
      <c r="H65" s="38">
        <v>0.46789999999999998</v>
      </c>
      <c r="I65" s="35">
        <f t="shared" si="12"/>
        <v>187.16</v>
      </c>
      <c r="J65" s="35">
        <f t="shared" si="13"/>
        <v>12.366597000000029</v>
      </c>
    </row>
    <row r="66" spans="1:10" ht="15.75" x14ac:dyDescent="0.25">
      <c r="A66" s="27" t="s">
        <v>45</v>
      </c>
      <c r="B66" s="29"/>
      <c r="C66" s="31"/>
      <c r="D66" s="20"/>
      <c r="E66" s="92"/>
      <c r="F66" s="27" t="s">
        <v>28</v>
      </c>
      <c r="G66" s="33"/>
      <c r="H66" s="38"/>
      <c r="I66" s="35"/>
      <c r="J66" s="35"/>
    </row>
    <row r="67" spans="1:10" ht="15.75" x14ac:dyDescent="0.25">
      <c r="A67" s="27" t="s">
        <v>10</v>
      </c>
      <c r="B67" s="29"/>
      <c r="C67" s="31"/>
      <c r="D67" s="20"/>
      <c r="E67" s="92"/>
      <c r="F67" s="27" t="s">
        <v>45</v>
      </c>
      <c r="G67" s="33"/>
      <c r="H67" s="38"/>
      <c r="I67" s="35"/>
      <c r="J67" s="35"/>
    </row>
    <row r="68" spans="1:10" ht="15.75" x14ac:dyDescent="0.25">
      <c r="A68" s="27" t="s">
        <v>29</v>
      </c>
      <c r="B68" s="29"/>
      <c r="C68" s="31">
        <v>0.13919999999999999</v>
      </c>
      <c r="D68" s="20">
        <f t="shared" si="11"/>
        <v>282.07905599999998</v>
      </c>
      <c r="E68" s="92"/>
      <c r="F68" s="27" t="s">
        <v>10</v>
      </c>
      <c r="G68" s="33"/>
      <c r="H68" s="38"/>
      <c r="I68" s="35"/>
      <c r="J68" s="35"/>
    </row>
    <row r="69" spans="1:10" ht="15.75" x14ac:dyDescent="0.25">
      <c r="A69" s="27" t="s">
        <v>17</v>
      </c>
      <c r="B69" s="29"/>
      <c r="C69" s="31"/>
      <c r="D69" s="20"/>
      <c r="E69" s="92"/>
      <c r="F69" s="27" t="s">
        <v>29</v>
      </c>
      <c r="G69" s="33"/>
      <c r="H69" s="38">
        <v>0.1394</v>
      </c>
      <c r="I69" s="35">
        <f t="shared" si="12"/>
        <v>55.76</v>
      </c>
      <c r="J69" s="35">
        <f t="shared" si="13"/>
        <v>3.6843420000000089</v>
      </c>
    </row>
    <row r="70" spans="1:10" ht="15.75" x14ac:dyDescent="0.25">
      <c r="A70" s="27" t="s">
        <v>30</v>
      </c>
      <c r="B70" s="29"/>
      <c r="C70" s="31"/>
      <c r="D70" s="20"/>
      <c r="E70" s="92"/>
      <c r="F70" s="27" t="s">
        <v>17</v>
      </c>
      <c r="G70" s="33"/>
      <c r="H70" s="38"/>
      <c r="I70" s="35"/>
      <c r="J70" s="35"/>
    </row>
    <row r="71" spans="1:10" ht="15.75" x14ac:dyDescent="0.25">
      <c r="A71" s="27" t="s">
        <v>31</v>
      </c>
      <c r="B71" s="29"/>
      <c r="C71" s="31"/>
      <c r="D71" s="20"/>
      <c r="E71" s="92"/>
      <c r="F71" s="27" t="s">
        <v>30</v>
      </c>
      <c r="G71" s="33"/>
      <c r="H71" s="38"/>
      <c r="I71" s="35"/>
      <c r="J71" s="35"/>
    </row>
    <row r="72" spans="1:10" ht="15.75" x14ac:dyDescent="0.25">
      <c r="A72" s="27" t="s">
        <v>16</v>
      </c>
      <c r="B72" s="29"/>
      <c r="C72" s="31">
        <v>0.01</v>
      </c>
      <c r="D72" s="20">
        <f t="shared" si="11"/>
        <v>20.264300000000002</v>
      </c>
      <c r="E72" s="92"/>
      <c r="F72" s="27" t="s">
        <v>31</v>
      </c>
      <c r="G72" s="33"/>
      <c r="H72" s="38"/>
      <c r="I72" s="35"/>
      <c r="J72" s="35"/>
    </row>
    <row r="73" spans="1:10" ht="15.75" x14ac:dyDescent="0.25">
      <c r="A73" s="27" t="s">
        <v>32</v>
      </c>
      <c r="B73" s="23"/>
      <c r="C73" s="31">
        <v>4.2200000000000001E-2</v>
      </c>
      <c r="D73" s="20">
        <f t="shared" si="11"/>
        <v>85.515346000000008</v>
      </c>
      <c r="E73" s="92"/>
      <c r="F73" s="27" t="s">
        <v>16</v>
      </c>
      <c r="G73" s="24"/>
      <c r="H73" s="38">
        <v>0.01</v>
      </c>
      <c r="I73" s="35">
        <f t="shared" si="12"/>
        <v>4</v>
      </c>
      <c r="J73" s="35">
        <f t="shared" si="13"/>
        <v>0.26430000000000065</v>
      </c>
    </row>
    <row r="74" spans="1:10" ht="15.75" x14ac:dyDescent="0.25">
      <c r="A74" s="27" t="s">
        <v>33</v>
      </c>
      <c r="B74" s="23"/>
      <c r="C74" s="31">
        <v>2.3999999999999998E-3</v>
      </c>
      <c r="D74" s="20">
        <f t="shared" si="11"/>
        <v>4.8634319999999995</v>
      </c>
      <c r="E74" s="92"/>
      <c r="F74" s="27" t="s">
        <v>32</v>
      </c>
      <c r="G74" s="24"/>
      <c r="H74" s="38">
        <v>4.2200000000000001E-2</v>
      </c>
      <c r="I74" s="35">
        <f t="shared" si="12"/>
        <v>16.88</v>
      </c>
      <c r="J74" s="35">
        <f t="shared" si="13"/>
        <v>1.1153460000000026</v>
      </c>
    </row>
    <row r="75" spans="1:10" ht="15.75" x14ac:dyDescent="0.25">
      <c r="A75" s="27" t="s">
        <v>34</v>
      </c>
      <c r="B75" s="23"/>
      <c r="C75" s="31"/>
      <c r="D75" s="20"/>
      <c r="E75" s="92"/>
      <c r="F75" s="27" t="s">
        <v>33</v>
      </c>
      <c r="G75" s="24"/>
      <c r="H75" s="38">
        <v>2.3999999999999998E-3</v>
      </c>
      <c r="I75" s="35">
        <f t="shared" si="12"/>
        <v>0.96</v>
      </c>
      <c r="J75" s="35">
        <f t="shared" si="13"/>
        <v>6.3432000000000141E-2</v>
      </c>
    </row>
    <row r="76" spans="1:10" ht="15.75" x14ac:dyDescent="0.25">
      <c r="A76" s="27" t="s">
        <v>22</v>
      </c>
      <c r="B76" s="23"/>
      <c r="C76" s="31"/>
      <c r="D76" s="20"/>
      <c r="E76" s="92"/>
      <c r="F76" s="27" t="s">
        <v>34</v>
      </c>
      <c r="G76" s="24"/>
      <c r="H76" s="38"/>
      <c r="I76" s="35"/>
      <c r="J76" s="35"/>
    </row>
    <row r="77" spans="1:10" ht="15.75" x14ac:dyDescent="0.25">
      <c r="A77" s="27" t="s">
        <v>35</v>
      </c>
      <c r="B77" s="29"/>
      <c r="C77" s="31"/>
      <c r="D77" s="20"/>
      <c r="E77" s="92"/>
      <c r="F77" s="27" t="s">
        <v>22</v>
      </c>
      <c r="G77" s="33"/>
      <c r="H77" s="38"/>
      <c r="I77" s="35"/>
      <c r="J77" s="35"/>
    </row>
    <row r="78" spans="1:10" ht="16.5" thickBot="1" x14ac:dyDescent="0.3">
      <c r="A78" s="28" t="s">
        <v>36</v>
      </c>
      <c r="B78" s="29"/>
      <c r="C78" s="32"/>
      <c r="D78" s="20"/>
      <c r="E78" s="92"/>
      <c r="F78" s="27" t="s">
        <v>35</v>
      </c>
      <c r="G78" s="33"/>
      <c r="H78" s="38"/>
      <c r="I78" s="35"/>
      <c r="J78" s="35"/>
    </row>
    <row r="79" spans="1:10" ht="16.5" thickBot="1" x14ac:dyDescent="0.3">
      <c r="A79" s="93" t="s">
        <v>11</v>
      </c>
      <c r="B79" s="93"/>
      <c r="C79" s="8">
        <f>SUM(C54:C78)</f>
        <v>1</v>
      </c>
      <c r="D79" s="15">
        <v>4950.95</v>
      </c>
      <c r="E79" s="92"/>
      <c r="F79" s="28" t="s">
        <v>36</v>
      </c>
      <c r="G79" s="34"/>
      <c r="H79" s="38"/>
      <c r="I79" s="35"/>
      <c r="J79" s="35"/>
    </row>
    <row r="80" spans="1:10" x14ac:dyDescent="0.25">
      <c r="A80" s="2"/>
      <c r="B80" s="2"/>
      <c r="C80" s="2"/>
      <c r="D80" s="2"/>
      <c r="E80" s="2"/>
      <c r="F80" s="81" t="s">
        <v>11</v>
      </c>
      <c r="G80" s="81"/>
      <c r="H80" s="17">
        <f>SUM(H55:H79)</f>
        <v>1</v>
      </c>
      <c r="I80" s="13">
        <v>400</v>
      </c>
      <c r="J80" s="13">
        <f>+H53</f>
        <v>150.94999999999982</v>
      </c>
    </row>
    <row r="81" spans="1:13" ht="23.25" x14ac:dyDescent="0.35">
      <c r="A81" s="82"/>
      <c r="B81" s="83"/>
      <c r="C81" s="2"/>
      <c r="D81" s="2"/>
      <c r="E81" s="2"/>
      <c r="F81" s="18"/>
      <c r="G81" s="18"/>
      <c r="H81" s="19"/>
      <c r="I81" s="18"/>
      <c r="J81" s="18"/>
    </row>
    <row r="82" spans="1:13" x14ac:dyDescent="0.25">
      <c r="A82" s="84" t="s">
        <v>18</v>
      </c>
      <c r="B82" s="84"/>
      <c r="C82" s="84"/>
      <c r="D82" s="84"/>
      <c r="E82" s="2"/>
      <c r="F82" s="2"/>
      <c r="G82" s="2"/>
    </row>
    <row r="83" spans="1:13" x14ac:dyDescent="0.25">
      <c r="A83" s="9" t="s">
        <v>12</v>
      </c>
      <c r="B83" s="9" t="s">
        <v>13</v>
      </c>
      <c r="C83" s="9" t="s">
        <v>14</v>
      </c>
      <c r="D83" s="10" t="s">
        <v>12</v>
      </c>
      <c r="E83" s="85" t="s">
        <v>13</v>
      </c>
      <c r="F83" s="86"/>
      <c r="G83" s="10" t="s">
        <v>14</v>
      </c>
      <c r="H83" s="9" t="s">
        <v>12</v>
      </c>
      <c r="I83" s="10" t="s">
        <v>13</v>
      </c>
      <c r="J83" s="10" t="s">
        <v>14</v>
      </c>
      <c r="K83" s="9" t="s">
        <v>12</v>
      </c>
      <c r="L83" s="10" t="s">
        <v>13</v>
      </c>
      <c r="M83" s="10" t="s">
        <v>14</v>
      </c>
    </row>
    <row r="84" spans="1:13" x14ac:dyDescent="0.25">
      <c r="A84" s="11">
        <v>1</v>
      </c>
      <c r="B84" s="16">
        <v>0.33333333333333331</v>
      </c>
      <c r="C84" s="16">
        <f>+B84+15/1440</f>
        <v>0.34375</v>
      </c>
      <c r="D84" s="11">
        <v>8</v>
      </c>
      <c r="E84" s="79">
        <f>+C90+5/1440</f>
        <v>0.43055555555555558</v>
      </c>
      <c r="F84" s="80"/>
      <c r="G84" s="16">
        <f>+E84+15/1440</f>
        <v>0.44097222222222227</v>
      </c>
      <c r="H84" s="11"/>
      <c r="I84" s="12">
        <f>G90+5/1440</f>
        <v>0.52777777777777779</v>
      </c>
      <c r="J84" s="12">
        <f>I84+15/1440</f>
        <v>0.53819444444444442</v>
      </c>
      <c r="K84" s="11">
        <v>19</v>
      </c>
      <c r="L84" s="12">
        <f>J90+5/1440</f>
        <v>0.62499999999999967</v>
      </c>
      <c r="M84" s="12">
        <f>L84+15/1440</f>
        <v>0.6354166666666663</v>
      </c>
    </row>
    <row r="85" spans="1:13" x14ac:dyDescent="0.25">
      <c r="A85" s="11">
        <v>2</v>
      </c>
      <c r="B85" s="16">
        <f t="shared" ref="B85:B90" si="14">+C84+5/1440</f>
        <v>0.34722222222222221</v>
      </c>
      <c r="C85" s="16">
        <f>+B85+15/1440</f>
        <v>0.3576388888888889</v>
      </c>
      <c r="D85" s="11">
        <v>9</v>
      </c>
      <c r="E85" s="79">
        <f>+G84+5/1440</f>
        <v>0.44444444444444448</v>
      </c>
      <c r="F85" s="80"/>
      <c r="G85" s="16">
        <f>+E85+15/1440</f>
        <v>0.45486111111111116</v>
      </c>
      <c r="H85" s="11"/>
      <c r="I85" s="12">
        <f>J84+5/1440</f>
        <v>0.54166666666666663</v>
      </c>
      <c r="J85" s="12">
        <f>I85+15/1440</f>
        <v>0.55208333333333326</v>
      </c>
      <c r="K85" s="11">
        <v>20</v>
      </c>
      <c r="L85" s="12">
        <f>M84+5/1440</f>
        <v>0.63888888888888851</v>
      </c>
      <c r="M85" s="12">
        <f>L85+15/1440</f>
        <v>0.64930555555555514</v>
      </c>
    </row>
    <row r="86" spans="1:13" x14ac:dyDescent="0.25">
      <c r="A86" s="11">
        <v>3</v>
      </c>
      <c r="B86" s="16">
        <f t="shared" si="14"/>
        <v>0.3611111111111111</v>
      </c>
      <c r="C86" s="16">
        <f t="shared" ref="C86:C90" si="15">+B86+15/1440</f>
        <v>0.37152777777777779</v>
      </c>
      <c r="D86" s="11">
        <v>10</v>
      </c>
      <c r="E86" s="79">
        <f t="shared" ref="E86:E90" si="16">+G85+5/1440</f>
        <v>0.45833333333333337</v>
      </c>
      <c r="F86" s="80"/>
      <c r="G86" s="16">
        <f t="shared" ref="G86:G90" si="17">+E86+15/1440</f>
        <v>0.46875000000000006</v>
      </c>
      <c r="H86" s="11">
        <v>14</v>
      </c>
      <c r="I86" s="12">
        <f t="shared" ref="I86:I90" si="18">J85+5/1440</f>
        <v>0.55555555555555547</v>
      </c>
      <c r="J86" s="12">
        <f t="shared" ref="J86:J90" si="19">I86+15/1440</f>
        <v>0.5659722222222221</v>
      </c>
      <c r="K86" s="11">
        <v>21</v>
      </c>
      <c r="L86" s="12">
        <f t="shared" ref="L86:L90" si="20">M85+5/1440</f>
        <v>0.65277777777777735</v>
      </c>
      <c r="M86" s="12">
        <f t="shared" ref="M86:M90" si="21">L86+15/1440</f>
        <v>0.66319444444444398</v>
      </c>
    </row>
    <row r="87" spans="1:13" x14ac:dyDescent="0.25">
      <c r="A87" s="11">
        <v>4</v>
      </c>
      <c r="B87" s="16">
        <f t="shared" si="14"/>
        <v>0.375</v>
      </c>
      <c r="C87" s="16">
        <f t="shared" si="15"/>
        <v>0.38541666666666669</v>
      </c>
      <c r="D87" s="11">
        <v>11</v>
      </c>
      <c r="E87" s="79">
        <f t="shared" si="16"/>
        <v>0.47222222222222227</v>
      </c>
      <c r="F87" s="80"/>
      <c r="G87" s="16">
        <f t="shared" si="17"/>
        <v>0.48263888888888895</v>
      </c>
      <c r="H87" s="11">
        <v>15</v>
      </c>
      <c r="I87" s="12">
        <f t="shared" si="18"/>
        <v>0.56944444444444431</v>
      </c>
      <c r="J87" s="12">
        <f t="shared" si="19"/>
        <v>0.57986111111111094</v>
      </c>
      <c r="K87" s="11">
        <v>22</v>
      </c>
      <c r="L87" s="12">
        <f t="shared" si="20"/>
        <v>0.66666666666666619</v>
      </c>
      <c r="M87" s="12">
        <f t="shared" si="21"/>
        <v>0.67708333333333282</v>
      </c>
    </row>
    <row r="88" spans="1:13" x14ac:dyDescent="0.25">
      <c r="A88" s="11">
        <v>5</v>
      </c>
      <c r="B88" s="16">
        <f t="shared" si="14"/>
        <v>0.3888888888888889</v>
      </c>
      <c r="C88" s="16">
        <f t="shared" si="15"/>
        <v>0.39930555555555558</v>
      </c>
      <c r="D88" s="11">
        <v>12</v>
      </c>
      <c r="E88" s="79">
        <f t="shared" si="16"/>
        <v>0.48611111111111116</v>
      </c>
      <c r="F88" s="80"/>
      <c r="G88" s="16">
        <f t="shared" si="17"/>
        <v>0.49652777777777785</v>
      </c>
      <c r="H88" s="11">
        <v>16</v>
      </c>
      <c r="I88" s="12">
        <f t="shared" si="18"/>
        <v>0.58333333333333315</v>
      </c>
      <c r="J88" s="12">
        <f t="shared" si="19"/>
        <v>0.59374999999999978</v>
      </c>
      <c r="K88" s="11">
        <v>23</v>
      </c>
      <c r="L88" s="12">
        <f t="shared" si="20"/>
        <v>0.68055555555555503</v>
      </c>
      <c r="M88" s="12">
        <f t="shared" si="21"/>
        <v>0.69097222222222165</v>
      </c>
    </row>
    <row r="89" spans="1:13" x14ac:dyDescent="0.25">
      <c r="A89" s="11">
        <v>6</v>
      </c>
      <c r="B89" s="16">
        <f t="shared" si="14"/>
        <v>0.40277777777777779</v>
      </c>
      <c r="C89" s="16">
        <f t="shared" si="15"/>
        <v>0.41319444444444448</v>
      </c>
      <c r="D89" s="11">
        <v>13</v>
      </c>
      <c r="E89" s="79">
        <f t="shared" si="16"/>
        <v>0.50000000000000011</v>
      </c>
      <c r="F89" s="80"/>
      <c r="G89" s="16">
        <f t="shared" si="17"/>
        <v>0.51041666666666674</v>
      </c>
      <c r="H89" s="11">
        <v>17</v>
      </c>
      <c r="I89" s="12">
        <f t="shared" si="18"/>
        <v>0.59722222222222199</v>
      </c>
      <c r="J89" s="12">
        <f t="shared" si="19"/>
        <v>0.60763888888888862</v>
      </c>
      <c r="K89" s="11">
        <v>24</v>
      </c>
      <c r="L89" s="12">
        <f t="shared" si="20"/>
        <v>0.69444444444444386</v>
      </c>
      <c r="M89" s="12">
        <f t="shared" si="21"/>
        <v>0.70486111111111049</v>
      </c>
    </row>
    <row r="90" spans="1:13" x14ac:dyDescent="0.25">
      <c r="A90" s="11">
        <v>7</v>
      </c>
      <c r="B90" s="16">
        <f t="shared" si="14"/>
        <v>0.41666666666666669</v>
      </c>
      <c r="C90" s="16">
        <f t="shared" si="15"/>
        <v>0.42708333333333337</v>
      </c>
      <c r="D90" s="11"/>
      <c r="E90" s="77">
        <f t="shared" si="16"/>
        <v>0.51388888888888895</v>
      </c>
      <c r="F90" s="78"/>
      <c r="G90" s="21">
        <f t="shared" si="17"/>
        <v>0.52430555555555558</v>
      </c>
      <c r="H90" s="11">
        <v>18</v>
      </c>
      <c r="I90" s="12">
        <f t="shared" si="18"/>
        <v>0.61111111111111083</v>
      </c>
      <c r="J90" s="12">
        <f t="shared" si="19"/>
        <v>0.62152777777777746</v>
      </c>
      <c r="K90" s="11">
        <v>25</v>
      </c>
      <c r="L90" s="12">
        <f t="shared" si="20"/>
        <v>0.7083333333333327</v>
      </c>
      <c r="M90" s="12">
        <f t="shared" si="21"/>
        <v>0.71874999999999933</v>
      </c>
    </row>
  </sheetData>
  <mergeCells count="47">
    <mergeCell ref="A1:D2"/>
    <mergeCell ref="E1:J2"/>
    <mergeCell ref="A3:B3"/>
    <mergeCell ref="I3:J3"/>
    <mergeCell ref="A4:B4"/>
    <mergeCell ref="C4:G4"/>
    <mergeCell ref="I4:J4"/>
    <mergeCell ref="E39:F39"/>
    <mergeCell ref="I5:J5"/>
    <mergeCell ref="A6:B6"/>
    <mergeCell ref="E6:E32"/>
    <mergeCell ref="F7:G7"/>
    <mergeCell ref="A32:B32"/>
    <mergeCell ref="F33:G33"/>
    <mergeCell ref="A34:B34"/>
    <mergeCell ref="A35:D35"/>
    <mergeCell ref="E36:F36"/>
    <mergeCell ref="E37:F37"/>
    <mergeCell ref="E38:F38"/>
    <mergeCell ref="E40:F40"/>
    <mergeCell ref="E41:F41"/>
    <mergeCell ref="E42:F42"/>
    <mergeCell ref="E43:F43"/>
    <mergeCell ref="A48:D49"/>
    <mergeCell ref="E48:J49"/>
    <mergeCell ref="F80:G80"/>
    <mergeCell ref="A50:B50"/>
    <mergeCell ref="C50:G50"/>
    <mergeCell ref="I50:J50"/>
    <mergeCell ref="A51:B51"/>
    <mergeCell ref="C51:G51"/>
    <mergeCell ref="I51:J51"/>
    <mergeCell ref="I52:J52"/>
    <mergeCell ref="A53:B53"/>
    <mergeCell ref="E53:E79"/>
    <mergeCell ref="F54:G54"/>
    <mergeCell ref="A79:B79"/>
    <mergeCell ref="E87:F87"/>
    <mergeCell ref="E88:F88"/>
    <mergeCell ref="E89:F89"/>
    <mergeCell ref="E90:F90"/>
    <mergeCell ref="A81:B81"/>
    <mergeCell ref="A82:D82"/>
    <mergeCell ref="E83:F83"/>
    <mergeCell ref="E84:F84"/>
    <mergeCell ref="E85:F85"/>
    <mergeCell ref="E86:F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62B2-5478-4EDA-983E-E3DDD0C70BFB}">
  <sheetPr>
    <pageSetUpPr fitToPage="1"/>
  </sheetPr>
  <dimension ref="A1:M137"/>
  <sheetViews>
    <sheetView zoomScaleNormal="100" workbookViewId="0">
      <selection activeCell="P4" sqref="P4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3.57031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ht="15" customHeight="1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58</v>
      </c>
      <c r="D3" s="100"/>
      <c r="E3" s="100"/>
      <c r="F3" s="100"/>
      <c r="G3" s="100"/>
      <c r="H3" s="1" t="s">
        <v>1</v>
      </c>
      <c r="I3" s="101">
        <v>45415</v>
      </c>
      <c r="J3" s="102"/>
    </row>
    <row r="4" spans="1:10" ht="33.75" customHeight="1" x14ac:dyDescent="0.25">
      <c r="A4" s="87" t="s">
        <v>2</v>
      </c>
      <c r="B4" s="87"/>
      <c r="C4" s="88" t="s">
        <v>59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49</v>
      </c>
      <c r="J5" s="90"/>
    </row>
    <row r="6" spans="1:10" ht="18.75" customHeight="1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22</v>
      </c>
      <c r="G6" s="5" t="s">
        <v>8</v>
      </c>
      <c r="H6" s="6">
        <f>D32-(F6*400)</f>
        <v>14.040000000000873</v>
      </c>
      <c r="I6" s="7" t="s">
        <v>9</v>
      </c>
    </row>
    <row r="7" spans="1:10" ht="16.5" thickBot="1" x14ac:dyDescent="0.3">
      <c r="A7" s="26" t="s">
        <v>23</v>
      </c>
      <c r="B7" s="29"/>
      <c r="C7" s="48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48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8">
        <v>0.2727</v>
      </c>
      <c r="D10" s="20">
        <f>C10*$D$32</f>
        <v>2403.5887080000002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8">
        <v>0.1047</v>
      </c>
      <c r="D11" s="20">
        <f t="shared" ref="D11:D27" si="0">C11*$D$32</f>
        <v>922.82998800000007</v>
      </c>
      <c r="E11" s="92"/>
      <c r="F11" s="27" t="s">
        <v>25</v>
      </c>
      <c r="G11" s="33"/>
      <c r="H11" s="31">
        <v>0.3291</v>
      </c>
      <c r="I11" s="35">
        <f t="shared" ref="I11:I29" si="1">H11*$I$33</f>
        <v>131.64000000000001</v>
      </c>
      <c r="J11" s="35">
        <f t="shared" ref="J11:J29" si="2">H11*$J$33</f>
        <v>4.6205640000002877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1">
        <v>0.1404</v>
      </c>
      <c r="I12" s="35">
        <f t="shared" si="1"/>
        <v>56.16</v>
      </c>
      <c r="J12" s="35">
        <f t="shared" si="2"/>
        <v>1.9712160000001226</v>
      </c>
    </row>
    <row r="13" spans="1:10" ht="15.75" x14ac:dyDescent="0.25">
      <c r="A13" s="27" t="s">
        <v>26</v>
      </c>
      <c r="B13" s="29"/>
      <c r="C13" s="38"/>
      <c r="D13" s="20"/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1">
        <v>1.7500000000000002E-2</v>
      </c>
      <c r="I14" s="35">
        <f t="shared" si="1"/>
        <v>7.0000000000000009</v>
      </c>
      <c r="J14" s="35">
        <f t="shared" si="2"/>
        <v>0.2457000000000153</v>
      </c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1"/>
      <c r="I16" s="35"/>
      <c r="J16" s="35"/>
    </row>
    <row r="17" spans="1:10" ht="15.75" x14ac:dyDescent="0.25">
      <c r="A17" s="27" t="s">
        <v>44</v>
      </c>
      <c r="B17" s="29"/>
      <c r="C17" s="38"/>
      <c r="D17" s="20"/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8">
        <v>0.58179999999999998</v>
      </c>
      <c r="D18" s="20">
        <f t="shared" si="0"/>
        <v>5128.0084720000004</v>
      </c>
      <c r="E18" s="92"/>
      <c r="F18" s="27" t="s">
        <v>44</v>
      </c>
      <c r="G18" s="33"/>
      <c r="H18" s="31">
        <v>0.43859999999999999</v>
      </c>
      <c r="I18" s="35">
        <f t="shared" si="1"/>
        <v>175.44</v>
      </c>
      <c r="J18" s="35">
        <f t="shared" si="2"/>
        <v>6.1579440000003824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1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8">
        <v>3.8600000000000002E-2</v>
      </c>
      <c r="D26" s="20">
        <f t="shared" si="0"/>
        <v>340.22194400000006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8">
        <v>2.2000000000000001E-3</v>
      </c>
      <c r="D27" s="20">
        <f t="shared" si="0"/>
        <v>19.390888000000004</v>
      </c>
      <c r="E27" s="92"/>
      <c r="F27" s="27" t="s">
        <v>32</v>
      </c>
      <c r="G27" s="24"/>
      <c r="H27" s="31">
        <v>3.7199999999999997E-2</v>
      </c>
      <c r="I27" s="35">
        <f t="shared" si="1"/>
        <v>14.879999999999999</v>
      </c>
      <c r="J27" s="35">
        <f t="shared" si="2"/>
        <v>0.52228800000003239</v>
      </c>
    </row>
    <row r="28" spans="1:10" ht="15.75" x14ac:dyDescent="0.25">
      <c r="A28" s="27" t="s">
        <v>34</v>
      </c>
      <c r="B28" s="23"/>
      <c r="C28" s="38"/>
      <c r="D28" s="20"/>
      <c r="E28" s="92"/>
      <c r="F28" s="27" t="s">
        <v>33</v>
      </c>
      <c r="G28" s="24"/>
      <c r="H28" s="31">
        <v>2.0999999999999999E-3</v>
      </c>
      <c r="I28" s="35">
        <f t="shared" si="1"/>
        <v>0.84</v>
      </c>
      <c r="J28" s="35">
        <f t="shared" si="2"/>
        <v>2.9484000000001832E-2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1">
        <v>3.5099999999999999E-2</v>
      </c>
      <c r="I29" s="35">
        <f t="shared" si="1"/>
        <v>14.04</v>
      </c>
      <c r="J29" s="35">
        <f t="shared" si="2"/>
        <v>0.49280400000003066</v>
      </c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49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8814.0400000000009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14.040000000000873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6">
        <f>M37+5/1440</f>
        <v>0.63888888888888851</v>
      </c>
      <c r="M38" s="16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6">
        <f t="shared" ref="I39:I43" si="7">J38+5/1440</f>
        <v>0.55555555555555547</v>
      </c>
      <c r="J39" s="16">
        <f t="shared" ref="J39:J43" si="8">I39+15/1440</f>
        <v>0.5659722222222221</v>
      </c>
      <c r="K39" s="11">
        <v>21</v>
      </c>
      <c r="L39" s="16">
        <f t="shared" ref="L39:L43" si="9">M38+5/1440</f>
        <v>0.65277777777777735</v>
      </c>
      <c r="M39" s="16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9">
        <f t="shared" si="5"/>
        <v>0.47222222222222227</v>
      </c>
      <c r="F40" s="80"/>
      <c r="G40" s="16">
        <f t="shared" si="6"/>
        <v>0.48263888888888895</v>
      </c>
      <c r="H40" s="11">
        <v>15</v>
      </c>
      <c r="I40" s="16">
        <f t="shared" si="7"/>
        <v>0.56944444444444431</v>
      </c>
      <c r="J40" s="16">
        <f t="shared" si="8"/>
        <v>0.57986111111111094</v>
      </c>
      <c r="K40" s="11">
        <v>22</v>
      </c>
      <c r="L40" s="16">
        <f t="shared" si="9"/>
        <v>0.66666666666666619</v>
      </c>
      <c r="M40" s="16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9">
        <f t="shared" si="5"/>
        <v>0.48611111111111116</v>
      </c>
      <c r="F41" s="80"/>
      <c r="G41" s="16">
        <f t="shared" si="6"/>
        <v>0.49652777777777785</v>
      </c>
      <c r="H41" s="11">
        <v>16</v>
      </c>
      <c r="I41" s="16">
        <f t="shared" si="7"/>
        <v>0.58333333333333315</v>
      </c>
      <c r="J41" s="16">
        <f t="shared" si="8"/>
        <v>0.59374999999999978</v>
      </c>
      <c r="K41" s="11">
        <v>23</v>
      </c>
      <c r="L41" s="16">
        <f t="shared" si="9"/>
        <v>0.68055555555555503</v>
      </c>
      <c r="M41" s="16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>
        <v>13</v>
      </c>
      <c r="E42" s="79">
        <f t="shared" si="5"/>
        <v>0.50000000000000011</v>
      </c>
      <c r="F42" s="80"/>
      <c r="G42" s="16">
        <f t="shared" si="6"/>
        <v>0.51041666666666674</v>
      </c>
      <c r="H42" s="11">
        <v>17</v>
      </c>
      <c r="I42" s="16">
        <f t="shared" si="7"/>
        <v>0.59722222222222199</v>
      </c>
      <c r="J42" s="16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6">
        <f t="shared" si="7"/>
        <v>0.61111111111111083</v>
      </c>
      <c r="J43" s="16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ht="15.75" thickBot="1" x14ac:dyDescent="0.3">
      <c r="H47" s="36"/>
      <c r="I47" s="37"/>
      <c r="J47" s="37"/>
    </row>
    <row r="48" spans="1:13" x14ac:dyDescent="0.25">
      <c r="A48" s="94" t="s">
        <v>20</v>
      </c>
      <c r="B48" s="95"/>
      <c r="C48" s="95"/>
      <c r="D48" s="96"/>
      <c r="E48" s="95" t="s">
        <v>21</v>
      </c>
      <c r="F48" s="95"/>
      <c r="G48" s="95"/>
      <c r="H48" s="95"/>
      <c r="I48" s="95"/>
      <c r="J48" s="96"/>
    </row>
    <row r="49" spans="1:10" ht="15.75" thickBot="1" x14ac:dyDescent="0.3">
      <c r="A49" s="97"/>
      <c r="B49" s="98"/>
      <c r="C49" s="98"/>
      <c r="D49" s="99"/>
      <c r="E49" s="98"/>
      <c r="F49" s="98"/>
      <c r="G49" s="98"/>
      <c r="H49" s="98"/>
      <c r="I49" s="98"/>
      <c r="J49" s="99"/>
    </row>
    <row r="50" spans="1:10" ht="18.75" x14ac:dyDescent="0.25">
      <c r="A50" s="87" t="s">
        <v>0</v>
      </c>
      <c r="B50" s="87"/>
      <c r="C50" s="42" t="s">
        <v>52</v>
      </c>
      <c r="D50" s="42"/>
      <c r="E50" s="42"/>
      <c r="F50" s="42"/>
      <c r="G50" s="42"/>
      <c r="H50" s="1" t="s">
        <v>1</v>
      </c>
      <c r="I50" s="101">
        <v>45426</v>
      </c>
      <c r="J50" s="102"/>
    </row>
    <row r="51" spans="1:10" ht="30" customHeight="1" x14ac:dyDescent="0.25">
      <c r="A51" s="87" t="s">
        <v>2</v>
      </c>
      <c r="B51" s="87"/>
      <c r="C51" s="88" t="s">
        <v>53</v>
      </c>
      <c r="D51" s="88"/>
      <c r="E51" s="88"/>
      <c r="F51" s="88"/>
      <c r="G51" s="88"/>
      <c r="H51" s="1" t="s">
        <v>3</v>
      </c>
      <c r="I51" s="89" t="s">
        <v>37</v>
      </c>
      <c r="J51" s="89"/>
    </row>
    <row r="52" spans="1:10" x14ac:dyDescent="0.25">
      <c r="A52" s="2"/>
      <c r="B52" s="2"/>
      <c r="C52" s="2"/>
      <c r="D52" s="2"/>
      <c r="E52" s="2"/>
      <c r="F52" s="2"/>
      <c r="G52" s="2"/>
      <c r="I52" s="90" t="s">
        <v>15</v>
      </c>
      <c r="J52" s="90"/>
    </row>
    <row r="53" spans="1:10" ht="18.75" x14ac:dyDescent="0.3">
      <c r="A53" s="91" t="s">
        <v>4</v>
      </c>
      <c r="B53" s="91"/>
      <c r="C53" s="3" t="s">
        <v>5</v>
      </c>
      <c r="D53" s="14" t="s">
        <v>6</v>
      </c>
      <c r="E53" s="92" t="s">
        <v>7</v>
      </c>
      <c r="F53" s="4">
        <f>ROUNDDOWN(D79/400,0)</f>
        <v>5</v>
      </c>
      <c r="G53" s="5" t="s">
        <v>8</v>
      </c>
      <c r="H53" s="6">
        <f>D79-(F53*400)</f>
        <v>26.430000000000064</v>
      </c>
      <c r="I53" s="7" t="s">
        <v>9</v>
      </c>
    </row>
    <row r="54" spans="1:10" ht="15.75" x14ac:dyDescent="0.25">
      <c r="A54" s="26" t="s">
        <v>23</v>
      </c>
      <c r="B54" s="29"/>
      <c r="C54" s="39"/>
      <c r="D54" s="20"/>
      <c r="E54" s="92"/>
      <c r="F54" s="91" t="s">
        <v>4</v>
      </c>
      <c r="G54" s="91"/>
      <c r="H54" s="3" t="s">
        <v>5</v>
      </c>
      <c r="I54" s="14" t="s">
        <v>6</v>
      </c>
      <c r="J54" s="14" t="s">
        <v>6</v>
      </c>
    </row>
    <row r="55" spans="1:10" ht="15.75" x14ac:dyDescent="0.25">
      <c r="A55" s="26" t="s">
        <v>42</v>
      </c>
      <c r="B55" s="29"/>
      <c r="C55" s="31"/>
      <c r="D55" s="20"/>
      <c r="E55" s="92"/>
      <c r="F55" s="26" t="s">
        <v>23</v>
      </c>
      <c r="G55" s="33"/>
      <c r="H55" s="38"/>
      <c r="I55" s="35"/>
      <c r="J55" s="35"/>
    </row>
    <row r="56" spans="1:10" ht="15.75" x14ac:dyDescent="0.25">
      <c r="A56" s="27" t="s">
        <v>24</v>
      </c>
      <c r="B56" s="29"/>
      <c r="C56" s="31"/>
      <c r="D56" s="20"/>
      <c r="E56" s="92"/>
      <c r="F56" s="26" t="s">
        <v>42</v>
      </c>
      <c r="G56" s="33"/>
      <c r="H56" s="38"/>
      <c r="I56" s="35"/>
      <c r="J56" s="35"/>
    </row>
    <row r="57" spans="1:10" ht="15.75" x14ac:dyDescent="0.25">
      <c r="A57" s="27" t="s">
        <v>25</v>
      </c>
      <c r="B57" s="29"/>
      <c r="C57" s="31">
        <v>0.18559999999999999</v>
      </c>
      <c r="D57" s="20">
        <f>C57*$D$32</f>
        <v>1635.885824</v>
      </c>
      <c r="E57" s="92"/>
      <c r="F57" s="27" t="s">
        <v>24</v>
      </c>
      <c r="G57" s="33"/>
      <c r="H57" s="38"/>
      <c r="I57" s="35"/>
      <c r="J57" s="35"/>
    </row>
    <row r="58" spans="1:10" ht="15.75" x14ac:dyDescent="0.25">
      <c r="A58" s="27" t="s">
        <v>47</v>
      </c>
      <c r="B58" s="29"/>
      <c r="C58" s="31">
        <v>0.20219999999999999</v>
      </c>
      <c r="D58" s="20">
        <f t="shared" ref="D58:D76" si="11">C58*$D$32</f>
        <v>1782.1988880000001</v>
      </c>
      <c r="E58" s="92"/>
      <c r="F58" s="27" t="s">
        <v>25</v>
      </c>
      <c r="G58" s="33"/>
      <c r="H58" s="38">
        <v>4.4900000000000002E-2</v>
      </c>
      <c r="I58" s="35">
        <f t="shared" ref="I58:I75" si="12">H58*$I$33</f>
        <v>17.96</v>
      </c>
      <c r="J58" s="35">
        <f t="shared" ref="J58:J75" si="13">H58*$J$33</f>
        <v>0.63039600000003926</v>
      </c>
    </row>
    <row r="59" spans="1:10" ht="15.75" x14ac:dyDescent="0.25">
      <c r="A59" s="27" t="s">
        <v>46</v>
      </c>
      <c r="B59" s="29"/>
      <c r="C59" s="31"/>
      <c r="D59" s="20"/>
      <c r="E59" s="92"/>
      <c r="F59" s="27" t="s">
        <v>47</v>
      </c>
      <c r="G59" s="33"/>
      <c r="H59" s="38">
        <v>0.15790000000000001</v>
      </c>
      <c r="I59" s="35">
        <f t="shared" si="12"/>
        <v>63.160000000000004</v>
      </c>
      <c r="J59" s="35">
        <f t="shared" si="13"/>
        <v>2.216916000000138</v>
      </c>
    </row>
    <row r="60" spans="1:10" ht="15.75" x14ac:dyDescent="0.25">
      <c r="A60" s="27" t="s">
        <v>26</v>
      </c>
      <c r="B60" s="29"/>
      <c r="C60" s="31">
        <v>7.0499999999999993E-2</v>
      </c>
      <c r="D60" s="20">
        <f t="shared" si="11"/>
        <v>621.38981999999999</v>
      </c>
      <c r="E60" s="92"/>
      <c r="F60" s="27" t="s">
        <v>46</v>
      </c>
      <c r="G60" s="33"/>
      <c r="H60" s="38"/>
      <c r="I60" s="35"/>
      <c r="J60" s="35"/>
    </row>
    <row r="61" spans="1:10" ht="15.75" x14ac:dyDescent="0.25">
      <c r="A61" s="27" t="s">
        <v>43</v>
      </c>
      <c r="B61" s="29"/>
      <c r="C61" s="31"/>
      <c r="D61" s="20"/>
      <c r="E61" s="92"/>
      <c r="F61" s="27" t="s">
        <v>26</v>
      </c>
      <c r="G61" s="33"/>
      <c r="H61" s="38">
        <v>0.1386</v>
      </c>
      <c r="I61" s="35">
        <f t="shared" si="12"/>
        <v>55.44</v>
      </c>
      <c r="J61" s="35">
        <f t="shared" si="13"/>
        <v>1.9459440000001211</v>
      </c>
    </row>
    <row r="62" spans="1:10" ht="15.75" x14ac:dyDescent="0.25">
      <c r="A62" s="27" t="s">
        <v>19</v>
      </c>
      <c r="B62" s="29"/>
      <c r="C62" s="31">
        <v>0.1057</v>
      </c>
      <c r="D62" s="20">
        <f t="shared" si="11"/>
        <v>931.64402800000016</v>
      </c>
      <c r="E62" s="92"/>
      <c r="F62" s="27" t="s">
        <v>43</v>
      </c>
      <c r="G62" s="33"/>
      <c r="H62" s="38"/>
      <c r="I62" s="35"/>
      <c r="J62" s="35"/>
    </row>
    <row r="63" spans="1:10" ht="15.75" x14ac:dyDescent="0.25">
      <c r="A63" s="27" t="s">
        <v>27</v>
      </c>
      <c r="B63" s="29"/>
      <c r="C63" s="31"/>
      <c r="D63" s="20"/>
      <c r="E63" s="92"/>
      <c r="F63" s="27" t="s">
        <v>19</v>
      </c>
      <c r="G63" s="33"/>
      <c r="H63" s="38">
        <v>5.2600000000000001E-2</v>
      </c>
      <c r="I63" s="35">
        <f t="shared" si="12"/>
        <v>21.04</v>
      </c>
      <c r="J63" s="35">
        <f t="shared" si="13"/>
        <v>0.7385040000000459</v>
      </c>
    </row>
    <row r="64" spans="1:10" ht="15.75" x14ac:dyDescent="0.25">
      <c r="A64" s="27" t="s">
        <v>44</v>
      </c>
      <c r="B64" s="29"/>
      <c r="C64" s="31">
        <v>9.69E-2</v>
      </c>
      <c r="D64" s="20">
        <f t="shared" si="11"/>
        <v>854.08047600000009</v>
      </c>
      <c r="E64" s="92"/>
      <c r="F64" s="27" t="s">
        <v>27</v>
      </c>
      <c r="G64" s="33"/>
      <c r="H64" s="38"/>
      <c r="I64" s="35"/>
      <c r="J64" s="35"/>
    </row>
    <row r="65" spans="1:10" ht="15.75" x14ac:dyDescent="0.25">
      <c r="A65" s="27" t="s">
        <v>28</v>
      </c>
      <c r="B65" s="29"/>
      <c r="C65" s="31">
        <v>0.12330000000000001</v>
      </c>
      <c r="D65" s="20">
        <f t="shared" si="11"/>
        <v>1086.7711320000001</v>
      </c>
      <c r="E65" s="92"/>
      <c r="F65" s="27" t="s">
        <v>44</v>
      </c>
      <c r="G65" s="33"/>
      <c r="H65" s="38">
        <v>0.31580000000000003</v>
      </c>
      <c r="I65" s="35">
        <f t="shared" si="12"/>
        <v>126.32000000000001</v>
      </c>
      <c r="J65" s="35">
        <f t="shared" si="13"/>
        <v>4.433832000000276</v>
      </c>
    </row>
    <row r="66" spans="1:10" ht="15.75" x14ac:dyDescent="0.25">
      <c r="A66" s="27" t="s">
        <v>45</v>
      </c>
      <c r="B66" s="29"/>
      <c r="C66" s="31"/>
      <c r="D66" s="20"/>
      <c r="E66" s="92"/>
      <c r="F66" s="27" t="s">
        <v>28</v>
      </c>
      <c r="G66" s="33"/>
      <c r="H66" s="38">
        <v>0.1807</v>
      </c>
      <c r="I66" s="35">
        <f t="shared" si="12"/>
        <v>72.28</v>
      </c>
      <c r="J66" s="35">
        <f t="shared" si="13"/>
        <v>2.5370280000001579</v>
      </c>
    </row>
    <row r="67" spans="1:10" ht="15.75" x14ac:dyDescent="0.25">
      <c r="A67" s="27" t="s">
        <v>10</v>
      </c>
      <c r="B67" s="29"/>
      <c r="C67" s="31">
        <v>5.2900000000000003E-2</v>
      </c>
      <c r="D67" s="20">
        <f t="shared" si="11"/>
        <v>466.26271600000007</v>
      </c>
      <c r="E67" s="92"/>
      <c r="F67" s="27" t="s">
        <v>45</v>
      </c>
      <c r="G67" s="33"/>
      <c r="H67" s="38"/>
      <c r="I67" s="35"/>
      <c r="J67" s="35"/>
    </row>
    <row r="68" spans="1:10" ht="15.75" x14ac:dyDescent="0.25">
      <c r="A68" s="27" t="s">
        <v>29</v>
      </c>
      <c r="B68" s="29"/>
      <c r="C68" s="31">
        <v>7.0499999999999993E-2</v>
      </c>
      <c r="D68" s="20">
        <f t="shared" si="11"/>
        <v>621.38981999999999</v>
      </c>
      <c r="E68" s="92"/>
      <c r="F68" s="27" t="s">
        <v>10</v>
      </c>
      <c r="G68" s="33"/>
      <c r="H68" s="38"/>
      <c r="I68" s="35"/>
      <c r="J68" s="35"/>
    </row>
    <row r="69" spans="1:10" ht="15.75" x14ac:dyDescent="0.25">
      <c r="A69" s="27" t="s">
        <v>17</v>
      </c>
      <c r="B69" s="29"/>
      <c r="C69" s="31"/>
      <c r="D69" s="20"/>
      <c r="E69" s="92"/>
      <c r="F69" s="27" t="s">
        <v>29</v>
      </c>
      <c r="G69" s="33"/>
      <c r="H69" s="38">
        <v>7.0199999999999999E-2</v>
      </c>
      <c r="I69" s="35">
        <f t="shared" si="12"/>
        <v>28.08</v>
      </c>
      <c r="J69" s="35">
        <f t="shared" si="13"/>
        <v>0.98560800000006132</v>
      </c>
    </row>
    <row r="70" spans="1:10" ht="15.75" x14ac:dyDescent="0.25">
      <c r="A70" s="27" t="s">
        <v>30</v>
      </c>
      <c r="B70" s="29"/>
      <c r="C70" s="31"/>
      <c r="D70" s="20"/>
      <c r="E70" s="92"/>
      <c r="F70" s="27" t="s">
        <v>17</v>
      </c>
      <c r="G70" s="33"/>
      <c r="H70" s="38"/>
      <c r="I70" s="35"/>
      <c r="J70" s="35"/>
    </row>
    <row r="71" spans="1:10" ht="15.75" x14ac:dyDescent="0.25">
      <c r="A71" s="27" t="s">
        <v>31</v>
      </c>
      <c r="B71" s="29"/>
      <c r="C71" s="31"/>
      <c r="D71" s="20"/>
      <c r="E71" s="92"/>
      <c r="F71" s="27" t="s">
        <v>30</v>
      </c>
      <c r="G71" s="33"/>
      <c r="H71" s="38"/>
      <c r="I71" s="35"/>
      <c r="J71" s="35"/>
    </row>
    <row r="72" spans="1:10" ht="15.75" x14ac:dyDescent="0.25">
      <c r="A72" s="27" t="s">
        <v>16</v>
      </c>
      <c r="B72" s="29"/>
      <c r="C72" s="31"/>
      <c r="D72" s="20"/>
      <c r="E72" s="92"/>
      <c r="F72" s="27" t="s">
        <v>31</v>
      </c>
      <c r="G72" s="33"/>
      <c r="H72" s="38"/>
      <c r="I72" s="35"/>
      <c r="J72" s="35"/>
    </row>
    <row r="73" spans="1:10" ht="15.75" x14ac:dyDescent="0.25">
      <c r="A73" s="27" t="s">
        <v>32</v>
      </c>
      <c r="B73" s="23"/>
      <c r="C73" s="31">
        <v>3.7400000000000003E-2</v>
      </c>
      <c r="D73" s="20">
        <f t="shared" si="11"/>
        <v>329.64509600000008</v>
      </c>
      <c r="E73" s="92"/>
      <c r="F73" s="27" t="s">
        <v>16</v>
      </c>
      <c r="G73" s="24"/>
      <c r="H73" s="38"/>
      <c r="I73" s="35"/>
      <c r="J73" s="35"/>
    </row>
    <row r="74" spans="1:10" ht="15.75" x14ac:dyDescent="0.25">
      <c r="A74" s="27" t="s">
        <v>33</v>
      </c>
      <c r="B74" s="23"/>
      <c r="C74" s="31">
        <v>2.0999999999999999E-3</v>
      </c>
      <c r="D74" s="20">
        <f t="shared" si="11"/>
        <v>18.509484</v>
      </c>
      <c r="E74" s="92"/>
      <c r="F74" s="27" t="s">
        <v>32</v>
      </c>
      <c r="G74" s="24"/>
      <c r="H74" s="38">
        <v>3.7199999999999997E-2</v>
      </c>
      <c r="I74" s="35">
        <f t="shared" si="12"/>
        <v>14.879999999999999</v>
      </c>
      <c r="J74" s="35">
        <f t="shared" si="13"/>
        <v>0.52228800000003239</v>
      </c>
    </row>
    <row r="75" spans="1:10" ht="15.75" x14ac:dyDescent="0.25">
      <c r="A75" s="27" t="s">
        <v>34</v>
      </c>
      <c r="B75" s="23"/>
      <c r="C75" s="31"/>
      <c r="D75" s="20"/>
      <c r="E75" s="92"/>
      <c r="F75" s="27" t="s">
        <v>33</v>
      </c>
      <c r="G75" s="24"/>
      <c r="H75" s="38">
        <v>2.0999999999999999E-3</v>
      </c>
      <c r="I75" s="35">
        <f t="shared" si="12"/>
        <v>0.84</v>
      </c>
      <c r="J75" s="35">
        <f t="shared" si="13"/>
        <v>2.9484000000001832E-2</v>
      </c>
    </row>
    <row r="76" spans="1:10" ht="15.75" x14ac:dyDescent="0.25">
      <c r="A76" s="27" t="s">
        <v>22</v>
      </c>
      <c r="B76" s="23"/>
      <c r="C76" s="31">
        <v>5.2900000000000003E-2</v>
      </c>
      <c r="D76" s="20">
        <f t="shared" si="11"/>
        <v>466.26271600000007</v>
      </c>
      <c r="E76" s="92"/>
      <c r="F76" s="27" t="s">
        <v>34</v>
      </c>
      <c r="G76" s="24"/>
      <c r="H76" s="38"/>
      <c r="I76" s="35"/>
      <c r="J76" s="35"/>
    </row>
    <row r="77" spans="1:10" ht="15.75" x14ac:dyDescent="0.25">
      <c r="A77" s="27" t="s">
        <v>35</v>
      </c>
      <c r="B77" s="29"/>
      <c r="C77" s="31"/>
      <c r="D77" s="20"/>
      <c r="E77" s="92"/>
      <c r="F77" s="27" t="s">
        <v>22</v>
      </c>
      <c r="G77" s="33"/>
      <c r="H77" s="38"/>
      <c r="I77" s="35"/>
      <c r="J77" s="35"/>
    </row>
    <row r="78" spans="1:10" ht="16.5" thickBot="1" x14ac:dyDescent="0.3">
      <c r="A78" s="28" t="s">
        <v>36</v>
      </c>
      <c r="B78" s="29"/>
      <c r="C78" s="32"/>
      <c r="D78" s="20"/>
      <c r="E78" s="92"/>
      <c r="F78" s="27" t="s">
        <v>35</v>
      </c>
      <c r="G78" s="33"/>
      <c r="H78" s="38"/>
      <c r="I78" s="35"/>
      <c r="J78" s="35"/>
    </row>
    <row r="79" spans="1:10" ht="16.5" thickBot="1" x14ac:dyDescent="0.3">
      <c r="A79" s="93" t="s">
        <v>11</v>
      </c>
      <c r="B79" s="93"/>
      <c r="C79" s="8">
        <f>SUM(C54:C78)</f>
        <v>1</v>
      </c>
      <c r="D79" s="15">
        <v>2026.43</v>
      </c>
      <c r="E79" s="92"/>
      <c r="F79" s="28" t="s">
        <v>36</v>
      </c>
      <c r="G79" s="34"/>
      <c r="H79" s="38"/>
      <c r="I79" s="35"/>
      <c r="J79" s="35"/>
    </row>
    <row r="80" spans="1:10" x14ac:dyDescent="0.25">
      <c r="A80" s="2"/>
      <c r="B80" s="2"/>
      <c r="C80" s="2"/>
      <c r="D80" s="2"/>
      <c r="E80" s="2"/>
      <c r="F80" s="81" t="s">
        <v>11</v>
      </c>
      <c r="G80" s="81"/>
      <c r="H80" s="17">
        <f>SUM(H55:H79)</f>
        <v>1</v>
      </c>
      <c r="I80" s="13">
        <v>400</v>
      </c>
      <c r="J80" s="13">
        <f>+H53</f>
        <v>26.430000000000064</v>
      </c>
    </row>
    <row r="81" spans="1:13" ht="23.25" x14ac:dyDescent="0.35">
      <c r="A81" s="82"/>
      <c r="B81" s="83"/>
      <c r="C81" s="2"/>
      <c r="D81" s="2"/>
      <c r="E81" s="2"/>
      <c r="F81" s="18"/>
      <c r="G81" s="18"/>
      <c r="H81" s="19"/>
      <c r="I81" s="18"/>
      <c r="J81" s="18"/>
    </row>
    <row r="82" spans="1:13" x14ac:dyDescent="0.25">
      <c r="A82" s="84" t="s">
        <v>18</v>
      </c>
      <c r="B82" s="84"/>
      <c r="C82" s="84"/>
      <c r="D82" s="84"/>
      <c r="E82" s="2"/>
      <c r="F82" s="2"/>
      <c r="G82" s="2"/>
    </row>
    <row r="83" spans="1:13" x14ac:dyDescent="0.25">
      <c r="A83" s="9" t="s">
        <v>12</v>
      </c>
      <c r="B83" s="9" t="s">
        <v>13</v>
      </c>
      <c r="C83" s="9" t="s">
        <v>14</v>
      </c>
      <c r="D83" s="10" t="s">
        <v>12</v>
      </c>
      <c r="E83" s="85" t="s">
        <v>13</v>
      </c>
      <c r="F83" s="86"/>
      <c r="G83" s="10" t="s">
        <v>14</v>
      </c>
      <c r="H83" s="9" t="s">
        <v>12</v>
      </c>
      <c r="I83" s="10" t="s">
        <v>13</v>
      </c>
      <c r="J83" s="10" t="s">
        <v>14</v>
      </c>
      <c r="K83" s="9" t="s">
        <v>12</v>
      </c>
      <c r="L83" s="10" t="s">
        <v>13</v>
      </c>
      <c r="M83" s="10" t="s">
        <v>14</v>
      </c>
    </row>
    <row r="84" spans="1:13" x14ac:dyDescent="0.25">
      <c r="A84" s="11">
        <v>1</v>
      </c>
      <c r="B84" s="16">
        <v>0.33333333333333331</v>
      </c>
      <c r="C84" s="16">
        <f>+B84+15/1440</f>
        <v>0.34375</v>
      </c>
      <c r="D84" s="11">
        <v>8</v>
      </c>
      <c r="E84" s="103">
        <f>+C90+5/1440</f>
        <v>0.43055555555555558</v>
      </c>
      <c r="F84" s="104"/>
      <c r="G84" s="58">
        <f>+E84+15/1440</f>
        <v>0.44097222222222227</v>
      </c>
      <c r="H84" s="11"/>
      <c r="I84" s="12">
        <f>G90+5/1440</f>
        <v>0.52777777777777779</v>
      </c>
      <c r="J84" s="12">
        <f>I84+15/1440</f>
        <v>0.53819444444444442</v>
      </c>
      <c r="K84" s="11">
        <v>19</v>
      </c>
      <c r="L84" s="12">
        <f>J90+5/1440</f>
        <v>0.62499999999999967</v>
      </c>
      <c r="M84" s="12">
        <f>L84+15/1440</f>
        <v>0.6354166666666663</v>
      </c>
    </row>
    <row r="85" spans="1:13" x14ac:dyDescent="0.25">
      <c r="A85" s="11">
        <v>2</v>
      </c>
      <c r="B85" s="16">
        <f t="shared" ref="B85:B90" si="14">+C84+5/1440</f>
        <v>0.34722222222222221</v>
      </c>
      <c r="C85" s="16">
        <f>+B85+15/1440</f>
        <v>0.3576388888888889</v>
      </c>
      <c r="D85" s="11">
        <v>9</v>
      </c>
      <c r="E85" s="103">
        <f>+G84+5/1440</f>
        <v>0.44444444444444448</v>
      </c>
      <c r="F85" s="104"/>
      <c r="G85" s="12">
        <f>+E85+15/1440</f>
        <v>0.45486111111111116</v>
      </c>
      <c r="H85" s="11">
        <v>13</v>
      </c>
      <c r="I85" s="12">
        <f>J84+5/1440</f>
        <v>0.54166666666666663</v>
      </c>
      <c r="J85" s="12">
        <f>I85+15/1440</f>
        <v>0.55208333333333326</v>
      </c>
      <c r="K85" s="11">
        <v>20</v>
      </c>
      <c r="L85" s="12">
        <f>M84+5/1440</f>
        <v>0.63888888888888851</v>
      </c>
      <c r="M85" s="12">
        <f>L85+15/1440</f>
        <v>0.64930555555555514</v>
      </c>
    </row>
    <row r="86" spans="1:13" x14ac:dyDescent="0.25">
      <c r="A86" s="11">
        <v>3</v>
      </c>
      <c r="B86" s="16">
        <f t="shared" si="14"/>
        <v>0.3611111111111111</v>
      </c>
      <c r="C86" s="16">
        <f t="shared" ref="C86:C90" si="15">+B86+15/1440</f>
        <v>0.37152777777777779</v>
      </c>
      <c r="D86" s="11">
        <v>10</v>
      </c>
      <c r="E86" s="103">
        <f t="shared" ref="E86:E90" si="16">+G85+5/1440</f>
        <v>0.45833333333333337</v>
      </c>
      <c r="F86" s="104"/>
      <c r="G86" s="12">
        <f t="shared" ref="G86:G90" si="17">+E86+15/1440</f>
        <v>0.46875000000000006</v>
      </c>
      <c r="H86" s="11">
        <v>14</v>
      </c>
      <c r="I86" s="12">
        <f t="shared" ref="I86:I90" si="18">J85+5/1440</f>
        <v>0.55555555555555547</v>
      </c>
      <c r="J86" s="12">
        <f t="shared" ref="J86:J90" si="19">I86+15/1440</f>
        <v>0.5659722222222221</v>
      </c>
      <c r="K86" s="11">
        <v>21</v>
      </c>
      <c r="L86" s="21">
        <f t="shared" ref="L86:L90" si="20">M85+5/1440</f>
        <v>0.65277777777777735</v>
      </c>
      <c r="M86" s="21">
        <f t="shared" ref="M86:M90" si="21">L86+15/1440</f>
        <v>0.66319444444444398</v>
      </c>
    </row>
    <row r="87" spans="1:13" x14ac:dyDescent="0.25">
      <c r="A87" s="11">
        <v>4</v>
      </c>
      <c r="B87" s="16">
        <f t="shared" si="14"/>
        <v>0.375</v>
      </c>
      <c r="C87" s="16">
        <f t="shared" si="15"/>
        <v>0.38541666666666669</v>
      </c>
      <c r="D87" s="11">
        <v>11</v>
      </c>
      <c r="E87" s="103">
        <f t="shared" si="16"/>
        <v>0.47222222222222227</v>
      </c>
      <c r="F87" s="104"/>
      <c r="G87" s="12">
        <f t="shared" si="17"/>
        <v>0.48263888888888895</v>
      </c>
      <c r="H87" s="11">
        <v>15</v>
      </c>
      <c r="I87" s="12">
        <f t="shared" si="18"/>
        <v>0.56944444444444431</v>
      </c>
      <c r="J87" s="12">
        <f t="shared" si="19"/>
        <v>0.57986111111111094</v>
      </c>
      <c r="K87" s="11">
        <v>22</v>
      </c>
      <c r="L87" s="21">
        <f t="shared" si="20"/>
        <v>0.66666666666666619</v>
      </c>
      <c r="M87" s="21">
        <f t="shared" si="21"/>
        <v>0.67708333333333282</v>
      </c>
    </row>
    <row r="88" spans="1:13" x14ac:dyDescent="0.25">
      <c r="A88" s="11">
        <v>5</v>
      </c>
      <c r="B88" s="16">
        <f t="shared" si="14"/>
        <v>0.3888888888888889</v>
      </c>
      <c r="C88" s="16">
        <f t="shared" si="15"/>
        <v>0.39930555555555558</v>
      </c>
      <c r="D88" s="11">
        <v>12</v>
      </c>
      <c r="E88" s="103">
        <f t="shared" si="16"/>
        <v>0.48611111111111116</v>
      </c>
      <c r="F88" s="104"/>
      <c r="G88" s="12">
        <f t="shared" si="17"/>
        <v>0.49652777777777785</v>
      </c>
      <c r="H88" s="11">
        <v>16</v>
      </c>
      <c r="I88" s="12">
        <f t="shared" si="18"/>
        <v>0.58333333333333315</v>
      </c>
      <c r="J88" s="12">
        <f t="shared" si="19"/>
        <v>0.59374999999999978</v>
      </c>
      <c r="K88" s="11">
        <v>23</v>
      </c>
      <c r="L88" s="21">
        <f t="shared" si="20"/>
        <v>0.68055555555555503</v>
      </c>
      <c r="M88" s="21">
        <f t="shared" si="21"/>
        <v>0.69097222222222165</v>
      </c>
    </row>
    <row r="89" spans="1:13" x14ac:dyDescent="0.25">
      <c r="A89" s="11">
        <v>6</v>
      </c>
      <c r="B89" s="16">
        <f t="shared" si="14"/>
        <v>0.40277777777777779</v>
      </c>
      <c r="C89" s="16">
        <f t="shared" si="15"/>
        <v>0.41319444444444448</v>
      </c>
      <c r="D89" s="11"/>
      <c r="E89" s="77">
        <f t="shared" si="16"/>
        <v>0.50000000000000011</v>
      </c>
      <c r="F89" s="78"/>
      <c r="G89" s="21">
        <f t="shared" si="17"/>
        <v>0.51041666666666674</v>
      </c>
      <c r="H89" s="11">
        <v>17</v>
      </c>
      <c r="I89" s="12">
        <f t="shared" si="18"/>
        <v>0.59722222222222199</v>
      </c>
      <c r="J89" s="12">
        <f t="shared" si="19"/>
        <v>0.60763888888888862</v>
      </c>
      <c r="K89" s="11">
        <v>24</v>
      </c>
      <c r="L89" s="21">
        <f t="shared" si="20"/>
        <v>0.69444444444444386</v>
      </c>
      <c r="M89" s="21">
        <f t="shared" si="21"/>
        <v>0.70486111111111049</v>
      </c>
    </row>
    <row r="90" spans="1:13" x14ac:dyDescent="0.25">
      <c r="A90" s="11">
        <v>7</v>
      </c>
      <c r="B90" s="12">
        <f t="shared" si="14"/>
        <v>0.41666666666666669</v>
      </c>
      <c r="C90" s="12">
        <f t="shared" si="15"/>
        <v>0.42708333333333337</v>
      </c>
      <c r="D90" s="11"/>
      <c r="E90" s="77">
        <f t="shared" si="16"/>
        <v>0.51388888888888895</v>
      </c>
      <c r="F90" s="78"/>
      <c r="G90" s="21">
        <f t="shared" si="17"/>
        <v>0.52430555555555558</v>
      </c>
      <c r="H90" s="11">
        <v>18</v>
      </c>
      <c r="I90" s="12">
        <f t="shared" si="18"/>
        <v>0.61111111111111083</v>
      </c>
      <c r="J90" s="12">
        <f t="shared" si="19"/>
        <v>0.62152777777777746</v>
      </c>
      <c r="K90" s="11">
        <v>25</v>
      </c>
      <c r="L90" s="21">
        <f t="shared" si="20"/>
        <v>0.7083333333333327</v>
      </c>
      <c r="M90" s="21">
        <f t="shared" si="21"/>
        <v>0.71874999999999933</v>
      </c>
    </row>
    <row r="91" spans="1:13" x14ac:dyDescent="0.25">
      <c r="H91" s="36"/>
      <c r="I91" s="37"/>
      <c r="J91" s="37"/>
    </row>
    <row r="92" spans="1:13" x14ac:dyDescent="0.25">
      <c r="H92" s="36"/>
      <c r="I92" s="37"/>
      <c r="J92" s="37"/>
    </row>
    <row r="94" spans="1:13" ht="15.75" thickBot="1" x14ac:dyDescent="0.3"/>
    <row r="95" spans="1:13" x14ac:dyDescent="0.25">
      <c r="A95" s="94" t="s">
        <v>20</v>
      </c>
      <c r="B95" s="95"/>
      <c r="C95" s="95"/>
      <c r="D95" s="96"/>
      <c r="E95" s="95" t="s">
        <v>21</v>
      </c>
      <c r="F95" s="95"/>
      <c r="G95" s="95"/>
      <c r="H95" s="95"/>
      <c r="I95" s="95"/>
      <c r="J95" s="96"/>
    </row>
    <row r="96" spans="1:13" ht="15.75" thickBot="1" x14ac:dyDescent="0.3">
      <c r="A96" s="97"/>
      <c r="B96" s="98"/>
      <c r="C96" s="98"/>
      <c r="D96" s="99"/>
      <c r="E96" s="98"/>
      <c r="F96" s="98"/>
      <c r="G96" s="98"/>
      <c r="H96" s="98"/>
      <c r="I96" s="98"/>
      <c r="J96" s="99"/>
    </row>
    <row r="97" spans="1:10" ht="18.75" x14ac:dyDescent="0.25">
      <c r="A97" s="87" t="s">
        <v>0</v>
      </c>
      <c r="B97" s="87"/>
      <c r="C97" s="100" t="s">
        <v>54</v>
      </c>
      <c r="D97" s="100"/>
      <c r="E97" s="100"/>
      <c r="F97" s="100"/>
      <c r="G97" s="100"/>
      <c r="H97" s="1" t="s">
        <v>1</v>
      </c>
      <c r="I97" s="101">
        <v>45426</v>
      </c>
      <c r="J97" s="102"/>
    </row>
    <row r="98" spans="1:10" ht="24.75" customHeight="1" x14ac:dyDescent="0.25">
      <c r="A98" s="87" t="s">
        <v>2</v>
      </c>
      <c r="B98" s="87"/>
      <c r="C98" s="88" t="s">
        <v>38</v>
      </c>
      <c r="D98" s="88"/>
      <c r="E98" s="88"/>
      <c r="F98" s="88"/>
      <c r="G98" s="88"/>
      <c r="H98" s="1" t="s">
        <v>3</v>
      </c>
      <c r="I98" s="89" t="s">
        <v>37</v>
      </c>
      <c r="J98" s="89"/>
    </row>
    <row r="99" spans="1:10" x14ac:dyDescent="0.25">
      <c r="A99" s="2"/>
      <c r="B99" s="2"/>
      <c r="C99" s="2"/>
      <c r="D99" s="2"/>
      <c r="E99" s="2"/>
      <c r="F99" s="2"/>
      <c r="G99" s="2"/>
      <c r="I99" s="90" t="s">
        <v>15</v>
      </c>
      <c r="J99" s="90"/>
    </row>
    <row r="100" spans="1:10" ht="19.5" thickBot="1" x14ac:dyDescent="0.35">
      <c r="A100" s="91" t="s">
        <v>4</v>
      </c>
      <c r="B100" s="91"/>
      <c r="C100" s="3" t="s">
        <v>5</v>
      </c>
      <c r="D100" s="14" t="s">
        <v>6</v>
      </c>
      <c r="E100" s="92" t="s">
        <v>7</v>
      </c>
      <c r="F100" s="4">
        <f>ROUNDDOWN(D126/400,0)</f>
        <v>5</v>
      </c>
      <c r="G100" s="5" t="s">
        <v>8</v>
      </c>
      <c r="H100" s="6">
        <f>D126-(F100*400)</f>
        <v>270.27</v>
      </c>
      <c r="I100" s="7" t="s">
        <v>9</v>
      </c>
    </row>
    <row r="101" spans="1:10" ht="16.5" thickBot="1" x14ac:dyDescent="0.3">
      <c r="A101" s="26" t="s">
        <v>23</v>
      </c>
      <c r="B101" s="29"/>
      <c r="C101" s="30"/>
      <c r="D101" s="20"/>
      <c r="E101" s="92"/>
      <c r="F101" s="91" t="s">
        <v>4</v>
      </c>
      <c r="G101" s="91"/>
      <c r="H101" s="3" t="s">
        <v>5</v>
      </c>
      <c r="I101" s="14" t="s">
        <v>6</v>
      </c>
      <c r="J101" s="14" t="s">
        <v>6</v>
      </c>
    </row>
    <row r="102" spans="1:10" ht="15.75" x14ac:dyDescent="0.25">
      <c r="A102" s="26" t="s">
        <v>42</v>
      </c>
      <c r="B102" s="29"/>
      <c r="C102" s="39"/>
      <c r="D102" s="20"/>
      <c r="E102" s="92"/>
      <c r="F102" s="26" t="s">
        <v>23</v>
      </c>
      <c r="G102" s="33"/>
      <c r="H102" s="30"/>
      <c r="I102" s="35"/>
      <c r="J102" s="35"/>
    </row>
    <row r="103" spans="1:10" ht="15.75" x14ac:dyDescent="0.25">
      <c r="A103" s="27" t="s">
        <v>24</v>
      </c>
      <c r="B103" s="29"/>
      <c r="C103" s="31"/>
      <c r="D103" s="20"/>
      <c r="E103" s="92"/>
      <c r="F103" s="26" t="s">
        <v>42</v>
      </c>
      <c r="G103" s="33"/>
      <c r="H103" s="39"/>
      <c r="I103" s="35"/>
      <c r="J103" s="35"/>
    </row>
    <row r="104" spans="1:10" ht="15.75" x14ac:dyDescent="0.25">
      <c r="A104" s="27" t="s">
        <v>25</v>
      </c>
      <c r="B104" s="29"/>
      <c r="C104" s="31">
        <v>0.10829999999999999</v>
      </c>
      <c r="D104" s="20">
        <f>C104*$D$32</f>
        <v>954.56053200000008</v>
      </c>
      <c r="E104" s="92"/>
      <c r="F104" s="27" t="s">
        <v>24</v>
      </c>
      <c r="G104" s="33"/>
      <c r="H104" s="31"/>
      <c r="I104" s="35"/>
      <c r="J104" s="35"/>
    </row>
    <row r="105" spans="1:10" ht="15.75" x14ac:dyDescent="0.25">
      <c r="A105" s="27" t="s">
        <v>47</v>
      </c>
      <c r="B105" s="29"/>
      <c r="C105" s="31">
        <v>0.36359999999999998</v>
      </c>
      <c r="D105" s="20">
        <f t="shared" ref="D105:D121" si="22">C105*$D$32</f>
        <v>3204.784944</v>
      </c>
      <c r="E105" s="92"/>
      <c r="F105" s="27" t="s">
        <v>25</v>
      </c>
      <c r="G105" s="33"/>
      <c r="H105" s="31">
        <v>0.10829999999999999</v>
      </c>
      <c r="I105" s="35">
        <f t="shared" ref="I105:I122" si="23">H105*$I$33</f>
        <v>43.32</v>
      </c>
      <c r="J105" s="35">
        <f t="shared" ref="J105:J122" si="24">H105*$J$33</f>
        <v>1.5205320000000944</v>
      </c>
    </row>
    <row r="106" spans="1:10" ht="15.75" x14ac:dyDescent="0.25">
      <c r="A106" s="27" t="s">
        <v>46</v>
      </c>
      <c r="B106" s="29"/>
      <c r="C106" s="31"/>
      <c r="D106" s="20"/>
      <c r="E106" s="92"/>
      <c r="F106" s="27" t="s">
        <v>47</v>
      </c>
      <c r="G106" s="33"/>
      <c r="H106" s="31">
        <v>0.36359999999999998</v>
      </c>
      <c r="I106" s="35">
        <f t="shared" si="23"/>
        <v>145.44</v>
      </c>
      <c r="J106" s="35">
        <f t="shared" si="24"/>
        <v>5.1049440000003168</v>
      </c>
    </row>
    <row r="107" spans="1:10" ht="15.75" x14ac:dyDescent="0.25">
      <c r="A107" s="27" t="s">
        <v>26</v>
      </c>
      <c r="B107" s="29"/>
      <c r="C107" s="31">
        <v>0.11360000000000001</v>
      </c>
      <c r="D107" s="20">
        <f t="shared" si="22"/>
        <v>1001.2749440000001</v>
      </c>
      <c r="E107" s="92"/>
      <c r="F107" s="27" t="s">
        <v>46</v>
      </c>
      <c r="G107" s="33"/>
      <c r="H107" s="31"/>
      <c r="I107" s="35"/>
      <c r="J107" s="35"/>
    </row>
    <row r="108" spans="1:10" ht="15.75" x14ac:dyDescent="0.25">
      <c r="A108" s="27" t="s">
        <v>43</v>
      </c>
      <c r="B108" s="29"/>
      <c r="C108" s="31"/>
      <c r="D108" s="20"/>
      <c r="E108" s="92"/>
      <c r="F108" s="27" t="s">
        <v>26</v>
      </c>
      <c r="G108" s="33"/>
      <c r="H108" s="31">
        <v>0.11360000000000001</v>
      </c>
      <c r="I108" s="35">
        <f t="shared" si="23"/>
        <v>45.440000000000005</v>
      </c>
      <c r="J108" s="35">
        <f t="shared" si="24"/>
        <v>1.5949440000000992</v>
      </c>
    </row>
    <row r="109" spans="1:10" ht="15.75" x14ac:dyDescent="0.25">
      <c r="A109" s="27" t="s">
        <v>19</v>
      </c>
      <c r="B109" s="29"/>
      <c r="C109" s="31">
        <v>0.11360000000000001</v>
      </c>
      <c r="D109" s="20">
        <f t="shared" si="22"/>
        <v>1001.2749440000001</v>
      </c>
      <c r="E109" s="92"/>
      <c r="F109" s="27" t="s">
        <v>43</v>
      </c>
      <c r="G109" s="33"/>
      <c r="H109" s="31"/>
      <c r="I109" s="35"/>
      <c r="J109" s="35"/>
    </row>
    <row r="110" spans="1:10" ht="15.75" x14ac:dyDescent="0.25">
      <c r="A110" s="27" t="s">
        <v>27</v>
      </c>
      <c r="B110" s="29"/>
      <c r="C110" s="31"/>
      <c r="D110" s="20"/>
      <c r="E110" s="92"/>
      <c r="F110" s="27" t="s">
        <v>19</v>
      </c>
      <c r="G110" s="33"/>
      <c r="H110" s="31">
        <v>0.11360000000000001</v>
      </c>
      <c r="I110" s="35">
        <f t="shared" si="23"/>
        <v>45.440000000000005</v>
      </c>
      <c r="J110" s="35">
        <f t="shared" si="24"/>
        <v>1.5949440000000992</v>
      </c>
    </row>
    <row r="111" spans="1:10" ht="15.75" x14ac:dyDescent="0.25">
      <c r="A111" s="27" t="s">
        <v>44</v>
      </c>
      <c r="B111" s="29"/>
      <c r="C111" s="31"/>
      <c r="D111" s="20"/>
      <c r="E111" s="92"/>
      <c r="F111" s="27" t="s">
        <v>27</v>
      </c>
      <c r="G111" s="33"/>
      <c r="H111" s="31"/>
      <c r="I111" s="35"/>
      <c r="J111" s="35"/>
    </row>
    <row r="112" spans="1:10" ht="15.75" x14ac:dyDescent="0.25">
      <c r="A112" s="27" t="s">
        <v>28</v>
      </c>
      <c r="B112" s="29"/>
      <c r="C112" s="31">
        <v>0.18179999999999999</v>
      </c>
      <c r="D112" s="20">
        <f t="shared" si="22"/>
        <v>1602.392472</v>
      </c>
      <c r="E112" s="92"/>
      <c r="F112" s="27" t="s">
        <v>44</v>
      </c>
      <c r="G112" s="33"/>
      <c r="H112" s="31"/>
      <c r="I112" s="35"/>
      <c r="J112" s="35"/>
    </row>
    <row r="113" spans="1:10" ht="15.75" x14ac:dyDescent="0.25">
      <c r="A113" s="27" t="s">
        <v>45</v>
      </c>
      <c r="B113" s="29"/>
      <c r="C113" s="31"/>
      <c r="D113" s="20"/>
      <c r="E113" s="92"/>
      <c r="F113" s="27" t="s">
        <v>28</v>
      </c>
      <c r="G113" s="33"/>
      <c r="H113" s="31">
        <v>0.18179999999999999</v>
      </c>
      <c r="I113" s="35">
        <f t="shared" si="23"/>
        <v>72.72</v>
      </c>
      <c r="J113" s="35">
        <f t="shared" si="24"/>
        <v>2.5524720000001584</v>
      </c>
    </row>
    <row r="114" spans="1:10" ht="15.75" x14ac:dyDescent="0.25">
      <c r="A114" s="27" t="s">
        <v>10</v>
      </c>
      <c r="B114" s="29"/>
      <c r="C114" s="31"/>
      <c r="D114" s="20"/>
      <c r="E114" s="92"/>
      <c r="F114" s="27" t="s">
        <v>45</v>
      </c>
      <c r="G114" s="33"/>
      <c r="H114" s="31"/>
      <c r="I114" s="35"/>
      <c r="J114" s="35"/>
    </row>
    <row r="115" spans="1:10" ht="15.75" x14ac:dyDescent="0.25">
      <c r="A115" s="27" t="s">
        <v>29</v>
      </c>
      <c r="B115" s="29"/>
      <c r="C115" s="31">
        <v>6.8199999999999997E-2</v>
      </c>
      <c r="D115" s="20">
        <f t="shared" si="22"/>
        <v>601.11752799999999</v>
      </c>
      <c r="E115" s="92"/>
      <c r="F115" s="27" t="s">
        <v>10</v>
      </c>
      <c r="G115" s="33"/>
      <c r="H115" s="31"/>
      <c r="I115" s="35"/>
      <c r="J115" s="35"/>
    </row>
    <row r="116" spans="1:10" ht="15.75" x14ac:dyDescent="0.25">
      <c r="A116" s="27" t="s">
        <v>17</v>
      </c>
      <c r="B116" s="29"/>
      <c r="C116" s="31"/>
      <c r="D116" s="20"/>
      <c r="E116" s="92"/>
      <c r="F116" s="27" t="s">
        <v>29</v>
      </c>
      <c r="G116" s="33"/>
      <c r="H116" s="31">
        <v>6.8199999999999997E-2</v>
      </c>
      <c r="I116" s="35">
        <f t="shared" si="23"/>
        <v>27.279999999999998</v>
      </c>
      <c r="J116" s="35">
        <f t="shared" si="24"/>
        <v>0.95752800000005955</v>
      </c>
    </row>
    <row r="117" spans="1:10" ht="15.75" x14ac:dyDescent="0.25">
      <c r="A117" s="27" t="s">
        <v>30</v>
      </c>
      <c r="B117" s="29"/>
      <c r="C117" s="31"/>
      <c r="D117" s="20"/>
      <c r="E117" s="92"/>
      <c r="F117" s="27" t="s">
        <v>17</v>
      </c>
      <c r="G117" s="33"/>
      <c r="H117" s="31"/>
      <c r="I117" s="35"/>
      <c r="J117" s="35"/>
    </row>
    <row r="118" spans="1:10" ht="15.75" x14ac:dyDescent="0.25">
      <c r="A118" s="27" t="s">
        <v>31</v>
      </c>
      <c r="B118" s="29"/>
      <c r="C118" s="31"/>
      <c r="D118" s="20"/>
      <c r="E118" s="92"/>
      <c r="F118" s="27" t="s">
        <v>30</v>
      </c>
      <c r="G118" s="33"/>
      <c r="H118" s="31"/>
      <c r="I118" s="35"/>
      <c r="J118" s="35"/>
    </row>
    <row r="119" spans="1:10" ht="15.75" x14ac:dyDescent="0.25">
      <c r="A119" s="27" t="s">
        <v>16</v>
      </c>
      <c r="B119" s="29"/>
      <c r="C119" s="31"/>
      <c r="D119" s="20"/>
      <c r="E119" s="92"/>
      <c r="F119" s="27" t="s">
        <v>31</v>
      </c>
      <c r="G119" s="33"/>
      <c r="H119" s="31"/>
      <c r="I119" s="35"/>
      <c r="J119" s="35"/>
    </row>
    <row r="120" spans="1:10" ht="15.75" x14ac:dyDescent="0.25">
      <c r="A120" s="27" t="s">
        <v>32</v>
      </c>
      <c r="B120" s="23"/>
      <c r="C120" s="31">
        <v>4.82E-2</v>
      </c>
      <c r="D120" s="20">
        <f t="shared" si="22"/>
        <v>424.83672800000005</v>
      </c>
      <c r="E120" s="92"/>
      <c r="F120" s="27" t="s">
        <v>16</v>
      </c>
      <c r="G120" s="24"/>
      <c r="H120" s="31"/>
      <c r="I120" s="35"/>
      <c r="J120" s="35"/>
    </row>
    <row r="121" spans="1:10" ht="15.75" x14ac:dyDescent="0.25">
      <c r="A121" s="27" t="s">
        <v>33</v>
      </c>
      <c r="B121" s="23"/>
      <c r="C121" s="31">
        <v>2.7000000000000001E-3</v>
      </c>
      <c r="D121" s="20">
        <f t="shared" si="22"/>
        <v>23.797908000000003</v>
      </c>
      <c r="E121" s="92"/>
      <c r="F121" s="27" t="s">
        <v>32</v>
      </c>
      <c r="G121" s="24"/>
      <c r="H121" s="31">
        <v>4.82E-2</v>
      </c>
      <c r="I121" s="35">
        <f t="shared" si="23"/>
        <v>19.28</v>
      </c>
      <c r="J121" s="35">
        <f t="shared" si="24"/>
        <v>0.67672800000004207</v>
      </c>
    </row>
    <row r="122" spans="1:10" ht="15.75" x14ac:dyDescent="0.25">
      <c r="A122" s="27" t="s">
        <v>34</v>
      </c>
      <c r="B122" s="23"/>
      <c r="C122" s="31"/>
      <c r="D122" s="20"/>
      <c r="E122" s="92"/>
      <c r="F122" s="27" t="s">
        <v>33</v>
      </c>
      <c r="G122" s="24"/>
      <c r="H122" s="31">
        <v>2.7000000000000001E-3</v>
      </c>
      <c r="I122" s="35">
        <f t="shared" si="23"/>
        <v>1.08</v>
      </c>
      <c r="J122" s="35">
        <f t="shared" si="24"/>
        <v>3.7908000000002356E-2</v>
      </c>
    </row>
    <row r="123" spans="1:10" ht="15.75" x14ac:dyDescent="0.25">
      <c r="A123" s="27" t="s">
        <v>22</v>
      </c>
      <c r="B123" s="23"/>
      <c r="C123" s="31"/>
      <c r="D123" s="20"/>
      <c r="E123" s="92"/>
      <c r="F123" s="27" t="s">
        <v>34</v>
      </c>
      <c r="G123" s="24"/>
      <c r="H123" s="31"/>
      <c r="I123" s="35"/>
      <c r="J123" s="35"/>
    </row>
    <row r="124" spans="1:10" ht="15.75" x14ac:dyDescent="0.25">
      <c r="A124" s="27" t="s">
        <v>35</v>
      </c>
      <c r="B124" s="29"/>
      <c r="C124" s="31"/>
      <c r="D124" s="20"/>
      <c r="E124" s="92"/>
      <c r="F124" s="27" t="s">
        <v>22</v>
      </c>
      <c r="G124" s="33"/>
      <c r="H124" s="31"/>
      <c r="I124" s="35"/>
      <c r="J124" s="35"/>
    </row>
    <row r="125" spans="1:10" ht="16.5" thickBot="1" x14ac:dyDescent="0.3">
      <c r="A125" s="28" t="s">
        <v>36</v>
      </c>
      <c r="B125" s="29"/>
      <c r="C125" s="32"/>
      <c r="D125" s="20"/>
      <c r="E125" s="92"/>
      <c r="F125" s="27" t="s">
        <v>35</v>
      </c>
      <c r="G125" s="33"/>
      <c r="H125" s="31"/>
      <c r="I125" s="35"/>
      <c r="J125" s="35"/>
    </row>
    <row r="126" spans="1:10" ht="16.5" thickBot="1" x14ac:dyDescent="0.3">
      <c r="A126" s="93" t="s">
        <v>11</v>
      </c>
      <c r="B126" s="93"/>
      <c r="C126" s="8">
        <f>SUM(C101:C125)</f>
        <v>1</v>
      </c>
      <c r="D126" s="15">
        <v>2270.27</v>
      </c>
      <c r="E126" s="92"/>
      <c r="F126" s="28" t="s">
        <v>36</v>
      </c>
      <c r="G126" s="34"/>
      <c r="H126" s="32"/>
      <c r="I126" s="35"/>
      <c r="J126" s="35"/>
    </row>
    <row r="127" spans="1:10" x14ac:dyDescent="0.25">
      <c r="A127" s="2"/>
      <c r="B127" s="2"/>
      <c r="C127" s="2"/>
      <c r="D127" s="2"/>
      <c r="E127" s="2"/>
      <c r="F127" s="81" t="s">
        <v>11</v>
      </c>
      <c r="G127" s="81"/>
      <c r="H127" s="17">
        <f>SUM(H102:H126)</f>
        <v>1</v>
      </c>
      <c r="I127" s="13">
        <v>400</v>
      </c>
      <c r="J127" s="13">
        <f>+H100</f>
        <v>270.27</v>
      </c>
    </row>
    <row r="128" spans="1:10" ht="23.25" x14ac:dyDescent="0.35">
      <c r="A128" s="82"/>
      <c r="B128" s="83"/>
      <c r="C128" s="2"/>
      <c r="D128" s="2"/>
      <c r="E128" s="2"/>
      <c r="F128" s="18"/>
      <c r="G128" s="18"/>
      <c r="H128" s="19"/>
      <c r="I128" s="18"/>
      <c r="J128" s="18"/>
    </row>
    <row r="129" spans="1:13" x14ac:dyDescent="0.25">
      <c r="A129" s="84" t="s">
        <v>18</v>
      </c>
      <c r="B129" s="84"/>
      <c r="C129" s="84"/>
      <c r="D129" s="84"/>
      <c r="E129" s="2"/>
      <c r="F129" s="2"/>
      <c r="G129" s="2"/>
    </row>
    <row r="130" spans="1:13" x14ac:dyDescent="0.25">
      <c r="A130" s="9" t="s">
        <v>12</v>
      </c>
      <c r="B130" s="9" t="s">
        <v>13</v>
      </c>
      <c r="C130" s="9" t="s">
        <v>14</v>
      </c>
      <c r="D130" s="10" t="s">
        <v>12</v>
      </c>
      <c r="E130" s="85" t="s">
        <v>13</v>
      </c>
      <c r="F130" s="86"/>
      <c r="G130" s="10" t="s">
        <v>14</v>
      </c>
      <c r="H130" s="9" t="s">
        <v>12</v>
      </c>
      <c r="I130" s="10" t="s">
        <v>13</v>
      </c>
      <c r="J130" s="10" t="s">
        <v>14</v>
      </c>
      <c r="K130" s="9" t="s">
        <v>12</v>
      </c>
      <c r="L130" s="10" t="s">
        <v>13</v>
      </c>
      <c r="M130" s="10" t="s">
        <v>14</v>
      </c>
    </row>
    <row r="131" spans="1:13" x14ac:dyDescent="0.25">
      <c r="A131" s="11">
        <v>1</v>
      </c>
      <c r="B131" s="12">
        <v>0.33333333333333331</v>
      </c>
      <c r="C131" s="12">
        <f>+B131+15/1440</f>
        <v>0.34375</v>
      </c>
      <c r="D131" s="11">
        <v>8</v>
      </c>
      <c r="E131" s="79">
        <f>+C137+5/1440</f>
        <v>0.43055555555555558</v>
      </c>
      <c r="F131" s="80"/>
      <c r="G131" s="40">
        <f>+E131+15/1440</f>
        <v>0.44097222222222227</v>
      </c>
      <c r="H131" s="11"/>
      <c r="I131" s="12">
        <f>G137+5/1440</f>
        <v>0.52777777777777779</v>
      </c>
      <c r="J131" s="12">
        <f>I131+15/1440</f>
        <v>0.53819444444444442</v>
      </c>
      <c r="K131" s="11">
        <v>19</v>
      </c>
      <c r="L131" s="12">
        <f>J137+5/1440</f>
        <v>0.62499999999999967</v>
      </c>
      <c r="M131" s="12">
        <f>L131+15/1440</f>
        <v>0.6354166666666663</v>
      </c>
    </row>
    <row r="132" spans="1:13" x14ac:dyDescent="0.25">
      <c r="A132" s="11">
        <v>2</v>
      </c>
      <c r="B132" s="12">
        <f t="shared" ref="B132:B137" si="25">+C131+5/1440</f>
        <v>0.34722222222222221</v>
      </c>
      <c r="C132" s="12">
        <f>+B132+15/1440</f>
        <v>0.3576388888888889</v>
      </c>
      <c r="D132" s="11">
        <v>9</v>
      </c>
      <c r="E132" s="79">
        <f>+G131+5/1440</f>
        <v>0.44444444444444448</v>
      </c>
      <c r="F132" s="80"/>
      <c r="G132" s="16">
        <f>+E132+15/1440</f>
        <v>0.45486111111111116</v>
      </c>
      <c r="H132" s="11">
        <v>13</v>
      </c>
      <c r="I132" s="12">
        <f>J131+5/1440</f>
        <v>0.54166666666666663</v>
      </c>
      <c r="J132" s="12">
        <f>I132+15/1440</f>
        <v>0.55208333333333326</v>
      </c>
      <c r="K132" s="11">
        <v>20</v>
      </c>
      <c r="L132" s="12">
        <f>M131+5/1440</f>
        <v>0.63888888888888851</v>
      </c>
      <c r="M132" s="12">
        <f>L132+15/1440</f>
        <v>0.64930555555555514</v>
      </c>
    </row>
    <row r="133" spans="1:13" x14ac:dyDescent="0.25">
      <c r="A133" s="11">
        <v>3</v>
      </c>
      <c r="B133" s="12">
        <f t="shared" si="25"/>
        <v>0.3611111111111111</v>
      </c>
      <c r="C133" s="12">
        <f t="shared" ref="C133:C137" si="26">+B133+15/1440</f>
        <v>0.37152777777777779</v>
      </c>
      <c r="D133" s="11">
        <v>10</v>
      </c>
      <c r="E133" s="79">
        <f t="shared" ref="E133:E137" si="27">+G132+5/1440</f>
        <v>0.45833333333333337</v>
      </c>
      <c r="F133" s="80"/>
      <c r="G133" s="16">
        <f t="shared" ref="G133:G137" si="28">+E133+15/1440</f>
        <v>0.46875000000000006</v>
      </c>
      <c r="H133" s="11">
        <v>14</v>
      </c>
      <c r="I133" s="12">
        <f t="shared" ref="I133:I137" si="29">J132+5/1440</f>
        <v>0.55555555555555547</v>
      </c>
      <c r="J133" s="12">
        <f t="shared" ref="J133:J137" si="30">I133+15/1440</f>
        <v>0.5659722222222221</v>
      </c>
      <c r="K133" s="11">
        <v>21</v>
      </c>
      <c r="L133" s="21">
        <f t="shared" ref="L133:L137" si="31">M132+5/1440</f>
        <v>0.65277777777777735</v>
      </c>
      <c r="M133" s="21">
        <f t="shared" ref="M133:M137" si="32">L133+15/1440</f>
        <v>0.66319444444444398</v>
      </c>
    </row>
    <row r="134" spans="1:13" x14ac:dyDescent="0.25">
      <c r="A134" s="11">
        <v>4</v>
      </c>
      <c r="B134" s="12">
        <f t="shared" si="25"/>
        <v>0.375</v>
      </c>
      <c r="C134" s="12">
        <f t="shared" si="26"/>
        <v>0.38541666666666669</v>
      </c>
      <c r="D134" s="11">
        <v>11</v>
      </c>
      <c r="E134" s="79">
        <f t="shared" si="27"/>
        <v>0.47222222222222227</v>
      </c>
      <c r="F134" s="80"/>
      <c r="G134" s="16">
        <f t="shared" si="28"/>
        <v>0.48263888888888895</v>
      </c>
      <c r="H134" s="11">
        <v>15</v>
      </c>
      <c r="I134" s="12">
        <f t="shared" si="29"/>
        <v>0.56944444444444431</v>
      </c>
      <c r="J134" s="12">
        <f t="shared" si="30"/>
        <v>0.57986111111111094</v>
      </c>
      <c r="K134" s="11">
        <v>22</v>
      </c>
      <c r="L134" s="21">
        <f t="shared" si="31"/>
        <v>0.66666666666666619</v>
      </c>
      <c r="M134" s="21">
        <f t="shared" si="32"/>
        <v>0.67708333333333282</v>
      </c>
    </row>
    <row r="135" spans="1:13" x14ac:dyDescent="0.25">
      <c r="A135" s="11">
        <v>5</v>
      </c>
      <c r="B135" s="12">
        <f t="shared" si="25"/>
        <v>0.3888888888888889</v>
      </c>
      <c r="C135" s="12">
        <f t="shared" si="26"/>
        <v>0.39930555555555558</v>
      </c>
      <c r="D135" s="11">
        <v>12</v>
      </c>
      <c r="E135" s="79">
        <f t="shared" si="27"/>
        <v>0.48611111111111116</v>
      </c>
      <c r="F135" s="80"/>
      <c r="G135" s="16">
        <f t="shared" si="28"/>
        <v>0.49652777777777785</v>
      </c>
      <c r="H135" s="11">
        <v>16</v>
      </c>
      <c r="I135" s="12">
        <f t="shared" si="29"/>
        <v>0.58333333333333315</v>
      </c>
      <c r="J135" s="12">
        <f t="shared" si="30"/>
        <v>0.59374999999999978</v>
      </c>
      <c r="K135" s="11">
        <v>23</v>
      </c>
      <c r="L135" s="21">
        <f t="shared" si="31"/>
        <v>0.68055555555555503</v>
      </c>
      <c r="M135" s="21">
        <f t="shared" si="32"/>
        <v>0.69097222222222165</v>
      </c>
    </row>
    <row r="136" spans="1:13" x14ac:dyDescent="0.25">
      <c r="A136" s="11">
        <v>6</v>
      </c>
      <c r="B136" s="12">
        <f t="shared" si="25"/>
        <v>0.40277777777777779</v>
      </c>
      <c r="C136" s="12">
        <f t="shared" si="26"/>
        <v>0.41319444444444448</v>
      </c>
      <c r="D136" s="11"/>
      <c r="E136" s="77">
        <f t="shared" si="27"/>
        <v>0.50000000000000011</v>
      </c>
      <c r="F136" s="78"/>
      <c r="G136" s="21">
        <f t="shared" si="28"/>
        <v>0.51041666666666674</v>
      </c>
      <c r="H136" s="11">
        <v>17</v>
      </c>
      <c r="I136" s="12">
        <f t="shared" si="29"/>
        <v>0.59722222222222199</v>
      </c>
      <c r="J136" s="12">
        <f t="shared" si="30"/>
        <v>0.60763888888888862</v>
      </c>
      <c r="K136" s="11">
        <v>24</v>
      </c>
      <c r="L136" s="21">
        <f t="shared" si="31"/>
        <v>0.69444444444444386</v>
      </c>
      <c r="M136" s="21">
        <f t="shared" si="32"/>
        <v>0.70486111111111049</v>
      </c>
    </row>
    <row r="137" spans="1:13" x14ac:dyDescent="0.25">
      <c r="A137" s="11">
        <v>7</v>
      </c>
      <c r="B137" s="16">
        <f t="shared" si="25"/>
        <v>0.41666666666666669</v>
      </c>
      <c r="C137" s="16">
        <f t="shared" si="26"/>
        <v>0.42708333333333337</v>
      </c>
      <c r="D137" s="11"/>
      <c r="E137" s="77">
        <f t="shared" si="27"/>
        <v>0.51388888888888895</v>
      </c>
      <c r="F137" s="78"/>
      <c r="G137" s="21">
        <f t="shared" si="28"/>
        <v>0.52430555555555558</v>
      </c>
      <c r="H137" s="11">
        <v>18</v>
      </c>
      <c r="I137" s="12">
        <f t="shared" si="29"/>
        <v>0.61111111111111083</v>
      </c>
      <c r="J137" s="12">
        <f t="shared" si="30"/>
        <v>0.62152777777777746</v>
      </c>
      <c r="K137" s="11">
        <v>25</v>
      </c>
      <c r="L137" s="21">
        <f t="shared" si="31"/>
        <v>0.7083333333333327</v>
      </c>
      <c r="M137" s="21">
        <f t="shared" si="32"/>
        <v>0.71874999999999933</v>
      </c>
    </row>
  </sheetData>
  <mergeCells count="71">
    <mergeCell ref="A4:B4"/>
    <mergeCell ref="C4:G4"/>
    <mergeCell ref="I4:J4"/>
    <mergeCell ref="A1:D2"/>
    <mergeCell ref="E1:J2"/>
    <mergeCell ref="A3:B3"/>
    <mergeCell ref="C3:G3"/>
    <mergeCell ref="I3:J3"/>
    <mergeCell ref="E39:F39"/>
    <mergeCell ref="I5:J5"/>
    <mergeCell ref="A6:B6"/>
    <mergeCell ref="E6:E32"/>
    <mergeCell ref="F7:G7"/>
    <mergeCell ref="A32:B32"/>
    <mergeCell ref="F33:G33"/>
    <mergeCell ref="A34:B34"/>
    <mergeCell ref="A35:D35"/>
    <mergeCell ref="E36:F36"/>
    <mergeCell ref="E37:F37"/>
    <mergeCell ref="E38:F38"/>
    <mergeCell ref="E40:F40"/>
    <mergeCell ref="E41:F41"/>
    <mergeCell ref="E42:F42"/>
    <mergeCell ref="E43:F43"/>
    <mergeCell ref="A48:D49"/>
    <mergeCell ref="E48:J49"/>
    <mergeCell ref="A81:B81"/>
    <mergeCell ref="A50:B50"/>
    <mergeCell ref="I50:J50"/>
    <mergeCell ref="A51:B51"/>
    <mergeCell ref="C51:G51"/>
    <mergeCell ref="I51:J51"/>
    <mergeCell ref="I52:J52"/>
    <mergeCell ref="A53:B53"/>
    <mergeCell ref="E53:E79"/>
    <mergeCell ref="F54:G54"/>
    <mergeCell ref="A79:B79"/>
    <mergeCell ref="F80:G80"/>
    <mergeCell ref="A97:B97"/>
    <mergeCell ref="C97:G97"/>
    <mergeCell ref="I97:J97"/>
    <mergeCell ref="A82:D82"/>
    <mergeCell ref="E83:F83"/>
    <mergeCell ref="E84:F84"/>
    <mergeCell ref="E85:F85"/>
    <mergeCell ref="E86:F86"/>
    <mergeCell ref="E87:F87"/>
    <mergeCell ref="E88:F88"/>
    <mergeCell ref="E89:F89"/>
    <mergeCell ref="E90:F90"/>
    <mergeCell ref="A95:D96"/>
    <mergeCell ref="E95:J96"/>
    <mergeCell ref="E132:F132"/>
    <mergeCell ref="A98:B98"/>
    <mergeCell ref="C98:G98"/>
    <mergeCell ref="I98:J98"/>
    <mergeCell ref="I99:J99"/>
    <mergeCell ref="A100:B100"/>
    <mergeCell ref="E100:E126"/>
    <mergeCell ref="F101:G101"/>
    <mergeCell ref="A126:B126"/>
    <mergeCell ref="F127:G127"/>
    <mergeCell ref="A128:B128"/>
    <mergeCell ref="A129:D129"/>
    <mergeCell ref="E130:F130"/>
    <mergeCell ref="E131:F131"/>
    <mergeCell ref="E133:F133"/>
    <mergeCell ref="E134:F134"/>
    <mergeCell ref="E135:F135"/>
    <mergeCell ref="E136:F136"/>
    <mergeCell ref="E137:F137"/>
  </mergeCells>
  <pageMargins left="0.7" right="0.7" top="0.75" bottom="0.75" header="0.3" footer="0.3"/>
  <pageSetup paperSize="9" scale="2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F100-7606-4F99-AD98-1E2CB2F5BF86}">
  <sheetPr>
    <pageSetUpPr fitToPage="1"/>
  </sheetPr>
  <dimension ref="A1:M48"/>
  <sheetViews>
    <sheetView tabSelected="1" topLeftCell="A15" zoomScaleNormal="100" workbookViewId="0">
      <selection activeCell="N21" sqref="N21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55</v>
      </c>
      <c r="D3" s="100"/>
      <c r="E3" s="100"/>
      <c r="F3" s="100"/>
      <c r="G3" s="100"/>
      <c r="H3" s="1" t="s">
        <v>1</v>
      </c>
      <c r="I3" s="101">
        <v>45442</v>
      </c>
      <c r="J3" s="102"/>
    </row>
    <row r="4" spans="1:10" ht="37.5" customHeight="1" x14ac:dyDescent="0.25">
      <c r="A4" s="87" t="s">
        <v>2</v>
      </c>
      <c r="B4" s="87"/>
      <c r="C4" s="88" t="s">
        <v>48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64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12</v>
      </c>
      <c r="G6" s="5" t="s">
        <v>8</v>
      </c>
      <c r="H6" s="6">
        <f>D32-(F6*400)</f>
        <v>150.94999999999982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0.11</v>
      </c>
      <c r="D10" s="20">
        <f>C10*$D$32</f>
        <v>544.60450000000003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0.21879999999999999</v>
      </c>
      <c r="D11" s="20">
        <f t="shared" ref="D11:D27" si="0">C11*$D$32</f>
        <v>1083.2678599999999</v>
      </c>
      <c r="E11" s="92"/>
      <c r="F11" s="27" t="s">
        <v>25</v>
      </c>
      <c r="G11" s="33"/>
      <c r="H11" s="38">
        <v>0.1032</v>
      </c>
      <c r="I11" s="35">
        <f t="shared" ref="I11:I28" si="1">H11*$I$33</f>
        <v>41.28</v>
      </c>
      <c r="J11" s="35">
        <f t="shared" ref="J11:J28" si="2">H11*$J$33</f>
        <v>15.578039999999982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0.219</v>
      </c>
      <c r="I12" s="35">
        <f t="shared" si="1"/>
        <v>87.6</v>
      </c>
      <c r="J12" s="35">
        <f t="shared" si="2"/>
        <v>33.058049999999959</v>
      </c>
    </row>
    <row r="13" spans="1:10" ht="15.75" x14ac:dyDescent="0.25">
      <c r="A13" s="27" t="s">
        <v>26</v>
      </c>
      <c r="B13" s="29"/>
      <c r="C13" s="31">
        <v>1.9900000000000001E-2</v>
      </c>
      <c r="D13" s="20">
        <f t="shared" si="0"/>
        <v>98.523904999999999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1.5900000000000001E-2</v>
      </c>
      <c r="I14" s="35">
        <f t="shared" si="1"/>
        <v>6.36</v>
      </c>
      <c r="J14" s="35">
        <f t="shared" si="2"/>
        <v>2.4001049999999973</v>
      </c>
    </row>
    <row r="15" spans="1:10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0.45750000000000002</v>
      </c>
      <c r="D17" s="20">
        <f t="shared" si="0"/>
        <v>2265.0596249999999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8">
        <v>0.46789999999999998</v>
      </c>
      <c r="I18" s="35">
        <f t="shared" si="1"/>
        <v>187.16</v>
      </c>
      <c r="J18" s="35">
        <f t="shared" si="2"/>
        <v>70.629504999999909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0.13919999999999999</v>
      </c>
      <c r="D21" s="20">
        <f t="shared" si="0"/>
        <v>689.17223999999987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0.1394</v>
      </c>
      <c r="I22" s="35">
        <f t="shared" si="1"/>
        <v>55.76</v>
      </c>
      <c r="J22" s="35">
        <f t="shared" si="2"/>
        <v>21.042429999999975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>
        <v>0.01</v>
      </c>
      <c r="D25" s="20">
        <f t="shared" si="0"/>
        <v>49.509500000000003</v>
      </c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4.2200000000000001E-2</v>
      </c>
      <c r="D26" s="20">
        <f t="shared" si="0"/>
        <v>208.93009000000001</v>
      </c>
      <c r="E26" s="92"/>
      <c r="F26" s="27" t="s">
        <v>16</v>
      </c>
      <c r="G26" s="24"/>
      <c r="H26" s="38">
        <v>0.01</v>
      </c>
      <c r="I26" s="35">
        <f t="shared" si="1"/>
        <v>4</v>
      </c>
      <c r="J26" s="35">
        <f t="shared" si="2"/>
        <v>1.5094999999999983</v>
      </c>
    </row>
    <row r="27" spans="1:10" ht="15.75" x14ac:dyDescent="0.25">
      <c r="A27" s="27" t="s">
        <v>33</v>
      </c>
      <c r="B27" s="23"/>
      <c r="C27" s="31">
        <v>2.3999999999999998E-3</v>
      </c>
      <c r="D27" s="20">
        <f t="shared" si="0"/>
        <v>11.882279999999998</v>
      </c>
      <c r="E27" s="92"/>
      <c r="F27" s="27" t="s">
        <v>32</v>
      </c>
      <c r="G27" s="24"/>
      <c r="H27" s="38">
        <v>4.2200000000000001E-2</v>
      </c>
      <c r="I27" s="35">
        <f t="shared" si="1"/>
        <v>16.88</v>
      </c>
      <c r="J27" s="35">
        <f t="shared" si="2"/>
        <v>6.3700899999999923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2.3999999999999998E-3</v>
      </c>
      <c r="I28" s="35">
        <f t="shared" si="1"/>
        <v>0.96</v>
      </c>
      <c r="J28" s="35">
        <f t="shared" si="2"/>
        <v>0.36227999999999955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4950.95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150.94999999999982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16">
        <v>0.33333333333333331</v>
      </c>
      <c r="C37" s="116">
        <f>+B37+15/1440</f>
        <v>0.34375</v>
      </c>
      <c r="D37" s="11">
        <v>8</v>
      </c>
      <c r="E37" s="117">
        <f>+C43+5/1440</f>
        <v>0.43055555555555558</v>
      </c>
      <c r="F37" s="118"/>
      <c r="G37" s="1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16">
        <f t="shared" ref="B38:B43" si="3">+C37+5/1440</f>
        <v>0.34722222222222221</v>
      </c>
      <c r="C38" s="116">
        <f>+B38+15/1440</f>
        <v>0.3576388888888889</v>
      </c>
      <c r="D38" s="11">
        <v>9</v>
      </c>
      <c r="E38" s="117">
        <f>+G37+5/1440</f>
        <v>0.44444444444444448</v>
      </c>
      <c r="F38" s="118"/>
      <c r="G38" s="116">
        <f>+E38+15/1440</f>
        <v>0.45486111111111116</v>
      </c>
      <c r="H38" s="11">
        <v>13</v>
      </c>
      <c r="I38" s="16">
        <f>J37+5/1440</f>
        <v>0.54166666666666663</v>
      </c>
      <c r="J38" s="16">
        <f>I38+15/1440</f>
        <v>0.55208333333333326</v>
      </c>
      <c r="K38" s="11">
        <v>20</v>
      </c>
      <c r="L38" s="16">
        <f>M37+5/1440</f>
        <v>0.63888888888888851</v>
      </c>
      <c r="M38" s="16">
        <f>L38+15/1440</f>
        <v>0.64930555555555514</v>
      </c>
    </row>
    <row r="39" spans="1:13" x14ac:dyDescent="0.25">
      <c r="A39" s="11">
        <v>3</v>
      </c>
      <c r="B39" s="116">
        <f t="shared" si="3"/>
        <v>0.3611111111111111</v>
      </c>
      <c r="C39" s="116">
        <f t="shared" ref="C39:C43" si="4">+B39+15/1440</f>
        <v>0.37152777777777779</v>
      </c>
      <c r="D39" s="11">
        <v>10</v>
      </c>
      <c r="E39" s="117">
        <f t="shared" ref="E39:E43" si="5">+G38+5/1440</f>
        <v>0.45833333333333337</v>
      </c>
      <c r="F39" s="118"/>
      <c r="G39" s="116">
        <f t="shared" ref="G39:G43" si="6">+E39+15/1440</f>
        <v>0.46875000000000006</v>
      </c>
      <c r="H39" s="11">
        <v>14</v>
      </c>
      <c r="I39" s="16">
        <f t="shared" ref="I39:I43" si="7">J38+5/1440</f>
        <v>0.55555555555555547</v>
      </c>
      <c r="J39" s="16">
        <f t="shared" ref="J39:J43" si="8">I39+15/1440</f>
        <v>0.5659722222222221</v>
      </c>
      <c r="K39" s="11">
        <v>21</v>
      </c>
      <c r="L39" s="16">
        <f t="shared" ref="L39:L43" si="9">M38+5/1440</f>
        <v>0.65277777777777735</v>
      </c>
      <c r="M39" s="16">
        <f t="shared" ref="M39:M43" si="10">L39+15/1440</f>
        <v>0.66319444444444398</v>
      </c>
    </row>
    <row r="40" spans="1:13" x14ac:dyDescent="0.25">
      <c r="A40" s="11">
        <v>4</v>
      </c>
      <c r="B40" s="116">
        <f t="shared" si="3"/>
        <v>0.375</v>
      </c>
      <c r="C40" s="116">
        <f t="shared" si="4"/>
        <v>0.38541666666666669</v>
      </c>
      <c r="D40" s="11">
        <v>11</v>
      </c>
      <c r="E40" s="117">
        <f t="shared" si="5"/>
        <v>0.47222222222222227</v>
      </c>
      <c r="F40" s="118"/>
      <c r="G40" s="116">
        <f t="shared" si="6"/>
        <v>0.48263888888888895</v>
      </c>
      <c r="H40" s="11">
        <v>15</v>
      </c>
      <c r="I40" s="16">
        <f t="shared" si="7"/>
        <v>0.56944444444444431</v>
      </c>
      <c r="J40" s="16">
        <f t="shared" si="8"/>
        <v>0.57986111111111094</v>
      </c>
      <c r="K40" s="11">
        <v>22</v>
      </c>
      <c r="L40" s="16">
        <f t="shared" si="9"/>
        <v>0.66666666666666619</v>
      </c>
      <c r="M40" s="16">
        <f t="shared" si="10"/>
        <v>0.67708333333333282</v>
      </c>
    </row>
    <row r="41" spans="1:13" x14ac:dyDescent="0.25">
      <c r="A41" s="11">
        <v>5</v>
      </c>
      <c r="B41" s="116">
        <f t="shared" si="3"/>
        <v>0.3888888888888889</v>
      </c>
      <c r="C41" s="116">
        <f t="shared" si="4"/>
        <v>0.39930555555555558</v>
      </c>
      <c r="D41" s="11">
        <v>12</v>
      </c>
      <c r="E41" s="117">
        <f t="shared" si="5"/>
        <v>0.48611111111111116</v>
      </c>
      <c r="F41" s="118"/>
      <c r="G41" s="116">
        <f t="shared" si="6"/>
        <v>0.49652777777777785</v>
      </c>
      <c r="H41" s="11">
        <v>16</v>
      </c>
      <c r="I41" s="16">
        <f t="shared" si="7"/>
        <v>0.58333333333333315</v>
      </c>
      <c r="J41" s="16">
        <f t="shared" si="8"/>
        <v>0.59374999999999978</v>
      </c>
      <c r="K41" s="11">
        <v>23</v>
      </c>
      <c r="L41" s="16">
        <f t="shared" si="9"/>
        <v>0.68055555555555503</v>
      </c>
      <c r="M41" s="16">
        <f t="shared" si="10"/>
        <v>0.69097222222222165</v>
      </c>
    </row>
    <row r="42" spans="1:13" x14ac:dyDescent="0.25">
      <c r="A42" s="11">
        <v>6</v>
      </c>
      <c r="B42" s="116">
        <f t="shared" si="3"/>
        <v>0.40277777777777779</v>
      </c>
      <c r="C42" s="116">
        <f t="shared" si="4"/>
        <v>0.41319444444444448</v>
      </c>
      <c r="D42" s="11"/>
      <c r="E42" s="117">
        <f t="shared" si="5"/>
        <v>0.50000000000000011</v>
      </c>
      <c r="F42" s="118"/>
      <c r="G42" s="116">
        <f t="shared" si="6"/>
        <v>0.51041666666666674</v>
      </c>
      <c r="H42" s="11">
        <v>17</v>
      </c>
      <c r="I42" s="16">
        <f t="shared" si="7"/>
        <v>0.59722222222222199</v>
      </c>
      <c r="J42" s="16">
        <f t="shared" si="8"/>
        <v>0.60763888888888862</v>
      </c>
      <c r="K42" s="11">
        <v>24</v>
      </c>
      <c r="L42" s="16">
        <f t="shared" si="9"/>
        <v>0.69444444444444386</v>
      </c>
      <c r="M42" s="16">
        <f t="shared" si="10"/>
        <v>0.70486111111111049</v>
      </c>
    </row>
    <row r="43" spans="1:13" x14ac:dyDescent="0.25">
      <c r="A43" s="11">
        <v>7</v>
      </c>
      <c r="B43" s="116">
        <f t="shared" si="3"/>
        <v>0.41666666666666669</v>
      </c>
      <c r="C43" s="1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6">
        <f t="shared" si="7"/>
        <v>0.61111111111111083</v>
      </c>
      <c r="J43" s="16">
        <f t="shared" si="8"/>
        <v>0.62152777777777746</v>
      </c>
      <c r="K43" s="11">
        <v>25</v>
      </c>
      <c r="L43" s="16">
        <f t="shared" si="9"/>
        <v>0.7083333333333327</v>
      </c>
      <c r="M43" s="16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4"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</mergeCells>
  <pageMargins left="0.7" right="0.7" top="0.75" bottom="0.75" header="0.3" footer="0.3"/>
  <pageSetup paperSize="9" scale="6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442C-236C-4B0B-A3F2-2C7D64603840}">
  <sheetPr>
    <pageSetUpPr fitToPage="1"/>
  </sheetPr>
  <dimension ref="A1:M198"/>
  <sheetViews>
    <sheetView zoomScaleNormal="100" workbookViewId="0">
      <selection activeCell="H67" sqref="H67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60</v>
      </c>
      <c r="D3" s="100"/>
      <c r="E3" s="100"/>
      <c r="F3" s="100"/>
      <c r="G3" s="100"/>
      <c r="H3" s="1" t="s">
        <v>1</v>
      </c>
      <c r="I3" s="101">
        <v>45469</v>
      </c>
      <c r="J3" s="102"/>
    </row>
    <row r="4" spans="1:10" ht="37.5" customHeight="1" x14ac:dyDescent="0.25">
      <c r="A4" s="87" t="s">
        <v>2</v>
      </c>
      <c r="B4" s="87"/>
      <c r="C4" s="88" t="s">
        <v>61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37</v>
      </c>
      <c r="G6" s="5" t="s">
        <v>8</v>
      </c>
      <c r="H6" s="6">
        <f>D32-(F6*400)</f>
        <v>330.76000000000022</v>
      </c>
      <c r="I6" s="7" t="s">
        <v>9</v>
      </c>
    </row>
    <row r="7" spans="1:10" ht="15.75" x14ac:dyDescent="0.25">
      <c r="A7" s="26" t="s">
        <v>23</v>
      </c>
      <c r="B7" s="29"/>
      <c r="C7" s="48" t="s">
        <v>50</v>
      </c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8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0.32269999999999999</v>
      </c>
      <c r="D10" s="20">
        <f>C10*$D$32</f>
        <v>4882.6962519999997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0.17780000000000001</v>
      </c>
      <c r="D11" s="20">
        <f t="shared" ref="D11:D28" si="0">C11*$D$32</f>
        <v>2690.2491280000004</v>
      </c>
      <c r="E11" s="92"/>
      <c r="F11" s="27" t="s">
        <v>25</v>
      </c>
      <c r="G11" s="33"/>
      <c r="H11" s="38">
        <v>0.16500000000000001</v>
      </c>
      <c r="I11" s="35">
        <f>H11*$I$33</f>
        <v>66</v>
      </c>
      <c r="J11" s="35">
        <f>H11*$J$33</f>
        <v>54.575400000000037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8">
        <v>0.16500000000000001</v>
      </c>
      <c r="I12" s="35">
        <f>H12*$I$33</f>
        <v>66</v>
      </c>
      <c r="J12" s="35">
        <f>H12*$J$33</f>
        <v>54.575400000000037</v>
      </c>
    </row>
    <row r="13" spans="1:10" ht="15.75" x14ac:dyDescent="0.25">
      <c r="A13" s="27" t="s">
        <v>26</v>
      </c>
      <c r="B13" s="29"/>
      <c r="C13" s="31">
        <v>3.5799999999999998E-2</v>
      </c>
      <c r="D13" s="20">
        <f t="shared" si="0"/>
        <v>541.68120799999997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8"/>
      <c r="I14" s="35"/>
      <c r="J14" s="35"/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0.39119999999999999</v>
      </c>
      <c r="D17" s="20">
        <f t="shared" si="0"/>
        <v>5919.1533120000004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8"/>
      <c r="D18" s="20"/>
      <c r="E18" s="92"/>
      <c r="F18" s="27" t="s">
        <v>44</v>
      </c>
      <c r="G18" s="33"/>
      <c r="H18" s="38">
        <v>0.64290000000000003</v>
      </c>
      <c r="I18" s="35">
        <f>H18*$I$33</f>
        <v>257.16000000000003</v>
      </c>
      <c r="J18" s="35">
        <f>H18*$J$33</f>
        <v>212.64560400000016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8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3.7699999999999997E-2</v>
      </c>
      <c r="D26" s="20">
        <f t="shared" si="0"/>
        <v>570.42965199999992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31.774595999999999</v>
      </c>
      <c r="E27" s="92"/>
      <c r="F27" s="27" t="s">
        <v>32</v>
      </c>
      <c r="G27" s="24"/>
      <c r="H27" s="38">
        <v>2.5600000000000001E-2</v>
      </c>
      <c r="I27" s="35">
        <f>H27*$I$33</f>
        <v>10.24</v>
      </c>
      <c r="J27" s="35">
        <f>H27*$J$33</f>
        <v>8.4674560000000056</v>
      </c>
    </row>
    <row r="28" spans="1:10" ht="15.75" x14ac:dyDescent="0.25">
      <c r="A28" s="27" t="s">
        <v>34</v>
      </c>
      <c r="B28" s="23"/>
      <c r="C28" s="31">
        <v>3.2899999999999999E-2</v>
      </c>
      <c r="D28" s="20">
        <f t="shared" si="0"/>
        <v>497.80200400000001</v>
      </c>
      <c r="E28" s="92"/>
      <c r="F28" s="27" t="s">
        <v>33</v>
      </c>
      <c r="G28" s="24"/>
      <c r="H28" s="38">
        <v>1.5E-3</v>
      </c>
      <c r="I28" s="35">
        <f>H28*$I$33</f>
        <v>0.6</v>
      </c>
      <c r="J28" s="35">
        <f>H28*$J$33</f>
        <v>0.49614000000000036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8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1.0002</v>
      </c>
      <c r="D32" s="15">
        <v>15130.76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330.76000000000022</v>
      </c>
    </row>
    <row r="34" spans="1:13" x14ac:dyDescent="0.25">
      <c r="A34" s="2"/>
      <c r="B34" s="2"/>
      <c r="C34" s="2"/>
      <c r="D34" s="2"/>
      <c r="E34" s="2"/>
      <c r="F34" s="55"/>
      <c r="G34" s="55"/>
      <c r="H34" s="56"/>
      <c r="I34" s="55"/>
      <c r="J34" s="55"/>
    </row>
    <row r="35" spans="1:13" ht="26.25" x14ac:dyDescent="0.4">
      <c r="A35" s="57" t="s">
        <v>68</v>
      </c>
      <c r="B35" s="2"/>
      <c r="C35" s="2"/>
      <c r="D35" s="2"/>
      <c r="E35" s="2"/>
      <c r="F35" s="55"/>
      <c r="G35" s="55"/>
      <c r="H35" s="56"/>
      <c r="I35" s="55"/>
      <c r="J35" s="55"/>
    </row>
    <row r="36" spans="1:13" ht="23.25" x14ac:dyDescent="0.35">
      <c r="A36" s="82"/>
      <c r="B36" s="83"/>
      <c r="C36" s="2"/>
      <c r="D36" s="2"/>
      <c r="E36" s="2"/>
      <c r="F36" s="18"/>
      <c r="G36" s="18"/>
      <c r="H36" s="19"/>
      <c r="I36" s="18"/>
      <c r="J36" s="18"/>
    </row>
    <row r="37" spans="1:13" x14ac:dyDescent="0.25">
      <c r="A37" s="84" t="s">
        <v>18</v>
      </c>
      <c r="B37" s="84"/>
      <c r="C37" s="84"/>
      <c r="D37" s="84"/>
      <c r="E37" s="2"/>
      <c r="F37" s="2"/>
      <c r="G37" s="2"/>
    </row>
    <row r="38" spans="1:13" x14ac:dyDescent="0.25">
      <c r="A38" s="9" t="s">
        <v>12</v>
      </c>
      <c r="B38" s="9" t="s">
        <v>13</v>
      </c>
      <c r="C38" s="9" t="s">
        <v>14</v>
      </c>
      <c r="D38" s="10" t="s">
        <v>12</v>
      </c>
      <c r="E38" s="85" t="s">
        <v>13</v>
      </c>
      <c r="F38" s="86"/>
      <c r="G38" s="10" t="s">
        <v>14</v>
      </c>
      <c r="H38" s="9" t="s">
        <v>12</v>
      </c>
      <c r="I38" s="10" t="s">
        <v>13</v>
      </c>
      <c r="J38" s="10" t="s">
        <v>14</v>
      </c>
      <c r="K38" s="9" t="s">
        <v>12</v>
      </c>
      <c r="L38" s="10" t="s">
        <v>13</v>
      </c>
      <c r="M38" s="10" t="s">
        <v>14</v>
      </c>
    </row>
    <row r="39" spans="1:13" x14ac:dyDescent="0.25">
      <c r="A39" s="11">
        <v>1</v>
      </c>
      <c r="B39" s="16">
        <v>0.33333333333333331</v>
      </c>
      <c r="C39" s="16">
        <f>+B39+15/1440</f>
        <v>0.34375</v>
      </c>
      <c r="D39" s="11">
        <v>8</v>
      </c>
      <c r="E39" s="79">
        <f>+C45+5/1440</f>
        <v>0.43055555555555558</v>
      </c>
      <c r="F39" s="80"/>
      <c r="G39" s="16">
        <f>+E39+15/1440</f>
        <v>0.44097222222222227</v>
      </c>
      <c r="H39" s="11"/>
      <c r="I39" s="12">
        <f>G45+5/1440</f>
        <v>0.52777777777777779</v>
      </c>
      <c r="J39" s="12">
        <f>I39+15/1440</f>
        <v>0.53819444444444442</v>
      </c>
      <c r="K39" s="11">
        <v>19</v>
      </c>
      <c r="L39" s="16">
        <f>J45+5/1440</f>
        <v>0.62499999999999967</v>
      </c>
      <c r="M39" s="16">
        <f>L39+15/1440</f>
        <v>0.6354166666666663</v>
      </c>
    </row>
    <row r="40" spans="1:13" x14ac:dyDescent="0.25">
      <c r="A40" s="11">
        <v>2</v>
      </c>
      <c r="B40" s="16">
        <f t="shared" ref="B40:B45" si="1">+C39+5/1440</f>
        <v>0.34722222222222221</v>
      </c>
      <c r="C40" s="16">
        <f>+B40+15/1440</f>
        <v>0.3576388888888889</v>
      </c>
      <c r="D40" s="11">
        <v>9</v>
      </c>
      <c r="E40" s="79">
        <f>+G39+5/1440</f>
        <v>0.44444444444444448</v>
      </c>
      <c r="F40" s="80"/>
      <c r="G40" s="16">
        <f>+E40+15/1440</f>
        <v>0.45486111111111116</v>
      </c>
      <c r="H40" s="11">
        <v>13</v>
      </c>
      <c r="I40" s="16">
        <f>J39+5/1440</f>
        <v>0.54166666666666663</v>
      </c>
      <c r="J40" s="16">
        <f>I40+15/1440</f>
        <v>0.55208333333333326</v>
      </c>
      <c r="K40" s="11">
        <v>20</v>
      </c>
      <c r="L40" s="16">
        <f>M39+5/1440</f>
        <v>0.63888888888888851</v>
      </c>
      <c r="M40" s="16">
        <f>L40+15/1440</f>
        <v>0.64930555555555514</v>
      </c>
    </row>
    <row r="41" spans="1:13" x14ac:dyDescent="0.25">
      <c r="A41" s="11">
        <v>3</v>
      </c>
      <c r="B41" s="16">
        <f t="shared" si="1"/>
        <v>0.3611111111111111</v>
      </c>
      <c r="C41" s="16">
        <f t="shared" ref="C41:C45" si="2">+B41+15/1440</f>
        <v>0.37152777777777779</v>
      </c>
      <c r="D41" s="11">
        <v>10</v>
      </c>
      <c r="E41" s="79">
        <f t="shared" ref="E41:E45" si="3">+G40+5/1440</f>
        <v>0.45833333333333337</v>
      </c>
      <c r="F41" s="80"/>
      <c r="G41" s="16">
        <f t="shared" ref="G41:G45" si="4">+E41+15/1440</f>
        <v>0.46875000000000006</v>
      </c>
      <c r="H41" s="11">
        <v>14</v>
      </c>
      <c r="I41" s="16">
        <f t="shared" ref="I41:I45" si="5">J40+5/1440</f>
        <v>0.55555555555555547</v>
      </c>
      <c r="J41" s="16">
        <f t="shared" ref="J41:J45" si="6">I41+15/1440</f>
        <v>0.5659722222222221</v>
      </c>
      <c r="K41" s="11">
        <v>21</v>
      </c>
      <c r="L41" s="16">
        <f t="shared" ref="L41:L45" si="7">M40+5/1440</f>
        <v>0.65277777777777735</v>
      </c>
      <c r="M41" s="16">
        <f t="shared" ref="M41:M45" si="8">L41+15/1440</f>
        <v>0.66319444444444398</v>
      </c>
    </row>
    <row r="42" spans="1:13" x14ac:dyDescent="0.25">
      <c r="A42" s="11">
        <v>4</v>
      </c>
      <c r="B42" s="16">
        <f t="shared" si="1"/>
        <v>0.375</v>
      </c>
      <c r="C42" s="16">
        <f t="shared" si="2"/>
        <v>0.38541666666666669</v>
      </c>
      <c r="D42" s="11">
        <v>11</v>
      </c>
      <c r="E42" s="79">
        <f t="shared" si="3"/>
        <v>0.47222222222222227</v>
      </c>
      <c r="F42" s="80"/>
      <c r="G42" s="16">
        <f t="shared" si="4"/>
        <v>0.48263888888888895</v>
      </c>
      <c r="H42" s="11">
        <v>15</v>
      </c>
      <c r="I42" s="16">
        <f t="shared" si="5"/>
        <v>0.56944444444444431</v>
      </c>
      <c r="J42" s="16">
        <f t="shared" si="6"/>
        <v>0.57986111111111094</v>
      </c>
      <c r="K42" s="11">
        <v>22</v>
      </c>
      <c r="L42" s="12">
        <f t="shared" si="7"/>
        <v>0.66666666666666619</v>
      </c>
      <c r="M42" s="12">
        <f t="shared" si="8"/>
        <v>0.67708333333333282</v>
      </c>
    </row>
    <row r="43" spans="1:13" x14ac:dyDescent="0.25">
      <c r="A43" s="11">
        <v>5</v>
      </c>
      <c r="B43" s="16">
        <f t="shared" si="1"/>
        <v>0.3888888888888889</v>
      </c>
      <c r="C43" s="16">
        <f t="shared" si="2"/>
        <v>0.39930555555555558</v>
      </c>
      <c r="D43" s="11">
        <v>12</v>
      </c>
      <c r="E43" s="79">
        <f t="shared" si="3"/>
        <v>0.48611111111111116</v>
      </c>
      <c r="F43" s="80"/>
      <c r="G43" s="16">
        <f t="shared" si="4"/>
        <v>0.49652777777777785</v>
      </c>
      <c r="H43" s="11">
        <v>16</v>
      </c>
      <c r="I43" s="16">
        <f t="shared" si="5"/>
        <v>0.58333333333333315</v>
      </c>
      <c r="J43" s="16">
        <f t="shared" si="6"/>
        <v>0.59374999999999978</v>
      </c>
      <c r="K43" s="11">
        <v>23</v>
      </c>
      <c r="L43" s="12">
        <f t="shared" si="7"/>
        <v>0.68055555555555503</v>
      </c>
      <c r="M43" s="12">
        <f t="shared" si="8"/>
        <v>0.69097222222222165</v>
      </c>
    </row>
    <row r="44" spans="1:13" x14ac:dyDescent="0.25">
      <c r="A44" s="11">
        <v>6</v>
      </c>
      <c r="B44" s="16">
        <f t="shared" si="1"/>
        <v>0.40277777777777779</v>
      </c>
      <c r="C44" s="16">
        <f t="shared" si="2"/>
        <v>0.41319444444444448</v>
      </c>
      <c r="D44" s="11"/>
      <c r="E44" s="77">
        <f t="shared" si="3"/>
        <v>0.50000000000000011</v>
      </c>
      <c r="F44" s="78"/>
      <c r="G44" s="21">
        <f t="shared" si="4"/>
        <v>0.51041666666666674</v>
      </c>
      <c r="H44" s="11">
        <v>17</v>
      </c>
      <c r="I44" s="16">
        <f t="shared" si="5"/>
        <v>0.59722222222222199</v>
      </c>
      <c r="J44" s="16">
        <f t="shared" si="6"/>
        <v>0.60763888888888862</v>
      </c>
      <c r="K44" s="11">
        <v>24</v>
      </c>
      <c r="L44" s="12">
        <f t="shared" si="7"/>
        <v>0.69444444444444386</v>
      </c>
      <c r="M44" s="12">
        <f t="shared" si="8"/>
        <v>0.70486111111111049</v>
      </c>
    </row>
    <row r="45" spans="1:13" x14ac:dyDescent="0.25">
      <c r="A45" s="11">
        <v>7</v>
      </c>
      <c r="B45" s="16">
        <f t="shared" si="1"/>
        <v>0.41666666666666669</v>
      </c>
      <c r="C45" s="16">
        <f t="shared" si="2"/>
        <v>0.42708333333333337</v>
      </c>
      <c r="D45" s="11"/>
      <c r="E45" s="77">
        <f t="shared" si="3"/>
        <v>0.51388888888888895</v>
      </c>
      <c r="F45" s="78"/>
      <c r="G45" s="21">
        <f t="shared" si="4"/>
        <v>0.52430555555555558</v>
      </c>
      <c r="H45" s="11">
        <v>18</v>
      </c>
      <c r="I45" s="16">
        <f t="shared" si="5"/>
        <v>0.61111111111111083</v>
      </c>
      <c r="J45" s="16">
        <f t="shared" si="6"/>
        <v>0.62152777777777746</v>
      </c>
      <c r="K45" s="11">
        <v>25</v>
      </c>
      <c r="L45" s="12">
        <f t="shared" si="7"/>
        <v>0.7083333333333327</v>
      </c>
      <c r="M45" s="12">
        <f t="shared" si="8"/>
        <v>0.71874999999999933</v>
      </c>
    </row>
    <row r="46" spans="1:13" x14ac:dyDescent="0.25">
      <c r="H46" s="36"/>
      <c r="I46" s="37"/>
      <c r="J46" s="37"/>
    </row>
    <row r="47" spans="1:13" x14ac:dyDescent="0.25">
      <c r="H47" s="36"/>
      <c r="I47" s="37"/>
      <c r="J47" s="37"/>
    </row>
    <row r="48" spans="1:13" ht="26.25" x14ac:dyDescent="0.4">
      <c r="A48" s="57" t="s">
        <v>67</v>
      </c>
      <c r="B48" s="2"/>
      <c r="C48" s="2"/>
      <c r="D48" s="2"/>
      <c r="E48" s="2"/>
      <c r="F48" s="55"/>
      <c r="G48" s="55"/>
      <c r="H48" s="56"/>
      <c r="I48" s="55"/>
      <c r="J48" s="55"/>
    </row>
    <row r="49" spans="1:13" ht="23.25" x14ac:dyDescent="0.35">
      <c r="A49" s="82"/>
      <c r="B49" s="83"/>
      <c r="C49" s="2"/>
      <c r="D49" s="2"/>
      <c r="E49" s="2"/>
      <c r="F49" s="18"/>
      <c r="G49" s="18"/>
      <c r="H49" s="19"/>
      <c r="I49" s="18"/>
      <c r="J49" s="18"/>
    </row>
    <row r="50" spans="1:13" x14ac:dyDescent="0.25">
      <c r="A50" s="84" t="s">
        <v>18</v>
      </c>
      <c r="B50" s="84"/>
      <c r="C50" s="84"/>
      <c r="D50" s="84"/>
      <c r="E50" s="2"/>
      <c r="F50" s="2"/>
      <c r="G50" s="2"/>
    </row>
    <row r="51" spans="1:13" x14ac:dyDescent="0.25">
      <c r="A51" s="9" t="s">
        <v>12</v>
      </c>
      <c r="B51" s="9" t="s">
        <v>13</v>
      </c>
      <c r="C51" s="9" t="s">
        <v>14</v>
      </c>
      <c r="D51" s="10" t="s">
        <v>12</v>
      </c>
      <c r="E51" s="85" t="s">
        <v>13</v>
      </c>
      <c r="F51" s="86"/>
      <c r="G51" s="10" t="s">
        <v>14</v>
      </c>
      <c r="H51" s="9" t="s">
        <v>12</v>
      </c>
      <c r="I51" s="10" t="s">
        <v>13</v>
      </c>
      <c r="J51" s="10" t="s">
        <v>14</v>
      </c>
      <c r="K51" s="9" t="s">
        <v>12</v>
      </c>
      <c r="L51" s="10" t="s">
        <v>13</v>
      </c>
      <c r="M51" s="10" t="s">
        <v>14</v>
      </c>
    </row>
    <row r="52" spans="1:13" x14ac:dyDescent="0.25">
      <c r="A52" s="11">
        <v>1</v>
      </c>
      <c r="B52" s="16">
        <v>0.33333333333333331</v>
      </c>
      <c r="C52" s="16">
        <f>+B52+15/1440</f>
        <v>0.34375</v>
      </c>
      <c r="D52" s="11">
        <v>8</v>
      </c>
      <c r="E52" s="79">
        <f>+C58+5/1440</f>
        <v>0.43055555555555558</v>
      </c>
      <c r="F52" s="80"/>
      <c r="G52" s="16">
        <f>+E52+15/1440</f>
        <v>0.44097222222222227</v>
      </c>
      <c r="H52" s="11"/>
      <c r="I52" s="12">
        <f>G58+5/1440</f>
        <v>0.52777777777777779</v>
      </c>
      <c r="J52" s="12">
        <f>I52+15/1440</f>
        <v>0.53819444444444442</v>
      </c>
      <c r="K52" s="11">
        <v>19</v>
      </c>
      <c r="L52" s="12">
        <f>J58+5/1440</f>
        <v>0.62499999999999967</v>
      </c>
      <c r="M52" s="12">
        <f>L52+15/1440</f>
        <v>0.6354166666666663</v>
      </c>
    </row>
    <row r="53" spans="1:13" x14ac:dyDescent="0.25">
      <c r="A53" s="11">
        <v>2</v>
      </c>
      <c r="B53" s="16">
        <f t="shared" ref="B53:B58" si="9">+C52+5/1440</f>
        <v>0.34722222222222221</v>
      </c>
      <c r="C53" s="16">
        <f>+B53+15/1440</f>
        <v>0.3576388888888889</v>
      </c>
      <c r="D53" s="11">
        <v>9</v>
      </c>
      <c r="E53" s="79">
        <f>+G52+5/1440</f>
        <v>0.44444444444444448</v>
      </c>
      <c r="F53" s="80"/>
      <c r="G53" s="16">
        <f>+E53+15/1440</f>
        <v>0.45486111111111116</v>
      </c>
      <c r="H53" s="11">
        <v>13</v>
      </c>
      <c r="I53" s="16">
        <f>J52+5/1440</f>
        <v>0.54166666666666663</v>
      </c>
      <c r="J53" s="16">
        <f>I53+15/1440</f>
        <v>0.55208333333333326</v>
      </c>
      <c r="K53" s="11">
        <v>20</v>
      </c>
      <c r="L53" s="12">
        <f>M52+5/1440</f>
        <v>0.63888888888888851</v>
      </c>
      <c r="M53" s="12">
        <f>L53+15/1440</f>
        <v>0.64930555555555514</v>
      </c>
    </row>
    <row r="54" spans="1:13" x14ac:dyDescent="0.25">
      <c r="A54" s="11">
        <v>3</v>
      </c>
      <c r="B54" s="16">
        <f t="shared" si="9"/>
        <v>0.3611111111111111</v>
      </c>
      <c r="C54" s="16">
        <f t="shared" ref="C54:C58" si="10">+B54+15/1440</f>
        <v>0.37152777777777779</v>
      </c>
      <c r="D54" s="11">
        <v>10</v>
      </c>
      <c r="E54" s="79">
        <f t="shared" ref="E54:E58" si="11">+G53+5/1440</f>
        <v>0.45833333333333337</v>
      </c>
      <c r="F54" s="80"/>
      <c r="G54" s="16">
        <f t="shared" ref="G54:G58" si="12">+E54+15/1440</f>
        <v>0.46875000000000006</v>
      </c>
      <c r="H54" s="11">
        <v>14</v>
      </c>
      <c r="I54" s="16">
        <f t="shared" ref="I54:I58" si="13">J53+5/1440</f>
        <v>0.55555555555555547</v>
      </c>
      <c r="J54" s="16">
        <f t="shared" ref="J54:J58" si="14">I54+15/1440</f>
        <v>0.5659722222222221</v>
      </c>
      <c r="K54" s="11">
        <v>21</v>
      </c>
      <c r="L54" s="12">
        <f t="shared" ref="L54:L58" si="15">M53+5/1440</f>
        <v>0.65277777777777735</v>
      </c>
      <c r="M54" s="12">
        <f t="shared" ref="M54:M58" si="16">L54+15/1440</f>
        <v>0.66319444444444398</v>
      </c>
    </row>
    <row r="55" spans="1:13" x14ac:dyDescent="0.25">
      <c r="A55" s="11">
        <v>4</v>
      </c>
      <c r="B55" s="16">
        <f t="shared" si="9"/>
        <v>0.375</v>
      </c>
      <c r="C55" s="16">
        <f t="shared" si="10"/>
        <v>0.38541666666666669</v>
      </c>
      <c r="D55" s="11">
        <v>11</v>
      </c>
      <c r="E55" s="79">
        <f t="shared" si="11"/>
        <v>0.47222222222222227</v>
      </c>
      <c r="F55" s="80"/>
      <c r="G55" s="16">
        <f t="shared" si="12"/>
        <v>0.48263888888888895</v>
      </c>
      <c r="H55" s="11">
        <v>15</v>
      </c>
      <c r="I55" s="16">
        <f t="shared" si="13"/>
        <v>0.56944444444444431</v>
      </c>
      <c r="J55" s="16">
        <f t="shared" si="14"/>
        <v>0.57986111111111094</v>
      </c>
      <c r="K55" s="11">
        <v>22</v>
      </c>
      <c r="L55" s="12">
        <f t="shared" si="15"/>
        <v>0.66666666666666619</v>
      </c>
      <c r="M55" s="12">
        <f t="shared" si="16"/>
        <v>0.67708333333333282</v>
      </c>
    </row>
    <row r="56" spans="1:13" x14ac:dyDescent="0.25">
      <c r="A56" s="11">
        <v>5</v>
      </c>
      <c r="B56" s="16">
        <f t="shared" si="9"/>
        <v>0.3888888888888889</v>
      </c>
      <c r="C56" s="16">
        <f t="shared" si="10"/>
        <v>0.39930555555555558</v>
      </c>
      <c r="D56" s="11">
        <v>12</v>
      </c>
      <c r="E56" s="79">
        <f t="shared" si="11"/>
        <v>0.48611111111111116</v>
      </c>
      <c r="F56" s="80"/>
      <c r="G56" s="16">
        <f t="shared" si="12"/>
        <v>0.49652777777777785</v>
      </c>
      <c r="H56" s="11">
        <v>16</v>
      </c>
      <c r="I56" s="16">
        <f t="shared" si="13"/>
        <v>0.58333333333333315</v>
      </c>
      <c r="J56" s="16">
        <f t="shared" si="14"/>
        <v>0.59374999999999978</v>
      </c>
      <c r="K56" s="11">
        <v>23</v>
      </c>
      <c r="L56" s="12">
        <f t="shared" si="15"/>
        <v>0.68055555555555503</v>
      </c>
      <c r="M56" s="12">
        <f t="shared" si="16"/>
        <v>0.69097222222222165</v>
      </c>
    </row>
    <row r="57" spans="1:13" x14ac:dyDescent="0.25">
      <c r="A57" s="11">
        <v>6</v>
      </c>
      <c r="B57" s="16">
        <f t="shared" si="9"/>
        <v>0.40277777777777779</v>
      </c>
      <c r="C57" s="16">
        <f t="shared" si="10"/>
        <v>0.41319444444444448</v>
      </c>
      <c r="D57" s="11"/>
      <c r="E57" s="77">
        <f t="shared" si="11"/>
        <v>0.50000000000000011</v>
      </c>
      <c r="F57" s="78"/>
      <c r="G57" s="21">
        <f t="shared" si="12"/>
        <v>0.51041666666666674</v>
      </c>
      <c r="H57" s="11">
        <v>17</v>
      </c>
      <c r="I57" s="16">
        <f t="shared" si="13"/>
        <v>0.59722222222222199</v>
      </c>
      <c r="J57" s="16">
        <f t="shared" si="14"/>
        <v>0.60763888888888862</v>
      </c>
      <c r="K57" s="11">
        <v>24</v>
      </c>
      <c r="L57" s="12">
        <f t="shared" si="15"/>
        <v>0.69444444444444386</v>
      </c>
      <c r="M57" s="12">
        <f t="shared" si="16"/>
        <v>0.70486111111111049</v>
      </c>
    </row>
    <row r="58" spans="1:13" x14ac:dyDescent="0.25">
      <c r="A58" s="11">
        <v>7</v>
      </c>
      <c r="B58" s="16">
        <f t="shared" si="9"/>
        <v>0.41666666666666669</v>
      </c>
      <c r="C58" s="16">
        <f t="shared" si="10"/>
        <v>0.42708333333333337</v>
      </c>
      <c r="D58" s="11"/>
      <c r="E58" s="77">
        <f t="shared" si="11"/>
        <v>0.51388888888888895</v>
      </c>
      <c r="F58" s="78"/>
      <c r="G58" s="21">
        <f t="shared" si="12"/>
        <v>0.52430555555555558</v>
      </c>
      <c r="H58" s="11">
        <v>18</v>
      </c>
      <c r="I58" s="12">
        <f t="shared" si="13"/>
        <v>0.61111111111111083</v>
      </c>
      <c r="J58" s="12">
        <f t="shared" si="14"/>
        <v>0.62152777777777746</v>
      </c>
      <c r="K58" s="11">
        <v>25</v>
      </c>
      <c r="L58" s="12">
        <f t="shared" si="15"/>
        <v>0.7083333333333327</v>
      </c>
      <c r="M58" s="12">
        <f t="shared" si="16"/>
        <v>0.71874999999999933</v>
      </c>
    </row>
    <row r="61" spans="1:13" ht="15.75" thickBot="1" x14ac:dyDescent="0.3"/>
    <row r="62" spans="1:13" x14ac:dyDescent="0.25">
      <c r="A62" s="94" t="s">
        <v>20</v>
      </c>
      <c r="B62" s="95"/>
      <c r="C62" s="95"/>
      <c r="D62" s="96"/>
      <c r="E62" s="95" t="s">
        <v>21</v>
      </c>
      <c r="F62" s="95"/>
      <c r="G62" s="95"/>
      <c r="H62" s="95"/>
      <c r="I62" s="95"/>
      <c r="J62" s="96"/>
    </row>
    <row r="63" spans="1:13" ht="15.75" thickBot="1" x14ac:dyDescent="0.3">
      <c r="A63" s="97"/>
      <c r="B63" s="98"/>
      <c r="C63" s="98"/>
      <c r="D63" s="99"/>
      <c r="E63" s="98"/>
      <c r="F63" s="98"/>
      <c r="G63" s="98"/>
      <c r="H63" s="98"/>
      <c r="I63" s="98"/>
      <c r="J63" s="99"/>
    </row>
    <row r="64" spans="1:13" ht="18.75" x14ac:dyDescent="0.25">
      <c r="A64" s="87" t="s">
        <v>0</v>
      </c>
      <c r="B64" s="87"/>
      <c r="C64" s="100" t="s">
        <v>58</v>
      </c>
      <c r="D64" s="100"/>
      <c r="E64" s="100"/>
      <c r="F64" s="100"/>
      <c r="G64" s="100"/>
      <c r="H64" s="1" t="s">
        <v>1</v>
      </c>
      <c r="I64" s="101">
        <v>45474</v>
      </c>
      <c r="J64" s="102"/>
    </row>
    <row r="65" spans="1:10" x14ac:dyDescent="0.25">
      <c r="A65" s="87" t="s">
        <v>2</v>
      </c>
      <c r="B65" s="87"/>
      <c r="C65" s="88" t="s">
        <v>59</v>
      </c>
      <c r="D65" s="88"/>
      <c r="E65" s="88"/>
      <c r="F65" s="88"/>
      <c r="G65" s="88"/>
      <c r="H65" s="1" t="s">
        <v>3</v>
      </c>
      <c r="I65" s="89" t="s">
        <v>41</v>
      </c>
      <c r="J65" s="89"/>
    </row>
    <row r="66" spans="1:10" x14ac:dyDescent="0.25">
      <c r="A66" s="2"/>
      <c r="B66" s="2"/>
      <c r="C66" s="2"/>
      <c r="D66" s="2"/>
      <c r="E66" s="2"/>
      <c r="F66" s="2"/>
      <c r="G66" s="2"/>
      <c r="I66" s="90" t="s">
        <v>49</v>
      </c>
      <c r="J66" s="90"/>
    </row>
    <row r="67" spans="1:10" ht="18.75" x14ac:dyDescent="0.3">
      <c r="A67" s="91" t="s">
        <v>4</v>
      </c>
      <c r="B67" s="91"/>
      <c r="C67" s="3" t="s">
        <v>5</v>
      </c>
      <c r="D67" s="14" t="s">
        <v>6</v>
      </c>
      <c r="E67" s="92" t="s">
        <v>7</v>
      </c>
      <c r="F67" s="4">
        <f>ROUNDDOWN(D93/400,0)</f>
        <v>22</v>
      </c>
      <c r="G67" s="5" t="s">
        <v>8</v>
      </c>
      <c r="H67" s="6">
        <f>D93-(F67*400)</f>
        <v>49.270000000000437</v>
      </c>
      <c r="I67" s="7" t="s">
        <v>9</v>
      </c>
    </row>
    <row r="68" spans="1:10" ht="16.5" thickBot="1" x14ac:dyDescent="0.3">
      <c r="A68" s="26" t="s">
        <v>23</v>
      </c>
      <c r="B68" s="29"/>
      <c r="C68" s="48"/>
      <c r="D68" s="20"/>
      <c r="E68" s="92"/>
      <c r="F68" s="91" t="s">
        <v>4</v>
      </c>
      <c r="G68" s="91"/>
      <c r="H68" s="3" t="s">
        <v>5</v>
      </c>
      <c r="I68" s="14" t="s">
        <v>6</v>
      </c>
      <c r="J68" s="14" t="s">
        <v>6</v>
      </c>
    </row>
    <row r="69" spans="1:10" ht="15.75" x14ac:dyDescent="0.25">
      <c r="A69" s="26" t="s">
        <v>42</v>
      </c>
      <c r="B69" s="29"/>
      <c r="C69" s="48"/>
      <c r="D69" s="20"/>
      <c r="E69" s="92"/>
      <c r="F69" s="26" t="s">
        <v>23</v>
      </c>
      <c r="G69" s="33"/>
      <c r="H69" s="30"/>
      <c r="I69" s="35"/>
      <c r="J69" s="35"/>
    </row>
    <row r="70" spans="1:10" ht="15.75" x14ac:dyDescent="0.25">
      <c r="A70" s="27" t="s">
        <v>24</v>
      </c>
      <c r="B70" s="29"/>
      <c r="C70" s="38"/>
      <c r="D70" s="20"/>
      <c r="E70" s="92"/>
      <c r="F70" s="26" t="s">
        <v>42</v>
      </c>
      <c r="G70" s="33"/>
      <c r="H70" s="39"/>
      <c r="I70" s="35"/>
      <c r="J70" s="35"/>
    </row>
    <row r="71" spans="1:10" ht="15.75" x14ac:dyDescent="0.25">
      <c r="A71" s="27" t="s">
        <v>25</v>
      </c>
      <c r="B71" s="29"/>
      <c r="C71" s="38">
        <v>0.2727</v>
      </c>
      <c r="D71" s="20">
        <f>C71*$D$32</f>
        <v>4126.1582520000002</v>
      </c>
      <c r="E71" s="92"/>
      <c r="F71" s="27" t="s">
        <v>24</v>
      </c>
      <c r="G71" s="33"/>
      <c r="H71" s="31"/>
      <c r="I71" s="35"/>
      <c r="J71" s="35"/>
    </row>
    <row r="72" spans="1:10" ht="15.75" x14ac:dyDescent="0.25">
      <c r="A72" s="27" t="s">
        <v>47</v>
      </c>
      <c r="B72" s="29"/>
      <c r="C72" s="38">
        <v>0.1047</v>
      </c>
      <c r="D72" s="20">
        <f t="shared" ref="D72:D88" si="17">C72*$D$32</f>
        <v>1584.190572</v>
      </c>
      <c r="E72" s="92"/>
      <c r="F72" s="27" t="s">
        <v>25</v>
      </c>
      <c r="G72" s="33"/>
      <c r="H72" s="31">
        <v>0.3291</v>
      </c>
      <c r="I72" s="35">
        <f t="shared" ref="I72:I90" si="18">H72*$I$33</f>
        <v>131.64000000000001</v>
      </c>
      <c r="J72" s="35">
        <f t="shared" ref="J72:J90" si="19">H72*$J$33</f>
        <v>108.85311600000007</v>
      </c>
    </row>
    <row r="73" spans="1:10" ht="15.75" x14ac:dyDescent="0.25">
      <c r="A73" s="27" t="s">
        <v>46</v>
      </c>
      <c r="B73" s="29"/>
      <c r="C73" s="38"/>
      <c r="D73" s="20"/>
      <c r="E73" s="92"/>
      <c r="F73" s="27" t="s">
        <v>47</v>
      </c>
      <c r="G73" s="33"/>
      <c r="H73" s="31">
        <v>0.1404</v>
      </c>
      <c r="I73" s="35">
        <f t="shared" si="18"/>
        <v>56.16</v>
      </c>
      <c r="J73" s="35">
        <f t="shared" si="19"/>
        <v>46.43870400000003</v>
      </c>
    </row>
    <row r="74" spans="1:10" ht="15.75" x14ac:dyDescent="0.25">
      <c r="A74" s="27" t="s">
        <v>26</v>
      </c>
      <c r="B74" s="29"/>
      <c r="C74" s="38"/>
      <c r="D74" s="20"/>
      <c r="E74" s="92"/>
      <c r="F74" s="27" t="s">
        <v>46</v>
      </c>
      <c r="G74" s="33"/>
      <c r="H74" s="31"/>
      <c r="I74" s="35"/>
      <c r="J74" s="35"/>
    </row>
    <row r="75" spans="1:10" ht="15.75" x14ac:dyDescent="0.25">
      <c r="A75" s="27" t="s">
        <v>43</v>
      </c>
      <c r="B75" s="29"/>
      <c r="C75" s="38"/>
      <c r="D75" s="20"/>
      <c r="E75" s="92"/>
      <c r="F75" s="27" t="s">
        <v>26</v>
      </c>
      <c r="G75" s="33"/>
      <c r="H75" s="31">
        <v>1.7500000000000002E-2</v>
      </c>
      <c r="I75" s="35">
        <f t="shared" si="18"/>
        <v>7.0000000000000009</v>
      </c>
      <c r="J75" s="35">
        <f t="shared" si="19"/>
        <v>5.788300000000004</v>
      </c>
    </row>
    <row r="76" spans="1:10" ht="15.75" x14ac:dyDescent="0.25">
      <c r="A76" s="27" t="s">
        <v>19</v>
      </c>
      <c r="B76" s="29"/>
      <c r="C76" s="38"/>
      <c r="D76" s="20"/>
      <c r="E76" s="92"/>
      <c r="F76" s="27" t="s">
        <v>43</v>
      </c>
      <c r="G76" s="33"/>
      <c r="H76" s="31"/>
      <c r="I76" s="35"/>
      <c r="J76" s="35"/>
    </row>
    <row r="77" spans="1:10" ht="15.75" x14ac:dyDescent="0.25">
      <c r="A77" s="27" t="s">
        <v>27</v>
      </c>
      <c r="B77" s="29"/>
      <c r="C77" s="38"/>
      <c r="D77" s="20"/>
      <c r="E77" s="92"/>
      <c r="F77" s="27" t="s">
        <v>19</v>
      </c>
      <c r="G77" s="33"/>
      <c r="H77" s="31"/>
      <c r="I77" s="35"/>
      <c r="J77" s="35"/>
    </row>
    <row r="78" spans="1:10" ht="15.75" x14ac:dyDescent="0.25">
      <c r="A78" s="27" t="s">
        <v>44</v>
      </c>
      <c r="B78" s="29"/>
      <c r="C78" s="38"/>
      <c r="D78" s="20"/>
      <c r="E78" s="92"/>
      <c r="F78" s="27" t="s">
        <v>27</v>
      </c>
      <c r="G78" s="33"/>
      <c r="H78" s="31"/>
      <c r="I78" s="35"/>
      <c r="J78" s="35"/>
    </row>
    <row r="79" spans="1:10" ht="15.75" x14ac:dyDescent="0.25">
      <c r="A79" s="27" t="s">
        <v>28</v>
      </c>
      <c r="B79" s="29"/>
      <c r="C79" s="38">
        <v>0.58179999999999998</v>
      </c>
      <c r="D79" s="20">
        <f t="shared" si="17"/>
        <v>8803.0761679999996</v>
      </c>
      <c r="E79" s="92"/>
      <c r="F79" s="27" t="s">
        <v>44</v>
      </c>
      <c r="G79" s="33"/>
      <c r="H79" s="31">
        <v>0.43859999999999999</v>
      </c>
      <c r="I79" s="35">
        <f t="shared" si="18"/>
        <v>175.44</v>
      </c>
      <c r="J79" s="35">
        <f t="shared" si="19"/>
        <v>145.07133600000009</v>
      </c>
    </row>
    <row r="80" spans="1:10" ht="15.75" x14ac:dyDescent="0.25">
      <c r="A80" s="27" t="s">
        <v>45</v>
      </c>
      <c r="B80" s="29"/>
      <c r="C80" s="38"/>
      <c r="D80" s="20"/>
      <c r="E80" s="92"/>
      <c r="F80" s="27" t="s">
        <v>28</v>
      </c>
      <c r="G80" s="33"/>
      <c r="H80" s="31"/>
      <c r="I80" s="35"/>
      <c r="J80" s="35"/>
    </row>
    <row r="81" spans="1:10" ht="15.75" x14ac:dyDescent="0.25">
      <c r="A81" s="27" t="s">
        <v>10</v>
      </c>
      <c r="B81" s="29"/>
      <c r="C81" s="38"/>
      <c r="D81" s="20"/>
      <c r="E81" s="92"/>
      <c r="F81" s="27" t="s">
        <v>45</v>
      </c>
      <c r="G81" s="33"/>
      <c r="H81" s="31"/>
      <c r="I81" s="35"/>
      <c r="J81" s="35"/>
    </row>
    <row r="82" spans="1:10" ht="15.75" x14ac:dyDescent="0.25">
      <c r="A82" s="27" t="s">
        <v>29</v>
      </c>
      <c r="B82" s="29"/>
      <c r="C82" s="38"/>
      <c r="D82" s="20"/>
      <c r="E82" s="92"/>
      <c r="F82" s="27" t="s">
        <v>10</v>
      </c>
      <c r="G82" s="33"/>
      <c r="H82" s="31"/>
      <c r="I82" s="35"/>
      <c r="J82" s="35"/>
    </row>
    <row r="83" spans="1:10" ht="15.75" x14ac:dyDescent="0.25">
      <c r="A83" s="27" t="s">
        <v>17</v>
      </c>
      <c r="B83" s="29"/>
      <c r="C83" s="38"/>
      <c r="D83" s="20"/>
      <c r="E83" s="92"/>
      <c r="F83" s="27" t="s">
        <v>29</v>
      </c>
      <c r="G83" s="33"/>
      <c r="H83" s="31"/>
      <c r="I83" s="35"/>
      <c r="J83" s="35"/>
    </row>
    <row r="84" spans="1:10" ht="15.75" x14ac:dyDescent="0.25">
      <c r="A84" s="27" t="s">
        <v>30</v>
      </c>
      <c r="B84" s="29"/>
      <c r="C84" s="38"/>
      <c r="D84" s="20"/>
      <c r="E84" s="92"/>
      <c r="F84" s="27" t="s">
        <v>17</v>
      </c>
      <c r="G84" s="33"/>
      <c r="H84" s="31"/>
      <c r="I84" s="35"/>
      <c r="J84" s="35"/>
    </row>
    <row r="85" spans="1:10" ht="15.75" x14ac:dyDescent="0.25">
      <c r="A85" s="27" t="s">
        <v>31</v>
      </c>
      <c r="B85" s="29"/>
      <c r="C85" s="38"/>
      <c r="D85" s="20"/>
      <c r="E85" s="92"/>
      <c r="F85" s="27" t="s">
        <v>30</v>
      </c>
      <c r="G85" s="33"/>
      <c r="H85" s="31"/>
      <c r="I85" s="35"/>
      <c r="J85" s="35"/>
    </row>
    <row r="86" spans="1:10" ht="15.75" x14ac:dyDescent="0.25">
      <c r="A86" s="27" t="s">
        <v>16</v>
      </c>
      <c r="B86" s="29"/>
      <c r="C86" s="38"/>
      <c r="D86" s="20"/>
      <c r="E86" s="92"/>
      <c r="F86" s="27" t="s">
        <v>31</v>
      </c>
      <c r="G86" s="33"/>
      <c r="H86" s="31"/>
      <c r="I86" s="35"/>
      <c r="J86" s="35"/>
    </row>
    <row r="87" spans="1:10" ht="15.75" x14ac:dyDescent="0.25">
      <c r="A87" s="27" t="s">
        <v>32</v>
      </c>
      <c r="B87" s="23"/>
      <c r="C87" s="38">
        <v>3.8600000000000002E-2</v>
      </c>
      <c r="D87" s="20">
        <f t="shared" si="17"/>
        <v>584.04733600000009</v>
      </c>
      <c r="E87" s="92"/>
      <c r="F87" s="27" t="s">
        <v>16</v>
      </c>
      <c r="G87" s="24"/>
      <c r="H87" s="31"/>
      <c r="I87" s="35"/>
      <c r="J87" s="35"/>
    </row>
    <row r="88" spans="1:10" ht="15.75" x14ac:dyDescent="0.25">
      <c r="A88" s="27" t="s">
        <v>33</v>
      </c>
      <c r="B88" s="23"/>
      <c r="C88" s="38">
        <v>2.2000000000000001E-3</v>
      </c>
      <c r="D88" s="20">
        <f t="shared" si="17"/>
        <v>33.287672000000001</v>
      </c>
      <c r="E88" s="92"/>
      <c r="F88" s="27" t="s">
        <v>32</v>
      </c>
      <c r="G88" s="24"/>
      <c r="H88" s="31">
        <v>3.7199999999999997E-2</v>
      </c>
      <c r="I88" s="35">
        <f t="shared" si="18"/>
        <v>14.879999999999999</v>
      </c>
      <c r="J88" s="35">
        <f t="shared" si="19"/>
        <v>12.304272000000006</v>
      </c>
    </row>
    <row r="89" spans="1:10" ht="15.75" x14ac:dyDescent="0.25">
      <c r="A89" s="27" t="s">
        <v>34</v>
      </c>
      <c r="B89" s="23"/>
      <c r="C89" s="38"/>
      <c r="D89" s="20"/>
      <c r="E89" s="92"/>
      <c r="F89" s="27" t="s">
        <v>33</v>
      </c>
      <c r="G89" s="24"/>
      <c r="H89" s="31">
        <v>2.0999999999999999E-3</v>
      </c>
      <c r="I89" s="35">
        <f t="shared" si="18"/>
        <v>0.84</v>
      </c>
      <c r="J89" s="35">
        <f t="shared" si="19"/>
        <v>0.69459600000000044</v>
      </c>
    </row>
    <row r="90" spans="1:10" ht="15.75" x14ac:dyDescent="0.25">
      <c r="A90" s="27" t="s">
        <v>22</v>
      </c>
      <c r="B90" s="23"/>
      <c r="C90" s="38"/>
      <c r="D90" s="20"/>
      <c r="E90" s="92"/>
      <c r="F90" s="27" t="s">
        <v>34</v>
      </c>
      <c r="G90" s="24"/>
      <c r="H90" s="31">
        <v>3.5099999999999999E-2</v>
      </c>
      <c r="I90" s="35">
        <f t="shared" si="18"/>
        <v>14.04</v>
      </c>
      <c r="J90" s="35">
        <f t="shared" si="19"/>
        <v>11.609676000000007</v>
      </c>
    </row>
    <row r="91" spans="1:10" ht="15.75" x14ac:dyDescent="0.25">
      <c r="A91" s="27" t="s">
        <v>35</v>
      </c>
      <c r="B91" s="29"/>
      <c r="C91" s="38"/>
      <c r="D91" s="20"/>
      <c r="E91" s="92"/>
      <c r="F91" s="27" t="s">
        <v>22</v>
      </c>
      <c r="G91" s="33"/>
      <c r="H91" s="31"/>
      <c r="I91" s="35"/>
      <c r="J91" s="35"/>
    </row>
    <row r="92" spans="1:10" ht="16.5" thickBot="1" x14ac:dyDescent="0.3">
      <c r="A92" s="28" t="s">
        <v>36</v>
      </c>
      <c r="B92" s="29"/>
      <c r="C92" s="49"/>
      <c r="D92" s="20"/>
      <c r="E92" s="92"/>
      <c r="F92" s="27" t="s">
        <v>35</v>
      </c>
      <c r="G92" s="33"/>
      <c r="H92" s="31"/>
      <c r="I92" s="35"/>
      <c r="J92" s="35"/>
    </row>
    <row r="93" spans="1:10" ht="16.5" thickBot="1" x14ac:dyDescent="0.3">
      <c r="A93" s="93" t="s">
        <v>11</v>
      </c>
      <c r="B93" s="93"/>
      <c r="C93" s="8">
        <f>SUM(C68:C92)</f>
        <v>1</v>
      </c>
      <c r="D93" s="15">
        <v>8849.27</v>
      </c>
      <c r="E93" s="92"/>
      <c r="F93" s="28" t="s">
        <v>36</v>
      </c>
      <c r="G93" s="34"/>
      <c r="H93" s="32"/>
      <c r="I93" s="35"/>
      <c r="J93" s="35"/>
    </row>
    <row r="94" spans="1:10" x14ac:dyDescent="0.25">
      <c r="A94" s="2"/>
      <c r="B94" s="2"/>
      <c r="C94" s="2"/>
      <c r="D94" s="2"/>
      <c r="E94" s="2"/>
      <c r="F94" s="81" t="s">
        <v>11</v>
      </c>
      <c r="G94" s="81"/>
      <c r="H94" s="17">
        <f>SUM(H69:H93)</f>
        <v>1</v>
      </c>
      <c r="I94" s="13">
        <v>400</v>
      </c>
      <c r="J94" s="13">
        <f>+H67</f>
        <v>49.270000000000437</v>
      </c>
    </row>
    <row r="95" spans="1:10" ht="23.25" x14ac:dyDescent="0.35">
      <c r="A95" s="82"/>
      <c r="B95" s="83"/>
      <c r="C95" s="2"/>
      <c r="D95" s="2"/>
      <c r="E95" s="2"/>
      <c r="F95" s="18"/>
      <c r="G95" s="18"/>
      <c r="H95" s="19"/>
      <c r="I95" s="18"/>
      <c r="J95" s="18"/>
    </row>
    <row r="96" spans="1:10" x14ac:dyDescent="0.25">
      <c r="A96" s="84" t="s">
        <v>18</v>
      </c>
      <c r="B96" s="84"/>
      <c r="C96" s="84"/>
      <c r="D96" s="84"/>
      <c r="E96" s="2"/>
      <c r="F96" s="2"/>
      <c r="G96" s="2"/>
    </row>
    <row r="97" spans="1:13" x14ac:dyDescent="0.25">
      <c r="A97" s="9" t="s">
        <v>12</v>
      </c>
      <c r="B97" s="9" t="s">
        <v>13</v>
      </c>
      <c r="C97" s="9" t="s">
        <v>14</v>
      </c>
      <c r="D97" s="10" t="s">
        <v>12</v>
      </c>
      <c r="E97" s="85" t="s">
        <v>13</v>
      </c>
      <c r="F97" s="86"/>
      <c r="G97" s="10" t="s">
        <v>14</v>
      </c>
      <c r="H97" s="9" t="s">
        <v>12</v>
      </c>
      <c r="I97" s="10" t="s">
        <v>13</v>
      </c>
      <c r="J97" s="10" t="s">
        <v>14</v>
      </c>
      <c r="K97" s="9" t="s">
        <v>12</v>
      </c>
      <c r="L97" s="10" t="s">
        <v>13</v>
      </c>
      <c r="M97" s="10" t="s">
        <v>14</v>
      </c>
    </row>
    <row r="98" spans="1:13" x14ac:dyDescent="0.25">
      <c r="A98" s="11">
        <v>1</v>
      </c>
      <c r="B98" s="16">
        <v>0.33333333333333331</v>
      </c>
      <c r="C98" s="16">
        <f>+B98+15/1440</f>
        <v>0.34375</v>
      </c>
      <c r="D98" s="11">
        <v>8</v>
      </c>
      <c r="E98" s="79">
        <f>+C104+5/1440</f>
        <v>0.43055555555555558</v>
      </c>
      <c r="F98" s="80"/>
      <c r="G98" s="16">
        <f>+E98+15/1440</f>
        <v>0.44097222222222227</v>
      </c>
      <c r="H98" s="11"/>
      <c r="I98" s="12">
        <f>G104+5/1440</f>
        <v>0.52777777777777779</v>
      </c>
      <c r="J98" s="12">
        <f>I98+15/1440</f>
        <v>0.53819444444444442</v>
      </c>
      <c r="K98" s="11">
        <v>19</v>
      </c>
      <c r="L98" s="16">
        <f>J104+5/1440</f>
        <v>0.62499999999999967</v>
      </c>
      <c r="M98" s="16">
        <f>L98+15/1440</f>
        <v>0.6354166666666663</v>
      </c>
    </row>
    <row r="99" spans="1:13" x14ac:dyDescent="0.25">
      <c r="A99" s="11">
        <v>2</v>
      </c>
      <c r="B99" s="16">
        <f t="shared" ref="B99:B104" si="20">+C98+5/1440</f>
        <v>0.34722222222222221</v>
      </c>
      <c r="C99" s="16">
        <f>+B99+15/1440</f>
        <v>0.3576388888888889</v>
      </c>
      <c r="D99" s="11">
        <v>9</v>
      </c>
      <c r="E99" s="79">
        <f>+G98+5/1440</f>
        <v>0.44444444444444448</v>
      </c>
      <c r="F99" s="80"/>
      <c r="G99" s="16">
        <f>+E99+15/1440</f>
        <v>0.45486111111111116</v>
      </c>
      <c r="H99" s="11">
        <v>13</v>
      </c>
      <c r="I99" s="16">
        <f>J98+5/1440</f>
        <v>0.54166666666666663</v>
      </c>
      <c r="J99" s="16">
        <f>I99+15/1440</f>
        <v>0.55208333333333326</v>
      </c>
      <c r="K99" s="11">
        <v>20</v>
      </c>
      <c r="L99" s="16">
        <f>M98+5/1440</f>
        <v>0.63888888888888851</v>
      </c>
      <c r="M99" s="16">
        <f>L99+15/1440</f>
        <v>0.64930555555555514</v>
      </c>
    </row>
    <row r="100" spans="1:13" x14ac:dyDescent="0.25">
      <c r="A100" s="11">
        <v>3</v>
      </c>
      <c r="B100" s="16">
        <f t="shared" si="20"/>
        <v>0.3611111111111111</v>
      </c>
      <c r="C100" s="16">
        <f t="shared" ref="C100:C104" si="21">+B100+15/1440</f>
        <v>0.37152777777777779</v>
      </c>
      <c r="D100" s="11">
        <v>10</v>
      </c>
      <c r="E100" s="79">
        <f t="shared" ref="E100:E104" si="22">+G99+5/1440</f>
        <v>0.45833333333333337</v>
      </c>
      <c r="F100" s="80"/>
      <c r="G100" s="16">
        <f t="shared" ref="G100:G104" si="23">+E100+15/1440</f>
        <v>0.46875000000000006</v>
      </c>
      <c r="H100" s="11">
        <v>14</v>
      </c>
      <c r="I100" s="16">
        <f t="shared" ref="I100:I104" si="24">J99+5/1440</f>
        <v>0.55555555555555547</v>
      </c>
      <c r="J100" s="16">
        <f t="shared" ref="J100:J104" si="25">I100+15/1440</f>
        <v>0.5659722222222221</v>
      </c>
      <c r="K100" s="11">
        <v>21</v>
      </c>
      <c r="L100" s="16">
        <f t="shared" ref="L100:L104" si="26">M99+5/1440</f>
        <v>0.65277777777777735</v>
      </c>
      <c r="M100" s="16">
        <f t="shared" ref="M100:M104" si="27">L100+15/1440</f>
        <v>0.66319444444444398</v>
      </c>
    </row>
    <row r="101" spans="1:13" x14ac:dyDescent="0.25">
      <c r="A101" s="11">
        <v>4</v>
      </c>
      <c r="B101" s="16">
        <f t="shared" si="20"/>
        <v>0.375</v>
      </c>
      <c r="C101" s="16">
        <f t="shared" si="21"/>
        <v>0.38541666666666669</v>
      </c>
      <c r="D101" s="11">
        <v>11</v>
      </c>
      <c r="E101" s="79">
        <f t="shared" si="22"/>
        <v>0.47222222222222227</v>
      </c>
      <c r="F101" s="80"/>
      <c r="G101" s="16">
        <f t="shared" si="23"/>
        <v>0.48263888888888895</v>
      </c>
      <c r="H101" s="11">
        <v>15</v>
      </c>
      <c r="I101" s="16">
        <f t="shared" si="24"/>
        <v>0.56944444444444431</v>
      </c>
      <c r="J101" s="16">
        <f t="shared" si="25"/>
        <v>0.57986111111111094</v>
      </c>
      <c r="K101" s="11">
        <v>22</v>
      </c>
      <c r="L101" s="16">
        <f t="shared" si="26"/>
        <v>0.66666666666666619</v>
      </c>
      <c r="M101" s="16">
        <f t="shared" si="27"/>
        <v>0.67708333333333282</v>
      </c>
    </row>
    <row r="102" spans="1:13" x14ac:dyDescent="0.25">
      <c r="A102" s="11">
        <v>5</v>
      </c>
      <c r="B102" s="16">
        <f t="shared" si="20"/>
        <v>0.3888888888888889</v>
      </c>
      <c r="C102" s="16">
        <f t="shared" si="21"/>
        <v>0.39930555555555558</v>
      </c>
      <c r="D102" s="11">
        <v>12</v>
      </c>
      <c r="E102" s="79">
        <f t="shared" si="22"/>
        <v>0.48611111111111116</v>
      </c>
      <c r="F102" s="80"/>
      <c r="G102" s="16">
        <f t="shared" si="23"/>
        <v>0.49652777777777785</v>
      </c>
      <c r="H102" s="11">
        <v>16</v>
      </c>
      <c r="I102" s="16">
        <f t="shared" si="24"/>
        <v>0.58333333333333315</v>
      </c>
      <c r="J102" s="16">
        <f t="shared" si="25"/>
        <v>0.59374999999999978</v>
      </c>
      <c r="K102" s="11">
        <v>23</v>
      </c>
      <c r="L102" s="16">
        <f t="shared" si="26"/>
        <v>0.68055555555555503</v>
      </c>
      <c r="M102" s="16">
        <f t="shared" si="27"/>
        <v>0.69097222222222165</v>
      </c>
    </row>
    <row r="103" spans="1:13" x14ac:dyDescent="0.25">
      <c r="A103" s="11">
        <v>6</v>
      </c>
      <c r="B103" s="16">
        <f t="shared" si="20"/>
        <v>0.40277777777777779</v>
      </c>
      <c r="C103" s="16">
        <f t="shared" si="21"/>
        <v>0.41319444444444448</v>
      </c>
      <c r="D103" s="11"/>
      <c r="E103" s="77">
        <f t="shared" si="22"/>
        <v>0.50000000000000011</v>
      </c>
      <c r="F103" s="78"/>
      <c r="G103" s="21">
        <f t="shared" si="23"/>
        <v>0.51041666666666674</v>
      </c>
      <c r="H103" s="11">
        <v>17</v>
      </c>
      <c r="I103" s="16">
        <f t="shared" si="24"/>
        <v>0.59722222222222199</v>
      </c>
      <c r="J103" s="16">
        <f t="shared" si="25"/>
        <v>0.60763888888888862</v>
      </c>
      <c r="K103" s="11">
        <v>24</v>
      </c>
      <c r="L103" s="12">
        <f t="shared" si="26"/>
        <v>0.69444444444444386</v>
      </c>
      <c r="M103" s="12">
        <f t="shared" si="27"/>
        <v>0.70486111111111049</v>
      </c>
    </row>
    <row r="104" spans="1:13" x14ac:dyDescent="0.25">
      <c r="A104" s="11">
        <v>7</v>
      </c>
      <c r="B104" s="16">
        <f t="shared" si="20"/>
        <v>0.41666666666666669</v>
      </c>
      <c r="C104" s="16">
        <f t="shared" si="21"/>
        <v>0.42708333333333337</v>
      </c>
      <c r="D104" s="11"/>
      <c r="E104" s="77">
        <f t="shared" si="22"/>
        <v>0.51388888888888895</v>
      </c>
      <c r="F104" s="78"/>
      <c r="G104" s="21">
        <f t="shared" si="23"/>
        <v>0.52430555555555558</v>
      </c>
      <c r="H104" s="11">
        <v>18</v>
      </c>
      <c r="I104" s="16">
        <f t="shared" si="24"/>
        <v>0.61111111111111083</v>
      </c>
      <c r="J104" s="16">
        <f t="shared" si="25"/>
        <v>0.62152777777777746</v>
      </c>
      <c r="K104" s="11">
        <v>25</v>
      </c>
      <c r="L104" s="12">
        <f t="shared" si="26"/>
        <v>0.7083333333333327</v>
      </c>
      <c r="M104" s="12">
        <f t="shared" si="27"/>
        <v>0.71874999999999933</v>
      </c>
    </row>
    <row r="105" spans="1:13" x14ac:dyDescent="0.25">
      <c r="H105" s="36"/>
      <c r="I105" s="37"/>
      <c r="J105" s="37"/>
    </row>
    <row r="107" spans="1:13" ht="15.75" thickBot="1" x14ac:dyDescent="0.3"/>
    <row r="108" spans="1:13" x14ac:dyDescent="0.25">
      <c r="A108" s="94" t="s">
        <v>20</v>
      </c>
      <c r="B108" s="95"/>
      <c r="C108" s="95"/>
      <c r="D108" s="96"/>
      <c r="E108" s="95" t="s">
        <v>21</v>
      </c>
      <c r="F108" s="95"/>
      <c r="G108" s="95"/>
      <c r="H108" s="95"/>
      <c r="I108" s="95"/>
      <c r="J108" s="96"/>
    </row>
    <row r="109" spans="1:13" ht="15.75" thickBot="1" x14ac:dyDescent="0.3">
      <c r="A109" s="97"/>
      <c r="B109" s="98"/>
      <c r="C109" s="98"/>
      <c r="D109" s="99"/>
      <c r="E109" s="98"/>
      <c r="F109" s="98"/>
      <c r="G109" s="98"/>
      <c r="H109" s="98"/>
      <c r="I109" s="98"/>
      <c r="J109" s="99"/>
    </row>
    <row r="110" spans="1:13" ht="18.75" x14ac:dyDescent="0.25">
      <c r="A110" s="87" t="s">
        <v>0</v>
      </c>
      <c r="B110" s="87"/>
      <c r="C110" s="100" t="s">
        <v>54</v>
      </c>
      <c r="D110" s="100"/>
      <c r="E110" s="100"/>
      <c r="F110" s="100"/>
      <c r="G110" s="100"/>
      <c r="H110" s="1" t="s">
        <v>1</v>
      </c>
      <c r="I110" s="101">
        <v>45482</v>
      </c>
      <c r="J110" s="102"/>
    </row>
    <row r="111" spans="1:13" ht="29.25" customHeight="1" x14ac:dyDescent="0.25">
      <c r="A111" s="87" t="s">
        <v>2</v>
      </c>
      <c r="B111" s="87"/>
      <c r="C111" s="88" t="s">
        <v>38</v>
      </c>
      <c r="D111" s="88"/>
      <c r="E111" s="88"/>
      <c r="F111" s="88"/>
      <c r="G111" s="88"/>
      <c r="H111" s="1" t="s">
        <v>3</v>
      </c>
      <c r="I111" s="89" t="s">
        <v>37</v>
      </c>
      <c r="J111" s="89"/>
    </row>
    <row r="112" spans="1:13" x14ac:dyDescent="0.25">
      <c r="A112" s="2"/>
      <c r="B112" s="2"/>
      <c r="C112" s="2"/>
      <c r="D112" s="2"/>
      <c r="E112" s="2"/>
      <c r="F112" s="2"/>
      <c r="G112" s="2"/>
      <c r="I112" s="90" t="s">
        <v>15</v>
      </c>
      <c r="J112" s="90"/>
    </row>
    <row r="113" spans="1:10" ht="19.5" thickBot="1" x14ac:dyDescent="0.35">
      <c r="A113" s="91" t="s">
        <v>4</v>
      </c>
      <c r="B113" s="91"/>
      <c r="C113" s="3" t="s">
        <v>5</v>
      </c>
      <c r="D113" s="14" t="s">
        <v>6</v>
      </c>
      <c r="E113" s="92" t="s">
        <v>7</v>
      </c>
      <c r="F113" s="4">
        <f>ROUNDDOWN(D139/400,0)</f>
        <v>5</v>
      </c>
      <c r="G113" s="5" t="s">
        <v>8</v>
      </c>
      <c r="H113" s="6">
        <f>D139-(F113*400)</f>
        <v>344.34000000000015</v>
      </c>
      <c r="I113" s="7" t="s">
        <v>9</v>
      </c>
    </row>
    <row r="114" spans="1:10" ht="16.5" thickBot="1" x14ac:dyDescent="0.3">
      <c r="A114" s="26" t="s">
        <v>23</v>
      </c>
      <c r="B114" s="29"/>
      <c r="C114" s="30"/>
      <c r="D114" s="20"/>
      <c r="E114" s="92"/>
      <c r="F114" s="91" t="s">
        <v>4</v>
      </c>
      <c r="G114" s="91"/>
      <c r="H114" s="3" t="s">
        <v>5</v>
      </c>
      <c r="I114" s="14" t="s">
        <v>6</v>
      </c>
      <c r="J114" s="14" t="s">
        <v>6</v>
      </c>
    </row>
    <row r="115" spans="1:10" ht="15.75" x14ac:dyDescent="0.25">
      <c r="A115" s="26" t="s">
        <v>42</v>
      </c>
      <c r="B115" s="29"/>
      <c r="C115" s="39"/>
      <c r="D115" s="20"/>
      <c r="E115" s="92"/>
      <c r="F115" s="26" t="s">
        <v>23</v>
      </c>
      <c r="G115" s="33"/>
      <c r="H115" s="30"/>
      <c r="I115" s="35"/>
      <c r="J115" s="35"/>
    </row>
    <row r="116" spans="1:10" ht="15.75" x14ac:dyDescent="0.25">
      <c r="A116" s="27" t="s">
        <v>24</v>
      </c>
      <c r="B116" s="29"/>
      <c r="C116" s="31"/>
      <c r="D116" s="20"/>
      <c r="E116" s="92"/>
      <c r="F116" s="26" t="s">
        <v>42</v>
      </c>
      <c r="G116" s="33"/>
      <c r="H116" s="39"/>
      <c r="I116" s="35"/>
      <c r="J116" s="35"/>
    </row>
    <row r="117" spans="1:10" ht="15.75" x14ac:dyDescent="0.25">
      <c r="A117" s="27" t="s">
        <v>25</v>
      </c>
      <c r="B117" s="29"/>
      <c r="C117" s="31">
        <v>0.10829999999999999</v>
      </c>
      <c r="D117" s="20">
        <f>C117*$D$32</f>
        <v>1638.661308</v>
      </c>
      <c r="E117" s="92"/>
      <c r="F117" s="27" t="s">
        <v>24</v>
      </c>
      <c r="G117" s="33"/>
      <c r="H117" s="31"/>
      <c r="I117" s="35"/>
      <c r="J117" s="35"/>
    </row>
    <row r="118" spans="1:10" ht="15.75" x14ac:dyDescent="0.25">
      <c r="A118" s="27" t="s">
        <v>47</v>
      </c>
      <c r="B118" s="29"/>
      <c r="C118" s="31">
        <v>0.36359999999999998</v>
      </c>
      <c r="D118" s="20">
        <f t="shared" ref="D118:D134" si="28">C118*$D$32</f>
        <v>5501.5443359999999</v>
      </c>
      <c r="E118" s="92"/>
      <c r="F118" s="27" t="s">
        <v>25</v>
      </c>
      <c r="G118" s="33"/>
      <c r="H118" s="31">
        <v>0.10829999999999999</v>
      </c>
      <c r="I118" s="35">
        <f t="shared" ref="I118:I135" si="29">H118*$I$33</f>
        <v>43.32</v>
      </c>
      <c r="J118" s="35">
        <f t="shared" ref="J118:J135" si="30">H118*$J$33</f>
        <v>35.821308000000023</v>
      </c>
    </row>
    <row r="119" spans="1:10" ht="15.75" x14ac:dyDescent="0.25">
      <c r="A119" s="27" t="s">
        <v>46</v>
      </c>
      <c r="B119" s="29"/>
      <c r="C119" s="31"/>
      <c r="D119" s="20"/>
      <c r="E119" s="92"/>
      <c r="F119" s="27" t="s">
        <v>47</v>
      </c>
      <c r="G119" s="33"/>
      <c r="H119" s="31">
        <v>0.36359999999999998</v>
      </c>
      <c r="I119" s="35">
        <f t="shared" si="29"/>
        <v>145.44</v>
      </c>
      <c r="J119" s="35">
        <f t="shared" si="30"/>
        <v>120.26433600000007</v>
      </c>
    </row>
    <row r="120" spans="1:10" ht="15.75" x14ac:dyDescent="0.25">
      <c r="A120" s="27" t="s">
        <v>26</v>
      </c>
      <c r="B120" s="29"/>
      <c r="C120" s="31">
        <v>0.11360000000000001</v>
      </c>
      <c r="D120" s="20">
        <f t="shared" si="28"/>
        <v>1718.8543360000001</v>
      </c>
      <c r="E120" s="92"/>
      <c r="F120" s="27" t="s">
        <v>46</v>
      </c>
      <c r="G120" s="33"/>
      <c r="H120" s="31"/>
      <c r="I120" s="35"/>
      <c r="J120" s="35"/>
    </row>
    <row r="121" spans="1:10" ht="15.75" x14ac:dyDescent="0.25">
      <c r="A121" s="27" t="s">
        <v>43</v>
      </c>
      <c r="B121" s="29"/>
      <c r="C121" s="31"/>
      <c r="D121" s="20"/>
      <c r="E121" s="92"/>
      <c r="F121" s="27" t="s">
        <v>26</v>
      </c>
      <c r="G121" s="33"/>
      <c r="H121" s="31">
        <v>0.11360000000000001</v>
      </c>
      <c r="I121" s="35">
        <f t="shared" si="29"/>
        <v>45.440000000000005</v>
      </c>
      <c r="J121" s="35">
        <f t="shared" si="30"/>
        <v>37.574336000000024</v>
      </c>
    </row>
    <row r="122" spans="1:10" ht="15.75" x14ac:dyDescent="0.25">
      <c r="A122" s="27" t="s">
        <v>19</v>
      </c>
      <c r="B122" s="29"/>
      <c r="C122" s="31">
        <v>0.11360000000000001</v>
      </c>
      <c r="D122" s="20">
        <f t="shared" si="28"/>
        <v>1718.8543360000001</v>
      </c>
      <c r="E122" s="92"/>
      <c r="F122" s="27" t="s">
        <v>43</v>
      </c>
      <c r="G122" s="33"/>
      <c r="H122" s="31"/>
      <c r="I122" s="35"/>
      <c r="J122" s="35"/>
    </row>
    <row r="123" spans="1:10" ht="15.75" x14ac:dyDescent="0.25">
      <c r="A123" s="27" t="s">
        <v>27</v>
      </c>
      <c r="B123" s="29"/>
      <c r="C123" s="31"/>
      <c r="D123" s="20"/>
      <c r="E123" s="92"/>
      <c r="F123" s="27" t="s">
        <v>19</v>
      </c>
      <c r="G123" s="33"/>
      <c r="H123" s="31">
        <v>0.11360000000000001</v>
      </c>
      <c r="I123" s="35">
        <f t="shared" si="29"/>
        <v>45.440000000000005</v>
      </c>
      <c r="J123" s="35">
        <f t="shared" si="30"/>
        <v>37.574336000000024</v>
      </c>
    </row>
    <row r="124" spans="1:10" ht="15.75" x14ac:dyDescent="0.25">
      <c r="A124" s="27" t="s">
        <v>44</v>
      </c>
      <c r="B124" s="29"/>
      <c r="C124" s="31"/>
      <c r="D124" s="20"/>
      <c r="E124" s="92"/>
      <c r="F124" s="27" t="s">
        <v>27</v>
      </c>
      <c r="G124" s="33"/>
      <c r="H124" s="31"/>
      <c r="I124" s="35"/>
      <c r="J124" s="35"/>
    </row>
    <row r="125" spans="1:10" ht="15.75" x14ac:dyDescent="0.25">
      <c r="A125" s="27" t="s">
        <v>28</v>
      </c>
      <c r="B125" s="29"/>
      <c r="C125" s="31">
        <v>0.18179999999999999</v>
      </c>
      <c r="D125" s="20">
        <f t="shared" si="28"/>
        <v>2750.772168</v>
      </c>
      <c r="E125" s="92"/>
      <c r="F125" s="27" t="s">
        <v>44</v>
      </c>
      <c r="G125" s="33"/>
      <c r="H125" s="31"/>
      <c r="I125" s="35"/>
      <c r="J125" s="35"/>
    </row>
    <row r="126" spans="1:10" ht="15.75" x14ac:dyDescent="0.25">
      <c r="A126" s="27" t="s">
        <v>45</v>
      </c>
      <c r="B126" s="29"/>
      <c r="C126" s="31"/>
      <c r="D126" s="20"/>
      <c r="E126" s="92"/>
      <c r="F126" s="27" t="s">
        <v>28</v>
      </c>
      <c r="G126" s="33"/>
      <c r="H126" s="31">
        <v>0.18179999999999999</v>
      </c>
      <c r="I126" s="35">
        <f t="shared" si="29"/>
        <v>72.72</v>
      </c>
      <c r="J126" s="35">
        <f t="shared" si="30"/>
        <v>60.132168000000036</v>
      </c>
    </row>
    <row r="127" spans="1:10" ht="15.75" x14ac:dyDescent="0.25">
      <c r="A127" s="27" t="s">
        <v>10</v>
      </c>
      <c r="B127" s="29"/>
      <c r="C127" s="31"/>
      <c r="D127" s="20"/>
      <c r="E127" s="92"/>
      <c r="F127" s="27" t="s">
        <v>45</v>
      </c>
      <c r="G127" s="33"/>
      <c r="H127" s="31"/>
      <c r="I127" s="35"/>
      <c r="J127" s="35"/>
    </row>
    <row r="128" spans="1:10" ht="15.75" x14ac:dyDescent="0.25">
      <c r="A128" s="27" t="s">
        <v>29</v>
      </c>
      <c r="B128" s="29"/>
      <c r="C128" s="31">
        <v>6.8199999999999997E-2</v>
      </c>
      <c r="D128" s="20">
        <f t="shared" si="28"/>
        <v>1031.9178319999999</v>
      </c>
      <c r="E128" s="92"/>
      <c r="F128" s="27" t="s">
        <v>10</v>
      </c>
      <c r="G128" s="33"/>
      <c r="H128" s="31"/>
      <c r="I128" s="35"/>
      <c r="J128" s="35"/>
    </row>
    <row r="129" spans="1:13" ht="15.75" x14ac:dyDescent="0.25">
      <c r="A129" s="27" t="s">
        <v>17</v>
      </c>
      <c r="B129" s="29"/>
      <c r="C129" s="31"/>
      <c r="D129" s="20"/>
      <c r="E129" s="92"/>
      <c r="F129" s="27" t="s">
        <v>29</v>
      </c>
      <c r="G129" s="33"/>
      <c r="H129" s="31">
        <v>6.8199999999999997E-2</v>
      </c>
      <c r="I129" s="35">
        <f t="shared" si="29"/>
        <v>27.279999999999998</v>
      </c>
      <c r="J129" s="35">
        <f t="shared" si="30"/>
        <v>22.557832000000015</v>
      </c>
    </row>
    <row r="130" spans="1:13" ht="15.75" x14ac:dyDescent="0.25">
      <c r="A130" s="27" t="s">
        <v>30</v>
      </c>
      <c r="B130" s="29"/>
      <c r="C130" s="31"/>
      <c r="D130" s="20"/>
      <c r="E130" s="92"/>
      <c r="F130" s="27" t="s">
        <v>17</v>
      </c>
      <c r="G130" s="33"/>
      <c r="H130" s="31"/>
      <c r="I130" s="35"/>
      <c r="J130" s="35"/>
    </row>
    <row r="131" spans="1:13" ht="15.75" x14ac:dyDescent="0.25">
      <c r="A131" s="27" t="s">
        <v>31</v>
      </c>
      <c r="B131" s="29"/>
      <c r="C131" s="31"/>
      <c r="D131" s="20"/>
      <c r="E131" s="92"/>
      <c r="F131" s="27" t="s">
        <v>30</v>
      </c>
      <c r="G131" s="33"/>
      <c r="H131" s="31"/>
      <c r="I131" s="35"/>
      <c r="J131" s="35"/>
    </row>
    <row r="132" spans="1:13" ht="15.75" x14ac:dyDescent="0.25">
      <c r="A132" s="27" t="s">
        <v>16</v>
      </c>
      <c r="B132" s="29"/>
      <c r="C132" s="31"/>
      <c r="D132" s="20"/>
      <c r="E132" s="92"/>
      <c r="F132" s="27" t="s">
        <v>31</v>
      </c>
      <c r="G132" s="33"/>
      <c r="H132" s="31"/>
      <c r="I132" s="35"/>
      <c r="J132" s="35"/>
    </row>
    <row r="133" spans="1:13" ht="15.75" x14ac:dyDescent="0.25">
      <c r="A133" s="27" t="s">
        <v>32</v>
      </c>
      <c r="B133" s="23"/>
      <c r="C133" s="31">
        <v>4.82E-2</v>
      </c>
      <c r="D133" s="20">
        <f t="shared" si="28"/>
        <v>729.30263200000002</v>
      </c>
      <c r="E133" s="92"/>
      <c r="F133" s="27" t="s">
        <v>16</v>
      </c>
      <c r="G133" s="24"/>
      <c r="H133" s="31"/>
      <c r="I133" s="35"/>
      <c r="J133" s="35"/>
    </row>
    <row r="134" spans="1:13" ht="15.75" x14ac:dyDescent="0.25">
      <c r="A134" s="27" t="s">
        <v>33</v>
      </c>
      <c r="B134" s="23"/>
      <c r="C134" s="31">
        <v>2.7000000000000001E-3</v>
      </c>
      <c r="D134" s="20">
        <f t="shared" si="28"/>
        <v>40.853052000000005</v>
      </c>
      <c r="E134" s="92"/>
      <c r="F134" s="27" t="s">
        <v>32</v>
      </c>
      <c r="G134" s="24"/>
      <c r="H134" s="31">
        <v>4.82E-2</v>
      </c>
      <c r="I134" s="35">
        <f t="shared" si="29"/>
        <v>19.28</v>
      </c>
      <c r="J134" s="35">
        <f t="shared" si="30"/>
        <v>15.94263200000001</v>
      </c>
    </row>
    <row r="135" spans="1:13" ht="15.75" x14ac:dyDescent="0.25">
      <c r="A135" s="27" t="s">
        <v>34</v>
      </c>
      <c r="B135" s="23"/>
      <c r="C135" s="31"/>
      <c r="D135" s="20"/>
      <c r="E135" s="92"/>
      <c r="F135" s="27" t="s">
        <v>33</v>
      </c>
      <c r="G135" s="24"/>
      <c r="H135" s="31">
        <v>2.7000000000000001E-3</v>
      </c>
      <c r="I135" s="35">
        <f t="shared" si="29"/>
        <v>1.08</v>
      </c>
      <c r="J135" s="35">
        <f t="shared" si="30"/>
        <v>0.89305200000000062</v>
      </c>
    </row>
    <row r="136" spans="1:13" ht="15.75" x14ac:dyDescent="0.25">
      <c r="A136" s="27" t="s">
        <v>22</v>
      </c>
      <c r="B136" s="23"/>
      <c r="C136" s="31"/>
      <c r="D136" s="20"/>
      <c r="E136" s="92"/>
      <c r="F136" s="27" t="s">
        <v>34</v>
      </c>
      <c r="G136" s="24"/>
      <c r="H136" s="31"/>
      <c r="I136" s="35"/>
      <c r="J136" s="35"/>
    </row>
    <row r="137" spans="1:13" ht="15.75" x14ac:dyDescent="0.25">
      <c r="A137" s="27" t="s">
        <v>35</v>
      </c>
      <c r="B137" s="29"/>
      <c r="C137" s="31"/>
      <c r="D137" s="20"/>
      <c r="E137" s="92"/>
      <c r="F137" s="27" t="s">
        <v>22</v>
      </c>
      <c r="G137" s="33"/>
      <c r="H137" s="31"/>
      <c r="I137" s="35"/>
      <c r="J137" s="35"/>
    </row>
    <row r="138" spans="1:13" ht="16.5" thickBot="1" x14ac:dyDescent="0.3">
      <c r="A138" s="28" t="s">
        <v>36</v>
      </c>
      <c r="B138" s="29"/>
      <c r="C138" s="32"/>
      <c r="D138" s="20"/>
      <c r="E138" s="92"/>
      <c r="F138" s="27" t="s">
        <v>35</v>
      </c>
      <c r="G138" s="33"/>
      <c r="H138" s="31"/>
      <c r="I138" s="35"/>
      <c r="J138" s="35"/>
    </row>
    <row r="139" spans="1:13" ht="16.5" thickBot="1" x14ac:dyDescent="0.3">
      <c r="A139" s="93" t="s">
        <v>11</v>
      </c>
      <c r="B139" s="93"/>
      <c r="C139" s="8">
        <f>SUM(C114:C138)</f>
        <v>1</v>
      </c>
      <c r="D139" s="15">
        <v>2344.34</v>
      </c>
      <c r="E139" s="92"/>
      <c r="F139" s="28" t="s">
        <v>36</v>
      </c>
      <c r="G139" s="34"/>
      <c r="H139" s="32"/>
      <c r="I139" s="35"/>
      <c r="J139" s="35"/>
    </row>
    <row r="140" spans="1:13" x14ac:dyDescent="0.25">
      <c r="A140" s="2"/>
      <c r="B140" s="2"/>
      <c r="C140" s="2"/>
      <c r="D140" s="2"/>
      <c r="E140" s="2"/>
      <c r="F140" s="81" t="s">
        <v>11</v>
      </c>
      <c r="G140" s="81"/>
      <c r="H140" s="17">
        <f>SUM(H115:H139)</f>
        <v>1</v>
      </c>
      <c r="I140" s="13">
        <v>400</v>
      </c>
      <c r="J140" s="13">
        <f>+H113</f>
        <v>344.34000000000015</v>
      </c>
    </row>
    <row r="141" spans="1:13" ht="23.25" x14ac:dyDescent="0.35">
      <c r="A141" s="82"/>
      <c r="B141" s="83"/>
      <c r="C141" s="2"/>
      <c r="D141" s="2"/>
      <c r="E141" s="2"/>
      <c r="F141" s="18"/>
      <c r="G141" s="18"/>
      <c r="H141" s="19"/>
      <c r="I141" s="18"/>
      <c r="J141" s="18"/>
    </row>
    <row r="142" spans="1:13" x14ac:dyDescent="0.25">
      <c r="A142" s="84" t="s">
        <v>18</v>
      </c>
      <c r="B142" s="84"/>
      <c r="C142" s="84"/>
      <c r="D142" s="84"/>
      <c r="E142" s="2"/>
      <c r="F142" s="2"/>
      <c r="G142" s="2"/>
    </row>
    <row r="143" spans="1:13" x14ac:dyDescent="0.25">
      <c r="A143" s="9" t="s">
        <v>12</v>
      </c>
      <c r="B143" s="9" t="s">
        <v>13</v>
      </c>
      <c r="C143" s="9" t="s">
        <v>14</v>
      </c>
      <c r="D143" s="10" t="s">
        <v>12</v>
      </c>
      <c r="E143" s="85" t="s">
        <v>13</v>
      </c>
      <c r="F143" s="86"/>
      <c r="G143" s="10" t="s">
        <v>14</v>
      </c>
      <c r="H143" s="9" t="s">
        <v>12</v>
      </c>
      <c r="I143" s="10" t="s">
        <v>13</v>
      </c>
      <c r="J143" s="10" t="s">
        <v>14</v>
      </c>
      <c r="K143" s="9" t="s">
        <v>12</v>
      </c>
      <c r="L143" s="10" t="s">
        <v>13</v>
      </c>
      <c r="M143" s="10" t="s">
        <v>14</v>
      </c>
    </row>
    <row r="144" spans="1:13" x14ac:dyDescent="0.25">
      <c r="A144" s="11">
        <v>1</v>
      </c>
      <c r="B144" s="16">
        <v>0.33333333333333331</v>
      </c>
      <c r="C144" s="16">
        <f>+B144+15/1440</f>
        <v>0.34375</v>
      </c>
      <c r="D144" s="11">
        <v>8</v>
      </c>
      <c r="E144" s="103">
        <f>+C150+5/1440</f>
        <v>0.43055555555555558</v>
      </c>
      <c r="F144" s="104"/>
      <c r="G144" s="58">
        <f>+E144+15/1440</f>
        <v>0.44097222222222227</v>
      </c>
      <c r="H144" s="11"/>
      <c r="I144" s="12">
        <f>G150+5/1440</f>
        <v>0.52777777777777779</v>
      </c>
      <c r="J144" s="12">
        <f>I144+15/1440</f>
        <v>0.53819444444444442</v>
      </c>
      <c r="K144" s="11">
        <v>19</v>
      </c>
      <c r="L144" s="12">
        <f>J150+5/1440</f>
        <v>0.62499999999999967</v>
      </c>
      <c r="M144" s="12">
        <f>L144+15/1440</f>
        <v>0.6354166666666663</v>
      </c>
    </row>
    <row r="145" spans="1:13" x14ac:dyDescent="0.25">
      <c r="A145" s="11">
        <v>2</v>
      </c>
      <c r="B145" s="16">
        <f t="shared" ref="B145:B150" si="31">+C144+5/1440</f>
        <v>0.34722222222222221</v>
      </c>
      <c r="C145" s="16">
        <f>+B145+15/1440</f>
        <v>0.3576388888888889</v>
      </c>
      <c r="D145" s="11">
        <v>9</v>
      </c>
      <c r="E145" s="103">
        <f>+G144+5/1440</f>
        <v>0.44444444444444448</v>
      </c>
      <c r="F145" s="104"/>
      <c r="G145" s="12">
        <f>+E145+15/1440</f>
        <v>0.45486111111111116</v>
      </c>
      <c r="H145" s="11">
        <v>13</v>
      </c>
      <c r="I145" s="12">
        <f>J144+5/1440</f>
        <v>0.54166666666666663</v>
      </c>
      <c r="J145" s="12">
        <f>I145+15/1440</f>
        <v>0.55208333333333326</v>
      </c>
      <c r="K145" s="11">
        <v>20</v>
      </c>
      <c r="L145" s="12">
        <f>M144+5/1440</f>
        <v>0.63888888888888851</v>
      </c>
      <c r="M145" s="12">
        <f>L145+15/1440</f>
        <v>0.64930555555555514</v>
      </c>
    </row>
    <row r="146" spans="1:13" x14ac:dyDescent="0.25">
      <c r="A146" s="11">
        <v>3</v>
      </c>
      <c r="B146" s="16">
        <f t="shared" si="31"/>
        <v>0.3611111111111111</v>
      </c>
      <c r="C146" s="16">
        <f t="shared" ref="C146:C150" si="32">+B146+15/1440</f>
        <v>0.37152777777777779</v>
      </c>
      <c r="D146" s="11">
        <v>10</v>
      </c>
      <c r="E146" s="103">
        <f t="shared" ref="E146:E150" si="33">+G145+5/1440</f>
        <v>0.45833333333333337</v>
      </c>
      <c r="F146" s="104"/>
      <c r="G146" s="12">
        <f t="shared" ref="G146:G150" si="34">+E146+15/1440</f>
        <v>0.46875000000000006</v>
      </c>
      <c r="H146" s="11">
        <v>14</v>
      </c>
      <c r="I146" s="12">
        <f t="shared" ref="I146:I150" si="35">J145+5/1440</f>
        <v>0.55555555555555547</v>
      </c>
      <c r="J146" s="12">
        <f t="shared" ref="J146:J150" si="36">I146+15/1440</f>
        <v>0.5659722222222221</v>
      </c>
      <c r="K146" s="11">
        <v>21</v>
      </c>
      <c r="L146" s="21">
        <f t="shared" ref="L146:L150" si="37">M145+5/1440</f>
        <v>0.65277777777777735</v>
      </c>
      <c r="M146" s="21">
        <f t="shared" ref="M146:M150" si="38">L146+15/1440</f>
        <v>0.66319444444444398</v>
      </c>
    </row>
    <row r="147" spans="1:13" x14ac:dyDescent="0.25">
      <c r="A147" s="11">
        <v>4</v>
      </c>
      <c r="B147" s="16">
        <f t="shared" si="31"/>
        <v>0.375</v>
      </c>
      <c r="C147" s="16">
        <f t="shared" si="32"/>
        <v>0.38541666666666669</v>
      </c>
      <c r="D147" s="11">
        <v>11</v>
      </c>
      <c r="E147" s="103">
        <f t="shared" si="33"/>
        <v>0.47222222222222227</v>
      </c>
      <c r="F147" s="104"/>
      <c r="G147" s="12">
        <f t="shared" si="34"/>
        <v>0.48263888888888895</v>
      </c>
      <c r="H147" s="11">
        <v>15</v>
      </c>
      <c r="I147" s="12">
        <f t="shared" si="35"/>
        <v>0.56944444444444431</v>
      </c>
      <c r="J147" s="12">
        <f t="shared" si="36"/>
        <v>0.57986111111111094</v>
      </c>
      <c r="K147" s="11">
        <v>22</v>
      </c>
      <c r="L147" s="21">
        <f t="shared" si="37"/>
        <v>0.66666666666666619</v>
      </c>
      <c r="M147" s="21">
        <f t="shared" si="38"/>
        <v>0.67708333333333282</v>
      </c>
    </row>
    <row r="148" spans="1:13" x14ac:dyDescent="0.25">
      <c r="A148" s="11">
        <v>5</v>
      </c>
      <c r="B148" s="16">
        <f t="shared" si="31"/>
        <v>0.3888888888888889</v>
      </c>
      <c r="C148" s="16">
        <f t="shared" si="32"/>
        <v>0.39930555555555558</v>
      </c>
      <c r="D148" s="11">
        <v>12</v>
      </c>
      <c r="E148" s="103">
        <f t="shared" si="33"/>
        <v>0.48611111111111116</v>
      </c>
      <c r="F148" s="104"/>
      <c r="G148" s="12">
        <f t="shared" si="34"/>
        <v>0.49652777777777785</v>
      </c>
      <c r="H148" s="11">
        <v>16</v>
      </c>
      <c r="I148" s="12">
        <f t="shared" si="35"/>
        <v>0.58333333333333315</v>
      </c>
      <c r="J148" s="12">
        <f t="shared" si="36"/>
        <v>0.59374999999999978</v>
      </c>
      <c r="K148" s="11">
        <v>23</v>
      </c>
      <c r="L148" s="21">
        <f t="shared" si="37"/>
        <v>0.68055555555555503</v>
      </c>
      <c r="M148" s="21">
        <f t="shared" si="38"/>
        <v>0.69097222222222165</v>
      </c>
    </row>
    <row r="149" spans="1:13" x14ac:dyDescent="0.25">
      <c r="A149" s="11">
        <v>6</v>
      </c>
      <c r="B149" s="16">
        <f t="shared" si="31"/>
        <v>0.40277777777777779</v>
      </c>
      <c r="C149" s="16">
        <f t="shared" si="32"/>
        <v>0.41319444444444448</v>
      </c>
      <c r="D149" s="11"/>
      <c r="E149" s="77">
        <f t="shared" si="33"/>
        <v>0.50000000000000011</v>
      </c>
      <c r="F149" s="78"/>
      <c r="G149" s="21">
        <f t="shared" si="34"/>
        <v>0.51041666666666674</v>
      </c>
      <c r="H149" s="11">
        <v>17</v>
      </c>
      <c r="I149" s="12">
        <f t="shared" si="35"/>
        <v>0.59722222222222199</v>
      </c>
      <c r="J149" s="12">
        <f t="shared" si="36"/>
        <v>0.60763888888888862</v>
      </c>
      <c r="K149" s="11">
        <v>24</v>
      </c>
      <c r="L149" s="21">
        <f t="shared" si="37"/>
        <v>0.69444444444444386</v>
      </c>
      <c r="M149" s="21">
        <f t="shared" si="38"/>
        <v>0.70486111111111049</v>
      </c>
    </row>
    <row r="150" spans="1:13" x14ac:dyDescent="0.25">
      <c r="A150" s="11">
        <v>7</v>
      </c>
      <c r="B150" s="12">
        <f t="shared" si="31"/>
        <v>0.41666666666666669</v>
      </c>
      <c r="C150" s="12">
        <f t="shared" si="32"/>
        <v>0.42708333333333337</v>
      </c>
      <c r="D150" s="11"/>
      <c r="E150" s="77">
        <f t="shared" si="33"/>
        <v>0.51388888888888895</v>
      </c>
      <c r="F150" s="78"/>
      <c r="G150" s="21">
        <f t="shared" si="34"/>
        <v>0.52430555555555558</v>
      </c>
      <c r="H150" s="11">
        <v>18</v>
      </c>
      <c r="I150" s="12">
        <f t="shared" si="35"/>
        <v>0.61111111111111083</v>
      </c>
      <c r="J150" s="12">
        <f t="shared" si="36"/>
        <v>0.62152777777777746</v>
      </c>
      <c r="K150" s="11">
        <v>25</v>
      </c>
      <c r="L150" s="21">
        <f t="shared" si="37"/>
        <v>0.7083333333333327</v>
      </c>
      <c r="M150" s="21">
        <f t="shared" si="38"/>
        <v>0.71874999999999933</v>
      </c>
    </row>
    <row r="153" spans="1:13" ht="15.75" thickBot="1" x14ac:dyDescent="0.3"/>
    <row r="154" spans="1:13" x14ac:dyDescent="0.25">
      <c r="A154" s="94" t="s">
        <v>20</v>
      </c>
      <c r="B154" s="95"/>
      <c r="C154" s="95"/>
      <c r="D154" s="96"/>
      <c r="E154" s="95" t="s">
        <v>21</v>
      </c>
      <c r="F154" s="95"/>
      <c r="G154" s="95"/>
      <c r="H154" s="95"/>
      <c r="I154" s="95"/>
      <c r="J154" s="96"/>
    </row>
    <row r="155" spans="1:13" ht="15.75" thickBot="1" x14ac:dyDescent="0.3">
      <c r="A155" s="97"/>
      <c r="B155" s="98"/>
      <c r="C155" s="98"/>
      <c r="D155" s="99"/>
      <c r="E155" s="98"/>
      <c r="F155" s="98"/>
      <c r="G155" s="98"/>
      <c r="H155" s="98"/>
      <c r="I155" s="98"/>
      <c r="J155" s="99"/>
    </row>
    <row r="156" spans="1:13" ht="18.75" x14ac:dyDescent="0.25">
      <c r="A156" s="87" t="s">
        <v>0</v>
      </c>
      <c r="B156" s="87"/>
      <c r="C156" s="42" t="s">
        <v>52</v>
      </c>
      <c r="D156" s="42"/>
      <c r="E156" s="42"/>
      <c r="F156" s="42"/>
      <c r="G156" s="42"/>
      <c r="H156" s="1" t="s">
        <v>1</v>
      </c>
      <c r="I156" s="101">
        <v>45486</v>
      </c>
      <c r="J156" s="102"/>
    </row>
    <row r="157" spans="1:13" ht="32.25" customHeight="1" x14ac:dyDescent="0.25">
      <c r="A157" s="87" t="s">
        <v>2</v>
      </c>
      <c r="B157" s="87"/>
      <c r="C157" s="88" t="s">
        <v>53</v>
      </c>
      <c r="D157" s="88"/>
      <c r="E157" s="88"/>
      <c r="F157" s="88"/>
      <c r="G157" s="88"/>
      <c r="H157" s="1" t="s">
        <v>3</v>
      </c>
      <c r="I157" s="89" t="s">
        <v>37</v>
      </c>
      <c r="J157" s="89"/>
    </row>
    <row r="158" spans="1:13" x14ac:dyDescent="0.25">
      <c r="A158" s="2"/>
      <c r="B158" s="2"/>
      <c r="C158" s="2"/>
      <c r="D158" s="2"/>
      <c r="E158" s="2"/>
      <c r="F158" s="2"/>
      <c r="G158" s="2"/>
      <c r="I158" s="90" t="s">
        <v>15</v>
      </c>
      <c r="J158" s="90"/>
    </row>
    <row r="159" spans="1:13" ht="18.75" x14ac:dyDescent="0.3">
      <c r="A159" s="91" t="s">
        <v>4</v>
      </c>
      <c r="B159" s="91"/>
      <c r="C159" s="3" t="s">
        <v>5</v>
      </c>
      <c r="D159" s="14" t="s">
        <v>6</v>
      </c>
      <c r="E159" s="92" t="s">
        <v>7</v>
      </c>
      <c r="F159" s="4">
        <f>ROUNDDOWN(D185/400,0)</f>
        <v>5</v>
      </c>
      <c r="G159" s="5" t="s">
        <v>8</v>
      </c>
      <c r="H159" s="6">
        <f>D185-(F159*400)</f>
        <v>25.569999999999936</v>
      </c>
      <c r="I159" s="7" t="s">
        <v>9</v>
      </c>
    </row>
    <row r="160" spans="1:13" ht="15.75" x14ac:dyDescent="0.25">
      <c r="A160" s="26" t="s">
        <v>23</v>
      </c>
      <c r="B160" s="29"/>
      <c r="C160" s="39"/>
      <c r="D160" s="20"/>
      <c r="E160" s="92"/>
      <c r="F160" s="91" t="s">
        <v>4</v>
      </c>
      <c r="G160" s="91"/>
      <c r="H160" s="3" t="s">
        <v>5</v>
      </c>
      <c r="I160" s="14" t="s">
        <v>6</v>
      </c>
      <c r="J160" s="14" t="s">
        <v>6</v>
      </c>
    </row>
    <row r="161" spans="1:10" ht="15.75" x14ac:dyDescent="0.25">
      <c r="A161" s="26" t="s">
        <v>42</v>
      </c>
      <c r="B161" s="29"/>
      <c r="C161" s="31"/>
      <c r="D161" s="20"/>
      <c r="E161" s="92"/>
      <c r="F161" s="26" t="s">
        <v>23</v>
      </c>
      <c r="G161" s="33"/>
      <c r="H161" s="38"/>
      <c r="I161" s="35"/>
      <c r="J161" s="35"/>
    </row>
    <row r="162" spans="1:10" ht="15.75" x14ac:dyDescent="0.25">
      <c r="A162" s="27" t="s">
        <v>24</v>
      </c>
      <c r="B162" s="29"/>
      <c r="C162" s="31"/>
      <c r="D162" s="20"/>
      <c r="E162" s="92"/>
      <c r="F162" s="26" t="s">
        <v>42</v>
      </c>
      <c r="G162" s="33"/>
      <c r="H162" s="38"/>
      <c r="I162" s="35"/>
      <c r="J162" s="35"/>
    </row>
    <row r="163" spans="1:10" ht="15.75" x14ac:dyDescent="0.25">
      <c r="A163" s="27" t="s">
        <v>25</v>
      </c>
      <c r="B163" s="29"/>
      <c r="C163" s="31">
        <v>0.18559999999999999</v>
      </c>
      <c r="D163" s="20">
        <f>C163*$D$32</f>
        <v>2808.2690559999996</v>
      </c>
      <c r="E163" s="92"/>
      <c r="F163" s="27" t="s">
        <v>24</v>
      </c>
      <c r="G163" s="33"/>
      <c r="H163" s="38"/>
      <c r="I163" s="35"/>
      <c r="J163" s="35"/>
    </row>
    <row r="164" spans="1:10" ht="15.75" x14ac:dyDescent="0.25">
      <c r="A164" s="27" t="s">
        <v>47</v>
      </c>
      <c r="B164" s="29"/>
      <c r="C164" s="31">
        <v>0.20219999999999999</v>
      </c>
      <c r="D164" s="20">
        <f t="shared" ref="D164:D182" si="39">C164*$D$32</f>
        <v>3059.439672</v>
      </c>
      <c r="E164" s="92"/>
      <c r="F164" s="27" t="s">
        <v>25</v>
      </c>
      <c r="G164" s="33"/>
      <c r="H164" s="38">
        <v>4.4900000000000002E-2</v>
      </c>
      <c r="I164" s="35">
        <f t="shared" ref="I164:I181" si="40">H164*$I$33</f>
        <v>17.96</v>
      </c>
      <c r="J164" s="35">
        <f t="shared" ref="J164:J181" si="41">H164*$J$33</f>
        <v>14.851124000000011</v>
      </c>
    </row>
    <row r="165" spans="1:10" ht="15.75" x14ac:dyDescent="0.25">
      <c r="A165" s="27" t="s">
        <v>46</v>
      </c>
      <c r="B165" s="29"/>
      <c r="C165" s="31"/>
      <c r="D165" s="20"/>
      <c r="E165" s="92"/>
      <c r="F165" s="27" t="s">
        <v>47</v>
      </c>
      <c r="G165" s="33"/>
      <c r="H165" s="38">
        <v>0.15790000000000001</v>
      </c>
      <c r="I165" s="35">
        <f t="shared" si="40"/>
        <v>63.160000000000004</v>
      </c>
      <c r="J165" s="35">
        <f t="shared" si="41"/>
        <v>52.227004000000036</v>
      </c>
    </row>
    <row r="166" spans="1:10" ht="15.75" x14ac:dyDescent="0.25">
      <c r="A166" s="27" t="s">
        <v>26</v>
      </c>
      <c r="B166" s="29"/>
      <c r="C166" s="31">
        <v>7.0499999999999993E-2</v>
      </c>
      <c r="D166" s="20">
        <f t="shared" si="39"/>
        <v>1066.71858</v>
      </c>
      <c r="E166" s="92"/>
      <c r="F166" s="27" t="s">
        <v>46</v>
      </c>
      <c r="G166" s="33"/>
      <c r="H166" s="38"/>
      <c r="I166" s="35"/>
      <c r="J166" s="35"/>
    </row>
    <row r="167" spans="1:10" ht="15.75" x14ac:dyDescent="0.25">
      <c r="A167" s="27" t="s">
        <v>43</v>
      </c>
      <c r="B167" s="29"/>
      <c r="C167" s="31"/>
      <c r="D167" s="20"/>
      <c r="E167" s="92"/>
      <c r="F167" s="27" t="s">
        <v>26</v>
      </c>
      <c r="G167" s="33"/>
      <c r="H167" s="38">
        <v>0.1386</v>
      </c>
      <c r="I167" s="35">
        <f t="shared" si="40"/>
        <v>55.44</v>
      </c>
      <c r="J167" s="35">
        <f t="shared" si="41"/>
        <v>45.843336000000029</v>
      </c>
    </row>
    <row r="168" spans="1:10" ht="15.75" x14ac:dyDescent="0.25">
      <c r="A168" s="27" t="s">
        <v>19</v>
      </c>
      <c r="B168" s="29"/>
      <c r="C168" s="31">
        <v>0.1057</v>
      </c>
      <c r="D168" s="20">
        <f t="shared" si="39"/>
        <v>1599.321332</v>
      </c>
      <c r="E168" s="92"/>
      <c r="F168" s="27" t="s">
        <v>43</v>
      </c>
      <c r="G168" s="33"/>
      <c r="H168" s="38"/>
      <c r="I168" s="35"/>
      <c r="J168" s="35"/>
    </row>
    <row r="169" spans="1:10" ht="15.75" x14ac:dyDescent="0.25">
      <c r="A169" s="27" t="s">
        <v>27</v>
      </c>
      <c r="B169" s="29"/>
      <c r="C169" s="31"/>
      <c r="D169" s="20"/>
      <c r="E169" s="92"/>
      <c r="F169" s="27" t="s">
        <v>19</v>
      </c>
      <c r="G169" s="33"/>
      <c r="H169" s="38">
        <v>5.2600000000000001E-2</v>
      </c>
      <c r="I169" s="35">
        <f t="shared" si="40"/>
        <v>21.04</v>
      </c>
      <c r="J169" s="35">
        <f t="shared" si="41"/>
        <v>17.397976000000011</v>
      </c>
    </row>
    <row r="170" spans="1:10" ht="15.75" x14ac:dyDescent="0.25">
      <c r="A170" s="27" t="s">
        <v>44</v>
      </c>
      <c r="B170" s="29"/>
      <c r="C170" s="31">
        <v>9.69E-2</v>
      </c>
      <c r="D170" s="20">
        <f t="shared" si="39"/>
        <v>1466.170644</v>
      </c>
      <c r="E170" s="92"/>
      <c r="F170" s="27" t="s">
        <v>27</v>
      </c>
      <c r="G170" s="33"/>
      <c r="H170" s="38"/>
      <c r="I170" s="35"/>
      <c r="J170" s="35"/>
    </row>
    <row r="171" spans="1:10" ht="15.75" x14ac:dyDescent="0.25">
      <c r="A171" s="27" t="s">
        <v>28</v>
      </c>
      <c r="B171" s="29"/>
      <c r="C171" s="31">
        <v>0.12330000000000001</v>
      </c>
      <c r="D171" s="20">
        <f t="shared" si="39"/>
        <v>1865.6227080000001</v>
      </c>
      <c r="E171" s="92"/>
      <c r="F171" s="27" t="s">
        <v>44</v>
      </c>
      <c r="G171" s="33"/>
      <c r="H171" s="38">
        <v>0.31580000000000003</v>
      </c>
      <c r="I171" s="35">
        <f t="shared" si="40"/>
        <v>126.32000000000001</v>
      </c>
      <c r="J171" s="35">
        <f t="shared" si="41"/>
        <v>104.45400800000007</v>
      </c>
    </row>
    <row r="172" spans="1:10" ht="15.75" x14ac:dyDescent="0.25">
      <c r="A172" s="27" t="s">
        <v>45</v>
      </c>
      <c r="B172" s="29"/>
      <c r="C172" s="31"/>
      <c r="D172" s="20"/>
      <c r="E172" s="92"/>
      <c r="F172" s="27" t="s">
        <v>28</v>
      </c>
      <c r="G172" s="33"/>
      <c r="H172" s="38">
        <v>0.1807</v>
      </c>
      <c r="I172" s="35">
        <f t="shared" si="40"/>
        <v>72.28</v>
      </c>
      <c r="J172" s="35">
        <f t="shared" si="41"/>
        <v>59.768332000000036</v>
      </c>
    </row>
    <row r="173" spans="1:10" ht="15.75" x14ac:dyDescent="0.25">
      <c r="A173" s="27" t="s">
        <v>10</v>
      </c>
      <c r="B173" s="29"/>
      <c r="C173" s="31">
        <v>5.2900000000000003E-2</v>
      </c>
      <c r="D173" s="20">
        <f t="shared" si="39"/>
        <v>800.41720400000008</v>
      </c>
      <c r="E173" s="92"/>
      <c r="F173" s="27" t="s">
        <v>45</v>
      </c>
      <c r="G173" s="33"/>
      <c r="H173" s="38"/>
      <c r="I173" s="35"/>
      <c r="J173" s="35"/>
    </row>
    <row r="174" spans="1:10" ht="15.75" x14ac:dyDescent="0.25">
      <c r="A174" s="27" t="s">
        <v>29</v>
      </c>
      <c r="B174" s="29"/>
      <c r="C174" s="31">
        <v>7.0499999999999993E-2</v>
      </c>
      <c r="D174" s="20">
        <f t="shared" si="39"/>
        <v>1066.71858</v>
      </c>
      <c r="E174" s="92"/>
      <c r="F174" s="27" t="s">
        <v>10</v>
      </c>
      <c r="G174" s="33"/>
      <c r="H174" s="38"/>
      <c r="I174" s="35"/>
      <c r="J174" s="35"/>
    </row>
    <row r="175" spans="1:10" ht="15.75" x14ac:dyDescent="0.25">
      <c r="A175" s="27" t="s">
        <v>17</v>
      </c>
      <c r="B175" s="29"/>
      <c r="C175" s="31"/>
      <c r="D175" s="20"/>
      <c r="E175" s="92"/>
      <c r="F175" s="27" t="s">
        <v>29</v>
      </c>
      <c r="G175" s="33"/>
      <c r="H175" s="38">
        <v>7.0199999999999999E-2</v>
      </c>
      <c r="I175" s="35">
        <f t="shared" si="40"/>
        <v>28.08</v>
      </c>
      <c r="J175" s="35">
        <f t="shared" si="41"/>
        <v>23.219352000000015</v>
      </c>
    </row>
    <row r="176" spans="1:10" ht="15.75" x14ac:dyDescent="0.25">
      <c r="A176" s="27" t="s">
        <v>30</v>
      </c>
      <c r="B176" s="29"/>
      <c r="C176" s="31"/>
      <c r="D176" s="20"/>
      <c r="E176" s="92"/>
      <c r="F176" s="27" t="s">
        <v>17</v>
      </c>
      <c r="G176" s="33"/>
      <c r="H176" s="38"/>
      <c r="I176" s="35"/>
      <c r="J176" s="35"/>
    </row>
    <row r="177" spans="1:13" ht="15.75" x14ac:dyDescent="0.25">
      <c r="A177" s="27" t="s">
        <v>31</v>
      </c>
      <c r="B177" s="29"/>
      <c r="C177" s="31"/>
      <c r="D177" s="20"/>
      <c r="E177" s="92"/>
      <c r="F177" s="27" t="s">
        <v>30</v>
      </c>
      <c r="G177" s="33"/>
      <c r="H177" s="38"/>
      <c r="I177" s="35"/>
      <c r="J177" s="35"/>
    </row>
    <row r="178" spans="1:13" ht="15.75" x14ac:dyDescent="0.25">
      <c r="A178" s="27" t="s">
        <v>16</v>
      </c>
      <c r="B178" s="29"/>
      <c r="C178" s="31"/>
      <c r="D178" s="20"/>
      <c r="E178" s="92"/>
      <c r="F178" s="27" t="s">
        <v>31</v>
      </c>
      <c r="G178" s="33"/>
      <c r="H178" s="38"/>
      <c r="I178" s="35"/>
      <c r="J178" s="35"/>
    </row>
    <row r="179" spans="1:13" ht="15.75" x14ac:dyDescent="0.25">
      <c r="A179" s="27" t="s">
        <v>32</v>
      </c>
      <c r="B179" s="23"/>
      <c r="C179" s="31">
        <v>3.7400000000000003E-2</v>
      </c>
      <c r="D179" s="20">
        <f t="shared" si="39"/>
        <v>565.89042400000005</v>
      </c>
      <c r="E179" s="92"/>
      <c r="F179" s="27" t="s">
        <v>16</v>
      </c>
      <c r="G179" s="24"/>
      <c r="H179" s="38"/>
      <c r="I179" s="35"/>
      <c r="J179" s="35"/>
    </row>
    <row r="180" spans="1:13" ht="15.75" x14ac:dyDescent="0.25">
      <c r="A180" s="27" t="s">
        <v>33</v>
      </c>
      <c r="B180" s="23"/>
      <c r="C180" s="31">
        <v>2.0999999999999999E-3</v>
      </c>
      <c r="D180" s="20">
        <f t="shared" si="39"/>
        <v>31.774595999999999</v>
      </c>
      <c r="E180" s="92"/>
      <c r="F180" s="27" t="s">
        <v>32</v>
      </c>
      <c r="G180" s="24"/>
      <c r="H180" s="38">
        <v>3.7199999999999997E-2</v>
      </c>
      <c r="I180" s="35">
        <f t="shared" si="40"/>
        <v>14.879999999999999</v>
      </c>
      <c r="J180" s="35">
        <f t="shared" si="41"/>
        <v>12.304272000000006</v>
      </c>
    </row>
    <row r="181" spans="1:13" ht="15.75" x14ac:dyDescent="0.25">
      <c r="A181" s="27" t="s">
        <v>34</v>
      </c>
      <c r="B181" s="23"/>
      <c r="C181" s="31"/>
      <c r="D181" s="20"/>
      <c r="E181" s="92"/>
      <c r="F181" s="27" t="s">
        <v>33</v>
      </c>
      <c r="G181" s="24"/>
      <c r="H181" s="38">
        <v>2.0999999999999999E-3</v>
      </c>
      <c r="I181" s="35">
        <f t="shared" si="40"/>
        <v>0.84</v>
      </c>
      <c r="J181" s="35">
        <f t="shared" si="41"/>
        <v>0.69459600000000044</v>
      </c>
    </row>
    <row r="182" spans="1:13" ht="15.75" x14ac:dyDescent="0.25">
      <c r="A182" s="27" t="s">
        <v>22</v>
      </c>
      <c r="B182" s="23"/>
      <c r="C182" s="31">
        <v>5.2900000000000003E-2</v>
      </c>
      <c r="D182" s="20">
        <f t="shared" si="39"/>
        <v>800.41720400000008</v>
      </c>
      <c r="E182" s="92"/>
      <c r="F182" s="27" t="s">
        <v>34</v>
      </c>
      <c r="G182" s="24"/>
      <c r="H182" s="38"/>
      <c r="I182" s="35"/>
      <c r="J182" s="35"/>
    </row>
    <row r="183" spans="1:13" ht="15.75" x14ac:dyDescent="0.25">
      <c r="A183" s="27" t="s">
        <v>35</v>
      </c>
      <c r="B183" s="29"/>
      <c r="C183" s="31"/>
      <c r="D183" s="20"/>
      <c r="E183" s="92"/>
      <c r="F183" s="27" t="s">
        <v>22</v>
      </c>
      <c r="G183" s="33"/>
      <c r="H183" s="38"/>
      <c r="I183" s="35"/>
      <c r="J183" s="35"/>
    </row>
    <row r="184" spans="1:13" ht="16.5" thickBot="1" x14ac:dyDescent="0.3">
      <c r="A184" s="28" t="s">
        <v>36</v>
      </c>
      <c r="B184" s="29"/>
      <c r="C184" s="32"/>
      <c r="D184" s="20"/>
      <c r="E184" s="92"/>
      <c r="F184" s="27" t="s">
        <v>35</v>
      </c>
      <c r="G184" s="33"/>
      <c r="H184" s="38"/>
      <c r="I184" s="35"/>
      <c r="J184" s="35"/>
    </row>
    <row r="185" spans="1:13" ht="16.5" thickBot="1" x14ac:dyDescent="0.3">
      <c r="A185" s="93" t="s">
        <v>11</v>
      </c>
      <c r="B185" s="93"/>
      <c r="C185" s="8">
        <f>SUM(C160:C184)</f>
        <v>1</v>
      </c>
      <c r="D185" s="15">
        <v>2025.57</v>
      </c>
      <c r="E185" s="92"/>
      <c r="F185" s="28" t="s">
        <v>36</v>
      </c>
      <c r="G185" s="34"/>
      <c r="H185" s="38"/>
      <c r="I185" s="35"/>
      <c r="J185" s="35"/>
    </row>
    <row r="186" spans="1:13" x14ac:dyDescent="0.25">
      <c r="A186" s="2"/>
      <c r="B186" s="2"/>
      <c r="C186" s="2"/>
      <c r="D186" s="2"/>
      <c r="E186" s="2"/>
      <c r="F186" s="81" t="s">
        <v>11</v>
      </c>
      <c r="G186" s="81"/>
      <c r="H186" s="17">
        <f>SUM(H161:H185)</f>
        <v>1</v>
      </c>
      <c r="I186" s="13">
        <v>400</v>
      </c>
      <c r="J186" s="13">
        <f>+H159</f>
        <v>25.569999999999936</v>
      </c>
    </row>
    <row r="187" spans="1:13" ht="23.25" x14ac:dyDescent="0.35">
      <c r="A187" s="82"/>
      <c r="B187" s="83"/>
      <c r="C187" s="2"/>
      <c r="D187" s="2"/>
      <c r="E187" s="2"/>
      <c r="F187" s="18"/>
      <c r="G187" s="18"/>
      <c r="H187" s="19"/>
      <c r="I187" s="18"/>
      <c r="J187" s="18"/>
    </row>
    <row r="188" spans="1:13" x14ac:dyDescent="0.25">
      <c r="A188" s="84" t="s">
        <v>18</v>
      </c>
      <c r="B188" s="84"/>
      <c r="C188" s="84"/>
      <c r="D188" s="84"/>
      <c r="E188" s="2"/>
      <c r="F188" s="2"/>
      <c r="G188" s="2"/>
    </row>
    <row r="189" spans="1:13" x14ac:dyDescent="0.25">
      <c r="A189" s="9" t="s">
        <v>12</v>
      </c>
      <c r="B189" s="9" t="s">
        <v>13</v>
      </c>
      <c r="C189" s="9" t="s">
        <v>14</v>
      </c>
      <c r="D189" s="10" t="s">
        <v>12</v>
      </c>
      <c r="E189" s="85" t="s">
        <v>13</v>
      </c>
      <c r="F189" s="86"/>
      <c r="G189" s="10" t="s">
        <v>14</v>
      </c>
      <c r="H189" s="9" t="s">
        <v>12</v>
      </c>
      <c r="I189" s="10" t="s">
        <v>13</v>
      </c>
      <c r="J189" s="10" t="s">
        <v>14</v>
      </c>
      <c r="K189" s="9" t="s">
        <v>12</v>
      </c>
      <c r="L189" s="10" t="s">
        <v>13</v>
      </c>
      <c r="M189" s="10" t="s">
        <v>14</v>
      </c>
    </row>
    <row r="190" spans="1:13" x14ac:dyDescent="0.25">
      <c r="A190" s="11">
        <v>1</v>
      </c>
      <c r="B190" s="16">
        <v>0.33333333333333331</v>
      </c>
      <c r="C190" s="16">
        <f>+B190+15/1440</f>
        <v>0.34375</v>
      </c>
      <c r="D190" s="11">
        <v>8</v>
      </c>
      <c r="E190" s="103">
        <f>+C196+5/1440</f>
        <v>0.43055555555555558</v>
      </c>
      <c r="F190" s="104"/>
      <c r="G190" s="58">
        <f>+E190+15/1440</f>
        <v>0.44097222222222227</v>
      </c>
      <c r="H190" s="11"/>
      <c r="I190" s="12">
        <f>G196+5/1440</f>
        <v>0.52777777777777779</v>
      </c>
      <c r="J190" s="12">
        <f>I190+15/1440</f>
        <v>0.53819444444444442</v>
      </c>
      <c r="K190" s="11">
        <v>19</v>
      </c>
      <c r="L190" s="12">
        <f>J196+5/1440</f>
        <v>0.62499999999999967</v>
      </c>
      <c r="M190" s="12">
        <f>L190+15/1440</f>
        <v>0.6354166666666663</v>
      </c>
    </row>
    <row r="191" spans="1:13" x14ac:dyDescent="0.25">
      <c r="A191" s="11">
        <v>2</v>
      </c>
      <c r="B191" s="16">
        <f t="shared" ref="B191:B196" si="42">+C190+5/1440</f>
        <v>0.34722222222222221</v>
      </c>
      <c r="C191" s="16">
        <f>+B191+15/1440</f>
        <v>0.3576388888888889</v>
      </c>
      <c r="D191" s="11">
        <v>9</v>
      </c>
      <c r="E191" s="103">
        <f>+G190+5/1440</f>
        <v>0.44444444444444448</v>
      </c>
      <c r="F191" s="104"/>
      <c r="G191" s="12">
        <f>+E191+15/1440</f>
        <v>0.45486111111111116</v>
      </c>
      <c r="H191" s="11">
        <v>13</v>
      </c>
      <c r="I191" s="12">
        <f>J190+5/1440</f>
        <v>0.54166666666666663</v>
      </c>
      <c r="J191" s="12">
        <f>I191+15/1440</f>
        <v>0.55208333333333326</v>
      </c>
      <c r="K191" s="11">
        <v>20</v>
      </c>
      <c r="L191" s="12">
        <f>M190+5/1440</f>
        <v>0.63888888888888851</v>
      </c>
      <c r="M191" s="12">
        <f>L191+15/1440</f>
        <v>0.64930555555555514</v>
      </c>
    </row>
    <row r="192" spans="1:13" x14ac:dyDescent="0.25">
      <c r="A192" s="11">
        <v>3</v>
      </c>
      <c r="B192" s="16">
        <f t="shared" si="42"/>
        <v>0.3611111111111111</v>
      </c>
      <c r="C192" s="16">
        <f t="shared" ref="C192:C196" si="43">+B192+15/1440</f>
        <v>0.37152777777777779</v>
      </c>
      <c r="D192" s="11">
        <v>10</v>
      </c>
      <c r="E192" s="103">
        <f t="shared" ref="E192:E196" si="44">+G191+5/1440</f>
        <v>0.45833333333333337</v>
      </c>
      <c r="F192" s="104"/>
      <c r="G192" s="12">
        <f t="shared" ref="G192:G196" si="45">+E192+15/1440</f>
        <v>0.46875000000000006</v>
      </c>
      <c r="H192" s="11">
        <v>14</v>
      </c>
      <c r="I192" s="12">
        <f t="shared" ref="I192:I196" si="46">J191+5/1440</f>
        <v>0.55555555555555547</v>
      </c>
      <c r="J192" s="12">
        <f t="shared" ref="J192:J196" si="47">I192+15/1440</f>
        <v>0.5659722222222221</v>
      </c>
      <c r="K192" s="11">
        <v>21</v>
      </c>
      <c r="L192" s="21">
        <f t="shared" ref="L192:L196" si="48">M191+5/1440</f>
        <v>0.65277777777777735</v>
      </c>
      <c r="M192" s="21">
        <f t="shared" ref="M192:M196" si="49">L192+15/1440</f>
        <v>0.66319444444444398</v>
      </c>
    </row>
    <row r="193" spans="1:13" x14ac:dyDescent="0.25">
      <c r="A193" s="11">
        <v>4</v>
      </c>
      <c r="B193" s="16">
        <f t="shared" si="42"/>
        <v>0.375</v>
      </c>
      <c r="C193" s="16">
        <f t="shared" si="43"/>
        <v>0.38541666666666669</v>
      </c>
      <c r="D193" s="11">
        <v>11</v>
      </c>
      <c r="E193" s="103">
        <f t="shared" si="44"/>
        <v>0.47222222222222227</v>
      </c>
      <c r="F193" s="104"/>
      <c r="G193" s="12">
        <f t="shared" si="45"/>
        <v>0.48263888888888895</v>
      </c>
      <c r="H193" s="11">
        <v>15</v>
      </c>
      <c r="I193" s="12">
        <f t="shared" si="46"/>
        <v>0.56944444444444431</v>
      </c>
      <c r="J193" s="12">
        <f t="shared" si="47"/>
        <v>0.57986111111111094</v>
      </c>
      <c r="K193" s="11">
        <v>22</v>
      </c>
      <c r="L193" s="21">
        <f t="shared" si="48"/>
        <v>0.66666666666666619</v>
      </c>
      <c r="M193" s="21">
        <f t="shared" si="49"/>
        <v>0.67708333333333282</v>
      </c>
    </row>
    <row r="194" spans="1:13" x14ac:dyDescent="0.25">
      <c r="A194" s="11">
        <v>5</v>
      </c>
      <c r="B194" s="16">
        <f t="shared" si="42"/>
        <v>0.3888888888888889</v>
      </c>
      <c r="C194" s="16">
        <f t="shared" si="43"/>
        <v>0.39930555555555558</v>
      </c>
      <c r="D194" s="11">
        <v>12</v>
      </c>
      <c r="E194" s="103">
        <f t="shared" si="44"/>
        <v>0.48611111111111116</v>
      </c>
      <c r="F194" s="104"/>
      <c r="G194" s="12">
        <f t="shared" si="45"/>
        <v>0.49652777777777785</v>
      </c>
      <c r="H194" s="11">
        <v>16</v>
      </c>
      <c r="I194" s="12">
        <f t="shared" si="46"/>
        <v>0.58333333333333315</v>
      </c>
      <c r="J194" s="12">
        <f t="shared" si="47"/>
        <v>0.59374999999999978</v>
      </c>
      <c r="K194" s="11">
        <v>23</v>
      </c>
      <c r="L194" s="21">
        <f t="shared" si="48"/>
        <v>0.68055555555555503</v>
      </c>
      <c r="M194" s="21">
        <f t="shared" si="49"/>
        <v>0.69097222222222165</v>
      </c>
    </row>
    <row r="195" spans="1:13" x14ac:dyDescent="0.25">
      <c r="A195" s="11">
        <v>6</v>
      </c>
      <c r="B195" s="16">
        <f t="shared" si="42"/>
        <v>0.40277777777777779</v>
      </c>
      <c r="C195" s="16">
        <f t="shared" si="43"/>
        <v>0.41319444444444448</v>
      </c>
      <c r="D195" s="11"/>
      <c r="E195" s="77">
        <f t="shared" si="44"/>
        <v>0.50000000000000011</v>
      </c>
      <c r="F195" s="78"/>
      <c r="G195" s="21">
        <f t="shared" si="45"/>
        <v>0.51041666666666674</v>
      </c>
      <c r="H195" s="11">
        <v>17</v>
      </c>
      <c r="I195" s="12">
        <f t="shared" si="46"/>
        <v>0.59722222222222199</v>
      </c>
      <c r="J195" s="12">
        <f t="shared" si="47"/>
        <v>0.60763888888888862</v>
      </c>
      <c r="K195" s="11">
        <v>24</v>
      </c>
      <c r="L195" s="21">
        <f t="shared" si="48"/>
        <v>0.69444444444444386</v>
      </c>
      <c r="M195" s="21">
        <f t="shared" si="49"/>
        <v>0.70486111111111049</v>
      </c>
    </row>
    <row r="196" spans="1:13" x14ac:dyDescent="0.25">
      <c r="A196" s="11">
        <v>7</v>
      </c>
      <c r="B196" s="12">
        <f t="shared" si="42"/>
        <v>0.41666666666666669</v>
      </c>
      <c r="C196" s="12">
        <f t="shared" si="43"/>
        <v>0.42708333333333337</v>
      </c>
      <c r="D196" s="11"/>
      <c r="E196" s="77">
        <f t="shared" si="44"/>
        <v>0.51388888888888895</v>
      </c>
      <c r="F196" s="78"/>
      <c r="G196" s="21">
        <f t="shared" si="45"/>
        <v>0.52430555555555558</v>
      </c>
      <c r="H196" s="11">
        <v>18</v>
      </c>
      <c r="I196" s="12">
        <f t="shared" si="46"/>
        <v>0.61111111111111083</v>
      </c>
      <c r="J196" s="12">
        <f t="shared" si="47"/>
        <v>0.62152777777777746</v>
      </c>
      <c r="K196" s="11">
        <v>25</v>
      </c>
      <c r="L196" s="21">
        <f t="shared" si="48"/>
        <v>0.7083333333333327</v>
      </c>
      <c r="M196" s="21">
        <f t="shared" si="49"/>
        <v>0.71874999999999933</v>
      </c>
    </row>
    <row r="197" spans="1:13" x14ac:dyDescent="0.25">
      <c r="H197" s="36"/>
      <c r="I197" s="37"/>
      <c r="J197" s="37"/>
    </row>
    <row r="198" spans="1:13" x14ac:dyDescent="0.25">
      <c r="H198" s="36"/>
      <c r="I198" s="37"/>
      <c r="J198" s="37"/>
    </row>
  </sheetData>
  <mergeCells count="105">
    <mergeCell ref="E194:F194"/>
    <mergeCell ref="E195:F195"/>
    <mergeCell ref="E196:F196"/>
    <mergeCell ref="A188:D188"/>
    <mergeCell ref="E189:F189"/>
    <mergeCell ref="E190:F190"/>
    <mergeCell ref="E191:F191"/>
    <mergeCell ref="E192:F192"/>
    <mergeCell ref="E193:F193"/>
    <mergeCell ref="A159:B159"/>
    <mergeCell ref="E159:E185"/>
    <mergeCell ref="F160:G160"/>
    <mergeCell ref="A185:B185"/>
    <mergeCell ref="F186:G186"/>
    <mergeCell ref="A187:B187"/>
    <mergeCell ref="A156:B156"/>
    <mergeCell ref="I156:J156"/>
    <mergeCell ref="A157:B157"/>
    <mergeCell ref="C157:G157"/>
    <mergeCell ref="I157:J157"/>
    <mergeCell ref="I158:J158"/>
    <mergeCell ref="E147:F147"/>
    <mergeCell ref="E148:F148"/>
    <mergeCell ref="E149:F149"/>
    <mergeCell ref="E150:F150"/>
    <mergeCell ref="A154:D155"/>
    <mergeCell ref="E154:J155"/>
    <mergeCell ref="A141:B141"/>
    <mergeCell ref="A142:D142"/>
    <mergeCell ref="E143:F143"/>
    <mergeCell ref="E144:F144"/>
    <mergeCell ref="E145:F145"/>
    <mergeCell ref="E146:F146"/>
    <mergeCell ref="I112:J112"/>
    <mergeCell ref="A113:B113"/>
    <mergeCell ref="E113:E139"/>
    <mergeCell ref="F114:G114"/>
    <mergeCell ref="A139:B139"/>
    <mergeCell ref="F140:G140"/>
    <mergeCell ref="A110:B110"/>
    <mergeCell ref="C110:G110"/>
    <mergeCell ref="I110:J110"/>
    <mergeCell ref="A111:B111"/>
    <mergeCell ref="C111:G111"/>
    <mergeCell ref="I111:J111"/>
    <mergeCell ref="E100:F100"/>
    <mergeCell ref="E101:F101"/>
    <mergeCell ref="E102:F102"/>
    <mergeCell ref="E103:F103"/>
    <mergeCell ref="E104:F104"/>
    <mergeCell ref="A108:D109"/>
    <mergeCell ref="E108:J109"/>
    <mergeCell ref="F94:G94"/>
    <mergeCell ref="A95:B95"/>
    <mergeCell ref="A96:D96"/>
    <mergeCell ref="E97:F97"/>
    <mergeCell ref="E98:F98"/>
    <mergeCell ref="E99:F99"/>
    <mergeCell ref="A65:B65"/>
    <mergeCell ref="C65:G65"/>
    <mergeCell ref="I65:J65"/>
    <mergeCell ref="I66:J66"/>
    <mergeCell ref="A67:B67"/>
    <mergeCell ref="E67:E93"/>
    <mergeCell ref="F68:G68"/>
    <mergeCell ref="A93:B93"/>
    <mergeCell ref="E57:F57"/>
    <mergeCell ref="E58:F58"/>
    <mergeCell ref="A62:D63"/>
    <mergeCell ref="E62:J63"/>
    <mergeCell ref="A64:B64"/>
    <mergeCell ref="C64:G64"/>
    <mergeCell ref="I64:J64"/>
    <mergeCell ref="E51:F51"/>
    <mergeCell ref="E52:F52"/>
    <mergeCell ref="E53:F53"/>
    <mergeCell ref="E54:F54"/>
    <mergeCell ref="E55:F55"/>
    <mergeCell ref="E56:F56"/>
    <mergeCell ref="E42:F42"/>
    <mergeCell ref="E43:F43"/>
    <mergeCell ref="E44:F44"/>
    <mergeCell ref="E45:F45"/>
    <mergeCell ref="A50:D50"/>
    <mergeCell ref="A36:B36"/>
    <mergeCell ref="A37:D37"/>
    <mergeCell ref="E38:F38"/>
    <mergeCell ref="E39:F39"/>
    <mergeCell ref="E40:F40"/>
    <mergeCell ref="E41:F41"/>
    <mergeCell ref="I5:J5"/>
    <mergeCell ref="A6:B6"/>
    <mergeCell ref="E6:E32"/>
    <mergeCell ref="F7:G7"/>
    <mergeCell ref="A32:B32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A49:B49"/>
  </mergeCells>
  <pageMargins left="0.7" right="0.7" top="0.75" bottom="0.75" header="0.3" footer="0.3"/>
  <pageSetup paperSize="9" scale="1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584B-7B5C-4053-B425-7862AD1A9874}">
  <dimension ref="A1:M197"/>
  <sheetViews>
    <sheetView topLeftCell="A161" zoomScaleNormal="100" workbookViewId="0">
      <selection activeCell="E139" sqref="E139:J140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55</v>
      </c>
      <c r="D3" s="100"/>
      <c r="E3" s="100"/>
      <c r="F3" s="100"/>
      <c r="G3" s="100"/>
      <c r="H3" s="1" t="s">
        <v>1</v>
      </c>
      <c r="I3" s="101">
        <v>45507</v>
      </c>
      <c r="J3" s="102"/>
    </row>
    <row r="4" spans="1:10" ht="37.5" customHeight="1" x14ac:dyDescent="0.25">
      <c r="A4" s="87" t="s">
        <v>2</v>
      </c>
      <c r="B4" s="87"/>
      <c r="C4" s="88" t="s">
        <v>48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64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6</v>
      </c>
      <c r="G6" s="5" t="s">
        <v>8</v>
      </c>
      <c r="H6" s="6">
        <f>D32-(F6*400)</f>
        <v>101.5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0.11</v>
      </c>
      <c r="D10" s="20">
        <f>C10*$D$32</f>
        <v>275.16500000000002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0.21879999999999999</v>
      </c>
      <c r="D11" s="20">
        <f t="shared" ref="D11:D27" si="0">C11*$D$32</f>
        <v>547.32820000000004</v>
      </c>
      <c r="E11" s="92"/>
      <c r="F11" s="27" t="s">
        <v>25</v>
      </c>
      <c r="G11" s="33"/>
      <c r="H11" s="38">
        <v>0.1032</v>
      </c>
      <c r="I11" s="35">
        <f t="shared" ref="I11:I28" si="1">H11*$I$33</f>
        <v>41.28</v>
      </c>
      <c r="J11" s="35">
        <f t="shared" ref="J11:J28" si="2">H11*$J$33</f>
        <v>10.4748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0.219</v>
      </c>
      <c r="I12" s="35">
        <f t="shared" si="1"/>
        <v>87.6</v>
      </c>
      <c r="J12" s="35">
        <f t="shared" si="2"/>
        <v>22.2285</v>
      </c>
    </row>
    <row r="13" spans="1:10" ht="15.75" x14ac:dyDescent="0.25">
      <c r="A13" s="27" t="s">
        <v>26</v>
      </c>
      <c r="B13" s="29"/>
      <c r="C13" s="31">
        <v>1.9900000000000001E-2</v>
      </c>
      <c r="D13" s="20">
        <f t="shared" si="0"/>
        <v>49.779850000000003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1.5900000000000001E-2</v>
      </c>
      <c r="I14" s="35">
        <f t="shared" si="1"/>
        <v>6.36</v>
      </c>
      <c r="J14" s="35">
        <f t="shared" si="2"/>
        <v>1.61385</v>
      </c>
    </row>
    <row r="15" spans="1:10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0.45750000000000002</v>
      </c>
      <c r="D17" s="20">
        <f t="shared" si="0"/>
        <v>1144.43625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8">
        <v>0.46789999999999998</v>
      </c>
      <c r="I18" s="35">
        <f t="shared" si="1"/>
        <v>187.16</v>
      </c>
      <c r="J18" s="35">
        <f t="shared" si="2"/>
        <v>47.491849999999999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0.13919999999999999</v>
      </c>
      <c r="D21" s="20">
        <f t="shared" si="0"/>
        <v>348.2088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0.1394</v>
      </c>
      <c r="I22" s="35">
        <f t="shared" si="1"/>
        <v>55.76</v>
      </c>
      <c r="J22" s="35">
        <f t="shared" si="2"/>
        <v>14.149099999999999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>
        <v>0.01</v>
      </c>
      <c r="D25" s="20">
        <f t="shared" si="0"/>
        <v>25.015000000000001</v>
      </c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4.2200000000000001E-2</v>
      </c>
      <c r="D26" s="20">
        <f t="shared" si="0"/>
        <v>105.5633</v>
      </c>
      <c r="E26" s="92"/>
      <c r="F26" s="27" t="s">
        <v>16</v>
      </c>
      <c r="G26" s="24"/>
      <c r="H26" s="38">
        <v>0.01</v>
      </c>
      <c r="I26" s="35">
        <f t="shared" si="1"/>
        <v>4</v>
      </c>
      <c r="J26" s="35">
        <f t="shared" si="2"/>
        <v>1.0150000000000001</v>
      </c>
    </row>
    <row r="27" spans="1:10" ht="15.75" x14ac:dyDescent="0.25">
      <c r="A27" s="27" t="s">
        <v>33</v>
      </c>
      <c r="B27" s="23"/>
      <c r="C27" s="31">
        <v>2.3999999999999998E-3</v>
      </c>
      <c r="D27" s="20">
        <f t="shared" si="0"/>
        <v>6.0035999999999996</v>
      </c>
      <c r="E27" s="92"/>
      <c r="F27" s="27" t="s">
        <v>32</v>
      </c>
      <c r="G27" s="24"/>
      <c r="H27" s="38">
        <v>4.2200000000000001E-2</v>
      </c>
      <c r="I27" s="35">
        <f t="shared" si="1"/>
        <v>16.88</v>
      </c>
      <c r="J27" s="35">
        <f t="shared" si="2"/>
        <v>4.2833000000000006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2.3999999999999998E-3</v>
      </c>
      <c r="I28" s="35">
        <f t="shared" si="1"/>
        <v>0.96</v>
      </c>
      <c r="J28" s="35">
        <f t="shared" si="2"/>
        <v>0.24359999999999998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2501.5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101.5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103">
        <f>+C43+5/1440</f>
        <v>0.43055555555555558</v>
      </c>
      <c r="F37" s="104"/>
      <c r="G37" s="12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103">
        <f>+G37+5/1440</f>
        <v>0.44444444444444448</v>
      </c>
      <c r="F38" s="104"/>
      <c r="G38" s="12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103">
        <f t="shared" ref="E39:E43" si="5">+G38+5/1440</f>
        <v>0.45833333333333337</v>
      </c>
      <c r="F39" s="104"/>
      <c r="G39" s="12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103">
        <f t="shared" si="5"/>
        <v>0.47222222222222227</v>
      </c>
      <c r="F40" s="104"/>
      <c r="G40" s="12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103">
        <f t="shared" si="5"/>
        <v>0.48611111111111116</v>
      </c>
      <c r="F41" s="104"/>
      <c r="G41" s="12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>
        <v>13</v>
      </c>
      <c r="E42" s="103">
        <f t="shared" si="5"/>
        <v>0.50000000000000011</v>
      </c>
      <c r="F42" s="104"/>
      <c r="G42" s="12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ht="15.75" thickBot="1" x14ac:dyDescent="0.3">
      <c r="H46" s="36"/>
      <c r="I46" s="37"/>
      <c r="J46" s="37"/>
    </row>
    <row r="47" spans="1:13" x14ac:dyDescent="0.25">
      <c r="A47" s="94" t="s">
        <v>20</v>
      </c>
      <c r="B47" s="95"/>
      <c r="C47" s="95"/>
      <c r="D47" s="96"/>
      <c r="E47" s="95" t="s">
        <v>21</v>
      </c>
      <c r="F47" s="95"/>
      <c r="G47" s="95"/>
      <c r="H47" s="95"/>
      <c r="I47" s="95"/>
      <c r="J47" s="96"/>
    </row>
    <row r="48" spans="1:13" ht="15.75" thickBot="1" x14ac:dyDescent="0.3">
      <c r="A48" s="97"/>
      <c r="B48" s="98"/>
      <c r="C48" s="98"/>
      <c r="D48" s="99"/>
      <c r="E48" s="98"/>
      <c r="F48" s="98"/>
      <c r="G48" s="98"/>
      <c r="H48" s="98"/>
      <c r="I48" s="98"/>
      <c r="J48" s="99"/>
    </row>
    <row r="49" spans="1:10" ht="18.75" x14ac:dyDescent="0.25">
      <c r="A49" s="87" t="s">
        <v>0</v>
      </c>
      <c r="B49" s="87"/>
      <c r="C49" s="100" t="s">
        <v>54</v>
      </c>
      <c r="D49" s="100"/>
      <c r="E49" s="100"/>
      <c r="F49" s="100"/>
      <c r="G49" s="100"/>
      <c r="H49" s="1" t="s">
        <v>1</v>
      </c>
      <c r="I49" s="101">
        <v>45516</v>
      </c>
      <c r="J49" s="102"/>
    </row>
    <row r="50" spans="1:10" ht="29.25" customHeight="1" x14ac:dyDescent="0.25">
      <c r="A50" s="87" t="s">
        <v>2</v>
      </c>
      <c r="B50" s="87"/>
      <c r="C50" s="88" t="s">
        <v>38</v>
      </c>
      <c r="D50" s="88"/>
      <c r="E50" s="88"/>
      <c r="F50" s="88"/>
      <c r="G50" s="88"/>
      <c r="H50" s="1" t="s">
        <v>3</v>
      </c>
      <c r="I50" s="89" t="s">
        <v>37</v>
      </c>
      <c r="J50" s="89"/>
    </row>
    <row r="51" spans="1:10" x14ac:dyDescent="0.25">
      <c r="A51" s="2"/>
      <c r="B51" s="2"/>
      <c r="C51" s="2"/>
      <c r="D51" s="2"/>
      <c r="E51" s="2"/>
      <c r="F51" s="2"/>
      <c r="G51" s="2"/>
      <c r="I51" s="90" t="s">
        <v>15</v>
      </c>
      <c r="J51" s="90"/>
    </row>
    <row r="52" spans="1:10" ht="19.5" thickBot="1" x14ac:dyDescent="0.35">
      <c r="A52" s="91" t="s">
        <v>4</v>
      </c>
      <c r="B52" s="91"/>
      <c r="C52" s="3" t="s">
        <v>5</v>
      </c>
      <c r="D52" s="14" t="s">
        <v>6</v>
      </c>
      <c r="E52" s="92" t="s">
        <v>7</v>
      </c>
      <c r="F52" s="4">
        <f>ROUNDDOWN(D78/400,0)</f>
        <v>5</v>
      </c>
      <c r="G52" s="5" t="s">
        <v>8</v>
      </c>
      <c r="H52" s="6">
        <f>D78-(F52*400)</f>
        <v>270.27</v>
      </c>
      <c r="I52" s="7" t="s">
        <v>9</v>
      </c>
    </row>
    <row r="53" spans="1:10" ht="16.5" thickBot="1" x14ac:dyDescent="0.3">
      <c r="A53" s="26" t="s">
        <v>23</v>
      </c>
      <c r="B53" s="29"/>
      <c r="C53" s="30"/>
      <c r="D53" s="20"/>
      <c r="E53" s="92"/>
      <c r="F53" s="91" t="s">
        <v>4</v>
      </c>
      <c r="G53" s="91"/>
      <c r="H53" s="3" t="s">
        <v>5</v>
      </c>
      <c r="I53" s="14" t="s">
        <v>6</v>
      </c>
      <c r="J53" s="14" t="s">
        <v>6</v>
      </c>
    </row>
    <row r="54" spans="1:10" ht="15.75" x14ac:dyDescent="0.25">
      <c r="A54" s="26" t="s">
        <v>42</v>
      </c>
      <c r="B54" s="29"/>
      <c r="C54" s="39"/>
      <c r="D54" s="20"/>
      <c r="E54" s="92"/>
      <c r="F54" s="26" t="s">
        <v>23</v>
      </c>
      <c r="G54" s="33"/>
      <c r="H54" s="30"/>
      <c r="I54" s="35"/>
      <c r="J54" s="35"/>
    </row>
    <row r="55" spans="1:10" ht="15.75" x14ac:dyDescent="0.25">
      <c r="A55" s="27" t="s">
        <v>24</v>
      </c>
      <c r="B55" s="29"/>
      <c r="C55" s="31"/>
      <c r="D55" s="20"/>
      <c r="E55" s="92"/>
      <c r="F55" s="26" t="s">
        <v>42</v>
      </c>
      <c r="G55" s="33"/>
      <c r="H55" s="39"/>
      <c r="I55" s="35"/>
      <c r="J55" s="35"/>
    </row>
    <row r="56" spans="1:10" ht="15.75" x14ac:dyDescent="0.25">
      <c r="A56" s="27" t="s">
        <v>25</v>
      </c>
      <c r="B56" s="29"/>
      <c r="C56" s="31">
        <v>0.10829999999999999</v>
      </c>
      <c r="D56" s="20">
        <f>C56*$D$32</f>
        <v>270.91244999999998</v>
      </c>
      <c r="E56" s="92"/>
      <c r="F56" s="27" t="s">
        <v>24</v>
      </c>
      <c r="G56" s="33"/>
      <c r="H56" s="31"/>
      <c r="I56" s="35"/>
      <c r="J56" s="35"/>
    </row>
    <row r="57" spans="1:10" ht="15.75" x14ac:dyDescent="0.25">
      <c r="A57" s="27" t="s">
        <v>47</v>
      </c>
      <c r="B57" s="29"/>
      <c r="C57" s="31">
        <v>0.36359999999999998</v>
      </c>
      <c r="D57" s="20">
        <f t="shared" ref="D57:D73" si="11">C57*$D$32</f>
        <v>909.54539999999997</v>
      </c>
      <c r="E57" s="92"/>
      <c r="F57" s="27" t="s">
        <v>25</v>
      </c>
      <c r="G57" s="33"/>
      <c r="H57" s="31">
        <v>0.10829999999999999</v>
      </c>
      <c r="I57" s="35">
        <f t="shared" ref="I57:I74" si="12">H57*$I$33</f>
        <v>43.32</v>
      </c>
      <c r="J57" s="35">
        <f t="shared" ref="J57:J74" si="13">H57*$J$33</f>
        <v>10.99245</v>
      </c>
    </row>
    <row r="58" spans="1:10" ht="15.75" x14ac:dyDescent="0.25">
      <c r="A58" s="27" t="s">
        <v>46</v>
      </c>
      <c r="B58" s="29"/>
      <c r="C58" s="31"/>
      <c r="D58" s="20"/>
      <c r="E58" s="92"/>
      <c r="F58" s="27" t="s">
        <v>47</v>
      </c>
      <c r="G58" s="33"/>
      <c r="H58" s="31">
        <v>0.36359999999999998</v>
      </c>
      <c r="I58" s="35">
        <f t="shared" si="12"/>
        <v>145.44</v>
      </c>
      <c r="J58" s="35">
        <f t="shared" si="13"/>
        <v>36.9054</v>
      </c>
    </row>
    <row r="59" spans="1:10" ht="15.75" x14ac:dyDescent="0.25">
      <c r="A59" s="27" t="s">
        <v>26</v>
      </c>
      <c r="B59" s="29"/>
      <c r="C59" s="31">
        <v>0.11360000000000001</v>
      </c>
      <c r="D59" s="20">
        <f t="shared" si="11"/>
        <v>284.17040000000003</v>
      </c>
      <c r="E59" s="92"/>
      <c r="F59" s="27" t="s">
        <v>46</v>
      </c>
      <c r="G59" s="33"/>
      <c r="H59" s="31"/>
      <c r="I59" s="35"/>
      <c r="J59" s="35"/>
    </row>
    <row r="60" spans="1:10" ht="15.75" x14ac:dyDescent="0.25">
      <c r="A60" s="27" t="s">
        <v>43</v>
      </c>
      <c r="B60" s="29"/>
      <c r="C60" s="31"/>
      <c r="D60" s="20"/>
      <c r="E60" s="92"/>
      <c r="F60" s="27" t="s">
        <v>26</v>
      </c>
      <c r="G60" s="33"/>
      <c r="H60" s="31">
        <v>0.11360000000000001</v>
      </c>
      <c r="I60" s="35">
        <f t="shared" si="12"/>
        <v>45.440000000000005</v>
      </c>
      <c r="J60" s="35">
        <f t="shared" si="13"/>
        <v>11.5304</v>
      </c>
    </row>
    <row r="61" spans="1:10" ht="15.75" x14ac:dyDescent="0.25">
      <c r="A61" s="27" t="s">
        <v>19</v>
      </c>
      <c r="B61" s="29"/>
      <c r="C61" s="31">
        <v>0.11360000000000001</v>
      </c>
      <c r="D61" s="20">
        <f t="shared" si="11"/>
        <v>284.17040000000003</v>
      </c>
      <c r="E61" s="92"/>
      <c r="F61" s="27" t="s">
        <v>43</v>
      </c>
      <c r="G61" s="33"/>
      <c r="H61" s="31"/>
      <c r="I61" s="35"/>
      <c r="J61" s="35"/>
    </row>
    <row r="62" spans="1:10" ht="15.75" x14ac:dyDescent="0.25">
      <c r="A62" s="27" t="s">
        <v>27</v>
      </c>
      <c r="B62" s="29"/>
      <c r="C62" s="31"/>
      <c r="D62" s="20"/>
      <c r="E62" s="92"/>
      <c r="F62" s="27" t="s">
        <v>19</v>
      </c>
      <c r="G62" s="33"/>
      <c r="H62" s="31">
        <v>0.11360000000000001</v>
      </c>
      <c r="I62" s="35">
        <f t="shared" si="12"/>
        <v>45.440000000000005</v>
      </c>
      <c r="J62" s="35">
        <f t="shared" si="13"/>
        <v>11.5304</v>
      </c>
    </row>
    <row r="63" spans="1:10" ht="15.75" x14ac:dyDescent="0.25">
      <c r="A63" s="27" t="s">
        <v>44</v>
      </c>
      <c r="B63" s="29"/>
      <c r="C63" s="31"/>
      <c r="D63" s="20"/>
      <c r="E63" s="92"/>
      <c r="F63" s="27" t="s">
        <v>27</v>
      </c>
      <c r="G63" s="33"/>
      <c r="H63" s="31"/>
      <c r="I63" s="35"/>
      <c r="J63" s="35"/>
    </row>
    <row r="64" spans="1:10" ht="15.75" x14ac:dyDescent="0.25">
      <c r="A64" s="27" t="s">
        <v>28</v>
      </c>
      <c r="B64" s="29"/>
      <c r="C64" s="31">
        <v>0.18179999999999999</v>
      </c>
      <c r="D64" s="20">
        <f t="shared" si="11"/>
        <v>454.77269999999999</v>
      </c>
      <c r="E64" s="92"/>
      <c r="F64" s="27" t="s">
        <v>44</v>
      </c>
      <c r="G64" s="33"/>
      <c r="H64" s="31"/>
      <c r="I64" s="35"/>
      <c r="J64" s="35"/>
    </row>
    <row r="65" spans="1:10" ht="15.75" x14ac:dyDescent="0.25">
      <c r="A65" s="27" t="s">
        <v>45</v>
      </c>
      <c r="B65" s="29"/>
      <c r="C65" s="31"/>
      <c r="D65" s="20"/>
      <c r="E65" s="92"/>
      <c r="F65" s="27" t="s">
        <v>28</v>
      </c>
      <c r="G65" s="33"/>
      <c r="H65" s="31">
        <v>0.18179999999999999</v>
      </c>
      <c r="I65" s="35">
        <f t="shared" si="12"/>
        <v>72.72</v>
      </c>
      <c r="J65" s="35">
        <f t="shared" si="13"/>
        <v>18.4527</v>
      </c>
    </row>
    <row r="66" spans="1:10" ht="15.75" x14ac:dyDescent="0.25">
      <c r="A66" s="27" t="s">
        <v>10</v>
      </c>
      <c r="B66" s="29"/>
      <c r="C66" s="31"/>
      <c r="D66" s="20"/>
      <c r="E66" s="92"/>
      <c r="F66" s="27" t="s">
        <v>45</v>
      </c>
      <c r="G66" s="33"/>
      <c r="H66" s="31"/>
      <c r="I66" s="35"/>
      <c r="J66" s="35"/>
    </row>
    <row r="67" spans="1:10" ht="15.75" x14ac:dyDescent="0.25">
      <c r="A67" s="27" t="s">
        <v>29</v>
      </c>
      <c r="B67" s="29"/>
      <c r="C67" s="31">
        <v>6.8199999999999997E-2</v>
      </c>
      <c r="D67" s="20">
        <f t="shared" si="11"/>
        <v>170.60229999999999</v>
      </c>
      <c r="E67" s="92"/>
      <c r="F67" s="27" t="s">
        <v>10</v>
      </c>
      <c r="G67" s="33"/>
      <c r="H67" s="31"/>
      <c r="I67" s="35"/>
      <c r="J67" s="35"/>
    </row>
    <row r="68" spans="1:10" ht="15.75" x14ac:dyDescent="0.25">
      <c r="A68" s="27" t="s">
        <v>17</v>
      </c>
      <c r="B68" s="29"/>
      <c r="C68" s="31"/>
      <c r="D68" s="20"/>
      <c r="E68" s="92"/>
      <c r="F68" s="27" t="s">
        <v>29</v>
      </c>
      <c r="G68" s="33"/>
      <c r="H68" s="31">
        <v>6.8199999999999997E-2</v>
      </c>
      <c r="I68" s="35">
        <f t="shared" si="12"/>
        <v>27.279999999999998</v>
      </c>
      <c r="J68" s="35">
        <f t="shared" si="13"/>
        <v>6.9222999999999999</v>
      </c>
    </row>
    <row r="69" spans="1:10" ht="15.75" x14ac:dyDescent="0.25">
      <c r="A69" s="27" t="s">
        <v>30</v>
      </c>
      <c r="B69" s="29"/>
      <c r="C69" s="31"/>
      <c r="D69" s="20"/>
      <c r="E69" s="92"/>
      <c r="F69" s="27" t="s">
        <v>17</v>
      </c>
      <c r="G69" s="33"/>
      <c r="H69" s="31"/>
      <c r="I69" s="35"/>
      <c r="J69" s="35"/>
    </row>
    <row r="70" spans="1:10" ht="15.75" x14ac:dyDescent="0.25">
      <c r="A70" s="27" t="s">
        <v>31</v>
      </c>
      <c r="B70" s="29"/>
      <c r="C70" s="31"/>
      <c r="D70" s="20"/>
      <c r="E70" s="92"/>
      <c r="F70" s="27" t="s">
        <v>30</v>
      </c>
      <c r="G70" s="33"/>
      <c r="H70" s="31"/>
      <c r="I70" s="35"/>
      <c r="J70" s="35"/>
    </row>
    <row r="71" spans="1:10" ht="15.75" x14ac:dyDescent="0.25">
      <c r="A71" s="27" t="s">
        <v>16</v>
      </c>
      <c r="B71" s="29"/>
      <c r="C71" s="31"/>
      <c r="D71" s="20"/>
      <c r="E71" s="92"/>
      <c r="F71" s="27" t="s">
        <v>31</v>
      </c>
      <c r="G71" s="33"/>
      <c r="H71" s="31"/>
      <c r="I71" s="35"/>
      <c r="J71" s="35"/>
    </row>
    <row r="72" spans="1:10" ht="15.75" x14ac:dyDescent="0.25">
      <c r="A72" s="27" t="s">
        <v>32</v>
      </c>
      <c r="B72" s="23"/>
      <c r="C72" s="31">
        <v>4.82E-2</v>
      </c>
      <c r="D72" s="20">
        <f t="shared" si="11"/>
        <v>120.5723</v>
      </c>
      <c r="E72" s="92"/>
      <c r="F72" s="27" t="s">
        <v>16</v>
      </c>
      <c r="G72" s="24"/>
      <c r="H72" s="31"/>
      <c r="I72" s="35"/>
      <c r="J72" s="35"/>
    </row>
    <row r="73" spans="1:10" ht="15.75" x14ac:dyDescent="0.25">
      <c r="A73" s="27" t="s">
        <v>33</v>
      </c>
      <c r="B73" s="23"/>
      <c r="C73" s="31">
        <v>2.7000000000000001E-3</v>
      </c>
      <c r="D73" s="20">
        <f t="shared" si="11"/>
        <v>6.7540500000000003</v>
      </c>
      <c r="E73" s="92"/>
      <c r="F73" s="27" t="s">
        <v>32</v>
      </c>
      <c r="G73" s="24"/>
      <c r="H73" s="31">
        <v>4.82E-2</v>
      </c>
      <c r="I73" s="35">
        <f t="shared" si="12"/>
        <v>19.28</v>
      </c>
      <c r="J73" s="35">
        <f t="shared" si="13"/>
        <v>4.8922999999999996</v>
      </c>
    </row>
    <row r="74" spans="1:10" ht="15.75" x14ac:dyDescent="0.25">
      <c r="A74" s="27" t="s">
        <v>34</v>
      </c>
      <c r="B74" s="23"/>
      <c r="C74" s="31"/>
      <c r="D74" s="20"/>
      <c r="E74" s="92"/>
      <c r="F74" s="27" t="s">
        <v>33</v>
      </c>
      <c r="G74" s="24"/>
      <c r="H74" s="31">
        <v>2.7000000000000001E-3</v>
      </c>
      <c r="I74" s="35">
        <f t="shared" si="12"/>
        <v>1.08</v>
      </c>
      <c r="J74" s="35">
        <f t="shared" si="13"/>
        <v>0.27405000000000002</v>
      </c>
    </row>
    <row r="75" spans="1:10" ht="15.75" x14ac:dyDescent="0.25">
      <c r="A75" s="27" t="s">
        <v>22</v>
      </c>
      <c r="B75" s="23"/>
      <c r="C75" s="31"/>
      <c r="D75" s="20"/>
      <c r="E75" s="92"/>
      <c r="F75" s="27" t="s">
        <v>34</v>
      </c>
      <c r="G75" s="24"/>
      <c r="H75" s="31"/>
      <c r="I75" s="35"/>
      <c r="J75" s="35"/>
    </row>
    <row r="76" spans="1:10" ht="15.75" x14ac:dyDescent="0.25">
      <c r="A76" s="27" t="s">
        <v>35</v>
      </c>
      <c r="B76" s="29"/>
      <c r="C76" s="31"/>
      <c r="D76" s="20"/>
      <c r="E76" s="92"/>
      <c r="F76" s="27" t="s">
        <v>22</v>
      </c>
      <c r="G76" s="33"/>
      <c r="H76" s="31"/>
      <c r="I76" s="35"/>
      <c r="J76" s="35"/>
    </row>
    <row r="77" spans="1:10" ht="16.5" thickBot="1" x14ac:dyDescent="0.3">
      <c r="A77" s="28" t="s">
        <v>36</v>
      </c>
      <c r="B77" s="29"/>
      <c r="C77" s="32"/>
      <c r="D77" s="20"/>
      <c r="E77" s="92"/>
      <c r="F77" s="27" t="s">
        <v>35</v>
      </c>
      <c r="G77" s="33"/>
      <c r="H77" s="31"/>
      <c r="I77" s="35"/>
      <c r="J77" s="35"/>
    </row>
    <row r="78" spans="1:10" ht="16.5" thickBot="1" x14ac:dyDescent="0.3">
      <c r="A78" s="93" t="s">
        <v>11</v>
      </c>
      <c r="B78" s="93"/>
      <c r="C78" s="8">
        <f>SUM(C53:C77)</f>
        <v>1</v>
      </c>
      <c r="D78" s="15">
        <v>2270.27</v>
      </c>
      <c r="E78" s="92"/>
      <c r="F78" s="28" t="s">
        <v>36</v>
      </c>
      <c r="G78" s="34"/>
      <c r="H78" s="32"/>
      <c r="I78" s="35"/>
      <c r="J78" s="35"/>
    </row>
    <row r="79" spans="1:10" x14ac:dyDescent="0.25">
      <c r="A79" s="2"/>
      <c r="B79" s="2"/>
      <c r="C79" s="2"/>
      <c r="D79" s="2"/>
      <c r="E79" s="2"/>
      <c r="F79" s="81" t="s">
        <v>11</v>
      </c>
      <c r="G79" s="81"/>
      <c r="H79" s="17">
        <f>SUM(H54:H78)</f>
        <v>1</v>
      </c>
      <c r="I79" s="13">
        <v>400</v>
      </c>
      <c r="J79" s="13">
        <f>+H52</f>
        <v>270.27</v>
      </c>
    </row>
    <row r="80" spans="1:10" ht="23.25" x14ac:dyDescent="0.35">
      <c r="A80" s="82"/>
      <c r="B80" s="83"/>
      <c r="C80" s="2"/>
      <c r="D80" s="2"/>
      <c r="E80" s="2"/>
      <c r="F80" s="18"/>
      <c r="G80" s="18"/>
      <c r="H80" s="19"/>
      <c r="I80" s="18"/>
      <c r="J80" s="18"/>
    </row>
    <row r="81" spans="1:13" x14ac:dyDescent="0.25">
      <c r="A81" s="84" t="s">
        <v>18</v>
      </c>
      <c r="B81" s="84"/>
      <c r="C81" s="84"/>
      <c r="D81" s="84"/>
      <c r="E81" s="2"/>
      <c r="F81" s="2"/>
      <c r="G81" s="2"/>
    </row>
    <row r="82" spans="1:13" x14ac:dyDescent="0.25">
      <c r="A82" s="9" t="s">
        <v>12</v>
      </c>
      <c r="B82" s="9" t="s">
        <v>13</v>
      </c>
      <c r="C82" s="9" t="s">
        <v>14</v>
      </c>
      <c r="D82" s="10" t="s">
        <v>12</v>
      </c>
      <c r="E82" s="85" t="s">
        <v>13</v>
      </c>
      <c r="F82" s="86"/>
      <c r="G82" s="10" t="s">
        <v>14</v>
      </c>
      <c r="H82" s="9" t="s">
        <v>12</v>
      </c>
      <c r="I82" s="10" t="s">
        <v>13</v>
      </c>
      <c r="J82" s="10" t="s">
        <v>14</v>
      </c>
      <c r="K82" s="9" t="s">
        <v>12</v>
      </c>
      <c r="L82" s="10" t="s">
        <v>13</v>
      </c>
      <c r="M82" s="10" t="s">
        <v>14</v>
      </c>
    </row>
    <row r="83" spans="1:13" x14ac:dyDescent="0.25">
      <c r="A83" s="11">
        <v>1</v>
      </c>
      <c r="B83" s="16">
        <v>0.33333333333333331</v>
      </c>
      <c r="C83" s="16">
        <f>+B83+15/1440</f>
        <v>0.34375</v>
      </c>
      <c r="D83" s="11">
        <v>8</v>
      </c>
      <c r="E83" s="103">
        <f>+C89+5/1440</f>
        <v>0.43055555555555558</v>
      </c>
      <c r="F83" s="104"/>
      <c r="G83" s="58">
        <f>+E83+15/1440</f>
        <v>0.44097222222222227</v>
      </c>
      <c r="H83" s="11"/>
      <c r="I83" s="12">
        <f>G89+5/1440</f>
        <v>0.52777777777777779</v>
      </c>
      <c r="J83" s="12">
        <f>I83+15/1440</f>
        <v>0.53819444444444442</v>
      </c>
      <c r="K83" s="11">
        <v>19</v>
      </c>
      <c r="L83" s="12">
        <f>J89+5/1440</f>
        <v>0.62499999999999967</v>
      </c>
      <c r="M83" s="12">
        <f>L83+15/1440</f>
        <v>0.6354166666666663</v>
      </c>
    </row>
    <row r="84" spans="1:13" x14ac:dyDescent="0.25">
      <c r="A84" s="11">
        <v>2</v>
      </c>
      <c r="B84" s="16">
        <f t="shared" ref="B84:B89" si="14">+C83+5/1440</f>
        <v>0.34722222222222221</v>
      </c>
      <c r="C84" s="16">
        <f>+B84+15/1440</f>
        <v>0.3576388888888889</v>
      </c>
      <c r="D84" s="11">
        <v>9</v>
      </c>
      <c r="E84" s="103">
        <f>+G83+5/1440</f>
        <v>0.44444444444444448</v>
      </c>
      <c r="F84" s="104"/>
      <c r="G84" s="12">
        <f>+E84+15/1440</f>
        <v>0.45486111111111116</v>
      </c>
      <c r="H84" s="11">
        <v>13</v>
      </c>
      <c r="I84" s="12">
        <f>J83+5/1440</f>
        <v>0.54166666666666663</v>
      </c>
      <c r="J84" s="12">
        <f>I84+15/1440</f>
        <v>0.55208333333333326</v>
      </c>
      <c r="K84" s="11">
        <v>20</v>
      </c>
      <c r="L84" s="12">
        <f>M83+5/1440</f>
        <v>0.63888888888888851</v>
      </c>
      <c r="M84" s="12">
        <f>L84+15/1440</f>
        <v>0.64930555555555514</v>
      </c>
    </row>
    <row r="85" spans="1:13" x14ac:dyDescent="0.25">
      <c r="A85" s="11">
        <v>3</v>
      </c>
      <c r="B85" s="16">
        <f t="shared" si="14"/>
        <v>0.3611111111111111</v>
      </c>
      <c r="C85" s="16">
        <f t="shared" ref="C85:C89" si="15">+B85+15/1440</f>
        <v>0.37152777777777779</v>
      </c>
      <c r="D85" s="11">
        <v>10</v>
      </c>
      <c r="E85" s="103">
        <f t="shared" ref="E85:E89" si="16">+G84+5/1440</f>
        <v>0.45833333333333337</v>
      </c>
      <c r="F85" s="104"/>
      <c r="G85" s="12">
        <f t="shared" ref="G85:G89" si="17">+E85+15/1440</f>
        <v>0.46875000000000006</v>
      </c>
      <c r="H85" s="11">
        <v>14</v>
      </c>
      <c r="I85" s="12">
        <f t="shared" ref="I85:I89" si="18">J84+5/1440</f>
        <v>0.55555555555555547</v>
      </c>
      <c r="J85" s="12">
        <f t="shared" ref="J85:J89" si="19">I85+15/1440</f>
        <v>0.5659722222222221</v>
      </c>
      <c r="K85" s="11">
        <v>21</v>
      </c>
      <c r="L85" s="21">
        <f t="shared" ref="L85:L89" si="20">M84+5/1440</f>
        <v>0.65277777777777735</v>
      </c>
      <c r="M85" s="21">
        <f t="shared" ref="M85:M89" si="21">L85+15/1440</f>
        <v>0.66319444444444398</v>
      </c>
    </row>
    <row r="86" spans="1:13" x14ac:dyDescent="0.25">
      <c r="A86" s="11">
        <v>4</v>
      </c>
      <c r="B86" s="16">
        <f t="shared" si="14"/>
        <v>0.375</v>
      </c>
      <c r="C86" s="16">
        <f t="shared" si="15"/>
        <v>0.38541666666666669</v>
      </c>
      <c r="D86" s="11">
        <v>11</v>
      </c>
      <c r="E86" s="103">
        <f t="shared" si="16"/>
        <v>0.47222222222222227</v>
      </c>
      <c r="F86" s="104"/>
      <c r="G86" s="12">
        <f t="shared" si="17"/>
        <v>0.48263888888888895</v>
      </c>
      <c r="H86" s="11">
        <v>15</v>
      </c>
      <c r="I86" s="12">
        <f t="shared" si="18"/>
        <v>0.56944444444444431</v>
      </c>
      <c r="J86" s="12">
        <f t="shared" si="19"/>
        <v>0.57986111111111094</v>
      </c>
      <c r="K86" s="11">
        <v>22</v>
      </c>
      <c r="L86" s="21">
        <f t="shared" si="20"/>
        <v>0.66666666666666619</v>
      </c>
      <c r="M86" s="21">
        <f t="shared" si="21"/>
        <v>0.67708333333333282</v>
      </c>
    </row>
    <row r="87" spans="1:13" x14ac:dyDescent="0.25">
      <c r="A87" s="11">
        <v>5</v>
      </c>
      <c r="B87" s="16">
        <f t="shared" si="14"/>
        <v>0.3888888888888889</v>
      </c>
      <c r="C87" s="16">
        <f t="shared" si="15"/>
        <v>0.39930555555555558</v>
      </c>
      <c r="D87" s="11">
        <v>12</v>
      </c>
      <c r="E87" s="103">
        <f t="shared" si="16"/>
        <v>0.48611111111111116</v>
      </c>
      <c r="F87" s="104"/>
      <c r="G87" s="12">
        <f t="shared" si="17"/>
        <v>0.49652777777777785</v>
      </c>
      <c r="H87" s="11">
        <v>16</v>
      </c>
      <c r="I87" s="12">
        <f t="shared" si="18"/>
        <v>0.58333333333333315</v>
      </c>
      <c r="J87" s="12">
        <f t="shared" si="19"/>
        <v>0.59374999999999978</v>
      </c>
      <c r="K87" s="11">
        <v>23</v>
      </c>
      <c r="L87" s="21">
        <f t="shared" si="20"/>
        <v>0.68055555555555503</v>
      </c>
      <c r="M87" s="21">
        <f t="shared" si="21"/>
        <v>0.69097222222222165</v>
      </c>
    </row>
    <row r="88" spans="1:13" x14ac:dyDescent="0.25">
      <c r="A88" s="11">
        <v>6</v>
      </c>
      <c r="B88" s="16">
        <f t="shared" si="14"/>
        <v>0.40277777777777779</v>
      </c>
      <c r="C88" s="16">
        <f t="shared" si="15"/>
        <v>0.41319444444444448</v>
      </c>
      <c r="D88" s="11"/>
      <c r="E88" s="77">
        <f t="shared" si="16"/>
        <v>0.50000000000000011</v>
      </c>
      <c r="F88" s="78"/>
      <c r="G88" s="21">
        <f t="shared" si="17"/>
        <v>0.51041666666666674</v>
      </c>
      <c r="H88" s="11">
        <v>17</v>
      </c>
      <c r="I88" s="12">
        <f t="shared" si="18"/>
        <v>0.59722222222222199</v>
      </c>
      <c r="J88" s="12">
        <f t="shared" si="19"/>
        <v>0.60763888888888862</v>
      </c>
      <c r="K88" s="11">
        <v>24</v>
      </c>
      <c r="L88" s="21">
        <f t="shared" si="20"/>
        <v>0.69444444444444386</v>
      </c>
      <c r="M88" s="21">
        <f t="shared" si="21"/>
        <v>0.70486111111111049</v>
      </c>
    </row>
    <row r="89" spans="1:13" x14ac:dyDescent="0.25">
      <c r="A89" s="11">
        <v>7</v>
      </c>
      <c r="B89" s="12">
        <f t="shared" si="14"/>
        <v>0.41666666666666669</v>
      </c>
      <c r="C89" s="12">
        <f t="shared" si="15"/>
        <v>0.42708333333333337</v>
      </c>
      <c r="D89" s="11"/>
      <c r="E89" s="77">
        <f t="shared" si="16"/>
        <v>0.51388888888888895</v>
      </c>
      <c r="F89" s="78"/>
      <c r="G89" s="21">
        <f t="shared" si="17"/>
        <v>0.52430555555555558</v>
      </c>
      <c r="H89" s="11">
        <v>18</v>
      </c>
      <c r="I89" s="12">
        <f t="shared" si="18"/>
        <v>0.61111111111111083</v>
      </c>
      <c r="J89" s="12">
        <f t="shared" si="19"/>
        <v>0.62152777777777746</v>
      </c>
      <c r="K89" s="11">
        <v>25</v>
      </c>
      <c r="L89" s="21">
        <f t="shared" si="20"/>
        <v>0.7083333333333327</v>
      </c>
      <c r="M89" s="21">
        <f t="shared" si="21"/>
        <v>0.71874999999999933</v>
      </c>
    </row>
    <row r="92" spans="1:13" ht="15.75" thickBot="1" x14ac:dyDescent="0.3"/>
    <row r="93" spans="1:13" x14ac:dyDescent="0.25">
      <c r="A93" s="94" t="s">
        <v>20</v>
      </c>
      <c r="B93" s="95"/>
      <c r="C93" s="95"/>
      <c r="D93" s="96"/>
      <c r="E93" s="95" t="s">
        <v>21</v>
      </c>
      <c r="F93" s="95"/>
      <c r="G93" s="95"/>
      <c r="H93" s="95"/>
      <c r="I93" s="95"/>
      <c r="J93" s="96"/>
    </row>
    <row r="94" spans="1:13" ht="15.75" thickBot="1" x14ac:dyDescent="0.3">
      <c r="A94" s="97"/>
      <c r="B94" s="98"/>
      <c r="C94" s="98"/>
      <c r="D94" s="99"/>
      <c r="E94" s="98"/>
      <c r="F94" s="98"/>
      <c r="G94" s="98"/>
      <c r="H94" s="98"/>
      <c r="I94" s="98"/>
      <c r="J94" s="99"/>
    </row>
    <row r="95" spans="1:13" ht="18.75" x14ac:dyDescent="0.25">
      <c r="A95" s="87" t="s">
        <v>0</v>
      </c>
      <c r="B95" s="87"/>
      <c r="C95" s="42" t="s">
        <v>52</v>
      </c>
      <c r="D95" s="42"/>
      <c r="E95" s="42"/>
      <c r="F95" s="42"/>
      <c r="G95" s="42"/>
      <c r="H95" s="1" t="s">
        <v>1</v>
      </c>
      <c r="I95" s="101">
        <v>45516</v>
      </c>
      <c r="J95" s="102"/>
    </row>
    <row r="96" spans="1:13" ht="42.75" customHeight="1" x14ac:dyDescent="0.25">
      <c r="A96" s="87" t="s">
        <v>2</v>
      </c>
      <c r="B96" s="87"/>
      <c r="C96" s="88" t="s">
        <v>53</v>
      </c>
      <c r="D96" s="88"/>
      <c r="E96" s="88"/>
      <c r="F96" s="88"/>
      <c r="G96" s="88"/>
      <c r="H96" s="1" t="s">
        <v>3</v>
      </c>
      <c r="I96" s="89" t="s">
        <v>37</v>
      </c>
      <c r="J96" s="89"/>
    </row>
    <row r="97" spans="1:10" x14ac:dyDescent="0.25">
      <c r="A97" s="2"/>
      <c r="B97" s="2"/>
      <c r="C97" s="2"/>
      <c r="D97" s="2"/>
      <c r="E97" s="2"/>
      <c r="F97" s="2"/>
      <c r="G97" s="2"/>
      <c r="I97" s="90" t="s">
        <v>15</v>
      </c>
      <c r="J97" s="90"/>
    </row>
    <row r="98" spans="1:10" ht="18.75" x14ac:dyDescent="0.3">
      <c r="A98" s="91" t="s">
        <v>4</v>
      </c>
      <c r="B98" s="91"/>
      <c r="C98" s="3" t="s">
        <v>5</v>
      </c>
      <c r="D98" s="14" t="s">
        <v>6</v>
      </c>
      <c r="E98" s="92" t="s">
        <v>7</v>
      </c>
      <c r="F98" s="4">
        <f>ROUNDDOWN(D124/400,0)</f>
        <v>5</v>
      </c>
      <c r="G98" s="5" t="s">
        <v>8</v>
      </c>
      <c r="H98" s="6">
        <f>D124-(F98*400)</f>
        <v>341.34000000000015</v>
      </c>
      <c r="I98" s="7" t="s">
        <v>9</v>
      </c>
    </row>
    <row r="99" spans="1:10" ht="15.75" x14ac:dyDescent="0.25">
      <c r="A99" s="26" t="s">
        <v>23</v>
      </c>
      <c r="B99" s="29"/>
      <c r="C99" s="39"/>
      <c r="D99" s="20"/>
      <c r="E99" s="92"/>
      <c r="F99" s="91" t="s">
        <v>4</v>
      </c>
      <c r="G99" s="91"/>
      <c r="H99" s="3" t="s">
        <v>5</v>
      </c>
      <c r="I99" s="14" t="s">
        <v>6</v>
      </c>
      <c r="J99" s="14" t="s">
        <v>6</v>
      </c>
    </row>
    <row r="100" spans="1:10" ht="15.75" x14ac:dyDescent="0.25">
      <c r="A100" s="26" t="s">
        <v>42</v>
      </c>
      <c r="B100" s="29"/>
      <c r="C100" s="31"/>
      <c r="D100" s="20"/>
      <c r="E100" s="92"/>
      <c r="F100" s="26" t="s">
        <v>23</v>
      </c>
      <c r="G100" s="33"/>
      <c r="H100" s="38"/>
      <c r="I100" s="35"/>
      <c r="J100" s="35"/>
    </row>
    <row r="101" spans="1:10" ht="15.75" x14ac:dyDescent="0.25">
      <c r="A101" s="27" t="s">
        <v>24</v>
      </c>
      <c r="B101" s="29"/>
      <c r="C101" s="31"/>
      <c r="D101" s="20"/>
      <c r="E101" s="92"/>
      <c r="F101" s="26" t="s">
        <v>42</v>
      </c>
      <c r="G101" s="33"/>
      <c r="H101" s="38"/>
      <c r="I101" s="35"/>
      <c r="J101" s="35"/>
    </row>
    <row r="102" spans="1:10" ht="15.75" x14ac:dyDescent="0.25">
      <c r="A102" s="27" t="s">
        <v>25</v>
      </c>
      <c r="B102" s="29"/>
      <c r="C102" s="31">
        <v>0.18559999999999999</v>
      </c>
      <c r="D102" s="20">
        <f>C102*$D$32</f>
        <v>464.27839999999998</v>
      </c>
      <c r="E102" s="92"/>
      <c r="F102" s="27" t="s">
        <v>24</v>
      </c>
      <c r="G102" s="33"/>
      <c r="H102" s="38"/>
      <c r="I102" s="35"/>
      <c r="J102" s="35"/>
    </row>
    <row r="103" spans="1:10" ht="15.75" x14ac:dyDescent="0.25">
      <c r="A103" s="27" t="s">
        <v>47</v>
      </c>
      <c r="B103" s="29"/>
      <c r="C103" s="31">
        <v>0.20219999999999999</v>
      </c>
      <c r="D103" s="20">
        <f t="shared" ref="D103:D121" si="22">C103*$D$32</f>
        <v>505.80329999999998</v>
      </c>
      <c r="E103" s="92"/>
      <c r="F103" s="27" t="s">
        <v>25</v>
      </c>
      <c r="G103" s="33"/>
      <c r="H103" s="38">
        <v>4.4900000000000002E-2</v>
      </c>
      <c r="I103" s="35">
        <f t="shared" ref="I103:I120" si="23">H103*$I$33</f>
        <v>17.96</v>
      </c>
      <c r="J103" s="35">
        <f t="shared" ref="J103:J120" si="24">H103*$J$33</f>
        <v>4.5573500000000005</v>
      </c>
    </row>
    <row r="104" spans="1:10" ht="15.75" x14ac:dyDescent="0.25">
      <c r="A104" s="27" t="s">
        <v>46</v>
      </c>
      <c r="B104" s="29"/>
      <c r="C104" s="31"/>
      <c r="D104" s="20"/>
      <c r="E104" s="92"/>
      <c r="F104" s="27" t="s">
        <v>47</v>
      </c>
      <c r="G104" s="33"/>
      <c r="H104" s="38">
        <v>0.15790000000000001</v>
      </c>
      <c r="I104" s="35">
        <f t="shared" si="23"/>
        <v>63.160000000000004</v>
      </c>
      <c r="J104" s="35">
        <f t="shared" si="24"/>
        <v>16.02685</v>
      </c>
    </row>
    <row r="105" spans="1:10" ht="15.75" x14ac:dyDescent="0.25">
      <c r="A105" s="27" t="s">
        <v>26</v>
      </c>
      <c r="B105" s="29"/>
      <c r="C105" s="31">
        <v>7.0499999999999993E-2</v>
      </c>
      <c r="D105" s="20">
        <f t="shared" si="22"/>
        <v>176.35574999999997</v>
      </c>
      <c r="E105" s="92"/>
      <c r="F105" s="27" t="s">
        <v>46</v>
      </c>
      <c r="G105" s="33"/>
      <c r="H105" s="38"/>
      <c r="I105" s="35"/>
      <c r="J105" s="35"/>
    </row>
    <row r="106" spans="1:10" ht="15.75" x14ac:dyDescent="0.25">
      <c r="A106" s="27" t="s">
        <v>43</v>
      </c>
      <c r="B106" s="29"/>
      <c r="C106" s="31"/>
      <c r="D106" s="20"/>
      <c r="E106" s="92"/>
      <c r="F106" s="27" t="s">
        <v>26</v>
      </c>
      <c r="G106" s="33"/>
      <c r="H106" s="38">
        <v>0.1386</v>
      </c>
      <c r="I106" s="35">
        <f t="shared" si="23"/>
        <v>55.44</v>
      </c>
      <c r="J106" s="35">
        <f t="shared" si="24"/>
        <v>14.0679</v>
      </c>
    </row>
    <row r="107" spans="1:10" ht="15.75" x14ac:dyDescent="0.25">
      <c r="A107" s="27" t="s">
        <v>19</v>
      </c>
      <c r="B107" s="29"/>
      <c r="C107" s="31">
        <v>0.1057</v>
      </c>
      <c r="D107" s="20">
        <f t="shared" si="22"/>
        <v>264.40854999999999</v>
      </c>
      <c r="E107" s="92"/>
      <c r="F107" s="27" t="s">
        <v>43</v>
      </c>
      <c r="G107" s="33"/>
      <c r="H107" s="38"/>
      <c r="I107" s="35"/>
      <c r="J107" s="35"/>
    </row>
    <row r="108" spans="1:10" ht="15.75" x14ac:dyDescent="0.25">
      <c r="A108" s="27" t="s">
        <v>27</v>
      </c>
      <c r="B108" s="29"/>
      <c r="C108" s="31"/>
      <c r="D108" s="20"/>
      <c r="E108" s="92"/>
      <c r="F108" s="27" t="s">
        <v>19</v>
      </c>
      <c r="G108" s="33"/>
      <c r="H108" s="38">
        <v>5.2600000000000001E-2</v>
      </c>
      <c r="I108" s="35">
        <f t="shared" si="23"/>
        <v>21.04</v>
      </c>
      <c r="J108" s="35">
        <f t="shared" si="24"/>
        <v>5.3388999999999998</v>
      </c>
    </row>
    <row r="109" spans="1:10" ht="15.75" x14ac:dyDescent="0.25">
      <c r="A109" s="27" t="s">
        <v>44</v>
      </c>
      <c r="B109" s="29"/>
      <c r="C109" s="31">
        <v>9.69E-2</v>
      </c>
      <c r="D109" s="20">
        <f t="shared" si="22"/>
        <v>242.39535000000001</v>
      </c>
      <c r="E109" s="92"/>
      <c r="F109" s="27" t="s">
        <v>27</v>
      </c>
      <c r="G109" s="33"/>
      <c r="H109" s="38"/>
      <c r="I109" s="35"/>
      <c r="J109" s="35"/>
    </row>
    <row r="110" spans="1:10" ht="15.75" x14ac:dyDescent="0.25">
      <c r="A110" s="27" t="s">
        <v>28</v>
      </c>
      <c r="B110" s="29"/>
      <c r="C110" s="31">
        <v>0.12330000000000001</v>
      </c>
      <c r="D110" s="20">
        <f t="shared" si="22"/>
        <v>308.43495000000001</v>
      </c>
      <c r="E110" s="92"/>
      <c r="F110" s="27" t="s">
        <v>44</v>
      </c>
      <c r="G110" s="33"/>
      <c r="H110" s="38">
        <v>0.31580000000000003</v>
      </c>
      <c r="I110" s="35">
        <f t="shared" si="23"/>
        <v>126.32000000000001</v>
      </c>
      <c r="J110" s="35">
        <f t="shared" si="24"/>
        <v>32.053699999999999</v>
      </c>
    </row>
    <row r="111" spans="1:10" ht="15.75" x14ac:dyDescent="0.25">
      <c r="A111" s="27" t="s">
        <v>45</v>
      </c>
      <c r="B111" s="29"/>
      <c r="C111" s="31"/>
      <c r="D111" s="20"/>
      <c r="E111" s="92"/>
      <c r="F111" s="27" t="s">
        <v>28</v>
      </c>
      <c r="G111" s="33"/>
      <c r="H111" s="38">
        <v>0.1807</v>
      </c>
      <c r="I111" s="35">
        <f t="shared" si="23"/>
        <v>72.28</v>
      </c>
      <c r="J111" s="35">
        <f t="shared" si="24"/>
        <v>18.341049999999999</v>
      </c>
    </row>
    <row r="112" spans="1:10" ht="15.75" x14ac:dyDescent="0.25">
      <c r="A112" s="27" t="s">
        <v>10</v>
      </c>
      <c r="B112" s="29"/>
      <c r="C112" s="31">
        <v>5.2900000000000003E-2</v>
      </c>
      <c r="D112" s="20">
        <f t="shared" si="22"/>
        <v>132.32935000000001</v>
      </c>
      <c r="E112" s="92"/>
      <c r="F112" s="27" t="s">
        <v>45</v>
      </c>
      <c r="G112" s="33"/>
      <c r="H112" s="38"/>
      <c r="I112" s="35"/>
      <c r="J112" s="35"/>
    </row>
    <row r="113" spans="1:13" ht="15.75" x14ac:dyDescent="0.25">
      <c r="A113" s="27" t="s">
        <v>29</v>
      </c>
      <c r="B113" s="29"/>
      <c r="C113" s="31">
        <v>7.0499999999999993E-2</v>
      </c>
      <c r="D113" s="20">
        <f t="shared" si="22"/>
        <v>176.35574999999997</v>
      </c>
      <c r="E113" s="92"/>
      <c r="F113" s="27" t="s">
        <v>10</v>
      </c>
      <c r="G113" s="33"/>
      <c r="H113" s="38"/>
      <c r="I113" s="35"/>
      <c r="J113" s="35"/>
    </row>
    <row r="114" spans="1:13" ht="15.75" x14ac:dyDescent="0.25">
      <c r="A114" s="27" t="s">
        <v>17</v>
      </c>
      <c r="B114" s="29"/>
      <c r="C114" s="31"/>
      <c r="D114" s="20"/>
      <c r="E114" s="92"/>
      <c r="F114" s="27" t="s">
        <v>29</v>
      </c>
      <c r="G114" s="33"/>
      <c r="H114" s="38">
        <v>7.0199999999999999E-2</v>
      </c>
      <c r="I114" s="35">
        <f t="shared" si="23"/>
        <v>28.08</v>
      </c>
      <c r="J114" s="35">
        <f t="shared" si="24"/>
        <v>7.1253000000000002</v>
      </c>
    </row>
    <row r="115" spans="1:13" ht="15.75" x14ac:dyDescent="0.25">
      <c r="A115" s="27" t="s">
        <v>30</v>
      </c>
      <c r="B115" s="29"/>
      <c r="C115" s="31"/>
      <c r="D115" s="20"/>
      <c r="E115" s="92"/>
      <c r="F115" s="27" t="s">
        <v>17</v>
      </c>
      <c r="G115" s="33"/>
      <c r="H115" s="38"/>
      <c r="I115" s="35"/>
      <c r="J115" s="35"/>
    </row>
    <row r="116" spans="1:13" ht="15.75" x14ac:dyDescent="0.25">
      <c r="A116" s="27" t="s">
        <v>31</v>
      </c>
      <c r="B116" s="29"/>
      <c r="C116" s="31"/>
      <c r="D116" s="20"/>
      <c r="E116" s="92"/>
      <c r="F116" s="27" t="s">
        <v>30</v>
      </c>
      <c r="G116" s="33"/>
      <c r="H116" s="38"/>
      <c r="I116" s="35"/>
      <c r="J116" s="35"/>
    </row>
    <row r="117" spans="1:13" ht="15.75" x14ac:dyDescent="0.25">
      <c r="A117" s="27" t="s">
        <v>16</v>
      </c>
      <c r="B117" s="29"/>
      <c r="C117" s="31"/>
      <c r="D117" s="20"/>
      <c r="E117" s="92"/>
      <c r="F117" s="27" t="s">
        <v>31</v>
      </c>
      <c r="G117" s="33"/>
      <c r="H117" s="38"/>
      <c r="I117" s="35"/>
      <c r="J117" s="35"/>
    </row>
    <row r="118" spans="1:13" ht="15.75" x14ac:dyDescent="0.25">
      <c r="A118" s="27" t="s">
        <v>32</v>
      </c>
      <c r="B118" s="23"/>
      <c r="C118" s="31">
        <v>3.7400000000000003E-2</v>
      </c>
      <c r="D118" s="20">
        <f t="shared" si="22"/>
        <v>93.556100000000001</v>
      </c>
      <c r="E118" s="92"/>
      <c r="F118" s="27" t="s">
        <v>16</v>
      </c>
      <c r="G118" s="24"/>
      <c r="H118" s="38"/>
      <c r="I118" s="35"/>
      <c r="J118" s="35"/>
    </row>
    <row r="119" spans="1:13" ht="15.75" x14ac:dyDescent="0.25">
      <c r="A119" s="27" t="s">
        <v>33</v>
      </c>
      <c r="B119" s="23"/>
      <c r="C119" s="31">
        <v>2.0999999999999999E-3</v>
      </c>
      <c r="D119" s="20">
        <f t="shared" si="22"/>
        <v>5.2531499999999998</v>
      </c>
      <c r="E119" s="92"/>
      <c r="F119" s="27" t="s">
        <v>32</v>
      </c>
      <c r="G119" s="24"/>
      <c r="H119" s="38">
        <v>3.7199999999999997E-2</v>
      </c>
      <c r="I119" s="35">
        <f t="shared" si="23"/>
        <v>14.879999999999999</v>
      </c>
      <c r="J119" s="35">
        <f t="shared" si="24"/>
        <v>3.7757999999999998</v>
      </c>
    </row>
    <row r="120" spans="1:13" ht="15.75" x14ac:dyDescent="0.25">
      <c r="A120" s="27" t="s">
        <v>34</v>
      </c>
      <c r="B120" s="23"/>
      <c r="C120" s="31"/>
      <c r="D120" s="20"/>
      <c r="E120" s="92"/>
      <c r="F120" s="27" t="s">
        <v>33</v>
      </c>
      <c r="G120" s="24"/>
      <c r="H120" s="38">
        <v>2.0999999999999999E-3</v>
      </c>
      <c r="I120" s="35">
        <f t="shared" si="23"/>
        <v>0.84</v>
      </c>
      <c r="J120" s="35">
        <f t="shared" si="24"/>
        <v>0.21314999999999998</v>
      </c>
    </row>
    <row r="121" spans="1:13" ht="15.75" x14ac:dyDescent="0.25">
      <c r="A121" s="27" t="s">
        <v>22</v>
      </c>
      <c r="B121" s="23"/>
      <c r="C121" s="31">
        <v>5.2900000000000003E-2</v>
      </c>
      <c r="D121" s="20">
        <f t="shared" si="22"/>
        <v>132.32935000000001</v>
      </c>
      <c r="E121" s="92"/>
      <c r="F121" s="27" t="s">
        <v>34</v>
      </c>
      <c r="G121" s="24"/>
      <c r="H121" s="38"/>
      <c r="I121" s="35"/>
      <c r="J121" s="35"/>
    </row>
    <row r="122" spans="1:13" ht="15.75" x14ac:dyDescent="0.25">
      <c r="A122" s="27" t="s">
        <v>35</v>
      </c>
      <c r="B122" s="29"/>
      <c r="C122" s="31"/>
      <c r="D122" s="20"/>
      <c r="E122" s="92"/>
      <c r="F122" s="27" t="s">
        <v>22</v>
      </c>
      <c r="G122" s="33"/>
      <c r="H122" s="38"/>
      <c r="I122" s="35"/>
      <c r="J122" s="35"/>
    </row>
    <row r="123" spans="1:13" ht="16.5" thickBot="1" x14ac:dyDescent="0.3">
      <c r="A123" s="28" t="s">
        <v>36</v>
      </c>
      <c r="B123" s="29"/>
      <c r="C123" s="32"/>
      <c r="D123" s="20"/>
      <c r="E123" s="92"/>
      <c r="F123" s="27" t="s">
        <v>35</v>
      </c>
      <c r="G123" s="33"/>
      <c r="H123" s="38"/>
      <c r="I123" s="35"/>
      <c r="J123" s="35"/>
    </row>
    <row r="124" spans="1:13" ht="16.5" thickBot="1" x14ac:dyDescent="0.3">
      <c r="A124" s="93" t="s">
        <v>11</v>
      </c>
      <c r="B124" s="93"/>
      <c r="C124" s="8">
        <f>SUM(C99:C123)</f>
        <v>1</v>
      </c>
      <c r="D124" s="15">
        <v>2341.34</v>
      </c>
      <c r="E124" s="92"/>
      <c r="F124" s="28" t="s">
        <v>36</v>
      </c>
      <c r="G124" s="34"/>
      <c r="H124" s="38"/>
      <c r="I124" s="35"/>
      <c r="J124" s="35"/>
    </row>
    <row r="125" spans="1:13" x14ac:dyDescent="0.25">
      <c r="A125" s="2"/>
      <c r="B125" s="2"/>
      <c r="C125" s="2"/>
      <c r="D125" s="2"/>
      <c r="E125" s="2"/>
      <c r="F125" s="81" t="s">
        <v>11</v>
      </c>
      <c r="G125" s="81"/>
      <c r="H125" s="17">
        <f>SUM(H100:H124)</f>
        <v>1</v>
      </c>
      <c r="I125" s="13">
        <v>400</v>
      </c>
      <c r="J125" s="13">
        <f>+H98</f>
        <v>341.34000000000015</v>
      </c>
    </row>
    <row r="126" spans="1:13" ht="23.25" x14ac:dyDescent="0.35">
      <c r="A126" s="82"/>
      <c r="B126" s="83"/>
      <c r="C126" s="2"/>
      <c r="D126" s="2"/>
      <c r="E126" s="2"/>
      <c r="F126" s="18"/>
      <c r="G126" s="18"/>
      <c r="H126" s="19"/>
      <c r="I126" s="18"/>
      <c r="J126" s="18"/>
    </row>
    <row r="127" spans="1:13" x14ac:dyDescent="0.25">
      <c r="A127" s="84" t="s">
        <v>18</v>
      </c>
      <c r="B127" s="84"/>
      <c r="C127" s="84"/>
      <c r="D127" s="84"/>
      <c r="E127" s="2"/>
      <c r="F127" s="2"/>
      <c r="G127" s="2"/>
    </row>
    <row r="128" spans="1:13" x14ac:dyDescent="0.25">
      <c r="A128" s="9" t="s">
        <v>12</v>
      </c>
      <c r="B128" s="9" t="s">
        <v>13</v>
      </c>
      <c r="C128" s="9" t="s">
        <v>14</v>
      </c>
      <c r="D128" s="10" t="s">
        <v>12</v>
      </c>
      <c r="E128" s="85" t="s">
        <v>13</v>
      </c>
      <c r="F128" s="86"/>
      <c r="G128" s="10" t="s">
        <v>14</v>
      </c>
      <c r="H128" s="9" t="s">
        <v>12</v>
      </c>
      <c r="I128" s="10" t="s">
        <v>13</v>
      </c>
      <c r="J128" s="10" t="s">
        <v>14</v>
      </c>
      <c r="K128" s="9" t="s">
        <v>12</v>
      </c>
      <c r="L128" s="10" t="s">
        <v>13</v>
      </c>
      <c r="M128" s="10" t="s">
        <v>14</v>
      </c>
    </row>
    <row r="129" spans="1:13" x14ac:dyDescent="0.25">
      <c r="A129" s="11">
        <v>1</v>
      </c>
      <c r="B129" s="12">
        <v>0.33333333333333331</v>
      </c>
      <c r="C129" s="12">
        <f>+B129+15/1440</f>
        <v>0.34375</v>
      </c>
      <c r="D129" s="11">
        <v>8</v>
      </c>
      <c r="E129" s="79">
        <f>+C135+5/1440</f>
        <v>0.43055555555555558</v>
      </c>
      <c r="F129" s="80"/>
      <c r="G129" s="40">
        <f>+E129+15/1440</f>
        <v>0.44097222222222227</v>
      </c>
      <c r="H129" s="11"/>
      <c r="I129" s="12">
        <f>G135+5/1440</f>
        <v>0.52777777777777779</v>
      </c>
      <c r="J129" s="12">
        <f>I129+15/1440</f>
        <v>0.53819444444444442</v>
      </c>
      <c r="K129" s="11">
        <v>19</v>
      </c>
      <c r="L129" s="12">
        <f>J135+5/1440</f>
        <v>0.62499999999999967</v>
      </c>
      <c r="M129" s="12">
        <f>L129+15/1440</f>
        <v>0.6354166666666663</v>
      </c>
    </row>
    <row r="130" spans="1:13" x14ac:dyDescent="0.25">
      <c r="A130" s="11">
        <v>2</v>
      </c>
      <c r="B130" s="12">
        <f t="shared" ref="B130:B135" si="25">+C129+5/1440</f>
        <v>0.34722222222222221</v>
      </c>
      <c r="C130" s="12">
        <f>+B130+15/1440</f>
        <v>0.3576388888888889</v>
      </c>
      <c r="D130" s="11">
        <v>9</v>
      </c>
      <c r="E130" s="79">
        <f>+G129+5/1440</f>
        <v>0.44444444444444448</v>
      </c>
      <c r="F130" s="80"/>
      <c r="G130" s="16">
        <f>+E130+15/1440</f>
        <v>0.45486111111111116</v>
      </c>
      <c r="H130" s="11">
        <v>13</v>
      </c>
      <c r="I130" s="12">
        <f>J129+5/1440</f>
        <v>0.54166666666666663</v>
      </c>
      <c r="J130" s="12">
        <f>I130+15/1440</f>
        <v>0.55208333333333326</v>
      </c>
      <c r="K130" s="11">
        <v>20</v>
      </c>
      <c r="L130" s="12">
        <f>M129+5/1440</f>
        <v>0.63888888888888851</v>
      </c>
      <c r="M130" s="12">
        <f>L130+15/1440</f>
        <v>0.64930555555555514</v>
      </c>
    </row>
    <row r="131" spans="1:13" x14ac:dyDescent="0.25">
      <c r="A131" s="11">
        <v>3</v>
      </c>
      <c r="B131" s="12">
        <f t="shared" si="25"/>
        <v>0.3611111111111111</v>
      </c>
      <c r="C131" s="12">
        <f t="shared" ref="C131:C135" si="26">+B131+15/1440</f>
        <v>0.37152777777777779</v>
      </c>
      <c r="D131" s="11">
        <v>10</v>
      </c>
      <c r="E131" s="79">
        <f t="shared" ref="E131:E135" si="27">+G130+5/1440</f>
        <v>0.45833333333333337</v>
      </c>
      <c r="F131" s="80"/>
      <c r="G131" s="16">
        <f t="shared" ref="G131:G135" si="28">+E131+15/1440</f>
        <v>0.46875000000000006</v>
      </c>
      <c r="H131" s="11">
        <v>14</v>
      </c>
      <c r="I131" s="12">
        <f t="shared" ref="I131:I135" si="29">J130+5/1440</f>
        <v>0.55555555555555547</v>
      </c>
      <c r="J131" s="12">
        <f t="shared" ref="J131:J135" si="30">I131+15/1440</f>
        <v>0.5659722222222221</v>
      </c>
      <c r="K131" s="11">
        <v>21</v>
      </c>
      <c r="L131" s="21">
        <f t="shared" ref="L131:L135" si="31">M130+5/1440</f>
        <v>0.65277777777777735</v>
      </c>
      <c r="M131" s="21">
        <f t="shared" ref="M131:M135" si="32">L131+15/1440</f>
        <v>0.66319444444444398</v>
      </c>
    </row>
    <row r="132" spans="1:13" x14ac:dyDescent="0.25">
      <c r="A132" s="11">
        <v>4</v>
      </c>
      <c r="B132" s="12">
        <f t="shared" si="25"/>
        <v>0.375</v>
      </c>
      <c r="C132" s="12">
        <f t="shared" si="26"/>
        <v>0.38541666666666669</v>
      </c>
      <c r="D132" s="11">
        <v>11</v>
      </c>
      <c r="E132" s="79">
        <f t="shared" si="27"/>
        <v>0.47222222222222227</v>
      </c>
      <c r="F132" s="80"/>
      <c r="G132" s="16">
        <f t="shared" si="28"/>
        <v>0.48263888888888895</v>
      </c>
      <c r="H132" s="11">
        <v>15</v>
      </c>
      <c r="I132" s="12">
        <f t="shared" si="29"/>
        <v>0.56944444444444431</v>
      </c>
      <c r="J132" s="12">
        <f t="shared" si="30"/>
        <v>0.57986111111111094</v>
      </c>
      <c r="K132" s="11">
        <v>22</v>
      </c>
      <c r="L132" s="21">
        <f t="shared" si="31"/>
        <v>0.66666666666666619</v>
      </c>
      <c r="M132" s="21">
        <f t="shared" si="32"/>
        <v>0.67708333333333282</v>
      </c>
    </row>
    <row r="133" spans="1:13" x14ac:dyDescent="0.25">
      <c r="A133" s="11">
        <v>5</v>
      </c>
      <c r="B133" s="12">
        <f t="shared" si="25"/>
        <v>0.3888888888888889</v>
      </c>
      <c r="C133" s="12">
        <f t="shared" si="26"/>
        <v>0.39930555555555558</v>
      </c>
      <c r="D133" s="11">
        <v>12</v>
      </c>
      <c r="E133" s="79">
        <f t="shared" si="27"/>
        <v>0.48611111111111116</v>
      </c>
      <c r="F133" s="80"/>
      <c r="G133" s="16">
        <f t="shared" si="28"/>
        <v>0.49652777777777785</v>
      </c>
      <c r="H133" s="11">
        <v>16</v>
      </c>
      <c r="I133" s="12">
        <f t="shared" si="29"/>
        <v>0.58333333333333315</v>
      </c>
      <c r="J133" s="12">
        <f t="shared" si="30"/>
        <v>0.59374999999999978</v>
      </c>
      <c r="K133" s="11">
        <v>23</v>
      </c>
      <c r="L133" s="21">
        <f t="shared" si="31"/>
        <v>0.68055555555555503</v>
      </c>
      <c r="M133" s="21">
        <f t="shared" si="32"/>
        <v>0.69097222222222165</v>
      </c>
    </row>
    <row r="134" spans="1:13" x14ac:dyDescent="0.25">
      <c r="A134" s="11">
        <v>6</v>
      </c>
      <c r="B134" s="12">
        <f t="shared" si="25"/>
        <v>0.40277777777777779</v>
      </c>
      <c r="C134" s="12">
        <f t="shared" si="26"/>
        <v>0.41319444444444448</v>
      </c>
      <c r="D134" s="11"/>
      <c r="E134" s="77">
        <f t="shared" si="27"/>
        <v>0.50000000000000011</v>
      </c>
      <c r="F134" s="78"/>
      <c r="G134" s="21">
        <f t="shared" si="28"/>
        <v>0.51041666666666674</v>
      </c>
      <c r="H134" s="11">
        <v>17</v>
      </c>
      <c r="I134" s="12">
        <f t="shared" si="29"/>
        <v>0.59722222222222199</v>
      </c>
      <c r="J134" s="12">
        <f t="shared" si="30"/>
        <v>0.60763888888888862</v>
      </c>
      <c r="K134" s="11">
        <v>24</v>
      </c>
      <c r="L134" s="21">
        <f t="shared" si="31"/>
        <v>0.69444444444444386</v>
      </c>
      <c r="M134" s="21">
        <f t="shared" si="32"/>
        <v>0.70486111111111049</v>
      </c>
    </row>
    <row r="135" spans="1:13" x14ac:dyDescent="0.25">
      <c r="A135" s="11">
        <v>7</v>
      </c>
      <c r="B135" s="16">
        <f t="shared" si="25"/>
        <v>0.41666666666666669</v>
      </c>
      <c r="C135" s="16">
        <f t="shared" si="26"/>
        <v>0.42708333333333337</v>
      </c>
      <c r="D135" s="11"/>
      <c r="E135" s="77">
        <f t="shared" si="27"/>
        <v>0.51388888888888895</v>
      </c>
      <c r="F135" s="78"/>
      <c r="G135" s="21">
        <f t="shared" si="28"/>
        <v>0.52430555555555558</v>
      </c>
      <c r="H135" s="11">
        <v>18</v>
      </c>
      <c r="I135" s="12">
        <f t="shared" si="29"/>
        <v>0.61111111111111083</v>
      </c>
      <c r="J135" s="12">
        <f t="shared" si="30"/>
        <v>0.62152777777777746</v>
      </c>
      <c r="K135" s="11">
        <v>25</v>
      </c>
      <c r="L135" s="21">
        <f t="shared" si="31"/>
        <v>0.7083333333333327</v>
      </c>
      <c r="M135" s="21">
        <f t="shared" si="32"/>
        <v>0.71874999999999933</v>
      </c>
    </row>
    <row r="138" spans="1:13" ht="15.75" thickBot="1" x14ac:dyDescent="0.3"/>
    <row r="139" spans="1:13" x14ac:dyDescent="0.25">
      <c r="A139" s="94" t="s">
        <v>20</v>
      </c>
      <c r="B139" s="95"/>
      <c r="C139" s="95"/>
      <c r="D139" s="96"/>
      <c r="E139" s="95" t="s">
        <v>21</v>
      </c>
      <c r="F139" s="95"/>
      <c r="G139" s="95"/>
      <c r="H139" s="95"/>
      <c r="I139" s="95"/>
      <c r="J139" s="96"/>
    </row>
    <row r="140" spans="1:13" ht="15.75" thickBot="1" x14ac:dyDescent="0.3">
      <c r="A140" s="97"/>
      <c r="B140" s="98"/>
      <c r="C140" s="98"/>
      <c r="D140" s="99"/>
      <c r="E140" s="98"/>
      <c r="F140" s="98"/>
      <c r="G140" s="98"/>
      <c r="H140" s="98"/>
      <c r="I140" s="98"/>
      <c r="J140" s="99"/>
    </row>
    <row r="141" spans="1:13" ht="18.75" x14ac:dyDescent="0.25">
      <c r="A141" s="87" t="s">
        <v>0</v>
      </c>
      <c r="B141" s="87"/>
      <c r="C141" s="100" t="s">
        <v>58</v>
      </c>
      <c r="D141" s="100"/>
      <c r="E141" s="100"/>
      <c r="F141" s="100"/>
      <c r="G141" s="100"/>
      <c r="H141" s="1" t="s">
        <v>1</v>
      </c>
      <c r="I141" s="101">
        <v>45525</v>
      </c>
      <c r="J141" s="102"/>
    </row>
    <row r="142" spans="1:13" ht="30.75" customHeight="1" x14ac:dyDescent="0.25">
      <c r="A142" s="87" t="s">
        <v>2</v>
      </c>
      <c r="B142" s="87"/>
      <c r="C142" s="88" t="s">
        <v>59</v>
      </c>
      <c r="D142" s="88"/>
      <c r="E142" s="88"/>
      <c r="F142" s="88"/>
      <c r="G142" s="88"/>
      <c r="H142" s="1" t="s">
        <v>3</v>
      </c>
      <c r="I142" s="89" t="s">
        <v>41</v>
      </c>
      <c r="J142" s="89"/>
    </row>
    <row r="143" spans="1:13" x14ac:dyDescent="0.25">
      <c r="A143" s="2"/>
      <c r="B143" s="2"/>
      <c r="C143" s="2"/>
      <c r="D143" s="2"/>
      <c r="E143" s="2"/>
      <c r="F143" s="2"/>
      <c r="G143" s="2"/>
      <c r="I143" s="90" t="s">
        <v>49</v>
      </c>
      <c r="J143" s="90"/>
    </row>
    <row r="144" spans="1:13" ht="18.75" x14ac:dyDescent="0.3">
      <c r="A144" s="91" t="s">
        <v>4</v>
      </c>
      <c r="B144" s="91"/>
      <c r="C144" s="3" t="s">
        <v>5</v>
      </c>
      <c r="D144" s="14" t="s">
        <v>6</v>
      </c>
      <c r="E144" s="92" t="s">
        <v>7</v>
      </c>
      <c r="F144" s="4">
        <f>ROUNDDOWN(D170/400,0)</f>
        <v>43</v>
      </c>
      <c r="G144" s="5" t="s">
        <v>8</v>
      </c>
      <c r="H144" s="6">
        <f>D170-(F144*400)</f>
        <v>263.45999999999913</v>
      </c>
      <c r="I144" s="7" t="s">
        <v>9</v>
      </c>
    </row>
    <row r="145" spans="1:10" ht="16.5" thickBot="1" x14ac:dyDescent="0.3">
      <c r="A145" s="26" t="s">
        <v>23</v>
      </c>
      <c r="B145" s="29"/>
      <c r="C145" s="48"/>
      <c r="D145" s="20"/>
      <c r="E145" s="92"/>
      <c r="F145" s="91" t="s">
        <v>4</v>
      </c>
      <c r="G145" s="91"/>
      <c r="H145" s="3" t="s">
        <v>5</v>
      </c>
      <c r="I145" s="14" t="s">
        <v>6</v>
      </c>
      <c r="J145" s="14" t="s">
        <v>6</v>
      </c>
    </row>
    <row r="146" spans="1:10" ht="15.75" x14ac:dyDescent="0.25">
      <c r="A146" s="26" t="s">
        <v>42</v>
      </c>
      <c r="B146" s="29"/>
      <c r="C146" s="48"/>
      <c r="D146" s="20"/>
      <c r="E146" s="92"/>
      <c r="F146" s="26" t="s">
        <v>23</v>
      </c>
      <c r="G146" s="33"/>
      <c r="H146" s="30"/>
      <c r="I146" s="35"/>
      <c r="J146" s="35"/>
    </row>
    <row r="147" spans="1:10" ht="15.75" x14ac:dyDescent="0.25">
      <c r="A147" s="27" t="s">
        <v>24</v>
      </c>
      <c r="B147" s="29"/>
      <c r="C147" s="38"/>
      <c r="D147" s="20"/>
      <c r="E147" s="92"/>
      <c r="F147" s="26" t="s">
        <v>42</v>
      </c>
      <c r="G147" s="33"/>
      <c r="H147" s="39"/>
      <c r="I147" s="35"/>
      <c r="J147" s="35"/>
    </row>
    <row r="148" spans="1:10" ht="15.75" x14ac:dyDescent="0.25">
      <c r="A148" s="27" t="s">
        <v>25</v>
      </c>
      <c r="B148" s="29"/>
      <c r="C148" s="38">
        <v>0.2727</v>
      </c>
      <c r="D148" s="20">
        <f>C148*$D$32</f>
        <v>682.15904999999998</v>
      </c>
      <c r="E148" s="92"/>
      <c r="F148" s="27" t="s">
        <v>24</v>
      </c>
      <c r="G148" s="33"/>
      <c r="H148" s="31"/>
      <c r="I148" s="35"/>
      <c r="J148" s="35"/>
    </row>
    <row r="149" spans="1:10" ht="15.75" x14ac:dyDescent="0.25">
      <c r="A149" s="27" t="s">
        <v>47</v>
      </c>
      <c r="B149" s="29"/>
      <c r="C149" s="38">
        <v>0.1047</v>
      </c>
      <c r="D149" s="20">
        <f t="shared" ref="D149:D165" si="33">C149*$D$32</f>
        <v>261.90705000000003</v>
      </c>
      <c r="E149" s="92"/>
      <c r="F149" s="27" t="s">
        <v>25</v>
      </c>
      <c r="G149" s="33"/>
      <c r="H149" s="31">
        <v>0.3291</v>
      </c>
      <c r="I149" s="35">
        <f t="shared" ref="I149:I167" si="34">H149*$I$33</f>
        <v>131.64000000000001</v>
      </c>
      <c r="J149" s="35">
        <f t="shared" ref="J149:J167" si="35">H149*$J$33</f>
        <v>33.403649999999999</v>
      </c>
    </row>
    <row r="150" spans="1:10" ht="15.75" x14ac:dyDescent="0.25">
      <c r="A150" s="27" t="s">
        <v>46</v>
      </c>
      <c r="B150" s="29"/>
      <c r="C150" s="38"/>
      <c r="D150" s="20"/>
      <c r="E150" s="92"/>
      <c r="F150" s="27" t="s">
        <v>47</v>
      </c>
      <c r="G150" s="33"/>
      <c r="H150" s="31">
        <v>0.1404</v>
      </c>
      <c r="I150" s="35">
        <f t="shared" si="34"/>
        <v>56.16</v>
      </c>
      <c r="J150" s="35">
        <f t="shared" si="35"/>
        <v>14.2506</v>
      </c>
    </row>
    <row r="151" spans="1:10" ht="15.75" x14ac:dyDescent="0.25">
      <c r="A151" s="27" t="s">
        <v>26</v>
      </c>
      <c r="B151" s="29"/>
      <c r="C151" s="38"/>
      <c r="D151" s="20"/>
      <c r="E151" s="92"/>
      <c r="F151" s="27" t="s">
        <v>46</v>
      </c>
      <c r="G151" s="33"/>
      <c r="H151" s="31"/>
      <c r="I151" s="35"/>
      <c r="J151" s="35"/>
    </row>
    <row r="152" spans="1:10" ht="15.75" x14ac:dyDescent="0.25">
      <c r="A152" s="27" t="s">
        <v>43</v>
      </c>
      <c r="B152" s="29"/>
      <c r="C152" s="38"/>
      <c r="D152" s="20"/>
      <c r="E152" s="92"/>
      <c r="F152" s="27" t="s">
        <v>26</v>
      </c>
      <c r="G152" s="33"/>
      <c r="H152" s="31">
        <v>1.7500000000000002E-2</v>
      </c>
      <c r="I152" s="35">
        <f t="shared" si="34"/>
        <v>7.0000000000000009</v>
      </c>
      <c r="J152" s="35">
        <f t="shared" si="35"/>
        <v>1.7762500000000001</v>
      </c>
    </row>
    <row r="153" spans="1:10" ht="15.75" x14ac:dyDescent="0.25">
      <c r="A153" s="27" t="s">
        <v>19</v>
      </c>
      <c r="B153" s="29"/>
      <c r="C153" s="38"/>
      <c r="D153" s="20"/>
      <c r="E153" s="92"/>
      <c r="F153" s="27" t="s">
        <v>43</v>
      </c>
      <c r="G153" s="33"/>
      <c r="H153" s="31"/>
      <c r="I153" s="35"/>
      <c r="J153" s="35"/>
    </row>
    <row r="154" spans="1:10" ht="15.75" x14ac:dyDescent="0.25">
      <c r="A154" s="27" t="s">
        <v>27</v>
      </c>
      <c r="B154" s="29"/>
      <c r="C154" s="38"/>
      <c r="D154" s="20"/>
      <c r="E154" s="92"/>
      <c r="F154" s="27" t="s">
        <v>19</v>
      </c>
      <c r="G154" s="33"/>
      <c r="H154" s="31"/>
      <c r="I154" s="35"/>
      <c r="J154" s="35"/>
    </row>
    <row r="155" spans="1:10" ht="15.75" x14ac:dyDescent="0.25">
      <c r="A155" s="27" t="s">
        <v>44</v>
      </c>
      <c r="B155" s="29"/>
      <c r="C155" s="38"/>
      <c r="D155" s="20"/>
      <c r="E155" s="92"/>
      <c r="F155" s="27" t="s">
        <v>27</v>
      </c>
      <c r="G155" s="33"/>
      <c r="H155" s="31"/>
      <c r="I155" s="35"/>
      <c r="J155" s="35"/>
    </row>
    <row r="156" spans="1:10" ht="15.75" x14ac:dyDescent="0.25">
      <c r="A156" s="27" t="s">
        <v>28</v>
      </c>
      <c r="B156" s="29"/>
      <c r="C156" s="38">
        <v>0.58179999999999998</v>
      </c>
      <c r="D156" s="20">
        <f t="shared" si="33"/>
        <v>1455.3726999999999</v>
      </c>
      <c r="E156" s="92"/>
      <c r="F156" s="27" t="s">
        <v>44</v>
      </c>
      <c r="G156" s="33"/>
      <c r="H156" s="31">
        <v>0.43859999999999999</v>
      </c>
      <c r="I156" s="35">
        <f t="shared" si="34"/>
        <v>175.44</v>
      </c>
      <c r="J156" s="35">
        <f t="shared" si="35"/>
        <v>44.517899999999997</v>
      </c>
    </row>
    <row r="157" spans="1:10" ht="15.75" x14ac:dyDescent="0.25">
      <c r="A157" s="27" t="s">
        <v>45</v>
      </c>
      <c r="B157" s="29"/>
      <c r="C157" s="38"/>
      <c r="D157" s="20"/>
      <c r="E157" s="92"/>
      <c r="F157" s="27" t="s">
        <v>28</v>
      </c>
      <c r="G157" s="33"/>
      <c r="H157" s="31"/>
      <c r="I157" s="35"/>
      <c r="J157" s="35"/>
    </row>
    <row r="158" spans="1:10" ht="15.75" x14ac:dyDescent="0.25">
      <c r="A158" s="27" t="s">
        <v>10</v>
      </c>
      <c r="B158" s="29"/>
      <c r="C158" s="38"/>
      <c r="D158" s="20"/>
      <c r="E158" s="92"/>
      <c r="F158" s="27" t="s">
        <v>45</v>
      </c>
      <c r="G158" s="33"/>
      <c r="H158" s="31"/>
      <c r="I158" s="35"/>
      <c r="J158" s="35"/>
    </row>
    <row r="159" spans="1:10" ht="15.75" x14ac:dyDescent="0.25">
      <c r="A159" s="27" t="s">
        <v>29</v>
      </c>
      <c r="B159" s="29"/>
      <c r="C159" s="38"/>
      <c r="D159" s="20"/>
      <c r="E159" s="92"/>
      <c r="F159" s="27" t="s">
        <v>10</v>
      </c>
      <c r="G159" s="33"/>
      <c r="H159" s="31"/>
      <c r="I159" s="35"/>
      <c r="J159" s="35"/>
    </row>
    <row r="160" spans="1:10" ht="15.75" x14ac:dyDescent="0.25">
      <c r="A160" s="27" t="s">
        <v>17</v>
      </c>
      <c r="B160" s="29"/>
      <c r="C160" s="38"/>
      <c r="D160" s="20"/>
      <c r="E160" s="92"/>
      <c r="F160" s="27" t="s">
        <v>29</v>
      </c>
      <c r="G160" s="33"/>
      <c r="H160" s="31"/>
      <c r="I160" s="35"/>
      <c r="J160" s="35"/>
    </row>
    <row r="161" spans="1:10" ht="15.75" x14ac:dyDescent="0.25">
      <c r="A161" s="27" t="s">
        <v>30</v>
      </c>
      <c r="B161" s="29"/>
      <c r="C161" s="38"/>
      <c r="D161" s="20"/>
      <c r="E161" s="92"/>
      <c r="F161" s="27" t="s">
        <v>17</v>
      </c>
      <c r="G161" s="33"/>
      <c r="H161" s="31"/>
      <c r="I161" s="35"/>
      <c r="J161" s="35"/>
    </row>
    <row r="162" spans="1:10" ht="15.75" x14ac:dyDescent="0.25">
      <c r="A162" s="27" t="s">
        <v>31</v>
      </c>
      <c r="B162" s="29"/>
      <c r="C162" s="38"/>
      <c r="D162" s="20"/>
      <c r="E162" s="92"/>
      <c r="F162" s="27" t="s">
        <v>30</v>
      </c>
      <c r="G162" s="33"/>
      <c r="H162" s="31"/>
      <c r="I162" s="35"/>
      <c r="J162" s="35"/>
    </row>
    <row r="163" spans="1:10" ht="15.75" x14ac:dyDescent="0.25">
      <c r="A163" s="27" t="s">
        <v>16</v>
      </c>
      <c r="B163" s="29"/>
      <c r="C163" s="38"/>
      <c r="D163" s="20"/>
      <c r="E163" s="92"/>
      <c r="F163" s="27" t="s">
        <v>31</v>
      </c>
      <c r="G163" s="33"/>
      <c r="H163" s="31"/>
      <c r="I163" s="35"/>
      <c r="J163" s="35"/>
    </row>
    <row r="164" spans="1:10" ht="15.75" x14ac:dyDescent="0.25">
      <c r="A164" s="27" t="s">
        <v>32</v>
      </c>
      <c r="B164" s="23"/>
      <c r="C164" s="38">
        <v>3.8600000000000002E-2</v>
      </c>
      <c r="D164" s="20">
        <f t="shared" si="33"/>
        <v>96.557900000000004</v>
      </c>
      <c r="E164" s="92"/>
      <c r="F164" s="27" t="s">
        <v>16</v>
      </c>
      <c r="G164" s="24"/>
      <c r="H164" s="31"/>
      <c r="I164" s="35"/>
      <c r="J164" s="35"/>
    </row>
    <row r="165" spans="1:10" ht="15.75" x14ac:dyDescent="0.25">
      <c r="A165" s="27" t="s">
        <v>33</v>
      </c>
      <c r="B165" s="23"/>
      <c r="C165" s="38">
        <v>2.2000000000000001E-3</v>
      </c>
      <c r="D165" s="20">
        <f t="shared" si="33"/>
        <v>5.5033000000000003</v>
      </c>
      <c r="E165" s="92"/>
      <c r="F165" s="27" t="s">
        <v>32</v>
      </c>
      <c r="G165" s="24"/>
      <c r="H165" s="31">
        <v>3.7199999999999997E-2</v>
      </c>
      <c r="I165" s="35">
        <f t="shared" si="34"/>
        <v>14.879999999999999</v>
      </c>
      <c r="J165" s="35">
        <f t="shared" si="35"/>
        <v>3.7757999999999998</v>
      </c>
    </row>
    <row r="166" spans="1:10" ht="15.75" x14ac:dyDescent="0.25">
      <c r="A166" s="27" t="s">
        <v>34</v>
      </c>
      <c r="B166" s="23"/>
      <c r="C166" s="38"/>
      <c r="D166" s="20"/>
      <c r="E166" s="92"/>
      <c r="F166" s="27" t="s">
        <v>33</v>
      </c>
      <c r="G166" s="24"/>
      <c r="H166" s="31">
        <v>2.0999999999999999E-3</v>
      </c>
      <c r="I166" s="35">
        <f t="shared" si="34"/>
        <v>0.84</v>
      </c>
      <c r="J166" s="35">
        <f t="shared" si="35"/>
        <v>0.21314999999999998</v>
      </c>
    </row>
    <row r="167" spans="1:10" ht="15.75" x14ac:dyDescent="0.25">
      <c r="A167" s="27" t="s">
        <v>22</v>
      </c>
      <c r="B167" s="23"/>
      <c r="C167" s="38"/>
      <c r="D167" s="20"/>
      <c r="E167" s="92"/>
      <c r="F167" s="27" t="s">
        <v>34</v>
      </c>
      <c r="G167" s="24"/>
      <c r="H167" s="31">
        <v>3.5099999999999999E-2</v>
      </c>
      <c r="I167" s="35">
        <f t="shared" si="34"/>
        <v>14.04</v>
      </c>
      <c r="J167" s="35">
        <f t="shared" si="35"/>
        <v>3.5626500000000001</v>
      </c>
    </row>
    <row r="168" spans="1:10" ht="15.75" x14ac:dyDescent="0.25">
      <c r="A168" s="27" t="s">
        <v>35</v>
      </c>
      <c r="B168" s="29"/>
      <c r="C168" s="38"/>
      <c r="D168" s="20"/>
      <c r="E168" s="92"/>
      <c r="F168" s="27" t="s">
        <v>22</v>
      </c>
      <c r="G168" s="33"/>
      <c r="H168" s="31"/>
      <c r="I168" s="35"/>
      <c r="J168" s="35"/>
    </row>
    <row r="169" spans="1:10" ht="16.5" thickBot="1" x14ac:dyDescent="0.3">
      <c r="A169" s="28" t="s">
        <v>36</v>
      </c>
      <c r="B169" s="29"/>
      <c r="C169" s="49"/>
      <c r="D169" s="20"/>
      <c r="E169" s="92"/>
      <c r="F169" s="27" t="s">
        <v>35</v>
      </c>
      <c r="G169" s="33"/>
      <c r="H169" s="31"/>
      <c r="I169" s="35"/>
      <c r="J169" s="35"/>
    </row>
    <row r="170" spans="1:10" ht="16.5" thickBot="1" x14ac:dyDescent="0.3">
      <c r="A170" s="93" t="s">
        <v>11</v>
      </c>
      <c r="B170" s="93"/>
      <c r="C170" s="8">
        <f>SUM(C145:C169)</f>
        <v>1</v>
      </c>
      <c r="D170" s="15">
        <v>17463.46</v>
      </c>
      <c r="E170" s="92"/>
      <c r="F170" s="28" t="s">
        <v>36</v>
      </c>
      <c r="G170" s="34"/>
      <c r="H170" s="32"/>
      <c r="I170" s="35"/>
      <c r="J170" s="35"/>
    </row>
    <row r="171" spans="1:10" x14ac:dyDescent="0.25">
      <c r="A171" s="2"/>
      <c r="B171" s="2"/>
      <c r="C171" s="2"/>
      <c r="D171" s="2"/>
      <c r="E171" s="2"/>
      <c r="F171" s="81" t="s">
        <v>11</v>
      </c>
      <c r="G171" s="81"/>
      <c r="H171" s="17">
        <f>SUM(H146:H170)</f>
        <v>1</v>
      </c>
      <c r="I171" s="13">
        <v>400</v>
      </c>
      <c r="J171" s="13">
        <f>+H144</f>
        <v>263.45999999999913</v>
      </c>
    </row>
    <row r="172" spans="1:10" ht="23.25" x14ac:dyDescent="0.35">
      <c r="A172" s="82"/>
      <c r="B172" s="83"/>
      <c r="C172" s="2"/>
      <c r="D172" s="2"/>
      <c r="E172" s="2"/>
      <c r="F172" s="18"/>
      <c r="G172" s="18"/>
      <c r="H172" s="19"/>
      <c r="I172" s="18"/>
      <c r="J172" s="18"/>
    </row>
    <row r="174" spans="1:10" ht="26.25" x14ac:dyDescent="0.4">
      <c r="A174" s="57" t="s">
        <v>69</v>
      </c>
      <c r="B174" s="2"/>
      <c r="C174" s="2"/>
      <c r="D174" s="2"/>
      <c r="E174" s="2"/>
      <c r="F174" s="55"/>
      <c r="G174" s="55"/>
      <c r="H174" s="56"/>
      <c r="I174" s="55"/>
      <c r="J174" s="55"/>
    </row>
    <row r="175" spans="1:10" ht="23.25" x14ac:dyDescent="0.35">
      <c r="A175" s="82"/>
      <c r="B175" s="83"/>
      <c r="C175" s="2"/>
      <c r="D175" s="2"/>
      <c r="E175" s="2"/>
      <c r="F175" s="18"/>
      <c r="G175" s="18"/>
      <c r="H175" s="19"/>
      <c r="I175" s="18"/>
      <c r="J175" s="18"/>
    </row>
    <row r="176" spans="1:10" x14ac:dyDescent="0.25">
      <c r="A176" s="84" t="s">
        <v>18</v>
      </c>
      <c r="B176" s="84"/>
      <c r="C176" s="84"/>
      <c r="D176" s="84"/>
      <c r="E176" s="2"/>
      <c r="F176" s="2"/>
      <c r="G176" s="2"/>
    </row>
    <row r="177" spans="1:13" x14ac:dyDescent="0.25">
      <c r="A177" s="9" t="s">
        <v>12</v>
      </c>
      <c r="B177" s="9" t="s">
        <v>13</v>
      </c>
      <c r="C177" s="9" t="s">
        <v>14</v>
      </c>
      <c r="D177" s="10" t="s">
        <v>12</v>
      </c>
      <c r="E177" s="85" t="s">
        <v>13</v>
      </c>
      <c r="F177" s="86"/>
      <c r="G177" s="10" t="s">
        <v>14</v>
      </c>
      <c r="H177" s="9" t="s">
        <v>12</v>
      </c>
      <c r="I177" s="10" t="s">
        <v>13</v>
      </c>
      <c r="J177" s="10" t="s">
        <v>14</v>
      </c>
      <c r="K177" s="9" t="s">
        <v>12</v>
      </c>
      <c r="L177" s="10" t="s">
        <v>13</v>
      </c>
      <c r="M177" s="10" t="s">
        <v>14</v>
      </c>
    </row>
    <row r="178" spans="1:13" x14ac:dyDescent="0.25">
      <c r="A178" s="11">
        <v>1</v>
      </c>
      <c r="B178" s="16">
        <v>0.33333333333333331</v>
      </c>
      <c r="C178" s="16">
        <f>+B178+15/1440</f>
        <v>0.34375</v>
      </c>
      <c r="D178" s="11">
        <v>8</v>
      </c>
      <c r="E178" s="79">
        <f>+C184+5/1440</f>
        <v>0.43055555555555558</v>
      </c>
      <c r="F178" s="80"/>
      <c r="G178" s="16">
        <f>+E178+15/1440</f>
        <v>0.44097222222222227</v>
      </c>
      <c r="H178" s="11"/>
      <c r="I178" s="12">
        <f>G184+5/1440</f>
        <v>0.52777777777777779</v>
      </c>
      <c r="J178" s="12">
        <f>I178+15/1440</f>
        <v>0.53819444444444442</v>
      </c>
      <c r="K178" s="11">
        <v>19</v>
      </c>
      <c r="L178" s="16">
        <f>J184+5/1440</f>
        <v>0.62499999999999967</v>
      </c>
      <c r="M178" s="16">
        <f>L178+15/1440</f>
        <v>0.6354166666666663</v>
      </c>
    </row>
    <row r="179" spans="1:13" x14ac:dyDescent="0.25">
      <c r="A179" s="11">
        <v>2</v>
      </c>
      <c r="B179" s="16">
        <f t="shared" ref="B179:B184" si="36">+C178+5/1440</f>
        <v>0.34722222222222221</v>
      </c>
      <c r="C179" s="16">
        <f>+B179+15/1440</f>
        <v>0.3576388888888889</v>
      </c>
      <c r="D179" s="11">
        <v>9</v>
      </c>
      <c r="E179" s="79">
        <f>+G178+5/1440</f>
        <v>0.44444444444444448</v>
      </c>
      <c r="F179" s="80"/>
      <c r="G179" s="16">
        <f>+E179+15/1440</f>
        <v>0.45486111111111116</v>
      </c>
      <c r="H179" s="11">
        <v>13</v>
      </c>
      <c r="I179" s="16">
        <f>J178+5/1440</f>
        <v>0.54166666666666663</v>
      </c>
      <c r="J179" s="16">
        <f>I179+15/1440</f>
        <v>0.55208333333333326</v>
      </c>
      <c r="K179" s="11">
        <v>20</v>
      </c>
      <c r="L179" s="16">
        <f>M178+5/1440</f>
        <v>0.63888888888888851</v>
      </c>
      <c r="M179" s="16">
        <f>L179+15/1440</f>
        <v>0.64930555555555514</v>
      </c>
    </row>
    <row r="180" spans="1:13" x14ac:dyDescent="0.25">
      <c r="A180" s="11">
        <v>3</v>
      </c>
      <c r="B180" s="16">
        <f t="shared" si="36"/>
        <v>0.3611111111111111</v>
      </c>
      <c r="C180" s="16">
        <f t="shared" ref="C180:C184" si="37">+B180+15/1440</f>
        <v>0.37152777777777779</v>
      </c>
      <c r="D180" s="11">
        <v>10</v>
      </c>
      <c r="E180" s="79">
        <f t="shared" ref="E180:E184" si="38">+G179+5/1440</f>
        <v>0.45833333333333337</v>
      </c>
      <c r="F180" s="80"/>
      <c r="G180" s="16">
        <f t="shared" ref="G180:G184" si="39">+E180+15/1440</f>
        <v>0.46875000000000006</v>
      </c>
      <c r="H180" s="11">
        <v>14</v>
      </c>
      <c r="I180" s="16">
        <f t="shared" ref="I180:I184" si="40">J179+5/1440</f>
        <v>0.55555555555555547</v>
      </c>
      <c r="J180" s="16">
        <f t="shared" ref="J180:J184" si="41">I180+15/1440</f>
        <v>0.5659722222222221</v>
      </c>
      <c r="K180" s="11">
        <v>21</v>
      </c>
      <c r="L180" s="16">
        <f t="shared" ref="L180:L184" si="42">M179+5/1440</f>
        <v>0.65277777777777735</v>
      </c>
      <c r="M180" s="16">
        <f t="shared" ref="M180:M184" si="43">L180+15/1440</f>
        <v>0.66319444444444398</v>
      </c>
    </row>
    <row r="181" spans="1:13" x14ac:dyDescent="0.25">
      <c r="A181" s="11">
        <v>4</v>
      </c>
      <c r="B181" s="16">
        <f t="shared" si="36"/>
        <v>0.375</v>
      </c>
      <c r="C181" s="16">
        <f t="shared" si="37"/>
        <v>0.38541666666666669</v>
      </c>
      <c r="D181" s="11">
        <v>11</v>
      </c>
      <c r="E181" s="79">
        <f t="shared" si="38"/>
        <v>0.47222222222222227</v>
      </c>
      <c r="F181" s="80"/>
      <c r="G181" s="16">
        <f t="shared" si="39"/>
        <v>0.48263888888888895</v>
      </c>
      <c r="H181" s="11">
        <v>15</v>
      </c>
      <c r="I181" s="16">
        <f t="shared" si="40"/>
        <v>0.56944444444444431</v>
      </c>
      <c r="J181" s="16">
        <f t="shared" si="41"/>
        <v>0.57986111111111094</v>
      </c>
      <c r="K181" s="11">
        <v>22</v>
      </c>
      <c r="L181" s="16">
        <f t="shared" si="42"/>
        <v>0.66666666666666619</v>
      </c>
      <c r="M181" s="16">
        <f t="shared" si="43"/>
        <v>0.67708333333333282</v>
      </c>
    </row>
    <row r="182" spans="1:13" x14ac:dyDescent="0.25">
      <c r="A182" s="11">
        <v>5</v>
      </c>
      <c r="B182" s="16">
        <f t="shared" si="36"/>
        <v>0.3888888888888889</v>
      </c>
      <c r="C182" s="16">
        <f t="shared" si="37"/>
        <v>0.39930555555555558</v>
      </c>
      <c r="D182" s="11">
        <v>12</v>
      </c>
      <c r="E182" s="79">
        <f t="shared" si="38"/>
        <v>0.48611111111111116</v>
      </c>
      <c r="F182" s="80"/>
      <c r="G182" s="16">
        <f t="shared" si="39"/>
        <v>0.49652777777777785</v>
      </c>
      <c r="H182" s="11">
        <v>16</v>
      </c>
      <c r="I182" s="16">
        <f t="shared" si="40"/>
        <v>0.58333333333333315</v>
      </c>
      <c r="J182" s="16">
        <f t="shared" si="41"/>
        <v>0.59374999999999978</v>
      </c>
      <c r="K182" s="11">
        <v>23</v>
      </c>
      <c r="L182" s="16">
        <f t="shared" si="42"/>
        <v>0.68055555555555503</v>
      </c>
      <c r="M182" s="16">
        <f t="shared" si="43"/>
        <v>0.69097222222222165</v>
      </c>
    </row>
    <row r="183" spans="1:13" x14ac:dyDescent="0.25">
      <c r="A183" s="11">
        <v>6</v>
      </c>
      <c r="B183" s="16">
        <f t="shared" si="36"/>
        <v>0.40277777777777779</v>
      </c>
      <c r="C183" s="16">
        <f t="shared" si="37"/>
        <v>0.41319444444444448</v>
      </c>
      <c r="D183" s="11"/>
      <c r="E183" s="77">
        <f t="shared" si="38"/>
        <v>0.50000000000000011</v>
      </c>
      <c r="F183" s="78"/>
      <c r="G183" s="21">
        <f t="shared" si="39"/>
        <v>0.51041666666666674</v>
      </c>
      <c r="H183" s="11">
        <v>17</v>
      </c>
      <c r="I183" s="16">
        <f t="shared" si="40"/>
        <v>0.59722222222222199</v>
      </c>
      <c r="J183" s="16">
        <f t="shared" si="41"/>
        <v>0.60763888888888862</v>
      </c>
      <c r="K183" s="11">
        <v>24</v>
      </c>
      <c r="L183" s="12">
        <f t="shared" si="42"/>
        <v>0.69444444444444386</v>
      </c>
      <c r="M183" s="12">
        <f t="shared" si="43"/>
        <v>0.70486111111111049</v>
      </c>
    </row>
    <row r="184" spans="1:13" x14ac:dyDescent="0.25">
      <c r="A184" s="11">
        <v>7</v>
      </c>
      <c r="B184" s="16">
        <f t="shared" si="36"/>
        <v>0.41666666666666669</v>
      </c>
      <c r="C184" s="16">
        <f t="shared" si="37"/>
        <v>0.42708333333333337</v>
      </c>
      <c r="D184" s="11"/>
      <c r="E184" s="77">
        <f t="shared" si="38"/>
        <v>0.51388888888888895</v>
      </c>
      <c r="F184" s="78"/>
      <c r="G184" s="21">
        <f t="shared" si="39"/>
        <v>0.52430555555555558</v>
      </c>
      <c r="H184" s="11">
        <v>18</v>
      </c>
      <c r="I184" s="16">
        <f t="shared" si="40"/>
        <v>0.61111111111111083</v>
      </c>
      <c r="J184" s="16">
        <f t="shared" si="41"/>
        <v>0.62152777777777746</v>
      </c>
      <c r="K184" s="11">
        <v>25</v>
      </c>
      <c r="L184" s="12">
        <f t="shared" si="42"/>
        <v>0.7083333333333327</v>
      </c>
      <c r="M184" s="12">
        <f t="shared" si="43"/>
        <v>0.71874999999999933</v>
      </c>
    </row>
    <row r="185" spans="1:13" x14ac:dyDescent="0.25">
      <c r="H185" s="36"/>
      <c r="I185" s="37"/>
      <c r="J185" s="37"/>
    </row>
    <row r="186" spans="1:13" x14ac:dyDescent="0.25">
      <c r="H186" s="36"/>
      <c r="I186" s="37"/>
      <c r="J186" s="37"/>
    </row>
    <row r="187" spans="1:13" ht="26.25" x14ac:dyDescent="0.4">
      <c r="A187" s="57" t="s">
        <v>70</v>
      </c>
      <c r="B187" s="2"/>
      <c r="C187" s="2"/>
      <c r="D187" s="2"/>
      <c r="E187" s="2"/>
      <c r="F187" s="55"/>
      <c r="G187" s="55"/>
      <c r="H187" s="56"/>
      <c r="I187" s="55"/>
      <c r="J187" s="55"/>
    </row>
    <row r="188" spans="1:13" ht="23.25" x14ac:dyDescent="0.35">
      <c r="A188" s="82"/>
      <c r="B188" s="83"/>
      <c r="C188" s="2"/>
      <c r="D188" s="2"/>
      <c r="E188" s="2"/>
      <c r="F188" s="18"/>
      <c r="G188" s="18"/>
      <c r="H188" s="19"/>
      <c r="I188" s="18"/>
      <c r="J188" s="18"/>
    </row>
    <row r="189" spans="1:13" x14ac:dyDescent="0.25">
      <c r="A189" s="84" t="s">
        <v>18</v>
      </c>
      <c r="B189" s="84"/>
      <c r="C189" s="84"/>
      <c r="D189" s="84"/>
      <c r="E189" s="2"/>
      <c r="F189" s="2"/>
      <c r="G189" s="2"/>
    </row>
    <row r="190" spans="1:13" x14ac:dyDescent="0.25">
      <c r="A190" s="9" t="s">
        <v>12</v>
      </c>
      <c r="B190" s="9" t="s">
        <v>13</v>
      </c>
      <c r="C190" s="9" t="s">
        <v>14</v>
      </c>
      <c r="D190" s="10" t="s">
        <v>12</v>
      </c>
      <c r="E190" s="85" t="s">
        <v>13</v>
      </c>
      <c r="F190" s="86"/>
      <c r="G190" s="10" t="s">
        <v>14</v>
      </c>
      <c r="H190" s="9" t="s">
        <v>12</v>
      </c>
      <c r="I190" s="10" t="s">
        <v>13</v>
      </c>
      <c r="J190" s="10" t="s">
        <v>14</v>
      </c>
      <c r="K190" s="9" t="s">
        <v>12</v>
      </c>
      <c r="L190" s="10" t="s">
        <v>13</v>
      </c>
      <c r="M190" s="10" t="s">
        <v>14</v>
      </c>
    </row>
    <row r="191" spans="1:13" x14ac:dyDescent="0.25">
      <c r="A191" s="11">
        <v>1</v>
      </c>
      <c r="B191" s="16">
        <v>0.33333333333333331</v>
      </c>
      <c r="C191" s="16">
        <f>+B191+15/1440</f>
        <v>0.34375</v>
      </c>
      <c r="D191" s="11">
        <v>8</v>
      </c>
      <c r="E191" s="79">
        <f>+C197+5/1440</f>
        <v>0.43055555555555558</v>
      </c>
      <c r="F191" s="80"/>
      <c r="G191" s="16">
        <f>+E191+15/1440</f>
        <v>0.44097222222222227</v>
      </c>
      <c r="H191" s="11"/>
      <c r="I191" s="12">
        <f>G197+5/1440</f>
        <v>0.52777777777777779</v>
      </c>
      <c r="J191" s="12">
        <f>I191+15/1440</f>
        <v>0.53819444444444442</v>
      </c>
      <c r="K191" s="11">
        <v>19</v>
      </c>
      <c r="L191" s="16">
        <f>J197+5/1440</f>
        <v>0.62499999999999967</v>
      </c>
      <c r="M191" s="16">
        <f>L191+15/1440</f>
        <v>0.6354166666666663</v>
      </c>
    </row>
    <row r="192" spans="1:13" x14ac:dyDescent="0.25">
      <c r="A192" s="11">
        <v>2</v>
      </c>
      <c r="B192" s="16">
        <f t="shared" ref="B192:B197" si="44">+C191+5/1440</f>
        <v>0.34722222222222221</v>
      </c>
      <c r="C192" s="16">
        <f>+B192+15/1440</f>
        <v>0.3576388888888889</v>
      </c>
      <c r="D192" s="11">
        <v>9</v>
      </c>
      <c r="E192" s="79">
        <f>+G191+5/1440</f>
        <v>0.44444444444444448</v>
      </c>
      <c r="F192" s="80"/>
      <c r="G192" s="16">
        <f>+E192+15/1440</f>
        <v>0.45486111111111116</v>
      </c>
      <c r="H192" s="11">
        <v>13</v>
      </c>
      <c r="I192" s="16">
        <f>J191+5/1440</f>
        <v>0.54166666666666663</v>
      </c>
      <c r="J192" s="16">
        <f>I192+15/1440</f>
        <v>0.55208333333333326</v>
      </c>
      <c r="K192" s="11">
        <v>20</v>
      </c>
      <c r="L192" s="16">
        <f>M191+5/1440</f>
        <v>0.63888888888888851</v>
      </c>
      <c r="M192" s="16">
        <f>L192+15/1440</f>
        <v>0.64930555555555514</v>
      </c>
    </row>
    <row r="193" spans="1:13" x14ac:dyDescent="0.25">
      <c r="A193" s="11">
        <v>3</v>
      </c>
      <c r="B193" s="16">
        <f t="shared" si="44"/>
        <v>0.3611111111111111</v>
      </c>
      <c r="C193" s="16">
        <f t="shared" ref="C193:C197" si="45">+B193+15/1440</f>
        <v>0.37152777777777779</v>
      </c>
      <c r="D193" s="11">
        <v>10</v>
      </c>
      <c r="E193" s="79">
        <f t="shared" ref="E193:E197" si="46">+G192+5/1440</f>
        <v>0.45833333333333337</v>
      </c>
      <c r="F193" s="80"/>
      <c r="G193" s="16">
        <f t="shared" ref="G193:G197" si="47">+E193+15/1440</f>
        <v>0.46875000000000006</v>
      </c>
      <c r="H193" s="11">
        <v>14</v>
      </c>
      <c r="I193" s="16">
        <f t="shared" ref="I193:I197" si="48">J192+5/1440</f>
        <v>0.55555555555555547</v>
      </c>
      <c r="J193" s="16">
        <f t="shared" ref="J193:J197" si="49">I193+15/1440</f>
        <v>0.5659722222222221</v>
      </c>
      <c r="K193" s="11">
        <v>21</v>
      </c>
      <c r="L193" s="16">
        <f t="shared" ref="L193:L197" si="50">M192+5/1440</f>
        <v>0.65277777777777735</v>
      </c>
      <c r="M193" s="16">
        <f t="shared" ref="M193:M197" si="51">L193+15/1440</f>
        <v>0.66319444444444398</v>
      </c>
    </row>
    <row r="194" spans="1:13" x14ac:dyDescent="0.25">
      <c r="A194" s="11">
        <v>4</v>
      </c>
      <c r="B194" s="16">
        <f t="shared" si="44"/>
        <v>0.375</v>
      </c>
      <c r="C194" s="16">
        <f t="shared" si="45"/>
        <v>0.38541666666666669</v>
      </c>
      <c r="D194" s="11">
        <v>11</v>
      </c>
      <c r="E194" s="79">
        <f t="shared" si="46"/>
        <v>0.47222222222222227</v>
      </c>
      <c r="F194" s="80"/>
      <c r="G194" s="16">
        <f t="shared" si="47"/>
        <v>0.48263888888888895</v>
      </c>
      <c r="H194" s="11">
        <v>15</v>
      </c>
      <c r="I194" s="16">
        <f t="shared" si="48"/>
        <v>0.56944444444444431</v>
      </c>
      <c r="J194" s="16">
        <f t="shared" si="49"/>
        <v>0.57986111111111094</v>
      </c>
      <c r="K194" s="11">
        <v>22</v>
      </c>
      <c r="L194" s="12">
        <f t="shared" si="50"/>
        <v>0.66666666666666619</v>
      </c>
      <c r="M194" s="12">
        <f t="shared" si="51"/>
        <v>0.67708333333333282</v>
      </c>
    </row>
    <row r="195" spans="1:13" x14ac:dyDescent="0.25">
      <c r="A195" s="11">
        <v>5</v>
      </c>
      <c r="B195" s="16">
        <f t="shared" si="44"/>
        <v>0.3888888888888889</v>
      </c>
      <c r="C195" s="16">
        <f t="shared" si="45"/>
        <v>0.39930555555555558</v>
      </c>
      <c r="D195" s="11">
        <v>12</v>
      </c>
      <c r="E195" s="79">
        <f t="shared" si="46"/>
        <v>0.48611111111111116</v>
      </c>
      <c r="F195" s="80"/>
      <c r="G195" s="16">
        <f t="shared" si="47"/>
        <v>0.49652777777777785</v>
      </c>
      <c r="H195" s="11">
        <v>16</v>
      </c>
      <c r="I195" s="16">
        <f t="shared" si="48"/>
        <v>0.58333333333333315</v>
      </c>
      <c r="J195" s="16">
        <f t="shared" si="49"/>
        <v>0.59374999999999978</v>
      </c>
      <c r="K195" s="11">
        <v>23</v>
      </c>
      <c r="L195" s="12">
        <f t="shared" si="50"/>
        <v>0.68055555555555503</v>
      </c>
      <c r="M195" s="12">
        <f t="shared" si="51"/>
        <v>0.69097222222222165</v>
      </c>
    </row>
    <row r="196" spans="1:13" x14ac:dyDescent="0.25">
      <c r="A196" s="11">
        <v>6</v>
      </c>
      <c r="B196" s="16">
        <f t="shared" si="44"/>
        <v>0.40277777777777779</v>
      </c>
      <c r="C196" s="16">
        <f t="shared" si="45"/>
        <v>0.41319444444444448</v>
      </c>
      <c r="D196" s="11"/>
      <c r="E196" s="77">
        <f t="shared" si="46"/>
        <v>0.50000000000000011</v>
      </c>
      <c r="F196" s="78"/>
      <c r="G196" s="21">
        <f t="shared" si="47"/>
        <v>0.51041666666666674</v>
      </c>
      <c r="H196" s="11">
        <v>17</v>
      </c>
      <c r="I196" s="16">
        <f t="shared" si="48"/>
        <v>0.59722222222222199</v>
      </c>
      <c r="J196" s="16">
        <f t="shared" si="49"/>
        <v>0.60763888888888862</v>
      </c>
      <c r="K196" s="11">
        <v>24</v>
      </c>
      <c r="L196" s="12">
        <f t="shared" si="50"/>
        <v>0.69444444444444386</v>
      </c>
      <c r="M196" s="12">
        <f t="shared" si="51"/>
        <v>0.70486111111111049</v>
      </c>
    </row>
    <row r="197" spans="1:13" x14ac:dyDescent="0.25">
      <c r="A197" s="11">
        <v>7</v>
      </c>
      <c r="B197" s="16">
        <f t="shared" si="44"/>
        <v>0.41666666666666669</v>
      </c>
      <c r="C197" s="16">
        <f t="shared" si="45"/>
        <v>0.42708333333333337</v>
      </c>
      <c r="D197" s="11"/>
      <c r="E197" s="77">
        <f t="shared" si="46"/>
        <v>0.51388888888888895</v>
      </c>
      <c r="F197" s="78"/>
      <c r="G197" s="21">
        <f t="shared" si="47"/>
        <v>0.52430555555555558</v>
      </c>
      <c r="H197" s="11">
        <v>18</v>
      </c>
      <c r="I197" s="16">
        <f t="shared" si="48"/>
        <v>0.61111111111111083</v>
      </c>
      <c r="J197" s="16">
        <f t="shared" si="49"/>
        <v>0.62152777777777746</v>
      </c>
      <c r="K197" s="11">
        <v>25</v>
      </c>
      <c r="L197" s="12">
        <f t="shared" si="50"/>
        <v>0.7083333333333327</v>
      </c>
      <c r="M197" s="12">
        <f t="shared" si="51"/>
        <v>0.71874999999999933</v>
      </c>
    </row>
  </sheetData>
  <mergeCells count="106">
    <mergeCell ref="E133:F133"/>
    <mergeCell ref="E134:F134"/>
    <mergeCell ref="E135:F135"/>
    <mergeCell ref="A127:D127"/>
    <mergeCell ref="E128:F128"/>
    <mergeCell ref="E129:F129"/>
    <mergeCell ref="E130:F130"/>
    <mergeCell ref="E131:F131"/>
    <mergeCell ref="E132:F132"/>
    <mergeCell ref="E86:F86"/>
    <mergeCell ref="E87:F87"/>
    <mergeCell ref="E88:F88"/>
    <mergeCell ref="E89:F89"/>
    <mergeCell ref="A93:D94"/>
    <mergeCell ref="E93:J94"/>
    <mergeCell ref="A126:B126"/>
    <mergeCell ref="A95:B95"/>
    <mergeCell ref="I95:J95"/>
    <mergeCell ref="A96:B96"/>
    <mergeCell ref="C96:G96"/>
    <mergeCell ref="I96:J96"/>
    <mergeCell ref="I97:J97"/>
    <mergeCell ref="A98:B98"/>
    <mergeCell ref="E98:E124"/>
    <mergeCell ref="F99:G99"/>
    <mergeCell ref="A124:B124"/>
    <mergeCell ref="F125:G125"/>
    <mergeCell ref="E85:F85"/>
    <mergeCell ref="I51:J51"/>
    <mergeCell ref="A52:B52"/>
    <mergeCell ref="E52:E78"/>
    <mergeCell ref="F53:G53"/>
    <mergeCell ref="A78:B78"/>
    <mergeCell ref="F79:G79"/>
    <mergeCell ref="A80:B80"/>
    <mergeCell ref="A81:D81"/>
    <mergeCell ref="E82:F82"/>
    <mergeCell ref="E83:F83"/>
    <mergeCell ref="E84:F84"/>
    <mergeCell ref="E42:F42"/>
    <mergeCell ref="E43:F43"/>
    <mergeCell ref="A47:D48"/>
    <mergeCell ref="E47:J48"/>
    <mergeCell ref="A49:B49"/>
    <mergeCell ref="C49:G49"/>
    <mergeCell ref="I49:J49"/>
    <mergeCell ref="A50:B50"/>
    <mergeCell ref="C50:G50"/>
    <mergeCell ref="I50:J50"/>
    <mergeCell ref="A4:B4"/>
    <mergeCell ref="C4:G4"/>
    <mergeCell ref="I4:J4"/>
    <mergeCell ref="A139:D140"/>
    <mergeCell ref="E139:J140"/>
    <mergeCell ref="A1:D2"/>
    <mergeCell ref="E1:J2"/>
    <mergeCell ref="A3:B3"/>
    <mergeCell ref="C3:G3"/>
    <mergeCell ref="I3:J3"/>
    <mergeCell ref="E39:F39"/>
    <mergeCell ref="I5:J5"/>
    <mergeCell ref="A6:B6"/>
    <mergeCell ref="E6:E32"/>
    <mergeCell ref="F7:G7"/>
    <mergeCell ref="A32:B32"/>
    <mergeCell ref="F33:G33"/>
    <mergeCell ref="A34:B34"/>
    <mergeCell ref="A35:D35"/>
    <mergeCell ref="E36:F36"/>
    <mergeCell ref="E37:F37"/>
    <mergeCell ref="E38:F38"/>
    <mergeCell ref="E40:F40"/>
    <mergeCell ref="E41:F41"/>
    <mergeCell ref="F171:G171"/>
    <mergeCell ref="A172:B172"/>
    <mergeCell ref="I143:J143"/>
    <mergeCell ref="A144:B144"/>
    <mergeCell ref="E144:E170"/>
    <mergeCell ref="F145:G145"/>
    <mergeCell ref="A170:B170"/>
    <mergeCell ref="A141:B141"/>
    <mergeCell ref="C141:G141"/>
    <mergeCell ref="I141:J141"/>
    <mergeCell ref="A142:B142"/>
    <mergeCell ref="C142:G142"/>
    <mergeCell ref="I142:J142"/>
    <mergeCell ref="E181:F181"/>
    <mergeCell ref="A175:B175"/>
    <mergeCell ref="A176:D176"/>
    <mergeCell ref="E182:F182"/>
    <mergeCell ref="E183:F183"/>
    <mergeCell ref="E177:F177"/>
    <mergeCell ref="E178:F178"/>
    <mergeCell ref="E179:F179"/>
    <mergeCell ref="E180:F180"/>
    <mergeCell ref="E197:F197"/>
    <mergeCell ref="E192:F192"/>
    <mergeCell ref="E193:F193"/>
    <mergeCell ref="E194:F194"/>
    <mergeCell ref="E195:F195"/>
    <mergeCell ref="E196:F196"/>
    <mergeCell ref="E184:F184"/>
    <mergeCell ref="A188:B188"/>
    <mergeCell ref="A189:D189"/>
    <mergeCell ref="E190:F190"/>
    <mergeCell ref="E191:F19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9092-6813-4ADF-B716-1B3FE7DA2F70}">
  <dimension ref="A1:M243"/>
  <sheetViews>
    <sheetView topLeftCell="A59" zoomScaleNormal="100" workbookViewId="0">
      <selection activeCell="A63" sqref="A63:M105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60</v>
      </c>
      <c r="D3" s="100"/>
      <c r="E3" s="100"/>
      <c r="F3" s="100"/>
      <c r="G3" s="100"/>
      <c r="H3" s="1" t="s">
        <v>1</v>
      </c>
      <c r="I3" s="101">
        <v>45532</v>
      </c>
      <c r="J3" s="102"/>
    </row>
    <row r="4" spans="1:10" ht="37.5" customHeight="1" x14ac:dyDescent="0.25">
      <c r="A4" s="87" t="s">
        <v>2</v>
      </c>
      <c r="B4" s="87"/>
      <c r="C4" s="88" t="s">
        <v>61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37</v>
      </c>
      <c r="G6" s="5" t="s">
        <v>8</v>
      </c>
      <c r="H6" s="6">
        <f>D32-(F6*400)</f>
        <v>189.72999999999956</v>
      </c>
      <c r="I6" s="7" t="s">
        <v>9</v>
      </c>
    </row>
    <row r="7" spans="1:10" ht="15.75" x14ac:dyDescent="0.25">
      <c r="A7" s="26" t="s">
        <v>23</v>
      </c>
      <c r="B7" s="29"/>
      <c r="C7" s="48" t="s">
        <v>50</v>
      </c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8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0.32269999999999999</v>
      </c>
      <c r="D10" s="20">
        <f>C10*$D$32</f>
        <v>4837.1858709999997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0.17780000000000001</v>
      </c>
      <c r="D11" s="20">
        <f t="shared" ref="D11:D28" si="0">C11*$D$32</f>
        <v>2665.1739940000002</v>
      </c>
      <c r="E11" s="92"/>
      <c r="F11" s="27" t="s">
        <v>25</v>
      </c>
      <c r="G11" s="33"/>
      <c r="H11" s="38">
        <v>0.16500000000000001</v>
      </c>
      <c r="I11" s="35">
        <f t="shared" ref="I11:I28" si="1">H11*$I$33</f>
        <v>66</v>
      </c>
      <c r="J11" s="35">
        <f t="shared" ref="J11:J28" si="2">H11*$J$33</f>
        <v>31.305449999999929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8">
        <v>0.16500000000000001</v>
      </c>
      <c r="I12" s="35">
        <f t="shared" si="1"/>
        <v>66</v>
      </c>
      <c r="J12" s="35">
        <f t="shared" si="2"/>
        <v>31.305449999999929</v>
      </c>
    </row>
    <row r="13" spans="1:10" ht="15.75" x14ac:dyDescent="0.25">
      <c r="A13" s="27" t="s">
        <v>26</v>
      </c>
      <c r="B13" s="29"/>
      <c r="C13" s="31">
        <v>3.5799999999999998E-2</v>
      </c>
      <c r="D13" s="20">
        <f t="shared" si="0"/>
        <v>536.63233400000001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8"/>
      <c r="I14" s="35"/>
      <c r="J14" s="35"/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0.39119999999999999</v>
      </c>
      <c r="D17" s="20">
        <f t="shared" si="0"/>
        <v>5863.9823759999999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8"/>
      <c r="D18" s="20"/>
      <c r="E18" s="92"/>
      <c r="F18" s="27" t="s">
        <v>44</v>
      </c>
      <c r="G18" s="33"/>
      <c r="H18" s="38">
        <v>0.64290000000000003</v>
      </c>
      <c r="I18" s="35">
        <f t="shared" si="1"/>
        <v>257.16000000000003</v>
      </c>
      <c r="J18" s="35">
        <f t="shared" si="2"/>
        <v>121.97741699999972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8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3.7699999999999997E-2</v>
      </c>
      <c r="D26" s="20">
        <f t="shared" si="0"/>
        <v>565.11282099999994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31.478432999999995</v>
      </c>
      <c r="E27" s="92"/>
      <c r="F27" s="27" t="s">
        <v>32</v>
      </c>
      <c r="G27" s="24"/>
      <c r="H27" s="38">
        <v>2.5600000000000001E-2</v>
      </c>
      <c r="I27" s="35">
        <f t="shared" si="1"/>
        <v>10.24</v>
      </c>
      <c r="J27" s="35">
        <f t="shared" si="2"/>
        <v>4.8570879999999894</v>
      </c>
    </row>
    <row r="28" spans="1:10" ht="15.75" x14ac:dyDescent="0.25">
      <c r="A28" s="27" t="s">
        <v>34</v>
      </c>
      <c r="B28" s="23"/>
      <c r="C28" s="31">
        <v>3.2899999999999999E-2</v>
      </c>
      <c r="D28" s="20">
        <f t="shared" si="0"/>
        <v>493.16211699999997</v>
      </c>
      <c r="E28" s="92"/>
      <c r="F28" s="27" t="s">
        <v>33</v>
      </c>
      <c r="G28" s="24"/>
      <c r="H28" s="38">
        <v>1.5E-3</v>
      </c>
      <c r="I28" s="35">
        <f t="shared" si="1"/>
        <v>0.6</v>
      </c>
      <c r="J28" s="35">
        <f t="shared" si="2"/>
        <v>0.28459499999999938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8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1.0002</v>
      </c>
      <c r="D32" s="15">
        <v>14989.73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189.72999999999956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6" spans="1:13" ht="26.25" x14ac:dyDescent="0.4">
      <c r="A36" s="57" t="s">
        <v>72</v>
      </c>
      <c r="B36" s="2"/>
      <c r="C36" s="2"/>
      <c r="D36" s="2"/>
      <c r="E36" s="2"/>
      <c r="F36" s="55"/>
      <c r="G36" s="55"/>
      <c r="H36" s="56"/>
      <c r="I36" s="55"/>
      <c r="J36" s="55"/>
    </row>
    <row r="37" spans="1:13" ht="23.25" x14ac:dyDescent="0.35">
      <c r="A37" s="82"/>
      <c r="B37" s="83"/>
      <c r="C37" s="2"/>
      <c r="D37" s="2"/>
      <c r="E37" s="2"/>
      <c r="F37" s="18"/>
      <c r="G37" s="18"/>
      <c r="H37" s="19"/>
      <c r="I37" s="18"/>
      <c r="J37" s="18"/>
    </row>
    <row r="38" spans="1:13" x14ac:dyDescent="0.25">
      <c r="A38" s="84" t="s">
        <v>18</v>
      </c>
      <c r="B38" s="84"/>
      <c r="C38" s="84"/>
      <c r="D38" s="84"/>
      <c r="E38" s="2"/>
      <c r="F38" s="2"/>
      <c r="G38" s="2"/>
    </row>
    <row r="39" spans="1:13" x14ac:dyDescent="0.25">
      <c r="A39" s="9" t="s">
        <v>12</v>
      </c>
      <c r="B39" s="9" t="s">
        <v>13</v>
      </c>
      <c r="C39" s="9" t="s">
        <v>14</v>
      </c>
      <c r="D39" s="10" t="s">
        <v>12</v>
      </c>
      <c r="E39" s="85" t="s">
        <v>13</v>
      </c>
      <c r="F39" s="86"/>
      <c r="G39" s="10" t="s">
        <v>14</v>
      </c>
      <c r="H39" s="9" t="s">
        <v>12</v>
      </c>
      <c r="I39" s="10" t="s">
        <v>13</v>
      </c>
      <c r="J39" s="10" t="s">
        <v>14</v>
      </c>
      <c r="K39" s="9" t="s">
        <v>12</v>
      </c>
      <c r="L39" s="10" t="s">
        <v>13</v>
      </c>
      <c r="M39" s="10" t="s">
        <v>14</v>
      </c>
    </row>
    <row r="40" spans="1:13" x14ac:dyDescent="0.25">
      <c r="A40" s="11">
        <v>1</v>
      </c>
      <c r="B40" s="16">
        <v>0.33333333333333331</v>
      </c>
      <c r="C40" s="16">
        <f>+B40+15/1440</f>
        <v>0.34375</v>
      </c>
      <c r="D40" s="11">
        <v>8</v>
      </c>
      <c r="E40" s="79">
        <f>+C46+5/1440</f>
        <v>0.43055555555555558</v>
      </c>
      <c r="F40" s="80"/>
      <c r="G40" s="16">
        <f>+E40+15/1440</f>
        <v>0.44097222222222227</v>
      </c>
      <c r="H40" s="11"/>
      <c r="I40" s="12">
        <f>G46+5/1440</f>
        <v>0.52777777777777779</v>
      </c>
      <c r="J40" s="12">
        <f>I40+15/1440</f>
        <v>0.53819444444444442</v>
      </c>
      <c r="K40" s="11">
        <v>19</v>
      </c>
      <c r="L40" s="16">
        <f>J46+5/1440</f>
        <v>0.62499999999999967</v>
      </c>
      <c r="M40" s="16">
        <f>L40+15/1440</f>
        <v>0.6354166666666663</v>
      </c>
    </row>
    <row r="41" spans="1:13" x14ac:dyDescent="0.25">
      <c r="A41" s="11">
        <v>2</v>
      </c>
      <c r="B41" s="16">
        <f t="shared" ref="B41:B46" si="3">+C40+5/1440</f>
        <v>0.34722222222222221</v>
      </c>
      <c r="C41" s="16">
        <f>+B41+15/1440</f>
        <v>0.3576388888888889</v>
      </c>
      <c r="D41" s="11">
        <v>9</v>
      </c>
      <c r="E41" s="79">
        <f>+G40+5/1440</f>
        <v>0.44444444444444448</v>
      </c>
      <c r="F41" s="80"/>
      <c r="G41" s="16">
        <f>+E41+15/1440</f>
        <v>0.45486111111111116</v>
      </c>
      <c r="H41" s="11">
        <v>13</v>
      </c>
      <c r="I41" s="16">
        <f>J40+5/1440</f>
        <v>0.54166666666666663</v>
      </c>
      <c r="J41" s="16">
        <f>I41+15/1440</f>
        <v>0.55208333333333326</v>
      </c>
      <c r="K41" s="11">
        <v>20</v>
      </c>
      <c r="L41" s="16">
        <f>M40+5/1440</f>
        <v>0.63888888888888851</v>
      </c>
      <c r="M41" s="16">
        <f>L41+15/1440</f>
        <v>0.64930555555555514</v>
      </c>
    </row>
    <row r="42" spans="1:13" x14ac:dyDescent="0.25">
      <c r="A42" s="11">
        <v>3</v>
      </c>
      <c r="B42" s="16">
        <f t="shared" si="3"/>
        <v>0.3611111111111111</v>
      </c>
      <c r="C42" s="16">
        <f t="shared" ref="C42:C46" si="4">+B42+15/1440</f>
        <v>0.37152777777777779</v>
      </c>
      <c r="D42" s="11">
        <v>10</v>
      </c>
      <c r="E42" s="79">
        <f t="shared" ref="E42:E46" si="5">+G41+5/1440</f>
        <v>0.45833333333333337</v>
      </c>
      <c r="F42" s="80"/>
      <c r="G42" s="16">
        <f t="shared" ref="G42:G46" si="6">+E42+15/1440</f>
        <v>0.46875000000000006</v>
      </c>
      <c r="H42" s="11">
        <v>14</v>
      </c>
      <c r="I42" s="16">
        <f t="shared" ref="I42:I46" si="7">J41+5/1440</f>
        <v>0.55555555555555547</v>
      </c>
      <c r="J42" s="16">
        <f t="shared" ref="J42:J46" si="8">I42+15/1440</f>
        <v>0.5659722222222221</v>
      </c>
      <c r="K42" s="11">
        <v>21</v>
      </c>
      <c r="L42" s="16">
        <f t="shared" ref="L42:L46" si="9">M41+5/1440</f>
        <v>0.65277777777777735</v>
      </c>
      <c r="M42" s="16">
        <f t="shared" ref="M42:M46" si="10">L42+15/1440</f>
        <v>0.66319444444444398</v>
      </c>
    </row>
    <row r="43" spans="1:13" x14ac:dyDescent="0.25">
      <c r="A43" s="11">
        <v>4</v>
      </c>
      <c r="B43" s="16">
        <f t="shared" si="3"/>
        <v>0.375</v>
      </c>
      <c r="C43" s="16">
        <f t="shared" si="4"/>
        <v>0.38541666666666669</v>
      </c>
      <c r="D43" s="11">
        <v>11</v>
      </c>
      <c r="E43" s="79">
        <f t="shared" si="5"/>
        <v>0.47222222222222227</v>
      </c>
      <c r="F43" s="80"/>
      <c r="G43" s="16">
        <f t="shared" si="6"/>
        <v>0.48263888888888895</v>
      </c>
      <c r="H43" s="11">
        <v>15</v>
      </c>
      <c r="I43" s="16">
        <f t="shared" si="7"/>
        <v>0.56944444444444431</v>
      </c>
      <c r="J43" s="16">
        <f t="shared" si="8"/>
        <v>0.57986111111111094</v>
      </c>
      <c r="K43" s="11">
        <v>22</v>
      </c>
      <c r="L43" s="16">
        <f t="shared" si="9"/>
        <v>0.66666666666666619</v>
      </c>
      <c r="M43" s="16">
        <f t="shared" si="10"/>
        <v>0.67708333333333282</v>
      </c>
    </row>
    <row r="44" spans="1:13" x14ac:dyDescent="0.25">
      <c r="A44" s="11">
        <v>5</v>
      </c>
      <c r="B44" s="16">
        <f t="shared" si="3"/>
        <v>0.3888888888888889</v>
      </c>
      <c r="C44" s="16">
        <f t="shared" si="4"/>
        <v>0.39930555555555558</v>
      </c>
      <c r="D44" s="11">
        <v>12</v>
      </c>
      <c r="E44" s="79">
        <f t="shared" si="5"/>
        <v>0.48611111111111116</v>
      </c>
      <c r="F44" s="80"/>
      <c r="G44" s="16">
        <f t="shared" si="6"/>
        <v>0.49652777777777785</v>
      </c>
      <c r="H44" s="11">
        <v>16</v>
      </c>
      <c r="I44" s="16">
        <f t="shared" si="7"/>
        <v>0.58333333333333315</v>
      </c>
      <c r="J44" s="16">
        <f t="shared" si="8"/>
        <v>0.59374999999999978</v>
      </c>
      <c r="K44" s="11">
        <v>23</v>
      </c>
      <c r="L44" s="16">
        <f t="shared" si="9"/>
        <v>0.68055555555555503</v>
      </c>
      <c r="M44" s="16">
        <f t="shared" si="10"/>
        <v>0.69097222222222165</v>
      </c>
    </row>
    <row r="45" spans="1:13" x14ac:dyDescent="0.25">
      <c r="A45" s="11">
        <v>6</v>
      </c>
      <c r="B45" s="16">
        <f t="shared" si="3"/>
        <v>0.40277777777777779</v>
      </c>
      <c r="C45" s="16">
        <f t="shared" si="4"/>
        <v>0.41319444444444448</v>
      </c>
      <c r="D45" s="11"/>
      <c r="E45" s="77">
        <f t="shared" si="5"/>
        <v>0.50000000000000011</v>
      </c>
      <c r="F45" s="78"/>
      <c r="G45" s="21">
        <f t="shared" si="6"/>
        <v>0.51041666666666674</v>
      </c>
      <c r="H45" s="11">
        <v>17</v>
      </c>
      <c r="I45" s="16">
        <f t="shared" si="7"/>
        <v>0.59722222222222199</v>
      </c>
      <c r="J45" s="16">
        <f t="shared" si="8"/>
        <v>0.60763888888888862</v>
      </c>
      <c r="K45" s="11">
        <v>24</v>
      </c>
      <c r="L45" s="12">
        <f t="shared" si="9"/>
        <v>0.69444444444444386</v>
      </c>
      <c r="M45" s="12">
        <f t="shared" si="10"/>
        <v>0.70486111111111049</v>
      </c>
    </row>
    <row r="46" spans="1:13" x14ac:dyDescent="0.25">
      <c r="A46" s="11">
        <v>7</v>
      </c>
      <c r="B46" s="16">
        <f t="shared" si="3"/>
        <v>0.41666666666666669</v>
      </c>
      <c r="C46" s="16">
        <f t="shared" si="4"/>
        <v>0.42708333333333337</v>
      </c>
      <c r="D46" s="11"/>
      <c r="E46" s="77">
        <f t="shared" si="5"/>
        <v>0.51388888888888895</v>
      </c>
      <c r="F46" s="78"/>
      <c r="G46" s="21">
        <f t="shared" si="6"/>
        <v>0.52430555555555558</v>
      </c>
      <c r="H46" s="11">
        <v>18</v>
      </c>
      <c r="I46" s="16">
        <f t="shared" si="7"/>
        <v>0.61111111111111083</v>
      </c>
      <c r="J46" s="16">
        <f t="shared" si="8"/>
        <v>0.62152777777777746</v>
      </c>
      <c r="K46" s="11">
        <v>25</v>
      </c>
      <c r="L46" s="12">
        <f t="shared" si="9"/>
        <v>0.7083333333333327</v>
      </c>
      <c r="M46" s="12">
        <f t="shared" si="10"/>
        <v>0.71874999999999933</v>
      </c>
    </row>
    <row r="47" spans="1:13" x14ac:dyDescent="0.25">
      <c r="H47" s="36"/>
      <c r="I47" s="37"/>
      <c r="J47" s="37"/>
    </row>
    <row r="48" spans="1:13" x14ac:dyDescent="0.25">
      <c r="H48" s="36"/>
      <c r="I48" s="37"/>
      <c r="J48" s="37"/>
    </row>
    <row r="49" spans="1:13" ht="26.25" x14ac:dyDescent="0.4">
      <c r="A49" s="57" t="s">
        <v>71</v>
      </c>
      <c r="B49" s="2"/>
      <c r="C49" s="2"/>
      <c r="D49" s="2"/>
      <c r="E49" s="2"/>
      <c r="F49" s="55"/>
      <c r="G49" s="55"/>
      <c r="H49" s="56"/>
      <c r="I49" s="55"/>
      <c r="J49" s="55"/>
    </row>
    <row r="50" spans="1:13" ht="23.25" x14ac:dyDescent="0.35">
      <c r="A50" s="82"/>
      <c r="B50" s="83"/>
      <c r="C50" s="2"/>
      <c r="D50" s="2"/>
      <c r="E50" s="2"/>
      <c r="F50" s="18"/>
      <c r="G50" s="18"/>
      <c r="H50" s="19"/>
      <c r="I50" s="18"/>
      <c r="J50" s="18"/>
    </row>
    <row r="51" spans="1:13" x14ac:dyDescent="0.25">
      <c r="A51" s="84" t="s">
        <v>18</v>
      </c>
      <c r="B51" s="84"/>
      <c r="C51" s="84"/>
      <c r="D51" s="84"/>
      <c r="E51" s="2"/>
      <c r="F51" s="2"/>
      <c r="G51" s="2"/>
    </row>
    <row r="52" spans="1:13" x14ac:dyDescent="0.25">
      <c r="A52" s="9" t="s">
        <v>12</v>
      </c>
      <c r="B52" s="9" t="s">
        <v>13</v>
      </c>
      <c r="C52" s="9" t="s">
        <v>14</v>
      </c>
      <c r="D52" s="10" t="s">
        <v>12</v>
      </c>
      <c r="E52" s="85" t="s">
        <v>13</v>
      </c>
      <c r="F52" s="86"/>
      <c r="G52" s="10" t="s">
        <v>14</v>
      </c>
      <c r="H52" s="9" t="s">
        <v>12</v>
      </c>
      <c r="I52" s="10" t="s">
        <v>13</v>
      </c>
      <c r="J52" s="10" t="s">
        <v>14</v>
      </c>
      <c r="K52" s="9" t="s">
        <v>12</v>
      </c>
      <c r="L52" s="10" t="s">
        <v>13</v>
      </c>
      <c r="M52" s="10" t="s">
        <v>14</v>
      </c>
    </row>
    <row r="53" spans="1:13" x14ac:dyDescent="0.25">
      <c r="A53" s="11">
        <v>1</v>
      </c>
      <c r="B53" s="16">
        <v>0.33333333333333331</v>
      </c>
      <c r="C53" s="16">
        <f>+B53+15/1440</f>
        <v>0.34375</v>
      </c>
      <c r="D53" s="11">
        <v>8</v>
      </c>
      <c r="E53" s="79">
        <f>+C59+5/1440</f>
        <v>0.43055555555555558</v>
      </c>
      <c r="F53" s="80"/>
      <c r="G53" s="16">
        <f>+E53+15/1440</f>
        <v>0.44097222222222227</v>
      </c>
      <c r="H53" s="11"/>
      <c r="I53" s="12">
        <f>G59+5/1440</f>
        <v>0.52777777777777779</v>
      </c>
      <c r="J53" s="12">
        <f>I53+15/1440</f>
        <v>0.53819444444444442</v>
      </c>
      <c r="K53" s="11">
        <v>19</v>
      </c>
      <c r="L53" s="12">
        <f>J59+5/1440</f>
        <v>0.62499999999999967</v>
      </c>
      <c r="M53" s="12">
        <f>L53+15/1440</f>
        <v>0.6354166666666663</v>
      </c>
    </row>
    <row r="54" spans="1:13" x14ac:dyDescent="0.25">
      <c r="A54" s="11">
        <v>2</v>
      </c>
      <c r="B54" s="16">
        <f t="shared" ref="B54:B59" si="11">+C53+5/1440</f>
        <v>0.34722222222222221</v>
      </c>
      <c r="C54" s="16">
        <f>+B54+15/1440</f>
        <v>0.3576388888888889</v>
      </c>
      <c r="D54" s="11">
        <v>9</v>
      </c>
      <c r="E54" s="79">
        <f>+G53+5/1440</f>
        <v>0.44444444444444448</v>
      </c>
      <c r="F54" s="80"/>
      <c r="G54" s="16">
        <f>+E54+15/1440</f>
        <v>0.45486111111111116</v>
      </c>
      <c r="H54" s="11">
        <v>13</v>
      </c>
      <c r="I54" s="16">
        <f>J53+5/1440</f>
        <v>0.54166666666666663</v>
      </c>
      <c r="J54" s="16">
        <f>I54+15/1440</f>
        <v>0.55208333333333326</v>
      </c>
      <c r="K54" s="11">
        <v>20</v>
      </c>
      <c r="L54" s="12">
        <f>M53+5/1440</f>
        <v>0.63888888888888851</v>
      </c>
      <c r="M54" s="12">
        <f>L54+15/1440</f>
        <v>0.64930555555555514</v>
      </c>
    </row>
    <row r="55" spans="1:13" x14ac:dyDescent="0.25">
      <c r="A55" s="11">
        <v>3</v>
      </c>
      <c r="B55" s="16">
        <f t="shared" si="11"/>
        <v>0.3611111111111111</v>
      </c>
      <c r="C55" s="16">
        <f t="shared" ref="C55:C59" si="12">+B55+15/1440</f>
        <v>0.37152777777777779</v>
      </c>
      <c r="D55" s="11">
        <v>10</v>
      </c>
      <c r="E55" s="79">
        <f t="shared" ref="E55:E59" si="13">+G54+5/1440</f>
        <v>0.45833333333333337</v>
      </c>
      <c r="F55" s="80"/>
      <c r="G55" s="16">
        <f t="shared" ref="G55:G59" si="14">+E55+15/1440</f>
        <v>0.46875000000000006</v>
      </c>
      <c r="H55" s="11">
        <v>14</v>
      </c>
      <c r="I55" s="16">
        <f t="shared" ref="I55:I59" si="15">J54+5/1440</f>
        <v>0.55555555555555547</v>
      </c>
      <c r="J55" s="16">
        <f t="shared" ref="J55:J59" si="16">I55+15/1440</f>
        <v>0.5659722222222221</v>
      </c>
      <c r="K55" s="11">
        <v>21</v>
      </c>
      <c r="L55" s="12">
        <f t="shared" ref="L55:L59" si="17">M54+5/1440</f>
        <v>0.65277777777777735</v>
      </c>
      <c r="M55" s="12">
        <f t="shared" ref="M55:M59" si="18">L55+15/1440</f>
        <v>0.66319444444444398</v>
      </c>
    </row>
    <row r="56" spans="1:13" x14ac:dyDescent="0.25">
      <c r="A56" s="11">
        <v>4</v>
      </c>
      <c r="B56" s="16">
        <f t="shared" si="11"/>
        <v>0.375</v>
      </c>
      <c r="C56" s="16">
        <f t="shared" si="12"/>
        <v>0.38541666666666669</v>
      </c>
      <c r="D56" s="11">
        <v>11</v>
      </c>
      <c r="E56" s="79">
        <f t="shared" si="13"/>
        <v>0.47222222222222227</v>
      </c>
      <c r="F56" s="80"/>
      <c r="G56" s="16">
        <f t="shared" si="14"/>
        <v>0.48263888888888895</v>
      </c>
      <c r="H56" s="11">
        <v>15</v>
      </c>
      <c r="I56" s="16">
        <f t="shared" si="15"/>
        <v>0.56944444444444431</v>
      </c>
      <c r="J56" s="16">
        <f t="shared" si="16"/>
        <v>0.57986111111111094</v>
      </c>
      <c r="K56" s="11">
        <v>22</v>
      </c>
      <c r="L56" s="12">
        <f t="shared" si="17"/>
        <v>0.66666666666666619</v>
      </c>
      <c r="M56" s="12">
        <f t="shared" si="18"/>
        <v>0.67708333333333282</v>
      </c>
    </row>
    <row r="57" spans="1:13" x14ac:dyDescent="0.25">
      <c r="A57" s="11">
        <v>5</v>
      </c>
      <c r="B57" s="16">
        <f t="shared" si="11"/>
        <v>0.3888888888888889</v>
      </c>
      <c r="C57" s="16">
        <f t="shared" si="12"/>
        <v>0.39930555555555558</v>
      </c>
      <c r="D57" s="11">
        <v>12</v>
      </c>
      <c r="E57" s="79">
        <f t="shared" si="13"/>
        <v>0.48611111111111116</v>
      </c>
      <c r="F57" s="80"/>
      <c r="G57" s="16">
        <f t="shared" si="14"/>
        <v>0.49652777777777785</v>
      </c>
      <c r="H57" s="11">
        <v>16</v>
      </c>
      <c r="I57" s="12">
        <f t="shared" si="15"/>
        <v>0.58333333333333315</v>
      </c>
      <c r="J57" s="12">
        <f t="shared" si="16"/>
        <v>0.59374999999999978</v>
      </c>
      <c r="K57" s="11">
        <v>23</v>
      </c>
      <c r="L57" s="12">
        <f t="shared" si="17"/>
        <v>0.68055555555555503</v>
      </c>
      <c r="M57" s="12">
        <f t="shared" si="18"/>
        <v>0.69097222222222165</v>
      </c>
    </row>
    <row r="58" spans="1:13" x14ac:dyDescent="0.25">
      <c r="A58" s="11">
        <v>6</v>
      </c>
      <c r="B58" s="16">
        <f t="shared" si="11"/>
        <v>0.40277777777777779</v>
      </c>
      <c r="C58" s="16">
        <f t="shared" si="12"/>
        <v>0.41319444444444448</v>
      </c>
      <c r="D58" s="11"/>
      <c r="E58" s="77">
        <f t="shared" si="13"/>
        <v>0.50000000000000011</v>
      </c>
      <c r="F58" s="78"/>
      <c r="G58" s="21">
        <f t="shared" si="14"/>
        <v>0.51041666666666674</v>
      </c>
      <c r="H58" s="11">
        <v>17</v>
      </c>
      <c r="I58" s="12">
        <f t="shared" si="15"/>
        <v>0.59722222222222199</v>
      </c>
      <c r="J58" s="12">
        <f t="shared" si="16"/>
        <v>0.60763888888888862</v>
      </c>
      <c r="K58" s="11">
        <v>24</v>
      </c>
      <c r="L58" s="12">
        <f t="shared" si="17"/>
        <v>0.69444444444444386</v>
      </c>
      <c r="M58" s="12">
        <f t="shared" si="18"/>
        <v>0.70486111111111049</v>
      </c>
    </row>
    <row r="59" spans="1:13" x14ac:dyDescent="0.25">
      <c r="A59" s="11">
        <v>7</v>
      </c>
      <c r="B59" s="16">
        <f t="shared" si="11"/>
        <v>0.41666666666666669</v>
      </c>
      <c r="C59" s="16">
        <f t="shared" si="12"/>
        <v>0.42708333333333337</v>
      </c>
      <c r="D59" s="11"/>
      <c r="E59" s="77">
        <f t="shared" si="13"/>
        <v>0.51388888888888895</v>
      </c>
      <c r="F59" s="78"/>
      <c r="G59" s="21">
        <f t="shared" si="14"/>
        <v>0.52430555555555558</v>
      </c>
      <c r="H59" s="11">
        <v>18</v>
      </c>
      <c r="I59" s="12">
        <f t="shared" si="15"/>
        <v>0.61111111111111083</v>
      </c>
      <c r="J59" s="12">
        <f t="shared" si="16"/>
        <v>0.62152777777777746</v>
      </c>
      <c r="K59" s="11">
        <v>25</v>
      </c>
      <c r="L59" s="12">
        <f t="shared" si="17"/>
        <v>0.7083333333333327</v>
      </c>
      <c r="M59" s="12">
        <f t="shared" si="18"/>
        <v>0.71874999999999933</v>
      </c>
    </row>
    <row r="62" spans="1:13" ht="15.75" thickBot="1" x14ac:dyDescent="0.3"/>
    <row r="63" spans="1:13" x14ac:dyDescent="0.25">
      <c r="A63" s="94" t="s">
        <v>20</v>
      </c>
      <c r="B63" s="95"/>
      <c r="C63" s="95"/>
      <c r="D63" s="96"/>
      <c r="E63" s="95" t="s">
        <v>21</v>
      </c>
      <c r="F63" s="95"/>
      <c r="G63" s="95"/>
      <c r="H63" s="95"/>
      <c r="I63" s="95"/>
      <c r="J63" s="96"/>
    </row>
    <row r="64" spans="1:13" ht="15.75" thickBot="1" x14ac:dyDescent="0.3">
      <c r="A64" s="97"/>
      <c r="B64" s="98"/>
      <c r="C64" s="98"/>
      <c r="D64" s="99"/>
      <c r="E64" s="98"/>
      <c r="F64" s="98"/>
      <c r="G64" s="98"/>
      <c r="H64" s="98"/>
      <c r="I64" s="98"/>
      <c r="J64" s="99"/>
    </row>
    <row r="65" spans="1:10" ht="18.75" x14ac:dyDescent="0.25">
      <c r="A65" s="87" t="s">
        <v>0</v>
      </c>
      <c r="B65" s="87"/>
      <c r="C65" s="100" t="s">
        <v>58</v>
      </c>
      <c r="D65" s="100"/>
      <c r="E65" s="100"/>
      <c r="F65" s="100"/>
      <c r="G65" s="100"/>
      <c r="H65" s="1" t="s">
        <v>1</v>
      </c>
      <c r="I65" s="101">
        <v>45537</v>
      </c>
      <c r="J65" s="102"/>
    </row>
    <row r="66" spans="1:10" x14ac:dyDescent="0.25">
      <c r="A66" s="87" t="s">
        <v>2</v>
      </c>
      <c r="B66" s="87"/>
      <c r="C66" s="88" t="s">
        <v>59</v>
      </c>
      <c r="D66" s="88"/>
      <c r="E66" s="88"/>
      <c r="F66" s="88"/>
      <c r="G66" s="88"/>
      <c r="H66" s="1" t="s">
        <v>3</v>
      </c>
      <c r="I66" s="89" t="s">
        <v>41</v>
      </c>
      <c r="J66" s="89"/>
    </row>
    <row r="67" spans="1:10" x14ac:dyDescent="0.25">
      <c r="A67" s="2"/>
      <c r="B67" s="2"/>
      <c r="C67" s="2"/>
      <c r="D67" s="2"/>
      <c r="E67" s="2"/>
      <c r="F67" s="2"/>
      <c r="G67" s="2"/>
      <c r="I67" s="90" t="s">
        <v>49</v>
      </c>
      <c r="J67" s="90"/>
    </row>
    <row r="68" spans="1:10" ht="18.75" x14ac:dyDescent="0.3">
      <c r="A68" s="91" t="s">
        <v>4</v>
      </c>
      <c r="B68" s="91"/>
      <c r="C68" s="3" t="s">
        <v>5</v>
      </c>
      <c r="D68" s="14" t="s">
        <v>6</v>
      </c>
      <c r="E68" s="92" t="s">
        <v>7</v>
      </c>
      <c r="F68" s="4">
        <f>ROUNDDOWN(D94/400,0)</f>
        <v>21</v>
      </c>
      <c r="G68" s="5" t="s">
        <v>8</v>
      </c>
      <c r="H68" s="6">
        <f>D94-(F68*400)</f>
        <v>372.03000000000065</v>
      </c>
      <c r="I68" s="7" t="s">
        <v>9</v>
      </c>
    </row>
    <row r="69" spans="1:10" ht="16.5" thickBot="1" x14ac:dyDescent="0.3">
      <c r="A69" s="26" t="s">
        <v>23</v>
      </c>
      <c r="B69" s="29"/>
      <c r="C69" s="48"/>
      <c r="D69" s="20"/>
      <c r="E69" s="92"/>
      <c r="F69" s="91" t="s">
        <v>4</v>
      </c>
      <c r="G69" s="91"/>
      <c r="H69" s="3" t="s">
        <v>5</v>
      </c>
      <c r="I69" s="14" t="s">
        <v>6</v>
      </c>
      <c r="J69" s="14" t="s">
        <v>6</v>
      </c>
    </row>
    <row r="70" spans="1:10" ht="15.75" x14ac:dyDescent="0.25">
      <c r="A70" s="26" t="s">
        <v>42</v>
      </c>
      <c r="B70" s="29"/>
      <c r="C70" s="48"/>
      <c r="D70" s="20"/>
      <c r="E70" s="92"/>
      <c r="F70" s="26" t="s">
        <v>23</v>
      </c>
      <c r="G70" s="33"/>
      <c r="H70" s="30"/>
      <c r="I70" s="35"/>
      <c r="J70" s="35"/>
    </row>
    <row r="71" spans="1:10" ht="15.75" x14ac:dyDescent="0.25">
      <c r="A71" s="27" t="s">
        <v>24</v>
      </c>
      <c r="B71" s="29"/>
      <c r="C71" s="38"/>
      <c r="D71" s="20"/>
      <c r="E71" s="92"/>
      <c r="F71" s="26" t="s">
        <v>42</v>
      </c>
      <c r="G71" s="33"/>
      <c r="H71" s="39"/>
      <c r="I71" s="35"/>
      <c r="J71" s="35"/>
    </row>
    <row r="72" spans="1:10" ht="15.75" x14ac:dyDescent="0.25">
      <c r="A72" s="27" t="s">
        <v>25</v>
      </c>
      <c r="B72" s="29"/>
      <c r="C72" s="38">
        <v>0.2727</v>
      </c>
      <c r="D72" s="20">
        <f>C72*$D$32</f>
        <v>4087.6993709999997</v>
      </c>
      <c r="E72" s="92"/>
      <c r="F72" s="27" t="s">
        <v>24</v>
      </c>
      <c r="G72" s="33"/>
      <c r="H72" s="31"/>
      <c r="I72" s="35"/>
      <c r="J72" s="35"/>
    </row>
    <row r="73" spans="1:10" ht="15.75" x14ac:dyDescent="0.25">
      <c r="A73" s="27" t="s">
        <v>47</v>
      </c>
      <c r="B73" s="29"/>
      <c r="C73" s="38">
        <v>0.1047</v>
      </c>
      <c r="D73" s="20">
        <f t="shared" ref="D73:D89" si="19">C73*$D$32</f>
        <v>1569.4247310000001</v>
      </c>
      <c r="E73" s="92"/>
      <c r="F73" s="27" t="s">
        <v>25</v>
      </c>
      <c r="G73" s="33"/>
      <c r="H73" s="31">
        <v>0.3291</v>
      </c>
      <c r="I73" s="35">
        <f t="shared" ref="I73:I91" si="20">H73*$I$33</f>
        <v>131.64000000000001</v>
      </c>
      <c r="J73" s="35">
        <f t="shared" ref="J73:J91" si="21">H73*$J$33</f>
        <v>62.440142999999857</v>
      </c>
    </row>
    <row r="74" spans="1:10" ht="15.75" x14ac:dyDescent="0.25">
      <c r="A74" s="27" t="s">
        <v>46</v>
      </c>
      <c r="B74" s="29"/>
      <c r="C74" s="38"/>
      <c r="D74" s="20"/>
      <c r="E74" s="92"/>
      <c r="F74" s="27" t="s">
        <v>47</v>
      </c>
      <c r="G74" s="33"/>
      <c r="H74" s="31">
        <v>0.1404</v>
      </c>
      <c r="I74" s="35">
        <f t="shared" si="20"/>
        <v>56.16</v>
      </c>
      <c r="J74" s="35">
        <f t="shared" si="21"/>
        <v>26.638091999999936</v>
      </c>
    </row>
    <row r="75" spans="1:10" ht="15.75" x14ac:dyDescent="0.25">
      <c r="A75" s="27" t="s">
        <v>26</v>
      </c>
      <c r="B75" s="29"/>
      <c r="C75" s="38"/>
      <c r="D75" s="20"/>
      <c r="E75" s="92"/>
      <c r="F75" s="27" t="s">
        <v>46</v>
      </c>
      <c r="G75" s="33"/>
      <c r="H75" s="31"/>
      <c r="I75" s="35"/>
      <c r="J75" s="35"/>
    </row>
    <row r="76" spans="1:10" ht="15.75" x14ac:dyDescent="0.25">
      <c r="A76" s="27" t="s">
        <v>43</v>
      </c>
      <c r="B76" s="29"/>
      <c r="C76" s="38"/>
      <c r="D76" s="20"/>
      <c r="E76" s="92"/>
      <c r="F76" s="27" t="s">
        <v>26</v>
      </c>
      <c r="G76" s="33"/>
      <c r="H76" s="31">
        <v>1.7500000000000002E-2</v>
      </c>
      <c r="I76" s="35">
        <f t="shared" si="20"/>
        <v>7.0000000000000009</v>
      </c>
      <c r="J76" s="35">
        <f t="shared" si="21"/>
        <v>3.3202749999999925</v>
      </c>
    </row>
    <row r="77" spans="1:10" ht="15.75" x14ac:dyDescent="0.25">
      <c r="A77" s="27" t="s">
        <v>19</v>
      </c>
      <c r="B77" s="29"/>
      <c r="C77" s="38"/>
      <c r="D77" s="20"/>
      <c r="E77" s="92"/>
      <c r="F77" s="27" t="s">
        <v>43</v>
      </c>
      <c r="G77" s="33"/>
      <c r="H77" s="31"/>
      <c r="I77" s="35"/>
      <c r="J77" s="35"/>
    </row>
    <row r="78" spans="1:10" ht="15.75" x14ac:dyDescent="0.25">
      <c r="A78" s="27" t="s">
        <v>27</v>
      </c>
      <c r="B78" s="29"/>
      <c r="C78" s="38"/>
      <c r="D78" s="20"/>
      <c r="E78" s="92"/>
      <c r="F78" s="27" t="s">
        <v>19</v>
      </c>
      <c r="G78" s="33"/>
      <c r="H78" s="31"/>
      <c r="I78" s="35"/>
      <c r="J78" s="35"/>
    </row>
    <row r="79" spans="1:10" ht="15.75" x14ac:dyDescent="0.25">
      <c r="A79" s="27" t="s">
        <v>44</v>
      </c>
      <c r="B79" s="29"/>
      <c r="C79" s="38"/>
      <c r="D79" s="20"/>
      <c r="E79" s="92"/>
      <c r="F79" s="27" t="s">
        <v>27</v>
      </c>
      <c r="G79" s="33"/>
      <c r="H79" s="31"/>
      <c r="I79" s="35"/>
      <c r="J79" s="35"/>
    </row>
    <row r="80" spans="1:10" ht="15.75" x14ac:dyDescent="0.25">
      <c r="A80" s="27" t="s">
        <v>28</v>
      </c>
      <c r="B80" s="29"/>
      <c r="C80" s="38">
        <v>0.58179999999999998</v>
      </c>
      <c r="D80" s="20">
        <f t="shared" si="19"/>
        <v>8721.0249139999996</v>
      </c>
      <c r="E80" s="92"/>
      <c r="F80" s="27" t="s">
        <v>44</v>
      </c>
      <c r="G80" s="33"/>
      <c r="H80" s="31">
        <v>0.43859999999999999</v>
      </c>
      <c r="I80" s="35">
        <f t="shared" si="20"/>
        <v>175.44</v>
      </c>
      <c r="J80" s="35">
        <f t="shared" si="21"/>
        <v>83.215577999999809</v>
      </c>
    </row>
    <row r="81" spans="1:10" ht="15.75" x14ac:dyDescent="0.25">
      <c r="A81" s="27" t="s">
        <v>45</v>
      </c>
      <c r="B81" s="29"/>
      <c r="C81" s="38"/>
      <c r="D81" s="20"/>
      <c r="E81" s="92"/>
      <c r="F81" s="27" t="s">
        <v>28</v>
      </c>
      <c r="G81" s="33"/>
      <c r="H81" s="31"/>
      <c r="I81" s="35"/>
      <c r="J81" s="35"/>
    </row>
    <row r="82" spans="1:10" ht="15.75" x14ac:dyDescent="0.25">
      <c r="A82" s="27" t="s">
        <v>10</v>
      </c>
      <c r="B82" s="29"/>
      <c r="C82" s="38"/>
      <c r="D82" s="20"/>
      <c r="E82" s="92"/>
      <c r="F82" s="27" t="s">
        <v>45</v>
      </c>
      <c r="G82" s="33"/>
      <c r="H82" s="31"/>
      <c r="I82" s="35"/>
      <c r="J82" s="35"/>
    </row>
    <row r="83" spans="1:10" ht="15.75" x14ac:dyDescent="0.25">
      <c r="A83" s="27" t="s">
        <v>29</v>
      </c>
      <c r="B83" s="29"/>
      <c r="C83" s="38"/>
      <c r="D83" s="20"/>
      <c r="E83" s="92"/>
      <c r="F83" s="27" t="s">
        <v>10</v>
      </c>
      <c r="G83" s="33"/>
      <c r="H83" s="31"/>
      <c r="I83" s="35"/>
      <c r="J83" s="35"/>
    </row>
    <row r="84" spans="1:10" ht="15.75" x14ac:dyDescent="0.25">
      <c r="A84" s="27" t="s">
        <v>17</v>
      </c>
      <c r="B84" s="29"/>
      <c r="C84" s="38"/>
      <c r="D84" s="20"/>
      <c r="E84" s="92"/>
      <c r="F84" s="27" t="s">
        <v>29</v>
      </c>
      <c r="G84" s="33"/>
      <c r="H84" s="31"/>
      <c r="I84" s="35"/>
      <c r="J84" s="35"/>
    </row>
    <row r="85" spans="1:10" ht="15.75" x14ac:dyDescent="0.25">
      <c r="A85" s="27" t="s">
        <v>30</v>
      </c>
      <c r="B85" s="29"/>
      <c r="C85" s="38"/>
      <c r="D85" s="20"/>
      <c r="E85" s="92"/>
      <c r="F85" s="27" t="s">
        <v>17</v>
      </c>
      <c r="G85" s="33"/>
      <c r="H85" s="31"/>
      <c r="I85" s="35"/>
      <c r="J85" s="35"/>
    </row>
    <row r="86" spans="1:10" ht="15.75" x14ac:dyDescent="0.25">
      <c r="A86" s="27" t="s">
        <v>31</v>
      </c>
      <c r="B86" s="29"/>
      <c r="C86" s="38"/>
      <c r="D86" s="20"/>
      <c r="E86" s="92"/>
      <c r="F86" s="27" t="s">
        <v>30</v>
      </c>
      <c r="G86" s="33"/>
      <c r="H86" s="31"/>
      <c r="I86" s="35"/>
      <c r="J86" s="35"/>
    </row>
    <row r="87" spans="1:10" ht="15.75" x14ac:dyDescent="0.25">
      <c r="A87" s="27" t="s">
        <v>16</v>
      </c>
      <c r="B87" s="29"/>
      <c r="C87" s="38"/>
      <c r="D87" s="20"/>
      <c r="E87" s="92"/>
      <c r="F87" s="27" t="s">
        <v>31</v>
      </c>
      <c r="G87" s="33"/>
      <c r="H87" s="31"/>
      <c r="I87" s="35"/>
      <c r="J87" s="35"/>
    </row>
    <row r="88" spans="1:10" ht="15.75" x14ac:dyDescent="0.25">
      <c r="A88" s="27" t="s">
        <v>32</v>
      </c>
      <c r="B88" s="23"/>
      <c r="C88" s="38">
        <v>3.8600000000000002E-2</v>
      </c>
      <c r="D88" s="20">
        <f t="shared" si="19"/>
        <v>578.60357799999997</v>
      </c>
      <c r="E88" s="92"/>
      <c r="F88" s="27" t="s">
        <v>16</v>
      </c>
      <c r="G88" s="24"/>
      <c r="H88" s="31"/>
      <c r="I88" s="35"/>
      <c r="J88" s="35"/>
    </row>
    <row r="89" spans="1:10" ht="15.75" x14ac:dyDescent="0.25">
      <c r="A89" s="27" t="s">
        <v>33</v>
      </c>
      <c r="B89" s="23"/>
      <c r="C89" s="38">
        <v>2.2000000000000001E-3</v>
      </c>
      <c r="D89" s="20">
        <f t="shared" si="19"/>
        <v>32.977406000000002</v>
      </c>
      <c r="E89" s="92"/>
      <c r="F89" s="27" t="s">
        <v>32</v>
      </c>
      <c r="G89" s="24"/>
      <c r="H89" s="31">
        <v>3.7199999999999997E-2</v>
      </c>
      <c r="I89" s="35">
        <f t="shared" si="20"/>
        <v>14.879999999999999</v>
      </c>
      <c r="J89" s="35">
        <f t="shared" si="21"/>
        <v>7.057955999999983</v>
      </c>
    </row>
    <row r="90" spans="1:10" ht="15.75" x14ac:dyDescent="0.25">
      <c r="A90" s="27" t="s">
        <v>34</v>
      </c>
      <c r="B90" s="23"/>
      <c r="C90" s="38"/>
      <c r="D90" s="20"/>
      <c r="E90" s="92"/>
      <c r="F90" s="27" t="s">
        <v>33</v>
      </c>
      <c r="G90" s="24"/>
      <c r="H90" s="31">
        <v>2.0999999999999999E-3</v>
      </c>
      <c r="I90" s="35">
        <f t="shared" si="20"/>
        <v>0.84</v>
      </c>
      <c r="J90" s="35">
        <f t="shared" si="21"/>
        <v>0.39843299999999904</v>
      </c>
    </row>
    <row r="91" spans="1:10" ht="15.75" x14ac:dyDescent="0.25">
      <c r="A91" s="27" t="s">
        <v>22</v>
      </c>
      <c r="B91" s="23"/>
      <c r="C91" s="38"/>
      <c r="D91" s="20"/>
      <c r="E91" s="92"/>
      <c r="F91" s="27" t="s">
        <v>34</v>
      </c>
      <c r="G91" s="24"/>
      <c r="H91" s="31">
        <v>3.5099999999999999E-2</v>
      </c>
      <c r="I91" s="35">
        <f t="shared" si="20"/>
        <v>14.04</v>
      </c>
      <c r="J91" s="35">
        <f t="shared" si="21"/>
        <v>6.6595229999999841</v>
      </c>
    </row>
    <row r="92" spans="1:10" ht="15.75" x14ac:dyDescent="0.25">
      <c r="A92" s="27" t="s">
        <v>35</v>
      </c>
      <c r="B92" s="29"/>
      <c r="C92" s="38"/>
      <c r="D92" s="20"/>
      <c r="E92" s="92"/>
      <c r="F92" s="27" t="s">
        <v>22</v>
      </c>
      <c r="G92" s="33"/>
      <c r="H92" s="31"/>
      <c r="I92" s="35"/>
      <c r="J92" s="35"/>
    </row>
    <row r="93" spans="1:10" ht="16.5" thickBot="1" x14ac:dyDescent="0.3">
      <c r="A93" s="28" t="s">
        <v>36</v>
      </c>
      <c r="B93" s="29"/>
      <c r="C93" s="49"/>
      <c r="D93" s="20"/>
      <c r="E93" s="92"/>
      <c r="F93" s="27" t="s">
        <v>35</v>
      </c>
      <c r="G93" s="33"/>
      <c r="H93" s="31"/>
      <c r="I93" s="35"/>
      <c r="J93" s="35"/>
    </row>
    <row r="94" spans="1:10" ht="16.5" thickBot="1" x14ac:dyDescent="0.3">
      <c r="A94" s="93" t="s">
        <v>11</v>
      </c>
      <c r="B94" s="93"/>
      <c r="C94" s="8">
        <f>SUM(C69:C93)</f>
        <v>1</v>
      </c>
      <c r="D94" s="15">
        <v>8772.0300000000007</v>
      </c>
      <c r="E94" s="92"/>
      <c r="F94" s="28" t="s">
        <v>36</v>
      </c>
      <c r="G94" s="34"/>
      <c r="H94" s="32"/>
      <c r="I94" s="35"/>
      <c r="J94" s="35"/>
    </row>
    <row r="95" spans="1:10" x14ac:dyDescent="0.25">
      <c r="A95" s="2"/>
      <c r="B95" s="2"/>
      <c r="C95" s="2"/>
      <c r="D95" s="2"/>
      <c r="E95" s="2"/>
      <c r="F95" s="81" t="s">
        <v>11</v>
      </c>
      <c r="G95" s="81"/>
      <c r="H95" s="17">
        <f>SUM(H70:H94)</f>
        <v>1</v>
      </c>
      <c r="I95" s="13">
        <v>400</v>
      </c>
      <c r="J95" s="13">
        <f>+H68</f>
        <v>372.03000000000065</v>
      </c>
    </row>
    <row r="96" spans="1:10" ht="23.25" x14ac:dyDescent="0.35">
      <c r="A96" s="82"/>
      <c r="B96" s="83"/>
      <c r="C96" s="2"/>
      <c r="D96" s="2"/>
      <c r="E96" s="2"/>
      <c r="F96" s="18"/>
      <c r="G96" s="18"/>
      <c r="H96" s="19"/>
      <c r="I96" s="18"/>
      <c r="J96" s="18"/>
    </row>
    <row r="97" spans="1:13" x14ac:dyDescent="0.25">
      <c r="A97" s="84" t="s">
        <v>18</v>
      </c>
      <c r="B97" s="84"/>
      <c r="C97" s="84"/>
      <c r="D97" s="84"/>
      <c r="E97" s="2"/>
      <c r="F97" s="2"/>
      <c r="G97" s="2"/>
    </row>
    <row r="98" spans="1:13" x14ac:dyDescent="0.25">
      <c r="A98" s="9" t="s">
        <v>12</v>
      </c>
      <c r="B98" s="9" t="s">
        <v>13</v>
      </c>
      <c r="C98" s="9" t="s">
        <v>14</v>
      </c>
      <c r="D98" s="10" t="s">
        <v>12</v>
      </c>
      <c r="E98" s="85" t="s">
        <v>13</v>
      </c>
      <c r="F98" s="86"/>
      <c r="G98" s="10" t="s">
        <v>14</v>
      </c>
      <c r="H98" s="9" t="s">
        <v>12</v>
      </c>
      <c r="I98" s="10" t="s">
        <v>13</v>
      </c>
      <c r="J98" s="10" t="s">
        <v>14</v>
      </c>
      <c r="K98" s="9" t="s">
        <v>12</v>
      </c>
      <c r="L98" s="10" t="s">
        <v>13</v>
      </c>
      <c r="M98" s="10" t="s">
        <v>14</v>
      </c>
    </row>
    <row r="99" spans="1:13" x14ac:dyDescent="0.25">
      <c r="A99" s="11">
        <v>1</v>
      </c>
      <c r="B99" s="12">
        <v>0.33333333333333331</v>
      </c>
      <c r="C99" s="12">
        <f>+B99+15/1440</f>
        <v>0.34375</v>
      </c>
      <c r="D99" s="11">
        <v>8</v>
      </c>
      <c r="E99" s="79">
        <f>+C105+5/1440</f>
        <v>0.43055555555555558</v>
      </c>
      <c r="F99" s="80"/>
      <c r="G99" s="40">
        <f>+E99+15/1440</f>
        <v>0.44097222222222227</v>
      </c>
      <c r="H99" s="11"/>
      <c r="I99" s="12">
        <f>G105+5/1440</f>
        <v>0.52777777777777779</v>
      </c>
      <c r="J99" s="12">
        <f>I99+15/1440</f>
        <v>0.53819444444444442</v>
      </c>
      <c r="K99" s="11">
        <v>19</v>
      </c>
      <c r="L99" s="16">
        <f>J105+5/1440</f>
        <v>0.62499999999999967</v>
      </c>
      <c r="M99" s="16">
        <f>L99+15/1440</f>
        <v>0.6354166666666663</v>
      </c>
    </row>
    <row r="100" spans="1:13" x14ac:dyDescent="0.25">
      <c r="A100" s="11">
        <v>2</v>
      </c>
      <c r="B100" s="12">
        <f t="shared" ref="B100:B105" si="22">+C99+5/1440</f>
        <v>0.34722222222222221</v>
      </c>
      <c r="C100" s="12">
        <f>+B100+15/1440</f>
        <v>0.3576388888888889</v>
      </c>
      <c r="D100" s="11">
        <v>9</v>
      </c>
      <c r="E100" s="79">
        <f>+G99+5/1440</f>
        <v>0.44444444444444448</v>
      </c>
      <c r="F100" s="80"/>
      <c r="G100" s="16">
        <f>+E100+15/1440</f>
        <v>0.45486111111111116</v>
      </c>
      <c r="H100" s="11">
        <v>13</v>
      </c>
      <c r="I100" s="16">
        <f>J99+5/1440</f>
        <v>0.54166666666666663</v>
      </c>
      <c r="J100" s="16">
        <f>I100+15/1440</f>
        <v>0.55208333333333326</v>
      </c>
      <c r="K100" s="11">
        <v>20</v>
      </c>
      <c r="L100" s="16">
        <f>M99+5/1440</f>
        <v>0.63888888888888851</v>
      </c>
      <c r="M100" s="16">
        <f>L100+15/1440</f>
        <v>0.64930555555555514</v>
      </c>
    </row>
    <row r="101" spans="1:13" x14ac:dyDescent="0.25">
      <c r="A101" s="11">
        <v>3</v>
      </c>
      <c r="B101" s="12">
        <f t="shared" si="22"/>
        <v>0.3611111111111111</v>
      </c>
      <c r="C101" s="12">
        <f t="shared" ref="C101:C105" si="23">+B101+15/1440</f>
        <v>0.37152777777777779</v>
      </c>
      <c r="D101" s="11">
        <v>10</v>
      </c>
      <c r="E101" s="79">
        <f t="shared" ref="E101:E105" si="24">+G100+5/1440</f>
        <v>0.45833333333333337</v>
      </c>
      <c r="F101" s="80"/>
      <c r="G101" s="16">
        <f t="shared" ref="G101:G105" si="25">+E101+15/1440</f>
        <v>0.46875000000000006</v>
      </c>
      <c r="H101" s="11">
        <v>14</v>
      </c>
      <c r="I101" s="16">
        <f t="shared" ref="I101:I105" si="26">J100+5/1440</f>
        <v>0.55555555555555547</v>
      </c>
      <c r="J101" s="16">
        <f t="shared" ref="J101:J105" si="27">I101+15/1440</f>
        <v>0.5659722222222221</v>
      </c>
      <c r="K101" s="11">
        <v>21</v>
      </c>
      <c r="L101" s="16">
        <f t="shared" ref="L101:L105" si="28">M100+5/1440</f>
        <v>0.65277777777777735</v>
      </c>
      <c r="M101" s="16">
        <f t="shared" ref="M101:M105" si="29">L101+15/1440</f>
        <v>0.66319444444444398</v>
      </c>
    </row>
    <row r="102" spans="1:13" x14ac:dyDescent="0.25">
      <c r="A102" s="11">
        <v>4</v>
      </c>
      <c r="B102" s="12">
        <f t="shared" si="22"/>
        <v>0.375</v>
      </c>
      <c r="C102" s="12">
        <f t="shared" si="23"/>
        <v>0.38541666666666669</v>
      </c>
      <c r="D102" s="11">
        <v>11</v>
      </c>
      <c r="E102" s="79">
        <f t="shared" si="24"/>
        <v>0.47222222222222227</v>
      </c>
      <c r="F102" s="80"/>
      <c r="G102" s="16">
        <f t="shared" si="25"/>
        <v>0.48263888888888895</v>
      </c>
      <c r="H102" s="11">
        <v>15</v>
      </c>
      <c r="I102" s="16">
        <f t="shared" si="26"/>
        <v>0.56944444444444431</v>
      </c>
      <c r="J102" s="16">
        <f t="shared" si="27"/>
        <v>0.57986111111111094</v>
      </c>
      <c r="K102" s="11">
        <v>22</v>
      </c>
      <c r="L102" s="16">
        <f t="shared" si="28"/>
        <v>0.66666666666666619</v>
      </c>
      <c r="M102" s="16">
        <f t="shared" si="29"/>
        <v>0.67708333333333282</v>
      </c>
    </row>
    <row r="103" spans="1:13" x14ac:dyDescent="0.25">
      <c r="A103" s="11">
        <v>5</v>
      </c>
      <c r="B103" s="12">
        <f t="shared" si="22"/>
        <v>0.3888888888888889</v>
      </c>
      <c r="C103" s="12">
        <f t="shared" si="23"/>
        <v>0.39930555555555558</v>
      </c>
      <c r="D103" s="11">
        <v>12</v>
      </c>
      <c r="E103" s="79">
        <f t="shared" si="24"/>
        <v>0.48611111111111116</v>
      </c>
      <c r="F103" s="80"/>
      <c r="G103" s="16">
        <f t="shared" si="25"/>
        <v>0.49652777777777785</v>
      </c>
      <c r="H103" s="11">
        <v>16</v>
      </c>
      <c r="I103" s="16">
        <f t="shared" si="26"/>
        <v>0.58333333333333315</v>
      </c>
      <c r="J103" s="16">
        <f t="shared" si="27"/>
        <v>0.59374999999999978</v>
      </c>
      <c r="K103" s="11">
        <v>23</v>
      </c>
      <c r="L103" s="21">
        <f t="shared" si="28"/>
        <v>0.68055555555555503</v>
      </c>
      <c r="M103" s="21">
        <f t="shared" si="29"/>
        <v>0.69097222222222165</v>
      </c>
    </row>
    <row r="104" spans="1:13" x14ac:dyDescent="0.25">
      <c r="A104" s="11">
        <v>6</v>
      </c>
      <c r="B104" s="12">
        <f t="shared" si="22"/>
        <v>0.40277777777777779</v>
      </c>
      <c r="C104" s="12">
        <f t="shared" si="23"/>
        <v>0.41319444444444448</v>
      </c>
      <c r="D104" s="11"/>
      <c r="E104" s="77">
        <f t="shared" si="24"/>
        <v>0.50000000000000011</v>
      </c>
      <c r="F104" s="78"/>
      <c r="G104" s="21">
        <f t="shared" si="25"/>
        <v>0.51041666666666674</v>
      </c>
      <c r="H104" s="11">
        <v>17</v>
      </c>
      <c r="I104" s="16">
        <f t="shared" si="26"/>
        <v>0.59722222222222199</v>
      </c>
      <c r="J104" s="16">
        <f t="shared" si="27"/>
        <v>0.60763888888888862</v>
      </c>
      <c r="K104" s="11">
        <v>24</v>
      </c>
      <c r="L104" s="21">
        <f t="shared" si="28"/>
        <v>0.69444444444444386</v>
      </c>
      <c r="M104" s="21">
        <f t="shared" si="29"/>
        <v>0.70486111111111049</v>
      </c>
    </row>
    <row r="105" spans="1:13" x14ac:dyDescent="0.25">
      <c r="A105" s="11">
        <v>7</v>
      </c>
      <c r="B105" s="16">
        <f t="shared" si="22"/>
        <v>0.41666666666666669</v>
      </c>
      <c r="C105" s="16">
        <f t="shared" si="23"/>
        <v>0.42708333333333337</v>
      </c>
      <c r="D105" s="11"/>
      <c r="E105" s="77">
        <f t="shared" si="24"/>
        <v>0.51388888888888895</v>
      </c>
      <c r="F105" s="78"/>
      <c r="G105" s="21">
        <f t="shared" si="25"/>
        <v>0.52430555555555558</v>
      </c>
      <c r="H105" s="11">
        <v>18</v>
      </c>
      <c r="I105" s="16">
        <f t="shared" si="26"/>
        <v>0.61111111111111083</v>
      </c>
      <c r="J105" s="16">
        <f t="shared" si="27"/>
        <v>0.62152777777777746</v>
      </c>
      <c r="K105" s="11">
        <v>25</v>
      </c>
      <c r="L105" s="21">
        <f t="shared" si="28"/>
        <v>0.7083333333333327</v>
      </c>
      <c r="M105" s="21">
        <f t="shared" si="29"/>
        <v>0.71874999999999933</v>
      </c>
    </row>
    <row r="108" spans="1:13" ht="15.75" thickBot="1" x14ac:dyDescent="0.3"/>
    <row r="109" spans="1:13" x14ac:dyDescent="0.25">
      <c r="A109" s="94" t="s">
        <v>20</v>
      </c>
      <c r="B109" s="95"/>
      <c r="C109" s="95"/>
      <c r="D109" s="96"/>
      <c r="E109" s="95" t="s">
        <v>21</v>
      </c>
      <c r="F109" s="95"/>
      <c r="G109" s="95"/>
      <c r="H109" s="95"/>
      <c r="I109" s="95"/>
      <c r="J109" s="96"/>
    </row>
    <row r="110" spans="1:13" ht="15.75" thickBot="1" x14ac:dyDescent="0.3">
      <c r="A110" s="97"/>
      <c r="B110" s="98"/>
      <c r="C110" s="98"/>
      <c r="D110" s="99"/>
      <c r="E110" s="98"/>
      <c r="F110" s="98"/>
      <c r="G110" s="98"/>
      <c r="H110" s="98"/>
      <c r="I110" s="98"/>
      <c r="J110" s="99"/>
    </row>
    <row r="111" spans="1:13" ht="18.75" x14ac:dyDescent="0.25">
      <c r="A111" s="87" t="s">
        <v>0</v>
      </c>
      <c r="B111" s="87"/>
      <c r="C111" s="42" t="s">
        <v>52</v>
      </c>
      <c r="D111" s="42"/>
      <c r="E111" s="42"/>
      <c r="F111" s="42"/>
      <c r="G111" s="42"/>
      <c r="H111" s="1" t="s">
        <v>1</v>
      </c>
      <c r="I111" s="101">
        <v>45544</v>
      </c>
      <c r="J111" s="102"/>
    </row>
    <row r="112" spans="1:13" ht="26.25" customHeight="1" x14ac:dyDescent="0.25">
      <c r="A112" s="87" t="s">
        <v>2</v>
      </c>
      <c r="B112" s="87"/>
      <c r="C112" s="88" t="s">
        <v>53</v>
      </c>
      <c r="D112" s="88"/>
      <c r="E112" s="88"/>
      <c r="F112" s="88"/>
      <c r="G112" s="88"/>
      <c r="H112" s="1" t="s">
        <v>3</v>
      </c>
      <c r="I112" s="89" t="s">
        <v>37</v>
      </c>
      <c r="J112" s="89"/>
    </row>
    <row r="113" spans="1:10" x14ac:dyDescent="0.25">
      <c r="A113" s="2"/>
      <c r="B113" s="2"/>
      <c r="C113" s="2"/>
      <c r="D113" s="2"/>
      <c r="E113" s="2"/>
      <c r="F113" s="2"/>
      <c r="G113" s="2"/>
      <c r="I113" s="90" t="s">
        <v>15</v>
      </c>
      <c r="J113" s="90"/>
    </row>
    <row r="114" spans="1:10" ht="18.75" x14ac:dyDescent="0.3">
      <c r="A114" s="91" t="s">
        <v>4</v>
      </c>
      <c r="B114" s="91"/>
      <c r="C114" s="3" t="s">
        <v>5</v>
      </c>
      <c r="D114" s="14" t="s">
        <v>6</v>
      </c>
      <c r="E114" s="92" t="s">
        <v>7</v>
      </c>
      <c r="F114" s="4">
        <f>ROUNDDOWN(D140/400,0)</f>
        <v>5</v>
      </c>
      <c r="G114" s="5" t="s">
        <v>8</v>
      </c>
      <c r="H114" s="6">
        <f>D140-(F114*400)</f>
        <v>25.559999999999945</v>
      </c>
      <c r="I114" s="7" t="s">
        <v>9</v>
      </c>
    </row>
    <row r="115" spans="1:10" ht="15.75" x14ac:dyDescent="0.25">
      <c r="A115" s="26" t="s">
        <v>23</v>
      </c>
      <c r="B115" s="29"/>
      <c r="C115" s="39"/>
      <c r="D115" s="20"/>
      <c r="E115" s="92"/>
      <c r="F115" s="91" t="s">
        <v>4</v>
      </c>
      <c r="G115" s="91"/>
      <c r="H115" s="3" t="s">
        <v>5</v>
      </c>
      <c r="I115" s="14" t="s">
        <v>6</v>
      </c>
      <c r="J115" s="14" t="s">
        <v>6</v>
      </c>
    </row>
    <row r="116" spans="1:10" ht="15.75" x14ac:dyDescent="0.25">
      <c r="A116" s="26" t="s">
        <v>42</v>
      </c>
      <c r="B116" s="29"/>
      <c r="C116" s="31"/>
      <c r="D116" s="20"/>
      <c r="E116" s="92"/>
      <c r="F116" s="26" t="s">
        <v>23</v>
      </c>
      <c r="G116" s="33"/>
      <c r="H116" s="38"/>
      <c r="I116" s="35"/>
      <c r="J116" s="35"/>
    </row>
    <row r="117" spans="1:10" ht="15.75" x14ac:dyDescent="0.25">
      <c r="A117" s="27" t="s">
        <v>24</v>
      </c>
      <c r="B117" s="29"/>
      <c r="C117" s="31"/>
      <c r="D117" s="20"/>
      <c r="E117" s="92"/>
      <c r="F117" s="26" t="s">
        <v>42</v>
      </c>
      <c r="G117" s="33"/>
      <c r="H117" s="38"/>
      <c r="I117" s="35"/>
      <c r="J117" s="35"/>
    </row>
    <row r="118" spans="1:10" ht="15.75" x14ac:dyDescent="0.25">
      <c r="A118" s="27" t="s">
        <v>25</v>
      </c>
      <c r="B118" s="29"/>
      <c r="C118" s="31">
        <v>0.18559999999999999</v>
      </c>
      <c r="D118" s="20">
        <f>C118*$D$32</f>
        <v>2782.0938879999999</v>
      </c>
      <c r="E118" s="92"/>
      <c r="F118" s="27" t="s">
        <v>24</v>
      </c>
      <c r="G118" s="33"/>
      <c r="H118" s="38"/>
      <c r="I118" s="35"/>
      <c r="J118" s="35"/>
    </row>
    <row r="119" spans="1:10" ht="15.75" x14ac:dyDescent="0.25">
      <c r="A119" s="27" t="s">
        <v>47</v>
      </c>
      <c r="B119" s="29"/>
      <c r="C119" s="31">
        <v>0.20219999999999999</v>
      </c>
      <c r="D119" s="20">
        <f t="shared" ref="D119:D137" si="30">C119*$D$32</f>
        <v>3030.9234059999999</v>
      </c>
      <c r="E119" s="92"/>
      <c r="F119" s="27" t="s">
        <v>25</v>
      </c>
      <c r="G119" s="33"/>
      <c r="H119" s="38">
        <v>4.4900000000000002E-2</v>
      </c>
      <c r="I119" s="35">
        <f t="shared" ref="I119:I136" si="31">H119*$I$33</f>
        <v>17.96</v>
      </c>
      <c r="J119" s="35">
        <f t="shared" ref="J119:J136" si="32">H119*$J$33</f>
        <v>8.5188769999999803</v>
      </c>
    </row>
    <row r="120" spans="1:10" ht="15.75" x14ac:dyDescent="0.25">
      <c r="A120" s="27" t="s">
        <v>46</v>
      </c>
      <c r="B120" s="29"/>
      <c r="C120" s="31"/>
      <c r="D120" s="20"/>
      <c r="E120" s="92"/>
      <c r="F120" s="27" t="s">
        <v>47</v>
      </c>
      <c r="G120" s="33"/>
      <c r="H120" s="38">
        <v>0.15790000000000001</v>
      </c>
      <c r="I120" s="35">
        <f t="shared" si="31"/>
        <v>63.160000000000004</v>
      </c>
      <c r="J120" s="35">
        <f t="shared" si="32"/>
        <v>29.958366999999935</v>
      </c>
    </row>
    <row r="121" spans="1:10" ht="15.75" x14ac:dyDescent="0.25">
      <c r="A121" s="27" t="s">
        <v>26</v>
      </c>
      <c r="B121" s="29"/>
      <c r="C121" s="31">
        <v>7.0499999999999993E-2</v>
      </c>
      <c r="D121" s="20">
        <f t="shared" si="30"/>
        <v>1056.7759649999998</v>
      </c>
      <c r="E121" s="92"/>
      <c r="F121" s="27" t="s">
        <v>46</v>
      </c>
      <c r="G121" s="33"/>
      <c r="H121" s="38"/>
      <c r="I121" s="35"/>
      <c r="J121" s="35"/>
    </row>
    <row r="122" spans="1:10" ht="15.75" x14ac:dyDescent="0.25">
      <c r="A122" s="27" t="s">
        <v>43</v>
      </c>
      <c r="B122" s="29"/>
      <c r="C122" s="31"/>
      <c r="D122" s="20"/>
      <c r="E122" s="92"/>
      <c r="F122" s="27" t="s">
        <v>26</v>
      </c>
      <c r="G122" s="33"/>
      <c r="H122" s="38">
        <v>0.1386</v>
      </c>
      <c r="I122" s="35">
        <f t="shared" si="31"/>
        <v>55.44</v>
      </c>
      <c r="J122" s="35">
        <f t="shared" si="32"/>
        <v>26.29657799999994</v>
      </c>
    </row>
    <row r="123" spans="1:10" ht="15.75" x14ac:dyDescent="0.25">
      <c r="A123" s="27" t="s">
        <v>19</v>
      </c>
      <c r="B123" s="29"/>
      <c r="C123" s="31">
        <v>0.1057</v>
      </c>
      <c r="D123" s="20">
        <f t="shared" si="30"/>
        <v>1584.4144610000001</v>
      </c>
      <c r="E123" s="92"/>
      <c r="F123" s="27" t="s">
        <v>43</v>
      </c>
      <c r="G123" s="33"/>
      <c r="H123" s="38"/>
      <c r="I123" s="35"/>
      <c r="J123" s="35"/>
    </row>
    <row r="124" spans="1:10" ht="15.75" x14ac:dyDescent="0.25">
      <c r="A124" s="27" t="s">
        <v>27</v>
      </c>
      <c r="B124" s="29"/>
      <c r="C124" s="31"/>
      <c r="D124" s="20"/>
      <c r="E124" s="92"/>
      <c r="F124" s="27" t="s">
        <v>19</v>
      </c>
      <c r="G124" s="33"/>
      <c r="H124" s="38">
        <v>5.2600000000000001E-2</v>
      </c>
      <c r="I124" s="35">
        <f t="shared" si="31"/>
        <v>21.04</v>
      </c>
      <c r="J124" s="35">
        <f t="shared" si="32"/>
        <v>9.9797979999999775</v>
      </c>
    </row>
    <row r="125" spans="1:10" ht="15.75" x14ac:dyDescent="0.25">
      <c r="A125" s="27" t="s">
        <v>44</v>
      </c>
      <c r="B125" s="29"/>
      <c r="C125" s="31">
        <v>9.69E-2</v>
      </c>
      <c r="D125" s="20">
        <f t="shared" si="30"/>
        <v>1452.504837</v>
      </c>
      <c r="E125" s="92"/>
      <c r="F125" s="27" t="s">
        <v>27</v>
      </c>
      <c r="G125" s="33"/>
      <c r="H125" s="38"/>
      <c r="I125" s="35"/>
      <c r="J125" s="35"/>
    </row>
    <row r="126" spans="1:10" ht="15.75" x14ac:dyDescent="0.25">
      <c r="A126" s="27" t="s">
        <v>28</v>
      </c>
      <c r="B126" s="29"/>
      <c r="C126" s="31">
        <v>0.12330000000000001</v>
      </c>
      <c r="D126" s="20">
        <f t="shared" si="30"/>
        <v>1848.2337090000001</v>
      </c>
      <c r="E126" s="92"/>
      <c r="F126" s="27" t="s">
        <v>44</v>
      </c>
      <c r="G126" s="33"/>
      <c r="H126" s="38">
        <v>0.31580000000000003</v>
      </c>
      <c r="I126" s="35">
        <f t="shared" si="31"/>
        <v>126.32000000000001</v>
      </c>
      <c r="J126" s="35">
        <f t="shared" si="32"/>
        <v>59.91673399999987</v>
      </c>
    </row>
    <row r="127" spans="1:10" ht="15.75" x14ac:dyDescent="0.25">
      <c r="A127" s="27" t="s">
        <v>45</v>
      </c>
      <c r="B127" s="29"/>
      <c r="C127" s="31"/>
      <c r="D127" s="20"/>
      <c r="E127" s="92"/>
      <c r="F127" s="27" t="s">
        <v>28</v>
      </c>
      <c r="G127" s="33"/>
      <c r="H127" s="38">
        <v>0.1807</v>
      </c>
      <c r="I127" s="35">
        <f t="shared" si="31"/>
        <v>72.28</v>
      </c>
      <c r="J127" s="35">
        <f t="shared" si="32"/>
        <v>34.284210999999921</v>
      </c>
    </row>
    <row r="128" spans="1:10" ht="15.75" x14ac:dyDescent="0.25">
      <c r="A128" s="27" t="s">
        <v>10</v>
      </c>
      <c r="B128" s="29"/>
      <c r="C128" s="31">
        <v>5.2900000000000003E-2</v>
      </c>
      <c r="D128" s="20">
        <f t="shared" si="30"/>
        <v>792.95671700000003</v>
      </c>
      <c r="E128" s="92"/>
      <c r="F128" s="27" t="s">
        <v>45</v>
      </c>
      <c r="G128" s="33"/>
      <c r="H128" s="38"/>
      <c r="I128" s="35"/>
      <c r="J128" s="35"/>
    </row>
    <row r="129" spans="1:13" ht="15.75" x14ac:dyDescent="0.25">
      <c r="A129" s="27" t="s">
        <v>29</v>
      </c>
      <c r="B129" s="29"/>
      <c r="C129" s="31">
        <v>7.0499999999999993E-2</v>
      </c>
      <c r="D129" s="20">
        <f t="shared" si="30"/>
        <v>1056.7759649999998</v>
      </c>
      <c r="E129" s="92"/>
      <c r="F129" s="27" t="s">
        <v>10</v>
      </c>
      <c r="G129" s="33"/>
      <c r="H129" s="38"/>
      <c r="I129" s="35"/>
      <c r="J129" s="35"/>
    </row>
    <row r="130" spans="1:13" ht="15.75" x14ac:dyDescent="0.25">
      <c r="A130" s="27" t="s">
        <v>17</v>
      </c>
      <c r="B130" s="29"/>
      <c r="C130" s="31"/>
      <c r="D130" s="20"/>
      <c r="E130" s="92"/>
      <c r="F130" s="27" t="s">
        <v>29</v>
      </c>
      <c r="G130" s="33"/>
      <c r="H130" s="38">
        <v>7.0199999999999999E-2</v>
      </c>
      <c r="I130" s="35">
        <f t="shared" si="31"/>
        <v>28.08</v>
      </c>
      <c r="J130" s="35">
        <f t="shared" si="32"/>
        <v>13.319045999999968</v>
      </c>
    </row>
    <row r="131" spans="1:13" ht="15.75" x14ac:dyDescent="0.25">
      <c r="A131" s="27" t="s">
        <v>30</v>
      </c>
      <c r="B131" s="29"/>
      <c r="C131" s="31"/>
      <c r="D131" s="20"/>
      <c r="E131" s="92"/>
      <c r="F131" s="27" t="s">
        <v>17</v>
      </c>
      <c r="G131" s="33"/>
      <c r="H131" s="38"/>
      <c r="I131" s="35"/>
      <c r="J131" s="35"/>
    </row>
    <row r="132" spans="1:13" ht="15.75" x14ac:dyDescent="0.25">
      <c r="A132" s="27" t="s">
        <v>31</v>
      </c>
      <c r="B132" s="29"/>
      <c r="C132" s="31"/>
      <c r="D132" s="20"/>
      <c r="E132" s="92"/>
      <c r="F132" s="27" t="s">
        <v>30</v>
      </c>
      <c r="G132" s="33"/>
      <c r="H132" s="38"/>
      <c r="I132" s="35"/>
      <c r="J132" s="35"/>
    </row>
    <row r="133" spans="1:13" ht="15.75" x14ac:dyDescent="0.25">
      <c r="A133" s="27" t="s">
        <v>16</v>
      </c>
      <c r="B133" s="29"/>
      <c r="C133" s="31"/>
      <c r="D133" s="20"/>
      <c r="E133" s="92"/>
      <c r="F133" s="27" t="s">
        <v>31</v>
      </c>
      <c r="G133" s="33"/>
      <c r="H133" s="38"/>
      <c r="I133" s="35"/>
      <c r="J133" s="35"/>
    </row>
    <row r="134" spans="1:13" ht="15.75" x14ac:dyDescent="0.25">
      <c r="A134" s="27" t="s">
        <v>32</v>
      </c>
      <c r="B134" s="23"/>
      <c r="C134" s="31">
        <v>3.7400000000000003E-2</v>
      </c>
      <c r="D134" s="20">
        <f t="shared" si="30"/>
        <v>560.61590200000001</v>
      </c>
      <c r="E134" s="92"/>
      <c r="F134" s="27" t="s">
        <v>16</v>
      </c>
      <c r="G134" s="24"/>
      <c r="H134" s="38"/>
      <c r="I134" s="35"/>
      <c r="J134" s="35"/>
    </row>
    <row r="135" spans="1:13" ht="15.75" x14ac:dyDescent="0.25">
      <c r="A135" s="27" t="s">
        <v>33</v>
      </c>
      <c r="B135" s="23"/>
      <c r="C135" s="31">
        <v>2.0999999999999999E-3</v>
      </c>
      <c r="D135" s="20">
        <f t="shared" si="30"/>
        <v>31.478432999999995</v>
      </c>
      <c r="E135" s="92"/>
      <c r="F135" s="27" t="s">
        <v>32</v>
      </c>
      <c r="G135" s="24"/>
      <c r="H135" s="38">
        <v>3.7199999999999997E-2</v>
      </c>
      <c r="I135" s="35">
        <f t="shared" si="31"/>
        <v>14.879999999999999</v>
      </c>
      <c r="J135" s="35">
        <f t="shared" si="32"/>
        <v>7.057955999999983</v>
      </c>
    </row>
    <row r="136" spans="1:13" ht="15.75" x14ac:dyDescent="0.25">
      <c r="A136" s="27" t="s">
        <v>34</v>
      </c>
      <c r="B136" s="23"/>
      <c r="C136" s="31"/>
      <c r="D136" s="20"/>
      <c r="E136" s="92"/>
      <c r="F136" s="27" t="s">
        <v>33</v>
      </c>
      <c r="G136" s="24"/>
      <c r="H136" s="38">
        <v>2.0999999999999999E-3</v>
      </c>
      <c r="I136" s="35">
        <f t="shared" si="31"/>
        <v>0.84</v>
      </c>
      <c r="J136" s="35">
        <f t="shared" si="32"/>
        <v>0.39843299999999904</v>
      </c>
    </row>
    <row r="137" spans="1:13" ht="15.75" x14ac:dyDescent="0.25">
      <c r="A137" s="27" t="s">
        <v>22</v>
      </c>
      <c r="B137" s="23"/>
      <c r="C137" s="31">
        <v>5.2900000000000003E-2</v>
      </c>
      <c r="D137" s="20">
        <f t="shared" si="30"/>
        <v>792.95671700000003</v>
      </c>
      <c r="E137" s="92"/>
      <c r="F137" s="27" t="s">
        <v>34</v>
      </c>
      <c r="G137" s="24"/>
      <c r="H137" s="38"/>
      <c r="I137" s="35"/>
      <c r="J137" s="35"/>
    </row>
    <row r="138" spans="1:13" ht="15.75" x14ac:dyDescent="0.25">
      <c r="A138" s="27" t="s">
        <v>35</v>
      </c>
      <c r="B138" s="29"/>
      <c r="C138" s="31"/>
      <c r="D138" s="20"/>
      <c r="E138" s="92"/>
      <c r="F138" s="27" t="s">
        <v>22</v>
      </c>
      <c r="G138" s="33"/>
      <c r="H138" s="38"/>
      <c r="I138" s="35"/>
      <c r="J138" s="35"/>
    </row>
    <row r="139" spans="1:13" ht="16.5" thickBot="1" x14ac:dyDescent="0.3">
      <c r="A139" s="28" t="s">
        <v>36</v>
      </c>
      <c r="B139" s="29"/>
      <c r="C139" s="32"/>
      <c r="D139" s="20"/>
      <c r="E139" s="92"/>
      <c r="F139" s="27" t="s">
        <v>35</v>
      </c>
      <c r="G139" s="33"/>
      <c r="H139" s="38"/>
      <c r="I139" s="35"/>
      <c r="J139" s="35"/>
    </row>
    <row r="140" spans="1:13" ht="16.5" thickBot="1" x14ac:dyDescent="0.3">
      <c r="A140" s="93" t="s">
        <v>11</v>
      </c>
      <c r="B140" s="93"/>
      <c r="C140" s="8">
        <f>SUM(C115:C139)</f>
        <v>1</v>
      </c>
      <c r="D140" s="15">
        <v>2025.56</v>
      </c>
      <c r="E140" s="92"/>
      <c r="F140" s="28" t="s">
        <v>36</v>
      </c>
      <c r="G140" s="34"/>
      <c r="H140" s="38"/>
      <c r="I140" s="35"/>
      <c r="J140" s="35"/>
    </row>
    <row r="141" spans="1:13" x14ac:dyDescent="0.25">
      <c r="A141" s="2"/>
      <c r="B141" s="2"/>
      <c r="C141" s="2"/>
      <c r="D141" s="2"/>
      <c r="E141" s="2"/>
      <c r="F141" s="81" t="s">
        <v>11</v>
      </c>
      <c r="G141" s="81"/>
      <c r="H141" s="17">
        <f>SUM(H116:H140)</f>
        <v>1</v>
      </c>
      <c r="I141" s="13">
        <v>400</v>
      </c>
      <c r="J141" s="13">
        <f>+H114</f>
        <v>25.559999999999945</v>
      </c>
    </row>
    <row r="142" spans="1:13" ht="23.25" x14ac:dyDescent="0.35">
      <c r="A142" s="82"/>
      <c r="B142" s="83"/>
      <c r="C142" s="2"/>
      <c r="D142" s="2"/>
      <c r="E142" s="2"/>
      <c r="F142" s="18"/>
      <c r="G142" s="18"/>
      <c r="H142" s="19"/>
      <c r="I142" s="18"/>
      <c r="J142" s="18"/>
    </row>
    <row r="143" spans="1:13" x14ac:dyDescent="0.25">
      <c r="A143" s="84" t="s">
        <v>18</v>
      </c>
      <c r="B143" s="84"/>
      <c r="C143" s="84"/>
      <c r="D143" s="84"/>
      <c r="E143" s="2"/>
      <c r="F143" s="2"/>
      <c r="G143" s="2"/>
    </row>
    <row r="144" spans="1:13" x14ac:dyDescent="0.25">
      <c r="A144" s="9" t="s">
        <v>12</v>
      </c>
      <c r="B144" s="9" t="s">
        <v>13</v>
      </c>
      <c r="C144" s="9" t="s">
        <v>14</v>
      </c>
      <c r="D144" s="10" t="s">
        <v>12</v>
      </c>
      <c r="E144" s="85" t="s">
        <v>13</v>
      </c>
      <c r="F144" s="86"/>
      <c r="G144" s="10" t="s">
        <v>14</v>
      </c>
      <c r="H144" s="9" t="s">
        <v>12</v>
      </c>
      <c r="I144" s="10" t="s">
        <v>13</v>
      </c>
      <c r="J144" s="10" t="s">
        <v>14</v>
      </c>
      <c r="K144" s="9" t="s">
        <v>12</v>
      </c>
      <c r="L144" s="10" t="s">
        <v>13</v>
      </c>
      <c r="M144" s="10" t="s">
        <v>14</v>
      </c>
    </row>
    <row r="145" spans="1:13" x14ac:dyDescent="0.25">
      <c r="A145" s="11">
        <v>1</v>
      </c>
      <c r="B145" s="16">
        <v>0.33333333333333331</v>
      </c>
      <c r="C145" s="16">
        <f>+B145+15/1440</f>
        <v>0.34375</v>
      </c>
      <c r="D145" s="11">
        <v>8</v>
      </c>
      <c r="E145" s="103">
        <f>+C151+5/1440</f>
        <v>0.43055555555555558</v>
      </c>
      <c r="F145" s="104"/>
      <c r="G145" s="58">
        <f>+E145+15/1440</f>
        <v>0.44097222222222227</v>
      </c>
      <c r="H145" s="11"/>
      <c r="I145" s="12">
        <f>G151+5/1440</f>
        <v>0.52777777777777779</v>
      </c>
      <c r="J145" s="12">
        <f>I145+15/1440</f>
        <v>0.53819444444444442</v>
      </c>
      <c r="K145" s="11">
        <v>19</v>
      </c>
      <c r="L145" s="12">
        <f>J151+5/1440</f>
        <v>0.62499999999999967</v>
      </c>
      <c r="M145" s="12">
        <f>L145+15/1440</f>
        <v>0.6354166666666663</v>
      </c>
    </row>
    <row r="146" spans="1:13" x14ac:dyDescent="0.25">
      <c r="A146" s="11">
        <v>2</v>
      </c>
      <c r="B146" s="16">
        <f t="shared" ref="B146:B151" si="33">+C145+5/1440</f>
        <v>0.34722222222222221</v>
      </c>
      <c r="C146" s="16">
        <f>+B146+15/1440</f>
        <v>0.3576388888888889</v>
      </c>
      <c r="D146" s="11">
        <v>9</v>
      </c>
      <c r="E146" s="103">
        <f>+G145+5/1440</f>
        <v>0.44444444444444448</v>
      </c>
      <c r="F146" s="104"/>
      <c r="G146" s="12">
        <f>+E146+15/1440</f>
        <v>0.45486111111111116</v>
      </c>
      <c r="H146" s="11">
        <v>13</v>
      </c>
      <c r="I146" s="12">
        <f>J145+5/1440</f>
        <v>0.54166666666666663</v>
      </c>
      <c r="J146" s="12">
        <f>I146+15/1440</f>
        <v>0.55208333333333326</v>
      </c>
      <c r="K146" s="11">
        <v>20</v>
      </c>
      <c r="L146" s="12">
        <f>M145+5/1440</f>
        <v>0.63888888888888851</v>
      </c>
      <c r="M146" s="12">
        <f>L146+15/1440</f>
        <v>0.64930555555555514</v>
      </c>
    </row>
    <row r="147" spans="1:13" x14ac:dyDescent="0.25">
      <c r="A147" s="11">
        <v>3</v>
      </c>
      <c r="B147" s="16">
        <f t="shared" si="33"/>
        <v>0.3611111111111111</v>
      </c>
      <c r="C147" s="16">
        <f t="shared" ref="C147:C151" si="34">+B147+15/1440</f>
        <v>0.37152777777777779</v>
      </c>
      <c r="D147" s="11">
        <v>10</v>
      </c>
      <c r="E147" s="103">
        <f t="shared" ref="E147:E151" si="35">+G146+5/1440</f>
        <v>0.45833333333333337</v>
      </c>
      <c r="F147" s="104"/>
      <c r="G147" s="12">
        <f t="shared" ref="G147:G151" si="36">+E147+15/1440</f>
        <v>0.46875000000000006</v>
      </c>
      <c r="H147" s="11">
        <v>14</v>
      </c>
      <c r="I147" s="12">
        <f t="shared" ref="I147:I151" si="37">J146+5/1440</f>
        <v>0.55555555555555547</v>
      </c>
      <c r="J147" s="12">
        <f t="shared" ref="J147:J151" si="38">I147+15/1440</f>
        <v>0.5659722222222221</v>
      </c>
      <c r="K147" s="11">
        <v>21</v>
      </c>
      <c r="L147" s="21">
        <f t="shared" ref="L147:L151" si="39">M146+5/1440</f>
        <v>0.65277777777777735</v>
      </c>
      <c r="M147" s="21">
        <f t="shared" ref="M147:M151" si="40">L147+15/1440</f>
        <v>0.66319444444444398</v>
      </c>
    </row>
    <row r="148" spans="1:13" x14ac:dyDescent="0.25">
      <c r="A148" s="11">
        <v>4</v>
      </c>
      <c r="B148" s="16">
        <f t="shared" si="33"/>
        <v>0.375</v>
      </c>
      <c r="C148" s="16">
        <f t="shared" si="34"/>
        <v>0.38541666666666669</v>
      </c>
      <c r="D148" s="11">
        <v>11</v>
      </c>
      <c r="E148" s="103">
        <f t="shared" si="35"/>
        <v>0.47222222222222227</v>
      </c>
      <c r="F148" s="104"/>
      <c r="G148" s="12">
        <f t="shared" si="36"/>
        <v>0.48263888888888895</v>
      </c>
      <c r="H148" s="11">
        <v>15</v>
      </c>
      <c r="I148" s="12">
        <f t="shared" si="37"/>
        <v>0.56944444444444431</v>
      </c>
      <c r="J148" s="12">
        <f t="shared" si="38"/>
        <v>0.57986111111111094</v>
      </c>
      <c r="K148" s="11">
        <v>22</v>
      </c>
      <c r="L148" s="21">
        <f t="shared" si="39"/>
        <v>0.66666666666666619</v>
      </c>
      <c r="M148" s="21">
        <f t="shared" si="40"/>
        <v>0.67708333333333282</v>
      </c>
    </row>
    <row r="149" spans="1:13" x14ac:dyDescent="0.25">
      <c r="A149" s="11">
        <v>5</v>
      </c>
      <c r="B149" s="16">
        <f t="shared" si="33"/>
        <v>0.3888888888888889</v>
      </c>
      <c r="C149" s="16">
        <f t="shared" si="34"/>
        <v>0.39930555555555558</v>
      </c>
      <c r="D149" s="11">
        <v>12</v>
      </c>
      <c r="E149" s="103">
        <f t="shared" si="35"/>
        <v>0.48611111111111116</v>
      </c>
      <c r="F149" s="104"/>
      <c r="G149" s="12">
        <f t="shared" si="36"/>
        <v>0.49652777777777785</v>
      </c>
      <c r="H149" s="11">
        <v>16</v>
      </c>
      <c r="I149" s="12">
        <f t="shared" si="37"/>
        <v>0.58333333333333315</v>
      </c>
      <c r="J149" s="12">
        <f t="shared" si="38"/>
        <v>0.59374999999999978</v>
      </c>
      <c r="K149" s="11">
        <v>23</v>
      </c>
      <c r="L149" s="21">
        <f t="shared" si="39"/>
        <v>0.68055555555555503</v>
      </c>
      <c r="M149" s="21">
        <f t="shared" si="40"/>
        <v>0.69097222222222165</v>
      </c>
    </row>
    <row r="150" spans="1:13" x14ac:dyDescent="0.25">
      <c r="A150" s="11">
        <v>6</v>
      </c>
      <c r="B150" s="16">
        <f t="shared" si="33"/>
        <v>0.40277777777777779</v>
      </c>
      <c r="C150" s="16">
        <f t="shared" si="34"/>
        <v>0.41319444444444448</v>
      </c>
      <c r="D150" s="11"/>
      <c r="E150" s="77">
        <f t="shared" si="35"/>
        <v>0.50000000000000011</v>
      </c>
      <c r="F150" s="78"/>
      <c r="G150" s="21">
        <f t="shared" si="36"/>
        <v>0.51041666666666674</v>
      </c>
      <c r="H150" s="11">
        <v>17</v>
      </c>
      <c r="I150" s="12">
        <f t="shared" si="37"/>
        <v>0.59722222222222199</v>
      </c>
      <c r="J150" s="12">
        <f t="shared" si="38"/>
        <v>0.60763888888888862</v>
      </c>
      <c r="K150" s="11">
        <v>24</v>
      </c>
      <c r="L150" s="21">
        <f t="shared" si="39"/>
        <v>0.69444444444444386</v>
      </c>
      <c r="M150" s="21">
        <f t="shared" si="40"/>
        <v>0.70486111111111049</v>
      </c>
    </row>
    <row r="151" spans="1:13" x14ac:dyDescent="0.25">
      <c r="A151" s="11">
        <v>7</v>
      </c>
      <c r="B151" s="12">
        <f t="shared" si="33"/>
        <v>0.41666666666666669</v>
      </c>
      <c r="C151" s="12">
        <f t="shared" si="34"/>
        <v>0.42708333333333337</v>
      </c>
      <c r="D151" s="11"/>
      <c r="E151" s="77">
        <f t="shared" si="35"/>
        <v>0.51388888888888895</v>
      </c>
      <c r="F151" s="78"/>
      <c r="G151" s="21">
        <f t="shared" si="36"/>
        <v>0.52430555555555558</v>
      </c>
      <c r="H151" s="11">
        <v>18</v>
      </c>
      <c r="I151" s="12">
        <f t="shared" si="37"/>
        <v>0.61111111111111083</v>
      </c>
      <c r="J151" s="12">
        <f t="shared" si="38"/>
        <v>0.62152777777777746</v>
      </c>
      <c r="K151" s="11">
        <v>25</v>
      </c>
      <c r="L151" s="21">
        <f t="shared" si="39"/>
        <v>0.7083333333333327</v>
      </c>
      <c r="M151" s="21">
        <f t="shared" si="40"/>
        <v>0.71874999999999933</v>
      </c>
    </row>
    <row r="152" spans="1:13" x14ac:dyDescent="0.25">
      <c r="H152" s="36"/>
      <c r="I152" s="37"/>
      <c r="J152" s="37"/>
    </row>
    <row r="153" spans="1:13" x14ac:dyDescent="0.25">
      <c r="H153" s="36"/>
      <c r="I153" s="37"/>
      <c r="J153" s="37"/>
    </row>
    <row r="154" spans="1:13" ht="15.75" thickBot="1" x14ac:dyDescent="0.3"/>
    <row r="155" spans="1:13" x14ac:dyDescent="0.25">
      <c r="A155" s="94" t="s">
        <v>20</v>
      </c>
      <c r="B155" s="95"/>
      <c r="C155" s="95"/>
      <c r="D155" s="96"/>
      <c r="E155" s="95" t="s">
        <v>21</v>
      </c>
      <c r="F155" s="95"/>
      <c r="G155" s="95"/>
      <c r="H155" s="95"/>
      <c r="I155" s="95"/>
      <c r="J155" s="96"/>
    </row>
    <row r="156" spans="1:13" ht="15.75" thickBot="1" x14ac:dyDescent="0.3">
      <c r="A156" s="97"/>
      <c r="B156" s="98"/>
      <c r="C156" s="98"/>
      <c r="D156" s="99"/>
      <c r="E156" s="98"/>
      <c r="F156" s="98"/>
      <c r="G156" s="98"/>
      <c r="H156" s="98"/>
      <c r="I156" s="98"/>
      <c r="J156" s="99"/>
    </row>
    <row r="157" spans="1:13" ht="18.75" x14ac:dyDescent="0.25">
      <c r="A157" s="87" t="s">
        <v>0</v>
      </c>
      <c r="B157" s="87"/>
      <c r="C157" s="100" t="s">
        <v>55</v>
      </c>
      <c r="D157" s="100"/>
      <c r="E157" s="100"/>
      <c r="F157" s="100"/>
      <c r="G157" s="100"/>
      <c r="H157" s="1" t="s">
        <v>1</v>
      </c>
      <c r="I157" s="101">
        <v>45544</v>
      </c>
      <c r="J157" s="102"/>
    </row>
    <row r="158" spans="1:13" ht="24.75" customHeight="1" x14ac:dyDescent="0.25">
      <c r="A158" s="87" t="s">
        <v>2</v>
      </c>
      <c r="B158" s="87"/>
      <c r="C158" s="88" t="s">
        <v>48</v>
      </c>
      <c r="D158" s="88"/>
      <c r="E158" s="88"/>
      <c r="F158" s="88"/>
      <c r="G158" s="88"/>
      <c r="H158" s="1" t="s">
        <v>3</v>
      </c>
      <c r="I158" s="89" t="s">
        <v>41</v>
      </c>
      <c r="J158" s="89"/>
    </row>
    <row r="159" spans="1:13" x14ac:dyDescent="0.25">
      <c r="A159" s="2"/>
      <c r="B159" s="2"/>
      <c r="C159" s="2"/>
      <c r="D159" s="2"/>
      <c r="E159" s="2"/>
      <c r="F159" s="2"/>
      <c r="G159" s="2"/>
      <c r="I159" s="90" t="s">
        <v>64</v>
      </c>
      <c r="J159" s="90"/>
    </row>
    <row r="160" spans="1:13" ht="18.75" x14ac:dyDescent="0.3">
      <c r="A160" s="91" t="s">
        <v>4</v>
      </c>
      <c r="B160" s="91"/>
      <c r="C160" s="3" t="s">
        <v>5</v>
      </c>
      <c r="D160" s="14" t="s">
        <v>6</v>
      </c>
      <c r="E160" s="92" t="s">
        <v>7</v>
      </c>
      <c r="F160" s="4">
        <f>ROUNDDOWN(D186/400,0)</f>
        <v>6</v>
      </c>
      <c r="G160" s="5" t="s">
        <v>8</v>
      </c>
      <c r="H160" s="6">
        <f>D186-(F160*400)</f>
        <v>101.5</v>
      </c>
      <c r="I160" s="7" t="s">
        <v>9</v>
      </c>
    </row>
    <row r="161" spans="1:10" ht="15.75" x14ac:dyDescent="0.25">
      <c r="A161" s="26" t="s">
        <v>23</v>
      </c>
      <c r="B161" s="29"/>
      <c r="C161" s="39"/>
      <c r="D161" s="20"/>
      <c r="E161" s="92"/>
      <c r="F161" s="91" t="s">
        <v>4</v>
      </c>
      <c r="G161" s="91"/>
      <c r="H161" s="3" t="s">
        <v>5</v>
      </c>
      <c r="I161" s="14" t="s">
        <v>6</v>
      </c>
      <c r="J161" s="14" t="s">
        <v>6</v>
      </c>
    </row>
    <row r="162" spans="1:10" ht="15.75" x14ac:dyDescent="0.25">
      <c r="A162" s="26" t="s">
        <v>42</v>
      </c>
      <c r="B162" s="29"/>
      <c r="C162" s="39"/>
      <c r="D162" s="20"/>
      <c r="E162" s="92"/>
      <c r="F162" s="26" t="s">
        <v>23</v>
      </c>
      <c r="G162" s="33"/>
      <c r="H162" s="38"/>
      <c r="I162" s="35"/>
      <c r="J162" s="35"/>
    </row>
    <row r="163" spans="1:10" ht="15.75" x14ac:dyDescent="0.25">
      <c r="A163" s="27" t="s">
        <v>24</v>
      </c>
      <c r="B163" s="29"/>
      <c r="C163" s="31"/>
      <c r="D163" s="20"/>
      <c r="E163" s="92"/>
      <c r="F163" s="26" t="s">
        <v>42</v>
      </c>
      <c r="G163" s="33"/>
      <c r="H163" s="38"/>
      <c r="I163" s="35"/>
      <c r="J163" s="35"/>
    </row>
    <row r="164" spans="1:10" ht="15.75" x14ac:dyDescent="0.25">
      <c r="A164" s="27" t="s">
        <v>25</v>
      </c>
      <c r="B164" s="29"/>
      <c r="C164" s="31">
        <v>0.11</v>
      </c>
      <c r="D164" s="20">
        <f>C164*$D$32</f>
        <v>1648.8703</v>
      </c>
      <c r="E164" s="92"/>
      <c r="F164" s="27" t="s">
        <v>24</v>
      </c>
      <c r="G164" s="33"/>
      <c r="H164" s="38"/>
      <c r="I164" s="35"/>
      <c r="J164" s="35"/>
    </row>
    <row r="165" spans="1:10" ht="15.75" x14ac:dyDescent="0.25">
      <c r="A165" s="27" t="s">
        <v>47</v>
      </c>
      <c r="B165" s="29"/>
      <c r="C165" s="31">
        <v>0.21879999999999999</v>
      </c>
      <c r="D165" s="20">
        <f t="shared" ref="D165:D181" si="41">C165*$D$32</f>
        <v>3279.7529239999999</v>
      </c>
      <c r="E165" s="92"/>
      <c r="F165" s="27" t="s">
        <v>25</v>
      </c>
      <c r="G165" s="33"/>
      <c r="H165" s="38">
        <v>0.1032</v>
      </c>
      <c r="I165" s="35">
        <f t="shared" ref="I165:I182" si="42">H165*$I$33</f>
        <v>41.28</v>
      </c>
      <c r="J165" s="35">
        <f t="shared" ref="J165:J182" si="43">H165*$J$33</f>
        <v>19.580135999999953</v>
      </c>
    </row>
    <row r="166" spans="1:10" ht="15.75" x14ac:dyDescent="0.25">
      <c r="A166" s="27" t="s">
        <v>46</v>
      </c>
      <c r="B166" s="29"/>
      <c r="C166" s="31"/>
      <c r="D166" s="20"/>
      <c r="E166" s="92"/>
      <c r="F166" s="27" t="s">
        <v>47</v>
      </c>
      <c r="G166" s="33"/>
      <c r="H166" s="38">
        <v>0.219</v>
      </c>
      <c r="I166" s="35">
        <f t="shared" si="42"/>
        <v>87.6</v>
      </c>
      <c r="J166" s="35">
        <f t="shared" si="43"/>
        <v>41.550869999999904</v>
      </c>
    </row>
    <row r="167" spans="1:10" ht="15.75" x14ac:dyDescent="0.25">
      <c r="A167" s="27" t="s">
        <v>26</v>
      </c>
      <c r="B167" s="29"/>
      <c r="C167" s="31">
        <v>1.9900000000000001E-2</v>
      </c>
      <c r="D167" s="20">
        <f t="shared" si="41"/>
        <v>298.29562700000002</v>
      </c>
      <c r="E167" s="92"/>
      <c r="F167" s="27" t="s">
        <v>46</v>
      </c>
      <c r="G167" s="33"/>
      <c r="H167" s="38"/>
      <c r="I167" s="35"/>
      <c r="J167" s="35"/>
    </row>
    <row r="168" spans="1:10" ht="15.75" x14ac:dyDescent="0.25">
      <c r="A168" s="27" t="s">
        <v>43</v>
      </c>
      <c r="B168" s="29"/>
      <c r="C168" s="31"/>
      <c r="D168" s="20"/>
      <c r="E168" s="92"/>
      <c r="F168" s="27" t="s">
        <v>26</v>
      </c>
      <c r="G168" s="33"/>
      <c r="H168" s="38">
        <v>1.5900000000000001E-2</v>
      </c>
      <c r="I168" s="35">
        <f t="shared" si="42"/>
        <v>6.36</v>
      </c>
      <c r="J168" s="35">
        <f t="shared" si="43"/>
        <v>3.0167069999999931</v>
      </c>
    </row>
    <row r="169" spans="1:10" ht="15.75" x14ac:dyDescent="0.25">
      <c r="A169" s="27" t="s">
        <v>19</v>
      </c>
      <c r="B169" s="29"/>
      <c r="C169" s="31"/>
      <c r="D169" s="20"/>
      <c r="E169" s="92"/>
      <c r="F169" s="27" t="s">
        <v>43</v>
      </c>
      <c r="G169" s="33"/>
      <c r="H169" s="38"/>
      <c r="I169" s="35"/>
      <c r="J169" s="35"/>
    </row>
    <row r="170" spans="1:10" ht="15.75" x14ac:dyDescent="0.25">
      <c r="A170" s="27" t="s">
        <v>27</v>
      </c>
      <c r="B170" s="29"/>
      <c r="C170" s="31"/>
      <c r="D170" s="20"/>
      <c r="E170" s="92"/>
      <c r="F170" s="27" t="s">
        <v>19</v>
      </c>
      <c r="G170" s="33"/>
      <c r="H170" s="38"/>
      <c r="I170" s="35"/>
      <c r="J170" s="35"/>
    </row>
    <row r="171" spans="1:10" ht="15.75" x14ac:dyDescent="0.25">
      <c r="A171" s="27" t="s">
        <v>44</v>
      </c>
      <c r="B171" s="29"/>
      <c r="C171" s="31">
        <v>0.45750000000000002</v>
      </c>
      <c r="D171" s="20">
        <f t="shared" si="41"/>
        <v>6857.8014750000002</v>
      </c>
      <c r="E171" s="92"/>
      <c r="F171" s="27" t="s">
        <v>27</v>
      </c>
      <c r="G171" s="33"/>
      <c r="H171" s="38"/>
      <c r="I171" s="35"/>
      <c r="J171" s="35"/>
    </row>
    <row r="172" spans="1:10" ht="15.75" x14ac:dyDescent="0.25">
      <c r="A172" s="27" t="s">
        <v>28</v>
      </c>
      <c r="B172" s="29"/>
      <c r="C172" s="31"/>
      <c r="D172" s="20"/>
      <c r="E172" s="92"/>
      <c r="F172" s="27" t="s">
        <v>44</v>
      </c>
      <c r="G172" s="33"/>
      <c r="H172" s="38">
        <v>0.46789999999999998</v>
      </c>
      <c r="I172" s="35">
        <f t="shared" si="42"/>
        <v>187.16</v>
      </c>
      <c r="J172" s="35">
        <f t="shared" si="43"/>
        <v>88.774666999999795</v>
      </c>
    </row>
    <row r="173" spans="1:10" ht="15.75" x14ac:dyDescent="0.25">
      <c r="A173" s="27" t="s">
        <v>45</v>
      </c>
      <c r="B173" s="29"/>
      <c r="C173" s="31"/>
      <c r="D173" s="20"/>
      <c r="E173" s="92"/>
      <c r="F173" s="27" t="s">
        <v>28</v>
      </c>
      <c r="G173" s="33"/>
      <c r="H173" s="38"/>
      <c r="I173" s="35"/>
      <c r="J173" s="35"/>
    </row>
    <row r="174" spans="1:10" ht="15.75" x14ac:dyDescent="0.25">
      <c r="A174" s="27" t="s">
        <v>10</v>
      </c>
      <c r="B174" s="29"/>
      <c r="C174" s="31"/>
      <c r="D174" s="20"/>
      <c r="E174" s="92"/>
      <c r="F174" s="27" t="s">
        <v>45</v>
      </c>
      <c r="G174" s="33"/>
      <c r="H174" s="38"/>
      <c r="I174" s="35"/>
      <c r="J174" s="35"/>
    </row>
    <row r="175" spans="1:10" ht="15.75" x14ac:dyDescent="0.25">
      <c r="A175" s="27" t="s">
        <v>29</v>
      </c>
      <c r="B175" s="29"/>
      <c r="C175" s="31">
        <v>0.13919999999999999</v>
      </c>
      <c r="D175" s="20">
        <f t="shared" si="41"/>
        <v>2086.5704159999996</v>
      </c>
      <c r="E175" s="92"/>
      <c r="F175" s="27" t="s">
        <v>10</v>
      </c>
      <c r="G175" s="33"/>
      <c r="H175" s="38"/>
      <c r="I175" s="35"/>
      <c r="J175" s="35"/>
    </row>
    <row r="176" spans="1:10" ht="15.75" x14ac:dyDescent="0.25">
      <c r="A176" s="27" t="s">
        <v>17</v>
      </c>
      <c r="B176" s="29"/>
      <c r="C176" s="31"/>
      <c r="D176" s="20"/>
      <c r="E176" s="92"/>
      <c r="F176" s="27" t="s">
        <v>29</v>
      </c>
      <c r="G176" s="33"/>
      <c r="H176" s="38">
        <v>0.1394</v>
      </c>
      <c r="I176" s="35">
        <f t="shared" si="42"/>
        <v>55.76</v>
      </c>
      <c r="J176" s="35">
        <f t="shared" si="43"/>
        <v>26.448361999999939</v>
      </c>
    </row>
    <row r="177" spans="1:13" ht="15.75" x14ac:dyDescent="0.25">
      <c r="A177" s="27" t="s">
        <v>30</v>
      </c>
      <c r="B177" s="29"/>
      <c r="C177" s="31"/>
      <c r="D177" s="20"/>
      <c r="E177" s="92"/>
      <c r="F177" s="27" t="s">
        <v>17</v>
      </c>
      <c r="G177" s="33"/>
      <c r="H177" s="38"/>
      <c r="I177" s="35"/>
      <c r="J177" s="35"/>
    </row>
    <row r="178" spans="1:13" ht="15.75" x14ac:dyDescent="0.25">
      <c r="A178" s="27" t="s">
        <v>31</v>
      </c>
      <c r="B178" s="29"/>
      <c r="C178" s="31"/>
      <c r="D178" s="20"/>
      <c r="E178" s="92"/>
      <c r="F178" s="27" t="s">
        <v>30</v>
      </c>
      <c r="G178" s="33"/>
      <c r="H178" s="38"/>
      <c r="I178" s="35"/>
      <c r="J178" s="35"/>
    </row>
    <row r="179" spans="1:13" ht="15.75" x14ac:dyDescent="0.25">
      <c r="A179" s="27" t="s">
        <v>16</v>
      </c>
      <c r="B179" s="29"/>
      <c r="C179" s="31">
        <v>0.01</v>
      </c>
      <c r="D179" s="20">
        <f t="shared" si="41"/>
        <v>149.8973</v>
      </c>
      <c r="E179" s="92"/>
      <c r="F179" s="27" t="s">
        <v>31</v>
      </c>
      <c r="G179" s="33"/>
      <c r="H179" s="38"/>
      <c r="I179" s="35"/>
      <c r="J179" s="35"/>
    </row>
    <row r="180" spans="1:13" ht="15.75" x14ac:dyDescent="0.25">
      <c r="A180" s="27" t="s">
        <v>32</v>
      </c>
      <c r="B180" s="23"/>
      <c r="C180" s="31">
        <v>4.2200000000000001E-2</v>
      </c>
      <c r="D180" s="20">
        <f t="shared" si="41"/>
        <v>632.56660599999998</v>
      </c>
      <c r="E180" s="92"/>
      <c r="F180" s="27" t="s">
        <v>16</v>
      </c>
      <c r="G180" s="24"/>
      <c r="H180" s="38">
        <v>0.01</v>
      </c>
      <c r="I180" s="35">
        <f t="shared" si="42"/>
        <v>4</v>
      </c>
      <c r="J180" s="35">
        <f t="shared" si="43"/>
        <v>1.8972999999999958</v>
      </c>
    </row>
    <row r="181" spans="1:13" ht="15.75" x14ac:dyDescent="0.25">
      <c r="A181" s="27" t="s">
        <v>33</v>
      </c>
      <c r="B181" s="23"/>
      <c r="C181" s="31">
        <v>2.3999999999999998E-3</v>
      </c>
      <c r="D181" s="20">
        <f t="shared" si="41"/>
        <v>35.975351999999994</v>
      </c>
      <c r="E181" s="92"/>
      <c r="F181" s="27" t="s">
        <v>32</v>
      </c>
      <c r="G181" s="24"/>
      <c r="H181" s="38">
        <v>4.2200000000000001E-2</v>
      </c>
      <c r="I181" s="35">
        <f t="shared" si="42"/>
        <v>16.88</v>
      </c>
      <c r="J181" s="35">
        <f t="shared" si="43"/>
        <v>8.0066059999999819</v>
      </c>
    </row>
    <row r="182" spans="1:13" ht="15.75" x14ac:dyDescent="0.25">
      <c r="A182" s="27" t="s">
        <v>34</v>
      </c>
      <c r="B182" s="23"/>
      <c r="C182" s="31"/>
      <c r="D182" s="20"/>
      <c r="E182" s="92"/>
      <c r="F182" s="27" t="s">
        <v>33</v>
      </c>
      <c r="G182" s="24"/>
      <c r="H182" s="38">
        <v>2.3999999999999998E-3</v>
      </c>
      <c r="I182" s="35">
        <f t="shared" si="42"/>
        <v>0.96</v>
      </c>
      <c r="J182" s="35">
        <f t="shared" si="43"/>
        <v>0.45535199999999892</v>
      </c>
    </row>
    <row r="183" spans="1:13" ht="15.75" x14ac:dyDescent="0.25">
      <c r="A183" s="27" t="s">
        <v>22</v>
      </c>
      <c r="B183" s="23"/>
      <c r="C183" s="31"/>
      <c r="D183" s="20"/>
      <c r="E183" s="92"/>
      <c r="F183" s="27" t="s">
        <v>34</v>
      </c>
      <c r="G183" s="24"/>
      <c r="H183" s="38"/>
      <c r="I183" s="35"/>
      <c r="J183" s="35"/>
    </row>
    <row r="184" spans="1:13" ht="15.75" x14ac:dyDescent="0.25">
      <c r="A184" s="27" t="s">
        <v>35</v>
      </c>
      <c r="B184" s="29"/>
      <c r="C184" s="31"/>
      <c r="D184" s="20"/>
      <c r="E184" s="92"/>
      <c r="F184" s="27" t="s">
        <v>22</v>
      </c>
      <c r="G184" s="33"/>
      <c r="H184" s="38"/>
      <c r="I184" s="35"/>
      <c r="J184" s="35"/>
    </row>
    <row r="185" spans="1:13" ht="16.5" thickBot="1" x14ac:dyDescent="0.3">
      <c r="A185" s="28" t="s">
        <v>36</v>
      </c>
      <c r="B185" s="29"/>
      <c r="C185" s="32"/>
      <c r="D185" s="20"/>
      <c r="E185" s="92"/>
      <c r="F185" s="27" t="s">
        <v>35</v>
      </c>
      <c r="G185" s="33"/>
      <c r="H185" s="38"/>
      <c r="I185" s="35"/>
      <c r="J185" s="35"/>
    </row>
    <row r="186" spans="1:13" ht="16.5" thickBot="1" x14ac:dyDescent="0.3">
      <c r="A186" s="93" t="s">
        <v>11</v>
      </c>
      <c r="B186" s="93"/>
      <c r="C186" s="8">
        <f>SUM(C161:C185)</f>
        <v>1</v>
      </c>
      <c r="D186" s="15">
        <v>2501.5</v>
      </c>
      <c r="E186" s="92"/>
      <c r="F186" s="28" t="s">
        <v>36</v>
      </c>
      <c r="G186" s="34"/>
      <c r="H186" s="38"/>
      <c r="I186" s="35"/>
      <c r="J186" s="35"/>
    </row>
    <row r="187" spans="1:13" x14ac:dyDescent="0.25">
      <c r="A187" s="2"/>
      <c r="B187" s="2"/>
      <c r="C187" s="2"/>
      <c r="D187" s="2"/>
      <c r="E187" s="2"/>
      <c r="F187" s="81" t="s">
        <v>11</v>
      </c>
      <c r="G187" s="81"/>
      <c r="H187" s="17">
        <f>SUM(H162:H186)</f>
        <v>1</v>
      </c>
      <c r="I187" s="13">
        <v>400</v>
      </c>
      <c r="J187" s="13">
        <f>+H160</f>
        <v>101.5</v>
      </c>
    </row>
    <row r="188" spans="1:13" ht="23.25" x14ac:dyDescent="0.35">
      <c r="A188" s="82"/>
      <c r="B188" s="83"/>
      <c r="C188" s="2"/>
      <c r="D188" s="2"/>
      <c r="E188" s="2"/>
      <c r="F188" s="18"/>
      <c r="G188" s="18"/>
      <c r="H188" s="19"/>
      <c r="I188" s="18"/>
      <c r="J188" s="18"/>
    </row>
    <row r="189" spans="1:13" x14ac:dyDescent="0.25">
      <c r="A189" s="84" t="s">
        <v>18</v>
      </c>
      <c r="B189" s="84"/>
      <c r="C189" s="84"/>
      <c r="D189" s="84"/>
      <c r="E189" s="2"/>
      <c r="F189" s="2"/>
      <c r="G189" s="2"/>
    </row>
    <row r="190" spans="1:13" x14ac:dyDescent="0.25">
      <c r="A190" s="9" t="s">
        <v>12</v>
      </c>
      <c r="B190" s="9" t="s">
        <v>13</v>
      </c>
      <c r="C190" s="9" t="s">
        <v>14</v>
      </c>
      <c r="D190" s="10" t="s">
        <v>12</v>
      </c>
      <c r="E190" s="85" t="s">
        <v>13</v>
      </c>
      <c r="F190" s="86"/>
      <c r="G190" s="10" t="s">
        <v>14</v>
      </c>
      <c r="H190" s="9" t="s">
        <v>12</v>
      </c>
      <c r="I190" s="10" t="s">
        <v>13</v>
      </c>
      <c r="J190" s="10" t="s">
        <v>14</v>
      </c>
      <c r="K190" s="9" t="s">
        <v>12</v>
      </c>
      <c r="L190" s="10" t="s">
        <v>13</v>
      </c>
      <c r="M190" s="10" t="s">
        <v>14</v>
      </c>
    </row>
    <row r="191" spans="1:13" x14ac:dyDescent="0.25">
      <c r="A191" s="11">
        <v>1</v>
      </c>
      <c r="B191" s="12">
        <v>0.33333333333333331</v>
      </c>
      <c r="C191" s="12">
        <f>+B191+15/1440</f>
        <v>0.34375</v>
      </c>
      <c r="D191" s="11">
        <v>8</v>
      </c>
      <c r="E191" s="79">
        <f>+C197+5/1440</f>
        <v>0.43055555555555558</v>
      </c>
      <c r="F191" s="80"/>
      <c r="G191" s="16">
        <f>+E191+15/1440</f>
        <v>0.44097222222222227</v>
      </c>
      <c r="H191" s="11"/>
      <c r="I191" s="12">
        <f>G197+5/1440</f>
        <v>0.52777777777777779</v>
      </c>
      <c r="J191" s="12">
        <f>I191+15/1440</f>
        <v>0.53819444444444442</v>
      </c>
      <c r="K191" s="11">
        <v>19</v>
      </c>
      <c r="L191" s="12">
        <f>J197+5/1440</f>
        <v>0.62499999999999967</v>
      </c>
      <c r="M191" s="12">
        <f>L191+15/1440</f>
        <v>0.6354166666666663</v>
      </c>
    </row>
    <row r="192" spans="1:13" x14ac:dyDescent="0.25">
      <c r="A192" s="11">
        <v>2</v>
      </c>
      <c r="B192" s="12">
        <f t="shared" ref="B192:B197" si="44">+C191+5/1440</f>
        <v>0.34722222222222221</v>
      </c>
      <c r="C192" s="12">
        <f>+B192+15/1440</f>
        <v>0.3576388888888889</v>
      </c>
      <c r="D192" s="11">
        <v>9</v>
      </c>
      <c r="E192" s="79">
        <f>+G191+5/1440</f>
        <v>0.44444444444444448</v>
      </c>
      <c r="F192" s="80"/>
      <c r="G192" s="16">
        <f>+E192+15/1440</f>
        <v>0.45486111111111116</v>
      </c>
      <c r="H192" s="11">
        <v>13</v>
      </c>
      <c r="I192" s="16">
        <f>J191+5/1440</f>
        <v>0.54166666666666663</v>
      </c>
      <c r="J192" s="16">
        <f>I192+15/1440</f>
        <v>0.55208333333333326</v>
      </c>
      <c r="K192" s="11">
        <v>20</v>
      </c>
      <c r="L192" s="12">
        <f>M191+5/1440</f>
        <v>0.63888888888888851</v>
      </c>
      <c r="M192" s="12">
        <f>L192+15/1440</f>
        <v>0.64930555555555514</v>
      </c>
    </row>
    <row r="193" spans="1:13" x14ac:dyDescent="0.25">
      <c r="A193" s="11">
        <v>3</v>
      </c>
      <c r="B193" s="12">
        <f t="shared" si="44"/>
        <v>0.3611111111111111</v>
      </c>
      <c r="C193" s="12">
        <f t="shared" ref="C193:C197" si="45">+B193+15/1440</f>
        <v>0.37152777777777779</v>
      </c>
      <c r="D193" s="11">
        <v>10</v>
      </c>
      <c r="E193" s="79">
        <f t="shared" ref="E193:E197" si="46">+G192+5/1440</f>
        <v>0.45833333333333337</v>
      </c>
      <c r="F193" s="80"/>
      <c r="G193" s="16">
        <f t="shared" ref="G193:G197" si="47">+E193+15/1440</f>
        <v>0.46875000000000006</v>
      </c>
      <c r="H193" s="11">
        <v>14</v>
      </c>
      <c r="I193" s="16">
        <f t="shared" ref="I193:I197" si="48">J192+5/1440</f>
        <v>0.55555555555555547</v>
      </c>
      <c r="J193" s="16">
        <f t="shared" ref="J193:J197" si="49">I193+15/1440</f>
        <v>0.5659722222222221</v>
      </c>
      <c r="K193" s="11">
        <v>21</v>
      </c>
      <c r="L193" s="12">
        <f t="shared" ref="L193:L197" si="50">M192+5/1440</f>
        <v>0.65277777777777735</v>
      </c>
      <c r="M193" s="12">
        <f t="shared" ref="M193:M197" si="51">L193+15/1440</f>
        <v>0.66319444444444398</v>
      </c>
    </row>
    <row r="194" spans="1:13" x14ac:dyDescent="0.25">
      <c r="A194" s="11">
        <v>4</v>
      </c>
      <c r="B194" s="12">
        <f t="shared" si="44"/>
        <v>0.375</v>
      </c>
      <c r="C194" s="12">
        <f t="shared" si="45"/>
        <v>0.38541666666666669</v>
      </c>
      <c r="D194" s="11">
        <v>11</v>
      </c>
      <c r="E194" s="79">
        <f t="shared" si="46"/>
        <v>0.47222222222222227</v>
      </c>
      <c r="F194" s="80"/>
      <c r="G194" s="16">
        <f t="shared" si="47"/>
        <v>0.48263888888888895</v>
      </c>
      <c r="H194" s="11">
        <v>15</v>
      </c>
      <c r="I194" s="12">
        <f t="shared" si="48"/>
        <v>0.56944444444444431</v>
      </c>
      <c r="J194" s="12">
        <f t="shared" si="49"/>
        <v>0.57986111111111094</v>
      </c>
      <c r="K194" s="11">
        <v>22</v>
      </c>
      <c r="L194" s="12">
        <f t="shared" si="50"/>
        <v>0.66666666666666619</v>
      </c>
      <c r="M194" s="12">
        <f t="shared" si="51"/>
        <v>0.67708333333333282</v>
      </c>
    </row>
    <row r="195" spans="1:13" x14ac:dyDescent="0.25">
      <c r="A195" s="11">
        <v>5</v>
      </c>
      <c r="B195" s="12">
        <f t="shared" si="44"/>
        <v>0.3888888888888889</v>
      </c>
      <c r="C195" s="12">
        <f t="shared" si="45"/>
        <v>0.39930555555555558</v>
      </c>
      <c r="D195" s="11">
        <v>12</v>
      </c>
      <c r="E195" s="79">
        <f t="shared" si="46"/>
        <v>0.48611111111111116</v>
      </c>
      <c r="F195" s="80"/>
      <c r="G195" s="16">
        <f t="shared" si="47"/>
        <v>0.49652777777777785</v>
      </c>
      <c r="H195" s="11">
        <v>16</v>
      </c>
      <c r="I195" s="12">
        <f t="shared" si="48"/>
        <v>0.58333333333333315</v>
      </c>
      <c r="J195" s="12">
        <f t="shared" si="49"/>
        <v>0.59374999999999978</v>
      </c>
      <c r="K195" s="11">
        <v>23</v>
      </c>
      <c r="L195" s="12">
        <f t="shared" si="50"/>
        <v>0.68055555555555503</v>
      </c>
      <c r="M195" s="12">
        <f t="shared" si="51"/>
        <v>0.69097222222222165</v>
      </c>
    </row>
    <row r="196" spans="1:13" x14ac:dyDescent="0.25">
      <c r="A196" s="11">
        <v>6</v>
      </c>
      <c r="B196" s="12">
        <f t="shared" si="44"/>
        <v>0.40277777777777779</v>
      </c>
      <c r="C196" s="12">
        <f t="shared" si="45"/>
        <v>0.41319444444444448</v>
      </c>
      <c r="D196" s="11"/>
      <c r="E196" s="103">
        <f t="shared" si="46"/>
        <v>0.50000000000000011</v>
      </c>
      <c r="F196" s="104"/>
      <c r="G196" s="12">
        <f t="shared" si="47"/>
        <v>0.51041666666666674</v>
      </c>
      <c r="H196" s="11">
        <v>17</v>
      </c>
      <c r="I196" s="12">
        <f t="shared" si="48"/>
        <v>0.59722222222222199</v>
      </c>
      <c r="J196" s="12">
        <f t="shared" si="49"/>
        <v>0.60763888888888862</v>
      </c>
      <c r="K196" s="11">
        <v>24</v>
      </c>
      <c r="L196" s="12">
        <f t="shared" si="50"/>
        <v>0.69444444444444386</v>
      </c>
      <c r="M196" s="12">
        <f t="shared" si="51"/>
        <v>0.70486111111111049</v>
      </c>
    </row>
    <row r="197" spans="1:13" x14ac:dyDescent="0.25">
      <c r="A197" s="11">
        <v>7</v>
      </c>
      <c r="B197" s="12">
        <f t="shared" si="44"/>
        <v>0.41666666666666669</v>
      </c>
      <c r="C197" s="12">
        <f t="shared" si="45"/>
        <v>0.42708333333333337</v>
      </c>
      <c r="D197" s="11"/>
      <c r="E197" s="77">
        <f t="shared" si="46"/>
        <v>0.51388888888888895</v>
      </c>
      <c r="F197" s="78"/>
      <c r="G197" s="21">
        <f t="shared" si="47"/>
        <v>0.52430555555555558</v>
      </c>
      <c r="H197" s="11">
        <v>18</v>
      </c>
      <c r="I197" s="12">
        <f t="shared" si="48"/>
        <v>0.61111111111111083</v>
      </c>
      <c r="J197" s="12">
        <f t="shared" si="49"/>
        <v>0.62152777777777746</v>
      </c>
      <c r="K197" s="11">
        <v>25</v>
      </c>
      <c r="L197" s="12">
        <f t="shared" si="50"/>
        <v>0.7083333333333327</v>
      </c>
      <c r="M197" s="12">
        <f t="shared" si="51"/>
        <v>0.71874999999999933</v>
      </c>
    </row>
    <row r="200" spans="1:13" ht="15.75" thickBot="1" x14ac:dyDescent="0.3"/>
    <row r="201" spans="1:13" x14ac:dyDescent="0.25">
      <c r="A201" s="94" t="s">
        <v>20</v>
      </c>
      <c r="B201" s="95"/>
      <c r="C201" s="95"/>
      <c r="D201" s="96"/>
      <c r="E201" s="95" t="s">
        <v>21</v>
      </c>
      <c r="F201" s="95"/>
      <c r="G201" s="95"/>
      <c r="H201" s="95"/>
      <c r="I201" s="95"/>
      <c r="J201" s="96"/>
    </row>
    <row r="202" spans="1:13" ht="15.75" thickBot="1" x14ac:dyDescent="0.3">
      <c r="A202" s="97"/>
      <c r="B202" s="98"/>
      <c r="C202" s="98"/>
      <c r="D202" s="99"/>
      <c r="E202" s="98"/>
      <c r="F202" s="98"/>
      <c r="G202" s="98"/>
      <c r="H202" s="98"/>
      <c r="I202" s="98"/>
      <c r="J202" s="99"/>
    </row>
    <row r="203" spans="1:13" ht="18.75" x14ac:dyDescent="0.25">
      <c r="A203" s="87" t="s">
        <v>0</v>
      </c>
      <c r="B203" s="87"/>
      <c r="C203" s="100" t="s">
        <v>54</v>
      </c>
      <c r="D203" s="100"/>
      <c r="E203" s="100"/>
      <c r="F203" s="100"/>
      <c r="G203" s="100"/>
      <c r="H203" s="1" t="s">
        <v>1</v>
      </c>
      <c r="I203" s="101">
        <v>45544</v>
      </c>
      <c r="J203" s="102"/>
    </row>
    <row r="204" spans="1:13" ht="27" customHeight="1" x14ac:dyDescent="0.25">
      <c r="A204" s="87" t="s">
        <v>2</v>
      </c>
      <c r="B204" s="87"/>
      <c r="C204" s="88" t="s">
        <v>38</v>
      </c>
      <c r="D204" s="88"/>
      <c r="E204" s="88"/>
      <c r="F204" s="88"/>
      <c r="G204" s="88"/>
      <c r="H204" s="1" t="s">
        <v>3</v>
      </c>
      <c r="I204" s="89" t="s">
        <v>37</v>
      </c>
      <c r="J204" s="89"/>
    </row>
    <row r="205" spans="1:13" x14ac:dyDescent="0.25">
      <c r="A205" s="2"/>
      <c r="B205" s="2"/>
      <c r="C205" s="2"/>
      <c r="D205" s="2"/>
      <c r="E205" s="2"/>
      <c r="F205" s="2"/>
      <c r="G205" s="2"/>
      <c r="I205" s="90" t="s">
        <v>15</v>
      </c>
      <c r="J205" s="90"/>
    </row>
    <row r="206" spans="1:13" ht="19.5" thickBot="1" x14ac:dyDescent="0.35">
      <c r="A206" s="91" t="s">
        <v>4</v>
      </c>
      <c r="B206" s="91"/>
      <c r="C206" s="3" t="s">
        <v>5</v>
      </c>
      <c r="D206" s="14" t="s">
        <v>6</v>
      </c>
      <c r="E206" s="92" t="s">
        <v>7</v>
      </c>
      <c r="F206" s="4">
        <f>ROUNDDOWN(D232/400,0)</f>
        <v>5</v>
      </c>
      <c r="G206" s="5" t="s">
        <v>8</v>
      </c>
      <c r="H206" s="6">
        <f>D232-(F206*400)</f>
        <v>344.34000000000015</v>
      </c>
      <c r="I206" s="7" t="s">
        <v>9</v>
      </c>
    </row>
    <row r="207" spans="1:13" ht="16.5" thickBot="1" x14ac:dyDescent="0.3">
      <c r="A207" s="26" t="s">
        <v>23</v>
      </c>
      <c r="B207" s="29"/>
      <c r="C207" s="30"/>
      <c r="D207" s="20"/>
      <c r="E207" s="92"/>
      <c r="F207" s="91" t="s">
        <v>4</v>
      </c>
      <c r="G207" s="91"/>
      <c r="H207" s="3" t="s">
        <v>5</v>
      </c>
      <c r="I207" s="14" t="s">
        <v>6</v>
      </c>
      <c r="J207" s="14" t="s">
        <v>6</v>
      </c>
    </row>
    <row r="208" spans="1:13" ht="15.75" x14ac:dyDescent="0.25">
      <c r="A208" s="26" t="s">
        <v>42</v>
      </c>
      <c r="B208" s="29"/>
      <c r="C208" s="39"/>
      <c r="D208" s="20"/>
      <c r="E208" s="92"/>
      <c r="F208" s="26" t="s">
        <v>23</v>
      </c>
      <c r="G208" s="33"/>
      <c r="H208" s="30"/>
      <c r="I208" s="35"/>
      <c r="J208" s="35"/>
    </row>
    <row r="209" spans="1:10" ht="15.75" x14ac:dyDescent="0.25">
      <c r="A209" s="27" t="s">
        <v>24</v>
      </c>
      <c r="B209" s="29"/>
      <c r="C209" s="31"/>
      <c r="D209" s="20"/>
      <c r="E209" s="92"/>
      <c r="F209" s="26" t="s">
        <v>42</v>
      </c>
      <c r="G209" s="33"/>
      <c r="H209" s="39"/>
      <c r="I209" s="35"/>
      <c r="J209" s="35"/>
    </row>
    <row r="210" spans="1:10" ht="15.75" x14ac:dyDescent="0.25">
      <c r="A210" s="27" t="s">
        <v>25</v>
      </c>
      <c r="B210" s="29"/>
      <c r="C210" s="31">
        <v>0.10829999999999999</v>
      </c>
      <c r="D210" s="20">
        <f>C210*$D$32</f>
        <v>1623.387759</v>
      </c>
      <c r="E210" s="92"/>
      <c r="F210" s="27" t="s">
        <v>24</v>
      </c>
      <c r="G210" s="33"/>
      <c r="H210" s="31"/>
      <c r="I210" s="35"/>
      <c r="J210" s="35"/>
    </row>
    <row r="211" spans="1:10" ht="15.75" x14ac:dyDescent="0.25">
      <c r="A211" s="27" t="s">
        <v>47</v>
      </c>
      <c r="B211" s="29"/>
      <c r="C211" s="31">
        <v>0.36359999999999998</v>
      </c>
      <c r="D211" s="20">
        <f t="shared" ref="D211:D227" si="52">C211*$D$32</f>
        <v>5450.2658279999996</v>
      </c>
      <c r="E211" s="92"/>
      <c r="F211" s="27" t="s">
        <v>25</v>
      </c>
      <c r="G211" s="33"/>
      <c r="H211" s="31">
        <v>0.10829999999999999</v>
      </c>
      <c r="I211" s="35">
        <f t="shared" ref="I211:I228" si="53">H211*$I$33</f>
        <v>43.32</v>
      </c>
      <c r="J211" s="35">
        <f t="shared" ref="J211:J228" si="54">H211*$J$33</f>
        <v>20.547758999999953</v>
      </c>
    </row>
    <row r="212" spans="1:10" ht="15.75" x14ac:dyDescent="0.25">
      <c r="A212" s="27" t="s">
        <v>46</v>
      </c>
      <c r="B212" s="29"/>
      <c r="C212" s="31"/>
      <c r="D212" s="20"/>
      <c r="E212" s="92"/>
      <c r="F212" s="27" t="s">
        <v>47</v>
      </c>
      <c r="G212" s="33"/>
      <c r="H212" s="31">
        <v>0.36359999999999998</v>
      </c>
      <c r="I212" s="35">
        <f t="shared" si="53"/>
        <v>145.44</v>
      </c>
      <c r="J212" s="35">
        <f t="shared" si="54"/>
        <v>68.985827999999842</v>
      </c>
    </row>
    <row r="213" spans="1:10" ht="15.75" x14ac:dyDescent="0.25">
      <c r="A213" s="27" t="s">
        <v>26</v>
      </c>
      <c r="B213" s="29"/>
      <c r="C213" s="31">
        <v>0.11360000000000001</v>
      </c>
      <c r="D213" s="20">
        <f t="shared" si="52"/>
        <v>1702.8333279999999</v>
      </c>
      <c r="E213" s="92"/>
      <c r="F213" s="27" t="s">
        <v>46</v>
      </c>
      <c r="G213" s="33"/>
      <c r="H213" s="31"/>
      <c r="I213" s="35"/>
      <c r="J213" s="35"/>
    </row>
    <row r="214" spans="1:10" ht="15.75" x14ac:dyDescent="0.25">
      <c r="A214" s="27" t="s">
        <v>43</v>
      </c>
      <c r="B214" s="29"/>
      <c r="C214" s="31"/>
      <c r="D214" s="20"/>
      <c r="E214" s="92"/>
      <c r="F214" s="27" t="s">
        <v>26</v>
      </c>
      <c r="G214" s="33"/>
      <c r="H214" s="31">
        <v>0.11360000000000001</v>
      </c>
      <c r="I214" s="35">
        <f t="shared" si="53"/>
        <v>45.440000000000005</v>
      </c>
      <c r="J214" s="35">
        <f t="shared" si="54"/>
        <v>21.553327999999951</v>
      </c>
    </row>
    <row r="215" spans="1:10" ht="15.75" x14ac:dyDescent="0.25">
      <c r="A215" s="27" t="s">
        <v>19</v>
      </c>
      <c r="B215" s="29"/>
      <c r="C215" s="31">
        <v>0.11360000000000001</v>
      </c>
      <c r="D215" s="20">
        <f t="shared" si="52"/>
        <v>1702.8333279999999</v>
      </c>
      <c r="E215" s="92"/>
      <c r="F215" s="27" t="s">
        <v>43</v>
      </c>
      <c r="G215" s="33"/>
      <c r="H215" s="31"/>
      <c r="I215" s="35"/>
      <c r="J215" s="35"/>
    </row>
    <row r="216" spans="1:10" ht="15.75" x14ac:dyDescent="0.25">
      <c r="A216" s="27" t="s">
        <v>27</v>
      </c>
      <c r="B216" s="29"/>
      <c r="C216" s="31"/>
      <c r="D216" s="20"/>
      <c r="E216" s="92"/>
      <c r="F216" s="27" t="s">
        <v>19</v>
      </c>
      <c r="G216" s="33"/>
      <c r="H216" s="31">
        <v>0.11360000000000001</v>
      </c>
      <c r="I216" s="35">
        <f t="shared" si="53"/>
        <v>45.440000000000005</v>
      </c>
      <c r="J216" s="35">
        <f t="shared" si="54"/>
        <v>21.553327999999951</v>
      </c>
    </row>
    <row r="217" spans="1:10" ht="15.75" x14ac:dyDescent="0.25">
      <c r="A217" s="27" t="s">
        <v>44</v>
      </c>
      <c r="B217" s="29"/>
      <c r="C217" s="31"/>
      <c r="D217" s="20"/>
      <c r="E217" s="92"/>
      <c r="F217" s="27" t="s">
        <v>27</v>
      </c>
      <c r="G217" s="33"/>
      <c r="H217" s="31"/>
      <c r="I217" s="35"/>
      <c r="J217" s="35"/>
    </row>
    <row r="218" spans="1:10" ht="15.75" x14ac:dyDescent="0.25">
      <c r="A218" s="27" t="s">
        <v>28</v>
      </c>
      <c r="B218" s="29"/>
      <c r="C218" s="31">
        <v>0.18179999999999999</v>
      </c>
      <c r="D218" s="20">
        <f t="shared" si="52"/>
        <v>2725.1329139999998</v>
      </c>
      <c r="E218" s="92"/>
      <c r="F218" s="27" t="s">
        <v>44</v>
      </c>
      <c r="G218" s="33"/>
      <c r="H218" s="31"/>
      <c r="I218" s="35"/>
      <c r="J218" s="35"/>
    </row>
    <row r="219" spans="1:10" ht="15.75" x14ac:dyDescent="0.25">
      <c r="A219" s="27" t="s">
        <v>45</v>
      </c>
      <c r="B219" s="29"/>
      <c r="C219" s="31"/>
      <c r="D219" s="20"/>
      <c r="E219" s="92"/>
      <c r="F219" s="27" t="s">
        <v>28</v>
      </c>
      <c r="G219" s="33"/>
      <c r="H219" s="31">
        <v>0.18179999999999999</v>
      </c>
      <c r="I219" s="35">
        <f t="shared" si="53"/>
        <v>72.72</v>
      </c>
      <c r="J219" s="35">
        <f t="shared" si="54"/>
        <v>34.492913999999921</v>
      </c>
    </row>
    <row r="220" spans="1:10" ht="15.75" x14ac:dyDescent="0.25">
      <c r="A220" s="27" t="s">
        <v>10</v>
      </c>
      <c r="B220" s="29"/>
      <c r="C220" s="31"/>
      <c r="D220" s="20"/>
      <c r="E220" s="92"/>
      <c r="F220" s="27" t="s">
        <v>45</v>
      </c>
      <c r="G220" s="33"/>
      <c r="H220" s="31"/>
      <c r="I220" s="35"/>
      <c r="J220" s="35"/>
    </row>
    <row r="221" spans="1:10" ht="15.75" x14ac:dyDescent="0.25">
      <c r="A221" s="27" t="s">
        <v>29</v>
      </c>
      <c r="B221" s="29"/>
      <c r="C221" s="31">
        <v>6.8199999999999997E-2</v>
      </c>
      <c r="D221" s="20">
        <f t="shared" si="52"/>
        <v>1022.299586</v>
      </c>
      <c r="E221" s="92"/>
      <c r="F221" s="27" t="s">
        <v>10</v>
      </c>
      <c r="G221" s="33"/>
      <c r="H221" s="31"/>
      <c r="I221" s="35"/>
      <c r="J221" s="35"/>
    </row>
    <row r="222" spans="1:10" ht="15.75" x14ac:dyDescent="0.25">
      <c r="A222" s="27" t="s">
        <v>17</v>
      </c>
      <c r="B222" s="29"/>
      <c r="C222" s="31"/>
      <c r="D222" s="20"/>
      <c r="E222" s="92"/>
      <c r="F222" s="27" t="s">
        <v>29</v>
      </c>
      <c r="G222" s="33"/>
      <c r="H222" s="31">
        <v>6.8199999999999997E-2</v>
      </c>
      <c r="I222" s="35">
        <f t="shared" si="53"/>
        <v>27.279999999999998</v>
      </c>
      <c r="J222" s="35">
        <f t="shared" si="54"/>
        <v>12.93958599999997</v>
      </c>
    </row>
    <row r="223" spans="1:10" ht="15.75" x14ac:dyDescent="0.25">
      <c r="A223" s="27" t="s">
        <v>30</v>
      </c>
      <c r="B223" s="29"/>
      <c r="C223" s="31"/>
      <c r="D223" s="20"/>
      <c r="E223" s="92"/>
      <c r="F223" s="27" t="s">
        <v>17</v>
      </c>
      <c r="G223" s="33"/>
      <c r="H223" s="31"/>
      <c r="I223" s="35"/>
      <c r="J223" s="35"/>
    </row>
    <row r="224" spans="1:10" ht="15.75" x14ac:dyDescent="0.25">
      <c r="A224" s="27" t="s">
        <v>31</v>
      </c>
      <c r="B224" s="29"/>
      <c r="C224" s="31"/>
      <c r="D224" s="20"/>
      <c r="E224" s="92"/>
      <c r="F224" s="27" t="s">
        <v>30</v>
      </c>
      <c r="G224" s="33"/>
      <c r="H224" s="31"/>
      <c r="I224" s="35"/>
      <c r="J224" s="35"/>
    </row>
    <row r="225" spans="1:13" ht="15.75" x14ac:dyDescent="0.25">
      <c r="A225" s="27" t="s">
        <v>16</v>
      </c>
      <c r="B225" s="29"/>
      <c r="C225" s="31"/>
      <c r="D225" s="20"/>
      <c r="E225" s="92"/>
      <c r="F225" s="27" t="s">
        <v>31</v>
      </c>
      <c r="G225" s="33"/>
      <c r="H225" s="31"/>
      <c r="I225" s="35"/>
      <c r="J225" s="35"/>
    </row>
    <row r="226" spans="1:13" ht="15.75" x14ac:dyDescent="0.25">
      <c r="A226" s="27" t="s">
        <v>32</v>
      </c>
      <c r="B226" s="23"/>
      <c r="C226" s="31">
        <v>4.82E-2</v>
      </c>
      <c r="D226" s="20">
        <f t="shared" si="52"/>
        <v>722.50498600000003</v>
      </c>
      <c r="E226" s="92"/>
      <c r="F226" s="27" t="s">
        <v>16</v>
      </c>
      <c r="G226" s="24"/>
      <c r="H226" s="31"/>
      <c r="I226" s="35"/>
      <c r="J226" s="35"/>
    </row>
    <row r="227" spans="1:13" ht="15.75" x14ac:dyDescent="0.25">
      <c r="A227" s="27" t="s">
        <v>33</v>
      </c>
      <c r="B227" s="23"/>
      <c r="C227" s="31">
        <v>2.7000000000000001E-3</v>
      </c>
      <c r="D227" s="20">
        <f t="shared" si="52"/>
        <v>40.472270999999999</v>
      </c>
      <c r="E227" s="92"/>
      <c r="F227" s="27" t="s">
        <v>32</v>
      </c>
      <c r="G227" s="24"/>
      <c r="H227" s="31">
        <v>4.82E-2</v>
      </c>
      <c r="I227" s="35">
        <f t="shared" si="53"/>
        <v>19.28</v>
      </c>
      <c r="J227" s="35">
        <f t="shared" si="54"/>
        <v>9.1449859999999781</v>
      </c>
    </row>
    <row r="228" spans="1:13" ht="15.75" x14ac:dyDescent="0.25">
      <c r="A228" s="27" t="s">
        <v>34</v>
      </c>
      <c r="B228" s="23"/>
      <c r="C228" s="31"/>
      <c r="D228" s="20"/>
      <c r="E228" s="92"/>
      <c r="F228" s="27" t="s">
        <v>33</v>
      </c>
      <c r="G228" s="24"/>
      <c r="H228" s="31">
        <v>2.7000000000000001E-3</v>
      </c>
      <c r="I228" s="35">
        <f t="shared" si="53"/>
        <v>1.08</v>
      </c>
      <c r="J228" s="35">
        <f t="shared" si="54"/>
        <v>0.51227099999999881</v>
      </c>
    </row>
    <row r="229" spans="1:13" ht="15.75" x14ac:dyDescent="0.25">
      <c r="A229" s="27" t="s">
        <v>22</v>
      </c>
      <c r="B229" s="23"/>
      <c r="C229" s="31"/>
      <c r="D229" s="20"/>
      <c r="E229" s="92"/>
      <c r="F229" s="27" t="s">
        <v>34</v>
      </c>
      <c r="G229" s="24"/>
      <c r="H229" s="31"/>
      <c r="I229" s="35"/>
      <c r="J229" s="35"/>
    </row>
    <row r="230" spans="1:13" ht="15.75" x14ac:dyDescent="0.25">
      <c r="A230" s="27" t="s">
        <v>35</v>
      </c>
      <c r="B230" s="29"/>
      <c r="C230" s="31"/>
      <c r="D230" s="20"/>
      <c r="E230" s="92"/>
      <c r="F230" s="27" t="s">
        <v>22</v>
      </c>
      <c r="G230" s="33"/>
      <c r="H230" s="31"/>
      <c r="I230" s="35"/>
      <c r="J230" s="35"/>
    </row>
    <row r="231" spans="1:13" ht="16.5" thickBot="1" x14ac:dyDescent="0.3">
      <c r="A231" s="28" t="s">
        <v>36</v>
      </c>
      <c r="B231" s="29"/>
      <c r="C231" s="32"/>
      <c r="D231" s="20"/>
      <c r="E231" s="92"/>
      <c r="F231" s="27" t="s">
        <v>35</v>
      </c>
      <c r="G231" s="33"/>
      <c r="H231" s="31"/>
      <c r="I231" s="35"/>
      <c r="J231" s="35"/>
    </row>
    <row r="232" spans="1:13" ht="16.5" thickBot="1" x14ac:dyDescent="0.3">
      <c r="A232" s="93" t="s">
        <v>11</v>
      </c>
      <c r="B232" s="93"/>
      <c r="C232" s="8">
        <f>SUM(C207:C231)</f>
        <v>1</v>
      </c>
      <c r="D232" s="15">
        <v>2344.34</v>
      </c>
      <c r="E232" s="92"/>
      <c r="F232" s="28" t="s">
        <v>36</v>
      </c>
      <c r="G232" s="34"/>
      <c r="H232" s="32"/>
      <c r="I232" s="35"/>
      <c r="J232" s="35"/>
    </row>
    <row r="233" spans="1:13" x14ac:dyDescent="0.25">
      <c r="A233" s="2"/>
      <c r="B233" s="2"/>
      <c r="C233" s="2"/>
      <c r="D233" s="2"/>
      <c r="E233" s="2"/>
      <c r="F233" s="81" t="s">
        <v>11</v>
      </c>
      <c r="G233" s="81"/>
      <c r="H233" s="17">
        <f>SUM(H208:H232)</f>
        <v>1</v>
      </c>
      <c r="I233" s="13">
        <v>400</v>
      </c>
      <c r="J233" s="13">
        <f>+H206</f>
        <v>344.34000000000015</v>
      </c>
    </row>
    <row r="234" spans="1:13" ht="23.25" x14ac:dyDescent="0.35">
      <c r="A234" s="82"/>
      <c r="B234" s="83"/>
      <c r="C234" s="2"/>
      <c r="D234" s="2"/>
      <c r="E234" s="2"/>
      <c r="F234" s="18"/>
      <c r="G234" s="18"/>
      <c r="H234" s="19"/>
      <c r="I234" s="18"/>
      <c r="J234" s="18"/>
    </row>
    <row r="235" spans="1:13" x14ac:dyDescent="0.25">
      <c r="A235" s="84" t="s">
        <v>18</v>
      </c>
      <c r="B235" s="84"/>
      <c r="C235" s="84"/>
      <c r="D235" s="84"/>
      <c r="E235" s="2"/>
      <c r="F235" s="2"/>
      <c r="G235" s="2"/>
    </row>
    <row r="236" spans="1:13" x14ac:dyDescent="0.25">
      <c r="A236" s="9" t="s">
        <v>12</v>
      </c>
      <c r="B236" s="9" t="s">
        <v>13</v>
      </c>
      <c r="C236" s="9" t="s">
        <v>14</v>
      </c>
      <c r="D236" s="10" t="s">
        <v>12</v>
      </c>
      <c r="E236" s="85" t="s">
        <v>13</v>
      </c>
      <c r="F236" s="86"/>
      <c r="G236" s="10" t="s">
        <v>14</v>
      </c>
      <c r="H236" s="9" t="s">
        <v>12</v>
      </c>
      <c r="I236" s="10" t="s">
        <v>13</v>
      </c>
      <c r="J236" s="10" t="s">
        <v>14</v>
      </c>
      <c r="K236" s="9" t="s">
        <v>12</v>
      </c>
      <c r="L236" s="10" t="s">
        <v>13</v>
      </c>
      <c r="M236" s="10" t="s">
        <v>14</v>
      </c>
    </row>
    <row r="237" spans="1:13" x14ac:dyDescent="0.25">
      <c r="A237" s="11">
        <v>1</v>
      </c>
      <c r="B237" s="12">
        <v>0.33333333333333331</v>
      </c>
      <c r="C237" s="12">
        <f>+B237+15/1440</f>
        <v>0.34375</v>
      </c>
      <c r="D237" s="11">
        <v>8</v>
      </c>
      <c r="E237" s="103">
        <f>+C243+5/1440</f>
        <v>0.43055555555555558</v>
      </c>
      <c r="F237" s="104"/>
      <c r="G237" s="58">
        <f>+E237+15/1440</f>
        <v>0.44097222222222227</v>
      </c>
      <c r="H237" s="11"/>
      <c r="I237" s="12">
        <f>G243+5/1440</f>
        <v>0.52777777777777779</v>
      </c>
      <c r="J237" s="12">
        <f>I237+15/1440</f>
        <v>0.53819444444444442</v>
      </c>
      <c r="K237" s="11">
        <v>19</v>
      </c>
      <c r="L237" s="16">
        <f>J243+5/1440</f>
        <v>0.62499999999999967</v>
      </c>
      <c r="M237" s="16">
        <f>L237+15/1440</f>
        <v>0.6354166666666663</v>
      </c>
    </row>
    <row r="238" spans="1:13" x14ac:dyDescent="0.25">
      <c r="A238" s="11">
        <v>2</v>
      </c>
      <c r="B238" s="12">
        <f t="shared" ref="B238:B243" si="55">+C237+5/1440</f>
        <v>0.34722222222222221</v>
      </c>
      <c r="C238" s="12">
        <f>+B238+15/1440</f>
        <v>0.3576388888888889</v>
      </c>
      <c r="D238" s="11">
        <v>9</v>
      </c>
      <c r="E238" s="103">
        <f>+G237+5/1440</f>
        <v>0.44444444444444448</v>
      </c>
      <c r="F238" s="104"/>
      <c r="G238" s="12">
        <f>+E238+15/1440</f>
        <v>0.45486111111111116</v>
      </c>
      <c r="H238" s="11">
        <v>13</v>
      </c>
      <c r="I238" s="12">
        <f>J237+5/1440</f>
        <v>0.54166666666666663</v>
      </c>
      <c r="J238" s="12">
        <f>I238+15/1440</f>
        <v>0.55208333333333326</v>
      </c>
      <c r="K238" s="11">
        <v>20</v>
      </c>
      <c r="L238" s="16">
        <f>M237+5/1440</f>
        <v>0.63888888888888851</v>
      </c>
      <c r="M238" s="16">
        <f>L238+15/1440</f>
        <v>0.64930555555555514</v>
      </c>
    </row>
    <row r="239" spans="1:13" x14ac:dyDescent="0.25">
      <c r="A239" s="11">
        <v>3</v>
      </c>
      <c r="B239" s="12">
        <f t="shared" si="55"/>
        <v>0.3611111111111111</v>
      </c>
      <c r="C239" s="12">
        <f t="shared" ref="C239:C243" si="56">+B239+15/1440</f>
        <v>0.37152777777777779</v>
      </c>
      <c r="D239" s="11">
        <v>10</v>
      </c>
      <c r="E239" s="103">
        <f t="shared" ref="E239:E243" si="57">+G238+5/1440</f>
        <v>0.45833333333333337</v>
      </c>
      <c r="F239" s="104"/>
      <c r="G239" s="12">
        <f t="shared" ref="G239:G243" si="58">+E239+15/1440</f>
        <v>0.46875000000000006</v>
      </c>
      <c r="H239" s="11">
        <v>14</v>
      </c>
      <c r="I239" s="12">
        <f t="shared" ref="I239:I243" si="59">J238+5/1440</f>
        <v>0.55555555555555547</v>
      </c>
      <c r="J239" s="12">
        <f t="shared" ref="J239:J243" si="60">I239+15/1440</f>
        <v>0.5659722222222221</v>
      </c>
      <c r="K239" s="11">
        <v>21</v>
      </c>
      <c r="L239" s="16">
        <f t="shared" ref="L239:L243" si="61">M238+5/1440</f>
        <v>0.65277777777777735</v>
      </c>
      <c r="M239" s="16">
        <f t="shared" ref="M239:M243" si="62">L239+15/1440</f>
        <v>0.66319444444444398</v>
      </c>
    </row>
    <row r="240" spans="1:13" x14ac:dyDescent="0.25">
      <c r="A240" s="11">
        <v>4</v>
      </c>
      <c r="B240" s="12">
        <f t="shared" si="55"/>
        <v>0.375</v>
      </c>
      <c r="C240" s="12">
        <f t="shared" si="56"/>
        <v>0.38541666666666669</v>
      </c>
      <c r="D240" s="11">
        <v>11</v>
      </c>
      <c r="E240" s="103">
        <f t="shared" si="57"/>
        <v>0.47222222222222227</v>
      </c>
      <c r="F240" s="104"/>
      <c r="G240" s="12">
        <f t="shared" si="58"/>
        <v>0.48263888888888895</v>
      </c>
      <c r="H240" s="11">
        <v>15</v>
      </c>
      <c r="I240" s="12">
        <f t="shared" si="59"/>
        <v>0.56944444444444431</v>
      </c>
      <c r="J240" s="12">
        <f t="shared" si="60"/>
        <v>0.57986111111111094</v>
      </c>
      <c r="K240" s="11">
        <v>22</v>
      </c>
      <c r="L240" s="21">
        <f t="shared" si="61"/>
        <v>0.66666666666666619</v>
      </c>
      <c r="M240" s="21">
        <f t="shared" si="62"/>
        <v>0.67708333333333282</v>
      </c>
    </row>
    <row r="241" spans="1:13" x14ac:dyDescent="0.25">
      <c r="A241" s="11">
        <v>5</v>
      </c>
      <c r="B241" s="12">
        <f t="shared" si="55"/>
        <v>0.3888888888888889</v>
      </c>
      <c r="C241" s="12">
        <f t="shared" si="56"/>
        <v>0.39930555555555558</v>
      </c>
      <c r="D241" s="11">
        <v>12</v>
      </c>
      <c r="E241" s="103">
        <f t="shared" si="57"/>
        <v>0.48611111111111116</v>
      </c>
      <c r="F241" s="104"/>
      <c r="G241" s="12">
        <f t="shared" si="58"/>
        <v>0.49652777777777785</v>
      </c>
      <c r="H241" s="11">
        <v>16</v>
      </c>
      <c r="I241" s="16">
        <f t="shared" si="59"/>
        <v>0.58333333333333315</v>
      </c>
      <c r="J241" s="16">
        <f t="shared" si="60"/>
        <v>0.59374999999999978</v>
      </c>
      <c r="K241" s="11">
        <v>23</v>
      </c>
      <c r="L241" s="21">
        <f t="shared" si="61"/>
        <v>0.68055555555555503</v>
      </c>
      <c r="M241" s="21">
        <f t="shared" si="62"/>
        <v>0.69097222222222165</v>
      </c>
    </row>
    <row r="242" spans="1:13" x14ac:dyDescent="0.25">
      <c r="A242" s="11">
        <v>6</v>
      </c>
      <c r="B242" s="12">
        <f t="shared" si="55"/>
        <v>0.40277777777777779</v>
      </c>
      <c r="C242" s="12">
        <f t="shared" si="56"/>
        <v>0.41319444444444448</v>
      </c>
      <c r="D242" s="11"/>
      <c r="E242" s="77">
        <f t="shared" si="57"/>
        <v>0.50000000000000011</v>
      </c>
      <c r="F242" s="78"/>
      <c r="G242" s="21">
        <f t="shared" si="58"/>
        <v>0.51041666666666674</v>
      </c>
      <c r="H242" s="11">
        <v>17</v>
      </c>
      <c r="I242" s="16">
        <f t="shared" si="59"/>
        <v>0.59722222222222199</v>
      </c>
      <c r="J242" s="16">
        <f t="shared" si="60"/>
        <v>0.60763888888888862</v>
      </c>
      <c r="K242" s="11">
        <v>24</v>
      </c>
      <c r="L242" s="21">
        <f t="shared" si="61"/>
        <v>0.69444444444444386</v>
      </c>
      <c r="M242" s="21">
        <f t="shared" si="62"/>
        <v>0.70486111111111049</v>
      </c>
    </row>
    <row r="243" spans="1:13" x14ac:dyDescent="0.25">
      <c r="A243" s="11">
        <v>7</v>
      </c>
      <c r="B243" s="12">
        <f t="shared" si="55"/>
        <v>0.41666666666666669</v>
      </c>
      <c r="C243" s="12">
        <f t="shared" si="56"/>
        <v>0.42708333333333337</v>
      </c>
      <c r="D243" s="11"/>
      <c r="E243" s="77">
        <f t="shared" si="57"/>
        <v>0.51388888888888895</v>
      </c>
      <c r="F243" s="78"/>
      <c r="G243" s="21">
        <f t="shared" si="58"/>
        <v>0.52430555555555558</v>
      </c>
      <c r="H243" s="11">
        <v>18</v>
      </c>
      <c r="I243" s="16">
        <f t="shared" si="59"/>
        <v>0.61111111111111083</v>
      </c>
      <c r="J243" s="16">
        <f t="shared" si="60"/>
        <v>0.62152777777777746</v>
      </c>
      <c r="K243" s="11">
        <v>25</v>
      </c>
      <c r="L243" s="21">
        <f t="shared" si="61"/>
        <v>0.7083333333333327</v>
      </c>
      <c r="M243" s="21">
        <f t="shared" si="62"/>
        <v>0.71874999999999933</v>
      </c>
    </row>
  </sheetData>
  <mergeCells count="130">
    <mergeCell ref="A1:D2"/>
    <mergeCell ref="E1:J2"/>
    <mergeCell ref="A3:B3"/>
    <mergeCell ref="C3:G3"/>
    <mergeCell ref="I3:J3"/>
    <mergeCell ref="A4:B4"/>
    <mergeCell ref="C4:G4"/>
    <mergeCell ref="I4:J4"/>
    <mergeCell ref="A37:B37"/>
    <mergeCell ref="A38:D38"/>
    <mergeCell ref="A34:B34"/>
    <mergeCell ref="E39:F39"/>
    <mergeCell ref="I5:J5"/>
    <mergeCell ref="A6:B6"/>
    <mergeCell ref="E6:E32"/>
    <mergeCell ref="F7:G7"/>
    <mergeCell ref="A32:B32"/>
    <mergeCell ref="F33:G33"/>
    <mergeCell ref="E44:F44"/>
    <mergeCell ref="E45:F45"/>
    <mergeCell ref="E46:F46"/>
    <mergeCell ref="A50:B50"/>
    <mergeCell ref="A51:D51"/>
    <mergeCell ref="E52:F52"/>
    <mergeCell ref="E40:F40"/>
    <mergeCell ref="E41:F41"/>
    <mergeCell ref="E42:F42"/>
    <mergeCell ref="E43:F43"/>
    <mergeCell ref="E59:F59"/>
    <mergeCell ref="A66:B66"/>
    <mergeCell ref="C66:G66"/>
    <mergeCell ref="I66:J66"/>
    <mergeCell ref="E53:F53"/>
    <mergeCell ref="E54:F54"/>
    <mergeCell ref="E55:F55"/>
    <mergeCell ref="E56:F56"/>
    <mergeCell ref="E57:F57"/>
    <mergeCell ref="E58:F58"/>
    <mergeCell ref="A63:D64"/>
    <mergeCell ref="E63:J64"/>
    <mergeCell ref="A65:B65"/>
    <mergeCell ref="C65:G65"/>
    <mergeCell ref="I65:J65"/>
    <mergeCell ref="A68:B68"/>
    <mergeCell ref="E104:F104"/>
    <mergeCell ref="E105:F105"/>
    <mergeCell ref="E102:F102"/>
    <mergeCell ref="E103:F103"/>
    <mergeCell ref="I67:J67"/>
    <mergeCell ref="E68:E94"/>
    <mergeCell ref="F69:G69"/>
    <mergeCell ref="A97:D97"/>
    <mergeCell ref="E98:F98"/>
    <mergeCell ref="E99:F99"/>
    <mergeCell ref="E100:F100"/>
    <mergeCell ref="A109:D110"/>
    <mergeCell ref="E109:J110"/>
    <mergeCell ref="A111:B111"/>
    <mergeCell ref="A94:B94"/>
    <mergeCell ref="F95:G95"/>
    <mergeCell ref="A96:B96"/>
    <mergeCell ref="E101:F101"/>
    <mergeCell ref="I111:J111"/>
    <mergeCell ref="C112:G112"/>
    <mergeCell ref="I112:J112"/>
    <mergeCell ref="I113:J113"/>
    <mergeCell ref="A114:B114"/>
    <mergeCell ref="E114:E140"/>
    <mergeCell ref="F115:G115"/>
    <mergeCell ref="A140:B140"/>
    <mergeCell ref="A112:B112"/>
    <mergeCell ref="E147:F147"/>
    <mergeCell ref="E148:F148"/>
    <mergeCell ref="E149:F149"/>
    <mergeCell ref="E150:F150"/>
    <mergeCell ref="E151:F151"/>
    <mergeCell ref="A155:D156"/>
    <mergeCell ref="E155:J156"/>
    <mergeCell ref="F141:G141"/>
    <mergeCell ref="A142:B142"/>
    <mergeCell ref="A143:D143"/>
    <mergeCell ref="E144:F144"/>
    <mergeCell ref="E145:F145"/>
    <mergeCell ref="E146:F146"/>
    <mergeCell ref="I159:J159"/>
    <mergeCell ref="A160:B160"/>
    <mergeCell ref="E160:E186"/>
    <mergeCell ref="F161:G161"/>
    <mergeCell ref="A186:B186"/>
    <mergeCell ref="F187:G187"/>
    <mergeCell ref="A157:B157"/>
    <mergeCell ref="C157:G157"/>
    <mergeCell ref="I157:J157"/>
    <mergeCell ref="A158:B158"/>
    <mergeCell ref="C158:G158"/>
    <mergeCell ref="I158:J158"/>
    <mergeCell ref="E194:F194"/>
    <mergeCell ref="E195:F195"/>
    <mergeCell ref="E196:F196"/>
    <mergeCell ref="E197:F197"/>
    <mergeCell ref="A201:D202"/>
    <mergeCell ref="E201:J202"/>
    <mergeCell ref="A188:B188"/>
    <mergeCell ref="A189:D189"/>
    <mergeCell ref="E190:F190"/>
    <mergeCell ref="E191:F191"/>
    <mergeCell ref="E192:F192"/>
    <mergeCell ref="E193:F193"/>
    <mergeCell ref="I205:J205"/>
    <mergeCell ref="A206:B206"/>
    <mergeCell ref="E206:E232"/>
    <mergeCell ref="F207:G207"/>
    <mergeCell ref="A232:B232"/>
    <mergeCell ref="F233:G233"/>
    <mergeCell ref="A203:B203"/>
    <mergeCell ref="C203:G203"/>
    <mergeCell ref="I203:J203"/>
    <mergeCell ref="A204:B204"/>
    <mergeCell ref="C204:G204"/>
    <mergeCell ref="I204:J204"/>
    <mergeCell ref="E240:F240"/>
    <mergeCell ref="E241:F241"/>
    <mergeCell ref="E242:F242"/>
    <mergeCell ref="E243:F243"/>
    <mergeCell ref="A234:B234"/>
    <mergeCell ref="A235:D235"/>
    <mergeCell ref="E236:F236"/>
    <mergeCell ref="E237:F237"/>
    <mergeCell ref="E238:F238"/>
    <mergeCell ref="E239:F2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93A9-528F-49A0-AFE0-61D5D0A1FA03}">
  <dimension ref="A1:M242"/>
  <sheetViews>
    <sheetView zoomScaleNormal="100" workbookViewId="0">
      <selection activeCell="I203" sqref="I203:J203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8" max="8" width="14" bestFit="1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55</v>
      </c>
      <c r="D3" s="100"/>
      <c r="E3" s="100"/>
      <c r="F3" s="100"/>
      <c r="G3" s="100"/>
      <c r="H3" s="1" t="s">
        <v>1</v>
      </c>
      <c r="I3" s="101">
        <v>45573</v>
      </c>
      <c r="J3" s="102"/>
    </row>
    <row r="4" spans="1:10" ht="37.5" customHeight="1" x14ac:dyDescent="0.25">
      <c r="A4" s="87" t="s">
        <v>2</v>
      </c>
      <c r="B4" s="87"/>
      <c r="C4" s="88" t="s">
        <v>48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64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6</v>
      </c>
      <c r="G6" s="5" t="s">
        <v>8</v>
      </c>
      <c r="H6" s="6">
        <f>D32-(F6*400)</f>
        <v>101.5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0.11</v>
      </c>
      <c r="D10" s="20">
        <f>C10*$D$32</f>
        <v>275.16500000000002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0.21879999999999999</v>
      </c>
      <c r="D11" s="20">
        <f t="shared" ref="D11:D27" si="0">C11*$D$32</f>
        <v>547.32820000000004</v>
      </c>
      <c r="E11" s="92"/>
      <c r="F11" s="27" t="s">
        <v>25</v>
      </c>
      <c r="G11" s="33"/>
      <c r="H11" s="38">
        <v>0.1032</v>
      </c>
      <c r="I11" s="35">
        <f t="shared" ref="I11:I28" si="1">H11*$I$33</f>
        <v>41.28</v>
      </c>
      <c r="J11" s="35">
        <f t="shared" ref="J11:J28" si="2">H11*$J$33</f>
        <v>10.4748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0.219</v>
      </c>
      <c r="I12" s="35">
        <f t="shared" si="1"/>
        <v>87.6</v>
      </c>
      <c r="J12" s="35">
        <f t="shared" si="2"/>
        <v>22.2285</v>
      </c>
    </row>
    <row r="13" spans="1:10" ht="15.75" x14ac:dyDescent="0.25">
      <c r="A13" s="27" t="s">
        <v>26</v>
      </c>
      <c r="B13" s="29"/>
      <c r="C13" s="31">
        <v>1.9900000000000001E-2</v>
      </c>
      <c r="D13" s="20">
        <f t="shared" si="0"/>
        <v>49.779850000000003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1.5900000000000001E-2</v>
      </c>
      <c r="I14" s="35">
        <f t="shared" si="1"/>
        <v>6.36</v>
      </c>
      <c r="J14" s="35">
        <f t="shared" si="2"/>
        <v>1.61385</v>
      </c>
    </row>
    <row r="15" spans="1:10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0.45750000000000002</v>
      </c>
      <c r="D17" s="20">
        <f t="shared" si="0"/>
        <v>1144.43625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8">
        <v>0.46789999999999998</v>
      </c>
      <c r="I18" s="35">
        <f t="shared" si="1"/>
        <v>187.16</v>
      </c>
      <c r="J18" s="35">
        <f t="shared" si="2"/>
        <v>47.491849999999999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0.13919999999999999</v>
      </c>
      <c r="D21" s="20">
        <f t="shared" si="0"/>
        <v>348.2088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0.1394</v>
      </c>
      <c r="I22" s="35">
        <f t="shared" si="1"/>
        <v>55.76</v>
      </c>
      <c r="J22" s="35">
        <f t="shared" si="2"/>
        <v>14.149099999999999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>
        <v>0.01</v>
      </c>
      <c r="D25" s="20">
        <f t="shared" si="0"/>
        <v>25.015000000000001</v>
      </c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4.2200000000000001E-2</v>
      </c>
      <c r="D26" s="20">
        <f t="shared" si="0"/>
        <v>105.5633</v>
      </c>
      <c r="E26" s="92"/>
      <c r="F26" s="27" t="s">
        <v>16</v>
      </c>
      <c r="G26" s="24"/>
      <c r="H26" s="38">
        <v>0.01</v>
      </c>
      <c r="I26" s="35">
        <f t="shared" si="1"/>
        <v>4</v>
      </c>
      <c r="J26" s="35">
        <f t="shared" si="2"/>
        <v>1.0150000000000001</v>
      </c>
    </row>
    <row r="27" spans="1:10" ht="15.75" x14ac:dyDescent="0.25">
      <c r="A27" s="27" t="s">
        <v>33</v>
      </c>
      <c r="B27" s="23"/>
      <c r="C27" s="31">
        <v>2.3999999999999998E-3</v>
      </c>
      <c r="D27" s="20">
        <f t="shared" si="0"/>
        <v>6.0035999999999996</v>
      </c>
      <c r="E27" s="92"/>
      <c r="F27" s="27" t="s">
        <v>32</v>
      </c>
      <c r="G27" s="24"/>
      <c r="H27" s="38">
        <v>4.2200000000000001E-2</v>
      </c>
      <c r="I27" s="35">
        <f t="shared" si="1"/>
        <v>16.88</v>
      </c>
      <c r="J27" s="35">
        <f t="shared" si="2"/>
        <v>4.2833000000000006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2.3999999999999998E-3</v>
      </c>
      <c r="I28" s="35">
        <f t="shared" si="1"/>
        <v>0.96</v>
      </c>
      <c r="J28" s="35">
        <f t="shared" si="2"/>
        <v>0.24359999999999998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2501.5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101.5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103">
        <f>+C43+5/1440</f>
        <v>0.43055555555555558</v>
      </c>
      <c r="F37" s="104"/>
      <c r="G37" s="12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103">
        <f>+G37+5/1440</f>
        <v>0.44444444444444448</v>
      </c>
      <c r="F38" s="104"/>
      <c r="G38" s="12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103">
        <f t="shared" ref="E39:E43" si="5">+G38+5/1440</f>
        <v>0.45833333333333337</v>
      </c>
      <c r="F39" s="104"/>
      <c r="G39" s="12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103">
        <f t="shared" si="5"/>
        <v>0.47222222222222227</v>
      </c>
      <c r="F40" s="104"/>
      <c r="G40" s="12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103">
        <f t="shared" si="5"/>
        <v>0.48611111111111116</v>
      </c>
      <c r="F41" s="104"/>
      <c r="G41" s="12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103">
        <f t="shared" si="5"/>
        <v>0.50000000000000011</v>
      </c>
      <c r="F42" s="104"/>
      <c r="G42" s="12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ht="15.75" thickBot="1" x14ac:dyDescent="0.3">
      <c r="H46" s="36"/>
      <c r="I46" s="37"/>
      <c r="J46" s="37"/>
    </row>
    <row r="47" spans="1:13" x14ac:dyDescent="0.25">
      <c r="A47" s="94" t="s">
        <v>20</v>
      </c>
      <c r="B47" s="95"/>
      <c r="C47" s="95"/>
      <c r="D47" s="96"/>
      <c r="E47" s="95" t="s">
        <v>21</v>
      </c>
      <c r="F47" s="95"/>
      <c r="G47" s="95"/>
      <c r="H47" s="95"/>
      <c r="I47" s="95"/>
      <c r="J47" s="96"/>
    </row>
    <row r="48" spans="1:13" ht="15.75" thickBot="1" x14ac:dyDescent="0.3">
      <c r="A48" s="97"/>
      <c r="B48" s="98"/>
      <c r="C48" s="98"/>
      <c r="D48" s="99"/>
      <c r="E48" s="98"/>
      <c r="F48" s="98"/>
      <c r="G48" s="98"/>
      <c r="H48" s="98"/>
      <c r="I48" s="98"/>
      <c r="J48" s="99"/>
    </row>
    <row r="49" spans="1:10" ht="18.75" x14ac:dyDescent="0.25">
      <c r="A49" s="87" t="s">
        <v>0</v>
      </c>
      <c r="B49" s="87"/>
      <c r="C49" s="42" t="s">
        <v>52</v>
      </c>
      <c r="D49" s="42"/>
      <c r="E49" s="42"/>
      <c r="F49" s="42"/>
      <c r="G49" s="42"/>
      <c r="H49" s="1" t="s">
        <v>1</v>
      </c>
      <c r="I49" s="101">
        <v>45574</v>
      </c>
      <c r="J49" s="102"/>
    </row>
    <row r="50" spans="1:10" ht="37.5" customHeight="1" x14ac:dyDescent="0.25">
      <c r="A50" s="87" t="s">
        <v>2</v>
      </c>
      <c r="B50" s="87"/>
      <c r="C50" s="88" t="s">
        <v>53</v>
      </c>
      <c r="D50" s="88"/>
      <c r="E50" s="88"/>
      <c r="F50" s="88"/>
      <c r="G50" s="88"/>
      <c r="H50" s="1" t="s">
        <v>3</v>
      </c>
      <c r="I50" s="89" t="s">
        <v>37</v>
      </c>
      <c r="J50" s="89"/>
    </row>
    <row r="51" spans="1:10" x14ac:dyDescent="0.25">
      <c r="A51" s="2"/>
      <c r="B51" s="2"/>
      <c r="C51" s="2"/>
      <c r="D51" s="2"/>
      <c r="E51" s="2"/>
      <c r="F51" s="2"/>
      <c r="G51" s="2"/>
      <c r="I51" s="90" t="s">
        <v>15</v>
      </c>
      <c r="J51" s="90"/>
    </row>
    <row r="52" spans="1:10" ht="18.75" x14ac:dyDescent="0.3">
      <c r="A52" s="91" t="s">
        <v>4</v>
      </c>
      <c r="B52" s="91"/>
      <c r="C52" s="3" t="s">
        <v>5</v>
      </c>
      <c r="D52" s="14" t="s">
        <v>6</v>
      </c>
      <c r="E52" s="92" t="s">
        <v>7</v>
      </c>
      <c r="F52" s="4">
        <f>ROUNDDOWN(D78/400,0)</f>
        <v>5</v>
      </c>
      <c r="G52" s="5" t="s">
        <v>8</v>
      </c>
      <c r="H52" s="6">
        <f>D78-(F52*400)</f>
        <v>25.559999999999945</v>
      </c>
      <c r="I52" s="7" t="s">
        <v>9</v>
      </c>
    </row>
    <row r="53" spans="1:10" ht="15.75" x14ac:dyDescent="0.25">
      <c r="A53" s="26" t="s">
        <v>23</v>
      </c>
      <c r="B53" s="29"/>
      <c r="C53" s="39"/>
      <c r="D53" s="20"/>
      <c r="E53" s="92"/>
      <c r="F53" s="91" t="s">
        <v>4</v>
      </c>
      <c r="G53" s="91"/>
      <c r="H53" s="3" t="s">
        <v>5</v>
      </c>
      <c r="I53" s="14" t="s">
        <v>6</v>
      </c>
      <c r="J53" s="14" t="s">
        <v>6</v>
      </c>
    </row>
    <row r="54" spans="1:10" ht="15.75" x14ac:dyDescent="0.25">
      <c r="A54" s="26" t="s">
        <v>42</v>
      </c>
      <c r="B54" s="29"/>
      <c r="C54" s="31"/>
      <c r="D54" s="20"/>
      <c r="E54" s="92"/>
      <c r="F54" s="26" t="s">
        <v>23</v>
      </c>
      <c r="G54" s="33"/>
      <c r="H54" s="38"/>
      <c r="I54" s="35"/>
      <c r="J54" s="35"/>
    </row>
    <row r="55" spans="1:10" ht="15.75" x14ac:dyDescent="0.25">
      <c r="A55" s="27" t="s">
        <v>24</v>
      </c>
      <c r="B55" s="29"/>
      <c r="C55" s="31"/>
      <c r="D55" s="20"/>
      <c r="E55" s="92"/>
      <c r="F55" s="26" t="s">
        <v>42</v>
      </c>
      <c r="G55" s="33"/>
      <c r="H55" s="38"/>
      <c r="I55" s="35"/>
      <c r="J55" s="35"/>
    </row>
    <row r="56" spans="1:10" ht="15.75" x14ac:dyDescent="0.25">
      <c r="A56" s="27" t="s">
        <v>25</v>
      </c>
      <c r="B56" s="29"/>
      <c r="C56" s="31">
        <v>0.18559999999999999</v>
      </c>
      <c r="D56" s="20">
        <f>C56*$D$32</f>
        <v>464.27839999999998</v>
      </c>
      <c r="E56" s="92"/>
      <c r="F56" s="27" t="s">
        <v>24</v>
      </c>
      <c r="G56" s="33"/>
      <c r="H56" s="38"/>
      <c r="I56" s="35"/>
      <c r="J56" s="35"/>
    </row>
    <row r="57" spans="1:10" ht="15.75" x14ac:dyDescent="0.25">
      <c r="A57" s="27" t="s">
        <v>47</v>
      </c>
      <c r="B57" s="29"/>
      <c r="C57" s="31">
        <v>0.20219999999999999</v>
      </c>
      <c r="D57" s="20">
        <f t="shared" ref="D57:D75" si="11">C57*$D$32</f>
        <v>505.80329999999998</v>
      </c>
      <c r="E57" s="92"/>
      <c r="F57" s="27" t="s">
        <v>25</v>
      </c>
      <c r="G57" s="33"/>
      <c r="H57" s="38">
        <v>4.4900000000000002E-2</v>
      </c>
      <c r="I57" s="35">
        <f t="shared" ref="I57:I74" si="12">H57*$I$33</f>
        <v>17.96</v>
      </c>
      <c r="J57" s="35">
        <f t="shared" ref="J57:J74" si="13">H57*$J$33</f>
        <v>4.5573500000000005</v>
      </c>
    </row>
    <row r="58" spans="1:10" ht="15.75" x14ac:dyDescent="0.25">
      <c r="A58" s="27" t="s">
        <v>46</v>
      </c>
      <c r="B58" s="29"/>
      <c r="C58" s="31"/>
      <c r="D58" s="20"/>
      <c r="E58" s="92"/>
      <c r="F58" s="27" t="s">
        <v>47</v>
      </c>
      <c r="G58" s="33"/>
      <c r="H58" s="38">
        <v>0.15790000000000001</v>
      </c>
      <c r="I58" s="35">
        <f t="shared" si="12"/>
        <v>63.160000000000004</v>
      </c>
      <c r="J58" s="35">
        <f t="shared" si="13"/>
        <v>16.02685</v>
      </c>
    </row>
    <row r="59" spans="1:10" ht="15.75" x14ac:dyDescent="0.25">
      <c r="A59" s="27" t="s">
        <v>26</v>
      </c>
      <c r="B59" s="29"/>
      <c r="C59" s="31">
        <v>7.0499999999999993E-2</v>
      </c>
      <c r="D59" s="20">
        <f t="shared" si="11"/>
        <v>176.35574999999997</v>
      </c>
      <c r="E59" s="92"/>
      <c r="F59" s="27" t="s">
        <v>46</v>
      </c>
      <c r="G59" s="33"/>
      <c r="H59" s="38"/>
      <c r="I59" s="35"/>
      <c r="J59" s="35"/>
    </row>
    <row r="60" spans="1:10" ht="15.75" x14ac:dyDescent="0.25">
      <c r="A60" s="27" t="s">
        <v>43</v>
      </c>
      <c r="B60" s="29"/>
      <c r="C60" s="31"/>
      <c r="D60" s="20"/>
      <c r="E60" s="92"/>
      <c r="F60" s="27" t="s">
        <v>26</v>
      </c>
      <c r="G60" s="33"/>
      <c r="H60" s="38">
        <v>0.1386</v>
      </c>
      <c r="I60" s="35">
        <f t="shared" si="12"/>
        <v>55.44</v>
      </c>
      <c r="J60" s="35">
        <f t="shared" si="13"/>
        <v>14.0679</v>
      </c>
    </row>
    <row r="61" spans="1:10" ht="15.75" x14ac:dyDescent="0.25">
      <c r="A61" s="27" t="s">
        <v>19</v>
      </c>
      <c r="B61" s="29"/>
      <c r="C61" s="31">
        <v>0.1057</v>
      </c>
      <c r="D61" s="20">
        <f t="shared" si="11"/>
        <v>264.40854999999999</v>
      </c>
      <c r="E61" s="92"/>
      <c r="F61" s="27" t="s">
        <v>43</v>
      </c>
      <c r="G61" s="33"/>
      <c r="H61" s="38"/>
      <c r="I61" s="35"/>
      <c r="J61" s="35"/>
    </row>
    <row r="62" spans="1:10" ht="15.75" x14ac:dyDescent="0.25">
      <c r="A62" s="27" t="s">
        <v>27</v>
      </c>
      <c r="B62" s="29"/>
      <c r="C62" s="31"/>
      <c r="D62" s="20"/>
      <c r="E62" s="92"/>
      <c r="F62" s="27" t="s">
        <v>19</v>
      </c>
      <c r="G62" s="33"/>
      <c r="H62" s="38">
        <v>5.2600000000000001E-2</v>
      </c>
      <c r="I62" s="35">
        <f t="shared" si="12"/>
        <v>21.04</v>
      </c>
      <c r="J62" s="35">
        <f t="shared" si="13"/>
        <v>5.3388999999999998</v>
      </c>
    </row>
    <row r="63" spans="1:10" ht="15.75" x14ac:dyDescent="0.25">
      <c r="A63" s="27" t="s">
        <v>44</v>
      </c>
      <c r="B63" s="29"/>
      <c r="C63" s="31">
        <v>9.69E-2</v>
      </c>
      <c r="D63" s="20">
        <f t="shared" si="11"/>
        <v>242.39535000000001</v>
      </c>
      <c r="E63" s="92"/>
      <c r="F63" s="27" t="s">
        <v>27</v>
      </c>
      <c r="G63" s="33"/>
      <c r="H63" s="38"/>
      <c r="I63" s="35"/>
      <c r="J63" s="35"/>
    </row>
    <row r="64" spans="1:10" ht="15.75" x14ac:dyDescent="0.25">
      <c r="A64" s="27" t="s">
        <v>28</v>
      </c>
      <c r="B64" s="29"/>
      <c r="C64" s="31">
        <v>0.12330000000000001</v>
      </c>
      <c r="D64" s="20">
        <f t="shared" si="11"/>
        <v>308.43495000000001</v>
      </c>
      <c r="E64" s="92"/>
      <c r="F64" s="27" t="s">
        <v>44</v>
      </c>
      <c r="G64" s="33"/>
      <c r="H64" s="38">
        <v>0.31580000000000003</v>
      </c>
      <c r="I64" s="35">
        <f t="shared" si="12"/>
        <v>126.32000000000001</v>
      </c>
      <c r="J64" s="35">
        <f t="shared" si="13"/>
        <v>32.053699999999999</v>
      </c>
    </row>
    <row r="65" spans="1:10" ht="15.75" x14ac:dyDescent="0.25">
      <c r="A65" s="27" t="s">
        <v>45</v>
      </c>
      <c r="B65" s="29"/>
      <c r="C65" s="31"/>
      <c r="D65" s="20"/>
      <c r="E65" s="92"/>
      <c r="F65" s="27" t="s">
        <v>28</v>
      </c>
      <c r="G65" s="33"/>
      <c r="H65" s="38">
        <v>0.1807</v>
      </c>
      <c r="I65" s="35">
        <f t="shared" si="12"/>
        <v>72.28</v>
      </c>
      <c r="J65" s="35">
        <f t="shared" si="13"/>
        <v>18.341049999999999</v>
      </c>
    </row>
    <row r="66" spans="1:10" ht="15.75" x14ac:dyDescent="0.25">
      <c r="A66" s="27" t="s">
        <v>10</v>
      </c>
      <c r="B66" s="29"/>
      <c r="C66" s="31">
        <v>5.2900000000000003E-2</v>
      </c>
      <c r="D66" s="20">
        <f t="shared" si="11"/>
        <v>132.32935000000001</v>
      </c>
      <c r="E66" s="92"/>
      <c r="F66" s="27" t="s">
        <v>45</v>
      </c>
      <c r="G66" s="33"/>
      <c r="H66" s="38"/>
      <c r="I66" s="35"/>
      <c r="J66" s="35"/>
    </row>
    <row r="67" spans="1:10" ht="15.75" x14ac:dyDescent="0.25">
      <c r="A67" s="27" t="s">
        <v>29</v>
      </c>
      <c r="B67" s="29"/>
      <c r="C67" s="31">
        <v>7.0499999999999993E-2</v>
      </c>
      <c r="D67" s="20">
        <f t="shared" si="11"/>
        <v>176.35574999999997</v>
      </c>
      <c r="E67" s="92"/>
      <c r="F67" s="27" t="s">
        <v>10</v>
      </c>
      <c r="G67" s="33"/>
      <c r="H67" s="38"/>
      <c r="I67" s="35"/>
      <c r="J67" s="35"/>
    </row>
    <row r="68" spans="1:10" ht="15.75" x14ac:dyDescent="0.25">
      <c r="A68" s="27" t="s">
        <v>17</v>
      </c>
      <c r="B68" s="29"/>
      <c r="C68" s="31"/>
      <c r="D68" s="20"/>
      <c r="E68" s="92"/>
      <c r="F68" s="27" t="s">
        <v>29</v>
      </c>
      <c r="G68" s="33"/>
      <c r="H68" s="38">
        <v>7.0199999999999999E-2</v>
      </c>
      <c r="I68" s="35">
        <f t="shared" si="12"/>
        <v>28.08</v>
      </c>
      <c r="J68" s="35">
        <f t="shared" si="13"/>
        <v>7.1253000000000002</v>
      </c>
    </row>
    <row r="69" spans="1:10" ht="15.75" x14ac:dyDescent="0.25">
      <c r="A69" s="27" t="s">
        <v>30</v>
      </c>
      <c r="B69" s="29"/>
      <c r="C69" s="31"/>
      <c r="D69" s="20"/>
      <c r="E69" s="92"/>
      <c r="F69" s="27" t="s">
        <v>17</v>
      </c>
      <c r="G69" s="33"/>
      <c r="H69" s="38"/>
      <c r="I69" s="35"/>
      <c r="J69" s="35"/>
    </row>
    <row r="70" spans="1:10" ht="15.75" x14ac:dyDescent="0.25">
      <c r="A70" s="27" t="s">
        <v>31</v>
      </c>
      <c r="B70" s="29"/>
      <c r="C70" s="31"/>
      <c r="D70" s="20"/>
      <c r="E70" s="92"/>
      <c r="F70" s="27" t="s">
        <v>30</v>
      </c>
      <c r="G70" s="33"/>
      <c r="H70" s="38"/>
      <c r="I70" s="35"/>
      <c r="J70" s="35"/>
    </row>
    <row r="71" spans="1:10" ht="15.75" x14ac:dyDescent="0.25">
      <c r="A71" s="27" t="s">
        <v>16</v>
      </c>
      <c r="B71" s="29"/>
      <c r="C71" s="31"/>
      <c r="D71" s="20"/>
      <c r="E71" s="92"/>
      <c r="F71" s="27" t="s">
        <v>31</v>
      </c>
      <c r="G71" s="33"/>
      <c r="H71" s="38"/>
      <c r="I71" s="35"/>
      <c r="J71" s="35"/>
    </row>
    <row r="72" spans="1:10" ht="15.75" x14ac:dyDescent="0.25">
      <c r="A72" s="27" t="s">
        <v>32</v>
      </c>
      <c r="B72" s="23"/>
      <c r="C72" s="31">
        <v>3.7400000000000003E-2</v>
      </c>
      <c r="D72" s="20">
        <f t="shared" si="11"/>
        <v>93.556100000000001</v>
      </c>
      <c r="E72" s="92"/>
      <c r="F72" s="27" t="s">
        <v>16</v>
      </c>
      <c r="G72" s="24"/>
      <c r="H72" s="38"/>
      <c r="I72" s="35"/>
      <c r="J72" s="35"/>
    </row>
    <row r="73" spans="1:10" ht="15.75" x14ac:dyDescent="0.25">
      <c r="A73" s="27" t="s">
        <v>33</v>
      </c>
      <c r="B73" s="23"/>
      <c r="C73" s="31">
        <v>2.0999999999999999E-3</v>
      </c>
      <c r="D73" s="20">
        <f t="shared" si="11"/>
        <v>5.2531499999999998</v>
      </c>
      <c r="E73" s="92"/>
      <c r="F73" s="27" t="s">
        <v>32</v>
      </c>
      <c r="G73" s="24"/>
      <c r="H73" s="38">
        <v>3.7199999999999997E-2</v>
      </c>
      <c r="I73" s="35">
        <f t="shared" si="12"/>
        <v>14.879999999999999</v>
      </c>
      <c r="J73" s="35">
        <f t="shared" si="13"/>
        <v>3.7757999999999998</v>
      </c>
    </row>
    <row r="74" spans="1:10" ht="15.75" x14ac:dyDescent="0.25">
      <c r="A74" s="27" t="s">
        <v>34</v>
      </c>
      <c r="B74" s="23"/>
      <c r="C74" s="31"/>
      <c r="D74" s="20"/>
      <c r="E74" s="92"/>
      <c r="F74" s="27" t="s">
        <v>33</v>
      </c>
      <c r="G74" s="24"/>
      <c r="H74" s="38">
        <v>2.0999999999999999E-3</v>
      </c>
      <c r="I74" s="35">
        <f t="shared" si="12"/>
        <v>0.84</v>
      </c>
      <c r="J74" s="35">
        <f t="shared" si="13"/>
        <v>0.21314999999999998</v>
      </c>
    </row>
    <row r="75" spans="1:10" ht="15.75" x14ac:dyDescent="0.25">
      <c r="A75" s="27" t="s">
        <v>22</v>
      </c>
      <c r="B75" s="23"/>
      <c r="C75" s="31">
        <v>5.2900000000000003E-2</v>
      </c>
      <c r="D75" s="20">
        <f t="shared" si="11"/>
        <v>132.32935000000001</v>
      </c>
      <c r="E75" s="92"/>
      <c r="F75" s="27" t="s">
        <v>34</v>
      </c>
      <c r="G75" s="24"/>
      <c r="H75" s="38"/>
      <c r="I75" s="35"/>
      <c r="J75" s="35"/>
    </row>
    <row r="76" spans="1:10" ht="15.75" x14ac:dyDescent="0.25">
      <c r="A76" s="27" t="s">
        <v>35</v>
      </c>
      <c r="B76" s="29"/>
      <c r="C76" s="31"/>
      <c r="D76" s="20"/>
      <c r="E76" s="92"/>
      <c r="F76" s="27" t="s">
        <v>22</v>
      </c>
      <c r="G76" s="33"/>
      <c r="H76" s="38"/>
      <c r="I76" s="35"/>
      <c r="J76" s="35"/>
    </row>
    <row r="77" spans="1:10" ht="16.5" thickBot="1" x14ac:dyDescent="0.3">
      <c r="A77" s="28" t="s">
        <v>36</v>
      </c>
      <c r="B77" s="29"/>
      <c r="C77" s="32"/>
      <c r="D77" s="20"/>
      <c r="E77" s="92"/>
      <c r="F77" s="27" t="s">
        <v>35</v>
      </c>
      <c r="G77" s="33"/>
      <c r="H77" s="38"/>
      <c r="I77" s="35"/>
      <c r="J77" s="35"/>
    </row>
    <row r="78" spans="1:10" ht="16.5" thickBot="1" x14ac:dyDescent="0.3">
      <c r="A78" s="93" t="s">
        <v>11</v>
      </c>
      <c r="B78" s="93"/>
      <c r="C78" s="8">
        <f>SUM(C53:C77)</f>
        <v>1</v>
      </c>
      <c r="D78" s="15">
        <v>2025.56</v>
      </c>
      <c r="E78" s="92"/>
      <c r="F78" s="28" t="s">
        <v>36</v>
      </c>
      <c r="G78" s="34"/>
      <c r="H78" s="38"/>
      <c r="I78" s="35"/>
      <c r="J78" s="35"/>
    </row>
    <row r="79" spans="1:10" x14ac:dyDescent="0.25">
      <c r="A79" s="2"/>
      <c r="B79" s="2"/>
      <c r="C79" s="2"/>
      <c r="D79" s="2"/>
      <c r="E79" s="2"/>
      <c r="F79" s="81" t="s">
        <v>11</v>
      </c>
      <c r="G79" s="81"/>
      <c r="H79" s="17">
        <f>SUM(H54:H78)</f>
        <v>1</v>
      </c>
      <c r="I79" s="13">
        <v>400</v>
      </c>
      <c r="J79" s="13">
        <f>+H52</f>
        <v>25.559999999999945</v>
      </c>
    </row>
    <row r="80" spans="1:10" ht="23.25" x14ac:dyDescent="0.35">
      <c r="A80" s="82"/>
      <c r="B80" s="83"/>
      <c r="C80" s="2"/>
      <c r="D80" s="2"/>
      <c r="E80" s="2"/>
      <c r="F80" s="18"/>
      <c r="G80" s="18"/>
      <c r="H80" s="19"/>
      <c r="I80" s="18"/>
      <c r="J80" s="18"/>
    </row>
    <row r="81" spans="1:13" x14ac:dyDescent="0.25">
      <c r="A81" s="84" t="s">
        <v>18</v>
      </c>
      <c r="B81" s="84"/>
      <c r="C81" s="84"/>
      <c r="D81" s="84"/>
      <c r="E81" s="2"/>
      <c r="F81" s="2"/>
      <c r="G81" s="2"/>
    </row>
    <row r="82" spans="1:13" x14ac:dyDescent="0.25">
      <c r="A82" s="9" t="s">
        <v>12</v>
      </c>
      <c r="B82" s="9" t="s">
        <v>13</v>
      </c>
      <c r="C82" s="9" t="s">
        <v>14</v>
      </c>
      <c r="D82" s="10" t="s">
        <v>12</v>
      </c>
      <c r="E82" s="85" t="s">
        <v>13</v>
      </c>
      <c r="F82" s="86"/>
      <c r="G82" s="10" t="s">
        <v>14</v>
      </c>
      <c r="H82" s="9" t="s">
        <v>12</v>
      </c>
      <c r="I82" s="10" t="s">
        <v>13</v>
      </c>
      <c r="J82" s="10" t="s">
        <v>14</v>
      </c>
      <c r="K82" s="9" t="s">
        <v>12</v>
      </c>
      <c r="L82" s="10" t="s">
        <v>13</v>
      </c>
      <c r="M82" s="10" t="s">
        <v>14</v>
      </c>
    </row>
    <row r="83" spans="1:13" x14ac:dyDescent="0.25">
      <c r="A83" s="11">
        <v>1</v>
      </c>
      <c r="B83" s="16">
        <v>0.33333333333333331</v>
      </c>
      <c r="C83" s="16">
        <f>+B83+15/1440</f>
        <v>0.34375</v>
      </c>
      <c r="D83" s="11">
        <v>8</v>
      </c>
      <c r="E83" s="103">
        <f>+C89+5/1440</f>
        <v>0.43055555555555558</v>
      </c>
      <c r="F83" s="104"/>
      <c r="G83" s="58">
        <f>+E83+15/1440</f>
        <v>0.44097222222222227</v>
      </c>
      <c r="H83" s="11"/>
      <c r="I83" s="12">
        <f>G89+5/1440</f>
        <v>0.52777777777777779</v>
      </c>
      <c r="J83" s="12">
        <f>I83+15/1440</f>
        <v>0.53819444444444442</v>
      </c>
      <c r="K83" s="11">
        <v>19</v>
      </c>
      <c r="L83" s="12">
        <f>J89+5/1440</f>
        <v>0.62499999999999967</v>
      </c>
      <c r="M83" s="12">
        <f>L83+15/1440</f>
        <v>0.6354166666666663</v>
      </c>
    </row>
    <row r="84" spans="1:13" x14ac:dyDescent="0.25">
      <c r="A84" s="11">
        <v>2</v>
      </c>
      <c r="B84" s="16">
        <f t="shared" ref="B84:B89" si="14">+C83+5/1440</f>
        <v>0.34722222222222221</v>
      </c>
      <c r="C84" s="16">
        <f>+B84+15/1440</f>
        <v>0.3576388888888889</v>
      </c>
      <c r="D84" s="11">
        <v>9</v>
      </c>
      <c r="E84" s="103">
        <f>+G83+5/1440</f>
        <v>0.44444444444444448</v>
      </c>
      <c r="F84" s="104"/>
      <c r="G84" s="12">
        <f>+E84+15/1440</f>
        <v>0.45486111111111116</v>
      </c>
      <c r="H84" s="11"/>
      <c r="I84" s="12">
        <f>J83+5/1440</f>
        <v>0.54166666666666663</v>
      </c>
      <c r="J84" s="12">
        <f>I84+15/1440</f>
        <v>0.55208333333333326</v>
      </c>
      <c r="K84" s="11">
        <v>20</v>
      </c>
      <c r="L84" s="12">
        <f>M83+5/1440</f>
        <v>0.63888888888888851</v>
      </c>
      <c r="M84" s="12">
        <f>L84+15/1440</f>
        <v>0.64930555555555514</v>
      </c>
    </row>
    <row r="85" spans="1:13" x14ac:dyDescent="0.25">
      <c r="A85" s="11">
        <v>3</v>
      </c>
      <c r="B85" s="16">
        <f t="shared" si="14"/>
        <v>0.3611111111111111</v>
      </c>
      <c r="C85" s="16">
        <f t="shared" ref="C85:C89" si="15">+B85+15/1440</f>
        <v>0.37152777777777779</v>
      </c>
      <c r="D85" s="11">
        <v>10</v>
      </c>
      <c r="E85" s="103">
        <f t="shared" ref="E85:E89" si="16">+G84+5/1440</f>
        <v>0.45833333333333337</v>
      </c>
      <c r="F85" s="104"/>
      <c r="G85" s="12">
        <f t="shared" ref="G85:G89" si="17">+E85+15/1440</f>
        <v>0.46875000000000006</v>
      </c>
      <c r="H85" s="11">
        <v>14</v>
      </c>
      <c r="I85" s="12">
        <f t="shared" ref="I85:I89" si="18">J84+5/1440</f>
        <v>0.55555555555555547</v>
      </c>
      <c r="J85" s="12">
        <f t="shared" ref="J85:J89" si="19">I85+15/1440</f>
        <v>0.5659722222222221</v>
      </c>
      <c r="K85" s="11">
        <v>21</v>
      </c>
      <c r="L85" s="21">
        <f t="shared" ref="L85:L89" si="20">M84+5/1440</f>
        <v>0.65277777777777735</v>
      </c>
      <c r="M85" s="21">
        <f t="shared" ref="M85:M89" si="21">L85+15/1440</f>
        <v>0.66319444444444398</v>
      </c>
    </row>
    <row r="86" spans="1:13" x14ac:dyDescent="0.25">
      <c r="A86" s="11">
        <v>4</v>
      </c>
      <c r="B86" s="16">
        <f t="shared" si="14"/>
        <v>0.375</v>
      </c>
      <c r="C86" s="16">
        <f t="shared" si="15"/>
        <v>0.38541666666666669</v>
      </c>
      <c r="D86" s="11">
        <v>11</v>
      </c>
      <c r="E86" s="103">
        <f t="shared" si="16"/>
        <v>0.47222222222222227</v>
      </c>
      <c r="F86" s="104"/>
      <c r="G86" s="12">
        <f t="shared" si="17"/>
        <v>0.48263888888888895</v>
      </c>
      <c r="H86" s="11">
        <v>15</v>
      </c>
      <c r="I86" s="12">
        <f t="shared" si="18"/>
        <v>0.56944444444444431</v>
      </c>
      <c r="J86" s="12">
        <f t="shared" si="19"/>
        <v>0.57986111111111094</v>
      </c>
      <c r="K86" s="11">
        <v>22</v>
      </c>
      <c r="L86" s="21">
        <f t="shared" si="20"/>
        <v>0.66666666666666619</v>
      </c>
      <c r="M86" s="21">
        <f t="shared" si="21"/>
        <v>0.67708333333333282</v>
      </c>
    </row>
    <row r="87" spans="1:13" x14ac:dyDescent="0.25">
      <c r="A87" s="11">
        <v>5</v>
      </c>
      <c r="B87" s="16">
        <f t="shared" si="14"/>
        <v>0.3888888888888889</v>
      </c>
      <c r="C87" s="16">
        <f t="shared" si="15"/>
        <v>0.39930555555555558</v>
      </c>
      <c r="D87" s="11">
        <v>12</v>
      </c>
      <c r="E87" s="103">
        <f t="shared" si="16"/>
        <v>0.48611111111111116</v>
      </c>
      <c r="F87" s="104"/>
      <c r="G87" s="12">
        <f t="shared" si="17"/>
        <v>0.49652777777777785</v>
      </c>
      <c r="H87" s="11">
        <v>16</v>
      </c>
      <c r="I87" s="12">
        <f t="shared" si="18"/>
        <v>0.58333333333333315</v>
      </c>
      <c r="J87" s="12">
        <f t="shared" si="19"/>
        <v>0.59374999999999978</v>
      </c>
      <c r="K87" s="11">
        <v>23</v>
      </c>
      <c r="L87" s="21">
        <f t="shared" si="20"/>
        <v>0.68055555555555503</v>
      </c>
      <c r="M87" s="21">
        <f t="shared" si="21"/>
        <v>0.69097222222222165</v>
      </c>
    </row>
    <row r="88" spans="1:13" x14ac:dyDescent="0.25">
      <c r="A88" s="11">
        <v>6</v>
      </c>
      <c r="B88" s="16">
        <f t="shared" si="14"/>
        <v>0.40277777777777779</v>
      </c>
      <c r="C88" s="16">
        <f t="shared" si="15"/>
        <v>0.41319444444444448</v>
      </c>
      <c r="D88" s="11">
        <v>13</v>
      </c>
      <c r="E88" s="103">
        <f t="shared" si="16"/>
        <v>0.50000000000000011</v>
      </c>
      <c r="F88" s="104"/>
      <c r="G88" s="12">
        <f t="shared" si="17"/>
        <v>0.51041666666666674</v>
      </c>
      <c r="H88" s="11">
        <v>17</v>
      </c>
      <c r="I88" s="12">
        <f t="shared" si="18"/>
        <v>0.59722222222222199</v>
      </c>
      <c r="J88" s="12">
        <f t="shared" si="19"/>
        <v>0.60763888888888862</v>
      </c>
      <c r="K88" s="11">
        <v>24</v>
      </c>
      <c r="L88" s="21">
        <f t="shared" si="20"/>
        <v>0.69444444444444386</v>
      </c>
      <c r="M88" s="21">
        <f t="shared" si="21"/>
        <v>0.70486111111111049</v>
      </c>
    </row>
    <row r="89" spans="1:13" x14ac:dyDescent="0.25">
      <c r="A89" s="11">
        <v>7</v>
      </c>
      <c r="B89" s="12">
        <f t="shared" si="14"/>
        <v>0.41666666666666669</v>
      </c>
      <c r="C89" s="12">
        <f t="shared" si="15"/>
        <v>0.42708333333333337</v>
      </c>
      <c r="D89" s="11"/>
      <c r="E89" s="77">
        <f t="shared" si="16"/>
        <v>0.51388888888888895</v>
      </c>
      <c r="F89" s="78"/>
      <c r="G89" s="21">
        <f t="shared" si="17"/>
        <v>0.52430555555555558</v>
      </c>
      <c r="H89" s="11">
        <v>18</v>
      </c>
      <c r="I89" s="12">
        <f t="shared" si="18"/>
        <v>0.61111111111111083</v>
      </c>
      <c r="J89" s="12">
        <f t="shared" si="19"/>
        <v>0.62152777777777746</v>
      </c>
      <c r="K89" s="11">
        <v>25</v>
      </c>
      <c r="L89" s="21">
        <f t="shared" si="20"/>
        <v>0.7083333333333327</v>
      </c>
      <c r="M89" s="21">
        <f t="shared" si="21"/>
        <v>0.71874999999999933</v>
      </c>
    </row>
    <row r="90" spans="1:13" x14ac:dyDescent="0.25">
      <c r="H90" s="36"/>
      <c r="I90" s="37"/>
      <c r="J90" s="37"/>
    </row>
    <row r="91" spans="1:13" x14ac:dyDescent="0.25">
      <c r="H91" s="36"/>
      <c r="I91" s="37"/>
      <c r="J91" s="37"/>
    </row>
    <row r="92" spans="1:13" ht="15.75" thickBot="1" x14ac:dyDescent="0.3"/>
    <row r="93" spans="1:13" x14ac:dyDescent="0.25">
      <c r="A93" s="94" t="s">
        <v>20</v>
      </c>
      <c r="B93" s="95"/>
      <c r="C93" s="95"/>
      <c r="D93" s="96"/>
      <c r="E93" s="95" t="s">
        <v>21</v>
      </c>
      <c r="F93" s="95"/>
      <c r="G93" s="95"/>
      <c r="H93" s="95"/>
      <c r="I93" s="95"/>
      <c r="J93" s="96"/>
    </row>
    <row r="94" spans="1:13" ht="15.75" thickBot="1" x14ac:dyDescent="0.3">
      <c r="A94" s="97"/>
      <c r="B94" s="98"/>
      <c r="C94" s="98"/>
      <c r="D94" s="99"/>
      <c r="E94" s="98"/>
      <c r="F94" s="98"/>
      <c r="G94" s="98"/>
      <c r="H94" s="98"/>
      <c r="I94" s="98"/>
      <c r="J94" s="99"/>
    </row>
    <row r="95" spans="1:13" ht="18.75" x14ac:dyDescent="0.25">
      <c r="A95" s="87" t="s">
        <v>0</v>
      </c>
      <c r="B95" s="87"/>
      <c r="C95" s="100" t="s">
        <v>55</v>
      </c>
      <c r="D95" s="100"/>
      <c r="E95" s="100"/>
      <c r="F95" s="100"/>
      <c r="G95" s="100"/>
      <c r="H95" s="1" t="s">
        <v>1</v>
      </c>
      <c r="I95" s="101">
        <v>45574</v>
      </c>
      <c r="J95" s="102"/>
    </row>
    <row r="96" spans="1:13" ht="30" customHeight="1" x14ac:dyDescent="0.25">
      <c r="A96" s="87" t="s">
        <v>2</v>
      </c>
      <c r="B96" s="87"/>
      <c r="C96" s="88" t="s">
        <v>48</v>
      </c>
      <c r="D96" s="88"/>
      <c r="E96" s="88"/>
      <c r="F96" s="88"/>
      <c r="G96" s="88"/>
      <c r="H96" s="1" t="s">
        <v>3</v>
      </c>
      <c r="I96" s="89" t="s">
        <v>41</v>
      </c>
      <c r="J96" s="89"/>
    </row>
    <row r="97" spans="1:10" x14ac:dyDescent="0.25">
      <c r="A97" s="2"/>
      <c r="B97" s="2"/>
      <c r="C97" s="2"/>
      <c r="D97" s="2"/>
      <c r="E97" s="2"/>
      <c r="F97" s="2"/>
      <c r="G97" s="2"/>
      <c r="I97" s="90" t="s">
        <v>64</v>
      </c>
      <c r="J97" s="90"/>
    </row>
    <row r="98" spans="1:10" ht="18.75" x14ac:dyDescent="0.3">
      <c r="A98" s="91" t="s">
        <v>4</v>
      </c>
      <c r="B98" s="91"/>
      <c r="C98" s="3" t="s">
        <v>5</v>
      </c>
      <c r="D98" s="14" t="s">
        <v>6</v>
      </c>
      <c r="E98" s="92" t="s">
        <v>7</v>
      </c>
      <c r="F98" s="4">
        <f>ROUNDDOWN(D124/400,0)</f>
        <v>5</v>
      </c>
      <c r="G98" s="5" t="s">
        <v>8</v>
      </c>
      <c r="H98" s="6">
        <f>D124-(F98*400)</f>
        <v>270.27</v>
      </c>
      <c r="I98" s="7" t="s">
        <v>9</v>
      </c>
    </row>
    <row r="99" spans="1:10" ht="15.75" x14ac:dyDescent="0.25">
      <c r="A99" s="26" t="s">
        <v>23</v>
      </c>
      <c r="B99" s="29"/>
      <c r="C99" s="39"/>
      <c r="D99" s="20"/>
      <c r="E99" s="92"/>
      <c r="F99" s="91" t="s">
        <v>4</v>
      </c>
      <c r="G99" s="91"/>
      <c r="H99" s="3" t="s">
        <v>5</v>
      </c>
      <c r="I99" s="14" t="s">
        <v>6</v>
      </c>
      <c r="J99" s="14" t="s">
        <v>6</v>
      </c>
    </row>
    <row r="100" spans="1:10" ht="15.75" x14ac:dyDescent="0.25">
      <c r="A100" s="26" t="s">
        <v>42</v>
      </c>
      <c r="B100" s="29"/>
      <c r="C100" s="39"/>
      <c r="D100" s="20"/>
      <c r="E100" s="92"/>
      <c r="F100" s="26" t="s">
        <v>23</v>
      </c>
      <c r="G100" s="33"/>
      <c r="H100" s="38"/>
      <c r="I100" s="35"/>
      <c r="J100" s="35"/>
    </row>
    <row r="101" spans="1:10" ht="15.75" x14ac:dyDescent="0.25">
      <c r="A101" s="27" t="s">
        <v>24</v>
      </c>
      <c r="B101" s="29"/>
      <c r="C101" s="31"/>
      <c r="D101" s="20"/>
      <c r="E101" s="92"/>
      <c r="F101" s="26" t="s">
        <v>42</v>
      </c>
      <c r="G101" s="33"/>
      <c r="H101" s="38"/>
      <c r="I101" s="35"/>
      <c r="J101" s="35"/>
    </row>
    <row r="102" spans="1:10" ht="15.75" x14ac:dyDescent="0.25">
      <c r="A102" s="27" t="s">
        <v>25</v>
      </c>
      <c r="B102" s="29"/>
      <c r="C102" s="31">
        <v>0.11</v>
      </c>
      <c r="D102" s="20">
        <f>C102*$D$32</f>
        <v>275.16500000000002</v>
      </c>
      <c r="E102" s="92"/>
      <c r="F102" s="27" t="s">
        <v>24</v>
      </c>
      <c r="G102" s="33"/>
      <c r="H102" s="38"/>
      <c r="I102" s="35"/>
      <c r="J102" s="35"/>
    </row>
    <row r="103" spans="1:10" ht="15.75" x14ac:dyDescent="0.25">
      <c r="A103" s="27" t="s">
        <v>47</v>
      </c>
      <c r="B103" s="29"/>
      <c r="C103" s="31">
        <v>0.21879999999999999</v>
      </c>
      <c r="D103" s="20">
        <f t="shared" ref="D103:D119" si="22">C103*$D$32</f>
        <v>547.32820000000004</v>
      </c>
      <c r="E103" s="92"/>
      <c r="F103" s="27" t="s">
        <v>25</v>
      </c>
      <c r="G103" s="33"/>
      <c r="H103" s="38">
        <v>0.1032</v>
      </c>
      <c r="I103" s="35">
        <f t="shared" ref="I103:I120" si="23">H103*$I$33</f>
        <v>41.28</v>
      </c>
      <c r="J103" s="35">
        <f t="shared" ref="J103:J120" si="24">H103*$J$33</f>
        <v>10.4748</v>
      </c>
    </row>
    <row r="104" spans="1:10" ht="15.75" x14ac:dyDescent="0.25">
      <c r="A104" s="27" t="s">
        <v>46</v>
      </c>
      <c r="B104" s="29"/>
      <c r="C104" s="31"/>
      <c r="D104" s="20"/>
      <c r="E104" s="92"/>
      <c r="F104" s="27" t="s">
        <v>47</v>
      </c>
      <c r="G104" s="33"/>
      <c r="H104" s="38">
        <v>0.219</v>
      </c>
      <c r="I104" s="35">
        <f t="shared" si="23"/>
        <v>87.6</v>
      </c>
      <c r="J104" s="35">
        <f t="shared" si="24"/>
        <v>22.2285</v>
      </c>
    </row>
    <row r="105" spans="1:10" ht="15.75" x14ac:dyDescent="0.25">
      <c r="A105" s="27" t="s">
        <v>26</v>
      </c>
      <c r="B105" s="29"/>
      <c r="C105" s="31">
        <v>1.9900000000000001E-2</v>
      </c>
      <c r="D105" s="20">
        <f t="shared" si="22"/>
        <v>49.779850000000003</v>
      </c>
      <c r="E105" s="92"/>
      <c r="F105" s="27" t="s">
        <v>46</v>
      </c>
      <c r="G105" s="33"/>
      <c r="H105" s="38"/>
      <c r="I105" s="35"/>
      <c r="J105" s="35"/>
    </row>
    <row r="106" spans="1:10" ht="15.75" x14ac:dyDescent="0.25">
      <c r="A106" s="27" t="s">
        <v>43</v>
      </c>
      <c r="B106" s="29"/>
      <c r="C106" s="31"/>
      <c r="D106" s="20"/>
      <c r="E106" s="92"/>
      <c r="F106" s="27" t="s">
        <v>26</v>
      </c>
      <c r="G106" s="33"/>
      <c r="H106" s="38">
        <v>1.5900000000000001E-2</v>
      </c>
      <c r="I106" s="35">
        <f t="shared" si="23"/>
        <v>6.36</v>
      </c>
      <c r="J106" s="35">
        <f t="shared" si="24"/>
        <v>1.61385</v>
      </c>
    </row>
    <row r="107" spans="1:10" ht="15.75" x14ac:dyDescent="0.25">
      <c r="A107" s="27" t="s">
        <v>19</v>
      </c>
      <c r="B107" s="29"/>
      <c r="C107" s="31"/>
      <c r="D107" s="20"/>
      <c r="E107" s="92"/>
      <c r="F107" s="27" t="s">
        <v>43</v>
      </c>
      <c r="G107" s="33"/>
      <c r="H107" s="38"/>
      <c r="I107" s="35"/>
      <c r="J107" s="35"/>
    </row>
    <row r="108" spans="1:10" ht="15.75" x14ac:dyDescent="0.25">
      <c r="A108" s="27" t="s">
        <v>27</v>
      </c>
      <c r="B108" s="29"/>
      <c r="C108" s="31"/>
      <c r="D108" s="20"/>
      <c r="E108" s="92"/>
      <c r="F108" s="27" t="s">
        <v>19</v>
      </c>
      <c r="G108" s="33"/>
      <c r="H108" s="38"/>
      <c r="I108" s="35"/>
      <c r="J108" s="35"/>
    </row>
    <row r="109" spans="1:10" ht="15.75" x14ac:dyDescent="0.25">
      <c r="A109" s="27" t="s">
        <v>44</v>
      </c>
      <c r="B109" s="29"/>
      <c r="C109" s="31">
        <v>0.45750000000000002</v>
      </c>
      <c r="D109" s="20">
        <f t="shared" si="22"/>
        <v>1144.43625</v>
      </c>
      <c r="E109" s="92"/>
      <c r="F109" s="27" t="s">
        <v>27</v>
      </c>
      <c r="G109" s="33"/>
      <c r="H109" s="38"/>
      <c r="I109" s="35"/>
      <c r="J109" s="35"/>
    </row>
    <row r="110" spans="1:10" ht="15.75" x14ac:dyDescent="0.25">
      <c r="A110" s="27" t="s">
        <v>28</v>
      </c>
      <c r="B110" s="29"/>
      <c r="C110" s="31"/>
      <c r="D110" s="20"/>
      <c r="E110" s="92"/>
      <c r="F110" s="27" t="s">
        <v>44</v>
      </c>
      <c r="G110" s="33"/>
      <c r="H110" s="38">
        <v>0.46789999999999998</v>
      </c>
      <c r="I110" s="35">
        <f t="shared" si="23"/>
        <v>187.16</v>
      </c>
      <c r="J110" s="35">
        <f t="shared" si="24"/>
        <v>47.491849999999999</v>
      </c>
    </row>
    <row r="111" spans="1:10" ht="15.75" x14ac:dyDescent="0.25">
      <c r="A111" s="27" t="s">
        <v>45</v>
      </c>
      <c r="B111" s="29"/>
      <c r="C111" s="31"/>
      <c r="D111" s="20"/>
      <c r="E111" s="92"/>
      <c r="F111" s="27" t="s">
        <v>28</v>
      </c>
      <c r="G111" s="33"/>
      <c r="H111" s="38"/>
      <c r="I111" s="35"/>
      <c r="J111" s="35"/>
    </row>
    <row r="112" spans="1:10" ht="15.75" x14ac:dyDescent="0.25">
      <c r="A112" s="27" t="s">
        <v>10</v>
      </c>
      <c r="B112" s="29"/>
      <c r="C112" s="31"/>
      <c r="D112" s="20"/>
      <c r="E112" s="92"/>
      <c r="F112" s="27" t="s">
        <v>45</v>
      </c>
      <c r="G112" s="33"/>
      <c r="H112" s="38"/>
      <c r="I112" s="35"/>
      <c r="J112" s="35"/>
    </row>
    <row r="113" spans="1:13" ht="15.75" x14ac:dyDescent="0.25">
      <c r="A113" s="27" t="s">
        <v>29</v>
      </c>
      <c r="B113" s="29"/>
      <c r="C113" s="31">
        <v>0.13919999999999999</v>
      </c>
      <c r="D113" s="20">
        <f t="shared" si="22"/>
        <v>348.2088</v>
      </c>
      <c r="E113" s="92"/>
      <c r="F113" s="27" t="s">
        <v>10</v>
      </c>
      <c r="G113" s="33"/>
      <c r="H113" s="38"/>
      <c r="I113" s="35"/>
      <c r="J113" s="35"/>
    </row>
    <row r="114" spans="1:13" ht="15.75" x14ac:dyDescent="0.25">
      <c r="A114" s="27" t="s">
        <v>17</v>
      </c>
      <c r="B114" s="29"/>
      <c r="C114" s="31"/>
      <c r="D114" s="20"/>
      <c r="E114" s="92"/>
      <c r="F114" s="27" t="s">
        <v>29</v>
      </c>
      <c r="G114" s="33"/>
      <c r="H114" s="38">
        <v>0.1394</v>
      </c>
      <c r="I114" s="35">
        <f t="shared" si="23"/>
        <v>55.76</v>
      </c>
      <c r="J114" s="35">
        <f t="shared" si="24"/>
        <v>14.149099999999999</v>
      </c>
    </row>
    <row r="115" spans="1:13" ht="15.75" x14ac:dyDescent="0.25">
      <c r="A115" s="27" t="s">
        <v>30</v>
      </c>
      <c r="B115" s="29"/>
      <c r="C115" s="31"/>
      <c r="D115" s="20"/>
      <c r="E115" s="92"/>
      <c r="F115" s="27" t="s">
        <v>17</v>
      </c>
      <c r="G115" s="33"/>
      <c r="H115" s="38"/>
      <c r="I115" s="35"/>
      <c r="J115" s="35"/>
    </row>
    <row r="116" spans="1:13" ht="15.75" x14ac:dyDescent="0.25">
      <c r="A116" s="27" t="s">
        <v>31</v>
      </c>
      <c r="B116" s="29"/>
      <c r="C116" s="31"/>
      <c r="D116" s="20"/>
      <c r="E116" s="92"/>
      <c r="F116" s="27" t="s">
        <v>30</v>
      </c>
      <c r="G116" s="33"/>
      <c r="H116" s="38"/>
      <c r="I116" s="35"/>
      <c r="J116" s="35"/>
    </row>
    <row r="117" spans="1:13" ht="15.75" x14ac:dyDescent="0.25">
      <c r="A117" s="27" t="s">
        <v>16</v>
      </c>
      <c r="B117" s="29"/>
      <c r="C117" s="31">
        <v>0.01</v>
      </c>
      <c r="D117" s="20">
        <f t="shared" si="22"/>
        <v>25.015000000000001</v>
      </c>
      <c r="E117" s="92"/>
      <c r="F117" s="27" t="s">
        <v>31</v>
      </c>
      <c r="G117" s="33"/>
      <c r="H117" s="38"/>
      <c r="I117" s="35"/>
      <c r="J117" s="35"/>
    </row>
    <row r="118" spans="1:13" ht="15.75" x14ac:dyDescent="0.25">
      <c r="A118" s="27" t="s">
        <v>32</v>
      </c>
      <c r="B118" s="23"/>
      <c r="C118" s="31">
        <v>4.2200000000000001E-2</v>
      </c>
      <c r="D118" s="20">
        <f t="shared" si="22"/>
        <v>105.5633</v>
      </c>
      <c r="E118" s="92"/>
      <c r="F118" s="27" t="s">
        <v>16</v>
      </c>
      <c r="G118" s="24"/>
      <c r="H118" s="38">
        <v>0.01</v>
      </c>
      <c r="I118" s="35">
        <f t="shared" si="23"/>
        <v>4</v>
      </c>
      <c r="J118" s="35">
        <f t="shared" si="24"/>
        <v>1.0150000000000001</v>
      </c>
    </row>
    <row r="119" spans="1:13" ht="15.75" x14ac:dyDescent="0.25">
      <c r="A119" s="27" t="s">
        <v>33</v>
      </c>
      <c r="B119" s="23"/>
      <c r="C119" s="31">
        <v>2.3999999999999998E-3</v>
      </c>
      <c r="D119" s="20">
        <f t="shared" si="22"/>
        <v>6.0035999999999996</v>
      </c>
      <c r="E119" s="92"/>
      <c r="F119" s="27" t="s">
        <v>32</v>
      </c>
      <c r="G119" s="24"/>
      <c r="H119" s="38">
        <v>4.2200000000000001E-2</v>
      </c>
      <c r="I119" s="35">
        <f t="shared" si="23"/>
        <v>16.88</v>
      </c>
      <c r="J119" s="35">
        <f t="shared" si="24"/>
        <v>4.2833000000000006</v>
      </c>
    </row>
    <row r="120" spans="1:13" ht="15.75" x14ac:dyDescent="0.25">
      <c r="A120" s="27" t="s">
        <v>34</v>
      </c>
      <c r="B120" s="23"/>
      <c r="C120" s="31"/>
      <c r="D120" s="20"/>
      <c r="E120" s="92"/>
      <c r="F120" s="27" t="s">
        <v>33</v>
      </c>
      <c r="G120" s="24"/>
      <c r="H120" s="38">
        <v>2.3999999999999998E-3</v>
      </c>
      <c r="I120" s="35">
        <f t="shared" si="23"/>
        <v>0.96</v>
      </c>
      <c r="J120" s="35">
        <f t="shared" si="24"/>
        <v>0.24359999999999998</v>
      </c>
    </row>
    <row r="121" spans="1:13" ht="15.75" x14ac:dyDescent="0.25">
      <c r="A121" s="27" t="s">
        <v>22</v>
      </c>
      <c r="B121" s="23"/>
      <c r="C121" s="31"/>
      <c r="D121" s="20"/>
      <c r="E121" s="92"/>
      <c r="F121" s="27" t="s">
        <v>34</v>
      </c>
      <c r="G121" s="24"/>
      <c r="H121" s="38"/>
      <c r="I121" s="35"/>
      <c r="J121" s="35"/>
    </row>
    <row r="122" spans="1:13" ht="15.75" x14ac:dyDescent="0.25">
      <c r="A122" s="27" t="s">
        <v>35</v>
      </c>
      <c r="B122" s="29"/>
      <c r="C122" s="31"/>
      <c r="D122" s="20"/>
      <c r="E122" s="92"/>
      <c r="F122" s="27" t="s">
        <v>22</v>
      </c>
      <c r="G122" s="33"/>
      <c r="H122" s="38"/>
      <c r="I122" s="35"/>
      <c r="J122" s="35"/>
    </row>
    <row r="123" spans="1:13" ht="16.5" thickBot="1" x14ac:dyDescent="0.3">
      <c r="A123" s="28" t="s">
        <v>36</v>
      </c>
      <c r="B123" s="29"/>
      <c r="C123" s="32"/>
      <c r="D123" s="20"/>
      <c r="E123" s="92"/>
      <c r="F123" s="27" t="s">
        <v>35</v>
      </c>
      <c r="G123" s="33"/>
      <c r="H123" s="38"/>
      <c r="I123" s="35"/>
      <c r="J123" s="35"/>
    </row>
    <row r="124" spans="1:13" ht="16.5" thickBot="1" x14ac:dyDescent="0.3">
      <c r="A124" s="93" t="s">
        <v>11</v>
      </c>
      <c r="B124" s="93"/>
      <c r="C124" s="8">
        <f>SUM(C99:C123)</f>
        <v>1</v>
      </c>
      <c r="D124" s="15">
        <v>2270.27</v>
      </c>
      <c r="E124" s="92"/>
      <c r="F124" s="28" t="s">
        <v>36</v>
      </c>
      <c r="G124" s="34"/>
      <c r="H124" s="38"/>
      <c r="I124" s="35"/>
      <c r="J124" s="35"/>
    </row>
    <row r="125" spans="1:13" x14ac:dyDescent="0.25">
      <c r="A125" s="2"/>
      <c r="B125" s="2"/>
      <c r="C125" s="2"/>
      <c r="D125" s="2"/>
      <c r="E125" s="2"/>
      <c r="F125" s="81" t="s">
        <v>11</v>
      </c>
      <c r="G125" s="81"/>
      <c r="H125" s="17">
        <f>SUM(H100:H124)</f>
        <v>1</v>
      </c>
      <c r="I125" s="13">
        <v>400</v>
      </c>
      <c r="J125" s="13">
        <f>+H98</f>
        <v>270.27</v>
      </c>
    </row>
    <row r="126" spans="1:13" ht="23.25" x14ac:dyDescent="0.35">
      <c r="A126" s="82"/>
      <c r="B126" s="83"/>
      <c r="C126" s="2"/>
      <c r="D126" s="2"/>
      <c r="E126" s="2"/>
      <c r="F126" s="18"/>
      <c r="G126" s="18"/>
      <c r="H126" s="19"/>
      <c r="I126" s="18"/>
      <c r="J126" s="18"/>
    </row>
    <row r="127" spans="1:13" x14ac:dyDescent="0.25">
      <c r="A127" s="84" t="s">
        <v>18</v>
      </c>
      <c r="B127" s="84"/>
      <c r="C127" s="84"/>
      <c r="D127" s="84"/>
      <c r="E127" s="2"/>
      <c r="F127" s="2"/>
      <c r="G127" s="2"/>
    </row>
    <row r="128" spans="1:13" x14ac:dyDescent="0.25">
      <c r="A128" s="9" t="s">
        <v>12</v>
      </c>
      <c r="B128" s="9" t="s">
        <v>13</v>
      </c>
      <c r="C128" s="9" t="s">
        <v>14</v>
      </c>
      <c r="D128" s="10" t="s">
        <v>12</v>
      </c>
      <c r="E128" s="85" t="s">
        <v>13</v>
      </c>
      <c r="F128" s="86"/>
      <c r="G128" s="10" t="s">
        <v>14</v>
      </c>
      <c r="H128" s="9" t="s">
        <v>12</v>
      </c>
      <c r="I128" s="10" t="s">
        <v>13</v>
      </c>
      <c r="J128" s="10" t="s">
        <v>14</v>
      </c>
      <c r="K128" s="9" t="s">
        <v>12</v>
      </c>
      <c r="L128" s="10" t="s">
        <v>13</v>
      </c>
      <c r="M128" s="10" t="s">
        <v>14</v>
      </c>
    </row>
    <row r="129" spans="1:13" x14ac:dyDescent="0.25">
      <c r="A129" s="11">
        <v>1</v>
      </c>
      <c r="B129" s="12">
        <v>0.33333333333333331</v>
      </c>
      <c r="C129" s="12">
        <f>+B129+15/1440</f>
        <v>0.34375</v>
      </c>
      <c r="D129" s="11">
        <v>8</v>
      </c>
      <c r="E129" s="79">
        <f>+C135+5/1440</f>
        <v>0.43055555555555558</v>
      </c>
      <c r="F129" s="80"/>
      <c r="G129" s="16">
        <f>+E129+15/1440</f>
        <v>0.44097222222222227</v>
      </c>
      <c r="H129" s="11"/>
      <c r="I129" s="12">
        <f>G135+5/1440</f>
        <v>0.52777777777777779</v>
      </c>
      <c r="J129" s="12">
        <f>I129+15/1440</f>
        <v>0.53819444444444442</v>
      </c>
      <c r="K129" s="11">
        <v>19</v>
      </c>
      <c r="L129" s="12">
        <f>J135+5/1440</f>
        <v>0.62499999999999967</v>
      </c>
      <c r="M129" s="12">
        <f>L129+15/1440</f>
        <v>0.6354166666666663</v>
      </c>
    </row>
    <row r="130" spans="1:13" x14ac:dyDescent="0.25">
      <c r="A130" s="11">
        <v>2</v>
      </c>
      <c r="B130" s="12">
        <f t="shared" ref="B130:B135" si="25">+C129+5/1440</f>
        <v>0.34722222222222221</v>
      </c>
      <c r="C130" s="12">
        <f>+B130+15/1440</f>
        <v>0.3576388888888889</v>
      </c>
      <c r="D130" s="11">
        <v>9</v>
      </c>
      <c r="E130" s="79">
        <f>+G129+5/1440</f>
        <v>0.44444444444444448</v>
      </c>
      <c r="F130" s="80"/>
      <c r="G130" s="16">
        <f>+E130+15/1440</f>
        <v>0.45486111111111116</v>
      </c>
      <c r="H130" s="11"/>
      <c r="I130" s="12">
        <f>J129+5/1440</f>
        <v>0.54166666666666663</v>
      </c>
      <c r="J130" s="12">
        <f>I130+15/1440</f>
        <v>0.55208333333333326</v>
      </c>
      <c r="K130" s="11">
        <v>20</v>
      </c>
      <c r="L130" s="12">
        <f>M129+5/1440</f>
        <v>0.63888888888888851</v>
      </c>
      <c r="M130" s="12">
        <f>L130+15/1440</f>
        <v>0.64930555555555514</v>
      </c>
    </row>
    <row r="131" spans="1:13" x14ac:dyDescent="0.25">
      <c r="A131" s="11">
        <v>3</v>
      </c>
      <c r="B131" s="12">
        <f t="shared" si="25"/>
        <v>0.3611111111111111</v>
      </c>
      <c r="C131" s="12">
        <f t="shared" ref="C131:C135" si="26">+B131+15/1440</f>
        <v>0.37152777777777779</v>
      </c>
      <c r="D131" s="11">
        <v>10</v>
      </c>
      <c r="E131" s="79">
        <f t="shared" ref="E131:E135" si="27">+G130+5/1440</f>
        <v>0.45833333333333337</v>
      </c>
      <c r="F131" s="80"/>
      <c r="G131" s="16">
        <f t="shared" ref="G131:G135" si="28">+E131+15/1440</f>
        <v>0.46875000000000006</v>
      </c>
      <c r="H131" s="11">
        <v>14</v>
      </c>
      <c r="I131" s="12">
        <f t="shared" ref="I131:I135" si="29">J130+5/1440</f>
        <v>0.55555555555555547</v>
      </c>
      <c r="J131" s="12">
        <f t="shared" ref="J131:J135" si="30">I131+15/1440</f>
        <v>0.5659722222222221</v>
      </c>
      <c r="K131" s="11">
        <v>21</v>
      </c>
      <c r="L131" s="12">
        <f t="shared" ref="L131:L135" si="31">M130+5/1440</f>
        <v>0.65277777777777735</v>
      </c>
      <c r="M131" s="12">
        <f t="shared" ref="M131:M135" si="32">L131+15/1440</f>
        <v>0.66319444444444398</v>
      </c>
    </row>
    <row r="132" spans="1:13" x14ac:dyDescent="0.25">
      <c r="A132" s="11">
        <v>4</v>
      </c>
      <c r="B132" s="12">
        <f t="shared" si="25"/>
        <v>0.375</v>
      </c>
      <c r="C132" s="12">
        <f t="shared" si="26"/>
        <v>0.38541666666666669</v>
      </c>
      <c r="D132" s="11">
        <v>11</v>
      </c>
      <c r="E132" s="79">
        <f t="shared" si="27"/>
        <v>0.47222222222222227</v>
      </c>
      <c r="F132" s="80"/>
      <c r="G132" s="16">
        <f t="shared" si="28"/>
        <v>0.48263888888888895</v>
      </c>
      <c r="H132" s="11">
        <v>15</v>
      </c>
      <c r="I132" s="12">
        <f t="shared" si="29"/>
        <v>0.56944444444444431</v>
      </c>
      <c r="J132" s="12">
        <f t="shared" si="30"/>
        <v>0.57986111111111094</v>
      </c>
      <c r="K132" s="11">
        <v>22</v>
      </c>
      <c r="L132" s="12">
        <f t="shared" si="31"/>
        <v>0.66666666666666619</v>
      </c>
      <c r="M132" s="12">
        <f t="shared" si="32"/>
        <v>0.67708333333333282</v>
      </c>
    </row>
    <row r="133" spans="1:13" x14ac:dyDescent="0.25">
      <c r="A133" s="11">
        <v>5</v>
      </c>
      <c r="B133" s="12">
        <f t="shared" si="25"/>
        <v>0.3888888888888889</v>
      </c>
      <c r="C133" s="12">
        <f t="shared" si="26"/>
        <v>0.39930555555555558</v>
      </c>
      <c r="D133" s="11">
        <v>12</v>
      </c>
      <c r="E133" s="79">
        <f t="shared" si="27"/>
        <v>0.48611111111111116</v>
      </c>
      <c r="F133" s="80"/>
      <c r="G133" s="16">
        <f t="shared" si="28"/>
        <v>0.49652777777777785</v>
      </c>
      <c r="H133" s="11">
        <v>16</v>
      </c>
      <c r="I133" s="12">
        <f t="shared" si="29"/>
        <v>0.58333333333333315</v>
      </c>
      <c r="J133" s="12">
        <f t="shared" si="30"/>
        <v>0.59374999999999978</v>
      </c>
      <c r="K133" s="11">
        <v>23</v>
      </c>
      <c r="L133" s="12">
        <f t="shared" si="31"/>
        <v>0.68055555555555503</v>
      </c>
      <c r="M133" s="12">
        <f t="shared" si="32"/>
        <v>0.69097222222222165</v>
      </c>
    </row>
    <row r="134" spans="1:13" x14ac:dyDescent="0.25">
      <c r="A134" s="11">
        <v>6</v>
      </c>
      <c r="B134" s="12">
        <f t="shared" si="25"/>
        <v>0.40277777777777779</v>
      </c>
      <c r="C134" s="12">
        <f t="shared" si="26"/>
        <v>0.41319444444444448</v>
      </c>
      <c r="D134" s="11">
        <v>13</v>
      </c>
      <c r="E134" s="103">
        <f t="shared" si="27"/>
        <v>0.50000000000000011</v>
      </c>
      <c r="F134" s="104"/>
      <c r="G134" s="12">
        <f t="shared" si="28"/>
        <v>0.51041666666666674</v>
      </c>
      <c r="H134" s="11">
        <v>17</v>
      </c>
      <c r="I134" s="12">
        <f t="shared" si="29"/>
        <v>0.59722222222222199</v>
      </c>
      <c r="J134" s="12">
        <f t="shared" si="30"/>
        <v>0.60763888888888862</v>
      </c>
      <c r="K134" s="11">
        <v>24</v>
      </c>
      <c r="L134" s="12">
        <f t="shared" si="31"/>
        <v>0.69444444444444386</v>
      </c>
      <c r="M134" s="12">
        <f t="shared" si="32"/>
        <v>0.70486111111111049</v>
      </c>
    </row>
    <row r="135" spans="1:13" x14ac:dyDescent="0.25">
      <c r="A135" s="11">
        <v>7</v>
      </c>
      <c r="B135" s="12">
        <f t="shared" si="25"/>
        <v>0.41666666666666669</v>
      </c>
      <c r="C135" s="12">
        <f t="shared" si="26"/>
        <v>0.42708333333333337</v>
      </c>
      <c r="D135" s="11"/>
      <c r="E135" s="77">
        <f t="shared" si="27"/>
        <v>0.51388888888888895</v>
      </c>
      <c r="F135" s="78"/>
      <c r="G135" s="21">
        <f t="shared" si="28"/>
        <v>0.52430555555555558</v>
      </c>
      <c r="H135" s="11">
        <v>18</v>
      </c>
      <c r="I135" s="12">
        <f t="shared" si="29"/>
        <v>0.61111111111111083</v>
      </c>
      <c r="J135" s="12">
        <f t="shared" si="30"/>
        <v>0.62152777777777746</v>
      </c>
      <c r="K135" s="11">
        <v>25</v>
      </c>
      <c r="L135" s="12">
        <f t="shared" si="31"/>
        <v>0.7083333333333327</v>
      </c>
      <c r="M135" s="12">
        <f t="shared" si="32"/>
        <v>0.71874999999999933</v>
      </c>
    </row>
    <row r="138" spans="1:13" ht="15.75" thickBot="1" x14ac:dyDescent="0.3"/>
    <row r="139" spans="1:13" x14ac:dyDescent="0.25">
      <c r="A139" s="94" t="s">
        <v>20</v>
      </c>
      <c r="B139" s="95"/>
      <c r="C139" s="95"/>
      <c r="D139" s="96"/>
      <c r="E139" s="95" t="s">
        <v>21</v>
      </c>
      <c r="F139" s="95"/>
      <c r="G139" s="95"/>
      <c r="H139" s="95"/>
      <c r="I139" s="95"/>
      <c r="J139" s="96"/>
    </row>
    <row r="140" spans="1:13" ht="15.75" thickBot="1" x14ac:dyDescent="0.3">
      <c r="A140" s="97"/>
      <c r="B140" s="98"/>
      <c r="C140" s="98"/>
      <c r="D140" s="99"/>
      <c r="E140" s="98"/>
      <c r="F140" s="98"/>
      <c r="G140" s="98"/>
      <c r="H140" s="98"/>
      <c r="I140" s="98"/>
      <c r="J140" s="99"/>
    </row>
    <row r="141" spans="1:13" ht="18.75" x14ac:dyDescent="0.25">
      <c r="A141" s="87" t="s">
        <v>0</v>
      </c>
      <c r="B141" s="87"/>
      <c r="C141" s="100" t="s">
        <v>60</v>
      </c>
      <c r="D141" s="100"/>
      <c r="E141" s="100"/>
      <c r="F141" s="100"/>
      <c r="G141" s="100"/>
      <c r="H141" s="1" t="s">
        <v>1</v>
      </c>
      <c r="I141" s="101">
        <v>45585</v>
      </c>
      <c r="J141" s="102"/>
    </row>
    <row r="142" spans="1:13" ht="36" customHeight="1" x14ac:dyDescent="0.25">
      <c r="A142" s="87" t="s">
        <v>2</v>
      </c>
      <c r="B142" s="87"/>
      <c r="C142" s="88" t="s">
        <v>61</v>
      </c>
      <c r="D142" s="88"/>
      <c r="E142" s="88"/>
      <c r="F142" s="88"/>
      <c r="G142" s="88"/>
      <c r="H142" s="1" t="s">
        <v>3</v>
      </c>
      <c r="I142" s="89" t="s">
        <v>37</v>
      </c>
      <c r="J142" s="89"/>
    </row>
    <row r="143" spans="1:13" x14ac:dyDescent="0.25">
      <c r="A143" s="2"/>
      <c r="B143" s="2"/>
      <c r="C143" s="2"/>
      <c r="D143" s="2"/>
      <c r="E143" s="2"/>
      <c r="F143" s="2"/>
      <c r="G143" s="2"/>
      <c r="I143" s="90" t="s">
        <v>15</v>
      </c>
      <c r="J143" s="90"/>
    </row>
    <row r="144" spans="1:13" ht="18.75" x14ac:dyDescent="0.3">
      <c r="A144" s="91" t="s">
        <v>4</v>
      </c>
      <c r="B144" s="91"/>
      <c r="C144" s="3" t="s">
        <v>5</v>
      </c>
      <c r="D144" s="14" t="s">
        <v>6</v>
      </c>
      <c r="E144" s="92" t="s">
        <v>7</v>
      </c>
      <c r="F144" s="4">
        <f>ROUNDDOWN(D170/400,0)</f>
        <v>37</v>
      </c>
      <c r="G144" s="5" t="s">
        <v>8</v>
      </c>
      <c r="H144" s="6">
        <f>D170-(F144*400)</f>
        <v>248.1299999999992</v>
      </c>
      <c r="I144" s="7" t="s">
        <v>9</v>
      </c>
    </row>
    <row r="145" spans="1:10" ht="15.75" x14ac:dyDescent="0.25">
      <c r="A145" s="26" t="s">
        <v>23</v>
      </c>
      <c r="B145" s="29"/>
      <c r="C145" s="48" t="s">
        <v>50</v>
      </c>
      <c r="D145" s="20"/>
      <c r="E145" s="92"/>
      <c r="F145" s="91" t="s">
        <v>4</v>
      </c>
      <c r="G145" s="91"/>
      <c r="H145" s="3" t="s">
        <v>5</v>
      </c>
      <c r="I145" s="14" t="s">
        <v>6</v>
      </c>
      <c r="J145" s="14" t="s">
        <v>6</v>
      </c>
    </row>
    <row r="146" spans="1:10" ht="15.75" x14ac:dyDescent="0.25">
      <c r="A146" s="26" t="s">
        <v>42</v>
      </c>
      <c r="B146" s="29"/>
      <c r="C146" s="38"/>
      <c r="D146" s="20"/>
      <c r="E146" s="92"/>
      <c r="F146" s="26" t="s">
        <v>23</v>
      </c>
      <c r="G146" s="33"/>
      <c r="H146" s="38"/>
      <c r="I146" s="35"/>
      <c r="J146" s="35"/>
    </row>
    <row r="147" spans="1:10" ht="15.75" x14ac:dyDescent="0.25">
      <c r="A147" s="27" t="s">
        <v>24</v>
      </c>
      <c r="B147" s="29"/>
      <c r="C147" s="38"/>
      <c r="D147" s="20"/>
      <c r="E147" s="92"/>
      <c r="F147" s="26" t="s">
        <v>42</v>
      </c>
      <c r="G147" s="33"/>
      <c r="H147" s="38"/>
      <c r="I147" s="35"/>
      <c r="J147" s="35"/>
    </row>
    <row r="148" spans="1:10" ht="15.75" x14ac:dyDescent="0.25">
      <c r="A148" s="27" t="s">
        <v>25</v>
      </c>
      <c r="B148" s="29"/>
      <c r="C148" s="31">
        <v>0.32269999999999999</v>
      </c>
      <c r="D148" s="20">
        <f>C148*$D$32</f>
        <v>807.23404999999991</v>
      </c>
      <c r="E148" s="92"/>
      <c r="F148" s="27" t="s">
        <v>24</v>
      </c>
      <c r="G148" s="33"/>
      <c r="H148" s="38"/>
      <c r="I148" s="35"/>
      <c r="J148" s="35"/>
    </row>
    <row r="149" spans="1:10" ht="15.75" x14ac:dyDescent="0.25">
      <c r="A149" s="27" t="s">
        <v>47</v>
      </c>
      <c r="B149" s="29"/>
      <c r="C149" s="31">
        <v>0.17780000000000001</v>
      </c>
      <c r="D149" s="20">
        <f t="shared" ref="D149:D166" si="33">C149*$D$32</f>
        <v>444.76670000000001</v>
      </c>
      <c r="E149" s="92"/>
      <c r="F149" s="27" t="s">
        <v>25</v>
      </c>
      <c r="G149" s="33"/>
      <c r="H149" s="38">
        <v>0.16500000000000001</v>
      </c>
      <c r="I149" s="35">
        <f t="shared" ref="I149:I166" si="34">H149*$I$33</f>
        <v>66</v>
      </c>
      <c r="J149" s="35">
        <f t="shared" ref="J149:J166" si="35">H149*$J$33</f>
        <v>16.747500000000002</v>
      </c>
    </row>
    <row r="150" spans="1:10" ht="15.75" x14ac:dyDescent="0.25">
      <c r="A150" s="27" t="s">
        <v>46</v>
      </c>
      <c r="B150" s="29"/>
      <c r="C150" s="38"/>
      <c r="D150" s="20"/>
      <c r="E150" s="92"/>
      <c r="F150" s="27" t="s">
        <v>47</v>
      </c>
      <c r="G150" s="33"/>
      <c r="H150" s="38">
        <v>0.16500000000000001</v>
      </c>
      <c r="I150" s="35">
        <f t="shared" si="34"/>
        <v>66</v>
      </c>
      <c r="J150" s="35">
        <f t="shared" si="35"/>
        <v>16.747500000000002</v>
      </c>
    </row>
    <row r="151" spans="1:10" ht="15.75" x14ac:dyDescent="0.25">
      <c r="A151" s="27" t="s">
        <v>26</v>
      </c>
      <c r="B151" s="29"/>
      <c r="C151" s="31">
        <v>3.5799999999999998E-2</v>
      </c>
      <c r="D151" s="20">
        <f t="shared" si="33"/>
        <v>89.553699999999992</v>
      </c>
      <c r="E151" s="92"/>
      <c r="F151" s="27" t="s">
        <v>46</v>
      </c>
      <c r="G151" s="33"/>
      <c r="H151" s="38"/>
      <c r="I151" s="35"/>
      <c r="J151" s="35"/>
    </row>
    <row r="152" spans="1:10" ht="15.75" x14ac:dyDescent="0.25">
      <c r="A152" s="27" t="s">
        <v>43</v>
      </c>
      <c r="B152" s="29"/>
      <c r="C152" s="38"/>
      <c r="D152" s="20"/>
      <c r="E152" s="92"/>
      <c r="F152" s="27" t="s">
        <v>26</v>
      </c>
      <c r="G152" s="33"/>
      <c r="H152" s="38"/>
      <c r="I152" s="35"/>
      <c r="J152" s="35"/>
    </row>
    <row r="153" spans="1:10" ht="15.75" x14ac:dyDescent="0.25">
      <c r="A153" s="27" t="s">
        <v>19</v>
      </c>
      <c r="B153" s="29"/>
      <c r="C153" s="38"/>
      <c r="D153" s="20"/>
      <c r="E153" s="92"/>
      <c r="F153" s="27" t="s">
        <v>43</v>
      </c>
      <c r="G153" s="33"/>
      <c r="H153" s="38"/>
      <c r="I153" s="35"/>
      <c r="J153" s="35"/>
    </row>
    <row r="154" spans="1:10" ht="15.75" x14ac:dyDescent="0.25">
      <c r="A154" s="27" t="s">
        <v>27</v>
      </c>
      <c r="B154" s="29"/>
      <c r="C154" s="38"/>
      <c r="D154" s="20"/>
      <c r="E154" s="92"/>
      <c r="F154" s="27" t="s">
        <v>19</v>
      </c>
      <c r="G154" s="33"/>
      <c r="H154" s="38"/>
      <c r="I154" s="35"/>
      <c r="J154" s="35"/>
    </row>
    <row r="155" spans="1:10" ht="15.75" x14ac:dyDescent="0.25">
      <c r="A155" s="27" t="s">
        <v>44</v>
      </c>
      <c r="B155" s="29"/>
      <c r="C155" s="31">
        <v>0.39119999999999999</v>
      </c>
      <c r="D155" s="20">
        <f t="shared" si="33"/>
        <v>978.58679999999993</v>
      </c>
      <c r="E155" s="92"/>
      <c r="F155" s="27" t="s">
        <v>27</v>
      </c>
      <c r="G155" s="33"/>
      <c r="H155" s="38"/>
      <c r="I155" s="35"/>
      <c r="J155" s="35"/>
    </row>
    <row r="156" spans="1:10" ht="15.75" x14ac:dyDescent="0.25">
      <c r="A156" s="27" t="s">
        <v>28</v>
      </c>
      <c r="B156" s="29"/>
      <c r="C156" s="38"/>
      <c r="D156" s="20"/>
      <c r="E156" s="92"/>
      <c r="F156" s="27" t="s">
        <v>44</v>
      </c>
      <c r="G156" s="33"/>
      <c r="H156" s="38">
        <v>0.64290000000000003</v>
      </c>
      <c r="I156" s="35">
        <f t="shared" si="34"/>
        <v>257.16000000000003</v>
      </c>
      <c r="J156" s="35">
        <f t="shared" si="35"/>
        <v>65.254350000000002</v>
      </c>
    </row>
    <row r="157" spans="1:10" ht="15.75" x14ac:dyDescent="0.25">
      <c r="A157" s="27" t="s">
        <v>45</v>
      </c>
      <c r="B157" s="29"/>
      <c r="C157" s="38"/>
      <c r="D157" s="20"/>
      <c r="E157" s="92"/>
      <c r="F157" s="27" t="s">
        <v>28</v>
      </c>
      <c r="G157" s="33"/>
      <c r="H157" s="38"/>
      <c r="I157" s="35"/>
      <c r="J157" s="35"/>
    </row>
    <row r="158" spans="1:10" ht="15.75" x14ac:dyDescent="0.25">
      <c r="A158" s="27" t="s">
        <v>10</v>
      </c>
      <c r="B158" s="29"/>
      <c r="C158" s="38"/>
      <c r="D158" s="20"/>
      <c r="E158" s="92"/>
      <c r="F158" s="27" t="s">
        <v>45</v>
      </c>
      <c r="G158" s="33"/>
      <c r="H158" s="38"/>
      <c r="I158" s="35"/>
      <c r="J158" s="35"/>
    </row>
    <row r="159" spans="1:10" ht="15.75" x14ac:dyDescent="0.25">
      <c r="A159" s="27" t="s">
        <v>29</v>
      </c>
      <c r="B159" s="29"/>
      <c r="C159" s="38"/>
      <c r="D159" s="20"/>
      <c r="E159" s="92"/>
      <c r="F159" s="27" t="s">
        <v>10</v>
      </c>
      <c r="G159" s="33"/>
      <c r="H159" s="38"/>
      <c r="I159" s="35"/>
      <c r="J159" s="35"/>
    </row>
    <row r="160" spans="1:10" ht="15.75" x14ac:dyDescent="0.25">
      <c r="A160" s="27" t="s">
        <v>17</v>
      </c>
      <c r="B160" s="29"/>
      <c r="C160" s="38"/>
      <c r="D160" s="20"/>
      <c r="E160" s="92"/>
      <c r="F160" s="27" t="s">
        <v>29</v>
      </c>
      <c r="G160" s="33"/>
      <c r="H160" s="38"/>
      <c r="I160" s="35"/>
      <c r="J160" s="35"/>
    </row>
    <row r="161" spans="1:13" ht="15.75" x14ac:dyDescent="0.25">
      <c r="A161" s="27" t="s">
        <v>30</v>
      </c>
      <c r="B161" s="29"/>
      <c r="C161" s="38"/>
      <c r="D161" s="20"/>
      <c r="E161" s="92"/>
      <c r="F161" s="27" t="s">
        <v>17</v>
      </c>
      <c r="G161" s="33"/>
      <c r="H161" s="38"/>
      <c r="I161" s="35"/>
      <c r="J161" s="35"/>
    </row>
    <row r="162" spans="1:13" ht="15.75" x14ac:dyDescent="0.25">
      <c r="A162" s="27" t="s">
        <v>31</v>
      </c>
      <c r="B162" s="29"/>
      <c r="C162" s="38"/>
      <c r="D162" s="20"/>
      <c r="E162" s="92"/>
      <c r="F162" s="27" t="s">
        <v>30</v>
      </c>
      <c r="G162" s="33"/>
      <c r="H162" s="38"/>
      <c r="I162" s="35"/>
      <c r="J162" s="35"/>
    </row>
    <row r="163" spans="1:13" ht="15.75" x14ac:dyDescent="0.25">
      <c r="A163" s="27" t="s">
        <v>16</v>
      </c>
      <c r="B163" s="29"/>
      <c r="C163" s="38"/>
      <c r="D163" s="20"/>
      <c r="E163" s="92"/>
      <c r="F163" s="27" t="s">
        <v>31</v>
      </c>
      <c r="G163" s="33"/>
      <c r="H163" s="38"/>
      <c r="I163" s="35"/>
      <c r="J163" s="35"/>
    </row>
    <row r="164" spans="1:13" ht="15.75" x14ac:dyDescent="0.25">
      <c r="A164" s="27" t="s">
        <v>32</v>
      </c>
      <c r="B164" s="23"/>
      <c r="C164" s="31">
        <v>3.7699999999999997E-2</v>
      </c>
      <c r="D164" s="20">
        <f t="shared" si="33"/>
        <v>94.306549999999987</v>
      </c>
      <c r="E164" s="92"/>
      <c r="F164" s="27" t="s">
        <v>16</v>
      </c>
      <c r="G164" s="24"/>
      <c r="H164" s="38"/>
      <c r="I164" s="35"/>
      <c r="J164" s="35"/>
    </row>
    <row r="165" spans="1:13" ht="15.75" x14ac:dyDescent="0.25">
      <c r="A165" s="27" t="s">
        <v>33</v>
      </c>
      <c r="B165" s="23"/>
      <c r="C165" s="31">
        <v>2.0999999999999999E-3</v>
      </c>
      <c r="D165" s="20">
        <f t="shared" si="33"/>
        <v>5.2531499999999998</v>
      </c>
      <c r="E165" s="92"/>
      <c r="F165" s="27" t="s">
        <v>32</v>
      </c>
      <c r="G165" s="24"/>
      <c r="H165" s="38">
        <v>2.5600000000000001E-2</v>
      </c>
      <c r="I165" s="35">
        <f t="shared" si="34"/>
        <v>10.24</v>
      </c>
      <c r="J165" s="35">
        <f t="shared" si="35"/>
        <v>2.5984000000000003</v>
      </c>
    </row>
    <row r="166" spans="1:13" ht="15.75" x14ac:dyDescent="0.25">
      <c r="A166" s="27" t="s">
        <v>34</v>
      </c>
      <c r="B166" s="23"/>
      <c r="C166" s="31">
        <v>3.2899999999999999E-2</v>
      </c>
      <c r="D166" s="20">
        <f t="shared" si="33"/>
        <v>82.29934999999999</v>
      </c>
      <c r="E166" s="92"/>
      <c r="F166" s="27" t="s">
        <v>33</v>
      </c>
      <c r="G166" s="24"/>
      <c r="H166" s="38">
        <v>1.5E-3</v>
      </c>
      <c r="I166" s="35">
        <f t="shared" si="34"/>
        <v>0.6</v>
      </c>
      <c r="J166" s="35">
        <f t="shared" si="35"/>
        <v>0.15225</v>
      </c>
    </row>
    <row r="167" spans="1:13" ht="15.75" x14ac:dyDescent="0.25">
      <c r="A167" s="27" t="s">
        <v>22</v>
      </c>
      <c r="B167" s="23"/>
      <c r="C167" s="38"/>
      <c r="D167" s="20"/>
      <c r="E167" s="92"/>
      <c r="F167" s="27" t="s">
        <v>34</v>
      </c>
      <c r="G167" s="24"/>
      <c r="H167" s="38"/>
      <c r="I167" s="35"/>
      <c r="J167" s="35"/>
    </row>
    <row r="168" spans="1:13" ht="15.75" x14ac:dyDescent="0.25">
      <c r="A168" s="27" t="s">
        <v>35</v>
      </c>
      <c r="B168" s="29"/>
      <c r="C168" s="38"/>
      <c r="D168" s="20"/>
      <c r="E168" s="92"/>
      <c r="F168" s="27" t="s">
        <v>22</v>
      </c>
      <c r="G168" s="33"/>
      <c r="H168" s="38"/>
      <c r="I168" s="35"/>
      <c r="J168" s="35"/>
    </row>
    <row r="169" spans="1:13" ht="16.5" thickBot="1" x14ac:dyDescent="0.3">
      <c r="A169" s="28" t="s">
        <v>36</v>
      </c>
      <c r="B169" s="29"/>
      <c r="C169" s="38"/>
      <c r="D169" s="20"/>
      <c r="E169" s="92"/>
      <c r="F169" s="27" t="s">
        <v>35</v>
      </c>
      <c r="G169" s="33"/>
      <c r="H169" s="38"/>
      <c r="I169" s="35"/>
      <c r="J169" s="35"/>
    </row>
    <row r="170" spans="1:13" ht="16.5" thickBot="1" x14ac:dyDescent="0.3">
      <c r="A170" s="93" t="s">
        <v>11</v>
      </c>
      <c r="B170" s="93"/>
      <c r="C170" s="8">
        <f>SUM(C145:C169)</f>
        <v>1.0002</v>
      </c>
      <c r="D170" s="15">
        <v>15048.13</v>
      </c>
      <c r="E170" s="92"/>
      <c r="F170" s="28" t="s">
        <v>36</v>
      </c>
      <c r="G170" s="34"/>
      <c r="H170" s="38"/>
      <c r="I170" s="35"/>
      <c r="J170" s="35"/>
    </row>
    <row r="171" spans="1:13" x14ac:dyDescent="0.25">
      <c r="A171" s="2"/>
      <c r="B171" s="2"/>
      <c r="C171" s="2"/>
      <c r="D171" s="2"/>
      <c r="E171" s="2"/>
      <c r="F171" s="81" t="s">
        <v>11</v>
      </c>
      <c r="G171" s="81"/>
      <c r="H171" s="17">
        <f>SUM(H146:H170)</f>
        <v>1</v>
      </c>
      <c r="I171" s="13">
        <v>400</v>
      </c>
      <c r="J171" s="13">
        <f>+H144</f>
        <v>248.1299999999992</v>
      </c>
    </row>
    <row r="173" spans="1:13" ht="26.25" x14ac:dyDescent="0.4">
      <c r="A173" s="57" t="s">
        <v>73</v>
      </c>
      <c r="B173" s="2"/>
      <c r="C173" s="2"/>
      <c r="D173" s="2"/>
      <c r="E173" s="2"/>
      <c r="F173" s="55"/>
      <c r="G173" s="55"/>
      <c r="H173" s="56"/>
      <c r="I173" s="55"/>
      <c r="J173" s="55"/>
    </row>
    <row r="174" spans="1:13" ht="23.25" x14ac:dyDescent="0.35">
      <c r="A174" s="59"/>
      <c r="B174" s="60"/>
      <c r="C174" s="2"/>
      <c r="D174" s="2"/>
      <c r="E174" s="2"/>
      <c r="F174" s="18"/>
      <c r="G174" s="18"/>
      <c r="H174" s="19"/>
      <c r="I174" s="18"/>
      <c r="J174" s="18"/>
    </row>
    <row r="175" spans="1:13" x14ac:dyDescent="0.25">
      <c r="A175" s="115" t="s">
        <v>18</v>
      </c>
      <c r="B175" s="115"/>
      <c r="C175" s="115"/>
      <c r="D175" s="115"/>
      <c r="E175" s="2"/>
      <c r="F175" s="2"/>
      <c r="G175" s="2"/>
    </row>
    <row r="176" spans="1:13" x14ac:dyDescent="0.25">
      <c r="A176" s="9" t="s">
        <v>12</v>
      </c>
      <c r="B176" s="9" t="s">
        <v>13</v>
      </c>
      <c r="C176" s="9" t="s">
        <v>14</v>
      </c>
      <c r="D176" s="10" t="s">
        <v>12</v>
      </c>
      <c r="E176" s="85" t="s">
        <v>13</v>
      </c>
      <c r="F176" s="86"/>
      <c r="G176" s="10" t="s">
        <v>14</v>
      </c>
      <c r="H176" s="9" t="s">
        <v>12</v>
      </c>
      <c r="I176" s="10" t="s">
        <v>13</v>
      </c>
      <c r="J176" s="10" t="s">
        <v>14</v>
      </c>
      <c r="K176" s="9" t="s">
        <v>12</v>
      </c>
      <c r="L176" s="10" t="s">
        <v>13</v>
      </c>
      <c r="M176" s="10" t="s">
        <v>14</v>
      </c>
    </row>
    <row r="177" spans="1:13" x14ac:dyDescent="0.25">
      <c r="A177" s="11">
        <v>1</v>
      </c>
      <c r="B177" s="16">
        <v>0.33333333333333331</v>
      </c>
      <c r="C177" s="16">
        <f>+B177+15/1440</f>
        <v>0.34375</v>
      </c>
      <c r="D177" s="11">
        <v>8</v>
      </c>
      <c r="E177" s="79">
        <f>+C183+5/1440</f>
        <v>0.43055555555555558</v>
      </c>
      <c r="F177" s="80"/>
      <c r="G177" s="16">
        <f>+E177+15/1440</f>
        <v>0.44097222222222227</v>
      </c>
      <c r="H177" s="11"/>
      <c r="I177" s="12">
        <f>G183+5/1440</f>
        <v>0.52777777777777779</v>
      </c>
      <c r="J177" s="12">
        <f>I177+15/1440</f>
        <v>0.53819444444444442</v>
      </c>
      <c r="K177" s="11">
        <v>19</v>
      </c>
      <c r="L177" s="16">
        <f>J183+5/1440</f>
        <v>0.62499999999999967</v>
      </c>
      <c r="M177" s="16">
        <f>L177+15/1440</f>
        <v>0.6354166666666663</v>
      </c>
    </row>
    <row r="178" spans="1:13" x14ac:dyDescent="0.25">
      <c r="A178" s="11">
        <v>2</v>
      </c>
      <c r="B178" s="16">
        <f t="shared" ref="B178:B183" si="36">+C177+5/1440</f>
        <v>0.34722222222222221</v>
      </c>
      <c r="C178" s="16">
        <f>+B178+15/1440</f>
        <v>0.3576388888888889</v>
      </c>
      <c r="D178" s="11">
        <v>9</v>
      </c>
      <c r="E178" s="79">
        <f>+G177+5/1440</f>
        <v>0.44444444444444448</v>
      </c>
      <c r="F178" s="80"/>
      <c r="G178" s="16">
        <f>+E178+15/1440</f>
        <v>0.45486111111111116</v>
      </c>
      <c r="H178" s="11">
        <v>13</v>
      </c>
      <c r="I178" s="16">
        <f>J177+5/1440</f>
        <v>0.54166666666666663</v>
      </c>
      <c r="J178" s="16">
        <f>I178+15/1440</f>
        <v>0.55208333333333326</v>
      </c>
      <c r="K178" s="11">
        <v>20</v>
      </c>
      <c r="L178" s="16">
        <f>M177+5/1440</f>
        <v>0.63888888888888851</v>
      </c>
      <c r="M178" s="16">
        <f>L178+15/1440</f>
        <v>0.64930555555555514</v>
      </c>
    </row>
    <row r="179" spans="1:13" x14ac:dyDescent="0.25">
      <c r="A179" s="11">
        <v>3</v>
      </c>
      <c r="B179" s="16">
        <f t="shared" si="36"/>
        <v>0.3611111111111111</v>
      </c>
      <c r="C179" s="16">
        <f t="shared" ref="C179:C183" si="37">+B179+15/1440</f>
        <v>0.37152777777777779</v>
      </c>
      <c r="D179" s="11">
        <v>10</v>
      </c>
      <c r="E179" s="79">
        <f t="shared" ref="E179:E183" si="38">+G178+5/1440</f>
        <v>0.45833333333333337</v>
      </c>
      <c r="F179" s="80"/>
      <c r="G179" s="16">
        <f t="shared" ref="G179:G183" si="39">+E179+15/1440</f>
        <v>0.46875000000000006</v>
      </c>
      <c r="H179" s="11">
        <v>14</v>
      </c>
      <c r="I179" s="16">
        <f t="shared" ref="I179:I183" si="40">J178+5/1440</f>
        <v>0.55555555555555547</v>
      </c>
      <c r="J179" s="16">
        <f t="shared" ref="J179:J183" si="41">I179+15/1440</f>
        <v>0.5659722222222221</v>
      </c>
      <c r="K179" s="11">
        <v>21</v>
      </c>
      <c r="L179" s="12">
        <f t="shared" ref="L179:L183" si="42">M178+5/1440</f>
        <v>0.65277777777777735</v>
      </c>
      <c r="M179" s="12">
        <f t="shared" ref="M179:M183" si="43">L179+15/1440</f>
        <v>0.66319444444444398</v>
      </c>
    </row>
    <row r="180" spans="1:13" x14ac:dyDescent="0.25">
      <c r="A180" s="11">
        <v>4</v>
      </c>
      <c r="B180" s="16">
        <f t="shared" si="36"/>
        <v>0.375</v>
      </c>
      <c r="C180" s="16">
        <f t="shared" si="37"/>
        <v>0.38541666666666669</v>
      </c>
      <c r="D180" s="11">
        <v>11</v>
      </c>
      <c r="E180" s="79">
        <f t="shared" si="38"/>
        <v>0.47222222222222227</v>
      </c>
      <c r="F180" s="80"/>
      <c r="G180" s="16">
        <f t="shared" si="39"/>
        <v>0.48263888888888895</v>
      </c>
      <c r="H180" s="11">
        <v>15</v>
      </c>
      <c r="I180" s="16">
        <f t="shared" si="40"/>
        <v>0.56944444444444431</v>
      </c>
      <c r="J180" s="16">
        <f t="shared" si="41"/>
        <v>0.57986111111111094</v>
      </c>
      <c r="K180" s="11">
        <v>22</v>
      </c>
      <c r="L180" s="12">
        <f t="shared" si="42"/>
        <v>0.66666666666666619</v>
      </c>
      <c r="M180" s="12">
        <f t="shared" si="43"/>
        <v>0.67708333333333282</v>
      </c>
    </row>
    <row r="181" spans="1:13" x14ac:dyDescent="0.25">
      <c r="A181" s="11">
        <v>5</v>
      </c>
      <c r="B181" s="16">
        <f t="shared" si="36"/>
        <v>0.3888888888888889</v>
      </c>
      <c r="C181" s="16">
        <f t="shared" si="37"/>
        <v>0.39930555555555558</v>
      </c>
      <c r="D181" s="11">
        <v>12</v>
      </c>
      <c r="E181" s="79">
        <f t="shared" si="38"/>
        <v>0.48611111111111116</v>
      </c>
      <c r="F181" s="80"/>
      <c r="G181" s="16">
        <f t="shared" si="39"/>
        <v>0.49652777777777785</v>
      </c>
      <c r="H181" s="11">
        <v>16</v>
      </c>
      <c r="I181" s="16">
        <f t="shared" si="40"/>
        <v>0.58333333333333315</v>
      </c>
      <c r="J181" s="16">
        <f t="shared" si="41"/>
        <v>0.59374999999999978</v>
      </c>
      <c r="K181" s="11">
        <v>23</v>
      </c>
      <c r="L181" s="12">
        <f t="shared" si="42"/>
        <v>0.68055555555555503</v>
      </c>
      <c r="M181" s="12">
        <f t="shared" si="43"/>
        <v>0.69097222222222165</v>
      </c>
    </row>
    <row r="182" spans="1:13" x14ac:dyDescent="0.25">
      <c r="A182" s="11">
        <v>6</v>
      </c>
      <c r="B182" s="16">
        <f t="shared" si="36"/>
        <v>0.40277777777777779</v>
      </c>
      <c r="C182" s="16">
        <f t="shared" si="37"/>
        <v>0.41319444444444448</v>
      </c>
      <c r="D182" s="11"/>
      <c r="E182" s="77">
        <f t="shared" si="38"/>
        <v>0.50000000000000011</v>
      </c>
      <c r="F182" s="78"/>
      <c r="G182" s="21">
        <f t="shared" si="39"/>
        <v>0.51041666666666674</v>
      </c>
      <c r="H182" s="11">
        <v>17</v>
      </c>
      <c r="I182" s="16">
        <f t="shared" si="40"/>
        <v>0.59722222222222199</v>
      </c>
      <c r="J182" s="16">
        <f t="shared" si="41"/>
        <v>0.60763888888888862</v>
      </c>
      <c r="K182" s="11">
        <v>24</v>
      </c>
      <c r="L182" s="12">
        <f t="shared" si="42"/>
        <v>0.69444444444444386</v>
      </c>
      <c r="M182" s="12">
        <f t="shared" si="43"/>
        <v>0.70486111111111049</v>
      </c>
    </row>
    <row r="183" spans="1:13" x14ac:dyDescent="0.25">
      <c r="A183" s="11">
        <v>7</v>
      </c>
      <c r="B183" s="16">
        <f t="shared" si="36"/>
        <v>0.41666666666666669</v>
      </c>
      <c r="C183" s="16">
        <f t="shared" si="37"/>
        <v>0.42708333333333337</v>
      </c>
      <c r="D183" s="11"/>
      <c r="E183" s="77">
        <f t="shared" si="38"/>
        <v>0.51388888888888895</v>
      </c>
      <c r="F183" s="78"/>
      <c r="G183" s="21">
        <f t="shared" si="39"/>
        <v>0.52430555555555558</v>
      </c>
      <c r="H183" s="11">
        <v>18</v>
      </c>
      <c r="I183" s="16">
        <f t="shared" si="40"/>
        <v>0.61111111111111083</v>
      </c>
      <c r="J183" s="16">
        <f t="shared" si="41"/>
        <v>0.62152777777777746</v>
      </c>
      <c r="K183" s="11">
        <v>25</v>
      </c>
      <c r="L183" s="12">
        <f t="shared" si="42"/>
        <v>0.7083333333333327</v>
      </c>
      <c r="M183" s="12">
        <f t="shared" si="43"/>
        <v>0.71874999999999933</v>
      </c>
    </row>
    <row r="186" spans="1:13" ht="26.25" x14ac:dyDescent="0.4">
      <c r="A186" s="57" t="s">
        <v>74</v>
      </c>
      <c r="B186" s="2"/>
      <c r="C186" s="2"/>
      <c r="D186" s="2"/>
      <c r="E186" s="2"/>
      <c r="F186" s="55"/>
      <c r="G186" s="55"/>
      <c r="H186" s="56"/>
      <c r="I186" s="55"/>
      <c r="J186" s="55"/>
    </row>
    <row r="187" spans="1:13" ht="23.25" x14ac:dyDescent="0.35">
      <c r="A187" s="59"/>
      <c r="B187" s="60"/>
      <c r="C187" s="2"/>
      <c r="D187" s="2"/>
      <c r="E187" s="2"/>
      <c r="F187" s="18"/>
      <c r="G187" s="18"/>
      <c r="H187" s="19"/>
      <c r="I187" s="18"/>
      <c r="J187" s="18"/>
    </row>
    <row r="188" spans="1:13" x14ac:dyDescent="0.25">
      <c r="A188" s="115" t="s">
        <v>18</v>
      </c>
      <c r="B188" s="115"/>
      <c r="C188" s="115"/>
      <c r="D188" s="115"/>
      <c r="E188" s="2"/>
      <c r="F188" s="2"/>
      <c r="G188" s="2"/>
    </row>
    <row r="189" spans="1:13" x14ac:dyDescent="0.25">
      <c r="A189" s="9" t="s">
        <v>12</v>
      </c>
      <c r="B189" s="9" t="s">
        <v>13</v>
      </c>
      <c r="C189" s="9" t="s">
        <v>14</v>
      </c>
      <c r="D189" s="10" t="s">
        <v>12</v>
      </c>
      <c r="E189" s="85" t="s">
        <v>13</v>
      </c>
      <c r="F189" s="86"/>
      <c r="G189" s="10" t="s">
        <v>14</v>
      </c>
      <c r="H189" s="9" t="s">
        <v>12</v>
      </c>
      <c r="I189" s="10" t="s">
        <v>13</v>
      </c>
      <c r="J189" s="10" t="s">
        <v>14</v>
      </c>
      <c r="K189" s="9" t="s">
        <v>12</v>
      </c>
      <c r="L189" s="10" t="s">
        <v>13</v>
      </c>
      <c r="M189" s="10" t="s">
        <v>14</v>
      </c>
    </row>
    <row r="190" spans="1:13" x14ac:dyDescent="0.25">
      <c r="A190" s="11">
        <v>1</v>
      </c>
      <c r="B190" s="16">
        <v>0.33333333333333331</v>
      </c>
      <c r="C190" s="16">
        <f>+B190+15/1440</f>
        <v>0.34375</v>
      </c>
      <c r="D190" s="11">
        <v>8</v>
      </c>
      <c r="E190" s="79">
        <f>+C196+5/1440</f>
        <v>0.43055555555555558</v>
      </c>
      <c r="F190" s="80"/>
      <c r="G190" s="16">
        <f>+E190+15/1440</f>
        <v>0.44097222222222227</v>
      </c>
      <c r="H190" s="11"/>
      <c r="I190" s="12">
        <f>G196+5/1440</f>
        <v>0.52777777777777779</v>
      </c>
      <c r="J190" s="12">
        <f>I190+15/1440</f>
        <v>0.53819444444444442</v>
      </c>
      <c r="K190" s="11">
        <v>19</v>
      </c>
      <c r="L190" s="12">
        <f>J196+5/1440</f>
        <v>0.62499999999999967</v>
      </c>
      <c r="M190" s="12">
        <f>L190+15/1440</f>
        <v>0.6354166666666663</v>
      </c>
    </row>
    <row r="191" spans="1:13" x14ac:dyDescent="0.25">
      <c r="A191" s="11">
        <v>2</v>
      </c>
      <c r="B191" s="16">
        <f t="shared" ref="B191:B196" si="44">+C190+5/1440</f>
        <v>0.34722222222222221</v>
      </c>
      <c r="C191" s="16">
        <f>+B191+15/1440</f>
        <v>0.3576388888888889</v>
      </c>
      <c r="D191" s="11">
        <v>9</v>
      </c>
      <c r="E191" s="79">
        <f>+G190+5/1440</f>
        <v>0.44444444444444448</v>
      </c>
      <c r="F191" s="80"/>
      <c r="G191" s="16">
        <f>+E191+15/1440</f>
        <v>0.45486111111111116</v>
      </c>
      <c r="H191" s="11">
        <v>13</v>
      </c>
      <c r="I191" s="16">
        <f>J190+5/1440</f>
        <v>0.54166666666666663</v>
      </c>
      <c r="J191" s="16">
        <f>I191+15/1440</f>
        <v>0.55208333333333326</v>
      </c>
      <c r="K191" s="11">
        <v>20</v>
      </c>
      <c r="L191" s="12">
        <f>M190+5/1440</f>
        <v>0.63888888888888851</v>
      </c>
      <c r="M191" s="12">
        <f>L191+15/1440</f>
        <v>0.64930555555555514</v>
      </c>
    </row>
    <row r="192" spans="1:13" x14ac:dyDescent="0.25">
      <c r="A192" s="11">
        <v>3</v>
      </c>
      <c r="B192" s="16">
        <f t="shared" si="44"/>
        <v>0.3611111111111111</v>
      </c>
      <c r="C192" s="16">
        <f t="shared" ref="C192:C196" si="45">+B192+15/1440</f>
        <v>0.37152777777777779</v>
      </c>
      <c r="D192" s="11">
        <v>10</v>
      </c>
      <c r="E192" s="79">
        <f t="shared" ref="E192:E196" si="46">+G191+5/1440</f>
        <v>0.45833333333333337</v>
      </c>
      <c r="F192" s="80"/>
      <c r="G192" s="16">
        <f t="shared" ref="G192:G196" si="47">+E192+15/1440</f>
        <v>0.46875000000000006</v>
      </c>
      <c r="H192" s="11">
        <v>14</v>
      </c>
      <c r="I192" s="16">
        <f t="shared" ref="I192:I196" si="48">J191+5/1440</f>
        <v>0.55555555555555547</v>
      </c>
      <c r="J192" s="16">
        <f t="shared" ref="J192:J196" si="49">I192+15/1440</f>
        <v>0.5659722222222221</v>
      </c>
      <c r="K192" s="11">
        <v>21</v>
      </c>
      <c r="L192" s="12">
        <f t="shared" ref="L192:L196" si="50">M191+5/1440</f>
        <v>0.65277777777777735</v>
      </c>
      <c r="M192" s="12">
        <f t="shared" ref="M192:M196" si="51">L192+15/1440</f>
        <v>0.66319444444444398</v>
      </c>
    </row>
    <row r="193" spans="1:13" x14ac:dyDescent="0.25">
      <c r="A193" s="11">
        <v>4</v>
      </c>
      <c r="B193" s="16">
        <f t="shared" si="44"/>
        <v>0.375</v>
      </c>
      <c r="C193" s="16">
        <f t="shared" si="45"/>
        <v>0.38541666666666669</v>
      </c>
      <c r="D193" s="11">
        <v>11</v>
      </c>
      <c r="E193" s="79">
        <f t="shared" si="46"/>
        <v>0.47222222222222227</v>
      </c>
      <c r="F193" s="80"/>
      <c r="G193" s="16">
        <f t="shared" si="47"/>
        <v>0.48263888888888895</v>
      </c>
      <c r="H193" s="11">
        <v>15</v>
      </c>
      <c r="I193" s="16">
        <f t="shared" si="48"/>
        <v>0.56944444444444431</v>
      </c>
      <c r="J193" s="16">
        <f t="shared" si="49"/>
        <v>0.57986111111111094</v>
      </c>
      <c r="K193" s="11">
        <v>22</v>
      </c>
      <c r="L193" s="12">
        <f t="shared" si="50"/>
        <v>0.66666666666666619</v>
      </c>
      <c r="M193" s="12">
        <f t="shared" si="51"/>
        <v>0.67708333333333282</v>
      </c>
    </row>
    <row r="194" spans="1:13" x14ac:dyDescent="0.25">
      <c r="A194" s="11">
        <v>5</v>
      </c>
      <c r="B194" s="16">
        <f t="shared" si="44"/>
        <v>0.3888888888888889</v>
      </c>
      <c r="C194" s="16">
        <f t="shared" si="45"/>
        <v>0.39930555555555558</v>
      </c>
      <c r="D194" s="11">
        <v>12</v>
      </c>
      <c r="E194" s="79">
        <f t="shared" si="46"/>
        <v>0.48611111111111116</v>
      </c>
      <c r="F194" s="80"/>
      <c r="G194" s="16">
        <f t="shared" si="47"/>
        <v>0.49652777777777785</v>
      </c>
      <c r="H194" s="11">
        <v>16</v>
      </c>
      <c r="I194" s="16">
        <f t="shared" si="48"/>
        <v>0.58333333333333315</v>
      </c>
      <c r="J194" s="16">
        <f t="shared" si="49"/>
        <v>0.59374999999999978</v>
      </c>
      <c r="K194" s="11">
        <v>23</v>
      </c>
      <c r="L194" s="12">
        <f t="shared" si="50"/>
        <v>0.68055555555555503</v>
      </c>
      <c r="M194" s="12">
        <f t="shared" si="51"/>
        <v>0.69097222222222165</v>
      </c>
    </row>
    <row r="195" spans="1:13" x14ac:dyDescent="0.25">
      <c r="A195" s="11">
        <v>6</v>
      </c>
      <c r="B195" s="16">
        <f t="shared" si="44"/>
        <v>0.40277777777777779</v>
      </c>
      <c r="C195" s="16">
        <f t="shared" si="45"/>
        <v>0.41319444444444448</v>
      </c>
      <c r="D195" s="11"/>
      <c r="E195" s="77">
        <f t="shared" si="46"/>
        <v>0.50000000000000011</v>
      </c>
      <c r="F195" s="78"/>
      <c r="G195" s="21">
        <f t="shared" si="47"/>
        <v>0.51041666666666674</v>
      </c>
      <c r="H195" s="11">
        <v>17</v>
      </c>
      <c r="I195" s="16">
        <f t="shared" si="48"/>
        <v>0.59722222222222199</v>
      </c>
      <c r="J195" s="16">
        <f t="shared" si="49"/>
        <v>0.60763888888888862</v>
      </c>
      <c r="K195" s="11">
        <v>24</v>
      </c>
      <c r="L195" s="12">
        <f t="shared" si="50"/>
        <v>0.69444444444444386</v>
      </c>
      <c r="M195" s="12">
        <f t="shared" si="51"/>
        <v>0.70486111111111049</v>
      </c>
    </row>
    <row r="196" spans="1:13" x14ac:dyDescent="0.25">
      <c r="A196" s="11">
        <v>7</v>
      </c>
      <c r="B196" s="16">
        <f t="shared" si="44"/>
        <v>0.41666666666666669</v>
      </c>
      <c r="C196" s="16">
        <f t="shared" si="45"/>
        <v>0.42708333333333337</v>
      </c>
      <c r="D196" s="11"/>
      <c r="E196" s="77">
        <f t="shared" si="46"/>
        <v>0.51388888888888895</v>
      </c>
      <c r="F196" s="78"/>
      <c r="G196" s="21">
        <f t="shared" si="47"/>
        <v>0.52430555555555558</v>
      </c>
      <c r="H196" s="11">
        <v>18</v>
      </c>
      <c r="I196" s="16">
        <f t="shared" si="48"/>
        <v>0.61111111111111083</v>
      </c>
      <c r="J196" s="16">
        <f t="shared" si="49"/>
        <v>0.62152777777777746</v>
      </c>
      <c r="K196" s="11">
        <v>25</v>
      </c>
      <c r="L196" s="12">
        <f t="shared" si="50"/>
        <v>0.7083333333333327</v>
      </c>
      <c r="M196" s="12">
        <f t="shared" si="51"/>
        <v>0.71874999999999933</v>
      </c>
    </row>
    <row r="199" spans="1:13" ht="15.75" thickBot="1" x14ac:dyDescent="0.3"/>
    <row r="200" spans="1:13" x14ac:dyDescent="0.25">
      <c r="A200" s="94" t="s">
        <v>20</v>
      </c>
      <c r="B200" s="95"/>
      <c r="C200" s="95"/>
      <c r="D200" s="96"/>
      <c r="E200" s="95" t="s">
        <v>21</v>
      </c>
      <c r="F200" s="95"/>
      <c r="G200" s="95"/>
      <c r="H200" s="95"/>
      <c r="I200" s="95"/>
      <c r="J200" s="96"/>
    </row>
    <row r="201" spans="1:13" ht="15.75" thickBot="1" x14ac:dyDescent="0.3">
      <c r="A201" s="97"/>
      <c r="B201" s="98"/>
      <c r="C201" s="98"/>
      <c r="D201" s="99"/>
      <c r="E201" s="98"/>
      <c r="F201" s="98"/>
      <c r="G201" s="98"/>
      <c r="H201" s="98"/>
      <c r="I201" s="98"/>
      <c r="J201" s="99"/>
    </row>
    <row r="202" spans="1:13" ht="18.75" x14ac:dyDescent="0.25">
      <c r="A202" s="87" t="s">
        <v>0</v>
      </c>
      <c r="B202" s="87"/>
      <c r="C202" s="100" t="s">
        <v>58</v>
      </c>
      <c r="D202" s="100"/>
      <c r="E202" s="100"/>
      <c r="F202" s="100"/>
      <c r="G202" s="100"/>
      <c r="H202" s="1" t="s">
        <v>1</v>
      </c>
      <c r="I202" s="101">
        <v>45590</v>
      </c>
      <c r="J202" s="102"/>
    </row>
    <row r="203" spans="1:13" ht="31.5" customHeight="1" x14ac:dyDescent="0.25">
      <c r="A203" s="87" t="s">
        <v>2</v>
      </c>
      <c r="B203" s="87"/>
      <c r="C203" s="88" t="s">
        <v>59</v>
      </c>
      <c r="D203" s="88"/>
      <c r="E203" s="88"/>
      <c r="F203" s="88"/>
      <c r="G203" s="88"/>
      <c r="H203" s="1" t="s">
        <v>3</v>
      </c>
      <c r="I203" s="89" t="s">
        <v>41</v>
      </c>
      <c r="J203" s="89"/>
    </row>
    <row r="204" spans="1:13" x14ac:dyDescent="0.25">
      <c r="A204" s="2"/>
      <c r="B204" s="2"/>
      <c r="C204" s="2"/>
      <c r="D204" s="2"/>
      <c r="E204" s="2"/>
      <c r="F204" s="2"/>
      <c r="G204" s="2"/>
      <c r="I204" s="90" t="s">
        <v>49</v>
      </c>
      <c r="J204" s="90"/>
    </row>
    <row r="205" spans="1:13" ht="18.75" x14ac:dyDescent="0.3">
      <c r="A205" s="91" t="s">
        <v>4</v>
      </c>
      <c r="B205" s="91"/>
      <c r="C205" s="3" t="s">
        <v>5</v>
      </c>
      <c r="D205" s="14" t="s">
        <v>6</v>
      </c>
      <c r="E205" s="92" t="s">
        <v>7</v>
      </c>
      <c r="F205" s="4">
        <f>ROUNDDOWN(D231/400,0)</f>
        <v>22</v>
      </c>
      <c r="G205" s="5" t="s">
        <v>8</v>
      </c>
      <c r="H205" s="6">
        <f>D231-(F205*400)</f>
        <v>14.040000000000873</v>
      </c>
      <c r="I205" s="7" t="s">
        <v>9</v>
      </c>
    </row>
    <row r="206" spans="1:13" ht="16.5" thickBot="1" x14ac:dyDescent="0.3">
      <c r="A206" s="26" t="s">
        <v>23</v>
      </c>
      <c r="B206" s="29"/>
      <c r="C206" s="48"/>
      <c r="D206" s="20"/>
      <c r="E206" s="92"/>
      <c r="F206" s="91" t="s">
        <v>4</v>
      </c>
      <c r="G206" s="91"/>
      <c r="H206" s="3" t="s">
        <v>5</v>
      </c>
      <c r="I206" s="14" t="s">
        <v>6</v>
      </c>
      <c r="J206" s="14" t="s">
        <v>6</v>
      </c>
    </row>
    <row r="207" spans="1:13" ht="15.75" x14ac:dyDescent="0.25">
      <c r="A207" s="26" t="s">
        <v>42</v>
      </c>
      <c r="B207" s="29"/>
      <c r="C207" s="48"/>
      <c r="D207" s="20"/>
      <c r="E207" s="92"/>
      <c r="F207" s="26" t="s">
        <v>23</v>
      </c>
      <c r="G207" s="33"/>
      <c r="H207" s="30"/>
      <c r="I207" s="35"/>
      <c r="J207" s="35"/>
    </row>
    <row r="208" spans="1:13" ht="15.75" x14ac:dyDescent="0.25">
      <c r="A208" s="27" t="s">
        <v>24</v>
      </c>
      <c r="B208" s="29"/>
      <c r="C208" s="38"/>
      <c r="D208" s="20"/>
      <c r="E208" s="92"/>
      <c r="F208" s="26" t="s">
        <v>42</v>
      </c>
      <c r="G208" s="33"/>
      <c r="H208" s="39"/>
      <c r="I208" s="35"/>
      <c r="J208" s="35"/>
    </row>
    <row r="209" spans="1:10" ht="15.75" x14ac:dyDescent="0.25">
      <c r="A209" s="27" t="s">
        <v>25</v>
      </c>
      <c r="B209" s="29"/>
      <c r="C209" s="38">
        <v>0.2727</v>
      </c>
      <c r="D209" s="20">
        <f>C209*$D$32</f>
        <v>682.15904999999998</v>
      </c>
      <c r="E209" s="92"/>
      <c r="F209" s="27" t="s">
        <v>24</v>
      </c>
      <c r="G209" s="33"/>
      <c r="H209" s="31"/>
      <c r="I209" s="35"/>
      <c r="J209" s="35"/>
    </row>
    <row r="210" spans="1:10" ht="15.75" x14ac:dyDescent="0.25">
      <c r="A210" s="27" t="s">
        <v>47</v>
      </c>
      <c r="B210" s="29"/>
      <c r="C210" s="38">
        <v>0.1047</v>
      </c>
      <c r="D210" s="20">
        <f t="shared" ref="D210:D226" si="52">C210*$D$32</f>
        <v>261.90705000000003</v>
      </c>
      <c r="E210" s="92"/>
      <c r="F210" s="27" t="s">
        <v>25</v>
      </c>
      <c r="G210" s="33"/>
      <c r="H210" s="31">
        <v>0.3291</v>
      </c>
      <c r="I210" s="35">
        <f t="shared" ref="I210:I228" si="53">H210*$I$33</f>
        <v>131.64000000000001</v>
      </c>
      <c r="J210" s="35">
        <f t="shared" ref="J210:J228" si="54">H210*$J$33</f>
        <v>33.403649999999999</v>
      </c>
    </row>
    <row r="211" spans="1:10" ht="15.75" x14ac:dyDescent="0.25">
      <c r="A211" s="27" t="s">
        <v>46</v>
      </c>
      <c r="B211" s="29"/>
      <c r="C211" s="38"/>
      <c r="D211" s="20"/>
      <c r="E211" s="92"/>
      <c r="F211" s="27" t="s">
        <v>47</v>
      </c>
      <c r="G211" s="33"/>
      <c r="H211" s="31">
        <v>0.1404</v>
      </c>
      <c r="I211" s="35">
        <f t="shared" si="53"/>
        <v>56.16</v>
      </c>
      <c r="J211" s="35">
        <f t="shared" si="54"/>
        <v>14.2506</v>
      </c>
    </row>
    <row r="212" spans="1:10" ht="15.75" x14ac:dyDescent="0.25">
      <c r="A212" s="27" t="s">
        <v>26</v>
      </c>
      <c r="B212" s="29"/>
      <c r="C212" s="38"/>
      <c r="D212" s="20"/>
      <c r="E212" s="92"/>
      <c r="F212" s="27" t="s">
        <v>46</v>
      </c>
      <c r="G212" s="33"/>
      <c r="H212" s="31"/>
      <c r="I212" s="35"/>
      <c r="J212" s="35"/>
    </row>
    <row r="213" spans="1:10" ht="15.75" x14ac:dyDescent="0.25">
      <c r="A213" s="27" t="s">
        <v>43</v>
      </c>
      <c r="B213" s="29"/>
      <c r="C213" s="38"/>
      <c r="D213" s="20"/>
      <c r="E213" s="92"/>
      <c r="F213" s="27" t="s">
        <v>26</v>
      </c>
      <c r="G213" s="33"/>
      <c r="H213" s="31">
        <v>1.7500000000000002E-2</v>
      </c>
      <c r="I213" s="35">
        <f t="shared" si="53"/>
        <v>7.0000000000000009</v>
      </c>
      <c r="J213" s="35">
        <f t="shared" si="54"/>
        <v>1.7762500000000001</v>
      </c>
    </row>
    <row r="214" spans="1:10" ht="15.75" x14ac:dyDescent="0.25">
      <c r="A214" s="27" t="s">
        <v>19</v>
      </c>
      <c r="B214" s="29"/>
      <c r="C214" s="38"/>
      <c r="D214" s="20"/>
      <c r="E214" s="92"/>
      <c r="F214" s="27" t="s">
        <v>43</v>
      </c>
      <c r="G214" s="33"/>
      <c r="H214" s="31"/>
      <c r="I214" s="35"/>
      <c r="J214" s="35"/>
    </row>
    <row r="215" spans="1:10" ht="15.75" x14ac:dyDescent="0.25">
      <c r="A215" s="27" t="s">
        <v>27</v>
      </c>
      <c r="B215" s="29"/>
      <c r="C215" s="38"/>
      <c r="D215" s="20"/>
      <c r="E215" s="92"/>
      <c r="F215" s="27" t="s">
        <v>19</v>
      </c>
      <c r="G215" s="33"/>
      <c r="H215" s="31"/>
      <c r="I215" s="35"/>
      <c r="J215" s="35"/>
    </row>
    <row r="216" spans="1:10" ht="15.75" x14ac:dyDescent="0.25">
      <c r="A216" s="27" t="s">
        <v>44</v>
      </c>
      <c r="B216" s="29"/>
      <c r="C216" s="38"/>
      <c r="D216" s="20"/>
      <c r="E216" s="92"/>
      <c r="F216" s="27" t="s">
        <v>27</v>
      </c>
      <c r="G216" s="33"/>
      <c r="H216" s="31"/>
      <c r="I216" s="35"/>
      <c r="J216" s="35"/>
    </row>
    <row r="217" spans="1:10" ht="15.75" x14ac:dyDescent="0.25">
      <c r="A217" s="27" t="s">
        <v>28</v>
      </c>
      <c r="B217" s="29"/>
      <c r="C217" s="38">
        <v>0.58179999999999998</v>
      </c>
      <c r="D217" s="20">
        <f t="shared" si="52"/>
        <v>1455.3726999999999</v>
      </c>
      <c r="E217" s="92"/>
      <c r="F217" s="27" t="s">
        <v>44</v>
      </c>
      <c r="G217" s="33"/>
      <c r="H217" s="31">
        <v>0.43859999999999999</v>
      </c>
      <c r="I217" s="35">
        <f t="shared" si="53"/>
        <v>175.44</v>
      </c>
      <c r="J217" s="35">
        <f t="shared" si="54"/>
        <v>44.517899999999997</v>
      </c>
    </row>
    <row r="218" spans="1:10" ht="15.75" x14ac:dyDescent="0.25">
      <c r="A218" s="27" t="s">
        <v>45</v>
      </c>
      <c r="B218" s="29"/>
      <c r="C218" s="38"/>
      <c r="D218" s="20"/>
      <c r="E218" s="92"/>
      <c r="F218" s="27" t="s">
        <v>28</v>
      </c>
      <c r="G218" s="33"/>
      <c r="H218" s="31"/>
      <c r="I218" s="35"/>
      <c r="J218" s="35"/>
    </row>
    <row r="219" spans="1:10" ht="15.75" x14ac:dyDescent="0.25">
      <c r="A219" s="27" t="s">
        <v>10</v>
      </c>
      <c r="B219" s="29"/>
      <c r="C219" s="38"/>
      <c r="D219" s="20"/>
      <c r="E219" s="92"/>
      <c r="F219" s="27" t="s">
        <v>45</v>
      </c>
      <c r="G219" s="33"/>
      <c r="H219" s="31"/>
      <c r="I219" s="35"/>
      <c r="J219" s="35"/>
    </row>
    <row r="220" spans="1:10" ht="15.75" x14ac:dyDescent="0.25">
      <c r="A220" s="27" t="s">
        <v>29</v>
      </c>
      <c r="B220" s="29"/>
      <c r="C220" s="38"/>
      <c r="D220" s="20"/>
      <c r="E220" s="92"/>
      <c r="F220" s="27" t="s">
        <v>10</v>
      </c>
      <c r="G220" s="33"/>
      <c r="H220" s="31"/>
      <c r="I220" s="35"/>
      <c r="J220" s="35"/>
    </row>
    <row r="221" spans="1:10" ht="15.75" x14ac:dyDescent="0.25">
      <c r="A221" s="27" t="s">
        <v>17</v>
      </c>
      <c r="B221" s="29"/>
      <c r="C221" s="38"/>
      <c r="D221" s="20"/>
      <c r="E221" s="92"/>
      <c r="F221" s="27" t="s">
        <v>29</v>
      </c>
      <c r="G221" s="33"/>
      <c r="H221" s="31"/>
      <c r="I221" s="35"/>
      <c r="J221" s="35"/>
    </row>
    <row r="222" spans="1:10" ht="15.75" x14ac:dyDescent="0.25">
      <c r="A222" s="27" t="s">
        <v>30</v>
      </c>
      <c r="B222" s="29"/>
      <c r="C222" s="38"/>
      <c r="D222" s="20"/>
      <c r="E222" s="92"/>
      <c r="F222" s="27" t="s">
        <v>17</v>
      </c>
      <c r="G222" s="33"/>
      <c r="H222" s="31"/>
      <c r="I222" s="35"/>
      <c r="J222" s="35"/>
    </row>
    <row r="223" spans="1:10" ht="15.75" x14ac:dyDescent="0.25">
      <c r="A223" s="27" t="s">
        <v>31</v>
      </c>
      <c r="B223" s="29"/>
      <c r="C223" s="38"/>
      <c r="D223" s="20"/>
      <c r="E223" s="92"/>
      <c r="F223" s="27" t="s">
        <v>30</v>
      </c>
      <c r="G223" s="33"/>
      <c r="H223" s="31"/>
      <c r="I223" s="35"/>
      <c r="J223" s="35"/>
    </row>
    <row r="224" spans="1:10" ht="15.75" x14ac:dyDescent="0.25">
      <c r="A224" s="27" t="s">
        <v>16</v>
      </c>
      <c r="B224" s="29"/>
      <c r="C224" s="38"/>
      <c r="D224" s="20"/>
      <c r="E224" s="92"/>
      <c r="F224" s="27" t="s">
        <v>31</v>
      </c>
      <c r="G224" s="33"/>
      <c r="H224" s="31"/>
      <c r="I224" s="35"/>
      <c r="J224" s="35"/>
    </row>
    <row r="225" spans="1:13" ht="15.75" x14ac:dyDescent="0.25">
      <c r="A225" s="27" t="s">
        <v>32</v>
      </c>
      <c r="B225" s="23"/>
      <c r="C225" s="38">
        <v>3.8600000000000002E-2</v>
      </c>
      <c r="D225" s="20">
        <f t="shared" si="52"/>
        <v>96.557900000000004</v>
      </c>
      <c r="E225" s="92"/>
      <c r="F225" s="27" t="s">
        <v>16</v>
      </c>
      <c r="G225" s="24"/>
      <c r="H225" s="31"/>
      <c r="I225" s="35"/>
      <c r="J225" s="35"/>
    </row>
    <row r="226" spans="1:13" ht="15.75" x14ac:dyDescent="0.25">
      <c r="A226" s="27" t="s">
        <v>33</v>
      </c>
      <c r="B226" s="23"/>
      <c r="C226" s="38">
        <v>2.2000000000000001E-3</v>
      </c>
      <c r="D226" s="20">
        <f t="shared" si="52"/>
        <v>5.5033000000000003</v>
      </c>
      <c r="E226" s="92"/>
      <c r="F226" s="27" t="s">
        <v>32</v>
      </c>
      <c r="G226" s="24"/>
      <c r="H226" s="31">
        <v>3.7199999999999997E-2</v>
      </c>
      <c r="I226" s="35">
        <f t="shared" si="53"/>
        <v>14.879999999999999</v>
      </c>
      <c r="J226" s="35">
        <f t="shared" si="54"/>
        <v>3.7757999999999998</v>
      </c>
    </row>
    <row r="227" spans="1:13" ht="15.75" x14ac:dyDescent="0.25">
      <c r="A227" s="27" t="s">
        <v>34</v>
      </c>
      <c r="B227" s="23"/>
      <c r="C227" s="38"/>
      <c r="D227" s="20"/>
      <c r="E227" s="92"/>
      <c r="F227" s="27" t="s">
        <v>33</v>
      </c>
      <c r="G227" s="24"/>
      <c r="H227" s="31">
        <v>2.0999999999999999E-3</v>
      </c>
      <c r="I227" s="35">
        <f t="shared" si="53"/>
        <v>0.84</v>
      </c>
      <c r="J227" s="35">
        <f t="shared" si="54"/>
        <v>0.21314999999999998</v>
      </c>
    </row>
    <row r="228" spans="1:13" ht="15.75" x14ac:dyDescent="0.25">
      <c r="A228" s="27" t="s">
        <v>22</v>
      </c>
      <c r="B228" s="23"/>
      <c r="C228" s="38"/>
      <c r="D228" s="20"/>
      <c r="E228" s="92"/>
      <c r="F228" s="27" t="s">
        <v>34</v>
      </c>
      <c r="G228" s="24"/>
      <c r="H228" s="31">
        <v>3.5099999999999999E-2</v>
      </c>
      <c r="I228" s="35">
        <f t="shared" si="53"/>
        <v>14.04</v>
      </c>
      <c r="J228" s="35">
        <f t="shared" si="54"/>
        <v>3.5626500000000001</v>
      </c>
    </row>
    <row r="229" spans="1:13" ht="15.75" x14ac:dyDescent="0.25">
      <c r="A229" s="27" t="s">
        <v>35</v>
      </c>
      <c r="B229" s="29"/>
      <c r="C229" s="38"/>
      <c r="D229" s="20"/>
      <c r="E229" s="92"/>
      <c r="F229" s="27" t="s">
        <v>22</v>
      </c>
      <c r="G229" s="33"/>
      <c r="H229" s="31"/>
      <c r="I229" s="35"/>
      <c r="J229" s="35"/>
    </row>
    <row r="230" spans="1:13" ht="16.5" thickBot="1" x14ac:dyDescent="0.3">
      <c r="A230" s="28" t="s">
        <v>36</v>
      </c>
      <c r="B230" s="29"/>
      <c r="C230" s="49"/>
      <c r="D230" s="20"/>
      <c r="E230" s="92"/>
      <c r="F230" s="27" t="s">
        <v>35</v>
      </c>
      <c r="G230" s="33"/>
      <c r="H230" s="31"/>
      <c r="I230" s="35"/>
      <c r="J230" s="35"/>
    </row>
    <row r="231" spans="1:13" ht="16.5" thickBot="1" x14ac:dyDescent="0.3">
      <c r="A231" s="93" t="s">
        <v>11</v>
      </c>
      <c r="B231" s="93"/>
      <c r="C231" s="8">
        <f>SUM(C206:C230)</f>
        <v>1</v>
      </c>
      <c r="D231" s="15">
        <v>8814.0400000000009</v>
      </c>
      <c r="E231" s="92"/>
      <c r="F231" s="28" t="s">
        <v>36</v>
      </c>
      <c r="G231" s="34"/>
      <c r="H231" s="32"/>
      <c r="I231" s="35"/>
      <c r="J231" s="35"/>
    </row>
    <row r="232" spans="1:13" x14ac:dyDescent="0.25">
      <c r="A232" s="2"/>
      <c r="B232" s="2"/>
      <c r="C232" s="2"/>
      <c r="D232" s="2"/>
      <c r="E232" s="2"/>
      <c r="F232" s="81" t="s">
        <v>11</v>
      </c>
      <c r="G232" s="81"/>
      <c r="H232" s="17">
        <f>SUM(H207:H231)</f>
        <v>1</v>
      </c>
      <c r="I232" s="13">
        <v>400</v>
      </c>
      <c r="J232" s="13">
        <f>+H205</f>
        <v>14.040000000000873</v>
      </c>
    </row>
    <row r="233" spans="1:13" ht="23.25" x14ac:dyDescent="0.35">
      <c r="A233" s="82"/>
      <c r="B233" s="83"/>
      <c r="C233" s="2"/>
      <c r="D233" s="2"/>
      <c r="E233" s="2"/>
      <c r="F233" s="18"/>
      <c r="G233" s="18"/>
      <c r="H233" s="19"/>
      <c r="I233" s="18"/>
      <c r="J233" s="18"/>
    </row>
    <row r="234" spans="1:13" x14ac:dyDescent="0.25">
      <c r="A234" s="84" t="s">
        <v>18</v>
      </c>
      <c r="B234" s="84"/>
      <c r="C234" s="84"/>
      <c r="D234" s="84"/>
      <c r="E234" s="2"/>
      <c r="F234" s="2"/>
      <c r="G234" s="2"/>
    </row>
    <row r="235" spans="1:13" x14ac:dyDescent="0.25">
      <c r="A235" s="9" t="s">
        <v>12</v>
      </c>
      <c r="B235" s="9" t="s">
        <v>13</v>
      </c>
      <c r="C235" s="9" t="s">
        <v>14</v>
      </c>
      <c r="D235" s="10" t="s">
        <v>12</v>
      </c>
      <c r="E235" s="85" t="s">
        <v>13</v>
      </c>
      <c r="F235" s="86"/>
      <c r="G235" s="10" t="s">
        <v>14</v>
      </c>
      <c r="H235" s="9" t="s">
        <v>12</v>
      </c>
      <c r="I235" s="10" t="s">
        <v>13</v>
      </c>
      <c r="J235" s="10" t="s">
        <v>14</v>
      </c>
      <c r="K235" s="9" t="s">
        <v>12</v>
      </c>
      <c r="L235" s="10" t="s">
        <v>13</v>
      </c>
      <c r="M235" s="10" t="s">
        <v>14</v>
      </c>
    </row>
    <row r="236" spans="1:13" x14ac:dyDescent="0.25">
      <c r="A236" s="11">
        <v>1</v>
      </c>
      <c r="B236" s="16">
        <v>0.33333333333333331</v>
      </c>
      <c r="C236" s="16">
        <f>+B236+15/1440</f>
        <v>0.34375</v>
      </c>
      <c r="D236" s="11">
        <v>8</v>
      </c>
      <c r="E236" s="79">
        <f>+C242+5/1440</f>
        <v>0.43055555555555558</v>
      </c>
      <c r="F236" s="80"/>
      <c r="G236" s="40">
        <f>+E236+15/1440</f>
        <v>0.44097222222222227</v>
      </c>
      <c r="H236" s="11"/>
      <c r="I236" s="12">
        <f>G242+5/1440</f>
        <v>0.52777777777777779</v>
      </c>
      <c r="J236" s="12">
        <f>I236+15/1440</f>
        <v>0.53819444444444442</v>
      </c>
      <c r="K236" s="11">
        <v>19</v>
      </c>
      <c r="L236" s="16">
        <f>J242+5/1440</f>
        <v>0.62499999999999967</v>
      </c>
      <c r="M236" s="16">
        <f>L236+15/1440</f>
        <v>0.6354166666666663</v>
      </c>
    </row>
    <row r="237" spans="1:13" x14ac:dyDescent="0.25">
      <c r="A237" s="11">
        <v>2</v>
      </c>
      <c r="B237" s="16">
        <f t="shared" ref="B237:B242" si="55">+C236+5/1440</f>
        <v>0.34722222222222221</v>
      </c>
      <c r="C237" s="16">
        <f>+B237+15/1440</f>
        <v>0.3576388888888889</v>
      </c>
      <c r="D237" s="11">
        <v>9</v>
      </c>
      <c r="E237" s="79">
        <f>+G236+5/1440</f>
        <v>0.44444444444444448</v>
      </c>
      <c r="F237" s="80"/>
      <c r="G237" s="16">
        <f>+E237+15/1440</f>
        <v>0.45486111111111116</v>
      </c>
      <c r="H237" s="11">
        <v>13</v>
      </c>
      <c r="I237" s="16">
        <f>J236+5/1440</f>
        <v>0.54166666666666663</v>
      </c>
      <c r="J237" s="16">
        <f>I237+15/1440</f>
        <v>0.55208333333333326</v>
      </c>
      <c r="K237" s="11">
        <v>20</v>
      </c>
      <c r="L237" s="16">
        <f>M236+5/1440</f>
        <v>0.63888888888888851</v>
      </c>
      <c r="M237" s="16">
        <f>L237+15/1440</f>
        <v>0.64930555555555514</v>
      </c>
    </row>
    <row r="238" spans="1:13" x14ac:dyDescent="0.25">
      <c r="A238" s="11">
        <v>3</v>
      </c>
      <c r="B238" s="16">
        <f t="shared" si="55"/>
        <v>0.3611111111111111</v>
      </c>
      <c r="C238" s="16">
        <f t="shared" ref="C238:C242" si="56">+B238+15/1440</f>
        <v>0.37152777777777779</v>
      </c>
      <c r="D238" s="11">
        <v>10</v>
      </c>
      <c r="E238" s="79">
        <f t="shared" ref="E238:E242" si="57">+G237+5/1440</f>
        <v>0.45833333333333337</v>
      </c>
      <c r="F238" s="80"/>
      <c r="G238" s="16">
        <f t="shared" ref="G238:G242" si="58">+E238+15/1440</f>
        <v>0.46875000000000006</v>
      </c>
      <c r="H238" s="11">
        <v>14</v>
      </c>
      <c r="I238" s="16">
        <f t="shared" ref="I238:I242" si="59">J237+5/1440</f>
        <v>0.55555555555555547</v>
      </c>
      <c r="J238" s="16">
        <f t="shared" ref="J238:J242" si="60">I238+15/1440</f>
        <v>0.5659722222222221</v>
      </c>
      <c r="K238" s="11">
        <v>21</v>
      </c>
      <c r="L238" s="16">
        <f t="shared" ref="L238:L242" si="61">M237+5/1440</f>
        <v>0.65277777777777735</v>
      </c>
      <c r="M238" s="16">
        <f t="shared" ref="M238:M242" si="62">L238+15/1440</f>
        <v>0.66319444444444398</v>
      </c>
    </row>
    <row r="239" spans="1:13" x14ac:dyDescent="0.25">
      <c r="A239" s="11">
        <v>4</v>
      </c>
      <c r="B239" s="16">
        <f t="shared" si="55"/>
        <v>0.375</v>
      </c>
      <c r="C239" s="16">
        <f t="shared" si="56"/>
        <v>0.38541666666666669</v>
      </c>
      <c r="D239" s="11">
        <v>11</v>
      </c>
      <c r="E239" s="79">
        <f t="shared" si="57"/>
        <v>0.47222222222222227</v>
      </c>
      <c r="F239" s="80"/>
      <c r="G239" s="16">
        <f t="shared" si="58"/>
        <v>0.48263888888888895</v>
      </c>
      <c r="H239" s="11">
        <v>15</v>
      </c>
      <c r="I239" s="16">
        <f t="shared" si="59"/>
        <v>0.56944444444444431</v>
      </c>
      <c r="J239" s="16">
        <f t="shared" si="60"/>
        <v>0.57986111111111094</v>
      </c>
      <c r="K239" s="11">
        <v>22</v>
      </c>
      <c r="L239" s="16">
        <f t="shared" si="61"/>
        <v>0.66666666666666619</v>
      </c>
      <c r="M239" s="16">
        <f t="shared" si="62"/>
        <v>0.67708333333333282</v>
      </c>
    </row>
    <row r="240" spans="1:13" x14ac:dyDescent="0.25">
      <c r="A240" s="11">
        <v>5</v>
      </c>
      <c r="B240" s="16">
        <f t="shared" si="55"/>
        <v>0.3888888888888889</v>
      </c>
      <c r="C240" s="16">
        <f t="shared" si="56"/>
        <v>0.39930555555555558</v>
      </c>
      <c r="D240" s="11">
        <v>12</v>
      </c>
      <c r="E240" s="79">
        <f t="shared" si="57"/>
        <v>0.48611111111111116</v>
      </c>
      <c r="F240" s="80"/>
      <c r="G240" s="16">
        <f t="shared" si="58"/>
        <v>0.49652777777777785</v>
      </c>
      <c r="H240" s="11">
        <v>16</v>
      </c>
      <c r="I240" s="16">
        <f t="shared" si="59"/>
        <v>0.58333333333333315</v>
      </c>
      <c r="J240" s="16">
        <f t="shared" si="60"/>
        <v>0.59374999999999978</v>
      </c>
      <c r="K240" s="11">
        <v>23</v>
      </c>
      <c r="L240" s="16">
        <f t="shared" si="61"/>
        <v>0.68055555555555503</v>
      </c>
      <c r="M240" s="16">
        <f t="shared" si="62"/>
        <v>0.69097222222222165</v>
      </c>
    </row>
    <row r="241" spans="1:13" x14ac:dyDescent="0.25">
      <c r="A241" s="11">
        <v>6</v>
      </c>
      <c r="B241" s="16">
        <f t="shared" si="55"/>
        <v>0.40277777777777779</v>
      </c>
      <c r="C241" s="16">
        <f t="shared" si="56"/>
        <v>0.41319444444444448</v>
      </c>
      <c r="D241" s="11"/>
      <c r="E241" s="77">
        <f t="shared" si="57"/>
        <v>0.50000000000000011</v>
      </c>
      <c r="F241" s="78"/>
      <c r="G241" s="21">
        <f t="shared" si="58"/>
        <v>0.51041666666666674</v>
      </c>
      <c r="H241" s="11">
        <v>17</v>
      </c>
      <c r="I241" s="16">
        <f t="shared" si="59"/>
        <v>0.59722222222222199</v>
      </c>
      <c r="J241" s="16">
        <f t="shared" si="60"/>
        <v>0.60763888888888862</v>
      </c>
      <c r="K241" s="11">
        <v>24</v>
      </c>
      <c r="L241" s="21">
        <f t="shared" si="61"/>
        <v>0.69444444444444386</v>
      </c>
      <c r="M241" s="21">
        <f t="shared" si="62"/>
        <v>0.70486111111111049</v>
      </c>
    </row>
    <row r="242" spans="1:13" x14ac:dyDescent="0.25">
      <c r="A242" s="11">
        <v>7</v>
      </c>
      <c r="B242" s="16">
        <f t="shared" si="55"/>
        <v>0.41666666666666669</v>
      </c>
      <c r="C242" s="16">
        <f t="shared" si="56"/>
        <v>0.42708333333333337</v>
      </c>
      <c r="D242" s="11"/>
      <c r="E242" s="77">
        <f t="shared" si="57"/>
        <v>0.51388888888888895</v>
      </c>
      <c r="F242" s="78"/>
      <c r="G242" s="21">
        <f t="shared" si="58"/>
        <v>0.52430555555555558</v>
      </c>
      <c r="H242" s="11">
        <v>18</v>
      </c>
      <c r="I242" s="16">
        <f t="shared" si="59"/>
        <v>0.61111111111111083</v>
      </c>
      <c r="J242" s="16">
        <f t="shared" si="60"/>
        <v>0.62152777777777746</v>
      </c>
      <c r="K242" s="11">
        <v>25</v>
      </c>
      <c r="L242" s="21">
        <f t="shared" si="61"/>
        <v>0.7083333333333327</v>
      </c>
      <c r="M242" s="21">
        <f t="shared" si="62"/>
        <v>0.71874999999999933</v>
      </c>
    </row>
  </sheetData>
  <mergeCells count="127">
    <mergeCell ref="I5:J5"/>
    <mergeCell ref="A6:B6"/>
    <mergeCell ref="E6:E32"/>
    <mergeCell ref="F7:G7"/>
    <mergeCell ref="A32:B32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E40:F40"/>
    <mergeCell ref="E41:F41"/>
    <mergeCell ref="E42:F42"/>
    <mergeCell ref="E43:F43"/>
    <mergeCell ref="A47:D48"/>
    <mergeCell ref="E47:J48"/>
    <mergeCell ref="A34:B34"/>
    <mergeCell ref="A35:D35"/>
    <mergeCell ref="E36:F36"/>
    <mergeCell ref="E37:F37"/>
    <mergeCell ref="E38:F38"/>
    <mergeCell ref="E39:F39"/>
    <mergeCell ref="A52:B52"/>
    <mergeCell ref="E52:E78"/>
    <mergeCell ref="F53:G53"/>
    <mergeCell ref="A78:B78"/>
    <mergeCell ref="F79:G79"/>
    <mergeCell ref="A80:B80"/>
    <mergeCell ref="A49:B49"/>
    <mergeCell ref="I49:J49"/>
    <mergeCell ref="A50:B50"/>
    <mergeCell ref="C50:G50"/>
    <mergeCell ref="I50:J50"/>
    <mergeCell ref="I51:J51"/>
    <mergeCell ref="E87:F87"/>
    <mergeCell ref="E88:F88"/>
    <mergeCell ref="E89:F89"/>
    <mergeCell ref="A93:D94"/>
    <mergeCell ref="E93:J94"/>
    <mergeCell ref="A95:B95"/>
    <mergeCell ref="C95:G95"/>
    <mergeCell ref="I95:J95"/>
    <mergeCell ref="A81:D81"/>
    <mergeCell ref="E82:F82"/>
    <mergeCell ref="E83:F83"/>
    <mergeCell ref="E84:F84"/>
    <mergeCell ref="E85:F85"/>
    <mergeCell ref="E86:F86"/>
    <mergeCell ref="F125:G125"/>
    <mergeCell ref="A126:B126"/>
    <mergeCell ref="A127:D127"/>
    <mergeCell ref="E128:F128"/>
    <mergeCell ref="E129:F129"/>
    <mergeCell ref="E130:F130"/>
    <mergeCell ref="A96:B96"/>
    <mergeCell ref="C96:G96"/>
    <mergeCell ref="I96:J96"/>
    <mergeCell ref="I97:J97"/>
    <mergeCell ref="A98:B98"/>
    <mergeCell ref="E98:E124"/>
    <mergeCell ref="F99:G99"/>
    <mergeCell ref="A124:B124"/>
    <mergeCell ref="A141:B141"/>
    <mergeCell ref="C141:G141"/>
    <mergeCell ref="I141:J141"/>
    <mergeCell ref="A142:B142"/>
    <mergeCell ref="C142:G142"/>
    <mergeCell ref="I142:J142"/>
    <mergeCell ref="E131:F131"/>
    <mergeCell ref="E132:F132"/>
    <mergeCell ref="E133:F133"/>
    <mergeCell ref="E134:F134"/>
    <mergeCell ref="E135:F135"/>
    <mergeCell ref="A139:D140"/>
    <mergeCell ref="E139:J140"/>
    <mergeCell ref="A188:D188"/>
    <mergeCell ref="E189:F189"/>
    <mergeCell ref="A175:D175"/>
    <mergeCell ref="E176:F176"/>
    <mergeCell ref="E177:F177"/>
    <mergeCell ref="E178:F178"/>
    <mergeCell ref="E179:F179"/>
    <mergeCell ref="I143:J143"/>
    <mergeCell ref="A144:B144"/>
    <mergeCell ref="E144:E170"/>
    <mergeCell ref="F145:G145"/>
    <mergeCell ref="A170:B170"/>
    <mergeCell ref="F171:G171"/>
    <mergeCell ref="E190:F190"/>
    <mergeCell ref="E191:F191"/>
    <mergeCell ref="E192:F192"/>
    <mergeCell ref="E193:F193"/>
    <mergeCell ref="E194:F194"/>
    <mergeCell ref="E195:F195"/>
    <mergeCell ref="E180:F180"/>
    <mergeCell ref="E181:F181"/>
    <mergeCell ref="E182:F182"/>
    <mergeCell ref="E183:F183"/>
    <mergeCell ref="A203:B203"/>
    <mergeCell ref="C203:G203"/>
    <mergeCell ref="I203:J203"/>
    <mergeCell ref="I204:J204"/>
    <mergeCell ref="A205:B205"/>
    <mergeCell ref="E205:E231"/>
    <mergeCell ref="F206:G206"/>
    <mergeCell ref="A231:B231"/>
    <mergeCell ref="E196:F196"/>
    <mergeCell ref="A200:D201"/>
    <mergeCell ref="E200:J201"/>
    <mergeCell ref="A202:B202"/>
    <mergeCell ref="C202:G202"/>
    <mergeCell ref="I202:J202"/>
    <mergeCell ref="E238:F238"/>
    <mergeCell ref="E239:F239"/>
    <mergeCell ref="E240:F240"/>
    <mergeCell ref="E241:F241"/>
    <mergeCell ref="E242:F242"/>
    <mergeCell ref="F232:G232"/>
    <mergeCell ref="A233:B233"/>
    <mergeCell ref="A234:D234"/>
    <mergeCell ref="E235:F235"/>
    <mergeCell ref="E236:F236"/>
    <mergeCell ref="E237:F2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7A6C-C4F6-47B3-B137-A78DD7B80B6D}">
  <dimension ref="A1:P48"/>
  <sheetViews>
    <sheetView zoomScaleNormal="100" workbookViewId="0">
      <selection activeCell="O41" sqref="O41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51</v>
      </c>
      <c r="D3" s="100"/>
      <c r="E3" s="100"/>
      <c r="F3" s="100"/>
      <c r="G3" s="100"/>
      <c r="H3" s="1" t="s">
        <v>1</v>
      </c>
      <c r="I3" s="101">
        <v>45381</v>
      </c>
      <c r="J3" s="102"/>
    </row>
    <row r="4" spans="1:10" ht="37.5" customHeight="1" x14ac:dyDescent="0.25">
      <c r="A4" s="87" t="s">
        <v>2</v>
      </c>
      <c r="B4" s="87"/>
      <c r="C4" s="88" t="s">
        <v>48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28</v>
      </c>
      <c r="G6" s="5" t="s">
        <v>8</v>
      </c>
      <c r="H6" s="6">
        <f>D32-(F6*400)</f>
        <v>292.77000000000044</v>
      </c>
      <c r="I6" s="7" t="s">
        <v>9</v>
      </c>
    </row>
    <row r="7" spans="1:10" ht="16.5" thickBot="1" x14ac:dyDescent="0.3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1">
        <v>0.40439999999999998</v>
      </c>
      <c r="D10" s="20">
        <f>C10*$D$32</f>
        <v>4647.6761880000004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1">
        <v>0.14810000000000001</v>
      </c>
      <c r="D11" s="20">
        <f>C11*$D$32</f>
        <v>1702.0792370000001</v>
      </c>
      <c r="E11" s="92"/>
      <c r="F11" s="27" t="s">
        <v>25</v>
      </c>
      <c r="G11" s="33"/>
      <c r="H11" s="31">
        <v>0.11</v>
      </c>
      <c r="I11" s="35">
        <f t="shared" ref="I11:I28" si="0">H11*$I$33</f>
        <v>44</v>
      </c>
      <c r="J11" s="35">
        <f t="shared" ref="J11:J28" si="1">H11*$J$33</f>
        <v>32.204700000000045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1">
        <v>0.21879999999999999</v>
      </c>
      <c r="I12" s="35">
        <f t="shared" si="0"/>
        <v>87.52</v>
      </c>
      <c r="J12" s="35">
        <f t="shared" si="1"/>
        <v>64.058076000000099</v>
      </c>
    </row>
    <row r="13" spans="1:10" ht="15.75" x14ac:dyDescent="0.25">
      <c r="A13" s="27" t="s">
        <v>26</v>
      </c>
      <c r="B13" s="29"/>
      <c r="C13" s="31">
        <v>2.47E-2</v>
      </c>
      <c r="D13" s="20">
        <f>C13*$D$32</f>
        <v>283.871419</v>
      </c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1">
        <v>1.9900000000000001E-2</v>
      </c>
      <c r="I14" s="35">
        <f t="shared" si="0"/>
        <v>7.9600000000000009</v>
      </c>
      <c r="J14" s="35">
        <f t="shared" si="1"/>
        <v>5.8261230000000088</v>
      </c>
    </row>
    <row r="15" spans="1:10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1"/>
      <c r="I16" s="35"/>
      <c r="J16" s="35"/>
    </row>
    <row r="17" spans="1:10" ht="15.75" x14ac:dyDescent="0.25">
      <c r="A17" s="27" t="s">
        <v>44</v>
      </c>
      <c r="B17" s="29"/>
      <c r="C17" s="31">
        <v>0.22220000000000001</v>
      </c>
      <c r="D17" s="20">
        <f>C17*$D$32</f>
        <v>2553.6934940000001</v>
      </c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1">
        <v>9.8799999999999999E-2</v>
      </c>
      <c r="D18" s="20"/>
      <c r="E18" s="92"/>
      <c r="F18" s="27" t="s">
        <v>44</v>
      </c>
      <c r="G18" s="33"/>
      <c r="H18" s="31">
        <v>0.45750000000000002</v>
      </c>
      <c r="I18" s="35">
        <f t="shared" si="0"/>
        <v>183</v>
      </c>
      <c r="J18" s="35">
        <f t="shared" si="1"/>
        <v>133.94227500000019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1">
        <v>4.9399999999999999E-2</v>
      </c>
      <c r="D21" s="20">
        <f>C21*$D$32</f>
        <v>567.74283800000001</v>
      </c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1">
        <v>2.47E-2</v>
      </c>
      <c r="D22" s="20"/>
      <c r="E22" s="92"/>
      <c r="F22" s="27" t="s">
        <v>29</v>
      </c>
      <c r="G22" s="33"/>
      <c r="H22" s="31">
        <v>0.13919999999999999</v>
      </c>
      <c r="I22" s="35">
        <f t="shared" si="0"/>
        <v>55.679999999999993</v>
      </c>
      <c r="J22" s="35">
        <f t="shared" si="1"/>
        <v>40.75358400000006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1">
        <v>2.6200000000000001E-2</v>
      </c>
      <c r="D26" s="20">
        <f>C26*$D$32</f>
        <v>301.11057400000004</v>
      </c>
      <c r="E26" s="92"/>
      <c r="F26" s="27" t="s">
        <v>16</v>
      </c>
      <c r="G26" s="24"/>
      <c r="H26" s="31">
        <v>0.01</v>
      </c>
      <c r="I26" s="35">
        <f t="shared" si="0"/>
        <v>4</v>
      </c>
      <c r="J26" s="35">
        <f t="shared" si="1"/>
        <v>2.9277000000000046</v>
      </c>
    </row>
    <row r="27" spans="1:10" ht="15.75" x14ac:dyDescent="0.25">
      <c r="A27" s="27" t="s">
        <v>33</v>
      </c>
      <c r="B27" s="23"/>
      <c r="C27" s="31">
        <v>1.5E-3</v>
      </c>
      <c r="D27" s="20">
        <f>C27*$D$32</f>
        <v>17.239155</v>
      </c>
      <c r="E27" s="92"/>
      <c r="F27" s="27" t="s">
        <v>32</v>
      </c>
      <c r="G27" s="24"/>
      <c r="H27" s="31">
        <v>4.2200000000000001E-2</v>
      </c>
      <c r="I27" s="35">
        <f t="shared" si="0"/>
        <v>16.88</v>
      </c>
      <c r="J27" s="35">
        <f t="shared" si="1"/>
        <v>12.354894000000019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1">
        <v>2.3999999999999998E-3</v>
      </c>
      <c r="I28" s="35">
        <f t="shared" si="0"/>
        <v>0.96</v>
      </c>
      <c r="J28" s="35">
        <f t="shared" si="1"/>
        <v>0.70264800000000094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1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0.99999999999999989</v>
      </c>
      <c r="D32" s="15">
        <v>11492.77</v>
      </c>
      <c r="E32" s="92"/>
      <c r="F32" s="28" t="s">
        <v>36</v>
      </c>
      <c r="G32" s="34"/>
      <c r="H32" s="32"/>
      <c r="I32" s="35"/>
      <c r="J32" s="35"/>
    </row>
    <row r="33" spans="1:16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292.77000000000044</v>
      </c>
    </row>
    <row r="34" spans="1:16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6" x14ac:dyDescent="0.25">
      <c r="A35" s="84" t="s">
        <v>18</v>
      </c>
      <c r="B35" s="84"/>
      <c r="C35" s="84"/>
      <c r="D35" s="84"/>
      <c r="E35" s="2"/>
      <c r="F35" s="2"/>
      <c r="G35" s="2"/>
    </row>
    <row r="36" spans="1:16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  <c r="N36" s="9" t="s">
        <v>12</v>
      </c>
      <c r="O36" s="10" t="s">
        <v>13</v>
      </c>
      <c r="P36" s="10" t="s">
        <v>14</v>
      </c>
    </row>
    <row r="37" spans="1:16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  <c r="N37" s="11">
        <v>26</v>
      </c>
      <c r="O37" s="16">
        <f>M43+5/1440</f>
        <v>0.72222222222222154</v>
      </c>
      <c r="P37" s="16">
        <f>O37+15/1440</f>
        <v>0.73263888888888817</v>
      </c>
    </row>
    <row r="38" spans="1:16" x14ac:dyDescent="0.25">
      <c r="A38" s="11">
        <v>2</v>
      </c>
      <c r="B38" s="16">
        <f t="shared" ref="B38:B43" si="2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6">
        <f>M37+5/1440</f>
        <v>0.63888888888888851</v>
      </c>
      <c r="M38" s="16">
        <f>L38+15/1440</f>
        <v>0.64930555555555514</v>
      </c>
      <c r="N38" s="11">
        <v>27</v>
      </c>
      <c r="O38" s="16">
        <f>P37+5/1440</f>
        <v>0.73611111111111038</v>
      </c>
      <c r="P38" s="16">
        <f>O38+15/1440</f>
        <v>0.74652777777777701</v>
      </c>
    </row>
    <row r="39" spans="1:16" x14ac:dyDescent="0.25">
      <c r="A39" s="11">
        <v>3</v>
      </c>
      <c r="B39" s="16">
        <f t="shared" si="2"/>
        <v>0.3611111111111111</v>
      </c>
      <c r="C39" s="16">
        <f t="shared" ref="C39:C43" si="3">+B39+15/1440</f>
        <v>0.37152777777777779</v>
      </c>
      <c r="D39" s="11">
        <v>10</v>
      </c>
      <c r="E39" s="79">
        <f t="shared" ref="E39:E43" si="4">+G38+5/1440</f>
        <v>0.45833333333333337</v>
      </c>
      <c r="F39" s="80"/>
      <c r="G39" s="16">
        <f t="shared" ref="G39:G43" si="5">+E39+15/1440</f>
        <v>0.46875000000000006</v>
      </c>
      <c r="H39" s="11">
        <v>14</v>
      </c>
      <c r="I39" s="16">
        <f t="shared" ref="I39:I43" si="6">J38+5/1440</f>
        <v>0.55555555555555547</v>
      </c>
      <c r="J39" s="16">
        <f t="shared" ref="J39:J43" si="7">I39+15/1440</f>
        <v>0.5659722222222221</v>
      </c>
      <c r="K39" s="11">
        <v>21</v>
      </c>
      <c r="L39" s="16">
        <f t="shared" ref="L39:L43" si="8">M38+5/1440</f>
        <v>0.65277777777777735</v>
      </c>
      <c r="M39" s="16">
        <f t="shared" ref="M39:M43" si="9">L39+15/1440</f>
        <v>0.66319444444444398</v>
      </c>
      <c r="N39" s="11">
        <v>28</v>
      </c>
      <c r="O39" s="16">
        <f t="shared" ref="O39:O43" si="10">P38+5/1440</f>
        <v>0.74999999999999922</v>
      </c>
      <c r="P39" s="16">
        <f t="shared" ref="P39:P43" si="11">O39+15/1440</f>
        <v>0.76041666666666585</v>
      </c>
    </row>
    <row r="40" spans="1:16" x14ac:dyDescent="0.25">
      <c r="A40" s="11">
        <v>4</v>
      </c>
      <c r="B40" s="16">
        <f t="shared" si="2"/>
        <v>0.375</v>
      </c>
      <c r="C40" s="16">
        <f t="shared" si="3"/>
        <v>0.38541666666666669</v>
      </c>
      <c r="D40" s="11">
        <v>11</v>
      </c>
      <c r="E40" s="79">
        <f t="shared" si="4"/>
        <v>0.47222222222222227</v>
      </c>
      <c r="F40" s="80"/>
      <c r="G40" s="16">
        <f t="shared" si="5"/>
        <v>0.48263888888888895</v>
      </c>
      <c r="H40" s="11">
        <v>15</v>
      </c>
      <c r="I40" s="16">
        <f t="shared" si="6"/>
        <v>0.56944444444444431</v>
      </c>
      <c r="J40" s="16">
        <f t="shared" si="7"/>
        <v>0.57986111111111094</v>
      </c>
      <c r="K40" s="11">
        <v>22</v>
      </c>
      <c r="L40" s="16">
        <f t="shared" si="8"/>
        <v>0.66666666666666619</v>
      </c>
      <c r="M40" s="16">
        <f t="shared" si="9"/>
        <v>0.67708333333333282</v>
      </c>
      <c r="N40" s="11">
        <v>29</v>
      </c>
      <c r="O40" s="16">
        <f t="shared" si="10"/>
        <v>0.76388888888888806</v>
      </c>
      <c r="P40" s="16">
        <f t="shared" si="11"/>
        <v>0.77430555555555469</v>
      </c>
    </row>
    <row r="41" spans="1:16" x14ac:dyDescent="0.25">
      <c r="A41" s="11">
        <v>5</v>
      </c>
      <c r="B41" s="16">
        <f t="shared" si="2"/>
        <v>0.3888888888888889</v>
      </c>
      <c r="C41" s="16">
        <f t="shared" si="3"/>
        <v>0.39930555555555558</v>
      </c>
      <c r="D41" s="11">
        <v>12</v>
      </c>
      <c r="E41" s="79">
        <f t="shared" si="4"/>
        <v>0.48611111111111116</v>
      </c>
      <c r="F41" s="80"/>
      <c r="G41" s="16">
        <f t="shared" si="5"/>
        <v>0.49652777777777785</v>
      </c>
      <c r="H41" s="11">
        <v>16</v>
      </c>
      <c r="I41" s="16">
        <f t="shared" si="6"/>
        <v>0.58333333333333315</v>
      </c>
      <c r="J41" s="16">
        <f t="shared" si="7"/>
        <v>0.59374999999999978</v>
      </c>
      <c r="K41" s="11">
        <v>23</v>
      </c>
      <c r="L41" s="16">
        <f t="shared" si="8"/>
        <v>0.68055555555555503</v>
      </c>
      <c r="M41" s="16">
        <f t="shared" si="9"/>
        <v>0.69097222222222165</v>
      </c>
      <c r="N41" s="11">
        <v>30</v>
      </c>
      <c r="O41" s="21">
        <f t="shared" si="10"/>
        <v>0.7777777777777769</v>
      </c>
      <c r="P41" s="21">
        <f t="shared" si="11"/>
        <v>0.78819444444444353</v>
      </c>
    </row>
    <row r="42" spans="1:16" x14ac:dyDescent="0.25">
      <c r="A42" s="11">
        <v>6</v>
      </c>
      <c r="B42" s="16">
        <f t="shared" si="2"/>
        <v>0.40277777777777779</v>
      </c>
      <c r="C42" s="16">
        <f t="shared" si="3"/>
        <v>0.41319444444444448</v>
      </c>
      <c r="D42" s="11">
        <v>13</v>
      </c>
      <c r="E42" s="79">
        <f t="shared" si="4"/>
        <v>0.50000000000000011</v>
      </c>
      <c r="F42" s="80"/>
      <c r="G42" s="16">
        <f t="shared" si="5"/>
        <v>0.51041666666666674</v>
      </c>
      <c r="H42" s="11">
        <v>17</v>
      </c>
      <c r="I42" s="16">
        <f t="shared" si="6"/>
        <v>0.59722222222222199</v>
      </c>
      <c r="J42" s="16">
        <f t="shared" si="7"/>
        <v>0.60763888888888862</v>
      </c>
      <c r="K42" s="11">
        <v>24</v>
      </c>
      <c r="L42" s="16">
        <f t="shared" si="8"/>
        <v>0.69444444444444386</v>
      </c>
      <c r="M42" s="16">
        <f t="shared" si="9"/>
        <v>0.70486111111111049</v>
      </c>
      <c r="N42" s="11">
        <v>31</v>
      </c>
      <c r="O42" s="21">
        <f t="shared" si="10"/>
        <v>0.79166666666666574</v>
      </c>
      <c r="P42" s="21">
        <f t="shared" si="11"/>
        <v>0.80208333333333237</v>
      </c>
    </row>
    <row r="43" spans="1:16" x14ac:dyDescent="0.25">
      <c r="A43" s="11">
        <v>7</v>
      </c>
      <c r="B43" s="16">
        <f t="shared" si="2"/>
        <v>0.41666666666666669</v>
      </c>
      <c r="C43" s="16">
        <f t="shared" si="3"/>
        <v>0.42708333333333337</v>
      </c>
      <c r="D43" s="11"/>
      <c r="E43" s="77">
        <f t="shared" si="4"/>
        <v>0.51388888888888895</v>
      </c>
      <c r="F43" s="78"/>
      <c r="G43" s="21">
        <f t="shared" si="5"/>
        <v>0.52430555555555558</v>
      </c>
      <c r="H43" s="11">
        <v>18</v>
      </c>
      <c r="I43" s="16">
        <f t="shared" si="6"/>
        <v>0.61111111111111083</v>
      </c>
      <c r="J43" s="16">
        <f t="shared" si="7"/>
        <v>0.62152777777777746</v>
      </c>
      <c r="K43" s="11">
        <v>25</v>
      </c>
      <c r="L43" s="16">
        <f t="shared" si="8"/>
        <v>0.7083333333333327</v>
      </c>
      <c r="M43" s="16">
        <f t="shared" si="9"/>
        <v>0.71874999999999933</v>
      </c>
      <c r="N43" s="11">
        <v>32</v>
      </c>
      <c r="O43" s="21">
        <f t="shared" si="10"/>
        <v>0.80555555555555458</v>
      </c>
      <c r="P43" s="21">
        <f t="shared" si="11"/>
        <v>0.81597222222222121</v>
      </c>
    </row>
    <row r="44" spans="1:16" x14ac:dyDescent="0.25">
      <c r="H44" s="36"/>
      <c r="I44" s="37"/>
      <c r="J44" s="37"/>
    </row>
    <row r="45" spans="1:16" x14ac:dyDescent="0.25">
      <c r="H45" s="36"/>
      <c r="I45" s="37"/>
      <c r="J45" s="37"/>
    </row>
    <row r="46" spans="1:16" x14ac:dyDescent="0.25">
      <c r="H46" s="36"/>
      <c r="I46" s="37"/>
      <c r="J46" s="37"/>
    </row>
    <row r="47" spans="1:16" x14ac:dyDescent="0.25">
      <c r="H47" s="36"/>
      <c r="I47" s="37"/>
      <c r="J47" s="37"/>
    </row>
    <row r="48" spans="1:16" x14ac:dyDescent="0.25">
      <c r="I48" s="22"/>
      <c r="J48" s="22"/>
    </row>
  </sheetData>
  <mergeCells count="24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1B0-D980-4B5D-B1DE-0DFA8EB24126}">
  <dimension ref="A1:M48"/>
  <sheetViews>
    <sheetView topLeftCell="A13" zoomScaleNormal="100" workbookViewId="0">
      <selection sqref="A1:M45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42" t="s">
        <v>52</v>
      </c>
      <c r="D3" s="42"/>
      <c r="E3" s="42"/>
      <c r="F3" s="42"/>
      <c r="G3" s="42"/>
      <c r="H3" s="1" t="s">
        <v>1</v>
      </c>
      <c r="I3" s="101">
        <v>45391</v>
      </c>
      <c r="J3" s="102"/>
    </row>
    <row r="4" spans="1:10" ht="37.5" customHeight="1" x14ac:dyDescent="0.25">
      <c r="A4" s="87" t="s">
        <v>2</v>
      </c>
      <c r="B4" s="87"/>
      <c r="C4" s="88" t="s">
        <v>53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5</v>
      </c>
      <c r="G6" s="5" t="s">
        <v>8</v>
      </c>
      <c r="H6" s="6">
        <f>D32-(F6*400)</f>
        <v>24.405099999999948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1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0.18559999999999999</v>
      </c>
      <c r="D10" s="20">
        <f>C10*$D$32</f>
        <v>375.72958655999997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0.20219999999999999</v>
      </c>
      <c r="D11" s="20">
        <f t="shared" ref="D11:D29" si="0">C11*$D$32</f>
        <v>409.33471121999997</v>
      </c>
      <c r="E11" s="92"/>
      <c r="F11" s="27" t="s">
        <v>25</v>
      </c>
      <c r="G11" s="33"/>
      <c r="H11" s="38">
        <v>4.4900000000000002E-2</v>
      </c>
      <c r="I11" s="35">
        <f t="shared" ref="I11:I28" si="1">H11*$I$33</f>
        <v>17.96</v>
      </c>
      <c r="J11" s="35">
        <f t="shared" ref="J11:J28" si="2">H11*$J$33</f>
        <v>1.0957889899999977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0.15790000000000001</v>
      </c>
      <c r="I12" s="35">
        <f t="shared" si="1"/>
        <v>63.160000000000004</v>
      </c>
      <c r="J12" s="35">
        <f t="shared" si="2"/>
        <v>3.8535652899999921</v>
      </c>
    </row>
    <row r="13" spans="1:10" ht="15.75" x14ac:dyDescent="0.25">
      <c r="A13" s="27" t="s">
        <v>26</v>
      </c>
      <c r="B13" s="29"/>
      <c r="C13" s="31">
        <v>7.0499999999999993E-2</v>
      </c>
      <c r="D13" s="20">
        <f t="shared" si="0"/>
        <v>142.72055954999999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0.1386</v>
      </c>
      <c r="I14" s="35">
        <f t="shared" si="1"/>
        <v>55.44</v>
      </c>
      <c r="J14" s="35">
        <f t="shared" si="2"/>
        <v>3.3825468599999926</v>
      </c>
    </row>
    <row r="15" spans="1:10" ht="15.75" x14ac:dyDescent="0.25">
      <c r="A15" s="27" t="s">
        <v>19</v>
      </c>
      <c r="B15" s="29"/>
      <c r="C15" s="31">
        <v>0.1057</v>
      </c>
      <c r="D15" s="20">
        <f t="shared" si="0"/>
        <v>213.97961907000001</v>
      </c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>
        <v>5.2600000000000001E-2</v>
      </c>
      <c r="I16" s="35">
        <f t="shared" si="1"/>
        <v>21.04</v>
      </c>
      <c r="J16" s="35">
        <f t="shared" si="2"/>
        <v>1.2837082599999972</v>
      </c>
    </row>
    <row r="17" spans="1:10" ht="15.75" x14ac:dyDescent="0.25">
      <c r="A17" s="27" t="s">
        <v>44</v>
      </c>
      <c r="B17" s="29"/>
      <c r="C17" s="31">
        <v>9.69E-2</v>
      </c>
      <c r="D17" s="20">
        <f t="shared" si="0"/>
        <v>196.16485419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>
        <v>0.12330000000000001</v>
      </c>
      <c r="D18" s="20">
        <f t="shared" si="0"/>
        <v>249.60914883000001</v>
      </c>
      <c r="E18" s="92"/>
      <c r="F18" s="27" t="s">
        <v>44</v>
      </c>
      <c r="G18" s="33"/>
      <c r="H18" s="38">
        <v>0.31580000000000003</v>
      </c>
      <c r="I18" s="35">
        <f t="shared" si="1"/>
        <v>126.32000000000001</v>
      </c>
      <c r="J18" s="35">
        <f t="shared" si="2"/>
        <v>7.7071305799999843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>
        <v>0.1807</v>
      </c>
      <c r="I19" s="35">
        <f t="shared" si="1"/>
        <v>72.28</v>
      </c>
      <c r="J19" s="35">
        <f t="shared" si="2"/>
        <v>4.4100015699999906</v>
      </c>
    </row>
    <row r="20" spans="1:10" ht="15.75" x14ac:dyDescent="0.25">
      <c r="A20" s="27" t="s">
        <v>10</v>
      </c>
      <c r="B20" s="29"/>
      <c r="C20" s="31">
        <v>5.2900000000000003E-2</v>
      </c>
      <c r="D20" s="20">
        <f t="shared" si="0"/>
        <v>107.09102979000001</v>
      </c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7.0499999999999993E-2</v>
      </c>
      <c r="D21" s="20">
        <f t="shared" si="0"/>
        <v>142.72055954999999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7.0199999999999999E-2</v>
      </c>
      <c r="I22" s="35">
        <f t="shared" si="1"/>
        <v>28.08</v>
      </c>
      <c r="J22" s="35">
        <f t="shared" si="2"/>
        <v>1.7132380199999964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3.7400000000000003E-2</v>
      </c>
      <c r="D26" s="20">
        <f t="shared" si="0"/>
        <v>75.712750740000004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4.2512507099999999</v>
      </c>
      <c r="E27" s="92"/>
      <c r="F27" s="27" t="s">
        <v>32</v>
      </c>
      <c r="G27" s="24"/>
      <c r="H27" s="38">
        <v>3.7199999999999997E-2</v>
      </c>
      <c r="I27" s="35">
        <f t="shared" si="1"/>
        <v>14.879999999999999</v>
      </c>
      <c r="J27" s="35">
        <f t="shared" si="2"/>
        <v>0.90786971999999799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2.0999999999999999E-3</v>
      </c>
      <c r="I28" s="35">
        <f t="shared" si="1"/>
        <v>0.84</v>
      </c>
      <c r="J28" s="35">
        <f t="shared" si="2"/>
        <v>5.1250709999999887E-2</v>
      </c>
    </row>
    <row r="29" spans="1:10" ht="15.75" x14ac:dyDescent="0.25">
      <c r="A29" s="27" t="s">
        <v>22</v>
      </c>
      <c r="B29" s="23"/>
      <c r="C29" s="31">
        <v>5.2900000000000003E-2</v>
      </c>
      <c r="D29" s="20">
        <f t="shared" si="0"/>
        <v>107.09102979000001</v>
      </c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2024.4050999999999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24.405099999999948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21">
        <v>0.33333333333333331</v>
      </c>
      <c r="C37" s="21">
        <f>+B37+15/1440</f>
        <v>0.34375</v>
      </c>
      <c r="D37" s="11">
        <v>8</v>
      </c>
      <c r="E37" s="79">
        <f>+C43+5/1440</f>
        <v>0.43055555555555558</v>
      </c>
      <c r="F37" s="80"/>
      <c r="G37" s="40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21">
        <f t="shared" ref="B38:B43" si="3">+C37+5/1440</f>
        <v>0.34722222222222221</v>
      </c>
      <c r="C38" s="21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21">
        <f t="shared" si="3"/>
        <v>0.3611111111111111</v>
      </c>
      <c r="C39" s="21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21">
        <f t="shared" ref="L39:L43" si="9">M38+5/1440</f>
        <v>0.65277777777777735</v>
      </c>
      <c r="M39" s="21">
        <f t="shared" ref="M39:M43" si="10">L39+15/1440</f>
        <v>0.66319444444444398</v>
      </c>
    </row>
    <row r="40" spans="1:13" x14ac:dyDescent="0.25">
      <c r="A40" s="11">
        <v>4</v>
      </c>
      <c r="B40" s="21">
        <f t="shared" si="3"/>
        <v>0.375</v>
      </c>
      <c r="C40" s="21">
        <f t="shared" si="4"/>
        <v>0.38541666666666669</v>
      </c>
      <c r="D40" s="11">
        <v>11</v>
      </c>
      <c r="E40" s="79">
        <f t="shared" si="5"/>
        <v>0.47222222222222227</v>
      </c>
      <c r="F40" s="80"/>
      <c r="G40" s="16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21">
        <f t="shared" si="9"/>
        <v>0.66666666666666619</v>
      </c>
      <c r="M40" s="21">
        <f t="shared" si="10"/>
        <v>0.67708333333333282</v>
      </c>
    </row>
    <row r="41" spans="1:13" x14ac:dyDescent="0.25">
      <c r="A41" s="11">
        <v>5</v>
      </c>
      <c r="B41" s="21">
        <f t="shared" si="3"/>
        <v>0.3888888888888889</v>
      </c>
      <c r="C41" s="21">
        <f t="shared" si="4"/>
        <v>0.39930555555555558</v>
      </c>
      <c r="D41" s="11">
        <v>12</v>
      </c>
      <c r="E41" s="79">
        <f t="shared" si="5"/>
        <v>0.48611111111111116</v>
      </c>
      <c r="F41" s="80"/>
      <c r="G41" s="16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21">
        <f t="shared" si="9"/>
        <v>0.68055555555555503</v>
      </c>
      <c r="M41" s="21">
        <f t="shared" si="10"/>
        <v>0.69097222222222165</v>
      </c>
    </row>
    <row r="42" spans="1:13" x14ac:dyDescent="0.25">
      <c r="A42" s="11">
        <v>6</v>
      </c>
      <c r="B42" s="21">
        <f t="shared" si="3"/>
        <v>0.40277777777777779</v>
      </c>
      <c r="C42" s="21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21">
        <f t="shared" si="9"/>
        <v>0.69444444444444386</v>
      </c>
      <c r="M42" s="21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21">
        <f t="shared" si="9"/>
        <v>0.7083333333333327</v>
      </c>
      <c r="M43" s="21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3">
    <mergeCell ref="F33:G33"/>
    <mergeCell ref="A1:D2"/>
    <mergeCell ref="E1:J2"/>
    <mergeCell ref="A3:B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5FD2-7510-4842-AE18-9E6B991B318B}">
  <dimension ref="A1:M48"/>
  <sheetViews>
    <sheetView zoomScaleNormal="100" workbookViewId="0">
      <selection activeCell="N41" sqref="N41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55</v>
      </c>
      <c r="D3" s="100"/>
      <c r="E3" s="100"/>
      <c r="F3" s="100"/>
      <c r="G3" s="100"/>
      <c r="H3" s="1" t="s">
        <v>1</v>
      </c>
      <c r="I3" s="101">
        <v>45392</v>
      </c>
      <c r="J3" s="102"/>
    </row>
    <row r="4" spans="1:10" ht="37.5" customHeight="1" x14ac:dyDescent="0.25">
      <c r="A4" s="87" t="s">
        <v>2</v>
      </c>
      <c r="B4" s="87"/>
      <c r="C4" s="88" t="s">
        <v>48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64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12</v>
      </c>
      <c r="G6" s="5" t="s">
        <v>8</v>
      </c>
      <c r="H6" s="6">
        <f>D32-(F6*400)</f>
        <v>146</v>
      </c>
      <c r="I6" s="7" t="s">
        <v>9</v>
      </c>
    </row>
    <row r="7" spans="1:10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0.11</v>
      </c>
      <c r="D10" s="20">
        <f>C10*$D$32</f>
        <v>544.06000000000006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0.21879999999999999</v>
      </c>
      <c r="D11" s="20">
        <f t="shared" ref="D11:D27" si="0">C11*$D$32</f>
        <v>1082.1848</v>
      </c>
      <c r="E11" s="92"/>
      <c r="F11" s="27" t="s">
        <v>25</v>
      </c>
      <c r="G11" s="33"/>
      <c r="H11" s="38">
        <v>0.1032</v>
      </c>
      <c r="I11" s="35">
        <f t="shared" ref="I11:I28" si="1">H11*$I$33</f>
        <v>41.28</v>
      </c>
      <c r="J11" s="35">
        <f t="shared" ref="J11:J28" si="2">H11*$J$33</f>
        <v>15.0672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>
        <v>0.219</v>
      </c>
      <c r="I12" s="35">
        <f t="shared" si="1"/>
        <v>87.6</v>
      </c>
      <c r="J12" s="35">
        <f t="shared" si="2"/>
        <v>31.974</v>
      </c>
    </row>
    <row r="13" spans="1:10" ht="15.75" x14ac:dyDescent="0.25">
      <c r="A13" s="27" t="s">
        <v>26</v>
      </c>
      <c r="B13" s="29"/>
      <c r="C13" s="31">
        <v>1.9900000000000001E-2</v>
      </c>
      <c r="D13" s="20">
        <f t="shared" si="0"/>
        <v>98.42540000000001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1.5900000000000001E-2</v>
      </c>
      <c r="I14" s="35">
        <f t="shared" si="1"/>
        <v>6.36</v>
      </c>
      <c r="J14" s="35">
        <f t="shared" si="2"/>
        <v>2.3214000000000001</v>
      </c>
    </row>
    <row r="15" spans="1:10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0.45750000000000002</v>
      </c>
      <c r="D17" s="20">
        <f t="shared" si="0"/>
        <v>2262.7950000000001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8">
        <v>0.46789999999999998</v>
      </c>
      <c r="I18" s="35">
        <f t="shared" si="1"/>
        <v>187.16</v>
      </c>
      <c r="J18" s="35">
        <f t="shared" si="2"/>
        <v>68.313400000000001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>
        <v>0.13919999999999999</v>
      </c>
      <c r="D21" s="20">
        <f t="shared" si="0"/>
        <v>688.4831999999999</v>
      </c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>
        <v>0.1394</v>
      </c>
      <c r="I22" s="35">
        <f t="shared" si="1"/>
        <v>55.76</v>
      </c>
      <c r="J22" s="35">
        <f t="shared" si="2"/>
        <v>20.352399999999999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>
        <v>0.01</v>
      </c>
      <c r="D25" s="20">
        <f t="shared" si="0"/>
        <v>49.46</v>
      </c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4.2200000000000001E-2</v>
      </c>
      <c r="D26" s="20">
        <f t="shared" si="0"/>
        <v>208.72120000000001</v>
      </c>
      <c r="E26" s="92"/>
      <c r="F26" s="27" t="s">
        <v>16</v>
      </c>
      <c r="G26" s="24"/>
      <c r="H26" s="38">
        <v>0.01</v>
      </c>
      <c r="I26" s="35">
        <f t="shared" si="1"/>
        <v>4</v>
      </c>
      <c r="J26" s="35">
        <f t="shared" si="2"/>
        <v>1.46</v>
      </c>
    </row>
    <row r="27" spans="1:10" ht="15.75" x14ac:dyDescent="0.25">
      <c r="A27" s="27" t="s">
        <v>33</v>
      </c>
      <c r="B27" s="23"/>
      <c r="C27" s="31">
        <v>2.3999999999999998E-3</v>
      </c>
      <c r="D27" s="20">
        <f t="shared" si="0"/>
        <v>11.870399999999998</v>
      </c>
      <c r="E27" s="92"/>
      <c r="F27" s="27" t="s">
        <v>32</v>
      </c>
      <c r="G27" s="24"/>
      <c r="H27" s="38">
        <v>4.2200000000000001E-2</v>
      </c>
      <c r="I27" s="35">
        <f t="shared" si="1"/>
        <v>16.88</v>
      </c>
      <c r="J27" s="35">
        <f t="shared" si="2"/>
        <v>6.1612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8">
        <v>2.3999999999999998E-3</v>
      </c>
      <c r="I28" s="35">
        <f t="shared" si="1"/>
        <v>0.96</v>
      </c>
      <c r="J28" s="35">
        <f t="shared" si="2"/>
        <v>0.35039999999999999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4946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146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/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9">
        <f t="shared" si="5"/>
        <v>0.47222222222222227</v>
      </c>
      <c r="F40" s="80"/>
      <c r="G40" s="16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9">
        <f t="shared" si="5"/>
        <v>0.48611111111111116</v>
      </c>
      <c r="F41" s="80"/>
      <c r="G41" s="16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>
        <v>13</v>
      </c>
      <c r="E42" s="79">
        <f t="shared" si="5"/>
        <v>0.50000000000000011</v>
      </c>
      <c r="F42" s="80"/>
      <c r="G42" s="16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4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F41F-C165-4004-B6DC-2C7258CA2FC4}">
  <dimension ref="A1:M48"/>
  <sheetViews>
    <sheetView zoomScaleNormal="100" workbookViewId="0">
      <selection activeCell="L30" sqref="L30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56</v>
      </c>
      <c r="D3" s="100"/>
      <c r="E3" s="100"/>
      <c r="F3" s="100"/>
      <c r="G3" s="100"/>
      <c r="H3" s="1" t="s">
        <v>1</v>
      </c>
      <c r="I3" s="101">
        <v>45393</v>
      </c>
      <c r="J3" s="102"/>
    </row>
    <row r="4" spans="1:10" ht="37.5" customHeight="1" x14ac:dyDescent="0.25">
      <c r="A4" s="87" t="s">
        <v>2</v>
      </c>
      <c r="B4" s="87"/>
      <c r="C4" s="88" t="s">
        <v>39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9</v>
      </c>
      <c r="G6" s="5" t="s">
        <v>8</v>
      </c>
      <c r="H6" s="6">
        <f>D32-(F6*400)</f>
        <v>335.96000000000004</v>
      </c>
      <c r="I6" s="7" t="s">
        <v>9</v>
      </c>
    </row>
    <row r="7" spans="1:10" ht="16.5" thickBot="1" x14ac:dyDescent="0.3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1"/>
      <c r="D8" s="20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1">
        <v>4.4900000000000002E-2</v>
      </c>
      <c r="D10" s="20">
        <f>C10*$D$32</f>
        <v>176.724604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1">
        <v>0.15790000000000001</v>
      </c>
      <c r="D11" s="20">
        <f t="shared" ref="D11:D27" si="0">C11*$D$32</f>
        <v>621.48808400000007</v>
      </c>
      <c r="E11" s="92"/>
      <c r="F11" s="27" t="s">
        <v>25</v>
      </c>
      <c r="G11" s="33"/>
      <c r="H11" s="31">
        <v>0.25940000000000002</v>
      </c>
      <c r="I11" s="35">
        <f t="shared" ref="I11:I28" si="1">H11*$I$33</f>
        <v>103.76</v>
      </c>
      <c r="J11" s="35">
        <f t="shared" ref="J11:J28" si="2">H11*$J$33</f>
        <v>87.148024000000021</v>
      </c>
    </row>
    <row r="12" spans="1:10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1">
        <v>0.1613</v>
      </c>
      <c r="I12" s="35">
        <f t="shared" si="1"/>
        <v>64.52</v>
      </c>
      <c r="J12" s="35">
        <f t="shared" si="2"/>
        <v>54.190348000000007</v>
      </c>
    </row>
    <row r="13" spans="1:10" ht="15.75" x14ac:dyDescent="0.25">
      <c r="A13" s="27" t="s">
        <v>26</v>
      </c>
      <c r="B13" s="29"/>
      <c r="C13" s="31">
        <v>0.1386</v>
      </c>
      <c r="D13" s="20">
        <f t="shared" si="0"/>
        <v>545.52405599999997</v>
      </c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1">
        <v>2.0199999999999999E-2</v>
      </c>
      <c r="I14" s="35">
        <f t="shared" si="1"/>
        <v>8.08</v>
      </c>
      <c r="J14" s="35">
        <f t="shared" si="2"/>
        <v>6.7863920000000002</v>
      </c>
    </row>
    <row r="15" spans="1:10" ht="15.75" x14ac:dyDescent="0.25">
      <c r="A15" s="27" t="s">
        <v>19</v>
      </c>
      <c r="B15" s="29"/>
      <c r="C15" s="31">
        <v>5.2600000000000001E-2</v>
      </c>
      <c r="D15" s="20">
        <f t="shared" si="0"/>
        <v>207.031496</v>
      </c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1">
        <v>9.0700000000000003E-2</v>
      </c>
      <c r="I16" s="35">
        <f t="shared" si="1"/>
        <v>36.28</v>
      </c>
      <c r="J16" s="35">
        <f t="shared" si="2"/>
        <v>30.471572000000005</v>
      </c>
    </row>
    <row r="17" spans="1:10" ht="15.75" x14ac:dyDescent="0.25">
      <c r="A17" s="27" t="s">
        <v>44</v>
      </c>
      <c r="B17" s="29"/>
      <c r="C17" s="31">
        <v>0.31580000000000003</v>
      </c>
      <c r="D17" s="20">
        <f t="shared" si="0"/>
        <v>1242.9761680000001</v>
      </c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1">
        <v>0.1807</v>
      </c>
      <c r="D18" s="20"/>
      <c r="E18" s="92"/>
      <c r="F18" s="27" t="s">
        <v>44</v>
      </c>
      <c r="G18" s="33"/>
      <c r="H18" s="31">
        <v>0.36280000000000001</v>
      </c>
      <c r="I18" s="35">
        <f t="shared" si="1"/>
        <v>145.12</v>
      </c>
      <c r="J18" s="35">
        <f t="shared" si="2"/>
        <v>121.88628800000002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1">
        <v>7.0199999999999999E-2</v>
      </c>
      <c r="D21" s="20">
        <f t="shared" si="0"/>
        <v>276.30439200000001</v>
      </c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1">
        <v>6.0499999999999998E-2</v>
      </c>
      <c r="I22" s="35">
        <f t="shared" si="1"/>
        <v>24.2</v>
      </c>
      <c r="J22" s="35">
        <f t="shared" si="2"/>
        <v>20.325580000000002</v>
      </c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1">
        <v>3.7199999999999997E-2</v>
      </c>
      <c r="D26" s="20">
        <f t="shared" si="0"/>
        <v>146.41771199999999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8.2655159999999999</v>
      </c>
      <c r="E27" s="92"/>
      <c r="F27" s="27" t="s">
        <v>32</v>
      </c>
      <c r="G27" s="24"/>
      <c r="H27" s="31">
        <v>4.2700000000000002E-2</v>
      </c>
      <c r="I27" s="35">
        <f t="shared" si="1"/>
        <v>17.080000000000002</v>
      </c>
      <c r="J27" s="35">
        <f t="shared" si="2"/>
        <v>14.345492000000002</v>
      </c>
    </row>
    <row r="28" spans="1:10" ht="15.75" x14ac:dyDescent="0.25">
      <c r="A28" s="27" t="s">
        <v>34</v>
      </c>
      <c r="B28" s="23"/>
      <c r="C28" s="31"/>
      <c r="D28" s="20"/>
      <c r="E28" s="92"/>
      <c r="F28" s="27" t="s">
        <v>33</v>
      </c>
      <c r="G28" s="24"/>
      <c r="H28" s="31">
        <v>2.3999999999999998E-3</v>
      </c>
      <c r="I28" s="35">
        <f t="shared" si="1"/>
        <v>0.96</v>
      </c>
      <c r="J28" s="35">
        <f t="shared" si="2"/>
        <v>0.80630400000000002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1"/>
      <c r="I29" s="35"/>
      <c r="J29" s="35"/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3935.96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335.96000000000004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7">
        <f t="shared" si="5"/>
        <v>0.47222222222222227</v>
      </c>
      <c r="F40" s="78"/>
      <c r="G40" s="21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7">
        <f t="shared" si="5"/>
        <v>0.48611111111111116</v>
      </c>
      <c r="F41" s="78"/>
      <c r="G41" s="21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21">
        <f t="shared" si="9"/>
        <v>0.7083333333333327</v>
      </c>
      <c r="M43" s="21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  <c r="M46" t="s">
        <v>50</v>
      </c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4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C9FC-8E02-4271-BA74-E60F9B1569AA}">
  <dimension ref="A1:M48"/>
  <sheetViews>
    <sheetView zoomScaleNormal="100" workbookViewId="0">
      <selection activeCell="I4" sqref="I4:J4"/>
    </sheetView>
  </sheetViews>
  <sheetFormatPr baseColWidth="10" defaultRowHeight="15" x14ac:dyDescent="0.25"/>
  <cols>
    <col min="2" max="2" width="17" customWidth="1"/>
    <col min="3" max="3" width="13.5703125" customWidth="1"/>
    <col min="6" max="6" width="5.71093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62</v>
      </c>
      <c r="D3" s="100"/>
      <c r="E3" s="100"/>
      <c r="F3" s="100"/>
      <c r="G3" s="100"/>
      <c r="H3" s="1" t="s">
        <v>1</v>
      </c>
      <c r="I3" s="101">
        <v>45395</v>
      </c>
      <c r="J3" s="102"/>
    </row>
    <row r="4" spans="1:10" ht="37.5" customHeight="1" x14ac:dyDescent="0.25">
      <c r="A4" s="87" t="s">
        <v>2</v>
      </c>
      <c r="B4" s="87"/>
      <c r="C4" s="88" t="s">
        <v>63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49</v>
      </c>
      <c r="J5" s="90"/>
    </row>
    <row r="6" spans="1:10" ht="19.5" thickBot="1" x14ac:dyDescent="0.35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6</v>
      </c>
      <c r="G6" s="5" t="s">
        <v>8</v>
      </c>
      <c r="H6" s="6">
        <f>D32-(F6*400)</f>
        <v>306</v>
      </c>
      <c r="I6" s="7" t="s">
        <v>9</v>
      </c>
    </row>
    <row r="7" spans="1:10" ht="16.5" thickBot="1" x14ac:dyDescent="0.3">
      <c r="A7" s="26" t="s">
        <v>23</v>
      </c>
      <c r="B7" s="29"/>
      <c r="C7" s="30"/>
      <c r="D7" s="5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9"/>
      <c r="D8" s="51"/>
      <c r="E8" s="92"/>
      <c r="F8" s="26" t="s">
        <v>23</v>
      </c>
      <c r="G8" s="33"/>
      <c r="H8" s="30"/>
      <c r="I8" s="35"/>
      <c r="J8" s="35"/>
    </row>
    <row r="9" spans="1:10" ht="15.75" x14ac:dyDescent="0.25">
      <c r="A9" s="27" t="s">
        <v>24</v>
      </c>
      <c r="B9" s="29"/>
      <c r="C9" s="31"/>
      <c r="D9" s="52"/>
      <c r="E9" s="92"/>
      <c r="F9" s="26" t="s">
        <v>42</v>
      </c>
      <c r="G9" s="33"/>
      <c r="H9" s="39"/>
      <c r="I9" s="35"/>
      <c r="J9" s="35"/>
    </row>
    <row r="10" spans="1:10" ht="15.75" x14ac:dyDescent="0.25">
      <c r="A10" s="27" t="s">
        <v>25</v>
      </c>
      <c r="B10" s="29"/>
      <c r="C10" s="31">
        <v>0.25940000000000002</v>
      </c>
      <c r="D10" s="53">
        <f>+C10*$D$32</f>
        <v>701.93640000000005</v>
      </c>
      <c r="E10" s="92"/>
      <c r="F10" s="27" t="s">
        <v>24</v>
      </c>
      <c r="G10" s="33"/>
      <c r="H10" s="31"/>
      <c r="I10" s="35"/>
      <c r="J10" s="35"/>
    </row>
    <row r="11" spans="1:10" ht="15.75" x14ac:dyDescent="0.25">
      <c r="A11" s="27" t="s">
        <v>47</v>
      </c>
      <c r="B11" s="29"/>
      <c r="C11" s="31">
        <v>0.1613</v>
      </c>
      <c r="D11" s="53">
        <f t="shared" ref="D11:D27" si="0">+C11*$D$32</f>
        <v>436.4778</v>
      </c>
      <c r="E11" s="92"/>
      <c r="F11" s="27" t="s">
        <v>25</v>
      </c>
      <c r="G11" s="33"/>
      <c r="H11" s="31">
        <v>0.25940000000000002</v>
      </c>
      <c r="I11" s="35">
        <f t="shared" ref="I11:I28" si="1">H11*$I$33</f>
        <v>103.76</v>
      </c>
      <c r="J11" s="35">
        <f t="shared" ref="J11:J28" si="2">H11*$J$33</f>
        <v>79.376400000000004</v>
      </c>
    </row>
    <row r="12" spans="1:10" ht="15.75" x14ac:dyDescent="0.25">
      <c r="A12" s="27" t="s">
        <v>46</v>
      </c>
      <c r="B12" s="29"/>
      <c r="C12" s="31"/>
      <c r="D12" s="53"/>
      <c r="E12" s="92"/>
      <c r="F12" s="27" t="s">
        <v>47</v>
      </c>
      <c r="G12" s="33"/>
      <c r="H12" s="31">
        <v>0.1613</v>
      </c>
      <c r="I12" s="35">
        <f t="shared" si="1"/>
        <v>64.52</v>
      </c>
      <c r="J12" s="35">
        <f t="shared" si="2"/>
        <v>49.357799999999997</v>
      </c>
    </row>
    <row r="13" spans="1:10" ht="15.75" x14ac:dyDescent="0.25">
      <c r="A13" s="27" t="s">
        <v>26</v>
      </c>
      <c r="B13" s="29"/>
      <c r="C13" s="31">
        <v>2.0199999999999999E-2</v>
      </c>
      <c r="D13" s="53">
        <f t="shared" si="0"/>
        <v>54.661200000000001</v>
      </c>
      <c r="E13" s="92"/>
      <c r="F13" s="27" t="s">
        <v>46</v>
      </c>
      <c r="G13" s="33"/>
      <c r="H13" s="31"/>
      <c r="I13" s="35"/>
      <c r="J13" s="35"/>
    </row>
    <row r="14" spans="1:10" ht="15.75" x14ac:dyDescent="0.25">
      <c r="A14" s="27" t="s">
        <v>43</v>
      </c>
      <c r="B14" s="29"/>
      <c r="C14" s="31"/>
      <c r="D14" s="53"/>
      <c r="E14" s="92"/>
      <c r="F14" s="27" t="s">
        <v>26</v>
      </c>
      <c r="G14" s="33"/>
      <c r="H14" s="31">
        <v>2.0199999999999999E-2</v>
      </c>
      <c r="I14" s="35">
        <f t="shared" si="1"/>
        <v>8.08</v>
      </c>
      <c r="J14" s="35">
        <f t="shared" si="2"/>
        <v>6.1811999999999996</v>
      </c>
    </row>
    <row r="15" spans="1:10" ht="15.75" x14ac:dyDescent="0.25">
      <c r="A15" s="27" t="s">
        <v>19</v>
      </c>
      <c r="B15" s="29"/>
      <c r="C15" s="31">
        <v>9.0700000000000003E-2</v>
      </c>
      <c r="D15" s="53">
        <f t="shared" si="0"/>
        <v>245.4342</v>
      </c>
      <c r="E15" s="92"/>
      <c r="F15" s="27" t="s">
        <v>43</v>
      </c>
      <c r="G15" s="33"/>
      <c r="H15" s="31"/>
      <c r="I15" s="35"/>
      <c r="J15" s="35"/>
    </row>
    <row r="16" spans="1:10" ht="15.75" x14ac:dyDescent="0.25">
      <c r="A16" s="27" t="s">
        <v>27</v>
      </c>
      <c r="B16" s="29"/>
      <c r="C16" s="31"/>
      <c r="D16" s="53"/>
      <c r="E16" s="92"/>
      <c r="F16" s="27" t="s">
        <v>19</v>
      </c>
      <c r="G16" s="33"/>
      <c r="H16" s="31">
        <v>9.0700000000000003E-2</v>
      </c>
      <c r="I16" s="35">
        <f t="shared" si="1"/>
        <v>36.28</v>
      </c>
      <c r="J16" s="35">
        <f t="shared" si="2"/>
        <v>27.754200000000001</v>
      </c>
    </row>
    <row r="17" spans="1:10" ht="15.75" x14ac:dyDescent="0.25">
      <c r="A17" s="27" t="s">
        <v>44</v>
      </c>
      <c r="B17" s="29"/>
      <c r="C17" s="31">
        <v>0.36280000000000001</v>
      </c>
      <c r="D17" s="53">
        <f t="shared" si="0"/>
        <v>981.73680000000002</v>
      </c>
      <c r="E17" s="92"/>
      <c r="F17" s="27" t="s">
        <v>27</v>
      </c>
      <c r="G17" s="33"/>
      <c r="H17" s="31"/>
      <c r="I17" s="35"/>
      <c r="J17" s="35"/>
    </row>
    <row r="18" spans="1:10" ht="15.75" x14ac:dyDescent="0.25">
      <c r="A18" s="27" t="s">
        <v>28</v>
      </c>
      <c r="B18" s="29"/>
      <c r="C18" s="31"/>
      <c r="D18" s="53"/>
      <c r="E18" s="92"/>
      <c r="F18" s="27" t="s">
        <v>44</v>
      </c>
      <c r="G18" s="33"/>
      <c r="H18" s="31">
        <v>0.36280000000000001</v>
      </c>
      <c r="I18" s="35">
        <f t="shared" si="1"/>
        <v>145.12</v>
      </c>
      <c r="J18" s="35">
        <f t="shared" si="2"/>
        <v>111.0168</v>
      </c>
    </row>
    <row r="19" spans="1:10" ht="15.75" x14ac:dyDescent="0.25">
      <c r="A19" s="27" t="s">
        <v>45</v>
      </c>
      <c r="B19" s="29"/>
      <c r="C19" s="31"/>
      <c r="D19" s="53"/>
      <c r="E19" s="92"/>
      <c r="F19" s="27" t="s">
        <v>28</v>
      </c>
      <c r="G19" s="33"/>
      <c r="H19" s="31"/>
      <c r="I19" s="35"/>
      <c r="J19" s="35"/>
    </row>
    <row r="20" spans="1:10" ht="15.75" x14ac:dyDescent="0.25">
      <c r="A20" s="27" t="s">
        <v>10</v>
      </c>
      <c r="B20" s="29"/>
      <c r="C20" s="31"/>
      <c r="D20" s="53"/>
      <c r="E20" s="92"/>
      <c r="F20" s="27" t="s">
        <v>45</v>
      </c>
      <c r="G20" s="33"/>
      <c r="H20" s="31"/>
      <c r="I20" s="35"/>
      <c r="J20" s="35"/>
    </row>
    <row r="21" spans="1:10" ht="15.75" x14ac:dyDescent="0.25">
      <c r="A21" s="27" t="s">
        <v>29</v>
      </c>
      <c r="B21" s="29"/>
      <c r="C21" s="31">
        <v>6.0499999999999998E-2</v>
      </c>
      <c r="D21" s="53">
        <f t="shared" si="0"/>
        <v>163.71299999999999</v>
      </c>
      <c r="E21" s="92"/>
      <c r="F21" s="27" t="s">
        <v>10</v>
      </c>
      <c r="G21" s="33"/>
      <c r="H21" s="31"/>
      <c r="I21" s="35"/>
      <c r="J21" s="35"/>
    </row>
    <row r="22" spans="1:10" ht="15.75" x14ac:dyDescent="0.25">
      <c r="A22" s="27" t="s">
        <v>17</v>
      </c>
      <c r="B22" s="29"/>
      <c r="C22" s="31"/>
      <c r="D22" s="53"/>
      <c r="E22" s="92"/>
      <c r="F22" s="27" t="s">
        <v>29</v>
      </c>
      <c r="G22" s="33"/>
      <c r="H22" s="31">
        <v>6.0499999999999998E-2</v>
      </c>
      <c r="I22" s="35">
        <f t="shared" si="1"/>
        <v>24.2</v>
      </c>
      <c r="J22" s="35">
        <f t="shared" si="2"/>
        <v>18.512999999999998</v>
      </c>
    </row>
    <row r="23" spans="1:10" ht="15.75" x14ac:dyDescent="0.25">
      <c r="A23" s="27" t="s">
        <v>30</v>
      </c>
      <c r="B23" s="29"/>
      <c r="C23" s="31"/>
      <c r="D23" s="53"/>
      <c r="E23" s="92"/>
      <c r="F23" s="27" t="s">
        <v>17</v>
      </c>
      <c r="G23" s="33"/>
      <c r="H23" s="31"/>
      <c r="I23" s="35"/>
      <c r="J23" s="35"/>
    </row>
    <row r="24" spans="1:10" ht="15.75" x14ac:dyDescent="0.25">
      <c r="A24" s="27" t="s">
        <v>31</v>
      </c>
      <c r="B24" s="29"/>
      <c r="C24" s="31"/>
      <c r="D24" s="53"/>
      <c r="E24" s="92"/>
      <c r="F24" s="27" t="s">
        <v>30</v>
      </c>
      <c r="G24" s="33"/>
      <c r="H24" s="31"/>
      <c r="I24" s="35"/>
      <c r="J24" s="35"/>
    </row>
    <row r="25" spans="1:10" ht="15.75" x14ac:dyDescent="0.25">
      <c r="A25" s="27" t="s">
        <v>16</v>
      </c>
      <c r="B25" s="29"/>
      <c r="C25" s="31"/>
      <c r="D25" s="53"/>
      <c r="E25" s="92"/>
      <c r="F25" s="27" t="s">
        <v>31</v>
      </c>
      <c r="G25" s="33"/>
      <c r="H25" s="31"/>
      <c r="I25" s="35"/>
      <c r="J25" s="35"/>
    </row>
    <row r="26" spans="1:10" ht="15.75" x14ac:dyDescent="0.25">
      <c r="A26" s="27" t="s">
        <v>32</v>
      </c>
      <c r="B26" s="23"/>
      <c r="C26" s="31">
        <v>4.2700000000000002E-2</v>
      </c>
      <c r="D26" s="53">
        <f t="shared" si="0"/>
        <v>115.5462</v>
      </c>
      <c r="E26" s="92"/>
      <c r="F26" s="27" t="s">
        <v>16</v>
      </c>
      <c r="G26" s="24"/>
      <c r="H26" s="31"/>
      <c r="I26" s="35"/>
      <c r="J26" s="35"/>
    </row>
    <row r="27" spans="1:10" ht="15.75" x14ac:dyDescent="0.25">
      <c r="A27" s="27" t="s">
        <v>33</v>
      </c>
      <c r="B27" s="23"/>
      <c r="C27" s="31">
        <v>2.3999999999999998E-3</v>
      </c>
      <c r="D27" s="53">
        <f t="shared" si="0"/>
        <v>6.4943999999999997</v>
      </c>
      <c r="E27" s="92"/>
      <c r="F27" s="27" t="s">
        <v>32</v>
      </c>
      <c r="G27" s="24"/>
      <c r="H27" s="31">
        <v>4.2700000000000002E-2</v>
      </c>
      <c r="I27" s="35">
        <f t="shared" si="1"/>
        <v>17.080000000000002</v>
      </c>
      <c r="J27" s="35">
        <f t="shared" si="2"/>
        <v>13.0662</v>
      </c>
    </row>
    <row r="28" spans="1:10" ht="15.75" x14ac:dyDescent="0.25">
      <c r="A28" s="27" t="s">
        <v>34</v>
      </c>
      <c r="B28" s="23"/>
      <c r="C28" s="31"/>
      <c r="D28" s="52"/>
      <c r="E28" s="92"/>
      <c r="F28" s="27" t="s">
        <v>33</v>
      </c>
      <c r="G28" s="24"/>
      <c r="H28" s="31">
        <v>2.3999999999999998E-3</v>
      </c>
      <c r="I28" s="35">
        <f t="shared" si="1"/>
        <v>0.96</v>
      </c>
      <c r="J28" s="35">
        <f t="shared" si="2"/>
        <v>0.73439999999999994</v>
      </c>
    </row>
    <row r="29" spans="1:10" ht="15.75" x14ac:dyDescent="0.25">
      <c r="A29" s="27" t="s">
        <v>22</v>
      </c>
      <c r="B29" s="23"/>
      <c r="C29" s="31"/>
      <c r="D29" s="52"/>
      <c r="E29" s="92"/>
      <c r="F29" s="27" t="s">
        <v>34</v>
      </c>
      <c r="G29" s="24"/>
      <c r="H29" s="31"/>
      <c r="I29" s="35"/>
      <c r="J29" s="35"/>
    </row>
    <row r="30" spans="1:10" ht="15.75" x14ac:dyDescent="0.25">
      <c r="A30" s="27" t="s">
        <v>35</v>
      </c>
      <c r="B30" s="29"/>
      <c r="C30" s="31"/>
      <c r="D30" s="52"/>
      <c r="E30" s="92"/>
      <c r="F30" s="27" t="s">
        <v>22</v>
      </c>
      <c r="G30" s="33"/>
      <c r="H30" s="31"/>
      <c r="I30" s="35"/>
      <c r="J30" s="35"/>
    </row>
    <row r="31" spans="1:10" ht="16.5" thickBot="1" x14ac:dyDescent="0.3">
      <c r="A31" s="28" t="s">
        <v>36</v>
      </c>
      <c r="B31" s="29"/>
      <c r="C31" s="32"/>
      <c r="D31" s="54"/>
      <c r="E31" s="92"/>
      <c r="F31" s="27" t="s">
        <v>35</v>
      </c>
      <c r="G31" s="33"/>
      <c r="H31" s="31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2706</v>
      </c>
      <c r="E32" s="92"/>
      <c r="F32" s="28" t="s">
        <v>36</v>
      </c>
      <c r="G32" s="34"/>
      <c r="H32" s="32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306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7">
        <f>+C43+5/1440</f>
        <v>0.43055555555555558</v>
      </c>
      <c r="F37" s="78"/>
      <c r="G37" s="21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7">
        <f>+G37+5/1440</f>
        <v>0.44444444444444448</v>
      </c>
      <c r="F38" s="78"/>
      <c r="G38" s="21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7">
        <f t="shared" ref="E39:E43" si="5">+G38+5/1440</f>
        <v>0.45833333333333337</v>
      </c>
      <c r="F39" s="78"/>
      <c r="G39" s="21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7">
        <f t="shared" si="5"/>
        <v>0.47222222222222227</v>
      </c>
      <c r="F40" s="78"/>
      <c r="G40" s="21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7">
        <f t="shared" si="5"/>
        <v>0.48611111111111116</v>
      </c>
      <c r="F41" s="78"/>
      <c r="G41" s="21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  <c r="M46" t="s">
        <v>50</v>
      </c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4">
    <mergeCell ref="E40:F40"/>
    <mergeCell ref="E41:F41"/>
    <mergeCell ref="E42:F42"/>
    <mergeCell ref="E43:F43"/>
    <mergeCell ref="A34:B34"/>
    <mergeCell ref="A35:D35"/>
    <mergeCell ref="E36:F36"/>
    <mergeCell ref="E37:F37"/>
    <mergeCell ref="E38:F38"/>
    <mergeCell ref="E39:F39"/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ED14-03F3-4F8B-9039-AF7BF61DAEC3}">
  <dimension ref="A1:P48"/>
  <sheetViews>
    <sheetView zoomScaleNormal="100" workbookViewId="0">
      <selection activeCell="M17" sqref="M17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9" max="10" width="13.140625" customWidth="1"/>
    <col min="12" max="12" width="13.85546875" customWidth="1"/>
    <col min="13" max="13" width="13.7109375" customWidth="1"/>
    <col min="15" max="15" width="15.140625" customWidth="1"/>
    <col min="16" max="16" width="17.7109375" customWidth="1"/>
  </cols>
  <sheetData>
    <row r="1" spans="1:13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3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3" ht="15.75" customHeight="1" x14ac:dyDescent="0.25">
      <c r="A3" s="87" t="s">
        <v>0</v>
      </c>
      <c r="B3" s="87"/>
      <c r="C3" s="100" t="s">
        <v>57</v>
      </c>
      <c r="D3" s="100"/>
      <c r="E3" s="100"/>
      <c r="F3" s="100"/>
      <c r="G3" s="100"/>
      <c r="H3" s="1" t="s">
        <v>1</v>
      </c>
      <c r="I3" s="101">
        <v>45401</v>
      </c>
      <c r="J3" s="102"/>
    </row>
    <row r="4" spans="1:13" ht="37.5" customHeight="1" x14ac:dyDescent="0.25">
      <c r="A4" s="87" t="s">
        <v>2</v>
      </c>
      <c r="B4" s="87"/>
      <c r="C4" s="88" t="s">
        <v>40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3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3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5</v>
      </c>
      <c r="G6" s="5" t="s">
        <v>8</v>
      </c>
      <c r="H6" s="6">
        <f>D32-(F6*400)</f>
        <v>263.5300000000002</v>
      </c>
      <c r="I6" s="7" t="s">
        <v>9</v>
      </c>
    </row>
    <row r="7" spans="1:13" ht="15.75" x14ac:dyDescent="0.25">
      <c r="A7" s="26" t="s">
        <v>23</v>
      </c>
      <c r="B7" s="29"/>
      <c r="C7" s="39"/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3" ht="15.75" x14ac:dyDescent="0.25">
      <c r="A8" s="26" t="s">
        <v>42</v>
      </c>
      <c r="B8" s="29"/>
      <c r="C8" s="39"/>
      <c r="D8" s="20"/>
      <c r="E8" s="92"/>
      <c r="F8" s="26" t="s">
        <v>23</v>
      </c>
      <c r="G8" s="33"/>
      <c r="H8" s="38"/>
      <c r="I8" s="35"/>
      <c r="J8" s="35"/>
    </row>
    <row r="9" spans="1:13" ht="15.75" x14ac:dyDescent="0.25">
      <c r="A9" s="27" t="s">
        <v>24</v>
      </c>
      <c r="B9" s="29"/>
      <c r="C9" s="31"/>
      <c r="D9" s="20"/>
      <c r="E9" s="92"/>
      <c r="F9" s="26" t="s">
        <v>42</v>
      </c>
      <c r="G9" s="33"/>
      <c r="H9" s="38"/>
      <c r="I9" s="35"/>
      <c r="J9" s="35"/>
    </row>
    <row r="10" spans="1:13" ht="15.75" x14ac:dyDescent="0.25">
      <c r="A10" s="27" t="s">
        <v>25</v>
      </c>
      <c r="B10" s="29"/>
      <c r="C10" s="31">
        <v>0.3291</v>
      </c>
      <c r="D10" s="20">
        <f>C10*$D$32</f>
        <v>744.92772300000013</v>
      </c>
      <c r="E10" s="92"/>
      <c r="F10" s="27" t="s">
        <v>24</v>
      </c>
      <c r="G10" s="33"/>
      <c r="H10" s="38"/>
      <c r="I10" s="35"/>
      <c r="J10" s="35"/>
    </row>
    <row r="11" spans="1:13" ht="15.75" x14ac:dyDescent="0.25">
      <c r="A11" s="27" t="s">
        <v>47</v>
      </c>
      <c r="B11" s="29"/>
      <c r="C11" s="31">
        <v>0.1404</v>
      </c>
      <c r="D11" s="20">
        <f t="shared" ref="D11:D28" si="0">C11*$D$32</f>
        <v>317.79961200000002</v>
      </c>
      <c r="E11" s="92"/>
      <c r="F11" s="27" t="s">
        <v>25</v>
      </c>
      <c r="G11" s="33"/>
      <c r="H11" s="38">
        <v>7.1599999999999997E-2</v>
      </c>
      <c r="I11" s="35">
        <f t="shared" ref="I11:I29" si="1">H11*$I$33</f>
        <v>28.64</v>
      </c>
      <c r="J11" s="35">
        <f t="shared" ref="J11:J29" si="2">H11*$J$33</f>
        <v>18.868748000000014</v>
      </c>
    </row>
    <row r="12" spans="1:13" ht="15.75" x14ac:dyDescent="0.25">
      <c r="A12" s="27" t="s">
        <v>46</v>
      </c>
      <c r="B12" s="29"/>
      <c r="C12" s="31"/>
      <c r="D12" s="20"/>
      <c r="E12" s="92"/>
      <c r="F12" s="27" t="s">
        <v>47</v>
      </c>
      <c r="G12" s="33"/>
      <c r="H12" s="38"/>
      <c r="I12" s="35"/>
      <c r="J12" s="35"/>
    </row>
    <row r="13" spans="1:13" ht="15.75" x14ac:dyDescent="0.25">
      <c r="A13" s="27" t="s">
        <v>26</v>
      </c>
      <c r="B13" s="29"/>
      <c r="C13" s="31">
        <v>1.7500000000000002E-2</v>
      </c>
      <c r="D13" s="20">
        <f t="shared" si="0"/>
        <v>39.611775000000009</v>
      </c>
      <c r="E13" s="92"/>
      <c r="F13" s="27" t="s">
        <v>46</v>
      </c>
      <c r="G13" s="33"/>
      <c r="H13" s="38"/>
      <c r="I13" s="35"/>
      <c r="J13" s="35"/>
    </row>
    <row r="14" spans="1:13" ht="15.75" x14ac:dyDescent="0.25">
      <c r="A14" s="27" t="s">
        <v>43</v>
      </c>
      <c r="B14" s="29"/>
      <c r="C14" s="31"/>
      <c r="D14" s="20"/>
      <c r="E14" s="92"/>
      <c r="F14" s="27" t="s">
        <v>26</v>
      </c>
      <c r="G14" s="33"/>
      <c r="H14" s="38">
        <v>3.49E-2</v>
      </c>
      <c r="I14" s="35">
        <f t="shared" si="1"/>
        <v>13.96</v>
      </c>
      <c r="J14" s="35">
        <f t="shared" si="2"/>
        <v>9.1971970000000063</v>
      </c>
    </row>
    <row r="15" spans="1:13" ht="15.75" x14ac:dyDescent="0.25">
      <c r="A15" s="27" t="s">
        <v>19</v>
      </c>
      <c r="B15" s="29"/>
      <c r="C15" s="31"/>
      <c r="D15" s="20"/>
      <c r="E15" s="92"/>
      <c r="F15" s="27" t="s">
        <v>43</v>
      </c>
      <c r="G15" s="33"/>
      <c r="H15" s="38"/>
      <c r="I15" s="35"/>
      <c r="J15" s="35"/>
      <c r="M15" s="43"/>
    </row>
    <row r="16" spans="1:13" ht="15.75" x14ac:dyDescent="0.25">
      <c r="A16" s="27" t="s">
        <v>27</v>
      </c>
      <c r="B16" s="29"/>
      <c r="C16" s="31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0.43859999999999999</v>
      </c>
      <c r="D17" s="20">
        <f t="shared" si="0"/>
        <v>992.78425800000002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1"/>
      <c r="D18" s="20"/>
      <c r="E18" s="92"/>
      <c r="F18" s="27" t="s">
        <v>44</v>
      </c>
      <c r="G18" s="33"/>
      <c r="H18" s="38">
        <v>0.61150000000000004</v>
      </c>
      <c r="I18" s="35">
        <f t="shared" si="1"/>
        <v>244.60000000000002</v>
      </c>
      <c r="J18" s="35">
        <f t="shared" si="2"/>
        <v>161.14859500000014</v>
      </c>
    </row>
    <row r="19" spans="1:10" ht="15.75" x14ac:dyDescent="0.25">
      <c r="A19" s="27" t="s">
        <v>45</v>
      </c>
      <c r="B19" s="29"/>
      <c r="C19" s="31"/>
      <c r="D19" s="20"/>
      <c r="E19" s="92"/>
      <c r="F19" s="27" t="s">
        <v>28</v>
      </c>
      <c r="G19" s="33"/>
      <c r="H19" s="38">
        <v>0.2009</v>
      </c>
      <c r="I19" s="35">
        <f t="shared" si="1"/>
        <v>80.36</v>
      </c>
      <c r="J19" s="35">
        <f t="shared" si="2"/>
        <v>52.943177000000041</v>
      </c>
    </row>
    <row r="20" spans="1:10" ht="15.75" x14ac:dyDescent="0.25">
      <c r="A20" s="27" t="s">
        <v>10</v>
      </c>
      <c r="B20" s="29"/>
      <c r="C20" s="31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1"/>
      <c r="D21" s="20"/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1"/>
      <c r="D22" s="20"/>
      <c r="E22" s="92"/>
      <c r="F22" s="27" t="s">
        <v>29</v>
      </c>
      <c r="G22" s="33"/>
      <c r="H22" s="38"/>
      <c r="I22" s="35"/>
      <c r="J22" s="35"/>
    </row>
    <row r="23" spans="1:10" ht="15.75" x14ac:dyDescent="0.25">
      <c r="A23" s="27" t="s">
        <v>30</v>
      </c>
      <c r="B23" s="29"/>
      <c r="C23" s="31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1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1"/>
      <c r="D25" s="20"/>
      <c r="E25" s="92"/>
      <c r="F25" s="27" t="s">
        <v>31</v>
      </c>
      <c r="G25" s="33"/>
      <c r="H25" s="38">
        <v>3.5000000000000001E-3</v>
      </c>
      <c r="I25" s="35">
        <f t="shared" si="1"/>
        <v>1.4000000000000001</v>
      </c>
      <c r="J25" s="35">
        <f t="shared" si="2"/>
        <v>0.9223550000000007</v>
      </c>
    </row>
    <row r="26" spans="1:10" ht="15.75" x14ac:dyDescent="0.25">
      <c r="A26" s="27" t="s">
        <v>32</v>
      </c>
      <c r="B26" s="23"/>
      <c r="C26" s="31">
        <v>3.7199999999999997E-2</v>
      </c>
      <c r="D26" s="20">
        <f t="shared" si="0"/>
        <v>84.203316000000001</v>
      </c>
      <c r="E26" s="92"/>
      <c r="F26" s="27" t="s">
        <v>16</v>
      </c>
      <c r="G26" s="24"/>
      <c r="H26" s="38">
        <v>3.49E-2</v>
      </c>
      <c r="I26" s="35">
        <f t="shared" si="1"/>
        <v>13.96</v>
      </c>
      <c r="J26" s="35">
        <f t="shared" si="2"/>
        <v>9.1971970000000063</v>
      </c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4.7534130000000001</v>
      </c>
      <c r="E27" s="92"/>
      <c r="F27" s="27" t="s">
        <v>32</v>
      </c>
      <c r="G27" s="24"/>
      <c r="H27" s="38">
        <v>3.7100000000000001E-2</v>
      </c>
      <c r="I27" s="35">
        <f t="shared" si="1"/>
        <v>14.84</v>
      </c>
      <c r="J27" s="35">
        <f t="shared" si="2"/>
        <v>9.7769630000000074</v>
      </c>
    </row>
    <row r="28" spans="1:10" ht="15.75" x14ac:dyDescent="0.25">
      <c r="A28" s="27" t="s">
        <v>34</v>
      </c>
      <c r="B28" s="23"/>
      <c r="C28" s="31">
        <v>3.5099999999999999E-2</v>
      </c>
      <c r="D28" s="20">
        <f t="shared" si="0"/>
        <v>79.449903000000006</v>
      </c>
      <c r="E28" s="92"/>
      <c r="F28" s="27" t="s">
        <v>33</v>
      </c>
      <c r="G28" s="24"/>
      <c r="H28" s="38">
        <v>2.0999999999999999E-3</v>
      </c>
      <c r="I28" s="35">
        <f t="shared" si="1"/>
        <v>0.84</v>
      </c>
      <c r="J28" s="35">
        <f t="shared" si="2"/>
        <v>0.55341300000000038</v>
      </c>
    </row>
    <row r="29" spans="1:10" ht="15.75" x14ac:dyDescent="0.25">
      <c r="A29" s="27" t="s">
        <v>22</v>
      </c>
      <c r="B29" s="23"/>
      <c r="C29" s="31"/>
      <c r="D29" s="20"/>
      <c r="E29" s="92"/>
      <c r="F29" s="27" t="s">
        <v>34</v>
      </c>
      <c r="G29" s="24"/>
      <c r="H29" s="38">
        <v>3.5000000000000001E-3</v>
      </c>
      <c r="I29" s="35">
        <f t="shared" si="1"/>
        <v>1.4000000000000001</v>
      </c>
      <c r="J29" s="35">
        <f t="shared" si="2"/>
        <v>0.9223550000000007</v>
      </c>
    </row>
    <row r="30" spans="1:10" ht="15.75" x14ac:dyDescent="0.25">
      <c r="A30" s="27" t="s">
        <v>35</v>
      </c>
      <c r="B30" s="29"/>
      <c r="C30" s="31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2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</v>
      </c>
      <c r="D32" s="15">
        <v>2263.5300000000002</v>
      </c>
      <c r="E32" s="92"/>
      <c r="F32" s="28" t="s">
        <v>36</v>
      </c>
      <c r="G32" s="34"/>
      <c r="H32" s="38"/>
      <c r="I32" s="35"/>
      <c r="J32" s="35"/>
    </row>
    <row r="33" spans="1:16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263.5300000000002</v>
      </c>
    </row>
    <row r="34" spans="1:16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6" x14ac:dyDescent="0.25">
      <c r="A35" s="84" t="s">
        <v>18</v>
      </c>
      <c r="B35" s="84"/>
      <c r="C35" s="84"/>
      <c r="D35" s="84"/>
      <c r="E35" s="2"/>
      <c r="F35" s="2"/>
      <c r="G35" s="2"/>
    </row>
    <row r="36" spans="1:16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41" t="s">
        <v>14</v>
      </c>
      <c r="N36" s="44"/>
      <c r="O36" s="45"/>
      <c r="P36" s="45"/>
    </row>
    <row r="37" spans="1:16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7">
        <f>+C43+5/1440</f>
        <v>0.43055555555555558</v>
      </c>
      <c r="F37" s="78"/>
      <c r="G37" s="25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2">
        <f>J43+5/1440</f>
        <v>0.62499999999999967</v>
      </c>
      <c r="M37" s="12">
        <f>L37+15/1440</f>
        <v>0.6354166666666663</v>
      </c>
      <c r="N37" s="46"/>
      <c r="O37" s="47"/>
      <c r="P37" s="47"/>
    </row>
    <row r="38" spans="1:16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7">
        <f>+G37+5/1440</f>
        <v>0.44444444444444448</v>
      </c>
      <c r="F38" s="78"/>
      <c r="G38" s="25">
        <f>+E38+15/1440</f>
        <v>0.45486111111111116</v>
      </c>
      <c r="H38" s="11">
        <v>13</v>
      </c>
      <c r="I38" s="12">
        <f>J37+5/1440</f>
        <v>0.54166666666666663</v>
      </c>
      <c r="J38" s="12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  <c r="N38" s="46"/>
      <c r="O38" s="47"/>
      <c r="P38" s="47"/>
    </row>
    <row r="39" spans="1:16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7">
        <f t="shared" ref="E39:E43" si="5">+G38+5/1440</f>
        <v>0.45833333333333337</v>
      </c>
      <c r="F39" s="78"/>
      <c r="G39" s="25">
        <f t="shared" ref="G39:G43" si="6">+E39+15/1440</f>
        <v>0.46875000000000006</v>
      </c>
      <c r="H39" s="11">
        <v>14</v>
      </c>
      <c r="I39" s="12">
        <f t="shared" ref="I39:I43" si="7">J38+5/1440</f>
        <v>0.55555555555555547</v>
      </c>
      <c r="J39" s="12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  <c r="N39" s="46"/>
      <c r="O39" s="47"/>
      <c r="P39" s="47"/>
    </row>
    <row r="40" spans="1:16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7">
        <f t="shared" si="5"/>
        <v>0.47222222222222227</v>
      </c>
      <c r="F40" s="78"/>
      <c r="G40" s="25">
        <f t="shared" si="6"/>
        <v>0.48263888888888895</v>
      </c>
      <c r="H40" s="11">
        <v>15</v>
      </c>
      <c r="I40" s="12">
        <f t="shared" si="7"/>
        <v>0.56944444444444431</v>
      </c>
      <c r="J40" s="12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  <c r="N40" s="46"/>
      <c r="O40" s="47"/>
      <c r="P40" s="47"/>
    </row>
    <row r="41" spans="1:16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7">
        <f t="shared" si="5"/>
        <v>0.48611111111111116</v>
      </c>
      <c r="F41" s="78"/>
      <c r="G41" s="25">
        <f t="shared" si="6"/>
        <v>0.49652777777777785</v>
      </c>
      <c r="H41" s="11">
        <v>16</v>
      </c>
      <c r="I41" s="12">
        <f t="shared" si="7"/>
        <v>0.58333333333333315</v>
      </c>
      <c r="J41" s="12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  <c r="N41" s="46"/>
      <c r="O41" s="47"/>
      <c r="P41" s="47"/>
    </row>
    <row r="42" spans="1:16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2">
        <f t="shared" si="7"/>
        <v>0.59722222222222199</v>
      </c>
      <c r="J42" s="12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  <c r="N42" s="46"/>
      <c r="O42" s="47"/>
      <c r="P42" s="47"/>
    </row>
    <row r="43" spans="1:16" x14ac:dyDescent="0.25">
      <c r="A43" s="11">
        <v>7</v>
      </c>
      <c r="B43" s="21">
        <f t="shared" si="3"/>
        <v>0.41666666666666669</v>
      </c>
      <c r="C43" s="21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2">
        <f t="shared" si="7"/>
        <v>0.61111111111111083</v>
      </c>
      <c r="J43" s="12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  <c r="N43" s="46"/>
      <c r="O43" s="47"/>
      <c r="P43" s="47"/>
    </row>
    <row r="44" spans="1:16" x14ac:dyDescent="0.25">
      <c r="H44" s="36"/>
      <c r="I44" s="37"/>
      <c r="J44" s="37"/>
    </row>
    <row r="45" spans="1:16" x14ac:dyDescent="0.25">
      <c r="H45" s="36"/>
      <c r="I45" s="37"/>
      <c r="J45" s="37"/>
    </row>
    <row r="46" spans="1:16" x14ac:dyDescent="0.25">
      <c r="H46" s="36"/>
      <c r="I46" s="37"/>
      <c r="J46" s="37"/>
      <c r="M46" t="s">
        <v>50</v>
      </c>
    </row>
    <row r="47" spans="1:16" x14ac:dyDescent="0.25">
      <c r="H47" s="36"/>
      <c r="I47" s="37"/>
      <c r="J47" s="37"/>
    </row>
    <row r="48" spans="1:16" x14ac:dyDescent="0.25">
      <c r="I48" s="22"/>
      <c r="J48" s="22"/>
    </row>
  </sheetData>
  <mergeCells count="24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2:F42"/>
    <mergeCell ref="E43:F43"/>
    <mergeCell ref="A34:B34"/>
    <mergeCell ref="A35:D35"/>
    <mergeCell ref="E36:F36"/>
    <mergeCell ref="E37:F37"/>
    <mergeCell ref="E38:F38"/>
    <mergeCell ref="E39:F39"/>
    <mergeCell ref="E40:F40"/>
    <mergeCell ref="E41:F4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91EE-7EE5-4CEC-8DDB-AB1B08348AE0}">
  <dimension ref="A1:M48"/>
  <sheetViews>
    <sheetView topLeftCell="A16" zoomScaleNormal="100" workbookViewId="0">
      <selection sqref="A1:M43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60</v>
      </c>
      <c r="D3" s="100"/>
      <c r="E3" s="100"/>
      <c r="F3" s="100"/>
      <c r="G3" s="100"/>
      <c r="H3" s="1" t="s">
        <v>1</v>
      </c>
      <c r="I3" s="101">
        <v>45416</v>
      </c>
      <c r="J3" s="102"/>
    </row>
    <row r="4" spans="1:10" ht="37.5" customHeight="1" x14ac:dyDescent="0.25">
      <c r="A4" s="87" t="s">
        <v>2</v>
      </c>
      <c r="B4" s="87"/>
      <c r="C4" s="88" t="s">
        <v>61</v>
      </c>
      <c r="D4" s="88"/>
      <c r="E4" s="88"/>
      <c r="F4" s="88"/>
      <c r="G4" s="88"/>
      <c r="H4" s="1" t="s">
        <v>3</v>
      </c>
      <c r="I4" s="89" t="s">
        <v>37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15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18</v>
      </c>
      <c r="G6" s="5" t="s">
        <v>8</v>
      </c>
      <c r="H6" s="6">
        <f>D32-(F6*400)</f>
        <v>300</v>
      </c>
      <c r="I6" s="7" t="s">
        <v>9</v>
      </c>
    </row>
    <row r="7" spans="1:10" ht="15.75" x14ac:dyDescent="0.25">
      <c r="A7" s="26" t="s">
        <v>23</v>
      </c>
      <c r="B7" s="29"/>
      <c r="C7" s="48" t="s">
        <v>50</v>
      </c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8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0.32269999999999999</v>
      </c>
      <c r="D10" s="20">
        <f>C10*$D$32</f>
        <v>2420.25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0.17780000000000001</v>
      </c>
      <c r="D11" s="20">
        <f t="shared" ref="D11:D28" si="0">C11*$D$32</f>
        <v>1333.5</v>
      </c>
      <c r="E11" s="92"/>
      <c r="F11" s="27" t="s">
        <v>25</v>
      </c>
      <c r="G11" s="33"/>
      <c r="H11" s="38">
        <v>0.16500000000000001</v>
      </c>
      <c r="I11" s="35">
        <f t="shared" ref="I11:I28" si="1">H11*$I$33</f>
        <v>66</v>
      </c>
      <c r="J11" s="35">
        <f t="shared" ref="J11:J28" si="2">H11*$J$33</f>
        <v>49.5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8">
        <v>0.16500000000000001</v>
      </c>
      <c r="I12" s="35">
        <f t="shared" si="1"/>
        <v>66</v>
      </c>
      <c r="J12" s="35">
        <f t="shared" si="2"/>
        <v>49.5</v>
      </c>
    </row>
    <row r="13" spans="1:10" ht="15.75" x14ac:dyDescent="0.25">
      <c r="A13" s="27" t="s">
        <v>26</v>
      </c>
      <c r="B13" s="29"/>
      <c r="C13" s="31">
        <v>3.5799999999999998E-2</v>
      </c>
      <c r="D13" s="20">
        <f t="shared" si="0"/>
        <v>268.5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8"/>
      <c r="I14" s="35"/>
      <c r="J14" s="35"/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0.39119999999999999</v>
      </c>
      <c r="D17" s="20">
        <f t="shared" si="0"/>
        <v>2934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8"/>
      <c r="D18" s="20"/>
      <c r="E18" s="92"/>
      <c r="F18" s="27" t="s">
        <v>44</v>
      </c>
      <c r="G18" s="33"/>
      <c r="H18" s="38">
        <v>0.64290000000000003</v>
      </c>
      <c r="I18" s="35">
        <f t="shared" si="1"/>
        <v>257.16000000000003</v>
      </c>
      <c r="J18" s="35">
        <f t="shared" si="2"/>
        <v>192.87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8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3.7699999999999997E-2</v>
      </c>
      <c r="D26" s="20">
        <f t="shared" si="0"/>
        <v>282.75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15.749999999999998</v>
      </c>
      <c r="E27" s="92"/>
      <c r="F27" s="27" t="s">
        <v>32</v>
      </c>
      <c r="G27" s="24"/>
      <c r="H27" s="38">
        <v>2.5600000000000001E-2</v>
      </c>
      <c r="I27" s="35">
        <f t="shared" si="1"/>
        <v>10.24</v>
      </c>
      <c r="J27" s="35">
        <f t="shared" si="2"/>
        <v>7.6800000000000006</v>
      </c>
    </row>
    <row r="28" spans="1:10" ht="15.75" x14ac:dyDescent="0.25">
      <c r="A28" s="27" t="s">
        <v>34</v>
      </c>
      <c r="B28" s="23"/>
      <c r="C28" s="31">
        <v>3.2899999999999999E-2</v>
      </c>
      <c r="D28" s="20">
        <f t="shared" si="0"/>
        <v>246.75</v>
      </c>
      <c r="E28" s="92"/>
      <c r="F28" s="27" t="s">
        <v>33</v>
      </c>
      <c r="G28" s="24"/>
      <c r="H28" s="38">
        <v>1.5E-3</v>
      </c>
      <c r="I28" s="35">
        <f t="shared" si="1"/>
        <v>0.6</v>
      </c>
      <c r="J28" s="35">
        <f t="shared" si="2"/>
        <v>0.45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8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1.0002</v>
      </c>
      <c r="D32" s="15">
        <v>7500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300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79">
        <f>+C43+5/1440</f>
        <v>0.43055555555555558</v>
      </c>
      <c r="F37" s="80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79">
        <f>+G37+5/1440</f>
        <v>0.44444444444444448</v>
      </c>
      <c r="F38" s="80"/>
      <c r="G38" s="16">
        <f>+E38+15/1440</f>
        <v>0.45486111111111116</v>
      </c>
      <c r="H38" s="11">
        <v>13</v>
      </c>
      <c r="I38" s="16">
        <f>J37+5/1440</f>
        <v>0.54166666666666663</v>
      </c>
      <c r="J38" s="16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79">
        <f t="shared" ref="E39:E43" si="5">+G38+5/1440</f>
        <v>0.45833333333333337</v>
      </c>
      <c r="F39" s="80"/>
      <c r="G39" s="16">
        <f t="shared" ref="G39:G43" si="6">+E39+15/1440</f>
        <v>0.46875000000000006</v>
      </c>
      <c r="H39" s="11">
        <v>14</v>
      </c>
      <c r="I39" s="16">
        <f t="shared" ref="I39:I43" si="7">J38+5/1440</f>
        <v>0.55555555555555547</v>
      </c>
      <c r="J39" s="16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79">
        <f t="shared" si="5"/>
        <v>0.47222222222222227</v>
      </c>
      <c r="F40" s="80"/>
      <c r="G40" s="16">
        <f t="shared" si="6"/>
        <v>0.48263888888888895</v>
      </c>
      <c r="H40" s="11">
        <v>15</v>
      </c>
      <c r="I40" s="16">
        <f t="shared" si="7"/>
        <v>0.56944444444444431</v>
      </c>
      <c r="J40" s="16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79">
        <f t="shared" si="5"/>
        <v>0.48611111111111116</v>
      </c>
      <c r="F41" s="80"/>
      <c r="G41" s="16">
        <f t="shared" si="6"/>
        <v>0.49652777777777785</v>
      </c>
      <c r="H41" s="11">
        <v>16</v>
      </c>
      <c r="I41" s="16">
        <f t="shared" si="7"/>
        <v>0.58333333333333315</v>
      </c>
      <c r="J41" s="16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6">
        <f t="shared" si="7"/>
        <v>0.59722222222222199</v>
      </c>
      <c r="J42" s="16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6">
        <f t="shared" si="7"/>
        <v>0.61111111111111083</v>
      </c>
      <c r="J43" s="16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  <c r="M46" t="s">
        <v>50</v>
      </c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24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A34:B34"/>
    <mergeCell ref="A35:D35"/>
    <mergeCell ref="E36:F36"/>
    <mergeCell ref="E42:F42"/>
    <mergeCell ref="E43:F43"/>
    <mergeCell ref="E37:F37"/>
    <mergeCell ref="E38:F38"/>
    <mergeCell ref="E39:F39"/>
    <mergeCell ref="E40:F40"/>
    <mergeCell ref="E41:F4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B65A-9D79-4969-8D1A-E7B9036AC25C}">
  <dimension ref="A1:M48"/>
  <sheetViews>
    <sheetView topLeftCell="A28" zoomScaleNormal="100" workbookViewId="0">
      <selection activeCell="K55" sqref="K55"/>
    </sheetView>
  </sheetViews>
  <sheetFormatPr baseColWidth="10" defaultRowHeight="15" x14ac:dyDescent="0.25"/>
  <cols>
    <col min="2" max="2" width="17" customWidth="1"/>
    <col min="3" max="3" width="13.5703125" customWidth="1"/>
    <col min="5" max="5" width="15.140625" customWidth="1"/>
    <col min="6" max="6" width="5.85546875" customWidth="1"/>
    <col min="7" max="7" width="21.28515625" customWidth="1"/>
    <col min="9" max="10" width="13.140625" customWidth="1"/>
    <col min="12" max="12" width="13.85546875" customWidth="1"/>
    <col min="13" max="13" width="13.7109375" customWidth="1"/>
  </cols>
  <sheetData>
    <row r="1" spans="1:10" x14ac:dyDescent="0.25">
      <c r="A1" s="94" t="s">
        <v>20</v>
      </c>
      <c r="B1" s="95"/>
      <c r="C1" s="95"/>
      <c r="D1" s="96"/>
      <c r="E1" s="95" t="s">
        <v>21</v>
      </c>
      <c r="F1" s="95"/>
      <c r="G1" s="95"/>
      <c r="H1" s="95"/>
      <c r="I1" s="95"/>
      <c r="J1" s="96"/>
    </row>
    <row r="2" spans="1:10" ht="15.75" thickBot="1" x14ac:dyDescent="0.3">
      <c r="A2" s="97"/>
      <c r="B2" s="98"/>
      <c r="C2" s="98"/>
      <c r="D2" s="99"/>
      <c r="E2" s="98"/>
      <c r="F2" s="98"/>
      <c r="G2" s="98"/>
      <c r="H2" s="98"/>
      <c r="I2" s="98"/>
      <c r="J2" s="99"/>
    </row>
    <row r="3" spans="1:10" ht="15.75" customHeight="1" x14ac:dyDescent="0.25">
      <c r="A3" s="87" t="s">
        <v>0</v>
      </c>
      <c r="B3" s="87"/>
      <c r="C3" s="100" t="s">
        <v>60</v>
      </c>
      <c r="D3" s="100"/>
      <c r="E3" s="100"/>
      <c r="F3" s="100"/>
      <c r="G3" s="100"/>
      <c r="H3" s="1" t="s">
        <v>1</v>
      </c>
      <c r="I3" s="101">
        <v>45416</v>
      </c>
      <c r="J3" s="102"/>
    </row>
    <row r="4" spans="1:10" ht="37.5" customHeight="1" x14ac:dyDescent="0.25">
      <c r="A4" s="87" t="s">
        <v>2</v>
      </c>
      <c r="B4" s="87"/>
      <c r="C4" s="88" t="s">
        <v>61</v>
      </c>
      <c r="D4" s="88"/>
      <c r="E4" s="88"/>
      <c r="F4" s="88"/>
      <c r="G4" s="88"/>
      <c r="H4" s="1" t="s">
        <v>3</v>
      </c>
      <c r="I4" s="89" t="s">
        <v>41</v>
      </c>
      <c r="J4" s="89"/>
    </row>
    <row r="5" spans="1:10" ht="15" customHeight="1" x14ac:dyDescent="0.25">
      <c r="A5" s="2"/>
      <c r="B5" s="2"/>
      <c r="C5" s="2"/>
      <c r="D5" s="2"/>
      <c r="E5" s="2"/>
      <c r="F5" s="2"/>
      <c r="G5" s="2"/>
      <c r="I5" s="90" t="s">
        <v>49</v>
      </c>
      <c r="J5" s="90"/>
    </row>
    <row r="6" spans="1:10" ht="18.75" x14ac:dyDescent="0.3">
      <c r="A6" s="91" t="s">
        <v>4</v>
      </c>
      <c r="B6" s="91"/>
      <c r="C6" s="3" t="s">
        <v>5</v>
      </c>
      <c r="D6" s="14" t="s">
        <v>6</v>
      </c>
      <c r="E6" s="92" t="s">
        <v>7</v>
      </c>
      <c r="F6" s="4">
        <f>ROUNDDOWN(D32/400,0)</f>
        <v>18</v>
      </c>
      <c r="G6" s="5" t="s">
        <v>8</v>
      </c>
      <c r="H6" s="6">
        <f>D32-(F6*400)</f>
        <v>271.27999999999975</v>
      </c>
      <c r="I6" s="7" t="s">
        <v>9</v>
      </c>
    </row>
    <row r="7" spans="1:10" ht="15.75" x14ac:dyDescent="0.25">
      <c r="A7" s="26" t="s">
        <v>23</v>
      </c>
      <c r="B7" s="29"/>
      <c r="C7" s="48" t="s">
        <v>50</v>
      </c>
      <c r="D7" s="20"/>
      <c r="E7" s="92"/>
      <c r="F7" s="91" t="s">
        <v>4</v>
      </c>
      <c r="G7" s="91"/>
      <c r="H7" s="3" t="s">
        <v>5</v>
      </c>
      <c r="I7" s="14" t="s">
        <v>6</v>
      </c>
      <c r="J7" s="14" t="s">
        <v>6</v>
      </c>
    </row>
    <row r="8" spans="1:10" ht="15.75" x14ac:dyDescent="0.25">
      <c r="A8" s="26" t="s">
        <v>42</v>
      </c>
      <c r="B8" s="29"/>
      <c r="C8" s="38"/>
      <c r="D8" s="20"/>
      <c r="E8" s="92"/>
      <c r="F8" s="26" t="s">
        <v>23</v>
      </c>
      <c r="G8" s="33"/>
      <c r="H8" s="38"/>
      <c r="I8" s="35"/>
      <c r="J8" s="35"/>
    </row>
    <row r="9" spans="1:10" ht="15.75" x14ac:dyDescent="0.25">
      <c r="A9" s="27" t="s">
        <v>24</v>
      </c>
      <c r="B9" s="29"/>
      <c r="C9" s="38"/>
      <c r="D9" s="20"/>
      <c r="E9" s="92"/>
      <c r="F9" s="26" t="s">
        <v>42</v>
      </c>
      <c r="G9" s="33"/>
      <c r="H9" s="38"/>
      <c r="I9" s="35"/>
      <c r="J9" s="35"/>
    </row>
    <row r="10" spans="1:10" ht="15.75" x14ac:dyDescent="0.25">
      <c r="A10" s="27" t="s">
        <v>25</v>
      </c>
      <c r="B10" s="29"/>
      <c r="C10" s="31">
        <v>0.32269999999999999</v>
      </c>
      <c r="D10" s="20">
        <f>C10*$D$32</f>
        <v>2410.9820559999998</v>
      </c>
      <c r="E10" s="92"/>
      <c r="F10" s="27" t="s">
        <v>24</v>
      </c>
      <c r="G10" s="33"/>
      <c r="H10" s="38"/>
      <c r="I10" s="35"/>
      <c r="J10" s="35"/>
    </row>
    <row r="11" spans="1:10" ht="15.75" x14ac:dyDescent="0.25">
      <c r="A11" s="27" t="s">
        <v>47</v>
      </c>
      <c r="B11" s="29"/>
      <c r="C11" s="31">
        <v>0.17780000000000001</v>
      </c>
      <c r="D11" s="20">
        <f t="shared" ref="D11:D28" si="0">C11*$D$32</f>
        <v>1328.3935840000001</v>
      </c>
      <c r="E11" s="92"/>
      <c r="F11" s="27" t="s">
        <v>25</v>
      </c>
      <c r="G11" s="33"/>
      <c r="H11" s="38">
        <v>0.16500000000000001</v>
      </c>
      <c r="I11" s="35">
        <f t="shared" ref="I11:I28" si="1">H11*$I$33</f>
        <v>66</v>
      </c>
      <c r="J11" s="35">
        <f t="shared" ref="J11:J28" si="2">H11*$J$33</f>
        <v>44.76119999999996</v>
      </c>
    </row>
    <row r="12" spans="1:10" ht="15.75" x14ac:dyDescent="0.25">
      <c r="A12" s="27" t="s">
        <v>46</v>
      </c>
      <c r="B12" s="29"/>
      <c r="C12" s="38"/>
      <c r="D12" s="20"/>
      <c r="E12" s="92"/>
      <c r="F12" s="27" t="s">
        <v>47</v>
      </c>
      <c r="G12" s="33"/>
      <c r="H12" s="38">
        <v>0.16500000000000001</v>
      </c>
      <c r="I12" s="35">
        <f t="shared" si="1"/>
        <v>66</v>
      </c>
      <c r="J12" s="35">
        <f t="shared" si="2"/>
        <v>44.76119999999996</v>
      </c>
    </row>
    <row r="13" spans="1:10" ht="15.75" x14ac:dyDescent="0.25">
      <c r="A13" s="27" t="s">
        <v>26</v>
      </c>
      <c r="B13" s="29"/>
      <c r="C13" s="31">
        <v>3.5799999999999998E-2</v>
      </c>
      <c r="D13" s="20">
        <f t="shared" si="0"/>
        <v>267.47182399999997</v>
      </c>
      <c r="E13" s="92"/>
      <c r="F13" s="27" t="s">
        <v>46</v>
      </c>
      <c r="G13" s="33"/>
      <c r="H13" s="38"/>
      <c r="I13" s="35"/>
      <c r="J13" s="35"/>
    </row>
    <row r="14" spans="1:10" ht="15.75" x14ac:dyDescent="0.25">
      <c r="A14" s="27" t="s">
        <v>43</v>
      </c>
      <c r="B14" s="29"/>
      <c r="C14" s="38"/>
      <c r="D14" s="20"/>
      <c r="E14" s="92"/>
      <c r="F14" s="27" t="s">
        <v>26</v>
      </c>
      <c r="G14" s="33"/>
      <c r="H14" s="38"/>
      <c r="I14" s="35"/>
      <c r="J14" s="35"/>
    </row>
    <row r="15" spans="1:10" ht="15.75" x14ac:dyDescent="0.25">
      <c r="A15" s="27" t="s">
        <v>19</v>
      </c>
      <c r="B15" s="29"/>
      <c r="C15" s="38"/>
      <c r="D15" s="20"/>
      <c r="E15" s="92"/>
      <c r="F15" s="27" t="s">
        <v>43</v>
      </c>
      <c r="G15" s="33"/>
      <c r="H15" s="38"/>
      <c r="I15" s="35"/>
      <c r="J15" s="35"/>
    </row>
    <row r="16" spans="1:10" ht="15.75" x14ac:dyDescent="0.25">
      <c r="A16" s="27" t="s">
        <v>27</v>
      </c>
      <c r="B16" s="29"/>
      <c r="C16" s="38"/>
      <c r="D16" s="20"/>
      <c r="E16" s="92"/>
      <c r="F16" s="27" t="s">
        <v>19</v>
      </c>
      <c r="G16" s="33"/>
      <c r="H16" s="38"/>
      <c r="I16" s="35"/>
      <c r="J16" s="35"/>
    </row>
    <row r="17" spans="1:10" ht="15.75" x14ac:dyDescent="0.25">
      <c r="A17" s="27" t="s">
        <v>44</v>
      </c>
      <c r="B17" s="29"/>
      <c r="C17" s="31">
        <v>0.39119999999999999</v>
      </c>
      <c r="D17" s="20">
        <f t="shared" si="0"/>
        <v>2922.7647359999996</v>
      </c>
      <c r="E17" s="92"/>
      <c r="F17" s="27" t="s">
        <v>27</v>
      </c>
      <c r="G17" s="33"/>
      <c r="H17" s="38"/>
      <c r="I17" s="35"/>
      <c r="J17" s="35"/>
    </row>
    <row r="18" spans="1:10" ht="15.75" x14ac:dyDescent="0.25">
      <c r="A18" s="27" t="s">
        <v>28</v>
      </c>
      <c r="B18" s="29"/>
      <c r="C18" s="38"/>
      <c r="D18" s="20"/>
      <c r="E18" s="92"/>
      <c r="F18" s="27" t="s">
        <v>44</v>
      </c>
      <c r="G18" s="33"/>
      <c r="H18" s="38">
        <v>0.64290000000000003</v>
      </c>
      <c r="I18" s="35">
        <f t="shared" si="1"/>
        <v>257.16000000000003</v>
      </c>
      <c r="J18" s="35">
        <f t="shared" si="2"/>
        <v>174.40591199999983</v>
      </c>
    </row>
    <row r="19" spans="1:10" ht="15.75" x14ac:dyDescent="0.25">
      <c r="A19" s="27" t="s">
        <v>45</v>
      </c>
      <c r="B19" s="29"/>
      <c r="C19" s="38"/>
      <c r="D19" s="20"/>
      <c r="E19" s="92"/>
      <c r="F19" s="27" t="s">
        <v>28</v>
      </c>
      <c r="G19" s="33"/>
      <c r="H19" s="38"/>
      <c r="I19" s="35"/>
      <c r="J19" s="35"/>
    </row>
    <row r="20" spans="1:10" ht="15.75" x14ac:dyDescent="0.25">
      <c r="A20" s="27" t="s">
        <v>10</v>
      </c>
      <c r="B20" s="29"/>
      <c r="C20" s="38"/>
      <c r="D20" s="20"/>
      <c r="E20" s="92"/>
      <c r="F20" s="27" t="s">
        <v>45</v>
      </c>
      <c r="G20" s="33"/>
      <c r="H20" s="38"/>
      <c r="I20" s="35"/>
      <c r="J20" s="35"/>
    </row>
    <row r="21" spans="1:10" ht="15.75" x14ac:dyDescent="0.25">
      <c r="A21" s="27" t="s">
        <v>29</v>
      </c>
      <c r="B21" s="29"/>
      <c r="C21" s="38"/>
      <c r="D21" s="20"/>
      <c r="E21" s="92"/>
      <c r="F21" s="27" t="s">
        <v>10</v>
      </c>
      <c r="G21" s="33"/>
      <c r="H21" s="38"/>
      <c r="I21" s="35"/>
      <c r="J21" s="35"/>
    </row>
    <row r="22" spans="1:10" ht="15.75" x14ac:dyDescent="0.25">
      <c r="A22" s="27" t="s">
        <v>17</v>
      </c>
      <c r="B22" s="29"/>
      <c r="C22" s="38"/>
      <c r="D22" s="20"/>
      <c r="E22" s="92"/>
      <c r="F22" s="27" t="s">
        <v>29</v>
      </c>
      <c r="G22" s="33"/>
      <c r="H22" s="38"/>
      <c r="I22" s="35"/>
      <c r="J22" s="35"/>
    </row>
    <row r="23" spans="1:10" ht="15.75" x14ac:dyDescent="0.25">
      <c r="A23" s="27" t="s">
        <v>30</v>
      </c>
      <c r="B23" s="29"/>
      <c r="C23" s="38"/>
      <c r="D23" s="20"/>
      <c r="E23" s="92"/>
      <c r="F23" s="27" t="s">
        <v>17</v>
      </c>
      <c r="G23" s="33"/>
      <c r="H23" s="38"/>
      <c r="I23" s="35"/>
      <c r="J23" s="35"/>
    </row>
    <row r="24" spans="1:10" ht="15.75" x14ac:dyDescent="0.25">
      <c r="A24" s="27" t="s">
        <v>31</v>
      </c>
      <c r="B24" s="29"/>
      <c r="C24" s="38"/>
      <c r="D24" s="20"/>
      <c r="E24" s="92"/>
      <c r="F24" s="27" t="s">
        <v>30</v>
      </c>
      <c r="G24" s="33"/>
      <c r="H24" s="38"/>
      <c r="I24" s="35"/>
      <c r="J24" s="35"/>
    </row>
    <row r="25" spans="1:10" ht="15.75" x14ac:dyDescent="0.25">
      <c r="A25" s="27" t="s">
        <v>16</v>
      </c>
      <c r="B25" s="29"/>
      <c r="C25" s="38"/>
      <c r="D25" s="20"/>
      <c r="E25" s="92"/>
      <c r="F25" s="27" t="s">
        <v>31</v>
      </c>
      <c r="G25" s="33"/>
      <c r="H25" s="38"/>
      <c r="I25" s="35"/>
      <c r="J25" s="35"/>
    </row>
    <row r="26" spans="1:10" ht="15.75" x14ac:dyDescent="0.25">
      <c r="A26" s="27" t="s">
        <v>32</v>
      </c>
      <c r="B26" s="23"/>
      <c r="C26" s="31">
        <v>3.7699999999999997E-2</v>
      </c>
      <c r="D26" s="20">
        <f t="shared" si="0"/>
        <v>281.66725599999995</v>
      </c>
      <c r="E26" s="92"/>
      <c r="F26" s="27" t="s">
        <v>16</v>
      </c>
      <c r="G26" s="24"/>
      <c r="H26" s="38"/>
      <c r="I26" s="35"/>
      <c r="J26" s="35"/>
    </row>
    <row r="27" spans="1:10" ht="15.75" x14ac:dyDescent="0.25">
      <c r="A27" s="27" t="s">
        <v>33</v>
      </c>
      <c r="B27" s="23"/>
      <c r="C27" s="31">
        <v>2.0999999999999999E-3</v>
      </c>
      <c r="D27" s="20">
        <f t="shared" si="0"/>
        <v>15.689687999999999</v>
      </c>
      <c r="E27" s="92"/>
      <c r="F27" s="27" t="s">
        <v>32</v>
      </c>
      <c r="G27" s="24"/>
      <c r="H27" s="38">
        <v>2.5600000000000001E-2</v>
      </c>
      <c r="I27" s="35">
        <f t="shared" si="1"/>
        <v>10.24</v>
      </c>
      <c r="J27" s="35">
        <f t="shared" si="2"/>
        <v>6.9447679999999936</v>
      </c>
    </row>
    <row r="28" spans="1:10" ht="15.75" x14ac:dyDescent="0.25">
      <c r="A28" s="27" t="s">
        <v>34</v>
      </c>
      <c r="B28" s="23"/>
      <c r="C28" s="31">
        <v>3.2899999999999999E-2</v>
      </c>
      <c r="D28" s="20">
        <f t="shared" si="0"/>
        <v>245.80511199999998</v>
      </c>
      <c r="E28" s="92"/>
      <c r="F28" s="27" t="s">
        <v>33</v>
      </c>
      <c r="G28" s="24"/>
      <c r="H28" s="38">
        <v>1.5E-3</v>
      </c>
      <c r="I28" s="35">
        <f t="shared" si="1"/>
        <v>0.6</v>
      </c>
      <c r="J28" s="35">
        <f t="shared" si="2"/>
        <v>0.40691999999999962</v>
      </c>
    </row>
    <row r="29" spans="1:10" ht="15.75" x14ac:dyDescent="0.25">
      <c r="A29" s="27" t="s">
        <v>22</v>
      </c>
      <c r="B29" s="23"/>
      <c r="C29" s="38"/>
      <c r="D29" s="20"/>
      <c r="E29" s="92"/>
      <c r="F29" s="27" t="s">
        <v>34</v>
      </c>
      <c r="G29" s="24"/>
      <c r="H29" s="38"/>
      <c r="I29" s="35"/>
      <c r="J29" s="35"/>
    </row>
    <row r="30" spans="1:10" ht="15.75" x14ac:dyDescent="0.25">
      <c r="A30" s="27" t="s">
        <v>35</v>
      </c>
      <c r="B30" s="29"/>
      <c r="C30" s="38"/>
      <c r="D30" s="20"/>
      <c r="E30" s="92"/>
      <c r="F30" s="27" t="s">
        <v>22</v>
      </c>
      <c r="G30" s="33"/>
      <c r="H30" s="38"/>
      <c r="I30" s="35"/>
      <c r="J30" s="35"/>
    </row>
    <row r="31" spans="1:10" ht="16.5" thickBot="1" x14ac:dyDescent="0.3">
      <c r="A31" s="28" t="s">
        <v>36</v>
      </c>
      <c r="B31" s="29"/>
      <c r="C31" s="38"/>
      <c r="D31" s="20"/>
      <c r="E31" s="92"/>
      <c r="F31" s="27" t="s">
        <v>35</v>
      </c>
      <c r="G31" s="33"/>
      <c r="H31" s="38"/>
      <c r="I31" s="35"/>
      <c r="J31" s="35"/>
    </row>
    <row r="32" spans="1:10" ht="16.5" thickBot="1" x14ac:dyDescent="0.3">
      <c r="A32" s="93" t="s">
        <v>11</v>
      </c>
      <c r="B32" s="93"/>
      <c r="C32" s="8">
        <f>SUM(C7:C31)</f>
        <v>1.0002</v>
      </c>
      <c r="D32" s="15">
        <v>7471.28</v>
      </c>
      <c r="E32" s="92"/>
      <c r="F32" s="28" t="s">
        <v>36</v>
      </c>
      <c r="G32" s="34"/>
      <c r="H32" s="38"/>
      <c r="I32" s="35"/>
      <c r="J32" s="35"/>
    </row>
    <row r="33" spans="1:13" x14ac:dyDescent="0.25">
      <c r="A33" s="2"/>
      <c r="B33" s="2"/>
      <c r="C33" s="2"/>
      <c r="D33" s="2"/>
      <c r="E33" s="2"/>
      <c r="F33" s="81" t="s">
        <v>11</v>
      </c>
      <c r="G33" s="81"/>
      <c r="H33" s="17">
        <f>SUM(H8:H32)</f>
        <v>1</v>
      </c>
      <c r="I33" s="13">
        <v>400</v>
      </c>
      <c r="J33" s="13">
        <f>+H6</f>
        <v>271.27999999999975</v>
      </c>
    </row>
    <row r="34" spans="1:13" ht="23.25" x14ac:dyDescent="0.35">
      <c r="A34" s="82"/>
      <c r="B34" s="83"/>
      <c r="C34" s="2"/>
      <c r="D34" s="2"/>
      <c r="E34" s="2"/>
      <c r="F34" s="18"/>
      <c r="G34" s="18"/>
      <c r="H34" s="19"/>
      <c r="I34" s="18"/>
      <c r="J34" s="18"/>
    </row>
    <row r="35" spans="1:13" x14ac:dyDescent="0.25">
      <c r="A35" s="84" t="s">
        <v>18</v>
      </c>
      <c r="B35" s="84"/>
      <c r="C35" s="84"/>
      <c r="D35" s="84"/>
      <c r="E35" s="2"/>
      <c r="F35" s="2"/>
      <c r="G35" s="2"/>
    </row>
    <row r="36" spans="1:13" x14ac:dyDescent="0.25">
      <c r="A36" s="9" t="s">
        <v>12</v>
      </c>
      <c r="B36" s="9" t="s">
        <v>13</v>
      </c>
      <c r="C36" s="9" t="s">
        <v>14</v>
      </c>
      <c r="D36" s="10" t="s">
        <v>12</v>
      </c>
      <c r="E36" s="85" t="s">
        <v>13</v>
      </c>
      <c r="F36" s="86"/>
      <c r="G36" s="10" t="s">
        <v>14</v>
      </c>
      <c r="H36" s="9" t="s">
        <v>12</v>
      </c>
      <c r="I36" s="10" t="s">
        <v>13</v>
      </c>
      <c r="J36" s="10" t="s">
        <v>14</v>
      </c>
      <c r="K36" s="9" t="s">
        <v>12</v>
      </c>
      <c r="L36" s="10" t="s">
        <v>13</v>
      </c>
      <c r="M36" s="10" t="s">
        <v>14</v>
      </c>
    </row>
    <row r="37" spans="1:13" x14ac:dyDescent="0.25">
      <c r="A37" s="11">
        <v>1</v>
      </c>
      <c r="B37" s="16">
        <v>0.33333333333333331</v>
      </c>
      <c r="C37" s="16">
        <f>+B37+15/1440</f>
        <v>0.34375</v>
      </c>
      <c r="D37" s="11">
        <v>8</v>
      </c>
      <c r="E37" s="16">
        <f>+C43+5/1440</f>
        <v>0.43055555555555558</v>
      </c>
      <c r="F37" s="16"/>
      <c r="G37" s="16">
        <f>+E37+15/1440</f>
        <v>0.44097222222222227</v>
      </c>
      <c r="H37" s="11"/>
      <c r="I37" s="12">
        <f>G43+5/1440</f>
        <v>0.52777777777777779</v>
      </c>
      <c r="J37" s="12">
        <f>I37+15/1440</f>
        <v>0.53819444444444442</v>
      </c>
      <c r="K37" s="11">
        <v>19</v>
      </c>
      <c r="L37" s="16">
        <f>J43+5/1440</f>
        <v>0.62499999999999967</v>
      </c>
      <c r="M37" s="16">
        <f>L37+15/1440</f>
        <v>0.6354166666666663</v>
      </c>
    </row>
    <row r="38" spans="1:13" x14ac:dyDescent="0.25">
      <c r="A38" s="11">
        <v>2</v>
      </c>
      <c r="B38" s="16">
        <f t="shared" ref="B38:B43" si="3">+C37+5/1440</f>
        <v>0.34722222222222221</v>
      </c>
      <c r="C38" s="16">
        <f>+B38+15/1440</f>
        <v>0.3576388888888889</v>
      </c>
      <c r="D38" s="11">
        <v>9</v>
      </c>
      <c r="E38" s="16">
        <f>+G37+5/1440</f>
        <v>0.44444444444444448</v>
      </c>
      <c r="F38" s="16"/>
      <c r="G38" s="16">
        <f>+E38+15/1440</f>
        <v>0.45486111111111116</v>
      </c>
      <c r="H38" s="11">
        <v>13</v>
      </c>
      <c r="I38" s="16">
        <f>J37+5/1440</f>
        <v>0.54166666666666663</v>
      </c>
      <c r="J38" s="16">
        <f>I38+15/1440</f>
        <v>0.55208333333333326</v>
      </c>
      <c r="K38" s="11">
        <v>20</v>
      </c>
      <c r="L38" s="12">
        <f>M37+5/1440</f>
        <v>0.63888888888888851</v>
      </c>
      <c r="M38" s="12">
        <f>L38+15/1440</f>
        <v>0.64930555555555514</v>
      </c>
    </row>
    <row r="39" spans="1:13" x14ac:dyDescent="0.25">
      <c r="A39" s="11">
        <v>3</v>
      </c>
      <c r="B39" s="16">
        <f t="shared" si="3"/>
        <v>0.3611111111111111</v>
      </c>
      <c r="C39" s="16">
        <f t="shared" ref="C39:C43" si="4">+B39+15/1440</f>
        <v>0.37152777777777779</v>
      </c>
      <c r="D39" s="11">
        <v>10</v>
      </c>
      <c r="E39" s="16">
        <f t="shared" ref="E39:E43" si="5">+G38+5/1440</f>
        <v>0.45833333333333337</v>
      </c>
      <c r="F39" s="16"/>
      <c r="G39" s="16">
        <f t="shared" ref="G39:G43" si="6">+E39+15/1440</f>
        <v>0.46875000000000006</v>
      </c>
      <c r="H39" s="11">
        <v>14</v>
      </c>
      <c r="I39" s="16">
        <f t="shared" ref="I39:I43" si="7">J38+5/1440</f>
        <v>0.55555555555555547</v>
      </c>
      <c r="J39" s="16">
        <f t="shared" ref="J39:J43" si="8">I39+15/1440</f>
        <v>0.5659722222222221</v>
      </c>
      <c r="K39" s="11">
        <v>21</v>
      </c>
      <c r="L39" s="12">
        <f t="shared" ref="L39:L43" si="9">M38+5/1440</f>
        <v>0.65277777777777735</v>
      </c>
      <c r="M39" s="12">
        <f t="shared" ref="M39:M43" si="10">L39+15/1440</f>
        <v>0.66319444444444398</v>
      </c>
    </row>
    <row r="40" spans="1:13" x14ac:dyDescent="0.25">
      <c r="A40" s="11">
        <v>4</v>
      </c>
      <c r="B40" s="16">
        <f t="shared" si="3"/>
        <v>0.375</v>
      </c>
      <c r="C40" s="16">
        <f t="shared" si="4"/>
        <v>0.38541666666666669</v>
      </c>
      <c r="D40" s="11">
        <v>11</v>
      </c>
      <c r="E40" s="16">
        <f t="shared" si="5"/>
        <v>0.47222222222222227</v>
      </c>
      <c r="F40" s="16"/>
      <c r="G40" s="16">
        <f t="shared" si="6"/>
        <v>0.48263888888888895</v>
      </c>
      <c r="H40" s="11">
        <v>15</v>
      </c>
      <c r="I40" s="16">
        <f t="shared" si="7"/>
        <v>0.56944444444444431</v>
      </c>
      <c r="J40" s="16">
        <f t="shared" si="8"/>
        <v>0.57986111111111094</v>
      </c>
      <c r="K40" s="11">
        <v>22</v>
      </c>
      <c r="L40" s="12">
        <f t="shared" si="9"/>
        <v>0.66666666666666619</v>
      </c>
      <c r="M40" s="12">
        <f t="shared" si="10"/>
        <v>0.67708333333333282</v>
      </c>
    </row>
    <row r="41" spans="1:13" x14ac:dyDescent="0.25">
      <c r="A41" s="11">
        <v>5</v>
      </c>
      <c r="B41" s="16">
        <f t="shared" si="3"/>
        <v>0.3888888888888889</v>
      </c>
      <c r="C41" s="16">
        <f t="shared" si="4"/>
        <v>0.39930555555555558</v>
      </c>
      <c r="D41" s="11">
        <v>12</v>
      </c>
      <c r="E41" s="16">
        <f t="shared" si="5"/>
        <v>0.48611111111111116</v>
      </c>
      <c r="F41" s="16"/>
      <c r="G41" s="16">
        <f t="shared" si="6"/>
        <v>0.49652777777777785</v>
      </c>
      <c r="H41" s="11">
        <v>16</v>
      </c>
      <c r="I41" s="16">
        <f t="shared" si="7"/>
        <v>0.58333333333333315</v>
      </c>
      <c r="J41" s="16">
        <f t="shared" si="8"/>
        <v>0.59374999999999978</v>
      </c>
      <c r="K41" s="11">
        <v>23</v>
      </c>
      <c r="L41" s="12">
        <f t="shared" si="9"/>
        <v>0.68055555555555503</v>
      </c>
      <c r="M41" s="12">
        <f t="shared" si="10"/>
        <v>0.69097222222222165</v>
      </c>
    </row>
    <row r="42" spans="1:13" x14ac:dyDescent="0.25">
      <c r="A42" s="11">
        <v>6</v>
      </c>
      <c r="B42" s="16">
        <f t="shared" si="3"/>
        <v>0.40277777777777779</v>
      </c>
      <c r="C42" s="16">
        <f t="shared" si="4"/>
        <v>0.41319444444444448</v>
      </c>
      <c r="D42" s="11"/>
      <c r="E42" s="77">
        <f t="shared" si="5"/>
        <v>0.50000000000000011</v>
      </c>
      <c r="F42" s="78"/>
      <c r="G42" s="21">
        <f t="shared" si="6"/>
        <v>0.51041666666666674</v>
      </c>
      <c r="H42" s="11">
        <v>17</v>
      </c>
      <c r="I42" s="16">
        <f t="shared" si="7"/>
        <v>0.59722222222222199</v>
      </c>
      <c r="J42" s="16">
        <f t="shared" si="8"/>
        <v>0.60763888888888862</v>
      </c>
      <c r="K42" s="11">
        <v>24</v>
      </c>
      <c r="L42" s="12">
        <f t="shared" si="9"/>
        <v>0.69444444444444386</v>
      </c>
      <c r="M42" s="12">
        <f t="shared" si="10"/>
        <v>0.70486111111111049</v>
      </c>
    </row>
    <row r="43" spans="1:13" x14ac:dyDescent="0.25">
      <c r="A43" s="11">
        <v>7</v>
      </c>
      <c r="B43" s="16">
        <f t="shared" si="3"/>
        <v>0.41666666666666669</v>
      </c>
      <c r="C43" s="16">
        <f t="shared" si="4"/>
        <v>0.42708333333333337</v>
      </c>
      <c r="D43" s="11"/>
      <c r="E43" s="77">
        <f t="shared" si="5"/>
        <v>0.51388888888888895</v>
      </c>
      <c r="F43" s="78"/>
      <c r="G43" s="21">
        <f t="shared" si="6"/>
        <v>0.52430555555555558</v>
      </c>
      <c r="H43" s="11">
        <v>18</v>
      </c>
      <c r="I43" s="16">
        <f t="shared" si="7"/>
        <v>0.61111111111111083</v>
      </c>
      <c r="J43" s="16">
        <f t="shared" si="8"/>
        <v>0.62152777777777746</v>
      </c>
      <c r="K43" s="11">
        <v>25</v>
      </c>
      <c r="L43" s="12">
        <f t="shared" si="9"/>
        <v>0.7083333333333327</v>
      </c>
      <c r="M43" s="12">
        <f t="shared" si="10"/>
        <v>0.71874999999999933</v>
      </c>
    </row>
    <row r="44" spans="1:13" x14ac:dyDescent="0.25">
      <c r="H44" s="36"/>
      <c r="I44" s="37"/>
      <c r="J44" s="37"/>
    </row>
    <row r="45" spans="1:13" x14ac:dyDescent="0.25">
      <c r="H45" s="36"/>
      <c r="I45" s="37"/>
      <c r="J45" s="37"/>
    </row>
    <row r="46" spans="1:13" x14ac:dyDescent="0.25">
      <c r="H46" s="36"/>
      <c r="I46" s="37"/>
      <c r="J46" s="37"/>
      <c r="M46" t="s">
        <v>50</v>
      </c>
    </row>
    <row r="47" spans="1:13" x14ac:dyDescent="0.25">
      <c r="H47" s="36"/>
      <c r="I47" s="37"/>
      <c r="J47" s="37"/>
    </row>
    <row r="48" spans="1:13" x14ac:dyDescent="0.25">
      <c r="I48" s="22"/>
      <c r="J48" s="22"/>
    </row>
  </sheetData>
  <mergeCells count="19">
    <mergeCell ref="F33:G33"/>
    <mergeCell ref="A1:D2"/>
    <mergeCell ref="E1:J2"/>
    <mergeCell ref="A3:B3"/>
    <mergeCell ref="C3:G3"/>
    <mergeCell ref="I3:J3"/>
    <mergeCell ref="A4:B4"/>
    <mergeCell ref="C4:G4"/>
    <mergeCell ref="I4:J4"/>
    <mergeCell ref="I5:J5"/>
    <mergeCell ref="A6:B6"/>
    <mergeCell ref="E6:E32"/>
    <mergeCell ref="F7:G7"/>
    <mergeCell ref="A32:B32"/>
    <mergeCell ref="E42:F42"/>
    <mergeCell ref="E43:F43"/>
    <mergeCell ref="A34:B34"/>
    <mergeCell ref="A35:D35"/>
    <mergeCell ref="E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DICIEMBRE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M.D. JESUS</vt:lpstr>
      <vt:lpstr>M.D. CARABAMBA</vt:lpstr>
      <vt:lpstr>M.P. JULCAN</vt:lpstr>
      <vt:lpstr>M.D. HUASO</vt:lpstr>
      <vt:lpstr>M.D. VICTOR LARCO</vt:lpstr>
      <vt:lpstr>M.D. COISHCO</vt:lpstr>
      <vt:lpstr>M.P. CAJAMARCA - RUR</vt:lpstr>
      <vt:lpstr>M.P. CAJAMARCA - RUR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 Jesús Polo Gonzalez</cp:lastModifiedBy>
  <cp:lastPrinted>2025-07-01T19:55:27Z</cp:lastPrinted>
  <dcterms:created xsi:type="dcterms:W3CDTF">2019-09-03T15:47:44Z</dcterms:created>
  <dcterms:modified xsi:type="dcterms:W3CDTF">2025-07-01T20:30:38Z</dcterms:modified>
</cp:coreProperties>
</file>