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8_{37C3D45C-FC47-4FC0-9001-8B90FF5805C9}" xr6:coauthVersionLast="47" xr6:coauthVersionMax="47" xr10:uidLastSave="{00000000-0000-0000-0000-000000000000}"/>
  <bookViews>
    <workbookView xWindow="-120" yWindow="-120" windowWidth="29040" windowHeight="15720" xr2:uid="{1E29B32C-8334-4CE2-A3D4-99B40B6E5355}"/>
  </bookViews>
  <sheets>
    <sheet name="Cereal" sheetId="1" r:id="rId1"/>
    <sheet name="Leche" sheetId="2" r:id="rId2"/>
    <sheet name="Producción" sheetId="31" r:id="rId3"/>
    <sheet name="Entradas y Salidas" sheetId="7" r:id="rId4"/>
    <sheet name="Almacen" sheetId="5" r:id="rId5"/>
    <sheet name="Calculo" sheetId="8" r:id="rId6"/>
    <sheet name="Formulas" sheetId="3" r:id="rId7"/>
    <sheet name="Pendientes" sheetId="32" r:id="rId8"/>
    <sheet name="Entregado" sheetId="37" r:id="rId9"/>
    <sheet name="Resumen Cereal" sheetId="35" r:id="rId10"/>
    <sheet name="Hoja2" sheetId="39" r:id="rId11"/>
  </sheets>
  <definedNames>
    <definedName name="_xlnm._FilterDatabase" localSheetId="8" hidden="1">Entregado!$B$5:$G$36</definedName>
    <definedName name="_xlnm._FilterDatabase" localSheetId="6" hidden="1">Formulas!$B$1:$T$162</definedName>
    <definedName name="_xlnm._FilterDatabase" localSheetId="7" hidden="1">Pendientes!$J$4:$R$78</definedName>
    <definedName name="_xlnm._FilterDatabase" localSheetId="2" hidden="1">Producción!$A$1:$X$1219</definedName>
    <definedName name="_xlnm._FilterDatabase" localSheetId="9" hidden="1">'Resumen Cereal'!$A$1:$AA$109</definedName>
  </definedNames>
  <calcPr calcId="191028"/>
  <pivotCaches>
    <pivotCache cacheId="1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5" i="2" l="1"/>
  <c r="G255" i="2" s="1"/>
  <c r="I433" i="1"/>
  <c r="J433" i="1" s="1"/>
  <c r="G433" i="1"/>
  <c r="I209" i="1"/>
  <c r="J209" i="1" s="1"/>
  <c r="G209" i="1"/>
  <c r="G487" i="1"/>
  <c r="I486" i="1"/>
  <c r="J486" i="1" s="1"/>
  <c r="G486" i="1"/>
  <c r="F139" i="2"/>
  <c r="G139" i="2" s="1"/>
  <c r="D67" i="32"/>
  <c r="I227" i="1"/>
  <c r="J227" i="1" s="1"/>
  <c r="G227" i="1"/>
  <c r="I391" i="1"/>
  <c r="J391" i="1" s="1"/>
  <c r="G391" i="1"/>
  <c r="H2" i="32"/>
  <c r="A2" i="31" a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302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9" i="1"/>
  <c r="G430" i="1"/>
  <c r="G431" i="1"/>
  <c r="G432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5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8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F214" i="2"/>
  <c r="G214" i="2" s="1"/>
  <c r="I350" i="1"/>
  <c r="J350" i="1" s="1"/>
  <c r="F2" i="31" a="1"/>
  <c r="E299" i="1"/>
  <c r="I299" i="1" s="1"/>
  <c r="J299" i="1" s="1"/>
  <c r="E300" i="1"/>
  <c r="I300" i="1" s="1"/>
  <c r="J300" i="1" s="1"/>
  <c r="G300" i="1"/>
  <c r="E301" i="1"/>
  <c r="G301" i="1"/>
  <c r="E303" i="1"/>
  <c r="G303" i="1" s="1"/>
  <c r="E304" i="1"/>
  <c r="G304" i="1" s="1"/>
  <c r="E305" i="1"/>
  <c r="G305" i="1"/>
  <c r="E428" i="1"/>
  <c r="I428" i="1" s="1"/>
  <c r="J428" i="1" s="1"/>
  <c r="E572" i="1"/>
  <c r="I572" i="1" s="1"/>
  <c r="J572" i="1" s="1"/>
  <c r="G572" i="1"/>
  <c r="E573" i="1"/>
  <c r="G573" i="1"/>
  <c r="E574" i="1"/>
  <c r="G574" i="1" s="1"/>
  <c r="E576" i="1"/>
  <c r="I576" i="1" s="1"/>
  <c r="J576" i="1" s="1"/>
  <c r="E936" i="1"/>
  <c r="G936" i="1"/>
  <c r="E937" i="1"/>
  <c r="G937" i="1" s="1"/>
  <c r="E950" i="1"/>
  <c r="G950" i="1" s="1"/>
  <c r="I950" i="1"/>
  <c r="J950" i="1" s="1"/>
  <c r="E951" i="1"/>
  <c r="G951" i="1"/>
  <c r="E952" i="1"/>
  <c r="G952" i="1" s="1"/>
  <c r="E1059" i="1"/>
  <c r="G1059" i="1" s="1"/>
  <c r="E1060" i="1"/>
  <c r="G1060" i="1"/>
  <c r="E1061" i="1"/>
  <c r="G1061" i="1" s="1"/>
  <c r="E1062" i="1"/>
  <c r="G1062" i="1"/>
  <c r="E1088" i="1"/>
  <c r="G1088" i="1"/>
  <c r="E1115" i="1"/>
  <c r="G1115" i="1" s="1"/>
  <c r="E1116" i="1"/>
  <c r="G1116" i="1" s="1"/>
  <c r="E1117" i="1"/>
  <c r="I1117" i="1"/>
  <c r="J1117" i="1" s="1"/>
  <c r="E1119" i="1"/>
  <c r="I1119" i="1" s="1"/>
  <c r="J1119" i="1" s="1"/>
  <c r="F33" i="2"/>
  <c r="G33" i="2" s="1"/>
  <c r="F46" i="2"/>
  <c r="G46" i="2" s="1"/>
  <c r="I411" i="1"/>
  <c r="J411" i="1" s="1"/>
  <c r="I2" i="1"/>
  <c r="J2" i="1" s="1"/>
  <c r="I3" i="1"/>
  <c r="J3" i="1" s="1"/>
  <c r="I4" i="1"/>
  <c r="J4" i="1" s="1"/>
  <c r="I5" i="1"/>
  <c r="J5" i="1" s="1"/>
  <c r="I1219" i="1"/>
  <c r="J1219" i="1" s="1"/>
  <c r="I1218" i="1"/>
  <c r="J1218" i="1" s="1"/>
  <c r="I1217" i="1"/>
  <c r="J1217" i="1" s="1"/>
  <c r="I1216" i="1"/>
  <c r="J1216" i="1" s="1"/>
  <c r="I1215" i="1"/>
  <c r="J1215" i="1" s="1"/>
  <c r="I1214" i="1"/>
  <c r="J1214" i="1" s="1"/>
  <c r="I1213" i="1"/>
  <c r="J1213" i="1" s="1"/>
  <c r="I1212" i="1"/>
  <c r="J1212" i="1" s="1"/>
  <c r="I1211" i="1"/>
  <c r="J1211" i="1" s="1"/>
  <c r="I1210" i="1"/>
  <c r="J1210" i="1" s="1"/>
  <c r="I1209" i="1"/>
  <c r="J1209" i="1" s="1"/>
  <c r="I1208" i="1"/>
  <c r="J1208" i="1" s="1"/>
  <c r="I1207" i="1"/>
  <c r="J1207" i="1" s="1"/>
  <c r="I1206" i="1"/>
  <c r="J1206" i="1" s="1"/>
  <c r="I1205" i="1"/>
  <c r="J1205" i="1" s="1"/>
  <c r="I1204" i="1"/>
  <c r="J1204" i="1" s="1"/>
  <c r="I1203" i="1"/>
  <c r="J1203" i="1" s="1"/>
  <c r="I1202" i="1"/>
  <c r="J1202" i="1" s="1"/>
  <c r="I1201" i="1"/>
  <c r="J1201" i="1" s="1"/>
  <c r="I1200" i="1"/>
  <c r="J1200" i="1" s="1"/>
  <c r="I1199" i="1"/>
  <c r="J1199" i="1" s="1"/>
  <c r="I1198" i="1"/>
  <c r="J1198" i="1" s="1"/>
  <c r="I1197" i="1"/>
  <c r="J1197" i="1" s="1"/>
  <c r="I1196" i="1"/>
  <c r="J1196" i="1" s="1"/>
  <c r="I1195" i="1"/>
  <c r="J1195" i="1" s="1"/>
  <c r="I1194" i="1"/>
  <c r="J1194" i="1" s="1"/>
  <c r="I1193" i="1"/>
  <c r="J1193" i="1" s="1"/>
  <c r="I1192" i="1"/>
  <c r="J1192" i="1" s="1"/>
  <c r="I1191" i="1"/>
  <c r="J1191" i="1" s="1"/>
  <c r="I1190" i="1"/>
  <c r="J1190" i="1" s="1"/>
  <c r="I1189" i="1"/>
  <c r="J1189" i="1" s="1"/>
  <c r="I1188" i="1"/>
  <c r="J1188" i="1" s="1"/>
  <c r="I1187" i="1"/>
  <c r="J1187" i="1" s="1"/>
  <c r="I1186" i="1"/>
  <c r="J1186" i="1" s="1"/>
  <c r="I1185" i="1"/>
  <c r="J1185" i="1" s="1"/>
  <c r="I1184" i="1"/>
  <c r="J1184" i="1" s="1"/>
  <c r="I1183" i="1"/>
  <c r="J1183" i="1" s="1"/>
  <c r="I1182" i="1"/>
  <c r="J1182" i="1" s="1"/>
  <c r="I1181" i="1"/>
  <c r="J1181" i="1" s="1"/>
  <c r="I1180" i="1"/>
  <c r="J1180" i="1" s="1"/>
  <c r="I1179" i="1"/>
  <c r="J1179" i="1" s="1"/>
  <c r="I1178" i="1"/>
  <c r="J1178" i="1" s="1"/>
  <c r="I1177" i="1"/>
  <c r="J1177" i="1" s="1"/>
  <c r="I1176" i="1"/>
  <c r="J1176" i="1" s="1"/>
  <c r="I1175" i="1"/>
  <c r="J1175" i="1" s="1"/>
  <c r="I1174" i="1"/>
  <c r="J1174" i="1" s="1"/>
  <c r="I1173" i="1"/>
  <c r="J1173" i="1" s="1"/>
  <c r="I1172" i="1"/>
  <c r="J1172" i="1" s="1"/>
  <c r="I1171" i="1"/>
  <c r="J1171" i="1" s="1"/>
  <c r="I1170" i="1"/>
  <c r="J1170" i="1" s="1"/>
  <c r="I1169" i="1"/>
  <c r="J1169" i="1" s="1"/>
  <c r="I1168" i="1"/>
  <c r="J1168" i="1" s="1"/>
  <c r="I1167" i="1"/>
  <c r="J1167" i="1" s="1"/>
  <c r="I1166" i="1"/>
  <c r="J1166" i="1" s="1"/>
  <c r="I1165" i="1"/>
  <c r="J1165" i="1" s="1"/>
  <c r="I1164" i="1"/>
  <c r="J1164" i="1" s="1"/>
  <c r="I1163" i="1"/>
  <c r="J1163" i="1" s="1"/>
  <c r="I1162" i="1"/>
  <c r="J1162" i="1" s="1"/>
  <c r="I1161" i="1"/>
  <c r="J1161" i="1" s="1"/>
  <c r="I1160" i="1"/>
  <c r="J1160" i="1" s="1"/>
  <c r="I1159" i="1"/>
  <c r="J1159" i="1" s="1"/>
  <c r="I1158" i="1"/>
  <c r="J1158" i="1" s="1"/>
  <c r="I1157" i="1"/>
  <c r="J1157" i="1" s="1"/>
  <c r="I1156" i="1"/>
  <c r="J1156" i="1" s="1"/>
  <c r="I1155" i="1"/>
  <c r="J1155" i="1" s="1"/>
  <c r="I1154" i="1"/>
  <c r="J1154" i="1" s="1"/>
  <c r="I1153" i="1"/>
  <c r="J1153" i="1" s="1"/>
  <c r="I1152" i="1"/>
  <c r="J1152" i="1" s="1"/>
  <c r="I1151" i="1"/>
  <c r="J1151" i="1" s="1"/>
  <c r="I1150" i="1"/>
  <c r="J1150" i="1" s="1"/>
  <c r="I1149" i="1"/>
  <c r="J1149" i="1" s="1"/>
  <c r="I1148" i="1"/>
  <c r="J1148" i="1" s="1"/>
  <c r="I1147" i="1"/>
  <c r="J1147" i="1" s="1"/>
  <c r="I1146" i="1"/>
  <c r="J1146" i="1" s="1"/>
  <c r="I1145" i="1"/>
  <c r="J1145" i="1" s="1"/>
  <c r="I1144" i="1"/>
  <c r="J1144" i="1" s="1"/>
  <c r="I1143" i="1"/>
  <c r="J1143" i="1" s="1"/>
  <c r="I1142" i="1"/>
  <c r="J1142" i="1" s="1"/>
  <c r="I1141" i="1"/>
  <c r="J1141" i="1" s="1"/>
  <c r="I1140" i="1"/>
  <c r="J1140" i="1" s="1"/>
  <c r="I1139" i="1"/>
  <c r="J1139" i="1" s="1"/>
  <c r="I1138" i="1"/>
  <c r="J1138" i="1" s="1"/>
  <c r="I1137" i="1"/>
  <c r="J1137" i="1" s="1"/>
  <c r="I1136" i="1"/>
  <c r="J1136" i="1" s="1"/>
  <c r="I1135" i="1"/>
  <c r="J1135" i="1" s="1"/>
  <c r="I1134" i="1"/>
  <c r="J1134" i="1" s="1"/>
  <c r="I1133" i="1"/>
  <c r="J1133" i="1" s="1"/>
  <c r="I1132" i="1"/>
  <c r="J1132" i="1" s="1"/>
  <c r="I1131" i="1"/>
  <c r="J1131" i="1" s="1"/>
  <c r="I1130" i="1"/>
  <c r="J1130" i="1" s="1"/>
  <c r="I1129" i="1"/>
  <c r="J1129" i="1" s="1"/>
  <c r="I1128" i="1"/>
  <c r="J1128" i="1" s="1"/>
  <c r="I1127" i="1"/>
  <c r="J1127" i="1" s="1"/>
  <c r="I1126" i="1"/>
  <c r="J1126" i="1" s="1"/>
  <c r="I1125" i="1"/>
  <c r="J1125" i="1" s="1"/>
  <c r="I1124" i="1"/>
  <c r="J1124" i="1" s="1"/>
  <c r="I1123" i="1"/>
  <c r="J1123" i="1" s="1"/>
  <c r="I1122" i="1"/>
  <c r="J1122" i="1" s="1"/>
  <c r="I1121" i="1"/>
  <c r="J1121" i="1" s="1"/>
  <c r="I1120" i="1"/>
  <c r="J1120" i="1" s="1"/>
  <c r="I1118" i="1"/>
  <c r="J1118" i="1" s="1"/>
  <c r="I1114" i="1"/>
  <c r="J1114" i="1" s="1"/>
  <c r="I1113" i="1"/>
  <c r="J1113" i="1" s="1"/>
  <c r="I1112" i="1"/>
  <c r="J1112" i="1" s="1"/>
  <c r="I1111" i="1"/>
  <c r="J1111" i="1" s="1"/>
  <c r="I1110" i="1"/>
  <c r="J1110" i="1" s="1"/>
  <c r="I1109" i="1"/>
  <c r="J1109" i="1" s="1"/>
  <c r="I1108" i="1"/>
  <c r="J1108" i="1" s="1"/>
  <c r="I1107" i="1"/>
  <c r="J1107" i="1" s="1"/>
  <c r="I1106" i="1"/>
  <c r="J1106" i="1" s="1"/>
  <c r="I1105" i="1"/>
  <c r="J1105" i="1" s="1"/>
  <c r="I1104" i="1"/>
  <c r="J1104" i="1" s="1"/>
  <c r="I1103" i="1"/>
  <c r="J1103" i="1" s="1"/>
  <c r="I1102" i="1"/>
  <c r="J1102" i="1" s="1"/>
  <c r="I1101" i="1"/>
  <c r="J1101" i="1" s="1"/>
  <c r="I1100" i="1"/>
  <c r="J1100" i="1" s="1"/>
  <c r="I1099" i="1"/>
  <c r="J1099" i="1" s="1"/>
  <c r="I1098" i="1"/>
  <c r="J1098" i="1" s="1"/>
  <c r="I1097" i="1"/>
  <c r="J1097" i="1" s="1"/>
  <c r="I1096" i="1"/>
  <c r="J1096" i="1" s="1"/>
  <c r="I1095" i="1"/>
  <c r="J1095" i="1" s="1"/>
  <c r="I1094" i="1"/>
  <c r="J1094" i="1" s="1"/>
  <c r="I1093" i="1"/>
  <c r="J1093" i="1" s="1"/>
  <c r="I1092" i="1"/>
  <c r="J1092" i="1" s="1"/>
  <c r="I1091" i="1"/>
  <c r="J1091" i="1" s="1"/>
  <c r="I1090" i="1"/>
  <c r="J1090" i="1" s="1"/>
  <c r="I1089" i="1"/>
  <c r="J1089" i="1" s="1"/>
  <c r="I1087" i="1"/>
  <c r="J1087" i="1" s="1"/>
  <c r="I1086" i="1"/>
  <c r="J1086" i="1" s="1"/>
  <c r="I1085" i="1"/>
  <c r="J1085" i="1" s="1"/>
  <c r="I1084" i="1"/>
  <c r="J1084" i="1" s="1"/>
  <c r="I1083" i="1"/>
  <c r="J1083" i="1" s="1"/>
  <c r="I1082" i="1"/>
  <c r="J1082" i="1" s="1"/>
  <c r="I1081" i="1"/>
  <c r="J1081" i="1" s="1"/>
  <c r="I1080" i="1"/>
  <c r="J1080" i="1" s="1"/>
  <c r="I1079" i="1"/>
  <c r="J1079" i="1" s="1"/>
  <c r="I1078" i="1"/>
  <c r="J1078" i="1" s="1"/>
  <c r="I1077" i="1"/>
  <c r="J1077" i="1" s="1"/>
  <c r="I1076" i="1"/>
  <c r="J1076" i="1" s="1"/>
  <c r="I1075" i="1"/>
  <c r="J1075" i="1" s="1"/>
  <c r="I1074" i="1"/>
  <c r="J1074" i="1" s="1"/>
  <c r="I1073" i="1"/>
  <c r="J1073" i="1" s="1"/>
  <c r="I1072" i="1"/>
  <c r="J1072" i="1" s="1"/>
  <c r="I1071" i="1"/>
  <c r="J1071" i="1" s="1"/>
  <c r="I1070" i="1"/>
  <c r="J1070" i="1" s="1"/>
  <c r="I1069" i="1"/>
  <c r="J1069" i="1" s="1"/>
  <c r="I1068" i="1"/>
  <c r="J1068" i="1" s="1"/>
  <c r="I1067" i="1"/>
  <c r="J1067" i="1" s="1"/>
  <c r="I1066" i="1"/>
  <c r="J1066" i="1" s="1"/>
  <c r="I1065" i="1"/>
  <c r="J1065" i="1" s="1"/>
  <c r="I1064" i="1"/>
  <c r="J1064" i="1" s="1"/>
  <c r="I1063" i="1"/>
  <c r="J1063" i="1" s="1"/>
  <c r="I1058" i="1"/>
  <c r="J1058" i="1" s="1"/>
  <c r="I1057" i="1"/>
  <c r="J1057" i="1" s="1"/>
  <c r="I1056" i="1"/>
  <c r="J1056" i="1" s="1"/>
  <c r="I1055" i="1"/>
  <c r="J1055" i="1" s="1"/>
  <c r="I1054" i="1"/>
  <c r="J1054" i="1" s="1"/>
  <c r="I1053" i="1"/>
  <c r="J1053" i="1" s="1"/>
  <c r="I1052" i="1"/>
  <c r="J1052" i="1" s="1"/>
  <c r="I1051" i="1"/>
  <c r="J1051" i="1" s="1"/>
  <c r="I1050" i="1"/>
  <c r="J1050" i="1" s="1"/>
  <c r="I1049" i="1"/>
  <c r="J1049" i="1" s="1"/>
  <c r="I1048" i="1"/>
  <c r="J1048" i="1" s="1"/>
  <c r="I1047" i="1"/>
  <c r="J1047" i="1" s="1"/>
  <c r="I1046" i="1"/>
  <c r="J1046" i="1" s="1"/>
  <c r="I1045" i="1"/>
  <c r="J1045" i="1" s="1"/>
  <c r="I1044" i="1"/>
  <c r="J1044" i="1" s="1"/>
  <c r="I1043" i="1"/>
  <c r="J1043" i="1" s="1"/>
  <c r="I1042" i="1"/>
  <c r="J1042" i="1" s="1"/>
  <c r="I1041" i="1"/>
  <c r="J1041" i="1" s="1"/>
  <c r="I1040" i="1"/>
  <c r="J1040" i="1" s="1"/>
  <c r="I1039" i="1"/>
  <c r="J1039" i="1" s="1"/>
  <c r="I1038" i="1"/>
  <c r="J1038" i="1" s="1"/>
  <c r="I1037" i="1"/>
  <c r="J1037" i="1" s="1"/>
  <c r="I1036" i="1"/>
  <c r="J1036" i="1" s="1"/>
  <c r="I1035" i="1"/>
  <c r="J1035" i="1" s="1"/>
  <c r="I1034" i="1"/>
  <c r="J1034" i="1" s="1"/>
  <c r="I1033" i="1"/>
  <c r="J1033" i="1" s="1"/>
  <c r="I1032" i="1"/>
  <c r="J1032" i="1" s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J1026" i="1" s="1"/>
  <c r="I1025" i="1"/>
  <c r="J1025" i="1" s="1"/>
  <c r="I1024" i="1"/>
  <c r="J1024" i="1" s="1"/>
  <c r="I1023" i="1"/>
  <c r="J1023" i="1" s="1"/>
  <c r="I1022" i="1"/>
  <c r="J1022" i="1" s="1"/>
  <c r="I1021" i="1"/>
  <c r="J1021" i="1" s="1"/>
  <c r="I1020" i="1"/>
  <c r="J1020" i="1" s="1"/>
  <c r="I1019" i="1"/>
  <c r="J1019" i="1" s="1"/>
  <c r="I1018" i="1"/>
  <c r="J1018" i="1" s="1"/>
  <c r="I1017" i="1"/>
  <c r="J1017" i="1" s="1"/>
  <c r="I1016" i="1"/>
  <c r="J1016" i="1" s="1"/>
  <c r="I1015" i="1"/>
  <c r="J1015" i="1" s="1"/>
  <c r="I1014" i="1"/>
  <c r="J1014" i="1" s="1"/>
  <c r="I1013" i="1"/>
  <c r="J1013" i="1" s="1"/>
  <c r="I1012" i="1"/>
  <c r="J1012" i="1" s="1"/>
  <c r="I1011" i="1"/>
  <c r="J1011" i="1" s="1"/>
  <c r="I1010" i="1"/>
  <c r="J1010" i="1" s="1"/>
  <c r="I1009" i="1"/>
  <c r="J1009" i="1" s="1"/>
  <c r="I1008" i="1"/>
  <c r="J1008" i="1" s="1"/>
  <c r="I1007" i="1"/>
  <c r="J1007" i="1" s="1"/>
  <c r="I1006" i="1"/>
  <c r="J1006" i="1" s="1"/>
  <c r="I1005" i="1"/>
  <c r="J1005" i="1" s="1"/>
  <c r="I1004" i="1"/>
  <c r="J1004" i="1" s="1"/>
  <c r="I1003" i="1"/>
  <c r="J1003" i="1" s="1"/>
  <c r="I1002" i="1"/>
  <c r="J1002" i="1" s="1"/>
  <c r="I1001" i="1"/>
  <c r="J1001" i="1" s="1"/>
  <c r="I1000" i="1"/>
  <c r="J1000" i="1" s="1"/>
  <c r="I999" i="1"/>
  <c r="J999" i="1" s="1"/>
  <c r="I998" i="1"/>
  <c r="J998" i="1" s="1"/>
  <c r="I997" i="1"/>
  <c r="J997" i="1" s="1"/>
  <c r="I996" i="1"/>
  <c r="J996" i="1" s="1"/>
  <c r="I995" i="1"/>
  <c r="J995" i="1" s="1"/>
  <c r="I994" i="1"/>
  <c r="J994" i="1" s="1"/>
  <c r="I993" i="1"/>
  <c r="J993" i="1" s="1"/>
  <c r="I992" i="1"/>
  <c r="J992" i="1" s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J982" i="1" s="1"/>
  <c r="I981" i="1"/>
  <c r="J981" i="1" s="1"/>
  <c r="I980" i="1"/>
  <c r="J980" i="1" s="1"/>
  <c r="I979" i="1"/>
  <c r="J979" i="1" s="1"/>
  <c r="I978" i="1"/>
  <c r="J978" i="1" s="1"/>
  <c r="I977" i="1"/>
  <c r="J977" i="1" s="1"/>
  <c r="I976" i="1"/>
  <c r="J976" i="1" s="1"/>
  <c r="I975" i="1"/>
  <c r="J975" i="1" s="1"/>
  <c r="I974" i="1"/>
  <c r="J974" i="1" s="1"/>
  <c r="I973" i="1"/>
  <c r="J973" i="1" s="1"/>
  <c r="I972" i="1"/>
  <c r="J972" i="1" s="1"/>
  <c r="I971" i="1"/>
  <c r="J971" i="1" s="1"/>
  <c r="I970" i="1"/>
  <c r="J970" i="1" s="1"/>
  <c r="I969" i="1"/>
  <c r="J969" i="1" s="1"/>
  <c r="I968" i="1"/>
  <c r="J968" i="1" s="1"/>
  <c r="I967" i="1"/>
  <c r="J967" i="1" s="1"/>
  <c r="I966" i="1"/>
  <c r="J966" i="1" s="1"/>
  <c r="I965" i="1"/>
  <c r="J965" i="1" s="1"/>
  <c r="I964" i="1"/>
  <c r="J964" i="1" s="1"/>
  <c r="I963" i="1"/>
  <c r="J963" i="1" s="1"/>
  <c r="I962" i="1"/>
  <c r="J962" i="1" s="1"/>
  <c r="I961" i="1"/>
  <c r="J961" i="1" s="1"/>
  <c r="I960" i="1"/>
  <c r="J960" i="1" s="1"/>
  <c r="I959" i="1"/>
  <c r="J959" i="1" s="1"/>
  <c r="I958" i="1"/>
  <c r="J958" i="1" s="1"/>
  <c r="I957" i="1"/>
  <c r="J957" i="1" s="1"/>
  <c r="I956" i="1"/>
  <c r="J956" i="1" s="1"/>
  <c r="I955" i="1"/>
  <c r="J955" i="1" s="1"/>
  <c r="I954" i="1"/>
  <c r="J954" i="1" s="1"/>
  <c r="I953" i="1"/>
  <c r="J953" i="1" s="1"/>
  <c r="I949" i="1"/>
  <c r="J949" i="1" s="1"/>
  <c r="I948" i="1"/>
  <c r="J948" i="1" s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J941" i="1" s="1"/>
  <c r="I940" i="1"/>
  <c r="J940" i="1" s="1"/>
  <c r="I939" i="1"/>
  <c r="J939" i="1" s="1"/>
  <c r="I938" i="1"/>
  <c r="J938" i="1" s="1"/>
  <c r="I935" i="1"/>
  <c r="J935" i="1" s="1"/>
  <c r="I934" i="1"/>
  <c r="J934" i="1" s="1"/>
  <c r="I933" i="1"/>
  <c r="J933" i="1" s="1"/>
  <c r="I932" i="1"/>
  <c r="J932" i="1" s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I925" i="1"/>
  <c r="J925" i="1" s="1"/>
  <c r="I924" i="1"/>
  <c r="J924" i="1" s="1"/>
  <c r="I923" i="1"/>
  <c r="J923" i="1" s="1"/>
  <c r="I922" i="1"/>
  <c r="J922" i="1" s="1"/>
  <c r="I921" i="1"/>
  <c r="J921" i="1" s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J915" i="1" s="1"/>
  <c r="I914" i="1"/>
  <c r="J914" i="1" s="1"/>
  <c r="I913" i="1"/>
  <c r="J913" i="1" s="1"/>
  <c r="I912" i="1"/>
  <c r="J912" i="1" s="1"/>
  <c r="I911" i="1"/>
  <c r="J911" i="1" s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903" i="1"/>
  <c r="J903" i="1" s="1"/>
  <c r="I902" i="1"/>
  <c r="J902" i="1" s="1"/>
  <c r="I901" i="1"/>
  <c r="J901" i="1" s="1"/>
  <c r="I900" i="1"/>
  <c r="J900" i="1" s="1"/>
  <c r="I899" i="1"/>
  <c r="J899" i="1" s="1"/>
  <c r="I898" i="1"/>
  <c r="J898" i="1" s="1"/>
  <c r="I897" i="1"/>
  <c r="J897" i="1" s="1"/>
  <c r="I896" i="1"/>
  <c r="J896" i="1" s="1"/>
  <c r="I895" i="1"/>
  <c r="J895" i="1" s="1"/>
  <c r="I894" i="1"/>
  <c r="J894" i="1" s="1"/>
  <c r="I893" i="1"/>
  <c r="J893" i="1" s="1"/>
  <c r="I892" i="1"/>
  <c r="J892" i="1" s="1"/>
  <c r="I891" i="1"/>
  <c r="J891" i="1" s="1"/>
  <c r="I890" i="1"/>
  <c r="J890" i="1" s="1"/>
  <c r="I889" i="1"/>
  <c r="J889" i="1" s="1"/>
  <c r="I888" i="1"/>
  <c r="J888" i="1" s="1"/>
  <c r="I887" i="1"/>
  <c r="J887" i="1" s="1"/>
  <c r="I886" i="1"/>
  <c r="J886" i="1" s="1"/>
  <c r="I885" i="1"/>
  <c r="J885" i="1" s="1"/>
  <c r="I884" i="1"/>
  <c r="J884" i="1" s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J878" i="1" s="1"/>
  <c r="I877" i="1"/>
  <c r="J877" i="1" s="1"/>
  <c r="I876" i="1"/>
  <c r="J876" i="1" s="1"/>
  <c r="I875" i="1"/>
  <c r="J875" i="1" s="1"/>
  <c r="I874" i="1"/>
  <c r="J874" i="1" s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J861" i="1" s="1"/>
  <c r="I860" i="1"/>
  <c r="J860" i="1" s="1"/>
  <c r="I859" i="1"/>
  <c r="J859" i="1" s="1"/>
  <c r="I858" i="1"/>
  <c r="J858" i="1" s="1"/>
  <c r="I857" i="1"/>
  <c r="J857" i="1" s="1"/>
  <c r="I856" i="1"/>
  <c r="J856" i="1" s="1"/>
  <c r="I855" i="1"/>
  <c r="J855" i="1" s="1"/>
  <c r="I854" i="1"/>
  <c r="J854" i="1" s="1"/>
  <c r="I853" i="1"/>
  <c r="J853" i="1" s="1"/>
  <c r="I852" i="1"/>
  <c r="J852" i="1" s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J846" i="1" s="1"/>
  <c r="I845" i="1"/>
  <c r="J845" i="1" s="1"/>
  <c r="I844" i="1"/>
  <c r="J844" i="1" s="1"/>
  <c r="I843" i="1"/>
  <c r="J843" i="1" s="1"/>
  <c r="I842" i="1"/>
  <c r="J842" i="1" s="1"/>
  <c r="I841" i="1"/>
  <c r="J841" i="1" s="1"/>
  <c r="I840" i="1"/>
  <c r="J840" i="1" s="1"/>
  <c r="I839" i="1"/>
  <c r="J839" i="1" s="1"/>
  <c r="I838" i="1"/>
  <c r="J838" i="1" s="1"/>
  <c r="I837" i="1"/>
  <c r="J837" i="1" s="1"/>
  <c r="I836" i="1"/>
  <c r="J836" i="1" s="1"/>
  <c r="I835" i="1"/>
  <c r="J835" i="1" s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J822" i="1" s="1"/>
  <c r="I821" i="1"/>
  <c r="J821" i="1" s="1"/>
  <c r="I820" i="1"/>
  <c r="J820" i="1" s="1"/>
  <c r="I819" i="1"/>
  <c r="J819" i="1" s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J813" i="1" s="1"/>
  <c r="I812" i="1"/>
  <c r="J812" i="1" s="1"/>
  <c r="I811" i="1"/>
  <c r="J811" i="1" s="1"/>
  <c r="I810" i="1"/>
  <c r="J810" i="1" s="1"/>
  <c r="I809" i="1"/>
  <c r="J809" i="1" s="1"/>
  <c r="I808" i="1"/>
  <c r="J808" i="1" s="1"/>
  <c r="I807" i="1"/>
  <c r="J807" i="1" s="1"/>
  <c r="I806" i="1"/>
  <c r="J806" i="1" s="1"/>
  <c r="I805" i="1"/>
  <c r="J805" i="1" s="1"/>
  <c r="I804" i="1"/>
  <c r="J804" i="1" s="1"/>
  <c r="I803" i="1"/>
  <c r="J803" i="1" s="1"/>
  <c r="I802" i="1"/>
  <c r="J802" i="1" s="1"/>
  <c r="I801" i="1"/>
  <c r="J801" i="1" s="1"/>
  <c r="I800" i="1"/>
  <c r="J800" i="1" s="1"/>
  <c r="I799" i="1"/>
  <c r="J799" i="1" s="1"/>
  <c r="I798" i="1"/>
  <c r="J798" i="1" s="1"/>
  <c r="I797" i="1"/>
  <c r="J797" i="1" s="1"/>
  <c r="I796" i="1"/>
  <c r="J796" i="1" s="1"/>
  <c r="I795" i="1"/>
  <c r="J795" i="1" s="1"/>
  <c r="I794" i="1"/>
  <c r="J794" i="1" s="1"/>
  <c r="I793" i="1"/>
  <c r="J793" i="1" s="1"/>
  <c r="I792" i="1"/>
  <c r="J792" i="1" s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J778" i="1" s="1"/>
  <c r="I777" i="1"/>
  <c r="J777" i="1" s="1"/>
  <c r="I776" i="1"/>
  <c r="J776" i="1" s="1"/>
  <c r="I775" i="1"/>
  <c r="J775" i="1" s="1"/>
  <c r="I774" i="1"/>
  <c r="J774" i="1" s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I764" i="1"/>
  <c r="J764" i="1" s="1"/>
  <c r="I763" i="1"/>
  <c r="J763" i="1" s="1"/>
  <c r="I762" i="1"/>
  <c r="J762" i="1" s="1"/>
  <c r="I761" i="1"/>
  <c r="J761" i="1" s="1"/>
  <c r="I760" i="1"/>
  <c r="J760" i="1" s="1"/>
  <c r="I759" i="1"/>
  <c r="J759" i="1" s="1"/>
  <c r="I758" i="1"/>
  <c r="J758" i="1" s="1"/>
  <c r="I757" i="1"/>
  <c r="J757" i="1" s="1"/>
  <c r="I756" i="1"/>
  <c r="J756" i="1" s="1"/>
  <c r="I755" i="1"/>
  <c r="J755" i="1" s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I704" i="1"/>
  <c r="J704" i="1" s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J698" i="1" s="1"/>
  <c r="I697" i="1"/>
  <c r="J697" i="1" s="1"/>
  <c r="I696" i="1"/>
  <c r="J696" i="1" s="1"/>
  <c r="I695" i="1"/>
  <c r="J695" i="1" s="1"/>
  <c r="I694" i="1"/>
  <c r="J694" i="1" s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J683" i="1" s="1"/>
  <c r="I682" i="1"/>
  <c r="J682" i="1" s="1"/>
  <c r="I681" i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I675" i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J635" i="1" s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J615" i="1" s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J606" i="1" s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J581" i="1" s="1"/>
  <c r="I580" i="1"/>
  <c r="J580" i="1" s="1"/>
  <c r="I579" i="1"/>
  <c r="J579" i="1" s="1"/>
  <c r="I578" i="1"/>
  <c r="J578" i="1" s="1"/>
  <c r="I577" i="1"/>
  <c r="J577" i="1" s="1"/>
  <c r="I575" i="1"/>
  <c r="J575" i="1" s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2" i="1"/>
  <c r="J432" i="1" s="1"/>
  <c r="I431" i="1"/>
  <c r="J431" i="1" s="1"/>
  <c r="I430" i="1"/>
  <c r="J430" i="1" s="1"/>
  <c r="I429" i="1"/>
  <c r="J429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2" i="1"/>
  <c r="J302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F267" i="7"/>
  <c r="S2" i="37"/>
  <c r="H2" i="37"/>
  <c r="I135" i="3"/>
  <c r="C135" i="3"/>
  <c r="D135" i="3"/>
  <c r="E135" i="3"/>
  <c r="E398" i="2"/>
  <c r="E551" i="2"/>
  <c r="E552" i="2"/>
  <c r="E603" i="2"/>
  <c r="E604" i="2"/>
  <c r="F604" i="2" s="1"/>
  <c r="G604" i="2" s="1"/>
  <c r="E605" i="2"/>
  <c r="F605" i="2" s="1"/>
  <c r="G605" i="2" s="1"/>
  <c r="E606" i="2"/>
  <c r="M24" i="8" a="1"/>
  <c r="M24" i="8" s="1"/>
  <c r="N24" i="8" s="1"/>
  <c r="L24" i="8" a="1"/>
  <c r="L24" i="8" s="1"/>
  <c r="C2" i="3"/>
  <c r="D2" i="3"/>
  <c r="E2" i="3"/>
  <c r="F2" i="3"/>
  <c r="I2" i="3"/>
  <c r="C3" i="3"/>
  <c r="D3" i="3"/>
  <c r="E3" i="3"/>
  <c r="I3" i="3"/>
  <c r="K3" i="3"/>
  <c r="C4" i="3"/>
  <c r="D4" i="3"/>
  <c r="E4" i="3"/>
  <c r="C5" i="3"/>
  <c r="D5" i="3"/>
  <c r="E5" i="3"/>
  <c r="F5" i="3"/>
  <c r="I5" i="3"/>
  <c r="K5" i="3"/>
  <c r="C6" i="3"/>
  <c r="D6" i="3"/>
  <c r="E6" i="3"/>
  <c r="F6" i="3"/>
  <c r="I6" i="3"/>
  <c r="C7" i="3"/>
  <c r="D7" i="3"/>
  <c r="E7" i="3"/>
  <c r="I7" i="3"/>
  <c r="C8" i="3"/>
  <c r="D8" i="3"/>
  <c r="E8" i="3"/>
  <c r="F8" i="3"/>
  <c r="I8" i="3"/>
  <c r="K8" i="3"/>
  <c r="C9" i="3"/>
  <c r="D9" i="3"/>
  <c r="E9" i="3"/>
  <c r="K9" i="3"/>
  <c r="C10" i="3"/>
  <c r="D10" i="3"/>
  <c r="E10" i="3"/>
  <c r="H10" i="3"/>
  <c r="C11" i="3"/>
  <c r="D11" i="3"/>
  <c r="E11" i="3"/>
  <c r="H11" i="3"/>
  <c r="C13" i="3"/>
  <c r="D13" i="3"/>
  <c r="E13" i="3"/>
  <c r="C14" i="3"/>
  <c r="D14" i="3"/>
  <c r="F14" i="3"/>
  <c r="J14" i="3"/>
  <c r="C15" i="3"/>
  <c r="D15" i="3"/>
  <c r="E15" i="3"/>
  <c r="H15" i="3"/>
  <c r="I15" i="3"/>
  <c r="C16" i="3"/>
  <c r="D16" i="3"/>
  <c r="E16" i="3"/>
  <c r="F16" i="3"/>
  <c r="H16" i="3"/>
  <c r="I16" i="3"/>
  <c r="C17" i="3"/>
  <c r="D17" i="3"/>
  <c r="E17" i="3"/>
  <c r="H17" i="3"/>
  <c r="C18" i="3"/>
  <c r="D18" i="3"/>
  <c r="E18" i="3"/>
  <c r="I18" i="3"/>
  <c r="C19" i="3"/>
  <c r="E19" i="3"/>
  <c r="C20" i="3"/>
  <c r="D20" i="3"/>
  <c r="E20" i="3"/>
  <c r="F20" i="3"/>
  <c r="I20" i="3"/>
  <c r="J20" i="3"/>
  <c r="C21" i="3"/>
  <c r="D21" i="3"/>
  <c r="E21" i="3"/>
  <c r="F21" i="3"/>
  <c r="I21" i="3"/>
  <c r="J21" i="3"/>
  <c r="K21" i="3"/>
  <c r="C22" i="3"/>
  <c r="D22" i="3"/>
  <c r="E22" i="3"/>
  <c r="F22" i="3"/>
  <c r="C24" i="3"/>
  <c r="D24" i="3"/>
  <c r="E24" i="3"/>
  <c r="F24" i="3"/>
  <c r="I24" i="3"/>
  <c r="K24" i="3"/>
  <c r="C26" i="3"/>
  <c r="D26" i="3"/>
  <c r="E26" i="3"/>
  <c r="F26" i="3"/>
  <c r="K26" i="3"/>
  <c r="C27" i="3"/>
  <c r="D27" i="3"/>
  <c r="E27" i="3"/>
  <c r="I27" i="3"/>
  <c r="E28" i="3"/>
  <c r="C29" i="3"/>
  <c r="D29" i="3"/>
  <c r="E29" i="3"/>
  <c r="F29" i="3"/>
  <c r="I29" i="3"/>
  <c r="C30" i="3"/>
  <c r="D30" i="3"/>
  <c r="E30" i="3"/>
  <c r="I30" i="3"/>
  <c r="C31" i="3"/>
  <c r="D31" i="3"/>
  <c r="E31" i="3"/>
  <c r="F31" i="3"/>
  <c r="I31" i="3"/>
  <c r="C33" i="3"/>
  <c r="D33" i="3"/>
  <c r="E33" i="3"/>
  <c r="F33" i="3"/>
  <c r="I33" i="3"/>
  <c r="K33" i="3"/>
  <c r="C34" i="3"/>
  <c r="D34" i="3"/>
  <c r="F34" i="3"/>
  <c r="I34" i="3"/>
  <c r="C35" i="3"/>
  <c r="D35" i="3"/>
  <c r="E35" i="3"/>
  <c r="H35" i="3"/>
  <c r="I35" i="3"/>
  <c r="C36" i="3"/>
  <c r="D36" i="3"/>
  <c r="E36" i="3"/>
  <c r="F36" i="3"/>
  <c r="I36" i="3"/>
  <c r="C37" i="3"/>
  <c r="D37" i="3"/>
  <c r="E37" i="3"/>
  <c r="F37" i="3"/>
  <c r="I37" i="3"/>
  <c r="C38" i="3"/>
  <c r="D38" i="3"/>
  <c r="E38" i="3"/>
  <c r="C39" i="3"/>
  <c r="D39" i="3"/>
  <c r="E39" i="3"/>
  <c r="F39" i="3"/>
  <c r="I39" i="3"/>
  <c r="K39" i="3"/>
  <c r="C40" i="3"/>
  <c r="D40" i="3"/>
  <c r="E40" i="3"/>
  <c r="F40" i="3"/>
  <c r="K40" i="3"/>
  <c r="C41" i="3"/>
  <c r="D41" i="3"/>
  <c r="E41" i="3"/>
  <c r="F41" i="3"/>
  <c r="I41" i="3"/>
  <c r="C42" i="3"/>
  <c r="D42" i="3"/>
  <c r="E42" i="3"/>
  <c r="H42" i="3"/>
  <c r="I42" i="3"/>
  <c r="C43" i="3"/>
  <c r="D43" i="3"/>
  <c r="E43" i="3"/>
  <c r="I43" i="3"/>
  <c r="N43" i="3"/>
  <c r="C44" i="3"/>
  <c r="D44" i="3"/>
  <c r="C45" i="3"/>
  <c r="D45" i="3"/>
  <c r="E45" i="3"/>
  <c r="R45" i="3"/>
  <c r="C46" i="3"/>
  <c r="D46" i="3"/>
  <c r="E46" i="3"/>
  <c r="F46" i="3"/>
  <c r="I46" i="3"/>
  <c r="C47" i="3"/>
  <c r="D47" i="3"/>
  <c r="E47" i="3"/>
  <c r="C48" i="3"/>
  <c r="D48" i="3"/>
  <c r="E48" i="3"/>
  <c r="I48" i="3"/>
  <c r="K48" i="3"/>
  <c r="C49" i="3"/>
  <c r="D49" i="3"/>
  <c r="E49" i="3"/>
  <c r="I49" i="3"/>
  <c r="C50" i="3"/>
  <c r="D50" i="3"/>
  <c r="E50" i="3"/>
  <c r="C51" i="3"/>
  <c r="D51" i="3"/>
  <c r="E51" i="3"/>
  <c r="F51" i="3"/>
  <c r="I51" i="3"/>
  <c r="C52" i="3"/>
  <c r="D52" i="3"/>
  <c r="E52" i="3"/>
  <c r="I52" i="3"/>
  <c r="J52" i="3"/>
  <c r="K52" i="3"/>
  <c r="Q52" i="3"/>
  <c r="C54" i="3"/>
  <c r="D54" i="3"/>
  <c r="E54" i="3"/>
  <c r="F54" i="3"/>
  <c r="I54" i="3"/>
  <c r="C55" i="3"/>
  <c r="D55" i="3"/>
  <c r="E55" i="3"/>
  <c r="F55" i="3"/>
  <c r="I55" i="3"/>
  <c r="J55" i="3"/>
  <c r="C56" i="3"/>
  <c r="D56" i="3"/>
  <c r="E56" i="3"/>
  <c r="F56" i="3"/>
  <c r="I56" i="3"/>
  <c r="K56" i="3"/>
  <c r="C57" i="3"/>
  <c r="D57" i="3"/>
  <c r="E57" i="3"/>
  <c r="F57" i="3"/>
  <c r="I57" i="3"/>
  <c r="C59" i="3"/>
  <c r="D59" i="3"/>
  <c r="E59" i="3"/>
  <c r="I59" i="3"/>
  <c r="C60" i="3"/>
  <c r="D60" i="3"/>
  <c r="E60" i="3"/>
  <c r="H60" i="3"/>
  <c r="R60" i="3"/>
  <c r="C61" i="3"/>
  <c r="D61" i="3"/>
  <c r="E61" i="3"/>
  <c r="F61" i="3"/>
  <c r="I61" i="3"/>
  <c r="K61" i="3"/>
  <c r="C63" i="3"/>
  <c r="D63" i="3"/>
  <c r="E63" i="3"/>
  <c r="C64" i="3"/>
  <c r="D64" i="3"/>
  <c r="F64" i="3"/>
  <c r="I64" i="3"/>
  <c r="J64" i="3"/>
  <c r="K64" i="3"/>
  <c r="I66" i="3"/>
  <c r="C67" i="3"/>
  <c r="D67" i="3"/>
  <c r="E67" i="3"/>
  <c r="F67" i="3"/>
  <c r="I67" i="3"/>
  <c r="C68" i="3"/>
  <c r="D68" i="3"/>
  <c r="E68" i="3"/>
  <c r="C69" i="3"/>
  <c r="D69" i="3"/>
  <c r="E69" i="3"/>
  <c r="F69" i="3"/>
  <c r="H69" i="3"/>
  <c r="I69" i="3"/>
  <c r="C70" i="3"/>
  <c r="D70" i="3"/>
  <c r="E70" i="3"/>
  <c r="I70" i="3"/>
  <c r="C72" i="3"/>
  <c r="D72" i="3"/>
  <c r="E72" i="3"/>
  <c r="F72" i="3"/>
  <c r="I72" i="3"/>
  <c r="K72" i="3"/>
  <c r="K73" i="3"/>
  <c r="C76" i="3"/>
  <c r="D76" i="3"/>
  <c r="E76" i="3"/>
  <c r="F76" i="3"/>
  <c r="I76" i="3"/>
  <c r="K76" i="3"/>
  <c r="C77" i="3"/>
  <c r="D77" i="3"/>
  <c r="E77" i="3"/>
  <c r="F77" i="3"/>
  <c r="I77" i="3"/>
  <c r="J77" i="3"/>
  <c r="K77" i="3"/>
  <c r="C78" i="3"/>
  <c r="D78" i="3"/>
  <c r="E78" i="3"/>
  <c r="I78" i="3"/>
  <c r="C79" i="3"/>
  <c r="D79" i="3"/>
  <c r="E79" i="3"/>
  <c r="I79" i="3"/>
  <c r="C80" i="3"/>
  <c r="D80" i="3"/>
  <c r="E80" i="3"/>
  <c r="I80" i="3"/>
  <c r="K80" i="3"/>
  <c r="C81" i="3"/>
  <c r="D81" i="3"/>
  <c r="E81" i="3"/>
  <c r="I81" i="3"/>
  <c r="C82" i="3"/>
  <c r="D82" i="3"/>
  <c r="E82" i="3"/>
  <c r="F82" i="3"/>
  <c r="C83" i="3"/>
  <c r="D83" i="3"/>
  <c r="E83" i="3"/>
  <c r="F83" i="3"/>
  <c r="C84" i="3"/>
  <c r="D84" i="3"/>
  <c r="E84" i="3"/>
  <c r="C87" i="3"/>
  <c r="D87" i="3"/>
  <c r="E87" i="3"/>
  <c r="C88" i="3"/>
  <c r="E88" i="3"/>
  <c r="I88" i="3"/>
  <c r="C90" i="3"/>
  <c r="D90" i="3"/>
  <c r="E90" i="3"/>
  <c r="F90" i="3"/>
  <c r="I90" i="3"/>
  <c r="K90" i="3"/>
  <c r="C91" i="3"/>
  <c r="D91" i="3"/>
  <c r="F91" i="3"/>
  <c r="I91" i="3"/>
  <c r="K91" i="3"/>
  <c r="R91" i="3"/>
  <c r="C92" i="3"/>
  <c r="D92" i="3"/>
  <c r="E92" i="3"/>
  <c r="C93" i="3"/>
  <c r="D93" i="3"/>
  <c r="E93" i="3"/>
  <c r="H93" i="3"/>
  <c r="C94" i="3"/>
  <c r="D94" i="3"/>
  <c r="E94" i="3"/>
  <c r="F94" i="3"/>
  <c r="C95" i="3"/>
  <c r="D95" i="3"/>
  <c r="E95" i="3"/>
  <c r="K95" i="3"/>
  <c r="C96" i="3"/>
  <c r="D96" i="3"/>
  <c r="E96" i="3"/>
  <c r="I96" i="3"/>
  <c r="C97" i="3"/>
  <c r="D97" i="3"/>
  <c r="E97" i="3"/>
  <c r="F97" i="3"/>
  <c r="J97" i="3"/>
  <c r="C98" i="3"/>
  <c r="D98" i="3"/>
  <c r="E98" i="3"/>
  <c r="C99" i="3"/>
  <c r="D99" i="3"/>
  <c r="E99" i="3"/>
  <c r="I99" i="3"/>
  <c r="C100" i="3"/>
  <c r="D100" i="3"/>
  <c r="E100" i="3"/>
  <c r="F100" i="3"/>
  <c r="C104" i="3"/>
  <c r="D104" i="3"/>
  <c r="F104" i="3"/>
  <c r="H104" i="3"/>
  <c r="I104" i="3"/>
  <c r="M104" i="3"/>
  <c r="C106" i="3"/>
  <c r="D106" i="3"/>
  <c r="E106" i="3"/>
  <c r="I106" i="3"/>
  <c r="J106" i="3"/>
  <c r="Q106" i="3"/>
  <c r="C107" i="3"/>
  <c r="D107" i="3"/>
  <c r="E107" i="3"/>
  <c r="C108" i="3"/>
  <c r="D108" i="3"/>
  <c r="E108" i="3"/>
  <c r="C110" i="3"/>
  <c r="D110" i="3"/>
  <c r="E110" i="3"/>
  <c r="R110" i="3"/>
  <c r="C111" i="3"/>
  <c r="D111" i="3"/>
  <c r="E111" i="3"/>
  <c r="F111" i="3"/>
  <c r="I111" i="3"/>
  <c r="C112" i="3"/>
  <c r="D112" i="3"/>
  <c r="E112" i="3"/>
  <c r="F112" i="3"/>
  <c r="I112" i="3"/>
  <c r="C113" i="3"/>
  <c r="D113" i="3"/>
  <c r="E113" i="3"/>
  <c r="R113" i="3"/>
  <c r="C114" i="3"/>
  <c r="D114" i="3"/>
  <c r="C116" i="3"/>
  <c r="D116" i="3"/>
  <c r="E116" i="3"/>
  <c r="F116" i="3"/>
  <c r="C117" i="3"/>
  <c r="D117" i="3"/>
  <c r="E117" i="3"/>
  <c r="I117" i="3"/>
  <c r="C118" i="3"/>
  <c r="D118" i="3"/>
  <c r="E118" i="3"/>
  <c r="F118" i="3"/>
  <c r="I118" i="3"/>
  <c r="C119" i="3"/>
  <c r="D119" i="3"/>
  <c r="E119" i="3"/>
  <c r="F119" i="3"/>
  <c r="I119" i="3"/>
  <c r="C120" i="3"/>
  <c r="D120" i="3"/>
  <c r="E120" i="3"/>
  <c r="F120" i="3"/>
  <c r="I120" i="3"/>
  <c r="C121" i="3"/>
  <c r="D121" i="3"/>
  <c r="E121" i="3"/>
  <c r="F121" i="3"/>
  <c r="J121" i="3"/>
  <c r="K121" i="3"/>
  <c r="C122" i="3"/>
  <c r="D122" i="3"/>
  <c r="H122" i="3"/>
  <c r="K122" i="3"/>
  <c r="M122" i="3"/>
  <c r="R122" i="3"/>
  <c r="C123" i="3"/>
  <c r="D123" i="3"/>
  <c r="E123" i="3"/>
  <c r="F123" i="3"/>
  <c r="I123" i="3"/>
  <c r="K123" i="3"/>
  <c r="C124" i="3"/>
  <c r="D124" i="3"/>
  <c r="E124" i="3"/>
  <c r="I124" i="3"/>
  <c r="K124" i="3"/>
  <c r="C125" i="3"/>
  <c r="D125" i="3"/>
  <c r="E125" i="3"/>
  <c r="F125" i="3"/>
  <c r="I125" i="3"/>
  <c r="C128" i="3"/>
  <c r="D128" i="3"/>
  <c r="E128" i="3"/>
  <c r="I128" i="3"/>
  <c r="K128" i="3"/>
  <c r="C130" i="3"/>
  <c r="D130" i="3"/>
  <c r="E130" i="3"/>
  <c r="C131" i="3"/>
  <c r="D131" i="3"/>
  <c r="E131" i="3"/>
  <c r="I131" i="3"/>
  <c r="K131" i="3"/>
  <c r="C133" i="3"/>
  <c r="D133" i="3"/>
  <c r="E133" i="3"/>
  <c r="R133" i="3"/>
  <c r="C136" i="3"/>
  <c r="D136" i="3"/>
  <c r="E136" i="3"/>
  <c r="F136" i="3"/>
  <c r="I136" i="3"/>
  <c r="C137" i="3"/>
  <c r="D137" i="3"/>
  <c r="E137" i="3"/>
  <c r="F137" i="3"/>
  <c r="I137" i="3"/>
  <c r="C138" i="3"/>
  <c r="D138" i="3"/>
  <c r="E138" i="3"/>
  <c r="F138" i="3"/>
  <c r="K138" i="3"/>
  <c r="C139" i="3"/>
  <c r="D139" i="3"/>
  <c r="E139" i="3"/>
  <c r="I139" i="3"/>
  <c r="D141" i="3"/>
  <c r="E141" i="3"/>
  <c r="F141" i="3"/>
  <c r="I141" i="3"/>
  <c r="K141" i="3"/>
  <c r="C142" i="3"/>
  <c r="D142" i="3"/>
  <c r="E142" i="3"/>
  <c r="F142" i="3"/>
  <c r="I142" i="3"/>
  <c r="C143" i="3"/>
  <c r="D143" i="3"/>
  <c r="E143" i="3"/>
  <c r="F143" i="3"/>
  <c r="I143" i="3"/>
  <c r="C144" i="3"/>
  <c r="D144" i="3"/>
  <c r="E144" i="3"/>
  <c r="F144" i="3"/>
  <c r="I144" i="3"/>
  <c r="C145" i="3"/>
  <c r="D145" i="3"/>
  <c r="C146" i="3"/>
  <c r="D146" i="3"/>
  <c r="E146" i="3"/>
  <c r="I146" i="3"/>
  <c r="N146" i="3"/>
  <c r="C147" i="3"/>
  <c r="D147" i="3"/>
  <c r="E147" i="3"/>
  <c r="I147" i="3"/>
  <c r="C148" i="3"/>
  <c r="D148" i="3"/>
  <c r="E148" i="3"/>
  <c r="C149" i="3"/>
  <c r="D149" i="3"/>
  <c r="E149" i="3"/>
  <c r="I149" i="3"/>
  <c r="C150" i="3"/>
  <c r="D150" i="3"/>
  <c r="E150" i="3"/>
  <c r="I150" i="3"/>
  <c r="C151" i="3"/>
  <c r="E151" i="3"/>
  <c r="H151" i="3"/>
  <c r="C152" i="3"/>
  <c r="D152" i="3"/>
  <c r="E152" i="3"/>
  <c r="R152" i="3"/>
  <c r="C153" i="3"/>
  <c r="D153" i="3"/>
  <c r="E153" i="3"/>
  <c r="F153" i="3"/>
  <c r="K153" i="3"/>
  <c r="C154" i="3"/>
  <c r="D154" i="3"/>
  <c r="E154" i="3"/>
  <c r="F154" i="3"/>
  <c r="H154" i="3"/>
  <c r="C155" i="3"/>
  <c r="F155" i="3"/>
  <c r="I155" i="3"/>
  <c r="K155" i="3"/>
  <c r="C156" i="3"/>
  <c r="D156" i="3"/>
  <c r="E156" i="3"/>
  <c r="I156" i="3"/>
  <c r="K156" i="3"/>
  <c r="C157" i="3"/>
  <c r="D157" i="3"/>
  <c r="E157" i="3"/>
  <c r="I157" i="3"/>
  <c r="K157" i="3"/>
  <c r="C160" i="3"/>
  <c r="D160" i="3"/>
  <c r="E160" i="3"/>
  <c r="I160" i="3"/>
  <c r="J160" i="3"/>
  <c r="C161" i="3"/>
  <c r="D161" i="3"/>
  <c r="E161" i="3"/>
  <c r="J161" i="3"/>
  <c r="C162" i="3"/>
  <c r="D162" i="3"/>
  <c r="E162" i="3"/>
  <c r="F162" i="3"/>
  <c r="I162" i="3"/>
  <c r="K162" i="3"/>
  <c r="F205" i="7"/>
  <c r="F203" i="7"/>
  <c r="F172" i="7"/>
  <c r="F160" i="7"/>
  <c r="F137" i="7"/>
  <c r="F127" i="7"/>
  <c r="F117" i="7"/>
  <c r="P7" i="7"/>
  <c r="F79" i="7"/>
  <c r="J1" i="35"/>
  <c r="F64" i="7"/>
  <c r="S2" i="32"/>
  <c r="F49" i="7"/>
  <c r="F40" i="7"/>
  <c r="B9" i="5" a="1"/>
  <c r="C35" i="8"/>
  <c r="C34" i="8"/>
  <c r="D34" i="8" s="1"/>
  <c r="E34" i="8" s="1"/>
  <c r="C33" i="8"/>
  <c r="D33" i="8" s="1"/>
  <c r="C31" i="8"/>
  <c r="D31" i="8" s="1"/>
  <c r="E31" i="8" s="1"/>
  <c r="C30" i="8"/>
  <c r="D30" i="8" s="1"/>
  <c r="C28" i="8"/>
  <c r="D28" i="8" s="1"/>
  <c r="E28" i="8" s="1"/>
  <c r="C27" i="8"/>
  <c r="D27" i="8" s="1"/>
  <c r="C25" i="8"/>
  <c r="D25" i="8" s="1"/>
  <c r="E25" i="8" s="1"/>
  <c r="C23" i="8"/>
  <c r="D23" i="8" s="1"/>
  <c r="E23" i="8" s="1"/>
  <c r="C24" i="8"/>
  <c r="D24" i="8" s="1"/>
  <c r="E24" i="8" s="1"/>
  <c r="C26" i="8"/>
  <c r="D26" i="8" s="1"/>
  <c r="C29" i="8"/>
  <c r="D29" i="8" s="1"/>
  <c r="G1" i="31" a="1"/>
  <c r="J3" i="35" a="1"/>
  <c r="C3" i="8" a="1"/>
  <c r="U7" i="8"/>
  <c r="U8" i="8"/>
  <c r="U9" i="8"/>
  <c r="N31" i="8"/>
  <c r="N30" i="8"/>
  <c r="C32" i="8"/>
  <c r="D32" i="8" s="1"/>
  <c r="U11" i="8"/>
  <c r="U10" i="8"/>
  <c r="F680" i="2"/>
  <c r="G680" i="2" s="1"/>
  <c r="F679" i="2"/>
  <c r="G679" i="2" s="1"/>
  <c r="F678" i="2"/>
  <c r="G678" i="2" s="1"/>
  <c r="F677" i="2"/>
  <c r="G677" i="2" s="1"/>
  <c r="F676" i="2"/>
  <c r="G676" i="2" s="1"/>
  <c r="F675" i="2"/>
  <c r="G675" i="2" s="1"/>
  <c r="F674" i="2"/>
  <c r="G674" i="2" s="1"/>
  <c r="F673" i="2"/>
  <c r="G673" i="2" s="1"/>
  <c r="F672" i="2"/>
  <c r="G672" i="2" s="1"/>
  <c r="F671" i="2"/>
  <c r="G671" i="2" s="1"/>
  <c r="F670" i="2"/>
  <c r="G670" i="2" s="1"/>
  <c r="F669" i="2"/>
  <c r="G669" i="2" s="1"/>
  <c r="F668" i="2"/>
  <c r="G668" i="2" s="1"/>
  <c r="F667" i="2"/>
  <c r="G667" i="2" s="1"/>
  <c r="F666" i="2"/>
  <c r="G666" i="2" s="1"/>
  <c r="F665" i="2"/>
  <c r="G665" i="2" s="1"/>
  <c r="F664" i="2"/>
  <c r="G664" i="2" s="1"/>
  <c r="F663" i="2"/>
  <c r="G663" i="2" s="1"/>
  <c r="F662" i="2"/>
  <c r="G662" i="2" s="1"/>
  <c r="F661" i="2"/>
  <c r="G661" i="2" s="1"/>
  <c r="F660" i="2"/>
  <c r="G660" i="2"/>
  <c r="F659" i="2"/>
  <c r="G659" i="2" s="1"/>
  <c r="F658" i="2"/>
  <c r="G658" i="2" s="1"/>
  <c r="F657" i="2"/>
  <c r="G657" i="2" s="1"/>
  <c r="F656" i="2"/>
  <c r="G656" i="2" s="1"/>
  <c r="F655" i="2"/>
  <c r="G655" i="2" s="1"/>
  <c r="F654" i="2"/>
  <c r="G654" i="2" s="1"/>
  <c r="F653" i="2"/>
  <c r="G653" i="2" s="1"/>
  <c r="F652" i="2"/>
  <c r="G652" i="2" s="1"/>
  <c r="F651" i="2"/>
  <c r="G651" i="2" s="1"/>
  <c r="F650" i="2"/>
  <c r="G650" i="2" s="1"/>
  <c r="F649" i="2"/>
  <c r="G649" i="2" s="1"/>
  <c r="F648" i="2"/>
  <c r="G648" i="2" s="1"/>
  <c r="F647" i="2"/>
  <c r="G647" i="2" s="1"/>
  <c r="F646" i="2"/>
  <c r="G646" i="2" s="1"/>
  <c r="F645" i="2"/>
  <c r="G645" i="2" s="1"/>
  <c r="F644" i="2"/>
  <c r="G644" i="2" s="1"/>
  <c r="F643" i="2"/>
  <c r="G643" i="2" s="1"/>
  <c r="F642" i="2"/>
  <c r="G642" i="2" s="1"/>
  <c r="F641" i="2"/>
  <c r="G641" i="2" s="1"/>
  <c r="F640" i="2"/>
  <c r="G640" i="2" s="1"/>
  <c r="F639" i="2"/>
  <c r="G639" i="2" s="1"/>
  <c r="F638" i="2"/>
  <c r="G638" i="2" s="1"/>
  <c r="F637" i="2"/>
  <c r="G637" i="2" s="1"/>
  <c r="F636" i="2"/>
  <c r="G636" i="2" s="1"/>
  <c r="F635" i="2"/>
  <c r="G635" i="2" s="1"/>
  <c r="F634" i="2"/>
  <c r="G634" i="2" s="1"/>
  <c r="F633" i="2"/>
  <c r="G633" i="2" s="1"/>
  <c r="F632" i="2"/>
  <c r="G632" i="2" s="1"/>
  <c r="F631" i="2"/>
  <c r="G631" i="2" s="1"/>
  <c r="F630" i="2"/>
  <c r="G630" i="2" s="1"/>
  <c r="F629" i="2"/>
  <c r="G629" i="2" s="1"/>
  <c r="F628" i="2"/>
  <c r="G628" i="2" s="1"/>
  <c r="F627" i="2"/>
  <c r="G627" i="2" s="1"/>
  <c r="F626" i="2"/>
  <c r="G626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G620" i="2" s="1"/>
  <c r="F619" i="2"/>
  <c r="G619" i="2" s="1"/>
  <c r="F618" i="2"/>
  <c r="G618" i="2" s="1"/>
  <c r="F617" i="2"/>
  <c r="G617" i="2" s="1"/>
  <c r="F616" i="2"/>
  <c r="G616" i="2" s="1"/>
  <c r="F615" i="2"/>
  <c r="G615" i="2" s="1"/>
  <c r="F614" i="2"/>
  <c r="G614" i="2" s="1"/>
  <c r="F613" i="2"/>
  <c r="G613" i="2" s="1"/>
  <c r="F612" i="2"/>
  <c r="G612" i="2" s="1"/>
  <c r="F611" i="2"/>
  <c r="G611" i="2" s="1"/>
  <c r="F610" i="2"/>
  <c r="G610" i="2" s="1"/>
  <c r="F609" i="2"/>
  <c r="G609" i="2" s="1"/>
  <c r="F608" i="2"/>
  <c r="G608" i="2" s="1"/>
  <c r="F607" i="2"/>
  <c r="G607" i="2" s="1"/>
  <c r="F606" i="2"/>
  <c r="G606" i="2" s="1"/>
  <c r="F603" i="2"/>
  <c r="G603" i="2" s="1"/>
  <c r="F602" i="2"/>
  <c r="G602" i="2" s="1"/>
  <c r="F601" i="2"/>
  <c r="G601" i="2" s="1"/>
  <c r="F600" i="2"/>
  <c r="G600" i="2" s="1"/>
  <c r="F599" i="2"/>
  <c r="G599" i="2" s="1"/>
  <c r="F598" i="2"/>
  <c r="G598" i="2" s="1"/>
  <c r="F597" i="2"/>
  <c r="G597" i="2" s="1"/>
  <c r="F596" i="2"/>
  <c r="G596" i="2" s="1"/>
  <c r="F595" i="2"/>
  <c r="G595" i="2" s="1"/>
  <c r="F594" i="2"/>
  <c r="G594" i="2" s="1"/>
  <c r="F593" i="2"/>
  <c r="G593" i="2" s="1"/>
  <c r="F592" i="2"/>
  <c r="G592" i="2" s="1"/>
  <c r="F591" i="2"/>
  <c r="G591" i="2" s="1"/>
  <c r="F590" i="2"/>
  <c r="G590" i="2" s="1"/>
  <c r="F589" i="2"/>
  <c r="G589" i="2" s="1"/>
  <c r="F588" i="2"/>
  <c r="G588" i="2" s="1"/>
  <c r="F587" i="2"/>
  <c r="G587" i="2" s="1"/>
  <c r="F586" i="2"/>
  <c r="G586" i="2" s="1"/>
  <c r="F585" i="2"/>
  <c r="G585" i="2" s="1"/>
  <c r="F584" i="2"/>
  <c r="G584" i="2" s="1"/>
  <c r="F583" i="2"/>
  <c r="G583" i="2" s="1"/>
  <c r="F582" i="2"/>
  <c r="G582" i="2" s="1"/>
  <c r="F581" i="2"/>
  <c r="G581" i="2" s="1"/>
  <c r="F580" i="2"/>
  <c r="G580" i="2" s="1"/>
  <c r="F579" i="2"/>
  <c r="G579" i="2" s="1"/>
  <c r="F578" i="2"/>
  <c r="G578" i="2" s="1"/>
  <c r="F577" i="2"/>
  <c r="G577" i="2" s="1"/>
  <c r="F576" i="2"/>
  <c r="G576" i="2" s="1"/>
  <c r="F575" i="2"/>
  <c r="G575" i="2" s="1"/>
  <c r="F574" i="2"/>
  <c r="G574" i="2" s="1"/>
  <c r="F573" i="2"/>
  <c r="G573" i="2" s="1"/>
  <c r="F572" i="2"/>
  <c r="G572" i="2" s="1"/>
  <c r="F571" i="2"/>
  <c r="G571" i="2" s="1"/>
  <c r="F570" i="2"/>
  <c r="G570" i="2" s="1"/>
  <c r="F569" i="2"/>
  <c r="G569" i="2" s="1"/>
  <c r="F568" i="2"/>
  <c r="G568" i="2" s="1"/>
  <c r="F567" i="2"/>
  <c r="G567" i="2" s="1"/>
  <c r="F566" i="2"/>
  <c r="G566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55" i="2"/>
  <c r="G555" i="2" s="1"/>
  <c r="F554" i="2"/>
  <c r="G554" i="2" s="1"/>
  <c r="F553" i="2"/>
  <c r="G553" i="2" s="1"/>
  <c r="F552" i="2"/>
  <c r="G552" i="2" s="1"/>
  <c r="F551" i="2"/>
  <c r="F550" i="2"/>
  <c r="G550" i="2" s="1"/>
  <c r="F549" i="2"/>
  <c r="G549" i="2" s="1"/>
  <c r="F548" i="2"/>
  <c r="G548" i="2" s="1"/>
  <c r="F547" i="2"/>
  <c r="G547" i="2" s="1"/>
  <c r="F546" i="2"/>
  <c r="G546" i="2" s="1"/>
  <c r="F545" i="2"/>
  <c r="G545" i="2" s="1"/>
  <c r="F544" i="2"/>
  <c r="G544" i="2" s="1"/>
  <c r="F543" i="2"/>
  <c r="G543" i="2" s="1"/>
  <c r="F542" i="2"/>
  <c r="G542" i="2" s="1"/>
  <c r="F541" i="2"/>
  <c r="G541" i="2" s="1"/>
  <c r="F540" i="2"/>
  <c r="G540" i="2" s="1"/>
  <c r="F539" i="2"/>
  <c r="G539" i="2" s="1"/>
  <c r="F538" i="2"/>
  <c r="G538" i="2" s="1"/>
  <c r="F537" i="2"/>
  <c r="G537" i="2" s="1"/>
  <c r="F536" i="2"/>
  <c r="G536" i="2" s="1"/>
  <c r="F535" i="2"/>
  <c r="G535" i="2" s="1"/>
  <c r="F534" i="2"/>
  <c r="G534" i="2" s="1"/>
  <c r="F533" i="2"/>
  <c r="G533" i="2" s="1"/>
  <c r="F532" i="2"/>
  <c r="G532" i="2" s="1"/>
  <c r="F531" i="2"/>
  <c r="G531" i="2" s="1"/>
  <c r="F530" i="2"/>
  <c r="G530" i="2" s="1"/>
  <c r="F529" i="2"/>
  <c r="G529" i="2" s="1"/>
  <c r="F528" i="2"/>
  <c r="G528" i="2" s="1"/>
  <c r="F527" i="2"/>
  <c r="G527" i="2" s="1"/>
  <c r="F526" i="2"/>
  <c r="G526" i="2" s="1"/>
  <c r="F525" i="2"/>
  <c r="G525" i="2" s="1"/>
  <c r="F524" i="2"/>
  <c r="G524" i="2" s="1"/>
  <c r="F523" i="2"/>
  <c r="G523" i="2" s="1"/>
  <c r="F522" i="2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6" i="2"/>
  <c r="G516" i="2" s="1"/>
  <c r="F515" i="2"/>
  <c r="G515" i="2" s="1"/>
  <c r="F514" i="2"/>
  <c r="G514" i="2" s="1"/>
  <c r="F513" i="2"/>
  <c r="G513" i="2" s="1"/>
  <c r="F512" i="2"/>
  <c r="G512" i="2" s="1"/>
  <c r="F511" i="2"/>
  <c r="G511" i="2" s="1"/>
  <c r="F510" i="2"/>
  <c r="G510" i="2" s="1"/>
  <c r="F509" i="2"/>
  <c r="G509" i="2" s="1"/>
  <c r="F508" i="2"/>
  <c r="G508" i="2" s="1"/>
  <c r="F507" i="2"/>
  <c r="G507" i="2" s="1"/>
  <c r="F506" i="2"/>
  <c r="G506" i="2" s="1"/>
  <c r="F505" i="2"/>
  <c r="G505" i="2" s="1"/>
  <c r="F504" i="2"/>
  <c r="G504" i="2" s="1"/>
  <c r="F503" i="2"/>
  <c r="G503" i="2" s="1"/>
  <c r="F502" i="2"/>
  <c r="G502" i="2" s="1"/>
  <c r="F501" i="2"/>
  <c r="G501" i="2" s="1"/>
  <c r="F500" i="2"/>
  <c r="G500" i="2" s="1"/>
  <c r="F499" i="2"/>
  <c r="G499" i="2" s="1"/>
  <c r="F498" i="2"/>
  <c r="G498" i="2" s="1"/>
  <c r="F497" i="2"/>
  <c r="G497" i="2" s="1"/>
  <c r="F496" i="2"/>
  <c r="G496" i="2" s="1"/>
  <c r="F495" i="2"/>
  <c r="G495" i="2" s="1"/>
  <c r="F494" i="2"/>
  <c r="G494" i="2" s="1"/>
  <c r="F493" i="2"/>
  <c r="G493" i="2" s="1"/>
  <c r="F492" i="2"/>
  <c r="G492" i="2" s="1"/>
  <c r="F491" i="2"/>
  <c r="G491" i="2" s="1"/>
  <c r="F490" i="2"/>
  <c r="G490" i="2" s="1"/>
  <c r="F489" i="2"/>
  <c r="G489" i="2" s="1"/>
  <c r="F488" i="2"/>
  <c r="G488" i="2" s="1"/>
  <c r="F487" i="2"/>
  <c r="G487" i="2" s="1"/>
  <c r="F486" i="2"/>
  <c r="G486" i="2" s="1"/>
  <c r="F485" i="2"/>
  <c r="G485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F478" i="2"/>
  <c r="G478" i="2" s="1"/>
  <c r="F477" i="2"/>
  <c r="G477" i="2" s="1"/>
  <c r="F476" i="2"/>
  <c r="G476" i="2" s="1"/>
  <c r="F475" i="2"/>
  <c r="G475" i="2" s="1"/>
  <c r="F474" i="2"/>
  <c r="G474" i="2" s="1"/>
  <c r="F473" i="2"/>
  <c r="G473" i="2" s="1"/>
  <c r="F472" i="2"/>
  <c r="G472" i="2" s="1"/>
  <c r="F471" i="2"/>
  <c r="G471" i="2" s="1"/>
  <c r="F470" i="2"/>
  <c r="G470" i="2" s="1"/>
  <c r="F469" i="2"/>
  <c r="G469" i="2" s="1"/>
  <c r="F468" i="2"/>
  <c r="G468" i="2" s="1"/>
  <c r="F467" i="2"/>
  <c r="G467" i="2" s="1"/>
  <c r="F466" i="2"/>
  <c r="G466" i="2" s="1"/>
  <c r="F465" i="2"/>
  <c r="G465" i="2" s="1"/>
  <c r="F464" i="2"/>
  <c r="G464" i="2" s="1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F450" i="2"/>
  <c r="G450" i="2" s="1"/>
  <c r="F449" i="2"/>
  <c r="G449" i="2" s="1"/>
  <c r="F448" i="2"/>
  <c r="G448" i="2" s="1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F435" i="2"/>
  <c r="G435" i="2" s="1"/>
  <c r="F434" i="2"/>
  <c r="G434" i="2" s="1"/>
  <c r="F433" i="2"/>
  <c r="G433" i="2" s="1"/>
  <c r="F432" i="2"/>
  <c r="G432" i="2" s="1"/>
  <c r="F431" i="2"/>
  <c r="G431" i="2" s="1"/>
  <c r="F430" i="2"/>
  <c r="G430" i="2" s="1"/>
  <c r="F429" i="2"/>
  <c r="G429" i="2" s="1"/>
  <c r="F428" i="2"/>
  <c r="G428" i="2"/>
  <c r="F427" i="2"/>
  <c r="G427" i="2" s="1"/>
  <c r="F426" i="2"/>
  <c r="G426" i="2" s="1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F417" i="2"/>
  <c r="G417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F402" i="2"/>
  <c r="G402" i="2" s="1"/>
  <c r="F401" i="2"/>
  <c r="G401" i="2" s="1"/>
  <c r="F400" i="2"/>
  <c r="G400" i="2" s="1"/>
  <c r="F399" i="2"/>
  <c r="G399" i="2" s="1"/>
  <c r="F398" i="2"/>
  <c r="G398" i="2" s="1"/>
  <c r="F397" i="2"/>
  <c r="G397" i="2" s="1"/>
  <c r="F396" i="2"/>
  <c r="G396" i="2" s="1"/>
  <c r="F395" i="2"/>
  <c r="G395" i="2" s="1"/>
  <c r="F394" i="2"/>
  <c r="G394" i="2" s="1"/>
  <c r="F393" i="2"/>
  <c r="G393" i="2" s="1"/>
  <c r="F392" i="2"/>
  <c r="G392" i="2" s="1"/>
  <c r="F391" i="2"/>
  <c r="G391" i="2" s="1"/>
  <c r="F390" i="2"/>
  <c r="G390" i="2" s="1"/>
  <c r="F389" i="2"/>
  <c r="G389" i="2" s="1"/>
  <c r="F388" i="2"/>
  <c r="G388" i="2" s="1"/>
  <c r="F387" i="2"/>
  <c r="G387" i="2" s="1"/>
  <c r="F386" i="2"/>
  <c r="G386" i="2" s="1"/>
  <c r="F385" i="2"/>
  <c r="G385" i="2" s="1"/>
  <c r="F384" i="2"/>
  <c r="G384" i="2" s="1"/>
  <c r="F383" i="2"/>
  <c r="G383" i="2" s="1"/>
  <c r="F382" i="2"/>
  <c r="G382" i="2" s="1"/>
  <c r="F381" i="2"/>
  <c r="G381" i="2" s="1"/>
  <c r="F380" i="2"/>
  <c r="G380" i="2" s="1"/>
  <c r="F379" i="2"/>
  <c r="G379" i="2" s="1"/>
  <c r="F378" i="2"/>
  <c r="G378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71" i="2"/>
  <c r="G371" i="2" s="1"/>
  <c r="F370" i="2"/>
  <c r="G370" i="2" s="1"/>
  <c r="F369" i="2"/>
  <c r="G369" i="2" s="1"/>
  <c r="F368" i="2"/>
  <c r="G368" i="2" s="1"/>
  <c r="F367" i="2"/>
  <c r="G367" i="2" s="1"/>
  <c r="F366" i="2"/>
  <c r="G366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F359" i="2"/>
  <c r="G359" i="2" s="1"/>
  <c r="F358" i="2"/>
  <c r="G358" i="2" s="1"/>
  <c r="F357" i="2"/>
  <c r="G357" i="2" s="1"/>
  <c r="F356" i="2"/>
  <c r="G356" i="2" s="1"/>
  <c r="F355" i="2"/>
  <c r="G355" i="2" s="1"/>
  <c r="F354" i="2"/>
  <c r="G354" i="2" s="1"/>
  <c r="F353" i="2"/>
  <c r="G353" i="2" s="1"/>
  <c r="F352" i="2"/>
  <c r="G352" i="2" s="1"/>
  <c r="F351" i="2"/>
  <c r="G351" i="2" s="1"/>
  <c r="F350" i="2"/>
  <c r="G350" i="2" s="1"/>
  <c r="F349" i="2"/>
  <c r="G349" i="2" s="1"/>
  <c r="F348" i="2"/>
  <c r="G348" i="2" s="1"/>
  <c r="F347" i="2"/>
  <c r="G347" i="2" s="1"/>
  <c r="F346" i="2"/>
  <c r="G346" i="2" s="1"/>
  <c r="F345" i="2"/>
  <c r="G345" i="2" s="1"/>
  <c r="F344" i="2"/>
  <c r="G344" i="2" s="1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7" i="2"/>
  <c r="G337" i="2" s="1"/>
  <c r="F336" i="2"/>
  <c r="G336" i="2" s="1"/>
  <c r="F335" i="2"/>
  <c r="G335" i="2" s="1"/>
  <c r="F334" i="2"/>
  <c r="G334" i="2" s="1"/>
  <c r="F333" i="2"/>
  <c r="G333" i="2" s="1"/>
  <c r="F332" i="2"/>
  <c r="G332" i="2" s="1"/>
  <c r="F331" i="2"/>
  <c r="G331" i="2" s="1"/>
  <c r="F330" i="2"/>
  <c r="G330" i="2" s="1"/>
  <c r="F329" i="2"/>
  <c r="G329" i="2" s="1"/>
  <c r="F328" i="2"/>
  <c r="G328" i="2" s="1"/>
  <c r="F327" i="2"/>
  <c r="G327" i="2" s="1"/>
  <c r="F326" i="2"/>
  <c r="G326" i="2" s="1"/>
  <c r="F325" i="2"/>
  <c r="G325" i="2" s="1"/>
  <c r="F324" i="2"/>
  <c r="G324" i="2" s="1"/>
  <c r="F323" i="2"/>
  <c r="G323" i="2" s="1"/>
  <c r="F322" i="2"/>
  <c r="G322" i="2" s="1"/>
  <c r="F321" i="2"/>
  <c r="G321" i="2" s="1"/>
  <c r="F320" i="2"/>
  <c r="G320" i="2" s="1"/>
  <c r="F319" i="2"/>
  <c r="G319" i="2" s="1"/>
  <c r="F318" i="2"/>
  <c r="G318" i="2" s="1"/>
  <c r="F317" i="2"/>
  <c r="G317" i="2" s="1"/>
  <c r="F316" i="2"/>
  <c r="G316" i="2" s="1"/>
  <c r="F315" i="2"/>
  <c r="G315" i="2" s="1"/>
  <c r="F314" i="2"/>
  <c r="G314" i="2" s="1"/>
  <c r="F313" i="2"/>
  <c r="G313" i="2" s="1"/>
  <c r="F312" i="2"/>
  <c r="G312" i="2" s="1"/>
  <c r="F311" i="2"/>
  <c r="G311" i="2" s="1"/>
  <c r="F310" i="2"/>
  <c r="G310" i="2" s="1"/>
  <c r="F309" i="2"/>
  <c r="G309" i="2" s="1"/>
  <c r="F308" i="2"/>
  <c r="G308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F301" i="2"/>
  <c r="G301" i="2" s="1"/>
  <c r="F300" i="2"/>
  <c r="G300" i="2" s="1"/>
  <c r="F299" i="2"/>
  <c r="G299" i="2" s="1"/>
  <c r="F298" i="2"/>
  <c r="G298" i="2" s="1"/>
  <c r="F297" i="2"/>
  <c r="G297" i="2" s="1"/>
  <c r="F296" i="2"/>
  <c r="G296" i="2" s="1"/>
  <c r="F295" i="2"/>
  <c r="G295" i="2" s="1"/>
  <c r="F294" i="2"/>
  <c r="G294" i="2" s="1"/>
  <c r="F293" i="2"/>
  <c r="G293" i="2" s="1"/>
  <c r="F292" i="2"/>
  <c r="G292" i="2" s="1"/>
  <c r="F291" i="2"/>
  <c r="G291" i="2" s="1"/>
  <c r="F290" i="2"/>
  <c r="G290" i="2" s="1"/>
  <c r="F289" i="2"/>
  <c r="G289" i="2" s="1"/>
  <c r="F288" i="2"/>
  <c r="G288" i="2" s="1"/>
  <c r="F287" i="2"/>
  <c r="G287" i="2" s="1"/>
  <c r="F286" i="2"/>
  <c r="G286" i="2" s="1"/>
  <c r="F285" i="2"/>
  <c r="G285" i="2" s="1"/>
  <c r="F284" i="2"/>
  <c r="G284" i="2" s="1"/>
  <c r="F283" i="2"/>
  <c r="G283" i="2" s="1"/>
  <c r="F282" i="2"/>
  <c r="G282" i="2" s="1"/>
  <c r="F281" i="2"/>
  <c r="G281" i="2" s="1"/>
  <c r="F280" i="2"/>
  <c r="G280" i="2" s="1"/>
  <c r="F279" i="2"/>
  <c r="G279" i="2" s="1"/>
  <c r="F278" i="2"/>
  <c r="G278" i="2" s="1"/>
  <c r="F277" i="2"/>
  <c r="G277" i="2" s="1"/>
  <c r="F276" i="2"/>
  <c r="G276" i="2" s="1"/>
  <c r="F275" i="2"/>
  <c r="G275" i="2" s="1"/>
  <c r="F274" i="2"/>
  <c r="G274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8" i="2"/>
  <c r="G258" i="2" s="1"/>
  <c r="F257" i="2"/>
  <c r="G257" i="2" s="1"/>
  <c r="F256" i="2"/>
  <c r="G256" i="2" s="1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 s="1"/>
  <c r="F246" i="2"/>
  <c r="G246" i="2" s="1"/>
  <c r="F245" i="2"/>
  <c r="G245" i="2" s="1"/>
  <c r="F244" i="2"/>
  <c r="G244" i="2" s="1"/>
  <c r="F243" i="2"/>
  <c r="G243" i="2" s="1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I1061" i="1"/>
  <c r="J1061" i="1" s="1"/>
  <c r="I573" i="1"/>
  <c r="J573" i="1" s="1"/>
  <c r="I1088" i="1"/>
  <c r="J1088" i="1" s="1"/>
  <c r="I1059" i="1"/>
  <c r="J1059" i="1" s="1"/>
  <c r="I303" i="1"/>
  <c r="J303" i="1" s="1"/>
  <c r="I952" i="1"/>
  <c r="J952" i="1" s="1"/>
  <c r="I1062" i="1"/>
  <c r="I574" i="1"/>
  <c r="J574" i="1" s="1"/>
  <c r="I305" i="1"/>
  <c r="I1115" i="1"/>
  <c r="J1115" i="1" s="1"/>
  <c r="I1116" i="1"/>
  <c r="J1116" i="1" s="1"/>
  <c r="G1117" i="1"/>
  <c r="I936" i="1"/>
  <c r="J936" i="1" s="1"/>
  <c r="I1060" i="1"/>
  <c r="J1060" i="1" s="1"/>
  <c r="I301" i="1"/>
  <c r="J301" i="1" s="1"/>
  <c r="G428" i="1"/>
  <c r="I951" i="1"/>
  <c r="J951" i="1" s="1"/>
  <c r="N29" i="8"/>
  <c r="J3" i="35"/>
  <c r="C3" i="8"/>
  <c r="G1" i="31"/>
  <c r="B9" i="5"/>
  <c r="N26" i="8" l="1"/>
  <c r="N28" i="8"/>
  <c r="N25" i="8"/>
  <c r="N27" i="8"/>
  <c r="G551" i="2"/>
  <c r="J1062" i="1"/>
  <c r="E27" i="8"/>
  <c r="C3" i="5"/>
  <c r="B5" i="37" a="1"/>
  <c r="E63" i="37" s="1"/>
  <c r="F63" i="37" s="1"/>
  <c r="G63" i="37" s="1"/>
  <c r="E32" i="8"/>
  <c r="E29" i="8"/>
  <c r="E30" i="8"/>
  <c r="E26" i="8"/>
  <c r="B5" i="32" a="1"/>
  <c r="E60" i="32" s="1"/>
  <c r="F60" i="32" s="1"/>
  <c r="D65" i="32" s="1"/>
  <c r="E33" i="8"/>
  <c r="C36" i="8"/>
  <c r="D35" i="8"/>
  <c r="E35" i="8" s="1"/>
  <c r="I304" i="1"/>
  <c r="J304" i="1" s="1"/>
  <c r="G1119" i="1"/>
  <c r="J5" i="32" s="1" a="1"/>
  <c r="J5" i="32" s="1"/>
  <c r="I937" i="1"/>
  <c r="J937" i="1" s="1"/>
  <c r="G299" i="1"/>
  <c r="G576" i="1"/>
  <c r="J4" i="5" a="1"/>
  <c r="J4" i="5" s="1"/>
  <c r="P10" i="8"/>
  <c r="U13" i="8"/>
  <c r="U16" i="8"/>
  <c r="G7" i="8"/>
  <c r="R7" i="8"/>
  <c r="G4" i="8"/>
  <c r="M8" i="8"/>
  <c r="E4" i="8"/>
  <c r="G8" i="8"/>
  <c r="T4" i="8"/>
  <c r="M7" i="8"/>
  <c r="I5" i="8"/>
  <c r="O8" i="8"/>
  <c r="H8" i="8"/>
  <c r="A2" i="31"/>
  <c r="D10" i="8"/>
  <c r="D5" i="8"/>
  <c r="E7" i="8"/>
  <c r="S7" i="8"/>
  <c r="T11" i="8"/>
  <c r="M9" i="8"/>
  <c r="S5" i="8"/>
  <c r="F10" i="8"/>
  <c r="R8" i="8"/>
  <c r="S8" i="8"/>
  <c r="F2" i="31"/>
  <c r="G6" i="8" s="1"/>
  <c r="I8" i="8"/>
  <c r="M11" i="8"/>
  <c r="E9" i="8"/>
  <c r="P5" i="8"/>
  <c r="F11" i="8"/>
  <c r="R9" i="8"/>
  <c r="F8" i="8"/>
  <c r="I11" i="8"/>
  <c r="J34" i="1"/>
  <c r="U15" i="8"/>
  <c r="N9" i="8"/>
  <c r="R4" i="8"/>
  <c r="J4" i="8"/>
  <c r="N7" i="8"/>
  <c r="C9" i="8"/>
  <c r="J9" i="8"/>
  <c r="U12" i="8"/>
  <c r="U14" i="8"/>
  <c r="D4" i="8"/>
  <c r="N11" i="8"/>
  <c r="L4" i="8"/>
  <c r="R10" i="8"/>
  <c r="T8" i="8"/>
  <c r="H9" i="8"/>
  <c r="L8" i="8"/>
  <c r="D11" i="8"/>
  <c r="L7" i="8"/>
  <c r="T5" i="8"/>
  <c r="E11" i="8"/>
  <c r="I4" i="8"/>
  <c r="K4" i="8"/>
  <c r="D9" i="8"/>
  <c r="F5" i="8"/>
  <c r="I7" i="8"/>
  <c r="J8" i="8"/>
  <c r="S11" i="8"/>
  <c r="S4" i="8"/>
  <c r="N4" i="8"/>
  <c r="O5" i="8"/>
  <c r="T9" i="8"/>
  <c r="O10" i="8"/>
  <c r="C10" i="8"/>
  <c r="Q4" i="8"/>
  <c r="K11" i="8"/>
  <c r="S9" i="8"/>
  <c r="G9" i="8"/>
  <c r="I10" i="8"/>
  <c r="Q10" i="8"/>
  <c r="H7" i="8"/>
  <c r="F4" i="8"/>
  <c r="H11" i="8"/>
  <c r="Q11" i="8"/>
  <c r="C5" i="8"/>
  <c r="K9" i="8"/>
  <c r="E10" i="8"/>
  <c r="Q9" i="8"/>
  <c r="O7" i="8"/>
  <c r="K7" i="8"/>
  <c r="L9" i="8"/>
  <c r="E5" i="8"/>
  <c r="T10" i="8"/>
  <c r="J5" i="8"/>
  <c r="T7" i="8"/>
  <c r="E8" i="8"/>
  <c r="F9" i="8"/>
  <c r="M10" i="8"/>
  <c r="L11" i="8"/>
  <c r="H5" i="8"/>
  <c r="J7" i="8"/>
  <c r="Q8" i="8"/>
  <c r="R11" i="8"/>
  <c r="D7" i="8"/>
  <c r="O9" i="8"/>
  <c r="G5" i="8"/>
  <c r="K8" i="8"/>
  <c r="N10" i="8"/>
  <c r="I9" i="8"/>
  <c r="Q5" i="8"/>
  <c r="M4" i="8"/>
  <c r="C7" i="8"/>
  <c r="G11" i="8"/>
  <c r="D8" i="8"/>
  <c r="P4" i="8"/>
  <c r="P8" i="8"/>
  <c r="S10" i="8"/>
  <c r="L10" i="8"/>
  <c r="H4" i="8"/>
  <c r="N5" i="8"/>
  <c r="C4" i="8"/>
  <c r="P9" i="8"/>
  <c r="P7" i="8"/>
  <c r="C11" i="8"/>
  <c r="R5" i="8"/>
  <c r="L5" i="8"/>
  <c r="K5" i="8"/>
  <c r="H10" i="8"/>
  <c r="G10" i="8"/>
  <c r="K10" i="8"/>
  <c r="C8" i="8"/>
  <c r="Q7" i="8"/>
  <c r="N8" i="8"/>
  <c r="M5" i="8"/>
  <c r="O4" i="8"/>
  <c r="J11" i="8"/>
  <c r="O11" i="8"/>
  <c r="F7" i="8"/>
  <c r="P11" i="8"/>
  <c r="J10" i="8"/>
  <c r="J5" i="37" a="1"/>
  <c r="J5" i="37" s="1"/>
  <c r="A4" i="35" a="1"/>
  <c r="J6" i="35" s="1" a="1"/>
  <c r="J6" i="35" s="1"/>
  <c r="J305" i="1"/>
  <c r="E2" i="31" l="1" a="1"/>
  <c r="G628" i="31" s="1" a="1"/>
  <c r="G628" i="31" s="1"/>
  <c r="C29" i="5"/>
  <c r="G688" i="31" a="1"/>
  <c r="G688" i="31" s="1"/>
  <c r="G328" i="31" a="1"/>
  <c r="G328" i="31" s="1"/>
  <c r="G343" i="31" a="1"/>
  <c r="G343" i="31" s="1"/>
  <c r="G737" i="31" a="1"/>
  <c r="G737" i="31" s="1"/>
  <c r="G500" i="31" a="1"/>
  <c r="G500" i="31" s="1"/>
  <c r="G819" i="31" a="1"/>
  <c r="G819" i="31" s="1"/>
  <c r="G820" i="31" a="1"/>
  <c r="G820" i="31" s="1"/>
  <c r="G148" i="31" a="1"/>
  <c r="G148" i="31" s="1"/>
  <c r="G209" i="31" a="1"/>
  <c r="G209" i="31" s="1"/>
  <c r="G444" i="31" a="1"/>
  <c r="G444" i="31" s="1"/>
  <c r="G452" i="31" a="1"/>
  <c r="G452" i="31" s="1"/>
  <c r="G476" i="31" a="1"/>
  <c r="G476" i="31" s="1"/>
  <c r="G355" i="31" a="1"/>
  <c r="G355" i="31" s="1"/>
  <c r="G371" i="31" a="1"/>
  <c r="G371" i="31" s="1"/>
  <c r="G440" i="31" a="1"/>
  <c r="G440" i="31" s="1"/>
  <c r="G548" i="31" a="1"/>
  <c r="G548" i="31" s="1"/>
  <c r="G1183" i="31" a="1"/>
  <c r="G1183" i="31" s="1"/>
  <c r="G652" i="31" a="1"/>
  <c r="G652" i="31" s="1"/>
  <c r="G387" i="31" a="1"/>
  <c r="G387" i="31" s="1"/>
  <c r="G989" i="31" a="1"/>
  <c r="G989" i="31" s="1"/>
  <c r="G824" i="31" a="1"/>
  <c r="G824" i="31" s="1"/>
  <c r="G147" i="31" a="1"/>
  <c r="G147" i="31" s="1"/>
  <c r="G182" i="31" a="1"/>
  <c r="G182" i="31" s="1"/>
  <c r="G233" i="31" a="1"/>
  <c r="G233" i="31" s="1"/>
  <c r="G438" i="31" a="1"/>
  <c r="G438" i="31" s="1"/>
  <c r="G752" i="31" a="1"/>
  <c r="G752" i="31" s="1"/>
  <c r="G783" i="31" a="1"/>
  <c r="G783" i="31" s="1"/>
  <c r="G663" i="31" a="1"/>
  <c r="G663" i="31" s="1"/>
  <c r="G987" i="31" a="1"/>
  <c r="G987" i="31" s="1"/>
  <c r="G904" i="31" a="1"/>
  <c r="G904" i="31" s="1"/>
  <c r="G747" i="31" a="1"/>
  <c r="G747" i="31" s="1"/>
  <c r="G857" i="31" a="1"/>
  <c r="G857" i="31" s="1"/>
  <c r="G278" i="31" a="1"/>
  <c r="G278" i="31" s="1"/>
  <c r="G808" i="31" a="1"/>
  <c r="G808" i="31" s="1"/>
  <c r="F6" i="8"/>
  <c r="T6" i="8"/>
  <c r="B5" i="37"/>
  <c r="B5" i="32"/>
  <c r="D66" i="32"/>
  <c r="D68" i="32" s="1"/>
  <c r="D3" i="5"/>
  <c r="E3" i="5" s="1"/>
  <c r="C6" i="8"/>
  <c r="E6" i="8"/>
  <c r="L6" i="8"/>
  <c r="D6" i="8"/>
  <c r="P6" i="8"/>
  <c r="Q6" i="8"/>
  <c r="R6" i="8"/>
  <c r="K6" i="8"/>
  <c r="N6" i="8"/>
  <c r="I6" i="8"/>
  <c r="D36" i="8"/>
  <c r="E36" i="8" s="1"/>
  <c r="F3" i="5"/>
  <c r="G833" i="31" a="1"/>
  <c r="G833" i="31" s="1"/>
  <c r="G761" i="31" a="1"/>
  <c r="G761" i="31" s="1"/>
  <c r="G759" i="31" a="1"/>
  <c r="G759" i="31" s="1"/>
  <c r="G1039" i="31" a="1"/>
  <c r="G1039" i="31" s="1"/>
  <c r="G1001" i="31" a="1"/>
  <c r="G1001" i="31" s="1"/>
  <c r="G965" i="31" a="1"/>
  <c r="G965" i="31" s="1"/>
  <c r="G588" i="31" a="1"/>
  <c r="G588" i="31" s="1"/>
  <c r="G544" i="31" a="1"/>
  <c r="G544" i="31" s="1"/>
  <c r="G879" i="31" a="1"/>
  <c r="G879" i="31" s="1"/>
  <c r="G940" i="31" a="1"/>
  <c r="G940" i="31" s="1"/>
  <c r="G297" i="31" a="1"/>
  <c r="G297" i="31" s="1"/>
  <c r="G738" i="31" a="1"/>
  <c r="G738" i="31" s="1"/>
  <c r="G988" i="31" a="1"/>
  <c r="G988" i="31" s="1"/>
  <c r="G651" i="31" a="1"/>
  <c r="G651" i="31" s="1"/>
  <c r="G976" i="31" a="1"/>
  <c r="G976" i="31" s="1"/>
  <c r="G975" i="31" a="1"/>
  <c r="G975" i="31" s="1"/>
  <c r="G782" i="31" a="1"/>
  <c r="G782" i="31" s="1"/>
  <c r="G843" i="31" a="1"/>
  <c r="G843" i="31" s="1"/>
  <c r="G966" i="31" a="1"/>
  <c r="G966" i="31" s="1"/>
  <c r="G929" i="31" a="1"/>
  <c r="G929" i="31" s="1"/>
  <c r="G927" i="31" a="1"/>
  <c r="G927" i="31" s="1"/>
  <c r="G868" i="31" a="1"/>
  <c r="G868" i="31" s="1"/>
  <c r="G867" i="31" a="1"/>
  <c r="G867" i="31" s="1"/>
  <c r="U17" i="8"/>
  <c r="C30" i="5" s="1"/>
  <c r="C31" i="5" s="1"/>
  <c r="H6" i="8"/>
  <c r="S6" i="8"/>
  <c r="O6" i="8"/>
  <c r="J6" i="8"/>
  <c r="M6" i="8"/>
  <c r="J52" i="35" a="1"/>
  <c r="J52" i="35" s="1"/>
  <c r="J20" i="35" a="1"/>
  <c r="J20" i="35" s="1"/>
  <c r="J76" i="35" a="1"/>
  <c r="J76" i="35" s="1"/>
  <c r="J15" i="35" a="1"/>
  <c r="J15" i="35" s="1"/>
  <c r="J44" i="35" a="1"/>
  <c r="J44" i="35" s="1"/>
  <c r="J13" i="35" a="1"/>
  <c r="J13" i="35" s="1"/>
  <c r="J33" i="35" a="1"/>
  <c r="J33" i="35" s="1"/>
  <c r="J60" i="35" a="1"/>
  <c r="J60" i="35" s="1"/>
  <c r="J55" i="35" a="1"/>
  <c r="J55" i="35" s="1"/>
  <c r="J58" i="35" a="1"/>
  <c r="J58" i="35" s="1"/>
  <c r="J16" i="35" a="1"/>
  <c r="J16" i="35" s="1"/>
  <c r="J80" i="35" a="1"/>
  <c r="J80" i="35" s="1"/>
  <c r="J102" i="35" a="1"/>
  <c r="J102" i="35" s="1"/>
  <c r="J85" i="35" a="1"/>
  <c r="J85" i="35" s="1"/>
  <c r="J63" i="35" a="1"/>
  <c r="J63" i="35" s="1"/>
  <c r="J30" i="35" a="1"/>
  <c r="J30" i="35" s="1"/>
  <c r="J8" i="35" a="1"/>
  <c r="J8" i="35" s="1"/>
  <c r="J18" i="35" a="1"/>
  <c r="J18" i="35" s="1"/>
  <c r="J53" i="35" a="1"/>
  <c r="J53" i="35" s="1"/>
  <c r="J78" i="35" a="1"/>
  <c r="J78" i="35" s="1"/>
  <c r="J66" i="35" a="1"/>
  <c r="J66" i="35" s="1"/>
  <c r="J14" i="35" a="1"/>
  <c r="J14" i="35" s="1"/>
  <c r="J106" i="35" a="1"/>
  <c r="J106" i="35" s="1"/>
  <c r="J95" i="35" a="1"/>
  <c r="J95" i="35" s="1"/>
  <c r="J19" i="35" a="1"/>
  <c r="J19" i="35" s="1"/>
  <c r="J72" i="35" a="1"/>
  <c r="J72" i="35" s="1"/>
  <c r="J45" i="35" a="1"/>
  <c r="J45" i="35" s="1"/>
  <c r="J105" i="35" a="1"/>
  <c r="J105" i="35" s="1"/>
  <c r="J77" i="35" a="1"/>
  <c r="J77" i="35" s="1"/>
  <c r="J64" i="35" a="1"/>
  <c r="J64" i="35" s="1"/>
  <c r="J54" i="35" a="1"/>
  <c r="J54" i="35" s="1"/>
  <c r="J37" i="35" a="1"/>
  <c r="J37" i="35" s="1"/>
  <c r="J73" i="35" a="1"/>
  <c r="J73" i="35" s="1"/>
  <c r="J62" i="35" a="1"/>
  <c r="J62" i="35" s="1"/>
  <c r="J49" i="35" a="1"/>
  <c r="J49" i="35" s="1"/>
  <c r="J23" i="35" a="1"/>
  <c r="J23" i="35" s="1"/>
  <c r="J87" i="35" a="1"/>
  <c r="J87" i="35" s="1"/>
  <c r="J5" i="35" a="1"/>
  <c r="J5" i="35" s="1"/>
  <c r="J25" i="35" a="1"/>
  <c r="J25" i="35" s="1"/>
  <c r="J28" i="35" a="1"/>
  <c r="J28" i="35" s="1"/>
  <c r="J81" i="35" a="1"/>
  <c r="J81" i="35" s="1"/>
  <c r="J74" i="35" a="1"/>
  <c r="J74" i="35" s="1"/>
  <c r="J94" i="35" a="1"/>
  <c r="J94" i="35" s="1"/>
  <c r="J88" i="35" a="1"/>
  <c r="J88" i="35" s="1"/>
  <c r="J10" i="35" a="1"/>
  <c r="J10" i="35" s="1"/>
  <c r="J96" i="35" a="1"/>
  <c r="J96" i="35" s="1"/>
  <c r="J93" i="35" a="1"/>
  <c r="J93" i="35" s="1"/>
  <c r="J100" i="35" a="1"/>
  <c r="J100" i="35" s="1"/>
  <c r="J67" i="35" a="1"/>
  <c r="J67" i="35" s="1"/>
  <c r="J32" i="35" a="1"/>
  <c r="J32" i="35" s="1"/>
  <c r="J90" i="35" a="1"/>
  <c r="J90" i="35" s="1"/>
  <c r="J98" i="35" a="1"/>
  <c r="J98" i="35" s="1"/>
  <c r="J97" i="35" a="1"/>
  <c r="J97" i="35" s="1"/>
  <c r="J34" i="35" a="1"/>
  <c r="J34" i="35" s="1"/>
  <c r="J108" i="35" a="1"/>
  <c r="J108" i="35" s="1"/>
  <c r="J68" i="35" a="1"/>
  <c r="J68" i="35" s="1"/>
  <c r="J79" i="35" a="1"/>
  <c r="J79" i="35" s="1"/>
  <c r="J21" i="35" a="1"/>
  <c r="J21" i="35" s="1"/>
  <c r="J7" i="35" a="1"/>
  <c r="J7" i="35" s="1"/>
  <c r="J107" i="35" a="1"/>
  <c r="J107" i="35" s="1"/>
  <c r="J104" i="35" a="1"/>
  <c r="J104" i="35" s="1"/>
  <c r="J11" i="35" a="1"/>
  <c r="J11" i="35" s="1"/>
  <c r="J48" i="35" a="1"/>
  <c r="J48" i="35" s="1"/>
  <c r="J47" i="35" a="1"/>
  <c r="J47" i="35" s="1"/>
  <c r="J57" i="35" a="1"/>
  <c r="J57" i="35" s="1"/>
  <c r="G1025" i="31" a="1"/>
  <c r="G1025" i="31" s="1"/>
  <c r="G619" i="31" a="1"/>
  <c r="G619" i="31" s="1"/>
  <c r="G487" i="31" a="1"/>
  <c r="G487" i="31" s="1"/>
  <c r="G414" i="31" a="1"/>
  <c r="G414" i="31" s="1"/>
  <c r="G690" i="31" a="1"/>
  <c r="G690" i="31" s="1"/>
  <c r="G344" i="31" a="1"/>
  <c r="G344" i="31" s="1"/>
  <c r="G386" i="31" a="1"/>
  <c r="G386" i="31" s="1"/>
  <c r="G740" i="31" a="1"/>
  <c r="G740" i="31" s="1"/>
  <c r="G725" i="31" a="1"/>
  <c r="G725" i="31" s="1"/>
  <c r="G416" i="31" a="1"/>
  <c r="G416" i="31" s="1"/>
  <c r="G811" i="31" a="1"/>
  <c r="G811" i="31" s="1"/>
  <c r="G639" i="31" a="1"/>
  <c r="G639" i="31" s="1"/>
  <c r="G648" i="31" a="1"/>
  <c r="G648" i="31" s="1"/>
  <c r="G928" i="31" a="1"/>
  <c r="G928" i="31" s="1"/>
  <c r="G855" i="31" a="1"/>
  <c r="G855" i="31" s="1"/>
  <c r="G1035" i="31" a="1"/>
  <c r="G1035" i="31" s="1"/>
  <c r="G712" i="31" a="1"/>
  <c r="G712" i="31" s="1"/>
  <c r="G451" i="31" a="1"/>
  <c r="G451" i="31" s="1"/>
  <c r="G379" i="31" a="1"/>
  <c r="G379" i="31" s="1"/>
  <c r="G204" i="31" a="1"/>
  <c r="G204" i="31" s="1"/>
  <c r="G1146" i="31" a="1"/>
  <c r="G1146" i="31" s="1"/>
  <c r="G586" i="31" a="1"/>
  <c r="G586" i="31" s="1"/>
  <c r="G365" i="31" a="1"/>
  <c r="G365" i="31" s="1"/>
  <c r="G336" i="31" a="1"/>
  <c r="G336" i="31" s="1"/>
  <c r="G191" i="31" a="1"/>
  <c r="G191" i="31" s="1"/>
  <c r="G251" i="31" a="1"/>
  <c r="G251" i="31" s="1"/>
  <c r="G520" i="31" a="1"/>
  <c r="G520" i="31" s="1"/>
  <c r="G1147" i="31" a="1"/>
  <c r="G1147" i="31" s="1"/>
  <c r="G1134" i="31" a="1"/>
  <c r="G1134" i="31" s="1"/>
  <c r="G763" i="31" a="1"/>
  <c r="G763" i="31" s="1"/>
  <c r="G427" i="31" a="1"/>
  <c r="G427" i="31" s="1"/>
  <c r="G907" i="31" a="1"/>
  <c r="G907" i="31" s="1"/>
  <c r="G98" i="31" a="1"/>
  <c r="G98" i="31" s="1"/>
  <c r="G809" i="31" a="1"/>
  <c r="G809" i="31" s="1"/>
  <c r="G632" i="31" a="1"/>
  <c r="G632" i="31" s="1"/>
  <c r="G357" i="31" a="1"/>
  <c r="G357" i="31" s="1"/>
  <c r="G88" i="31" a="1"/>
  <c r="G88" i="31" s="1"/>
  <c r="G894" i="31" a="1"/>
  <c r="G894" i="31" s="1"/>
  <c r="G675" i="31" a="1"/>
  <c r="G675" i="31" s="1"/>
  <c r="G412" i="31" a="1"/>
  <c r="G412" i="31" s="1"/>
  <c r="G392" i="31" a="1"/>
  <c r="G392" i="31" s="1"/>
  <c r="G120" i="31" a="1"/>
  <c r="G120" i="31" s="1"/>
  <c r="G916" i="31" a="1"/>
  <c r="G916" i="31" s="1"/>
  <c r="G1024" i="31" a="1"/>
  <c r="G1024" i="31" s="1"/>
  <c r="G170" i="31" a="1"/>
  <c r="G170" i="31" s="1"/>
  <c r="G458" i="31" a="1"/>
  <c r="G458" i="31" s="1"/>
  <c r="G1099" i="31" a="1"/>
  <c r="G1099" i="31" s="1"/>
  <c r="G796" i="31" a="1"/>
  <c r="G796" i="31" s="1"/>
  <c r="G124" i="31" a="1"/>
  <c r="G124" i="31" s="1"/>
  <c r="G515" i="31" a="1"/>
  <c r="G515" i="31" s="1"/>
  <c r="G459" i="31" a="1"/>
  <c r="G459" i="31" s="1"/>
  <c r="G573" i="31" a="1"/>
  <c r="G573" i="31" s="1"/>
  <c r="G253" i="31" a="1"/>
  <c r="G253" i="31" s="1"/>
  <c r="G60" i="31" a="1"/>
  <c r="G60" i="31" s="1"/>
  <c r="G156" i="31" a="1"/>
  <c r="G156" i="31" s="1"/>
  <c r="G219" i="31" a="1"/>
  <c r="G219" i="31" s="1"/>
  <c r="G665" i="31" a="1"/>
  <c r="G665" i="31" s="1"/>
  <c r="G641" i="31" a="1"/>
  <c r="G641" i="31" s="1"/>
  <c r="G305" i="31" a="1"/>
  <c r="G305" i="31" s="1"/>
  <c r="G488" i="31" a="1"/>
  <c r="G488" i="31" s="1"/>
  <c r="G952" i="31" a="1"/>
  <c r="G952" i="31" s="1"/>
  <c r="G530" i="31" a="1"/>
  <c r="G530" i="31" s="1"/>
  <c r="G797" i="31" a="1"/>
  <c r="G797" i="31" s="1"/>
  <c r="G1011" i="31" a="1"/>
  <c r="G1011" i="31" s="1"/>
  <c r="G329" i="31" a="1"/>
  <c r="G329" i="31" s="1"/>
  <c r="G963" i="31" a="1"/>
  <c r="G963" i="31" s="1"/>
  <c r="G574" i="31" a="1"/>
  <c r="G574" i="31" s="1"/>
  <c r="G254" i="31" a="1"/>
  <c r="G254" i="31" s="1"/>
  <c r="G401" i="31" a="1"/>
  <c r="G401" i="31" s="1"/>
  <c r="G514" i="31" a="1"/>
  <c r="G514" i="31" s="1"/>
  <c r="G830" i="31" a="1"/>
  <c r="G830" i="31" s="1"/>
  <c r="G524" i="31" a="1"/>
  <c r="G524" i="31" s="1"/>
  <c r="G559" i="31" a="1"/>
  <c r="G559" i="31" s="1"/>
  <c r="G556" i="31" a="1"/>
  <c r="G556" i="31" s="1"/>
  <c r="G145" i="31" a="1"/>
  <c r="G145" i="31" s="1"/>
  <c r="G555" i="31" a="1"/>
  <c r="G555" i="31" s="1"/>
  <c r="G382" i="31" a="1"/>
  <c r="G382" i="31" s="1"/>
  <c r="G206" i="31" a="1"/>
  <c r="G206" i="31" s="1"/>
  <c r="G224" i="31" a="1"/>
  <c r="G224" i="31" s="1"/>
  <c r="G109" i="31" a="1"/>
  <c r="G109" i="31" s="1"/>
  <c r="G713" i="31" a="1"/>
  <c r="G713" i="31" s="1"/>
  <c r="G221" i="31" a="1"/>
  <c r="G221" i="31" s="1"/>
  <c r="G332" i="31" a="1"/>
  <c r="G332" i="31" s="1"/>
  <c r="G821" i="31" a="1"/>
  <c r="G821" i="31" s="1"/>
  <c r="G404" i="31" a="1"/>
  <c r="G404" i="31" s="1"/>
  <c r="G653" i="31" a="1"/>
  <c r="G653" i="31" s="1"/>
  <c r="G834" i="31" a="1"/>
  <c r="G834" i="31" s="1"/>
  <c r="G400" i="31" a="1"/>
  <c r="G400" i="31" s="1"/>
  <c r="G245" i="31" a="1"/>
  <c r="G245" i="31" s="1"/>
  <c r="G748" i="31" a="1"/>
  <c r="G748" i="31" s="1"/>
  <c r="G1026" i="31" a="1"/>
  <c r="G1026" i="31" s="1"/>
  <c r="G727" i="31" a="1"/>
  <c r="G727" i="31" s="1"/>
  <c r="G210" i="31" a="1"/>
  <c r="G210" i="31" s="1"/>
  <c r="G485" i="31" a="1"/>
  <c r="G485" i="31" s="1"/>
  <c r="G86" i="31" a="1"/>
  <c r="G86" i="31" s="1"/>
  <c r="G623" i="31" a="1"/>
  <c r="G623" i="31" s="1"/>
  <c r="G426" i="31" a="1"/>
  <c r="G426" i="31" s="1"/>
  <c r="G384" i="31" a="1"/>
  <c r="G384" i="31" s="1"/>
  <c r="G1014" i="31" a="1"/>
  <c r="G1014" i="31" s="1"/>
  <c r="G784" i="31" a="1"/>
  <c r="G784" i="31" s="1"/>
  <c r="G372" i="31" a="1"/>
  <c r="G372" i="31" s="1"/>
  <c r="G543" i="31" a="1"/>
  <c r="G543" i="31" s="1"/>
  <c r="G728" i="31" a="1"/>
  <c r="G728" i="31" s="1"/>
  <c r="G545" i="31" a="1"/>
  <c r="G545" i="31" s="1"/>
  <c r="G501" i="31" a="1"/>
  <c r="G501" i="31" s="1"/>
  <c r="G629" i="31" a="1"/>
  <c r="G629" i="31" s="1"/>
  <c r="G608" i="31" a="1"/>
  <c r="G608" i="31" s="1"/>
  <c r="G268" i="31" a="1"/>
  <c r="G268" i="31" s="1"/>
  <c r="G315" i="31" a="1"/>
  <c r="G315" i="31" s="1"/>
  <c r="G941" i="31" a="1"/>
  <c r="G941" i="31" s="1"/>
  <c r="G915" i="31" a="1"/>
  <c r="G915" i="31" s="1"/>
  <c r="G512" i="31" a="1"/>
  <c r="G512" i="31" s="1"/>
  <c r="G616" i="31" a="1"/>
  <c r="G616" i="31" s="1"/>
  <c r="G193" i="31" a="1"/>
  <c r="G193" i="31" s="1"/>
  <c r="G822" i="31" a="1"/>
  <c r="G822" i="31" s="1"/>
  <c r="G832" i="31" a="1"/>
  <c r="G832" i="31" s="1"/>
  <c r="G1023" i="31" a="1"/>
  <c r="G1023" i="31" s="1"/>
  <c r="G411" i="31" a="1"/>
  <c r="G411" i="31" s="1"/>
  <c r="G341" i="31" a="1"/>
  <c r="G341" i="31" s="1"/>
  <c r="G1110" i="31" a="1"/>
  <c r="G1110" i="31" s="1"/>
  <c r="G569" i="31" a="1"/>
  <c r="G569" i="31" s="1"/>
  <c r="G439" i="31" a="1"/>
  <c r="G439" i="31" s="1"/>
  <c r="G132" i="31" a="1"/>
  <c r="G132" i="31" s="1"/>
  <c r="G566" i="31" a="1"/>
  <c r="G566" i="31" s="1"/>
  <c r="G678" i="31" a="1"/>
  <c r="G678" i="31" s="1"/>
  <c r="G306" i="31" a="1"/>
  <c r="G306" i="31" s="1"/>
  <c r="G468" i="31" a="1"/>
  <c r="G468" i="31" s="1"/>
  <c r="G620" i="31" a="1"/>
  <c r="G620" i="31" s="1"/>
  <c r="G393" i="31" a="1"/>
  <c r="G393" i="31" s="1"/>
  <c r="G62" i="31" a="1"/>
  <c r="G62" i="31" s="1"/>
  <c r="G674" i="31" a="1"/>
  <c r="G674" i="31" s="1"/>
  <c r="G870" i="31" a="1"/>
  <c r="G870" i="31" s="1"/>
  <c r="G303" i="31" a="1"/>
  <c r="G303" i="31" s="1"/>
  <c r="G494" i="31" a="1"/>
  <c r="G494" i="31" s="1"/>
  <c r="G450" i="31" a="1"/>
  <c r="G450" i="31" s="1"/>
  <c r="G618" i="31" a="1"/>
  <c r="G618" i="31" s="1"/>
  <c r="G509" i="31" a="1"/>
  <c r="G509" i="31" s="1"/>
  <c r="G157" i="31" a="1"/>
  <c r="G157" i="31" s="1"/>
  <c r="G441" i="31" a="1"/>
  <c r="G441" i="31" s="1"/>
  <c r="G631" i="31" a="1"/>
  <c r="G631" i="31" s="1"/>
  <c r="G1048" i="31" a="1"/>
  <c r="G1048" i="31" s="1"/>
  <c r="G826" i="31" a="1"/>
  <c r="G826" i="31" s="1"/>
  <c r="G1184" i="31" a="1"/>
  <c r="G1184" i="31" s="1"/>
  <c r="G51" i="31" a="1"/>
  <c r="G51" i="31" s="1"/>
  <c r="G983" i="31" a="1"/>
  <c r="G983" i="31" s="1"/>
  <c r="G1156" i="31" a="1"/>
  <c r="G1156" i="31" s="1"/>
  <c r="G1212" i="31" a="1"/>
  <c r="G1212" i="31" s="1"/>
  <c r="G1194" i="31" a="1"/>
  <c r="G1194" i="31" s="1"/>
  <c r="G201" i="31" a="1"/>
  <c r="G201" i="31" s="1"/>
  <c r="G731" i="31" a="1"/>
  <c r="G731" i="31" s="1"/>
  <c r="G217" i="31" a="1"/>
  <c r="G217" i="31" s="1"/>
  <c r="G507" i="31" a="1"/>
  <c r="G507" i="31" s="1"/>
  <c r="G959" i="31" a="1"/>
  <c r="G959" i="31" s="1"/>
  <c r="G866" i="31" a="1"/>
  <c r="G866" i="31" s="1"/>
  <c r="G698" i="31" a="1"/>
  <c r="G698" i="31" s="1"/>
  <c r="G128" i="31" a="1"/>
  <c r="G128" i="31" s="1"/>
  <c r="G337" i="31" a="1"/>
  <c r="G337" i="31" s="1"/>
  <c r="G1059" i="31" a="1"/>
  <c r="G1059" i="31" s="1"/>
  <c r="G151" i="31" a="1"/>
  <c r="G151" i="31" s="1"/>
  <c r="G8" i="31" a="1"/>
  <c r="G8" i="31" s="1"/>
  <c r="G753" i="31" a="1"/>
  <c r="G753" i="31" s="1"/>
  <c r="G185" i="31" a="1"/>
  <c r="G185" i="31" s="1"/>
  <c r="G993" i="31" a="1"/>
  <c r="G993" i="31" s="1"/>
  <c r="G78" i="31" a="1"/>
  <c r="G78" i="31" s="1"/>
  <c r="G75" i="31" a="1"/>
  <c r="G75" i="31" s="1"/>
  <c r="G389" i="31" a="1"/>
  <c r="G389" i="31" s="1"/>
  <c r="G50" i="31" a="1"/>
  <c r="G50" i="31" s="1"/>
  <c r="G491" i="31" a="1"/>
  <c r="G491" i="31" s="1"/>
  <c r="G9" i="31" a="1"/>
  <c r="G9" i="31" s="1"/>
  <c r="G589" i="31" a="1"/>
  <c r="G589" i="31" s="1"/>
  <c r="G793" i="31" a="1"/>
  <c r="G793" i="31" s="1"/>
  <c r="G43" i="31" a="1"/>
  <c r="G43" i="31" s="1"/>
  <c r="G56" i="31" a="1"/>
  <c r="G56" i="31" s="1"/>
  <c r="G683" i="31" a="1"/>
  <c r="G1178" i="31" a="1"/>
  <c r="G1178" i="31" s="1"/>
  <c r="G7" i="31" a="1"/>
  <c r="G7" i="31" s="1"/>
  <c r="G37" i="31" a="1"/>
  <c r="G37" i="31" s="1"/>
  <c r="G361" i="31" a="1"/>
  <c r="G361" i="31" s="1"/>
  <c r="G1108" i="31" a="1"/>
  <c r="G1108" i="31" s="1"/>
  <c r="G706" i="31" a="1"/>
  <c r="G706" i="31" s="1"/>
  <c r="G1128" i="31" a="1"/>
  <c r="G1128" i="31" s="1"/>
  <c r="G909" i="31" a="1"/>
  <c r="G909" i="31" s="1"/>
  <c r="G112" i="31" a="1"/>
  <c r="G112" i="31" s="1"/>
  <c r="G617" i="31" a="1"/>
  <c r="G617" i="31" s="1"/>
  <c r="G283" i="31" a="1"/>
  <c r="G283" i="31" s="1"/>
  <c r="G680" i="31" a="1"/>
  <c r="G680" i="31" s="1"/>
  <c r="G410" i="31" a="1"/>
  <c r="G410" i="31" s="1"/>
  <c r="G773" i="31" a="1"/>
  <c r="G773" i="31" s="1"/>
  <c r="G554" i="31" a="1"/>
  <c r="G554" i="31" s="1"/>
  <c r="G234" i="31" a="1"/>
  <c r="G234" i="31" s="1"/>
  <c r="G849" i="31" a="1"/>
  <c r="G849" i="31" s="1"/>
  <c r="G1159" i="31" a="1"/>
  <c r="G1159" i="31" s="1"/>
  <c r="G482" i="31" a="1"/>
  <c r="G482" i="31" s="1"/>
  <c r="G99" i="31" a="1"/>
  <c r="G99" i="31" s="1"/>
  <c r="G280" i="31" a="1"/>
  <c r="G280" i="31" s="1"/>
  <c r="G240" i="31" a="1"/>
  <c r="G240" i="31" s="1"/>
  <c r="G645" i="31" a="1"/>
  <c r="G645" i="31" s="1"/>
  <c r="G1158" i="31" a="1"/>
  <c r="G1158" i="31" s="1"/>
  <c r="G615" i="31" a="1"/>
  <c r="G615" i="31" s="1"/>
  <c r="G122" i="31" a="1"/>
  <c r="G122" i="31" s="1"/>
  <c r="G158" i="31" a="1"/>
  <c r="G158" i="31" s="1"/>
  <c r="G390" i="31" a="1"/>
  <c r="G390" i="31" s="1"/>
  <c r="G383" i="31" a="1"/>
  <c r="G383" i="31" s="1"/>
  <c r="G308" i="31" a="1"/>
  <c r="G308" i="31" s="1"/>
  <c r="G350" i="31" a="1"/>
  <c r="G350" i="31" s="1"/>
  <c r="G592" i="31" a="1"/>
  <c r="G592" i="31" s="1"/>
  <c r="G258" i="31" a="1"/>
  <c r="G258" i="31" s="1"/>
  <c r="G220" i="31" a="1"/>
  <c r="G220" i="31" s="1"/>
  <c r="G181" i="31" a="1"/>
  <c r="G181" i="31" s="1"/>
  <c r="G291" i="31" a="1"/>
  <c r="G291" i="31" s="1"/>
  <c r="G522" i="31" a="1"/>
  <c r="G522" i="31" s="1"/>
  <c r="G229" i="31" a="1"/>
  <c r="G229" i="31" s="1"/>
  <c r="G105" i="31" a="1"/>
  <c r="G105" i="31" s="1"/>
  <c r="G222" i="31" a="1"/>
  <c r="G222" i="31" s="1"/>
  <c r="G70" i="31" a="1"/>
  <c r="G70" i="31" s="1"/>
  <c r="G165" i="31" a="1"/>
  <c r="G165" i="31" s="1"/>
  <c r="G576" i="31" a="1"/>
  <c r="G576" i="31" s="1"/>
  <c r="G270" i="31" a="1"/>
  <c r="G270" i="31" s="1"/>
  <c r="G873" i="31" a="1"/>
  <c r="G873" i="31" s="1"/>
  <c r="G923" i="31" a="1"/>
  <c r="G923" i="31" s="1"/>
  <c r="G150" i="31" a="1"/>
  <c r="G150" i="31" s="1"/>
  <c r="G32" i="31" a="1"/>
  <c r="G32" i="31" s="1"/>
  <c r="G719" i="31" a="1"/>
  <c r="G719" i="31" s="1"/>
  <c r="G1133" i="31" a="1"/>
  <c r="G1133" i="31" s="1"/>
  <c r="G956" i="31" a="1"/>
  <c r="G956" i="31" s="1"/>
  <c r="G417" i="31" a="1"/>
  <c r="G417" i="31" s="1"/>
  <c r="G729" i="31" a="1"/>
  <c r="G729" i="31" s="1"/>
  <c r="G684" i="31" a="1"/>
  <c r="G684" i="31" s="1"/>
  <c r="G794" i="31" a="1"/>
  <c r="G794" i="31" s="1"/>
  <c r="G288" i="31" a="1"/>
  <c r="G288" i="31" s="1"/>
  <c r="G1032" i="31" a="1"/>
  <c r="G1032" i="31" s="1"/>
  <c r="G1070" i="31" a="1"/>
  <c r="G1070" i="31" s="1"/>
  <c r="G271" i="31" a="1"/>
  <c r="G271" i="31" s="1"/>
  <c r="G49" i="31" a="1"/>
  <c r="G49" i="31" s="1"/>
  <c r="G912" i="31" a="1"/>
  <c r="G912" i="31" s="1"/>
  <c r="G932" i="31" a="1"/>
  <c r="G932" i="31" s="1"/>
  <c r="G432" i="31" a="1"/>
  <c r="G432" i="31" s="1"/>
  <c r="G435" i="31" a="1"/>
  <c r="G435" i="31" s="1"/>
  <c r="G235" i="31" a="1"/>
  <c r="G235" i="31" s="1"/>
  <c r="G847" i="31" a="1"/>
  <c r="G847" i="31" s="1"/>
  <c r="G493" i="31" a="1"/>
  <c r="G493" i="31" s="1"/>
  <c r="G518" i="31" a="1"/>
  <c r="G518" i="31" s="1"/>
  <c r="G812" i="31" a="1"/>
  <c r="G812" i="31" s="1"/>
  <c r="G66" i="31" a="1"/>
  <c r="G66" i="31" s="1"/>
  <c r="G46" i="31" a="1"/>
  <c r="G46" i="31" s="1"/>
  <c r="G562" i="31" a="1"/>
  <c r="G562" i="31" s="1"/>
  <c r="G636" i="31" a="1"/>
  <c r="G636" i="31" s="1"/>
  <c r="G766" i="31" a="1"/>
  <c r="G766" i="31" s="1"/>
  <c r="G1082" i="31" a="1"/>
  <c r="G1082" i="31" s="1"/>
  <c r="G360" i="31" a="1"/>
  <c r="G360" i="31" s="1"/>
  <c r="G16" i="31" a="1"/>
  <c r="G16" i="31" s="1"/>
  <c r="G778" i="31" a="1"/>
  <c r="G778" i="31" s="1"/>
  <c r="G1213" i="31" a="1"/>
  <c r="G1213" i="31" s="1"/>
  <c r="G346" i="31" a="1"/>
  <c r="G346" i="31" s="1"/>
  <c r="G1207" i="31" a="1"/>
  <c r="G1207" i="31" s="1"/>
  <c r="G445" i="31" a="1"/>
  <c r="G445" i="31" s="1"/>
  <c r="G1216" i="31" a="1"/>
  <c r="G1216" i="31" s="1"/>
  <c r="G779" i="31" a="1"/>
  <c r="G779" i="31" s="1"/>
  <c r="G1061" i="31" a="1"/>
  <c r="G1061" i="31" s="1"/>
  <c r="G960" i="31" a="1"/>
  <c r="G960" i="31" s="1"/>
  <c r="G1056" i="31" a="1"/>
  <c r="G1056" i="31" s="1"/>
  <c r="G1125" i="31" a="1"/>
  <c r="G1125" i="31" s="1"/>
  <c r="G878" i="31" a="1"/>
  <c r="G878" i="31" s="1"/>
  <c r="G951" i="31" a="1"/>
  <c r="G951" i="31" s="1"/>
  <c r="G939" i="31" a="1"/>
  <c r="G939" i="31" s="1"/>
  <c r="G183" i="31" a="1"/>
  <c r="G183" i="31" s="1"/>
  <c r="G197" i="31" a="1"/>
  <c r="G197" i="31" s="1"/>
  <c r="G536" i="31" a="1"/>
  <c r="G536" i="31" s="1"/>
  <c r="G415" i="31" a="1"/>
  <c r="G415" i="31" s="1"/>
  <c r="G585" i="31" a="1"/>
  <c r="G585" i="31" s="1"/>
  <c r="G171" i="31" a="1"/>
  <c r="G171" i="31" s="1"/>
  <c r="G338" i="31" a="1"/>
  <c r="G338" i="31" s="1"/>
  <c r="G527" i="31" a="1"/>
  <c r="G527" i="31" s="1"/>
  <c r="G917" i="31" a="1"/>
  <c r="G917" i="31" s="1"/>
  <c r="G1015" i="31" a="1"/>
  <c r="G1015" i="31" s="1"/>
  <c r="G136" i="31" a="1"/>
  <c r="G136" i="31" s="1"/>
  <c r="G381" i="31" a="1"/>
  <c r="G381" i="31" s="1"/>
  <c r="G111" i="31" a="1"/>
  <c r="G111" i="31" s="1"/>
  <c r="G775" i="31" a="1"/>
  <c r="G775" i="31" s="1"/>
  <c r="G366" i="31" a="1"/>
  <c r="G366" i="31" s="1"/>
  <c r="G196" i="31" a="1"/>
  <c r="G196" i="31" s="1"/>
  <c r="G643" i="31" a="1"/>
  <c r="G643" i="31" s="1"/>
  <c r="G437" i="31" a="1"/>
  <c r="G437" i="31" s="1"/>
  <c r="G453" i="31" a="1"/>
  <c r="G453" i="31" s="1"/>
  <c r="G472" i="31" a="1"/>
  <c r="G472" i="31" s="1"/>
  <c r="G395" i="31" a="1"/>
  <c r="G395" i="31" s="1"/>
  <c r="G1062" i="31" a="1"/>
  <c r="G1062" i="31" s="1"/>
  <c r="G723" i="31" a="1"/>
  <c r="G723" i="31" s="1"/>
  <c r="G434" i="31" a="1"/>
  <c r="G434" i="31" s="1"/>
  <c r="G96" i="31" a="1"/>
  <c r="G96" i="31" s="1"/>
  <c r="G248" i="31" a="1"/>
  <c r="G248" i="31" s="1"/>
  <c r="G81" i="31" a="1"/>
  <c r="G81" i="31" s="1"/>
  <c r="G275" i="31" a="1"/>
  <c r="G275" i="31" s="1"/>
  <c r="G276" i="31" a="1"/>
  <c r="G276" i="31" s="1"/>
  <c r="G139" i="31" a="1"/>
  <c r="G139" i="31" s="1"/>
  <c r="G97" i="31" a="1"/>
  <c r="G97" i="31" s="1"/>
  <c r="G264" i="31" a="1"/>
  <c r="G264" i="31" s="1"/>
  <c r="G48" i="31" a="1"/>
  <c r="G48" i="31" s="1"/>
  <c r="G113" i="31" a="1"/>
  <c r="G113" i="31" s="1"/>
  <c r="G874" i="31" a="1"/>
  <c r="G874" i="31" s="1"/>
  <c r="G935" i="31" a="1"/>
  <c r="G935" i="31" s="1"/>
  <c r="G6" i="31" a="1"/>
  <c r="G6" i="31" s="1"/>
  <c r="G377" i="31" a="1"/>
  <c r="G377" i="31" s="1"/>
  <c r="G946" i="31" a="1"/>
  <c r="G946" i="31" s="1"/>
  <c r="G1155" i="31" a="1"/>
  <c r="G1155" i="31" s="1"/>
  <c r="G1185" i="31" a="1"/>
  <c r="G1185" i="31" s="1"/>
  <c r="G241" i="31" a="1"/>
  <c r="G241" i="31" s="1"/>
  <c r="G681" i="31" a="1"/>
  <c r="G681" i="31" s="1"/>
  <c r="G840" i="31" a="1"/>
  <c r="G840" i="31" s="1"/>
  <c r="G461" i="31" a="1"/>
  <c r="G461" i="31" s="1"/>
  <c r="G20" i="31" a="1"/>
  <c r="G20" i="31" s="1"/>
  <c r="G900" i="31" a="1"/>
  <c r="G900" i="31" s="1"/>
  <c r="G1203" i="31" a="1"/>
  <c r="G1203" i="31" s="1"/>
  <c r="G114" i="31" a="1"/>
  <c r="G114" i="31" s="1"/>
  <c r="G564" i="31" a="1"/>
  <c r="G564" i="31" s="1"/>
  <c r="G780" i="31" a="1"/>
  <c r="G780" i="31" s="1"/>
  <c r="G1100" i="31" a="1"/>
  <c r="G1100" i="31" s="1"/>
  <c r="G256" i="31" a="1"/>
  <c r="G256" i="31" s="1"/>
  <c r="G33" i="31" a="1"/>
  <c r="G33" i="31" s="1"/>
  <c r="G846" i="31" a="1"/>
  <c r="G846" i="31" s="1"/>
  <c r="G58" i="31" a="1"/>
  <c r="G58" i="31" s="1"/>
  <c r="G325" i="31" a="1"/>
  <c r="G325" i="31" s="1"/>
  <c r="G345" i="31" a="1"/>
  <c r="G345" i="31" s="1"/>
  <c r="G716" i="31" a="1"/>
  <c r="G716" i="31" s="1"/>
  <c r="G787" i="31" a="1"/>
  <c r="G787" i="31" s="1"/>
  <c r="G310" i="31" a="1"/>
  <c r="G310" i="31" s="1"/>
  <c r="G375" i="31" a="1"/>
  <c r="G375" i="31" s="1"/>
  <c r="G34" i="31" a="1"/>
  <c r="G634" i="31" a="1"/>
  <c r="G634" i="31" s="1"/>
  <c r="G1084" i="31" a="1"/>
  <c r="G1084" i="31" s="1"/>
  <c r="G186" i="31" a="1"/>
  <c r="G186" i="31" s="1"/>
  <c r="G230" i="31" a="1"/>
  <c r="G230" i="31" s="1"/>
  <c r="G646" i="31" a="1"/>
  <c r="G646" i="31" s="1"/>
  <c r="G1030" i="31" a="1"/>
  <c r="G1030" i="31" s="1"/>
  <c r="G174" i="31" a="1"/>
  <c r="G174" i="31" s="1"/>
  <c r="G80" i="31" a="1"/>
  <c r="G80" i="31" s="1"/>
  <c r="G649" i="31" a="1"/>
  <c r="G649" i="31" s="1"/>
  <c r="G1117" i="31" a="1"/>
  <c r="G1117" i="31" s="1"/>
  <c r="G1116" i="31" a="1"/>
  <c r="G1116" i="31" s="1"/>
  <c r="G869" i="31" a="1"/>
  <c r="G869" i="31" s="1"/>
  <c r="G964" i="31" a="1"/>
  <c r="G964" i="31" s="1"/>
  <c r="G1027" i="31" a="1"/>
  <c r="G1027" i="31" s="1"/>
  <c r="G1003" i="31" a="1"/>
  <c r="G1003" i="31" s="1"/>
  <c r="G860" i="31" a="1"/>
  <c r="G860" i="31" s="1"/>
  <c r="G764" i="31" a="1"/>
  <c r="G764" i="31" s="1"/>
  <c r="G795" i="31" a="1"/>
  <c r="G795" i="31" s="1"/>
  <c r="G701" i="31" a="1"/>
  <c r="G701" i="31" s="1"/>
  <c r="G471" i="31" a="1"/>
  <c r="G471" i="31" s="1"/>
  <c r="G295" i="31" a="1"/>
  <c r="G295" i="31" s="1"/>
  <c r="G654" i="31" a="1"/>
  <c r="G654" i="31" s="1"/>
  <c r="G324" i="31" a="1"/>
  <c r="G324" i="31" s="1"/>
  <c r="G144" i="31" a="1"/>
  <c r="G144" i="31" s="1"/>
  <c r="G358" i="31" a="1"/>
  <c r="G358" i="31" s="1"/>
  <c r="G486" i="31" a="1"/>
  <c r="G486" i="31" s="1"/>
  <c r="G621" i="31" a="1"/>
  <c r="G621" i="31" s="1"/>
  <c r="G931" i="31" a="1"/>
  <c r="G931" i="31" s="1"/>
  <c r="G1013" i="31" a="1"/>
  <c r="G1013" i="31" s="1"/>
  <c r="G578" i="31" a="1"/>
  <c r="G578" i="31" s="1"/>
  <c r="G513" i="31" a="1"/>
  <c r="G513" i="31" s="1"/>
  <c r="G540" i="31" a="1"/>
  <c r="G540" i="31" s="1"/>
  <c r="G595" i="31" a="1"/>
  <c r="G595" i="31" s="1"/>
  <c r="G990" i="31" a="1"/>
  <c r="G990" i="31" s="1"/>
  <c r="G638" i="31" a="1"/>
  <c r="G638" i="31" s="1"/>
  <c r="G294" i="31" a="1"/>
  <c r="G294" i="31" s="1"/>
  <c r="G200" i="31" a="1"/>
  <c r="G200" i="31" s="1"/>
  <c r="G323" i="31" a="1"/>
  <c r="G323" i="31" s="1"/>
  <c r="G108" i="31" a="1"/>
  <c r="G108" i="31" s="1"/>
  <c r="G304" i="31" a="1"/>
  <c r="G304" i="31" s="1"/>
  <c r="G106" i="31" a="1"/>
  <c r="G106" i="31" s="1"/>
  <c r="G525" i="31" a="1"/>
  <c r="G525" i="31" s="1"/>
  <c r="G190" i="31" a="1"/>
  <c r="G190" i="31" s="1"/>
  <c r="G462" i="31" a="1"/>
  <c r="G462" i="31" s="1"/>
  <c r="G538" i="31" a="1"/>
  <c r="G538" i="31" s="1"/>
  <c r="G142" i="31" a="1"/>
  <c r="G142" i="31" s="1"/>
  <c r="G25" i="31" a="1"/>
  <c r="G25" i="31" s="1"/>
  <c r="G670" i="31" a="1"/>
  <c r="G670" i="31" s="1"/>
  <c r="G1022" i="31" a="1"/>
  <c r="G1022" i="31" s="1"/>
  <c r="G431" i="31" a="1"/>
  <c r="G431" i="31" s="1"/>
  <c r="G848" i="31" a="1"/>
  <c r="G848" i="31" s="1"/>
  <c r="G911" i="31" a="1"/>
  <c r="G911" i="31" s="1"/>
  <c r="G1179" i="31" a="1"/>
  <c r="G1179" i="31" s="1"/>
  <c r="G1033" i="31" a="1"/>
  <c r="G1033" i="31" s="1"/>
  <c r="G64" i="31" a="1"/>
  <c r="G64" i="31" s="1"/>
  <c r="G732" i="31" a="1"/>
  <c r="G732" i="31" s="1"/>
  <c r="G565" i="31" a="1"/>
  <c r="G565" i="31" s="1"/>
  <c r="G126" i="31" a="1"/>
  <c r="G126" i="31" s="1"/>
  <c r="G1063" i="31" a="1"/>
  <c r="G1063" i="31" s="1"/>
  <c r="G1007" i="31" a="1"/>
  <c r="G1007" i="31" s="1"/>
  <c r="G1136" i="31" a="1"/>
  <c r="G1136" i="31" s="1"/>
  <c r="G561" i="31" a="1"/>
  <c r="G561" i="31" s="1"/>
  <c r="G801" i="31" a="1"/>
  <c r="G801" i="31" s="1"/>
  <c r="G672" i="31" a="1"/>
  <c r="G672" i="31" s="1"/>
  <c r="G1131" i="31" a="1"/>
  <c r="G1131" i="31" s="1"/>
  <c r="G978" i="31" a="1"/>
  <c r="G978" i="31" s="1"/>
  <c r="G27" i="31" a="1"/>
  <c r="G27" i="31" s="1"/>
  <c r="G633" i="31" a="1"/>
  <c r="G633" i="31" s="1"/>
  <c r="G36" i="31" a="1"/>
  <c r="G36" i="31" s="1"/>
  <c r="G865" i="31" a="1"/>
  <c r="G865" i="31" s="1"/>
  <c r="G29" i="31" a="1"/>
  <c r="G29" i="31" s="1"/>
  <c r="G887" i="31" a="1"/>
  <c r="G887" i="31" s="1"/>
  <c r="G330" i="31" a="1"/>
  <c r="G330" i="31" s="1"/>
  <c r="G896" i="31" a="1"/>
  <c r="G896" i="31" s="1"/>
  <c r="G54" i="31" a="1"/>
  <c r="G54" i="31" s="1"/>
  <c r="G28" i="31" a="1"/>
  <c r="G28" i="31" s="1"/>
  <c r="G854" i="31" a="1"/>
  <c r="G854" i="31" s="1"/>
  <c r="G1145" i="31" a="1"/>
  <c r="G1145" i="31" s="1"/>
  <c r="G691" i="31" a="1"/>
  <c r="G691" i="31" s="1"/>
  <c r="G1095" i="31" a="1"/>
  <c r="G1095" i="31" s="1"/>
  <c r="G926" i="31" a="1"/>
  <c r="G926" i="31" s="1"/>
  <c r="G1215" i="31" a="1"/>
  <c r="G1215" i="31" s="1"/>
  <c r="G655" i="31" a="1"/>
  <c r="G655" i="31" s="1"/>
  <c r="G1192" i="31" a="1"/>
  <c r="G1192" i="31" s="1"/>
  <c r="G973" i="31" a="1"/>
  <c r="G973" i="31" s="1"/>
  <c r="G1043" i="31" a="1"/>
  <c r="G1043" i="31" s="1"/>
  <c r="G925" i="31" a="1"/>
  <c r="G925" i="31" s="1"/>
  <c r="G1064" i="31" a="1"/>
  <c r="G1064" i="31" s="1"/>
  <c r="G1154" i="31" a="1"/>
  <c r="G1154" i="31" s="1"/>
  <c r="G262" i="31" a="1"/>
  <c r="G262" i="31" s="1"/>
  <c r="G252" i="31" a="1"/>
  <c r="G252" i="31" s="1"/>
  <c r="G293" i="31" a="1"/>
  <c r="G293" i="31" s="1"/>
  <c r="G531" i="31" a="1"/>
  <c r="G531" i="31" s="1"/>
  <c r="G582" i="31" a="1"/>
  <c r="G582" i="31" s="1"/>
  <c r="G603" i="31" a="1"/>
  <c r="G603" i="31" s="1"/>
  <c r="G1038" i="31" a="1"/>
  <c r="G1038" i="31" s="1"/>
  <c r="G627" i="31" a="1"/>
  <c r="G627" i="31" s="1"/>
  <c r="G368" i="31" a="1"/>
  <c r="G368" i="31" s="1"/>
  <c r="G167" i="31" a="1"/>
  <c r="G167" i="31" s="1"/>
  <c r="G859" i="31" a="1"/>
  <c r="G859" i="31" s="1"/>
  <c r="G267" i="31" a="1"/>
  <c r="G267" i="31" s="1"/>
  <c r="G943" i="31" a="1"/>
  <c r="G943" i="31" s="1"/>
  <c r="G292" i="31" a="1"/>
  <c r="G292" i="31" s="1"/>
  <c r="G85" i="31" a="1"/>
  <c r="G85" i="31" s="1"/>
  <c r="G180" i="31" a="1"/>
  <c r="G180" i="31" s="1"/>
  <c r="G1086" i="31" a="1"/>
  <c r="G1086" i="31" s="1"/>
  <c r="G74" i="31" a="1"/>
  <c r="G74" i="31" s="1"/>
  <c r="G184" i="31" a="1"/>
  <c r="G184" i="31" s="1"/>
  <c r="G413" i="31" a="1"/>
  <c r="G413" i="31" s="1"/>
  <c r="G19" i="31" a="1"/>
  <c r="G19" i="31" s="1"/>
  <c r="G570" i="31" a="1"/>
  <c r="G570" i="31" s="1"/>
  <c r="G455" i="31" a="1"/>
  <c r="G455" i="31" s="1"/>
  <c r="G203" i="31" a="1"/>
  <c r="G203" i="31" s="1"/>
  <c r="G189" i="31" a="1"/>
  <c r="G189" i="31" s="1"/>
  <c r="G1171" i="31" a="1"/>
  <c r="G1171" i="31" s="1"/>
  <c r="G659" i="31" a="1"/>
  <c r="G659" i="31" s="1"/>
  <c r="G277" i="31" a="1"/>
  <c r="G277" i="31" s="1"/>
  <c r="G231" i="31" a="1"/>
  <c r="G231" i="31" s="1"/>
  <c r="G490" i="31" a="1"/>
  <c r="G490" i="31" s="1"/>
  <c r="G351" i="31" a="1"/>
  <c r="G351" i="31" s="1"/>
  <c r="G1195" i="31" a="1"/>
  <c r="G1195" i="31" s="1"/>
  <c r="G465" i="31" a="1"/>
  <c r="G465" i="31" s="1"/>
  <c r="G477" i="31" a="1"/>
  <c r="G477" i="31" s="1"/>
  <c r="G103" i="31" a="1"/>
  <c r="G103" i="31" s="1"/>
  <c r="G362" i="31" a="1"/>
  <c r="G362" i="31" s="1"/>
  <c r="G319" i="31" a="1"/>
  <c r="G319" i="31" s="1"/>
  <c r="G313" i="31" a="1"/>
  <c r="G313" i="31" s="1"/>
  <c r="G902" i="31" a="1"/>
  <c r="G902" i="31" s="1"/>
  <c r="G255" i="31" a="1"/>
  <c r="G255" i="31" s="1"/>
  <c r="G776" i="31" a="1"/>
  <c r="G776" i="31" s="1"/>
  <c r="G696" i="31" a="1"/>
  <c r="G696" i="31" s="1"/>
  <c r="G1204" i="31" a="1"/>
  <c r="G1204" i="31" s="1"/>
  <c r="G364" i="31" a="1"/>
  <c r="G364" i="31" s="1"/>
  <c r="G799" i="31" a="1"/>
  <c r="G799" i="31" s="1"/>
  <c r="G1031" i="31" a="1"/>
  <c r="G1031" i="31" s="1"/>
  <c r="G769" i="31" a="1"/>
  <c r="G769" i="31" s="1"/>
  <c r="G1122" i="31" a="1"/>
  <c r="G1122" i="31" s="1"/>
  <c r="G68" i="31" a="1"/>
  <c r="G68" i="31" s="1"/>
  <c r="G875" i="31" a="1"/>
  <c r="G875" i="31" s="1"/>
  <c r="G944" i="31" a="1"/>
  <c r="G944" i="31" s="1"/>
  <c r="G388" i="31" a="1"/>
  <c r="G388" i="31" s="1"/>
  <c r="G884" i="31" a="1"/>
  <c r="G884" i="31" s="1"/>
  <c r="G972" i="31" a="1"/>
  <c r="G972" i="31" s="1"/>
  <c r="G1151" i="31" a="1"/>
  <c r="G1151" i="31" s="1"/>
  <c r="G546" i="31" a="1"/>
  <c r="G546" i="31" s="1"/>
  <c r="G800" i="31" a="1"/>
  <c r="G800" i="31" s="1"/>
  <c r="G418" i="31" a="1"/>
  <c r="G418" i="31" s="1"/>
  <c r="G259" i="31" a="1"/>
  <c r="G259" i="31" s="1"/>
  <c r="G84" i="31" a="1"/>
  <c r="G84" i="31" s="1"/>
  <c r="G521" i="31" a="1"/>
  <c r="G521" i="31" s="1"/>
  <c r="G1017" i="31" a="1"/>
  <c r="G1017" i="31" s="1"/>
  <c r="G161" i="31" a="1"/>
  <c r="G161" i="31" s="1"/>
  <c r="G957" i="31" a="1"/>
  <c r="G957" i="31" s="1"/>
  <c r="G739" i="31" a="1"/>
  <c r="G739" i="31" s="1"/>
  <c r="G1060" i="31" a="1"/>
  <c r="G1060" i="31" s="1"/>
  <c r="G577" i="31" a="1"/>
  <c r="G577" i="31" s="1"/>
  <c r="G1174" i="31" a="1"/>
  <c r="G1174" i="31" s="1"/>
  <c r="G474" i="31" a="1"/>
  <c r="G474" i="31" s="1"/>
  <c r="G644" i="31" a="1"/>
  <c r="G644" i="31" s="1"/>
  <c r="G838" i="31" a="1"/>
  <c r="G838" i="31" s="1"/>
  <c r="G1054" i="31" a="1"/>
  <c r="G1054" i="31" s="1"/>
  <c r="G460" i="31" a="1"/>
  <c r="G460" i="31" s="1"/>
  <c r="G836" i="31" a="1"/>
  <c r="G836" i="31" s="1"/>
  <c r="G1090" i="31" a="1"/>
  <c r="G1090" i="31" s="1"/>
  <c r="G1127" i="31" a="1"/>
  <c r="G1127" i="31" s="1"/>
  <c r="G816" i="31" a="1"/>
  <c r="G816" i="31" s="1"/>
  <c r="G553" i="31" a="1"/>
  <c r="G553" i="31" s="1"/>
  <c r="G736" i="31" a="1"/>
  <c r="G736" i="31" s="1"/>
  <c r="G955" i="31" a="1"/>
  <c r="G955" i="31" s="1"/>
  <c r="G711" i="31" a="1"/>
  <c r="G711" i="31" s="1"/>
  <c r="G977" i="31" a="1"/>
  <c r="G977" i="31" s="1"/>
  <c r="G281" i="31" a="1"/>
  <c r="G281" i="31" s="1"/>
  <c r="G772" i="31" a="1"/>
  <c r="G772" i="31" s="1"/>
  <c r="G967" i="31" a="1"/>
  <c r="G967" i="31" s="1"/>
  <c r="G399" i="31" a="1"/>
  <c r="G399" i="31" s="1"/>
  <c r="G1098" i="31" a="1"/>
  <c r="G1098" i="31" s="1"/>
  <c r="G717" i="31" a="1"/>
  <c r="G717" i="31" s="1"/>
  <c r="G169" i="31" a="1"/>
  <c r="G169" i="31" s="1"/>
  <c r="G442" i="31" a="1"/>
  <c r="G442" i="31" s="1"/>
  <c r="G326" i="31" a="1"/>
  <c r="G326" i="31" s="1"/>
  <c r="G282" i="31" a="1"/>
  <c r="G282" i="31" s="1"/>
  <c r="G195" i="31" a="1"/>
  <c r="G195" i="31" s="1"/>
  <c r="G207" i="31" a="1"/>
  <c r="G207" i="31" s="1"/>
  <c r="G499" i="31" a="1"/>
  <c r="G499" i="31" s="1"/>
  <c r="G1074" i="31" a="1"/>
  <c r="G1074" i="31" s="1"/>
  <c r="G1075" i="31" a="1"/>
  <c r="G1075" i="31" s="1"/>
  <c r="G175" i="31" a="1"/>
  <c r="G175" i="31" s="1"/>
  <c r="G378" i="31" a="1"/>
  <c r="G378" i="31" s="1"/>
  <c r="G314" i="31" a="1"/>
  <c r="G314" i="31" s="1"/>
  <c r="G396" i="31" a="1"/>
  <c r="G396" i="31" s="1"/>
  <c r="G166" i="31" a="1"/>
  <c r="G166" i="31" s="1"/>
  <c r="G714" i="31" a="1"/>
  <c r="G714" i="31" s="1"/>
  <c r="G429" i="31" a="1"/>
  <c r="G429" i="31" s="1"/>
  <c r="G309" i="31" a="1"/>
  <c r="G309" i="31" s="1"/>
  <c r="G141" i="31" a="1"/>
  <c r="G141" i="31" s="1"/>
  <c r="G61" i="31" a="1"/>
  <c r="G61" i="31" s="1"/>
  <c r="G504" i="31" a="1"/>
  <c r="G504" i="31" s="1"/>
  <c r="G858" i="31" a="1"/>
  <c r="G858" i="31" s="1"/>
  <c r="G479" i="31" a="1"/>
  <c r="G479" i="31" s="1"/>
  <c r="G480" i="31" a="1"/>
  <c r="G480" i="31" s="1"/>
  <c r="G702" i="31" a="1"/>
  <c r="G702" i="31" s="1"/>
  <c r="G1123" i="31" a="1"/>
  <c r="G1123" i="31" s="1"/>
  <c r="G22" i="31" a="1"/>
  <c r="G22" i="31" s="1"/>
  <c r="G971" i="31" a="1"/>
  <c r="G971" i="31" s="1"/>
  <c r="G4" i="31" a="1"/>
  <c r="G4" i="31" s="1"/>
  <c r="G101" i="31" a="1"/>
  <c r="G101" i="31" s="1"/>
  <c r="G815" i="31" a="1"/>
  <c r="G815" i="31" s="1"/>
  <c r="G708" i="31" a="1"/>
  <c r="G708" i="31" s="1"/>
  <c r="G1055" i="31" a="1"/>
  <c r="G1055" i="31" s="1"/>
  <c r="G272" i="31" a="1"/>
  <c r="G272" i="31" s="1"/>
  <c r="G57" i="31" a="1"/>
  <c r="G57" i="31" s="1"/>
  <c r="G709" i="31" a="1"/>
  <c r="G709" i="31" s="1"/>
  <c r="G733" i="31" a="1"/>
  <c r="G733" i="31" s="1"/>
  <c r="G575" i="31" a="1"/>
  <c r="G575" i="31" s="1"/>
  <c r="G789" i="31" a="1"/>
  <c r="G789" i="31" s="1"/>
  <c r="G899" i="31" a="1"/>
  <c r="G899" i="31" s="1"/>
  <c r="G1139" i="31" a="1"/>
  <c r="G1139" i="31" s="1"/>
  <c r="G212" i="31" a="1"/>
  <c r="G212" i="31" s="1"/>
  <c r="G788" i="31" a="1"/>
  <c r="G788" i="31" s="1"/>
  <c r="G286" i="31" a="1"/>
  <c r="G286" i="31" s="1"/>
  <c r="G1029" i="31" a="1"/>
  <c r="G1029" i="31" s="1"/>
  <c r="G374" i="31" a="1"/>
  <c r="G374" i="31" s="1"/>
  <c r="G428" i="31" a="1"/>
  <c r="G428" i="31" s="1"/>
  <c r="G242" i="31" a="1"/>
  <c r="G242" i="31" s="1"/>
  <c r="G15" i="31" a="1"/>
  <c r="G15" i="31" s="1"/>
  <c r="G635" i="31" a="1"/>
  <c r="G635" i="31" s="1"/>
  <c r="G39" i="31" a="1"/>
  <c r="G39" i="31" s="1"/>
  <c r="G397" i="31" a="1"/>
  <c r="G397" i="31" s="1"/>
  <c r="G17" i="31" a="1"/>
  <c r="G17" i="31" s="1"/>
  <c r="G947" i="31" a="1"/>
  <c r="G947" i="31" s="1"/>
  <c r="G489" i="31" a="1"/>
  <c r="G489" i="31" s="1"/>
  <c r="G705" i="31" a="1"/>
  <c r="G705" i="31" s="1"/>
  <c r="G601" i="31" a="1"/>
  <c r="G601" i="31" s="1"/>
  <c r="G1205" i="31" a="1"/>
  <c r="G1205" i="31" s="1"/>
  <c r="G299" i="31" a="1"/>
  <c r="G299" i="31" s="1"/>
  <c r="G861" i="31" a="1"/>
  <c r="G861" i="31" s="1"/>
  <c r="G994" i="31" a="1"/>
  <c r="G994" i="31" s="1"/>
  <c r="G1198" i="31" a="1"/>
  <c r="G1198" i="31" s="1"/>
  <c r="G284" i="31" a="1"/>
  <c r="G284" i="31" s="1"/>
  <c r="G920" i="31" a="1"/>
  <c r="G920" i="31" s="1"/>
  <c r="G610" i="31" a="1"/>
  <c r="G610" i="31" s="1"/>
  <c r="G1160" i="31" a="1"/>
  <c r="G1160" i="31" s="1"/>
  <c r="G1005" i="31" a="1"/>
  <c r="G1005" i="31" s="1"/>
  <c r="G1165" i="31" a="1"/>
  <c r="G1165" i="31" s="1"/>
  <c r="G949" i="31" a="1"/>
  <c r="G949" i="31" s="1"/>
  <c r="G781" i="31" a="1"/>
  <c r="G781" i="31" s="1"/>
  <c r="G269" i="31" a="1"/>
  <c r="G269" i="31" s="1"/>
  <c r="G664" i="31" a="1"/>
  <c r="G664" i="31" s="1"/>
  <c r="G699" i="31" a="1"/>
  <c r="G699" i="31" s="1"/>
  <c r="G604" i="31" a="1"/>
  <c r="G604" i="31" s="1"/>
  <c r="G225" i="31" a="1"/>
  <c r="G225" i="31" s="1"/>
  <c r="G749" i="31" a="1"/>
  <c r="G749" i="31" s="1"/>
  <c r="G571" i="31" a="1"/>
  <c r="G571" i="31" s="1"/>
  <c r="G542" i="31" a="1"/>
  <c r="G542" i="31" s="1"/>
  <c r="G557" i="31" a="1"/>
  <c r="G557" i="31" s="1"/>
  <c r="G668" i="31" a="1"/>
  <c r="G668" i="31" s="1"/>
  <c r="G498" i="31" a="1"/>
  <c r="G498" i="31" s="1"/>
  <c r="G510" i="31" a="1"/>
  <c r="G510" i="31" s="1"/>
  <c r="G735" i="31" a="1"/>
  <c r="G735" i="31" s="1"/>
  <c r="G689" i="31" a="1"/>
  <c r="G689" i="31" s="1"/>
  <c r="G647" i="31" a="1"/>
  <c r="G647" i="31" s="1"/>
  <c r="G73" i="31" a="1"/>
  <c r="G73" i="31" s="1"/>
  <c r="G942" i="31" a="1"/>
  <c r="G942" i="31" s="1"/>
  <c r="G882" i="31" a="1"/>
  <c r="G882" i="31" s="1"/>
  <c r="G163" i="31" a="1"/>
  <c r="G163" i="31" s="1"/>
  <c r="G215" i="31" a="1"/>
  <c r="G215" i="31" s="1"/>
  <c r="G537" i="31" a="1"/>
  <c r="G537" i="31" s="1"/>
  <c r="G484" i="31" a="1"/>
  <c r="G484" i="31" s="1"/>
  <c r="G279" i="31" a="1"/>
  <c r="G279" i="31" s="1"/>
  <c r="G352" i="31" a="1"/>
  <c r="G352" i="31" s="1"/>
  <c r="G528" i="31" a="1"/>
  <c r="G528" i="31" s="1"/>
  <c r="G307" i="31" a="1"/>
  <c r="G307" i="31" s="1"/>
  <c r="G466" i="31" a="1"/>
  <c r="G466" i="31" s="1"/>
  <c r="G495" i="31" a="1"/>
  <c r="G495" i="31" s="1"/>
  <c r="G551" i="31" a="1"/>
  <c r="G551" i="31" s="1"/>
  <c r="G82" i="31" a="1"/>
  <c r="G82" i="31" s="1"/>
  <c r="G422" i="31" a="1"/>
  <c r="G422" i="31" s="1"/>
  <c r="G424" i="31" a="1"/>
  <c r="G424" i="31" s="1"/>
  <c r="G179" i="31" a="1"/>
  <c r="G179" i="31" s="1"/>
  <c r="G153" i="31" a="1"/>
  <c r="G153" i="31" s="1"/>
  <c r="G519" i="31" a="1"/>
  <c r="G519" i="31" s="1"/>
  <c r="G116" i="31" a="1"/>
  <c r="G116" i="31" s="1"/>
  <c r="G839" i="31" a="1"/>
  <c r="G839" i="31" s="1"/>
  <c r="G1191" i="31" a="1"/>
  <c r="G1191" i="31" s="1"/>
  <c r="G188" i="31" a="1"/>
  <c r="G188" i="31" s="1"/>
  <c r="G814" i="31" a="1"/>
  <c r="G814" i="31" s="1"/>
  <c r="G409" i="31" a="1"/>
  <c r="G409" i="31" s="1"/>
  <c r="G1091" i="31" a="1"/>
  <c r="G1091" i="31" s="1"/>
  <c r="G842" i="31" a="1"/>
  <c r="G842" i="31" s="1"/>
  <c r="G463" i="31" a="1"/>
  <c r="G463" i="31" s="1"/>
  <c r="G888" i="31" a="1"/>
  <c r="G888" i="31" s="1"/>
  <c r="G1058" i="31" a="1"/>
  <c r="G1058" i="31" s="1"/>
  <c r="G402" i="31" a="1"/>
  <c r="G402" i="31" s="1"/>
  <c r="G704" i="31" a="1"/>
  <c r="G704" i="31" s="1"/>
  <c r="G828" i="31" a="1"/>
  <c r="G828" i="31" s="1"/>
  <c r="G1209" i="31" a="1"/>
  <c r="G1209" i="31" s="1"/>
  <c r="G65" i="31" a="1"/>
  <c r="G65" i="31" s="1"/>
  <c r="G1018" i="31" a="1"/>
  <c r="G1018" i="31" s="1"/>
  <c r="G298" i="31" a="1"/>
  <c r="G298" i="31" s="1"/>
  <c r="G1109" i="31" a="1"/>
  <c r="G1109" i="31" s="1"/>
  <c r="G198" i="31" a="1"/>
  <c r="G198" i="31" s="1"/>
  <c r="G693" i="31" a="1"/>
  <c r="G693" i="31" s="1"/>
  <c r="G90" i="31" a="1"/>
  <c r="G90" i="31" s="1"/>
  <c r="G216" i="31" a="1"/>
  <c r="G115" i="31" a="1"/>
  <c r="G115" i="31" s="1"/>
  <c r="G478" i="31" a="1"/>
  <c r="G478" i="31" s="1"/>
  <c r="G155" i="31" a="1"/>
  <c r="G155" i="31" s="1"/>
  <c r="G348" i="31" a="1"/>
  <c r="G348" i="31" s="1"/>
  <c r="G743" i="31" a="1"/>
  <c r="G743" i="31" s="1"/>
  <c r="G316" i="31" a="1"/>
  <c r="G316" i="31" s="1"/>
  <c r="G813" i="31" a="1"/>
  <c r="G813" i="31" s="1"/>
  <c r="G850" i="31" a="1"/>
  <c r="G850" i="31" s="1"/>
  <c r="G1208" i="31" a="1"/>
  <c r="G1208" i="31" s="1"/>
  <c r="G137" i="31" a="1"/>
  <c r="G137" i="31" s="1"/>
  <c r="G765" i="31" a="1"/>
  <c r="G765" i="31" s="1"/>
  <c r="G1006" i="31" a="1"/>
  <c r="G1006" i="31" s="1"/>
  <c r="G1152" i="31" a="1"/>
  <c r="G1152" i="31" s="1"/>
  <c r="G125" i="31" a="1"/>
  <c r="G125" i="31" s="1"/>
  <c r="G694" i="31" a="1"/>
  <c r="G694" i="31" s="1"/>
  <c r="G529" i="31" a="1"/>
  <c r="G529" i="31" s="1"/>
  <c r="G1162" i="31" a="1"/>
  <c r="G1162" i="31" s="1"/>
  <c r="G1010" i="31" a="1"/>
  <c r="G1010" i="31" s="1"/>
  <c r="G613" i="31" a="1"/>
  <c r="G613" i="31" s="1"/>
  <c r="G1104" i="31" a="1"/>
  <c r="G1104" i="31" s="1"/>
  <c r="G1132" i="31" a="1"/>
  <c r="G1132" i="31" s="1"/>
  <c r="G1105" i="31" a="1"/>
  <c r="G1105" i="31" s="1"/>
  <c r="G893" i="31" a="1"/>
  <c r="G893" i="31" s="1"/>
  <c r="G630" i="31" a="1"/>
  <c r="G630" i="31" s="1"/>
  <c r="G640" i="31" a="1"/>
  <c r="G640" i="31" s="1"/>
  <c r="G516" i="31" a="1"/>
  <c r="G516" i="31" s="1"/>
  <c r="G211" i="31" a="1"/>
  <c r="G211" i="31" s="1"/>
  <c r="G724" i="31" a="1"/>
  <c r="G724" i="31" s="1"/>
  <c r="G686" i="31" a="1"/>
  <c r="G686" i="31" s="1"/>
  <c r="G257" i="31" a="1"/>
  <c r="G257" i="31" s="1"/>
  <c r="G110" i="31" a="1"/>
  <c r="G110" i="31" s="1"/>
  <c r="G785" i="31" a="1"/>
  <c r="G785" i="31" s="1"/>
  <c r="G497" i="31" a="1"/>
  <c r="G497" i="31" s="1"/>
  <c r="G954" i="31" a="1"/>
  <c r="G954" i="31" s="1"/>
  <c r="G700" i="31" a="1"/>
  <c r="G700" i="31" s="1"/>
  <c r="G353" i="31" a="1"/>
  <c r="G353" i="31" s="1"/>
  <c r="G687" i="31" a="1"/>
  <c r="G687" i="31" s="1"/>
  <c r="G159" i="31" a="1"/>
  <c r="G159" i="31" s="1"/>
  <c r="G223" i="31" a="1"/>
  <c r="G223" i="31" s="1"/>
  <c r="G883" i="31" a="1"/>
  <c r="G883" i="31" s="1"/>
  <c r="G31" i="31" a="1"/>
  <c r="G31" i="31" s="1"/>
  <c r="G130" i="31" a="1"/>
  <c r="G130" i="31" s="1"/>
  <c r="G249" i="31" a="1"/>
  <c r="G249" i="31" s="1"/>
  <c r="G1087" i="31" a="1"/>
  <c r="G1087" i="31" s="1"/>
  <c r="G265" i="31" a="1"/>
  <c r="G265" i="31" s="1"/>
  <c r="G563" i="31" a="1"/>
  <c r="G563" i="31" s="1"/>
  <c r="G456" i="31" a="1"/>
  <c r="G456" i="31" s="1"/>
  <c r="G135" i="31" a="1"/>
  <c r="G135" i="31" s="1"/>
  <c r="G549" i="31" a="1"/>
  <c r="G549" i="31" s="1"/>
  <c r="G131" i="31" a="1"/>
  <c r="G131" i="31" s="1"/>
  <c r="G746" i="31" a="1"/>
  <c r="G746" i="31" s="1"/>
  <c r="G508" i="31" a="1"/>
  <c r="G508" i="31" s="1"/>
  <c r="G930" i="31" a="1"/>
  <c r="G930" i="31" s="1"/>
  <c r="G810" i="31" a="1"/>
  <c r="G810" i="31" s="1"/>
  <c r="G232" i="31" a="1"/>
  <c r="G232" i="31" s="1"/>
  <c r="G335" i="31" a="1"/>
  <c r="G335" i="31" s="1"/>
  <c r="G331" i="31" a="1"/>
  <c r="G331" i="31" s="1"/>
  <c r="G593" i="31" a="1"/>
  <c r="G593" i="31" s="1"/>
  <c r="G707" i="31" a="1"/>
  <c r="G707" i="31" s="1"/>
  <c r="G968" i="31" a="1"/>
  <c r="G968" i="31" s="1"/>
  <c r="G10" i="31" a="1"/>
  <c r="G10" i="31" s="1"/>
  <c r="G1092" i="31" a="1"/>
  <c r="G1092" i="31" s="1"/>
  <c r="G1118" i="31" a="1"/>
  <c r="G1118" i="31" s="1"/>
  <c r="G1199" i="31" a="1"/>
  <c r="G1199" i="31" s="1"/>
  <c r="G475" i="31" a="1"/>
  <c r="G475" i="31" s="1"/>
  <c r="G35" i="31" a="1"/>
  <c r="G756" i="31" a="1"/>
  <c r="G756" i="31" s="1"/>
  <c r="G1107" i="31" a="1"/>
  <c r="G1107" i="31" s="1"/>
  <c r="G227" i="31" a="1"/>
  <c r="G227" i="31" s="1"/>
  <c r="G885" i="31" a="1"/>
  <c r="G885" i="31" s="1"/>
  <c r="G984" i="31" a="1"/>
  <c r="G984" i="31" s="1"/>
  <c r="G1186" i="31" a="1"/>
  <c r="G1186" i="31" s="1"/>
  <c r="G26" i="31" a="1"/>
  <c r="G26" i="31" s="1"/>
  <c r="G250" i="31" a="1"/>
  <c r="G250" i="31" s="1"/>
  <c r="G817" i="31" a="1"/>
  <c r="G817" i="31" s="1"/>
  <c r="G1157" i="31" a="1"/>
  <c r="G1157" i="31" s="1"/>
  <c r="G53" i="31" a="1"/>
  <c r="G53" i="31" s="1"/>
  <c r="G671" i="31" a="1"/>
  <c r="G671" i="31" s="1"/>
  <c r="G906" i="31" a="1"/>
  <c r="G906" i="31" s="1"/>
  <c r="G12" i="31" a="1"/>
  <c r="G609" i="31" a="1"/>
  <c r="G609" i="31" s="1"/>
  <c r="G21" i="31" a="1"/>
  <c r="G21" i="31" s="1"/>
  <c r="G534" i="31" a="1"/>
  <c r="G534" i="31" s="1"/>
  <c r="G24" i="31" a="1"/>
  <c r="G24" i="31" s="1"/>
  <c r="G804" i="31" a="1"/>
  <c r="G804" i="31" s="1"/>
  <c r="G149" i="31" a="1"/>
  <c r="G149" i="31" s="1"/>
  <c r="G598" i="31" a="1"/>
  <c r="G598" i="31" s="1"/>
  <c r="G845" i="31" a="1"/>
  <c r="G845" i="31" s="1"/>
  <c r="G903" i="31" a="1"/>
  <c r="G903" i="31" s="1"/>
  <c r="G356" i="31" a="1"/>
  <c r="G356" i="31" s="1"/>
  <c r="G560" i="31" a="1"/>
  <c r="G560" i="31" s="1"/>
  <c r="G320" i="31" a="1"/>
  <c r="G320" i="31" s="1"/>
  <c r="G891" i="31" a="1"/>
  <c r="G891" i="31" s="1"/>
  <c r="G650" i="31" a="1"/>
  <c r="G650" i="31" s="1"/>
  <c r="G464" i="31" a="1"/>
  <c r="G464" i="31" s="1"/>
  <c r="G247" i="31" a="1"/>
  <c r="G247" i="31" s="1"/>
  <c r="G583" i="31" a="1"/>
  <c r="G583" i="31" s="1"/>
  <c r="G354" i="31" a="1"/>
  <c r="G354" i="31" s="1"/>
  <c r="G107" i="31" a="1"/>
  <c r="G107" i="31" s="1"/>
  <c r="G236" i="31" a="1"/>
  <c r="G236" i="31" s="1"/>
  <c r="G443" i="31" a="1"/>
  <c r="G443" i="31" s="1"/>
  <c r="G168" i="31" a="1"/>
  <c r="G168" i="31" s="1"/>
  <c r="G218" i="31" a="1"/>
  <c r="G218" i="31" s="1"/>
  <c r="G624" i="31" a="1"/>
  <c r="G624" i="31" s="1"/>
  <c r="G602" i="31" a="1"/>
  <c r="G602" i="31" s="1"/>
  <c r="G123" i="31" a="1"/>
  <c r="G123" i="31" s="1"/>
  <c r="G726" i="31" a="1"/>
  <c r="G726" i="31" s="1"/>
  <c r="G567" i="31" a="1"/>
  <c r="G567" i="31" s="1"/>
  <c r="G666" i="31" a="1"/>
  <c r="G666" i="31" s="1"/>
  <c r="G425" i="31" a="1"/>
  <c r="G425" i="31" s="1"/>
  <c r="G806" i="31" a="1"/>
  <c r="G806" i="31" s="1"/>
  <c r="G342" i="31" a="1"/>
  <c r="G342" i="31" s="1"/>
  <c r="G398" i="31" a="1"/>
  <c r="G398" i="31" s="1"/>
  <c r="G289" i="31" a="1"/>
  <c r="G289" i="31" s="1"/>
  <c r="G376" i="31" a="1"/>
  <c r="G376" i="31" s="1"/>
  <c r="G117" i="31" a="1"/>
  <c r="G117" i="31" s="1"/>
  <c r="G71" i="31" a="1"/>
  <c r="G71" i="31" s="1"/>
  <c r="G246" i="31" a="1"/>
  <c r="G246" i="31" s="1"/>
  <c r="G287" i="31" a="1"/>
  <c r="G287" i="31" s="1"/>
  <c r="G261" i="31" a="1"/>
  <c r="G261" i="31" s="1"/>
  <c r="G662" i="31" a="1"/>
  <c r="G662" i="31" s="1"/>
  <c r="G162" i="31" a="1"/>
  <c r="G162" i="31" s="1"/>
  <c r="G47" i="31" a="1"/>
  <c r="G47" i="31" s="1"/>
  <c r="G934" i="31" a="1"/>
  <c r="G934" i="31" s="1"/>
  <c r="G1144" i="31" a="1"/>
  <c r="G1144" i="31" s="1"/>
  <c r="G152" i="31" a="1"/>
  <c r="G152" i="31" s="1"/>
  <c r="G469" i="31" a="1"/>
  <c r="G469" i="31" s="1"/>
  <c r="G1142" i="31" a="1"/>
  <c r="G1142" i="31" s="1"/>
  <c r="G1057" i="31" a="1"/>
  <c r="G1057" i="31" s="1"/>
  <c r="G300" i="31" a="1"/>
  <c r="G300" i="31" s="1"/>
  <c r="G244" i="31" a="1"/>
  <c r="G244" i="31" s="1"/>
  <c r="G995" i="31" a="1"/>
  <c r="G995" i="31" s="1"/>
  <c r="G1072" i="31" a="1"/>
  <c r="G1072" i="31" s="1"/>
  <c r="G77" i="31" a="1"/>
  <c r="G77" i="31" s="1"/>
  <c r="G730" i="31" a="1"/>
  <c r="G730" i="31" s="1"/>
  <c r="G996" i="31" a="1"/>
  <c r="G996" i="31" s="1"/>
  <c r="G177" i="31" a="1"/>
  <c r="G177" i="31" s="1"/>
  <c r="G334" i="31" a="1"/>
  <c r="G334" i="31" s="1"/>
  <c r="G876" i="31" a="1"/>
  <c r="G876" i="31" s="1"/>
  <c r="G481" i="31" a="1"/>
  <c r="G481" i="31" s="1"/>
  <c r="G237" i="31" a="1"/>
  <c r="G237" i="31" s="1"/>
  <c r="G11" i="31" a="1"/>
  <c r="G11" i="31" s="1"/>
  <c r="G958" i="31" a="1"/>
  <c r="G958" i="31" s="1"/>
  <c r="G532" i="31" a="1"/>
  <c r="G532" i="31" s="1"/>
  <c r="G584" i="31" a="1"/>
  <c r="G584" i="31" s="1"/>
  <c r="G403" i="31" a="1"/>
  <c r="G403" i="31" s="1"/>
  <c r="G104" i="31" a="1"/>
  <c r="G104" i="31" s="1"/>
  <c r="G91" i="31" a="1"/>
  <c r="G91" i="31" s="1"/>
  <c r="G302" i="31" a="1"/>
  <c r="G302" i="31" s="1"/>
  <c r="G754" i="31" a="1"/>
  <c r="G754" i="31" s="1"/>
  <c r="G5" i="31" a="1"/>
  <c r="G5" i="31" s="1"/>
  <c r="G969" i="31" a="1"/>
  <c r="G969" i="31" s="1"/>
  <c r="G998" i="31" a="1"/>
  <c r="G998" i="31" s="1"/>
  <c r="G1187" i="31" a="1"/>
  <c r="G1187" i="31" s="1"/>
  <c r="G63" i="31" a="1"/>
  <c r="G63" i="31" s="1"/>
  <c r="G669" i="31" a="1"/>
  <c r="G669" i="31" s="1"/>
  <c r="G986" i="31" a="1"/>
  <c r="G986" i="31" s="1"/>
  <c r="G178" i="31" a="1"/>
  <c r="G178" i="31" s="1"/>
  <c r="G40" i="31" a="1"/>
  <c r="G40" i="31" s="1"/>
  <c r="G825" i="31" a="1"/>
  <c r="G825" i="31" s="1"/>
  <c r="G673" i="31" a="1"/>
  <c r="G673" i="31" s="1"/>
  <c r="G1197" i="31" a="1"/>
  <c r="G1197" i="31" s="1"/>
  <c r="G1073" i="31" a="1"/>
  <c r="G1073" i="31" s="1"/>
  <c r="G892" i="31" a="1"/>
  <c r="G892" i="31" s="1"/>
  <c r="G856" i="31" a="1"/>
  <c r="G856" i="31" s="1"/>
  <c r="G100" i="31" a="1"/>
  <c r="G100" i="31" s="1"/>
  <c r="G606" i="31" a="1"/>
  <c r="G606" i="31" s="1"/>
  <c r="G160" i="31" a="1"/>
  <c r="G160" i="31" s="1"/>
  <c r="G999" i="31" a="1"/>
  <c r="G999" i="31" s="1"/>
  <c r="G734" i="31" a="1"/>
  <c r="G734" i="31" s="1"/>
  <c r="G881" i="31" a="1"/>
  <c r="G881" i="31" s="1"/>
  <c r="G552" i="31" a="1"/>
  <c r="G552" i="31" s="1"/>
  <c r="G340" i="31" a="1"/>
  <c r="G340" i="31" s="1"/>
  <c r="G895" i="31" a="1"/>
  <c r="G895" i="31" s="1"/>
  <c r="G146" i="31" a="1"/>
  <c r="G146" i="31" s="1"/>
  <c r="G76" i="31" a="1"/>
  <c r="G76" i="31" s="1"/>
  <c r="G205" i="31" a="1"/>
  <c r="G205" i="31" s="1"/>
  <c r="G580" i="31" a="1"/>
  <c r="G580" i="31" s="1"/>
  <c r="G367" i="31" a="1"/>
  <c r="G367" i="31" s="1"/>
  <c r="G774" i="31" a="1"/>
  <c r="G774" i="31" s="1"/>
  <c r="G600" i="31" a="1"/>
  <c r="G600" i="31" s="1"/>
  <c r="G347" i="31" a="1"/>
  <c r="G347" i="31" s="1"/>
  <c r="G59" i="31" a="1"/>
  <c r="G59" i="31" s="1"/>
  <c r="G506" i="31" a="1"/>
  <c r="G506" i="31" s="1"/>
  <c r="G667" i="31" a="1"/>
  <c r="G667" i="31" s="1"/>
  <c r="G339" i="31" a="1"/>
  <c r="G339" i="31" s="1"/>
  <c r="G918" i="31" a="1"/>
  <c r="G918" i="31" s="1"/>
  <c r="G133" i="31" a="1"/>
  <c r="G133" i="31" s="1"/>
  <c r="G614" i="31" a="1"/>
  <c r="G614" i="31" s="1"/>
  <c r="G679" i="31" a="1"/>
  <c r="G679" i="31" s="1"/>
  <c r="G79" i="31" a="1"/>
  <c r="G79" i="31" s="1"/>
  <c r="G118" i="31" a="1"/>
  <c r="G118" i="31" s="1"/>
  <c r="G568" i="31" a="1"/>
  <c r="G568" i="31" s="1"/>
  <c r="G260" i="31" a="1"/>
  <c r="G260" i="31" s="1"/>
  <c r="G301" i="31" a="1"/>
  <c r="G301" i="31" s="1"/>
  <c r="G979" i="31" a="1"/>
  <c r="G979" i="31" s="1"/>
  <c r="G594" i="31" a="1"/>
  <c r="G594" i="31" s="1"/>
  <c r="G18" i="31" a="1"/>
  <c r="G18" i="31" s="1"/>
  <c r="G550" i="31" a="1"/>
  <c r="G550" i="31" s="1"/>
  <c r="G802" i="31" a="1"/>
  <c r="G802" i="31" s="1"/>
  <c r="G1148" i="31" a="1"/>
  <c r="G1148" i="31" s="1"/>
  <c r="G660" i="31" a="1"/>
  <c r="G660" i="31" s="1"/>
  <c r="G744" i="31" a="1"/>
  <c r="G744" i="31" s="1"/>
  <c r="G1034" i="31" a="1"/>
  <c r="G1034" i="31" s="1"/>
  <c r="G937" i="31" a="1"/>
  <c r="G937" i="31" s="1"/>
  <c r="G138" i="31" a="1"/>
  <c r="G138" i="31" s="1"/>
  <c r="G14" i="31" a="1"/>
  <c r="G14" i="31" s="1"/>
  <c r="G863" i="31" a="1"/>
  <c r="G863" i="31" s="1"/>
  <c r="G1196" i="31" a="1"/>
  <c r="G1196" i="31" s="1"/>
  <c r="G44" i="31" a="1"/>
  <c r="G44" i="31" s="1"/>
  <c r="G886" i="31" a="1"/>
  <c r="G886" i="31" s="1"/>
  <c r="G805" i="31" a="1"/>
  <c r="G805" i="31" s="1"/>
  <c r="G187" i="31" a="1"/>
  <c r="G187" i="31" s="1"/>
  <c r="G23" i="31" a="1"/>
  <c r="G23" i="31" s="1"/>
  <c r="G872" i="31" a="1"/>
  <c r="G872" i="31" s="1"/>
  <c r="G950" i="31" a="1"/>
  <c r="G950" i="31" s="1"/>
  <c r="G69" i="31" a="1"/>
  <c r="G69" i="31" s="1"/>
  <c r="G164" i="31" a="1"/>
  <c r="G164" i="31" s="1"/>
  <c r="G1020" i="31" a="1"/>
  <c r="G1020" i="31" s="1"/>
  <c r="G359" i="31" a="1"/>
  <c r="G359" i="31" s="1"/>
  <c r="G572" i="31" a="1"/>
  <c r="G572" i="31" s="1"/>
  <c r="G228" i="31" a="1"/>
  <c r="G228" i="31" s="1"/>
  <c r="G1135" i="31" a="1"/>
  <c r="G1135" i="31" s="1"/>
  <c r="G591" i="31" a="1"/>
  <c r="G591" i="31" s="1"/>
  <c r="G311" i="31" a="1"/>
  <c r="G311" i="31" s="1"/>
  <c r="G369" i="31" a="1"/>
  <c r="G369" i="31" s="1"/>
  <c r="G770" i="31" a="1"/>
  <c r="G770" i="31" s="1"/>
  <c r="G333" i="31" a="1"/>
  <c r="G333" i="31" s="1"/>
  <c r="G143" i="31" a="1"/>
  <c r="G143" i="31" s="1"/>
  <c r="G93" i="31" a="1"/>
  <c r="G93" i="31" s="1"/>
  <c r="G656" i="31" a="1"/>
  <c r="G656" i="31" s="1"/>
  <c r="G1180" i="31" a="1"/>
  <c r="G1180" i="31" s="1"/>
  <c r="G3" i="31" a="1"/>
  <c r="G3" i="31" s="1"/>
  <c r="G657" i="31" a="1"/>
  <c r="G657" i="31" s="1"/>
  <c r="G312" i="31" a="1"/>
  <c r="G312" i="31" s="1"/>
  <c r="G803" i="31" a="1"/>
  <c r="G803" i="31" s="1"/>
  <c r="G751" i="31" a="1"/>
  <c r="G751" i="31" s="1"/>
  <c r="G419" i="31" a="1"/>
  <c r="G419" i="31" s="1"/>
  <c r="G841" i="31" a="1"/>
  <c r="G841" i="31" s="1"/>
  <c r="G1172" i="31" a="1"/>
  <c r="G1172" i="31" s="1"/>
  <c r="G622" i="31" a="1"/>
  <c r="G622" i="31" s="1"/>
  <c r="G1149" i="31" a="1"/>
  <c r="G1149" i="31" s="1"/>
  <c r="G1115" i="31" a="1"/>
  <c r="G1115" i="31" s="1"/>
  <c r="G685" i="31" a="1"/>
  <c r="G685" i="31" s="1"/>
  <c r="G1021" i="31" a="1"/>
  <c r="G1021" i="31" s="1"/>
  <c r="G1081" i="31" a="1"/>
  <c r="G1081" i="31" s="1"/>
  <c r="G433" i="31" a="1"/>
  <c r="G433" i="31" s="1"/>
  <c r="G1163" i="31" a="1"/>
  <c r="G1163" i="31" s="1"/>
  <c r="G502" i="31" a="1"/>
  <c r="G502" i="31" s="1"/>
  <c r="G321" i="31" a="1"/>
  <c r="G321" i="31" s="1"/>
  <c r="G67" i="31" a="1"/>
  <c r="G67" i="31" s="1"/>
  <c r="G722" i="31" a="1"/>
  <c r="G722" i="31" s="1"/>
  <c r="G94" i="31" a="1"/>
  <c r="G94" i="31" s="1"/>
  <c r="G742" i="31" a="1"/>
  <c r="G742" i="31" s="1"/>
  <c r="G1141" i="31" a="1"/>
  <c r="G1141" i="31" s="1"/>
  <c r="G768" i="31" a="1"/>
  <c r="G768" i="31" s="1"/>
  <c r="G102" i="31" a="1"/>
  <c r="G102" i="31" s="1"/>
  <c r="G741" i="31" a="1"/>
  <c r="G741" i="31" s="1"/>
  <c r="G898" i="31" a="1"/>
  <c r="G898" i="31" s="1"/>
  <c r="G449" i="31" a="1"/>
  <c r="G449" i="31" s="1"/>
  <c r="G533" i="31" a="1"/>
  <c r="G533" i="31" s="1"/>
  <c r="G980" i="31" a="1"/>
  <c r="G980" i="31" s="1"/>
  <c r="G829" i="31" a="1"/>
  <c r="G829" i="31" s="1"/>
  <c r="G924" i="31" a="1"/>
  <c r="G924" i="31" s="1"/>
  <c r="G1028" i="31" a="1"/>
  <c r="G1028" i="31" s="1"/>
  <c r="G1114" i="31" a="1"/>
  <c r="G1114" i="31" s="1"/>
  <c r="G637" i="31" a="1"/>
  <c r="G637" i="31" s="1"/>
  <c r="G517" i="31" a="1"/>
  <c r="G517" i="31" s="1"/>
  <c r="G483" i="31" a="1"/>
  <c r="G483" i="31" s="1"/>
  <c r="G263" i="31" a="1"/>
  <c r="G263" i="31" s="1"/>
  <c r="G526" i="31" a="1"/>
  <c r="G526" i="31" s="1"/>
  <c r="G192" i="31" a="1"/>
  <c r="G192" i="31" s="1"/>
  <c r="G710" i="31" a="1"/>
  <c r="G710" i="31" s="1"/>
  <c r="G290" i="31" a="1"/>
  <c r="G290" i="31" s="1"/>
  <c r="G767" i="31" a="1"/>
  <c r="G767" i="31" s="1"/>
  <c r="G590" i="31" a="1"/>
  <c r="G590" i="31" s="1"/>
  <c r="G877" i="31" a="1"/>
  <c r="G877" i="31" s="1"/>
  <c r="G52" i="31" a="1"/>
  <c r="G52" i="31" s="1"/>
  <c r="G213" i="31" a="1"/>
  <c r="G213" i="31" s="1"/>
  <c r="G933" i="31" a="1"/>
  <c r="G933" i="31" s="1"/>
  <c r="G13" i="31" a="1"/>
  <c r="G13" i="31" s="1"/>
  <c r="G30" i="31" a="1"/>
  <c r="G30" i="31" s="1"/>
  <c r="G1188" i="31" a="1"/>
  <c r="G1188" i="31" s="1"/>
  <c r="G1193" i="31" a="1"/>
  <c r="G1193" i="31" s="1"/>
  <c r="G791" i="31" a="1"/>
  <c r="G791" i="31" s="1"/>
  <c r="G695" i="31" a="1"/>
  <c r="G695" i="31" s="1"/>
  <c r="G962" i="31" a="1"/>
  <c r="G962" i="31" s="1"/>
  <c r="G1166" i="31" a="1"/>
  <c r="G1166" i="31" s="1"/>
  <c r="G541" i="31" a="1"/>
  <c r="G541" i="31" s="1"/>
  <c r="G1164" i="31" a="1"/>
  <c r="G1164" i="31" s="1"/>
  <c r="G889" i="31" a="1"/>
  <c r="G889" i="31" s="1"/>
  <c r="G370" i="31" a="1"/>
  <c r="G370" i="31" s="1"/>
  <c r="G823" i="31" a="1"/>
  <c r="G823" i="31" s="1"/>
  <c r="G818" i="31" a="1"/>
  <c r="G818" i="31" s="1"/>
  <c r="G408" i="31" a="1"/>
  <c r="G408" i="31" s="1"/>
  <c r="G154" i="31" a="1"/>
  <c r="G154" i="31" s="1"/>
  <c r="G758" i="31" a="1"/>
  <c r="G758" i="31" s="1"/>
  <c r="G757" i="31" a="1"/>
  <c r="G757" i="31" s="1"/>
  <c r="G89" i="31" a="1"/>
  <c r="G89" i="31" s="1"/>
  <c r="G1120" i="31" a="1"/>
  <c r="G1120" i="31" s="1"/>
  <c r="G391" i="31" a="1"/>
  <c r="G391" i="31" s="1"/>
  <c r="G503" i="31" a="1"/>
  <c r="G503" i="31" s="1"/>
  <c r="G862" i="31" a="1"/>
  <c r="G862" i="31" s="1"/>
  <c r="G720" i="31" a="1"/>
  <c r="G720" i="31" s="1"/>
  <c r="G535" i="31" a="1"/>
  <c r="G535" i="31" s="1"/>
  <c r="G1085" i="31" a="1"/>
  <c r="G1085" i="31" s="1"/>
  <c r="G790" i="31" a="1"/>
  <c r="G790" i="31" s="1"/>
  <c r="G1042" i="31" a="1"/>
  <c r="G1042" i="31" s="1"/>
  <c r="G226" i="31" a="1"/>
  <c r="G226" i="31" s="1"/>
  <c r="G1068" i="31" a="1"/>
  <c r="G1068" i="31" s="1"/>
  <c r="G1119" i="31" a="1"/>
  <c r="G1119" i="31" s="1"/>
  <c r="G626" i="31" a="1"/>
  <c r="G626" i="31" s="1"/>
  <c r="G605" i="31" a="1"/>
  <c r="G605" i="31" s="1"/>
  <c r="G380" i="31" a="1"/>
  <c r="G380" i="31" s="1"/>
  <c r="G266" i="31" a="1"/>
  <c r="G266" i="31" s="1"/>
  <c r="G715" i="31" a="1"/>
  <c r="G715" i="31" s="1"/>
  <c r="G1002" i="31" a="1"/>
  <c r="G1002" i="31" s="1"/>
  <c r="G317" i="31" a="1"/>
  <c r="G317" i="31" s="1"/>
  <c r="G777" i="31" a="1"/>
  <c r="G777" i="31" s="1"/>
  <c r="G447" i="31" a="1"/>
  <c r="G447" i="31" s="1"/>
  <c r="G505" i="31" a="1"/>
  <c r="G505" i="31" s="1"/>
  <c r="G579" i="31" a="1"/>
  <c r="G579" i="31" s="1"/>
  <c r="G853" i="31" a="1"/>
  <c r="G853" i="31" s="1"/>
  <c r="G864" i="31" a="1"/>
  <c r="G864" i="31" s="1"/>
  <c r="G492" i="31" a="1"/>
  <c r="G492" i="31" s="1"/>
  <c r="G1065" i="31" a="1"/>
  <c r="G1065" i="31" s="1"/>
  <c r="G718" i="31" a="1"/>
  <c r="G718" i="31" s="1"/>
  <c r="G961" i="31" a="1"/>
  <c r="G961" i="31" s="1"/>
  <c r="G421" i="31" a="1"/>
  <c r="G421" i="31" s="1"/>
  <c r="G922" i="31" a="1"/>
  <c r="G922" i="31" s="1"/>
  <c r="G1129" i="31" a="1"/>
  <c r="G1129" i="31" s="1"/>
  <c r="G914" i="31" a="1"/>
  <c r="G914" i="31" s="1"/>
  <c r="G921" i="31" a="1"/>
  <c r="G921" i="31" s="1"/>
  <c r="G172" i="31" a="1"/>
  <c r="G172" i="31" s="1"/>
  <c r="G208" i="31" a="1"/>
  <c r="G208" i="31" s="1"/>
  <c r="G473" i="31" a="1"/>
  <c r="G473" i="31" s="1"/>
  <c r="G599" i="31" a="1"/>
  <c r="G599" i="31" s="1"/>
  <c r="G72" i="31" a="1"/>
  <c r="G72" i="31" s="1"/>
  <c r="G496" i="31" a="1"/>
  <c r="G496" i="31" s="1"/>
  <c r="G607" i="31" a="1"/>
  <c r="G607" i="31" s="1"/>
  <c r="G981" i="31" a="1"/>
  <c r="G981" i="31" s="1"/>
  <c r="G1050" i="31" a="1"/>
  <c r="G1050" i="31" s="1"/>
  <c r="G127" i="31" a="1"/>
  <c r="G127" i="31" s="1"/>
  <c r="G692" i="31" a="1"/>
  <c r="G692" i="31" s="1"/>
  <c r="G1130" i="31" a="1"/>
  <c r="G1130" i="31" s="1"/>
  <c r="G910" i="31" a="1"/>
  <c r="G910" i="31" s="1"/>
  <c r="G273" i="31" a="1"/>
  <c r="G273" i="31" s="1"/>
  <c r="G1044" i="31" a="1"/>
  <c r="G1044" i="31" s="1"/>
  <c r="G625" i="31" a="1"/>
  <c r="G625" i="31" s="1"/>
  <c r="G985" i="31" a="1"/>
  <c r="G985" i="31" s="1"/>
  <c r="G457" i="31" a="1"/>
  <c r="G457" i="31" s="1"/>
  <c r="G1069" i="31" a="1"/>
  <c r="G1069" i="31" s="1"/>
  <c r="G1137" i="31" a="1"/>
  <c r="G1137" i="31" s="1"/>
  <c r="G1106" i="31" a="1"/>
  <c r="G1106" i="31" s="1"/>
  <c r="G1201" i="31" a="1"/>
  <c r="G1201" i="31" s="1"/>
  <c r="G1140" i="31" a="1"/>
  <c r="G1140" i="31" s="1"/>
  <c r="G430" i="31" a="1"/>
  <c r="G430" i="31" s="1"/>
  <c r="G539" i="31" a="1"/>
  <c r="G539" i="31" s="1"/>
  <c r="G87" i="31" a="1"/>
  <c r="G87" i="31" s="1"/>
  <c r="G239" i="31" a="1"/>
  <c r="G239" i="31" s="1"/>
  <c r="G511" i="31" a="1"/>
  <c r="G511" i="31" s="1"/>
  <c r="G750" i="31" a="1"/>
  <c r="G750" i="31" s="1"/>
  <c r="G420" i="31" a="1"/>
  <c r="G420" i="31" s="1"/>
  <c r="G755" i="31" a="1"/>
  <c r="G755" i="31" s="1"/>
  <c r="G612" i="31" a="1"/>
  <c r="G612" i="31" s="1"/>
  <c r="G41" i="31" a="1"/>
  <c r="G41" i="31" s="1"/>
  <c r="G119" i="31" a="1"/>
  <c r="G119" i="31" s="1"/>
  <c r="G1077" i="31" a="1"/>
  <c r="G1077" i="31" s="1"/>
  <c r="G945" i="31" a="1"/>
  <c r="G945" i="31" s="1"/>
  <c r="G991" i="31" a="1"/>
  <c r="G991" i="31" s="1"/>
  <c r="G827" i="31" a="1"/>
  <c r="G827" i="31" s="1"/>
  <c r="G1076" i="31" a="1"/>
  <c r="G1076" i="31" s="1"/>
  <c r="G1066" i="31" a="1"/>
  <c r="G1066" i="31" s="1"/>
  <c r="G1094" i="31" a="1"/>
  <c r="G1094" i="31" s="1"/>
  <c r="G1167" i="31" a="1"/>
  <c r="G1167" i="31" s="1"/>
  <c r="G1138" i="31" a="1"/>
  <c r="G1138" i="31" s="1"/>
  <c r="G1124" i="31" a="1"/>
  <c r="G1124" i="31" s="1"/>
  <c r="G936" i="31" a="1"/>
  <c r="G936" i="31" s="1"/>
  <c r="G558" i="31" a="1"/>
  <c r="G558" i="31" s="1"/>
  <c r="G327" i="31" a="1"/>
  <c r="G327" i="31" s="1"/>
  <c r="G721" i="31" a="1"/>
  <c r="G721" i="31" s="1"/>
  <c r="G470" i="31" a="1"/>
  <c r="G470" i="31" s="1"/>
  <c r="G581" i="31" a="1"/>
  <c r="G581" i="31" s="1"/>
  <c r="G523" i="31" a="1"/>
  <c r="G523" i="31" s="1"/>
  <c r="G1083" i="31" a="1"/>
  <c r="G1083" i="31" s="1"/>
  <c r="G852" i="31" a="1"/>
  <c r="G852" i="31" s="1"/>
  <c r="G45" i="31" a="1"/>
  <c r="G45" i="31" s="1"/>
  <c r="G703" i="31" a="1"/>
  <c r="G703" i="31" s="1"/>
  <c r="G55" i="31" a="1"/>
  <c r="G55" i="31" s="1"/>
  <c r="G997" i="31" a="1"/>
  <c r="G997" i="31" s="1"/>
  <c r="G745" i="31" a="1"/>
  <c r="G745" i="31" s="1"/>
  <c r="G837" i="31" a="1"/>
  <c r="G837" i="31" s="1"/>
  <c r="G1097" i="31" a="1"/>
  <c r="G1097" i="31" s="1"/>
  <c r="G1153" i="31" a="1"/>
  <c r="G1153" i="31" s="1"/>
  <c r="G1052" i="31" a="1"/>
  <c r="G1052" i="31" s="1"/>
  <c r="G1089" i="31" a="1"/>
  <c r="G1089" i="31" s="1"/>
  <c r="G1169" i="31" a="1"/>
  <c r="G1169" i="31" s="1"/>
  <c r="G1211" i="31" a="1"/>
  <c r="G1211" i="31" s="1"/>
  <c r="G1143" i="31" a="1"/>
  <c r="G1143" i="31" s="1"/>
  <c r="G1177" i="31" a="1"/>
  <c r="G1177" i="31" s="1"/>
  <c r="G1200" i="31" a="1"/>
  <c r="G1200" i="31" s="1"/>
  <c r="G587" i="31" a="1"/>
  <c r="G587" i="31" s="1"/>
  <c r="G905" i="31" a="1"/>
  <c r="G905" i="31" s="1"/>
  <c r="G134" i="31" a="1"/>
  <c r="G134" i="31" s="1"/>
  <c r="G322" i="31" a="1"/>
  <c r="G322" i="31" s="1"/>
  <c r="G611" i="31" a="1"/>
  <c r="G611" i="31" s="1"/>
  <c r="G423" i="31" a="1"/>
  <c r="G423" i="31" s="1"/>
  <c r="G970" i="31" a="1"/>
  <c r="G970" i="31" s="1"/>
  <c r="G285" i="31" a="1"/>
  <c r="G285" i="31" s="1"/>
  <c r="G1019" i="31" a="1"/>
  <c r="G1019" i="31" s="1"/>
  <c r="G897" i="31" a="1"/>
  <c r="G897" i="31" s="1"/>
  <c r="G176" i="31" a="1"/>
  <c r="G176" i="31" s="1"/>
  <c r="G547" i="31" a="1"/>
  <c r="G547" i="31" s="1"/>
  <c r="G938" i="31" a="1"/>
  <c r="G938" i="31" s="1"/>
  <c r="G385" i="31" a="1"/>
  <c r="G385" i="31" s="1"/>
  <c r="G1214" i="31" a="1"/>
  <c r="G1214" i="31" s="1"/>
  <c r="G1190" i="31" a="1"/>
  <c r="G1190" i="31" s="1"/>
  <c r="G661" i="31" a="1"/>
  <c r="G661" i="31" s="1"/>
  <c r="G1049" i="31" a="1"/>
  <c r="G1049" i="31" s="1"/>
  <c r="G349" i="31" a="1"/>
  <c r="G349" i="31" s="1"/>
  <c r="G992" i="31" a="1"/>
  <c r="G992" i="31" s="1"/>
  <c r="G1175" i="31" a="1"/>
  <c r="G1175" i="31" s="1"/>
  <c r="G1103" i="31" a="1"/>
  <c r="G1103" i="31" s="1"/>
  <c r="G792" i="31" a="1"/>
  <c r="G792" i="31" s="1"/>
  <c r="G1000" i="31" a="1"/>
  <c r="G1000" i="31" s="1"/>
  <c r="G296" i="31" a="1"/>
  <c r="G296" i="31" s="1"/>
  <c r="G642" i="31" a="1"/>
  <c r="G642" i="31" s="1"/>
  <c r="G597" i="31" a="1"/>
  <c r="G597" i="31" s="1"/>
  <c r="G83" i="31" a="1"/>
  <c r="G83" i="31" s="1"/>
  <c r="G446" i="31" a="1"/>
  <c r="G446" i="31" s="1"/>
  <c r="G1053" i="31" a="1"/>
  <c r="G1053" i="31" s="1"/>
  <c r="G38" i="31" a="1"/>
  <c r="G38" i="31" s="1"/>
  <c r="G1071" i="31" a="1"/>
  <c r="G1071" i="31" s="1"/>
  <c r="G835" i="31" a="1"/>
  <c r="G835" i="31" s="1"/>
  <c r="G140" i="31" a="1"/>
  <c r="G140" i="31" s="1"/>
  <c r="G42" i="31" a="1"/>
  <c r="G42" i="31" s="1"/>
  <c r="G1121" i="31" a="1"/>
  <c r="G1121" i="31" s="1"/>
  <c r="G1202" i="31" a="1"/>
  <c r="G1202" i="31" s="1"/>
  <c r="G1112" i="31" a="1"/>
  <c r="G1112" i="31" s="1"/>
  <c r="G1126" i="31" a="1"/>
  <c r="G1126" i="31" s="1"/>
  <c r="G1078" i="31" a="1"/>
  <c r="G1078" i="31" s="1"/>
  <c r="G1113" i="31" a="1"/>
  <c r="G1113" i="31" s="1"/>
  <c r="G373" i="31" a="1"/>
  <c r="G373" i="31" s="1"/>
  <c r="G238" i="31" a="1"/>
  <c r="G238" i="31" s="1"/>
  <c r="G1040" i="31" a="1"/>
  <c r="G1040" i="31" s="1"/>
  <c r="G913" i="31" a="1"/>
  <c r="G913" i="31" s="1"/>
  <c r="G1173" i="31" a="1"/>
  <c r="G1173" i="31" s="1"/>
  <c r="G908" i="31" a="1"/>
  <c r="G908" i="31" s="1"/>
  <c r="G871" i="31" a="1"/>
  <c r="G871" i="31" s="1"/>
  <c r="G762" i="31" a="1"/>
  <c r="G762" i="31" s="1"/>
  <c r="G394" i="31" a="1"/>
  <c r="G394" i="31" s="1"/>
  <c r="G129" i="31" a="1"/>
  <c r="G129" i="31" s="1"/>
  <c r="G363" i="31" a="1"/>
  <c r="G363" i="31" s="1"/>
  <c r="G1168" i="31" a="1"/>
  <c r="G1168" i="31" s="1"/>
  <c r="G92" i="31" a="1"/>
  <c r="G92" i="31" s="1"/>
  <c r="G1096" i="31" a="1"/>
  <c r="G1096" i="31" s="1"/>
  <c r="G173" i="31" a="1"/>
  <c r="G173" i="31" s="1"/>
  <c r="G406" i="31" a="1"/>
  <c r="G406" i="31" s="1"/>
  <c r="G919" i="31" a="1"/>
  <c r="G919" i="31" s="1"/>
  <c r="G1041" i="31" a="1"/>
  <c r="G1041" i="31" s="1"/>
  <c r="G682" i="31" a="1"/>
  <c r="G682" i="31" s="1"/>
  <c r="G1102" i="31" a="1"/>
  <c r="G1102" i="31" s="1"/>
  <c r="G214" i="31" a="1"/>
  <c r="G214" i="31" s="1"/>
  <c r="G1093" i="31" a="1"/>
  <c r="G1093" i="31" s="1"/>
  <c r="G1079" i="31" a="1"/>
  <c r="G1079" i="31" s="1"/>
  <c r="G982" i="31" a="1"/>
  <c r="G982" i="31" s="1"/>
  <c r="G1080" i="31" a="1"/>
  <c r="G1080" i="31" s="1"/>
  <c r="G1067" i="31" a="1"/>
  <c r="G1067" i="31" s="1"/>
  <c r="G658" i="31" a="1"/>
  <c r="G658" i="31" s="1"/>
  <c r="G901" i="31" a="1"/>
  <c r="G901" i="31" s="1"/>
  <c r="G199" i="31" a="1"/>
  <c r="G199" i="31" s="1"/>
  <c r="G1150" i="31" a="1"/>
  <c r="G1150" i="31" s="1"/>
  <c r="G1051" i="31" a="1"/>
  <c r="G1051" i="31" s="1"/>
  <c r="G1008" i="31" a="1"/>
  <c r="G1008" i="31" s="1"/>
  <c r="G448" i="31" a="1"/>
  <c r="G448" i="31" s="1"/>
  <c r="G1047" i="31" a="1"/>
  <c r="G1047" i="31" s="1"/>
  <c r="G436" i="31" a="1"/>
  <c r="G436" i="31" s="1"/>
  <c r="G697" i="31" a="1"/>
  <c r="G697" i="31" s="1"/>
  <c r="G407" i="31" a="1"/>
  <c r="G407" i="31" s="1"/>
  <c r="G890" i="31" a="1"/>
  <c r="G890" i="31" s="1"/>
  <c r="G974" i="31" a="1"/>
  <c r="G974" i="31" s="1"/>
  <c r="G121" i="31" a="1"/>
  <c r="G121" i="31" s="1"/>
  <c r="G467" i="31" a="1"/>
  <c r="G467" i="31" s="1"/>
  <c r="G1101" i="31" a="1"/>
  <c r="G1101" i="31" s="1"/>
  <c r="G1046" i="31" a="1"/>
  <c r="G1046" i="31" s="1"/>
  <c r="G1161" i="31" a="1"/>
  <c r="G1161" i="31" s="1"/>
  <c r="G1206" i="31" a="1"/>
  <c r="G1206" i="31" s="1"/>
  <c r="G1009" i="31" a="1"/>
  <c r="G1009" i="31" s="1"/>
  <c r="G1004" i="31" a="1"/>
  <c r="G1004" i="31" s="1"/>
  <c r="G405" i="31" a="1"/>
  <c r="G405" i="31" s="1"/>
  <c r="G95" i="31" a="1"/>
  <c r="G95" i="31" s="1"/>
  <c r="G1016" i="31" a="1"/>
  <c r="G1016" i="31" s="1"/>
  <c r="G1088" i="31" a="1"/>
  <c r="G1088" i="31" s="1"/>
  <c r="G243" i="31" a="1"/>
  <c r="G243" i="31" s="1"/>
  <c r="G1176" i="31" a="1"/>
  <c r="G1176" i="31" s="1"/>
  <c r="G1189" i="31" a="1"/>
  <c r="G1189" i="31" s="1"/>
  <c r="G202" i="31" a="1"/>
  <c r="G202" i="31" s="1"/>
  <c r="G274" i="31" a="1"/>
  <c r="G274" i="31" s="1"/>
  <c r="G318" i="31" a="1"/>
  <c r="G318" i="31" s="1"/>
  <c r="G948" i="31" a="1"/>
  <c r="G948" i="31" s="1"/>
  <c r="G1045" i="31" a="1"/>
  <c r="G1045" i="31" s="1"/>
  <c r="G798" i="31" a="1"/>
  <c r="G798" i="31" s="1"/>
  <c r="G851" i="31" a="1"/>
  <c r="G851" i="31" s="1"/>
  <c r="G1181" i="31" a="1"/>
  <c r="G1181" i="31" s="1"/>
  <c r="G1037" i="31" a="1"/>
  <c r="G1037" i="31" s="1"/>
  <c r="G1210" i="31" a="1"/>
  <c r="G1210" i="31" s="1"/>
  <c r="E2" i="31"/>
  <c r="G2" i="31" s="1" a="1"/>
  <c r="G2" i="31" s="1"/>
  <c r="J31" i="35" a="1"/>
  <c r="J31" i="35" s="1"/>
  <c r="J17" i="35" a="1"/>
  <c r="J17" i="35" s="1"/>
  <c r="J109" i="35" a="1"/>
  <c r="J109" i="35" s="1"/>
  <c r="J59" i="35" a="1"/>
  <c r="J59" i="35" s="1"/>
  <c r="J26" i="35" a="1"/>
  <c r="J26" i="35" s="1"/>
  <c r="J84" i="35" a="1"/>
  <c r="J84" i="35" s="1"/>
  <c r="J92" i="35" a="1"/>
  <c r="J92" i="35" s="1"/>
  <c r="J86" i="35" a="1"/>
  <c r="J86" i="35" s="1"/>
  <c r="J24" i="35" a="1"/>
  <c r="J24" i="35" s="1"/>
  <c r="J38" i="35" a="1"/>
  <c r="J38" i="35" s="1"/>
  <c r="J40" i="35" a="1"/>
  <c r="J40" i="35" s="1"/>
  <c r="J70" i="35" a="1"/>
  <c r="J70" i="35" s="1"/>
  <c r="J41" i="35" a="1"/>
  <c r="J41" i="35" s="1"/>
  <c r="J99" i="35" a="1"/>
  <c r="J99" i="35" s="1"/>
  <c r="J42" i="35" a="1"/>
  <c r="J42" i="35" s="1"/>
  <c r="J27" i="35" a="1"/>
  <c r="J27" i="35" s="1"/>
  <c r="J61" i="35" a="1"/>
  <c r="J61" i="35" s="1"/>
  <c r="J9" i="35" a="1"/>
  <c r="J9" i="35" s="1"/>
  <c r="G1036" i="31" a="1"/>
  <c r="G1036" i="31" s="1"/>
  <c r="J91" i="35" a="1"/>
  <c r="J91" i="35" s="1"/>
  <c r="J43" i="35" a="1"/>
  <c r="J43" i="35" s="1"/>
  <c r="J46" i="35" a="1"/>
  <c r="J46" i="35" s="1"/>
  <c r="J89" i="35" a="1"/>
  <c r="J89" i="35" s="1"/>
  <c r="J51" i="35" a="1"/>
  <c r="J51" i="35" s="1"/>
  <c r="J36" i="35" a="1"/>
  <c r="J36" i="35" s="1"/>
  <c r="J29" i="35" a="1"/>
  <c r="J29" i="35" s="1"/>
  <c r="J71" i="35" a="1"/>
  <c r="J71" i="35" s="1"/>
  <c r="J50" i="35" a="1"/>
  <c r="J50" i="35" s="1"/>
  <c r="J103" i="35" a="1"/>
  <c r="J103" i="35" s="1"/>
  <c r="J39" i="35" a="1"/>
  <c r="J39" i="35" s="1"/>
  <c r="J83" i="35" a="1"/>
  <c r="J83" i="35" s="1"/>
  <c r="J69" i="35" a="1"/>
  <c r="J69" i="35" s="1"/>
  <c r="J82" i="35" a="1"/>
  <c r="J82" i="35" s="1"/>
  <c r="J35" i="35" a="1"/>
  <c r="J35" i="35" s="1"/>
  <c r="J75" i="35" a="1"/>
  <c r="J75" i="35" s="1"/>
  <c r="A4" i="35"/>
  <c r="J4" i="35" s="1" a="1"/>
  <c r="J4" i="35" s="1"/>
  <c r="J22" i="35" a="1"/>
  <c r="J22" i="35" s="1"/>
  <c r="J65" i="35" a="1"/>
  <c r="J65" i="35" s="1"/>
  <c r="J12" i="35" a="1"/>
  <c r="J12" i="35" s="1"/>
  <c r="J101" i="35" a="1"/>
  <c r="J101" i="35" s="1"/>
  <c r="J56" i="35" a="1"/>
  <c r="J56" i="35" s="1"/>
  <c r="G60" i="32"/>
  <c r="G844" i="31" l="1" a="1"/>
  <c r="G844" i="31" s="1"/>
  <c r="G676" i="31" a="1"/>
  <c r="G676" i="31" s="1"/>
  <c r="G454" i="31" a="1"/>
  <c r="G454" i="31" s="1"/>
  <c r="G1012" i="31" a="1"/>
  <c r="G1012" i="31" s="1"/>
  <c r="G831" i="31" a="1"/>
  <c r="G831" i="31" s="1"/>
  <c r="G880" i="31" a="1"/>
  <c r="G880" i="31" s="1"/>
  <c r="G1170" i="31" a="1"/>
  <c r="G1170" i="31" s="1"/>
  <c r="G807" i="31" a="1"/>
  <c r="G807" i="31" s="1"/>
  <c r="G1182" i="31" a="1"/>
  <c r="G1182" i="31" s="1"/>
  <c r="G194" i="31" a="1"/>
  <c r="G194" i="31" s="1"/>
  <c r="G771" i="31" a="1"/>
  <c r="G771" i="31" s="1"/>
  <c r="G953" i="31" a="1"/>
  <c r="G953" i="31" s="1"/>
  <c r="G596" i="31" a="1"/>
  <c r="G596" i="31" s="1"/>
  <c r="G760" i="31" a="1"/>
  <c r="G760" i="31" s="1"/>
  <c r="G677" i="31" a="1"/>
  <c r="G677" i="31" s="1"/>
  <c r="G786" i="31" a="1"/>
  <c r="G786" i="31" s="1"/>
  <c r="G1111" i="31" a="1"/>
  <c r="G1111" i="31" s="1"/>
  <c r="G3" i="5"/>
  <c r="G4" i="5" s="1"/>
  <c r="F4" i="5"/>
  <c r="J2" i="35"/>
  <c r="R14" i="8"/>
  <c r="O14" i="8"/>
  <c r="G683" i="31"/>
  <c r="C12" i="8" s="1"/>
  <c r="F12" i="8"/>
  <c r="Q12" i="8"/>
  <c r="S12" i="8"/>
  <c r="P12" i="8"/>
  <c r="H12" i="8"/>
  <c r="D12" i="8"/>
  <c r="J12" i="8"/>
  <c r="O12" i="8"/>
  <c r="L12" i="8"/>
  <c r="I12" i="8"/>
  <c r="E12" i="8"/>
  <c r="R12" i="8"/>
  <c r="G12" i="8"/>
  <c r="T12" i="8"/>
  <c r="M12" i="8"/>
  <c r="K12" i="8"/>
  <c r="N12" i="8"/>
  <c r="N14" i="8"/>
  <c r="G12" i="31"/>
  <c r="C14" i="8" s="1"/>
  <c r="J14" i="8"/>
  <c r="E14" i="8"/>
  <c r="I14" i="8"/>
  <c r="K14" i="8"/>
  <c r="D14" i="8"/>
  <c r="H14" i="8"/>
  <c r="P14" i="8"/>
  <c r="M14" i="8"/>
  <c r="G14" i="8"/>
  <c r="T14" i="8"/>
  <c r="F14" i="8"/>
  <c r="Q14" i="8"/>
  <c r="S14" i="8"/>
  <c r="G34" i="31"/>
  <c r="E16" i="8"/>
  <c r="O16" i="8"/>
  <c r="L16" i="8"/>
  <c r="H16" i="8"/>
  <c r="Q16" i="8"/>
  <c r="T16" i="8"/>
  <c r="G35" i="31"/>
  <c r="I16" i="8"/>
  <c r="K16" i="8"/>
  <c r="N16" i="8"/>
  <c r="R16" i="8"/>
  <c r="D16" i="8"/>
  <c r="F16" i="8"/>
  <c r="J16" i="8"/>
  <c r="M16" i="8"/>
  <c r="S16" i="8"/>
  <c r="P16" i="8"/>
  <c r="L14" i="8"/>
  <c r="G16" i="8"/>
  <c r="G216" i="31"/>
  <c r="T2" i="35"/>
  <c r="P2" i="35"/>
  <c r="Y2" i="35"/>
  <c r="L2" i="35"/>
  <c r="V2" i="35"/>
  <c r="R2" i="35"/>
  <c r="Q2" i="35"/>
  <c r="M2" i="35"/>
  <c r="X2" i="35"/>
  <c r="S2" i="35"/>
  <c r="W2" i="35"/>
  <c r="AA2" i="35"/>
  <c r="Z2" i="35"/>
  <c r="U2" i="35"/>
  <c r="N2" i="35"/>
  <c r="K2" i="35"/>
  <c r="O2" i="35"/>
  <c r="O15" i="8" l="1"/>
  <c r="C15" i="8"/>
  <c r="E15" i="8"/>
  <c r="L15" i="8"/>
  <c r="T15" i="8"/>
  <c r="D15" i="8"/>
  <c r="R15" i="8"/>
  <c r="M15" i="8"/>
  <c r="Q15" i="8"/>
  <c r="C19" i="5"/>
  <c r="P15" i="8"/>
  <c r="C22" i="5"/>
  <c r="N15" i="8"/>
  <c r="C13" i="5"/>
  <c r="C14" i="5"/>
  <c r="C23" i="5"/>
  <c r="C21" i="5"/>
  <c r="C20" i="5"/>
  <c r="S15" i="8"/>
  <c r="C16" i="5"/>
  <c r="E16" i="5" s="1"/>
  <c r="C26" i="5"/>
  <c r="C18" i="5"/>
  <c r="C24" i="5"/>
  <c r="C16" i="8"/>
  <c r="C13" i="8"/>
  <c r="J15" i="8"/>
  <c r="Q13" i="8"/>
  <c r="L13" i="8"/>
  <c r="L17" i="8" s="1"/>
  <c r="H15" i="8"/>
  <c r="G15" i="8"/>
  <c r="C17" i="5"/>
  <c r="E17" i="5" s="1"/>
  <c r="K13" i="8"/>
  <c r="N13" i="8"/>
  <c r="D13" i="8"/>
  <c r="D17" i="8" s="1"/>
  <c r="C12" i="5"/>
  <c r="E12" i="5" s="1"/>
  <c r="C11" i="5"/>
  <c r="E11" i="5" s="1"/>
  <c r="S13" i="8"/>
  <c r="T13" i="8"/>
  <c r="M13" i="8"/>
  <c r="E13" i="8"/>
  <c r="E17" i="8" s="1"/>
  <c r="H13" i="8"/>
  <c r="H17" i="8" s="1"/>
  <c r="C15" i="5"/>
  <c r="E15" i="5" s="1"/>
  <c r="O13" i="8"/>
  <c r="O17" i="8" s="1"/>
  <c r="J13" i="8"/>
  <c r="J17" i="8" s="1"/>
  <c r="I13" i="8"/>
  <c r="I15" i="8"/>
  <c r="P13" i="8"/>
  <c r="P17" i="8" s="1"/>
  <c r="F15" i="8"/>
  <c r="R13" i="8"/>
  <c r="F13" i="8"/>
  <c r="C10" i="5"/>
  <c r="E10" i="5" s="1"/>
  <c r="K15" i="8"/>
  <c r="G13" i="8"/>
  <c r="C25" i="5"/>
  <c r="C9" i="5"/>
  <c r="E9" i="5" s="1"/>
  <c r="T17" i="8"/>
  <c r="R17" i="8" l="1"/>
  <c r="S17" i="8"/>
  <c r="M17" i="8"/>
  <c r="Q17" i="8"/>
  <c r="N17" i="8"/>
  <c r="C17" i="8"/>
  <c r="G17" i="8"/>
  <c r="K17" i="8"/>
  <c r="F17" i="8"/>
  <c r="I17" i="8"/>
  <c r="F9" i="5" l="1" a="1"/>
  <c r="F9" i="5" s="1"/>
  <c r="G9" i="5" s="1"/>
  <c r="G24" i="5" l="1"/>
  <c r="G21" i="5"/>
  <c r="G16" i="5"/>
  <c r="G10" i="5"/>
  <c r="G13" i="5"/>
  <c r="G18" i="5"/>
  <c r="G23" i="5"/>
  <c r="G25" i="5"/>
  <c r="G22" i="5"/>
  <c r="G14" i="5"/>
  <c r="G19" i="5"/>
  <c r="G11" i="5"/>
  <c r="G15" i="5"/>
  <c r="G12" i="5"/>
  <c r="G17" i="5"/>
  <c r="G20" i="5"/>
  <c r="G26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<sst xmlns="http://schemas.openxmlformats.org/spreadsheetml/2006/main" count="10069" uniqueCount="545">
  <si>
    <t>EMPRESA</t>
  </si>
  <si>
    <t>MUNICIPALIDAD</t>
  </si>
  <si>
    <t>MES</t>
  </si>
  <si>
    <t>FECHA</t>
  </si>
  <si>
    <t>N° BOLSAS</t>
  </si>
  <si>
    <t>KG BOLSA</t>
  </si>
  <si>
    <t>TOTAL (KG)</t>
  </si>
  <si>
    <t>CAP. SACOS</t>
  </si>
  <si>
    <t>N° SACOS</t>
  </si>
  <si>
    <t>UNIDADES</t>
  </si>
  <si>
    <t>PRODUCCIÓN</t>
  </si>
  <si>
    <t>ENVASADO</t>
  </si>
  <si>
    <t>SALIDA</t>
  </si>
  <si>
    <t>PRODUCTO</t>
  </si>
  <si>
    <t>PENDIENTE</t>
  </si>
  <si>
    <t>Agua Blanca</t>
  </si>
  <si>
    <t>Enero</t>
  </si>
  <si>
    <t>HOJUELAS DE KIWICHA TOSTADA, SOYA INTEGRAL, QUINUA,  AVENA CON MACA ENRIQUECIDA CON VITAMINAS Y MINERALES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</si>
  <si>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</si>
  <si>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</si>
  <si>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</si>
  <si>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</si>
  <si>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</si>
  <si>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</si>
  <si>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</si>
  <si>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</si>
  <si>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</si>
  <si>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</si>
  <si>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</si>
  <si>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Alto Biavo</t>
  </si>
  <si>
    <t>O.C.</t>
  </si>
  <si>
    <t>HOJUELAS PRECOCIDAS AZUCARADAS DE AVENA, CAÑIHUA, QUINUA, CEBADA, MACA, ALBUMINA DE HUEVO FORTIFICADA CON VITAMINAS Y MINERALES</t>
  </si>
  <si>
    <t>Alto Trujillo</t>
  </si>
  <si>
    <t>MEZCLA DE HOJUELAS DE QUINUA, AVENA Y KIWICHA ENRIQUECIDA CON VITAMINAS Y MINERALES - HOJUELAS CRUDAS</t>
  </si>
  <si>
    <t>Ascope</t>
  </si>
  <si>
    <t>Enero / Febrero / Marzo</t>
  </si>
  <si>
    <t>HOJUELAS DE AVENA, KIWICHA, QUINUA, MAÍZ CHUFLA CON SOYA, MACA Y AZÚCAR FORTIFICADA CON VITAMINAS Y MINERALES - HOJUELAS PRECOCIDAS</t>
  </si>
  <si>
    <t>Abril / Mayo / Junio</t>
  </si>
  <si>
    <t>Julio / Agosto / Septiembre</t>
  </si>
  <si>
    <t>Octubre / Noviembre / Diciembre</t>
  </si>
  <si>
    <t>Asuncion</t>
  </si>
  <si>
    <t>Enero / Febrero / Marzo / Abril</t>
  </si>
  <si>
    <t>HOJUELA DE KIWICHA TOSTADA SOYA INTEGRAL QUINUA AVENA CON MACA ENRIQUECIDA CON VITAMINAS Y MINERALES</t>
  </si>
  <si>
    <t>Mayo / Junio</t>
  </si>
  <si>
    <t>Julio / Agosto</t>
  </si>
  <si>
    <t>Septiembre / Octubre</t>
  </si>
  <si>
    <t>Noviembre / Diciembre</t>
  </si>
  <si>
    <t>Asuncion - Chacas</t>
  </si>
  <si>
    <t>HOJUELAS DE QUINUA AVENA KIWICHA CON HARINA DE MACA ENRIQUECIDA CON VITAMINAS Y MINERALES</t>
  </si>
  <si>
    <t>Barranquita</t>
  </si>
  <si>
    <t>HOJUELAS PRECOCIDAS AZUCARADAS DE AVENA, CAÑIHUA, QUINUA, HARINA TOSTADA DE CEBADA, HARINA DESHIDRATADA MACA, HARINA INTEGRAL DE SOYA, ALBUMINA DE HUEVO FORTIFICADA CON VITAMINAS Y MINERALES</t>
  </si>
  <si>
    <t>Buenaventura</t>
  </si>
  <si>
    <t>HOJUELA DE QUINUA, AVENA, KIWICHA PRECOCIDA, AZUCARADA, FORTIFICADA CON VITAMINAS Y MINERALES</t>
  </si>
  <si>
    <t>Buenavista</t>
  </si>
  <si>
    <t>HOJUELAS DE AVENA, QUINUA Y HARINA DE MAÍZ PRECOCIDAS ENRIQUECIDAS CON VITAMINAS Y MINERALES</t>
  </si>
  <si>
    <t>Caceres</t>
  </si>
  <si>
    <t>HOJUELAS PRECOCIDAS DE AVENA, QUINUA Y KIWICHA, HARINA DE MAIZ CHUFLA, FORTIFICADA CON VITAMINAS Y MINERALES</t>
  </si>
  <si>
    <t xml:space="preserve">HOJUELAS PRECOCIDAS DE AVENA, QUINUA Y KIWICHA, HARINA DE MAÍZ CHUFLA FORTIFICADA CON VITAMINAS Y MINERALES </t>
  </si>
  <si>
    <t>CORDELAN</t>
  </si>
  <si>
    <t>Cachachi</t>
  </si>
  <si>
    <t xml:space="preserve">MEZCLA PRECOCIDA DE AVENA, QUINUA, KIWICHA, SOYA Y MACA AZUCARADA FORTIFICADA CON VITAMINAS Y MINERALES </t>
  </si>
  <si>
    <t>Cajabamba</t>
  </si>
  <si>
    <t>HOJUELAS DE KIWICHA, AVENA Y QUINUA, FORTIFICADAS CON VITAMINAS Y MINERALES – HOJUELAS PRECOCIDAS</t>
  </si>
  <si>
    <t>Cajabamba Leche</t>
  </si>
  <si>
    <t>HOJUELAS DE KIWICHA, QUINUA Y AVENA CON LECHE ENTERA EN POLVO Y HARINA DE SOYA INTEGRAL TOSTADA, FORTIFICADAS CON VITAMINAS Y MINERALES – MEZCLA PRECOCIDA</t>
  </si>
  <si>
    <t>Cajamarca Rur</t>
  </si>
  <si>
    <t>HOJUELA DE KIWICHA, AVENA HOJUELA CRUDA, MAIZ BLANCO HARINA, PALLAR SECO, SOYA HARINA INTEGRAL TOSTADA, MACA ALMIDON ENRIQUECIDA CON VITAMINAS Y MINERALES</t>
  </si>
  <si>
    <t>Septiembre</t>
  </si>
  <si>
    <t>Cajamarca Urb</t>
  </si>
  <si>
    <t>Cajamarca Urb - 2025</t>
  </si>
  <si>
    <t>HOJUELA DE QUINUA AVENA CON MAÍZ CHUFLA ENRIQUECIDA CON VITAMINAS Y MINERALES</t>
  </si>
  <si>
    <t>Cajatambo</t>
  </si>
  <si>
    <t>HOJUELAS PRECOCIDAS DE AVENA, QUINUA, KIWICHA Y MACA ENRIQUECIDA CON VITAMINAS Y MINERALES</t>
  </si>
  <si>
    <t>Camporredondo</t>
  </si>
  <si>
    <t>MEZCLA DE HARINA DE TRIGO Y HARINA DE CAÑIHUA FORTIFICADA CON HIERRO VITAMINAS Y MINERALES</t>
  </si>
  <si>
    <t>Carabamba</t>
  </si>
  <si>
    <t>MEZCLA DE HOJUELAS DE AVENA, LINAZA, CEBADA, QUINUA CON HARINA DE MACA, SOYA, LECHE EN POLVO Y AZÚCAR FORTIFICADO CON VITAMINAS Y MINERALES.</t>
  </si>
  <si>
    <t>Carabamba1</t>
  </si>
  <si>
    <t>MEZCLA DE HOJUELA DE AVENA, QUINUA, HARINA DE CEBADA, HARINA INTEGRAL TOSTADA DE SOYA, HARINA DE MACA, HARINA DE LINAZA, LECHE ENTERA EN POLVO, AZUCAR ENRIQUECIDA CON VITAMINAS Y MINERALES</t>
  </si>
  <si>
    <t>MI FORTALEZA</t>
  </si>
  <si>
    <t>Carhuaz</t>
  </si>
  <si>
    <t>HOJUELA DE AVENA, QUINUA KIWICHA Y SOYA PRECOCIDAS ENRIQUECIDAS CON VITAMINAS Y MINERALES</t>
  </si>
  <si>
    <t>Casa Grande</t>
  </si>
  <si>
    <t>HOJUELAS DE AVENA, QUINUA, KIWICHA, CAÑIHUA ENRIQUECIDA CON VITAMINAS Y MINERALES - HOJUELAS PRECOCIDAS</t>
  </si>
  <si>
    <t>Catilluc</t>
  </si>
  <si>
    <t>HOJUELA DE KIWICHA TOSTADA, SOYA INTEGRAL, QUINUA, AVENA AZUCARADA CON MACA ENRIQUECIDA CON VITAMINAS Y MINERALES</t>
  </si>
  <si>
    <t>Chao</t>
  </si>
  <si>
    <t>HOJUELA PRECOCIDA DE QUINUA, AVENA, KIWICHA, MACA, SOYA, ENRIQUECIDA CON VITAMINAS Y MINERALES</t>
  </si>
  <si>
    <t>Chetilla</t>
  </si>
  <si>
    <t>HOJUELAS PRECOCIDAS AZUCARADAS DE AVENA, QUINUA, KIWICHA CON TARWI, SOYA, MACA, ACEITE VEGETAL DE SOYA Y PROTEINA AISLADO DE SOYA FORTIFICADO CON VITAMINAS Y MINERALES</t>
  </si>
  <si>
    <t>ESPERANZA</t>
  </si>
  <si>
    <t>Chiclayo</t>
  </si>
  <si>
    <t>HOJUELAS PRECOCIDAS DE QUINUA, AVENA Y CEBADA TOSTADA Y MOLIDA ENRIQUECIDA CON VITAMINAS Y MINERALES</t>
  </si>
  <si>
    <t>Complementaria 1</t>
  </si>
  <si>
    <t>Complementaria 2</t>
  </si>
  <si>
    <t>Complementaria 3</t>
  </si>
  <si>
    <t>Chiclayo1</t>
  </si>
  <si>
    <t>HOJUELAS PRECOCIDAS DE AVENA CON QUINUA, CEBADA TOSTADA Y MOLIDA(CHAQUEPA), HARINA DE MACA ENRIQUECIDA CON VITAMINAS Y MINERALES</t>
  </si>
  <si>
    <t>Chilete</t>
  </si>
  <si>
    <t>HOJUELAS DE KIWICHA, QUINUA, AVENA, TRIGO, CEBADA, MACA, AJONJOLÍ Y HARINA DE SOYA ENRIQUECIDA CON VITAMINAS Y MINERALES - HOJUELAS PRECOCIDAS</t>
  </si>
  <si>
    <t>ENHA</t>
  </si>
  <si>
    <t>Chiliquin</t>
  </si>
  <si>
    <t>HOJUELAS PRECOCIDAS DE AVENA, CON HARINA DE KIWICHA Y HARINA DE MACA, FORTIFICADA CON VITAMINAS Y MINERALES</t>
  </si>
  <si>
    <t>Chimban</t>
  </si>
  <si>
    <t>HOJUELAS PRECOCIDAS MOLIDAS DE CEREALES CON SOYA Y MACA; KIWICHA TOSTADA, SOYA INTEGRAL, QUINUA, AVENA CON MACA ENRIQUECIDA CON VITAMINAS Y MINERALES</t>
  </si>
  <si>
    <t>Chocope</t>
  </si>
  <si>
    <t>MEZCLA DE HOJUELAS PRECOCIDAS DE AVENA, QUINUA, KIWICHA, MACA, FREJOL TARWI, GARBANZO Y SOYA FORTIFICADO CON VITAMINAS Y MINERALES</t>
  </si>
  <si>
    <t>Chongoyape</t>
  </si>
  <si>
    <t>MEZCLA PRECOCIDA DE AVENA, QUINUA, KIWICHA CON SOYA Y MACA AZUCARADA FORTIFICADO CON VITAMINAS Y MINERALES</t>
  </si>
  <si>
    <t>Choropampa</t>
  </si>
  <si>
    <t>HOJUELA PRECOCIDA DE AVENA, ARROZ, TRIGO, QUINUA, LENTEJA CON PROTEINA AISLADO DE SOYA CON ACEITE DE GIRASOL ENRIQUECIDA CON VITAMINAS MINERALES</t>
  </si>
  <si>
    <t>Cochabamba</t>
  </si>
  <si>
    <t>HOJUELAS PRECOCIDAS DE AVENA, QUINUA, KIWICHA, MACA, HARINA DE MAÍZ CHUFLA FORTIFICADO CON VITAMINAS Y MINERALES</t>
  </si>
  <si>
    <t>ANDES</t>
  </si>
  <si>
    <t>Cochan</t>
  </si>
  <si>
    <t>HOJUELAS PRECOCIDAS DE QUINUA, AVENA, SOYA, MACA Y ACEITE VEGETAL DE SOYA ENRIQUECIDA CON VITAMINAS Y MINERALES</t>
  </si>
  <si>
    <t>Coishco</t>
  </si>
  <si>
    <t>HOJUELAS PRECOCIDAS DE AVENA, QUINUA, KIWICHA, CON MACA Y SOYA ENRIQUECIDA CON VITAMINAS Y MINERALES</t>
  </si>
  <si>
    <t>Colcamar</t>
  </si>
  <si>
    <t>MEZCLA DE HARINAS DE SIETE SEMILLAS (TRIGO, HABAS, ARVEJAS, KIWICHA, CAÑIHUA, CEBADA, QUINUA) CON HARINA DE PLATANO ENRIQUECIDA CON VITAMINAS Y MINERALES</t>
  </si>
  <si>
    <t>Condebamba</t>
  </si>
  <si>
    <t>Enero / Febrero</t>
  </si>
  <si>
    <t>Marzo / Abril</t>
  </si>
  <si>
    <t>Copallin</t>
  </si>
  <si>
    <t>HOJUELAS PRECOCIDAS AZUCARADAS DE AVENA, QUINUA, KIWICHA CON HARINA Y PROTEÍNAS DE SOYA FORTIFICADA CON VITAMINAS Y MINERALES</t>
  </si>
  <si>
    <t>Coris</t>
  </si>
  <si>
    <t>HOJUELAS DE AVENA, QUINUA, KIWICHA Y SOYA PRECOCIDAS ENRIQUECIDAS CON VITAMINAS Y MINERALES</t>
  </si>
  <si>
    <t>Cospan</t>
  </si>
  <si>
    <t xml:space="preserve">HOJUELAS DE AVENA, QUINUA, KIWICHA CON MACA Y SOYA ENRIQUECIDA CON VITAMINAS Y MINERALES </t>
  </si>
  <si>
    <t>El Prado</t>
  </si>
  <si>
    <t>MEZCLA PRECOCIDA DE QUINUA, AVENA, MAÍZ CHUFLA CON MACA FORTIFICADA CON VITAMINAS Y MINERALES</t>
  </si>
  <si>
    <t>Mayo / Junio / Julio / Agosto</t>
  </si>
  <si>
    <t>Septiembre / Octubre / Noviembre / Diciembre</t>
  </si>
  <si>
    <t>Encañada</t>
  </si>
  <si>
    <t>MEZCLA PRECOCIDA DE HOJUELAS DE QUINUA, AVENA Y KIWICHA CON SEMILLAS DE CHÍA, HARINAS DE MACA Y CACAO FORTIFICADA CON VITAMINAS Y MINERALES</t>
  </si>
  <si>
    <t>Enha 1</t>
  </si>
  <si>
    <t>Enha 2</t>
  </si>
  <si>
    <t>Enha 3</t>
  </si>
  <si>
    <t>Enha 4</t>
  </si>
  <si>
    <t>Enha 5</t>
  </si>
  <si>
    <t>Enha 6</t>
  </si>
  <si>
    <t>Florencia de Mora</t>
  </si>
  <si>
    <t>HOJUELAS DE AVENA QUINUA KIWICHA PRECOCIDA FORTIFICADA CON VITAMINAS Y MINERALES</t>
  </si>
  <si>
    <t>Florida</t>
  </si>
  <si>
    <t>HOJUELAS PRECOCIDAS DE AVENA, QUINUA KIWICHA, CON HARINA DE MACA, HARINA INTEGRAL DE SOYA, FORTIFICADO CON VITAMINAS Y MINERALES</t>
  </si>
  <si>
    <t>Gregorio Pita</t>
  </si>
  <si>
    <t>MEZCLAS DE HOJUELAS DE AVENA, QUINUA Y KIWICHA CON HARINA DE MACA, HARINA DE TARWI, LECHE ENTERA EN POLVO AZUCARADO CON VITAMINAS Y MINERALES</t>
  </si>
  <si>
    <t>Guadalupito</t>
  </si>
  <si>
    <t>HOJUELAS PRECOCIDA DE QUINUA, KIWICHA, MACA, AVENA CON LECHE ENTERA EN POLVO ENRIQUECIDA CON VITAMINAS Y MINERALES</t>
  </si>
  <si>
    <t>Huabal</t>
  </si>
  <si>
    <t>MEZCLA PRECOCIDA DE AVENA, SOYA, ACEITE DE ALMENDRA, KIWICHA, MACA, QUINUA FORTIFICADA CON VITAMINAS Y MINERALES</t>
  </si>
  <si>
    <t>Hualgayoc</t>
  </si>
  <si>
    <t xml:space="preserve">HOJUELAS PRECOCIDAS LACTEADAS DE KIWICHA, QUINUA Y AVENA, CON MACA, SOYA, TARHUI Y GARBANZO FORTIFICADAS CON VITAMINAS Y MINERALES </t>
  </si>
  <si>
    <t>Huamachuco</t>
  </si>
  <si>
    <t>HOJUELAS DE AVENA, QUINUA, MACA, HARINA DE SOYA INTEGRAL TOSTADA, ALMIDÓN DE MAÍZ AZUCARADA FORTIFICADA CON VITAMINAS Y MINERALES (HOJUELAS CRUDAS)</t>
  </si>
  <si>
    <t>Huambo</t>
  </si>
  <si>
    <t>HOJUELAS DE AVENA, QUINUA, KIWICHA CON MACA Y SOYA ENRIQUECIDA CON VITAMINAS Y MINERALES - HOJUELAS PRECOCIDAS</t>
  </si>
  <si>
    <t>Huancas</t>
  </si>
  <si>
    <t>MEZCLA DE HARINA DE SIETE SEMILLAS (TRIGO, HABAS, ARVEJAS, KIWICHA, CAÑIHUA, CEBADA, QUINUA) CON HARINA DE PLATANO ENRIQUECIDA CON VITAMINAS Y MINERALES</t>
  </si>
  <si>
    <t>Huaranchal</t>
  </si>
  <si>
    <t xml:space="preserve">HOJUELAS DE AVENA, QUINUA, KIWICHA, CAÑIHUA ENRIQUECIDA CON VITAMINAS Y MINERALES - HOJUELAS PRECOCIDAS </t>
  </si>
  <si>
    <t>Huarango</t>
  </si>
  <si>
    <t>HOJUELA PRECOCIDA DE AVENA, KIWICHA TOSTADA, CHUFLA, PLÁTANO, FORTIFICADO CON VITAMINAS Y MINERALES</t>
  </si>
  <si>
    <t>Huaso</t>
  </si>
  <si>
    <t>HOJUELAS DE AVENA, KIWICHA, QUINUA, MAIZ CHUFLA CON SOYA, MACA Y AZUCAR FORTIFICADA CON VITAMINAS Y MINERALES</t>
  </si>
  <si>
    <t>Extra</t>
  </si>
  <si>
    <t>Huaso (azucar)</t>
  </si>
  <si>
    <t>AZUCAR RUBIA</t>
  </si>
  <si>
    <t>Huayllabamba</t>
  </si>
  <si>
    <t>HOJUELAS PRECOCIDAS DE AVENA, QUINUA Y KIWICHA ENRIQUECIDA CON VITAMINAS Y MINERALES</t>
  </si>
  <si>
    <t>Ichocan</t>
  </si>
  <si>
    <t>MEZCLA DE HOJUELAS CON HARINA DE MAÍZ CHUFLA, CON HOJUELAS DE KIWICHA, SOYA, AVENA, ALMIDÓN DE MACA, LECHE AZUCARADA ENRIQUECIDA CON VITAMINAS Y MINERALES</t>
  </si>
  <si>
    <t>IMPERIUM</t>
  </si>
  <si>
    <t>HOJUELAS DE QUINUA, AVENA, KIWICHA Y MACA FORTIFICADA CON VITAMINAS Y MINERALES / HOJUELAS DE AVENA CON QUINUA Y MACA FORTIFICADA CON VITAMINAS Y MINERALES</t>
  </si>
  <si>
    <t>O.C. 15</t>
  </si>
  <si>
    <t>HOJUELAS DE QUINUA, HOJUELAS DE KIWICHA, HARINA DE MACA FORTIFICADO CON VITAMINAS Y MINERALES</t>
  </si>
  <si>
    <t>O.C. 13</t>
  </si>
  <si>
    <t>HOJUELAS DE QUINUA, AVENA, KIWICHA Y MACA FORTIFICADA CON VITAMINAS Y MINERALES</t>
  </si>
  <si>
    <t>O.C. 18</t>
  </si>
  <si>
    <t>O.C. 20</t>
  </si>
  <si>
    <t>IMPERIUM 2</t>
  </si>
  <si>
    <t>Imperium Plt</t>
  </si>
  <si>
    <t>HOJUELAS PRECOCIDAS DE AVENA, KIWICHA, QUINUA, CON HARINAS DE SOYA, MACA Y PLATANO FORTIFICADA CON VITAMINAS Y MINERALES</t>
  </si>
  <si>
    <t>Ingenio</t>
  </si>
  <si>
    <t>HOJUELAS DE QUINUA, AVENA PRECOCIDA FORTIFICADA CON VITAMINAS Y MINERALES</t>
  </si>
  <si>
    <t>Jesus</t>
  </si>
  <si>
    <t>HOJUELA DE AVENA, QUINUA, KIWICHA, SOYA, MACA Y MAÍZ CHUFLA FORTIFICADA CON VITAMINAS Y MINERALES</t>
  </si>
  <si>
    <t>O.C</t>
  </si>
  <si>
    <t>Jose Manuel Quiroz</t>
  </si>
  <si>
    <t xml:space="preserve">HOJUELAS DE AVENA, QUINUA, KIWICHA, CAÑIHUA ENRIQUECIDA CON VITAMINAS Y MINERALES. </t>
  </si>
  <si>
    <t>Jose Sabogal</t>
  </si>
  <si>
    <t>MEZCLA DE HOJUELAS PRECOCIDAS DE KIWICHA, QUINUA, AVENA CON HARINA DE MAÍZ BLANCO (CHUFLA), TARWI, PROTEÍNA DE SOYA, LECHE ENTERA EN POLVO AZUCARADA ENRIQUECIDA CON VITAMINAS Y MINERALES</t>
  </si>
  <si>
    <t>La Banda de Shilcayo</t>
  </si>
  <si>
    <t>FACOIMPEC</t>
  </si>
  <si>
    <t>La Esperanza</t>
  </si>
  <si>
    <t>Dicb25</t>
  </si>
  <si>
    <t>HOJUELAS DE QUINUA AVENA CON AZUCAR FORTIFICADA CON VITAMINAS Y MINERALES</t>
  </si>
  <si>
    <t>HOJUELAS DE QUINUA AVENA CON AZÚCAR FORTIFICADA CON VITAMINAS Y MINERALES</t>
  </si>
  <si>
    <t>NAPER</t>
  </si>
  <si>
    <t>La Florida</t>
  </si>
  <si>
    <t>HOJUELA DE QUINUA, AVENA, KIWICHA, SOYA, MACA Y TARWI (CHOCHO) CON VITAMINAS Y MINERALES</t>
  </si>
  <si>
    <t>Llacanora</t>
  </si>
  <si>
    <t>MEZCLA PRECOCIDA DE QUINUA, AVENA, MAÍZ CHULFA CON MACA FORTIFICADA CON VITAMINAS Y MINERALES</t>
  </si>
  <si>
    <t>Llama</t>
  </si>
  <si>
    <t xml:space="preserve">HOJUELAS DE AVENA, KIWICHA, QUINUA, MAÍZ CHUFLA CON SOYA, MACA Y AZÚCAR FORTIFICADA CON VITAMINAS Y MINERALES </t>
  </si>
  <si>
    <t>Longotea</t>
  </si>
  <si>
    <t>MEZCLA DE HOJUELAS DE QUINUA, AVENA, KIWICHA, SOYA, TARWI CON MACA Y LECHE ENTERA EN POLVO AZUCARADA Y FORTIFICADA CON VITAMINAS Y MINERALES SABOR A CANELA</t>
  </si>
  <si>
    <t>Longuita</t>
  </si>
  <si>
    <t>HOJUELAS PRECOCIDAS DE QUINUA, AVENA, KIWICHA Y ARINA DE MACA FORTIFICADA CON VITAMINAS Y MINERALES</t>
  </si>
  <si>
    <t>Luya</t>
  </si>
  <si>
    <t>HOJUELAS PRECOCIDAS DE AVENA, QUINUA, KIWICHA, HARINA DE MACA, ENRIQUECIDA CON VITAMINAS Y MINERALES</t>
  </si>
  <si>
    <t>Luya Az</t>
  </si>
  <si>
    <t>HOJUELAS PRECOCIDAS DE AVENA, QUINUA, KIWICHA, MACA EN HARINA Y AZUCAR RUBIA FORTIFICADA CON VITAMINAS Y MINERALES</t>
  </si>
  <si>
    <t>Macate</t>
  </si>
  <si>
    <t xml:space="preserve">HOJUELAS DE AVENA, QUINUA, KIWICHA Y MACA ENRIQUECIDO CON VITAMINAS Y MINERALES </t>
  </si>
  <si>
    <t>Magdalena</t>
  </si>
  <si>
    <t>HOJUELAS PRECOCIDAS DE AVENA, KIWICHA, QUINUA, CON SOYA ENRIQUECIDA CON VITAMINAS Y MINERALES</t>
  </si>
  <si>
    <t>Magdalena de Cao</t>
  </si>
  <si>
    <t>HOJUELAS DE AVENA, QUINUA, KIWICHA CON MACA Y SOYA ENRIQUECIDA CON VITAMINAS Y MINERALES</t>
  </si>
  <si>
    <t>Mancos</t>
  </si>
  <si>
    <t>HOJUELAS DE AVENA, QUINUA Y KIWICHA, PRECOCIDAS ENRIQUECIDAS CON VITAMINAS Y MINERALES</t>
  </si>
  <si>
    <t>Manseriche</t>
  </si>
  <si>
    <t>HOJUELAS DE AVENA, KIWICHA, QUINUA, MAÍZ CHUFLA CON SOYA, MACA Y AZÚCAR FORTIFICADA CON VITAMINAS Y MINERALES</t>
  </si>
  <si>
    <t>Marcabal</t>
  </si>
  <si>
    <t>HOJUELAS PRECOCIDAS DE KIWICHA, SOYA, CHUFLA, AVENA, PALLAR, CON MACA Y AZÚCAR RUBIA, ENRIQUECIDAS CON VITAMINAS Y MINERALES</t>
  </si>
  <si>
    <t>Marcara</t>
  </si>
  <si>
    <t xml:space="preserve">HOJUELAS DE AVENA CON QUINUA Y MACA FORTIFICADA CON VITAMINAS Y MINERALES </t>
  </si>
  <si>
    <t>Marcara1</t>
  </si>
  <si>
    <t>Matara</t>
  </si>
  <si>
    <t>HOJUELAS PRECOCIDAS DE KIWICHA, AVENA, CHUFLA, SOYA, TARHUI CON PROTEINAS DE SOYA, ENRIQUECIDA CON VITAMINAS Y MINERALES</t>
  </si>
  <si>
    <t>HOJUELAS PRECOCIDAS DE KIWICHA, AVENA, CHUFLA, SOYA, TARWI CON PROTEINAS DE SOYA ENRIQUECIDA CON VITAMINAS Y MINERALES</t>
  </si>
  <si>
    <t>Morales</t>
  </si>
  <si>
    <t>HOJUELAS PRECOCIDAS AZUCARADAS DE AVENA, CAÑIHUA, QUINUA, HARINA TOSTADA DE CEBADA, HARINA DESHIDRATATA MACA, HARINA INTEGRAL DE SOYA, ALBUMINA DE HUEVO FORTIFICADA CON VITAMINAS Y MINERALES</t>
  </si>
  <si>
    <t>Moyobamba</t>
  </si>
  <si>
    <t>HOJUELAS PRECOCIDAS AZUCARADAS DE AVENA, SACHA INCHI, HARINA DE MACA DESHIDRATADA, HARINA DE PLÁTANO, ALBUMINA DE HUEVO FORTIFICADA CON VITAMINAS Y MINERALES</t>
  </si>
  <si>
    <t xml:space="preserve"> cantidad según guia / HOJUELAS PRECOCIDAS AZUCARADAS DE AVENA, SACHA INCHI, HARINA DE MACA DESHIDRATADA, HARINA DE PLÁTANO, ALBUMINA DE HUEVO FORTIFICADA CON VITAMINAS Y MINERALES</t>
  </si>
  <si>
    <t>Namballe</t>
  </si>
  <si>
    <t>Febrero / Marzo / Abril</t>
  </si>
  <si>
    <t>HOJUELAS DE AVENA, SÉMOLA DE QUINUA, KIWICHA PRECOCIDA, TARWI, PLÁTANO, SOYA, CAÑIHUA ENRIQUECIDA CON VITAMINAS Y MINERALES</t>
  </si>
  <si>
    <t>Namora</t>
  </si>
  <si>
    <t xml:space="preserve">HOJUELA PRECOCIDA DE QUINUA, CEBADA TOSTADA, MAÍZ CHUFLA, AVENA FORTIFICADA CON VITAMINAS Y MINERALES </t>
  </si>
  <si>
    <t>Nueva Arica</t>
  </si>
  <si>
    <t>HOJUELAS PRECOCIDAS DE QUINUA, KIWICHA, AVENA CON SOYA, TARHUI Y MACA ENRIQUECIDA O FORTIFICADA CON VITAMINAS Y MINERALES</t>
  </si>
  <si>
    <t>Nueva Cajamarca</t>
  </si>
  <si>
    <t>HOJUELAS DE QUINUA AVENA CON AZÚCAR FORTIFICADA CON VITAMINAS Y MINERALES - HOJUELAS CRUDAS</t>
  </si>
  <si>
    <t>Olleros</t>
  </si>
  <si>
    <t>HOJUELAS DE AVENA, QUINUA, KIWICHA Y MACA CON VITAMINAS Y MINERALES</t>
  </si>
  <si>
    <t>Olmos</t>
  </si>
  <si>
    <t xml:space="preserve">MEZCLA PRECOCIDA DE QUINUA, KIWICHA, AVENA Y HARINA DE SOYA INTEGRAL TOSTADA CON LECHE ENTERA EN POLVO FORTIFICADA CON VITAMINAS Y MINERALES </t>
  </si>
  <si>
    <t>Organos</t>
  </si>
  <si>
    <t>Primera</t>
  </si>
  <si>
    <t>MEZCLA DE HOJUELAS Y HARINAS PRECOCIDAS DE AVENA, TRIGO, CAÑIHUA Y QUINUA CON HARINAS DE CEBADA Y KIWICHA FORTIFICADA CON VITAMINAS Y MINERALES</t>
  </si>
  <si>
    <t>Segunda</t>
  </si>
  <si>
    <t>Tercera</t>
  </si>
  <si>
    <t>Cuarta</t>
  </si>
  <si>
    <t>Quinta</t>
  </si>
  <si>
    <t>Sexta</t>
  </si>
  <si>
    <t>Septima</t>
  </si>
  <si>
    <t>Octava</t>
  </si>
  <si>
    <t>Pisuquia</t>
  </si>
  <si>
    <t>HOJUELAS PRECOCIDAS DE QUINUA, AVENA, KIWICHA Y HARINA DE MACA FORTIFICADA CON VITAMINAS Y MINERALES</t>
  </si>
  <si>
    <t>Pomahuaca</t>
  </si>
  <si>
    <t>HOJUELAS DE QUINUA, KIWICHA, CEBADA, CAÑIHUA, AVENA Y HARINA INTEGRAL DE SOYA PRECOCIDA FORTIFICADA CON VITAMINAS Y MINERALES</t>
  </si>
  <si>
    <t>GRAN INDUST.</t>
  </si>
  <si>
    <t>Qaliwarma Avena</t>
  </si>
  <si>
    <t>Lima</t>
  </si>
  <si>
    <t>QALIWARMA - AVENA  Lt.1</t>
  </si>
  <si>
    <t>Yurimag</t>
  </si>
  <si>
    <t>QALIWARMA - AVENA  Lt.2</t>
  </si>
  <si>
    <t>BACHOTA</t>
  </si>
  <si>
    <t>Cajamarca</t>
  </si>
  <si>
    <t>Qaliwarma Kiwicha</t>
  </si>
  <si>
    <t>QALIWARMA - AVENA KIWICHA Lt.1</t>
  </si>
  <si>
    <t>MEVAK</t>
  </si>
  <si>
    <t>QALIWARMA - AVENA KIWICHA Lt.2</t>
  </si>
  <si>
    <t>Pizan</t>
  </si>
  <si>
    <t>QALIWARMA - AVENA KIWICHA Lt.3</t>
  </si>
  <si>
    <t>Pucalpa</t>
  </si>
  <si>
    <t>Qaliwarma Quinua</t>
  </si>
  <si>
    <t>QALIWARMA - AVENA QUINUA Lt.1</t>
  </si>
  <si>
    <t>MOVA</t>
  </si>
  <si>
    <t>Chimbote</t>
  </si>
  <si>
    <t>Chota</t>
  </si>
  <si>
    <t>Huaraz</t>
  </si>
  <si>
    <t>QALIWARMA - AVENA QUINUA Lt.2</t>
  </si>
  <si>
    <t>QALIWARMA - AVENA QUINUA Lt.3</t>
  </si>
  <si>
    <t>Querocotillo</t>
  </si>
  <si>
    <t>HOJUELA PRECOCIDA AVENA KIWICHA HARINA DE MAIZ BLANCO Y MACA FORTIFICADA CON VITAMINAS Y MINERALES</t>
  </si>
  <si>
    <t>Querocoto</t>
  </si>
  <si>
    <t>Quillo</t>
  </si>
  <si>
    <t>HOJUELAS PRECOCIDAS DE QUINUA, KIWICHA, MACA, AVENA CON LECHE ENTERA EN POLVO ENRIQUECIDAS CON VITAMINAS Y MINERALES</t>
  </si>
  <si>
    <t>Salaverry</t>
  </si>
  <si>
    <t>HOJUELAS DE QUINUA AVENA ENRIQUECIDA CON VITAMINAS Y MINERALES</t>
  </si>
  <si>
    <t>San Antonio</t>
  </si>
  <si>
    <t>HOJUELAS DE QUINUA AVENA PRECOCIDA FORTIFICADA CON VITAMINAS Y MINERALES</t>
  </si>
  <si>
    <t>San Benito</t>
  </si>
  <si>
    <t>MEZCLA PRECOCIDA DE HOJUELAS DE KIWICHA, QUINUA, AVENA, TRIGO Y CEBADA CON HARINA DE MACA, AJONJOLÍ Y HARINA DE SOYA ENRIQUECIDA CON VITAMINAS Y MINERALES</t>
  </si>
  <si>
    <t>San Carlos</t>
  </si>
  <si>
    <t>San Gregorio</t>
  </si>
  <si>
    <t xml:space="preserve">HOJUELA DE AVENA, QUINUA, KIWICHA CON MACA Y SOYA ENRIQUECIDA CON VITAMINAS Y MINERALES. </t>
  </si>
  <si>
    <t>San Ignacio</t>
  </si>
  <si>
    <t>MEZCLA PRECOCIDA DE QUINUA, KIWICHA, MAIZ CHUFLA, HARINA DE PAJURO, AISLADO DE SOYA, CHIA, SACHA INCHI (OMEGA 3, 6 Y 9) CON CANELA FORTIFICADA CON VITAMINAS Y MINERALES</t>
  </si>
  <si>
    <t>San Isidro de Maino</t>
  </si>
  <si>
    <t>San Isidro Maino</t>
  </si>
  <si>
    <t>HOJUELAS DE AVENA, ENRIQUECIDA CON VITAMINAS Y MINERALES</t>
  </si>
  <si>
    <t>San Jose</t>
  </si>
  <si>
    <t>MEZCLA DE CEREALES: HOJUELAS DE AVENA, QUINUA, KIWICHA CON MACA Y SOYA ENRIQUECIDA CON VITAMINAS Y MINERALES</t>
  </si>
  <si>
    <t>San Jose Alto</t>
  </si>
  <si>
    <t xml:space="preserve">MEZCLA PRECOCIDA DE HOJUELAS DE AVENA, KIWICHA, QUINUA, SOYA Y MACA ENRIQUECIDA CON VITAMINAS Y MINERALES </t>
  </si>
  <si>
    <t>San Jose de Lourdes</t>
  </si>
  <si>
    <t>HOJUELA DE AVENA Y KIWICHA, HARINA DE CAMU CAMU CON OMEGA 3 Y 6 ENRIQUECIDA CON VITAMINAS Y MINERALES</t>
  </si>
  <si>
    <t>San Juan</t>
  </si>
  <si>
    <t>HOJUELA CRUDA DE AVENA, HOJUELA DE QUINUA, HOJUELA PRECOCIDA DE KIWICHA, HARINA INTEGRAL DE FREJOL SOYA Y HARINA DE MACA, ENRIQUECIDA CON VITAMINAS Y MINERALES</t>
  </si>
  <si>
    <t>San Luis - 25</t>
  </si>
  <si>
    <t>HOJUELA DE QUINUA, KIWICHA, HARINA DE MACA, AVENA EN HOJUELAS, HARINA DE SOYA Y AJONJOLI ENRIQUECIDAS CON VITAMINAS Y MINERALES</t>
  </si>
  <si>
    <t>San Marcos - Ancash</t>
  </si>
  <si>
    <t>HOJUELA DE AVENA, QUINUA Y MACA HARINA DE LUCUMA ENRIQUECIDA CON VITAMINAS Y MINERALES</t>
  </si>
  <si>
    <t xml:space="preserve">HOJUELAS PRECOCIDAS DE AVENA, QUINUA, HARINA DE KIWICHA, HARINA DE MACA, HARINA DE LÚCUMA ENRIQUECIDAS CON VITAMINAS Y MINERALES. </t>
  </si>
  <si>
    <t>San Marcos - Caj.25</t>
  </si>
  <si>
    <t>HOJUELA CRUDA DE AVENA, HOJUELA DE QUINUA, HARINA DE SOYA INTEGRAL HARINA DE KIWICHA, LECHE EN POLVO ENTERA AZUCARADA FORTIFICADA CON MIX VITAMÍNICO Y FOSFATO TRICÁLCICO</t>
  </si>
  <si>
    <t>San Martin</t>
  </si>
  <si>
    <t>HOJUELAS PRECOCIDAS DE AVENA, KIWICHA TOSTADA, HARINA DE MAIZ BLANCO, PLATANO CON AZUCAR, FORTIFICADA CON VITAMINAS Y MINERALES</t>
  </si>
  <si>
    <t>San Martin-25</t>
  </si>
  <si>
    <t>MEZCLA DE HOJUELA PRECOCIDA DE QUINUA, AVENA, KIWICHA, MACA, LINAZA Y AJONJOLI CON PROTEINA AISLADA DE SOYA Y AZUCAR FORTIFICADA ENRIQUECIDA CON VITAMINAS Y MINERALES</t>
  </si>
  <si>
    <t>San Miguel</t>
  </si>
  <si>
    <t>MEZCLA DE HOJUELAS DE AVENA, QUINUA, KIWICHA, CAÑIHUA, AJONJOLÍ, CON HARINA DE MACA Y AZÚCAR FORTIFICADA CON VITAMINAS Y MINERALES</t>
  </si>
  <si>
    <t>San Pablo</t>
  </si>
  <si>
    <t>HOJUELA DE KIWICHA TOSTADA, SOYA INTEGRAL, QUINUA, AVENA CON MACA ENRIQUECIDA CON VITAMINAS Y MINERALES</t>
  </si>
  <si>
    <t>San Pablo - Trigo</t>
  </si>
  <si>
    <t>HARINA PRECOCIDA DE TRIGO</t>
  </si>
  <si>
    <t>San Pedro</t>
  </si>
  <si>
    <t>MEZCLA PRECOCIDA DE HOJUELAS DE AVENA, QUINUA Y KIWICHA CON SOYA Y MAÍZ CHUFLA FORTIFICADA CON VITAMINAS Y MINERALES</t>
  </si>
  <si>
    <t>San Roque</t>
  </si>
  <si>
    <t>Santa</t>
  </si>
  <si>
    <t xml:space="preserve">MEZCLA DE HOJUELAS PRECOCIDAS DE AVENA, QUINUA Y KIWICHA CON SOYA Y MAÍZ CHUFLA FORTIFICADA CON VITAMINAS Y MINERALES </t>
  </si>
  <si>
    <t>Sarin</t>
  </si>
  <si>
    <t>HOJUELA DE AVENA, QUINUA, KIWICHA, SABOR A VAINILLA, ENRIQUECIDA CON VITAMINAS Y MINERALES</t>
  </si>
  <si>
    <t>Shanao - 25</t>
  </si>
  <si>
    <t>Sitacocha</t>
  </si>
  <si>
    <t>HOJUELAS PRECOCIDAS DE AVENA, QUINUA, KIWICHA FORTIFICADA CON VITAMINAS Y MINERALES</t>
  </si>
  <si>
    <t>Soloco</t>
  </si>
  <si>
    <t>Supe</t>
  </si>
  <si>
    <t>Ene - Agos</t>
  </si>
  <si>
    <t>HOJUELAS DE AVENA, QUINUA Y KIWICHA FORTIFICADA CON VITAMINAS Y MINERALES</t>
  </si>
  <si>
    <t>Suyo</t>
  </si>
  <si>
    <t>MEZCLA DE HOJUELAS PRECOCIDAS DE AVENA, QUINUA, TRIGO, KIWICHA O AMARANTO, CEBADA CON MACA Y AJONJOLÍ FORTIFICADAS CON VITAMINAS Y MINERALES</t>
  </si>
  <si>
    <t>Tantarica</t>
  </si>
  <si>
    <t xml:space="preserve">HOJUELAS PRECOCIDAS DE KIWICHA, QUINUA Y AVENA, CON MAÍZ CHUFLA, HARINAS DE MACA Y SOYA, FORTIFICADAS CON VITAMINAS Y MINERALES </t>
  </si>
  <si>
    <t>Taurija</t>
  </si>
  <si>
    <t>MEZCLA DE HOJUELAS PRECOCIDAS DE AVENA, QUINUA, KIWICHA, MACA FREJOL TARWI, GARBANZO Y SOYA, FORTIFICADA CON VITAMINAS Y MINERALES.</t>
  </si>
  <si>
    <t>Tongod</t>
  </si>
  <si>
    <t xml:space="preserve">MEZCLA DE HOJUELAS PRECOCIDAS DE AVENA, KIWICHA, QUINUA, CEBADA, SOYA Y AZÚCAR FORTIFICADO CON VITAMINAS Y MINERALES </t>
  </si>
  <si>
    <t>Totora</t>
  </si>
  <si>
    <t>Trujillo</t>
  </si>
  <si>
    <t>HOJUELA PRECOCIDA DE AVENA CHUFLA SOYA INTEGRAL TOSTADA PLATANO FORTIFICADA CON VITAMINAS Y MINERALES</t>
  </si>
  <si>
    <t>Tumbaden</t>
  </si>
  <si>
    <t>MEZCLA FORTIFICADA DE HOJUELAS DE QUINUA Y KIWICHA CON HARINAS DE GARBANZO, HABA, MACA Y SOYA AZUCARADA CON VITAMINAS Y MINERALES</t>
  </si>
  <si>
    <t>Urpay</t>
  </si>
  <si>
    <t>MEZCLA DE HOJUELAS PRECOCIDAS DE AVENA, QUINUA, KIWICHA CON HARINA DE MACA, TARWI, GARBANZO Y SOYA FORTIFICADO CON VITAMINAS Y MINERALES</t>
  </si>
  <si>
    <t>Utcubamba</t>
  </si>
  <si>
    <t>MEZCLA PRECOCIDA FORTIFICADA A BASE DE HOJUELAS DE KIWICHA, QUINUA, AVENA Y CAÑIHUA, CON HARINAS DE CEBADA, TRIGO Y MACA, ENRIQUECIDA CON VITAMINAS Y MINERALES</t>
  </si>
  <si>
    <t>Utcubamba - 25</t>
  </si>
  <si>
    <t>Val y Fio Av</t>
  </si>
  <si>
    <t>O.C. - 8</t>
  </si>
  <si>
    <t>HOJUELAS PRECOCIDAS DE AVENA</t>
  </si>
  <si>
    <t>O.C. - 12</t>
  </si>
  <si>
    <t>Val y Fio Coc</t>
  </si>
  <si>
    <t>MEZCLA PRECOCIDA DE HOJUELAS DE KIWICHA, AVENA Y QUINUA CON HARINAS DE MACA Y CACAO, SEMILLAS DE CHIA FORTIFICADO CON VITAMINAS Y MINERALES</t>
  </si>
  <si>
    <t>Val y Fio Har</t>
  </si>
  <si>
    <t>HARINA DE PLATANO Y  7 SEMILLAS (QUINUA, KIWICHA, HABAS, ARVERJA, MAÍZ SERRANO, CEBADA Y TRIGO)</t>
  </si>
  <si>
    <t>Val y Fio Hj</t>
  </si>
  <si>
    <t>O.C. - 4</t>
  </si>
  <si>
    <t>HOJUELAS DE QUINUA AVENA FORTIFICADA CON VITAMINAS Y MINERALES</t>
  </si>
  <si>
    <t>Val y Fio Mc</t>
  </si>
  <si>
    <t>O.C. - 1</t>
  </si>
  <si>
    <t>HOJUELAS DE QUINUA AVENA, KIWICHA Y MACA FORTIFICADA CON VITAMINAS Y MINERALES</t>
  </si>
  <si>
    <t>O.C. - 7</t>
  </si>
  <si>
    <t>Val y Fio Mc1</t>
  </si>
  <si>
    <t>HOJUELAS DE QUINUA AVENA Y MACA FORTIFICADA CON VITAMINAS Y MINERALES</t>
  </si>
  <si>
    <t>Val y Fio Mz</t>
  </si>
  <si>
    <t>MEZCLA PRECOCIDA DE HARINAS DE TRIGO, MAIZ Y QUINUA FORTIFICADO CON VITAMINAS Y MINERALES</t>
  </si>
  <si>
    <t>Val y Fio Plt</t>
  </si>
  <si>
    <t>O.C. - 2</t>
  </si>
  <si>
    <t>Val y Fio Sy/Az</t>
  </si>
  <si>
    <t>HOJUELAS DE QUINUA, AVENA, KIWICHA CON SOYA AZUCARADA ENRIQUECIDA CON VITAMINAS Y MINERALES</t>
  </si>
  <si>
    <t>Val y Fio Sy/Mz</t>
  </si>
  <si>
    <t>HOJUELAS PRECOCIDAS DE AVENA, KIWICHA TOSTADA, PLATANO, SOYA INTEGRAL TOSTADA, CHUFLA FORTIFICADA CON VITAMINAS Y MINERALES</t>
  </si>
  <si>
    <t>Vapa</t>
  </si>
  <si>
    <t>PEDIDO DICIEMBRE</t>
  </si>
  <si>
    <t>MEZCLA DE CEREALES PRECOCIDOS DE AVENA, QUINUA, CON HARINA DE MACA, MAIZ TOSTADO Y HARINA DE SOYA ENRIQUECIDA CON VITAMINAS Y MNERALES</t>
  </si>
  <si>
    <t>Vapa 2</t>
  </si>
  <si>
    <t>MEZCLA DE HARINAS DE CEREALES PRECOCIDAS DE KIWICHA, QUINUA, AVENA, MACA Y AZUCAR SABOR A MANZANA ENRIQUECIDA CON VTAMINAS Y MINERALES</t>
  </si>
  <si>
    <t>Vapa 3</t>
  </si>
  <si>
    <t>MEZCLA DE HARINAS DE CEREALES PRECOCIDAS DE KIWICHA, QUINUA, AVENA Y MACA SABOR A MANZANA ENRIQUECIDA CON VTAMINAS Y MINERALES</t>
  </si>
  <si>
    <t>Victor Larco</t>
  </si>
  <si>
    <t>MEZCLA DE HOJUELAS DE AVENA, QUINUA, KIWICHA Y MACA AZUCARADA FORTIFICADA CON VITAMINAS Y MINERALES</t>
  </si>
  <si>
    <t>Viru</t>
  </si>
  <si>
    <t>HOJUELAS PRECOCIDAS DE QUINUA, AVENA, KIWICHA, MACA, LINAZA, AJONJOLÍ CON PROTEÍNA AISLADA DE SOYA Y OMEGA 3 FORTIFICADO CON VITAMINAS Y MINERALES</t>
  </si>
  <si>
    <t xml:space="preserve">HOJUELAS PRECOCIDAS DE QUINUA, AVENA, KIWICHA, MACA, LINAZA, AJONJOLÍ CON PROTEÍNA AISLADA DE SOYA Y OMEGA 3 FORTIFICADO CON VITAMINAS Y MINERALES </t>
  </si>
  <si>
    <t>Yautan</t>
  </si>
  <si>
    <t>HOJUELAS PRECOCIDAS DE QUINUA, KIWICHA, MACA Y AVENA CON LECHE EN POLVO ENRIQUECIDA CON VITAMINAS Y MINERALES</t>
  </si>
  <si>
    <t>Yonan</t>
  </si>
  <si>
    <t>HOJUELA PRECOCIDAS DE QUINUA, KIWICHA, MACA, AVENA CON LECHE ENTERA EN POLVO ENRIQUECIDAS CON VITAMINAS Y MINERALES</t>
  </si>
  <si>
    <t>Zapatero</t>
  </si>
  <si>
    <t>N° LATAS</t>
  </si>
  <si>
    <t>TOTAL CAJAS</t>
  </si>
  <si>
    <t>ENTREGA</t>
  </si>
  <si>
    <t>CONFIRMACIÓN</t>
  </si>
  <si>
    <t>Confirmado</t>
  </si>
  <si>
    <t>Alto Biavo - 25</t>
  </si>
  <si>
    <t>Angel Saavedra</t>
  </si>
  <si>
    <t>Bagua</t>
  </si>
  <si>
    <t>Caceres - 25</t>
  </si>
  <si>
    <t>Casma</t>
  </si>
  <si>
    <t>Chacas</t>
  </si>
  <si>
    <t>Chancay</t>
  </si>
  <si>
    <t>Única</t>
  </si>
  <si>
    <t xml:space="preserve"> </t>
  </si>
  <si>
    <t>Choros</t>
  </si>
  <si>
    <t>Diana Torres</t>
  </si>
  <si>
    <t>Eten</t>
  </si>
  <si>
    <t>INDURLAC</t>
  </si>
  <si>
    <t>Jose Leonardo Ortiz</t>
  </si>
  <si>
    <t>Miracosta</t>
  </si>
  <si>
    <t>Pomalca</t>
  </si>
  <si>
    <t>Pucala</t>
  </si>
  <si>
    <t>San Luis -25</t>
  </si>
  <si>
    <t>San Marcos</t>
  </si>
  <si>
    <t>San Marcos - Ancash25</t>
  </si>
  <si>
    <t>San Pedro - Olla Comun</t>
  </si>
  <si>
    <t>San Pedro - PCAF</t>
  </si>
  <si>
    <t xml:space="preserve">   </t>
  </si>
  <si>
    <t>Yamango</t>
  </si>
  <si>
    <t>Empresa</t>
  </si>
  <si>
    <t>Municipalidad</t>
  </si>
  <si>
    <t>Mes</t>
  </si>
  <si>
    <t>Fecha</t>
  </si>
  <si>
    <t>Total (Kg)</t>
  </si>
  <si>
    <t>F. Prod</t>
  </si>
  <si>
    <t>PROVEEDOR</t>
  </si>
  <si>
    <t>CODIGO</t>
  </si>
  <si>
    <t>LOTE</t>
  </si>
  <si>
    <t>CANTIDAD</t>
  </si>
  <si>
    <t>UNIDAD MEDIDA</t>
  </si>
  <si>
    <t>NOTAS</t>
  </si>
  <si>
    <t>VEHICULO</t>
  </si>
  <si>
    <t>Azucar</t>
  </si>
  <si>
    <t>AZ</t>
  </si>
  <si>
    <t>Kg</t>
  </si>
  <si>
    <t>Trigo</t>
  </si>
  <si>
    <t>Avena</t>
  </si>
  <si>
    <t>Syngular</t>
  </si>
  <si>
    <t>AV</t>
  </si>
  <si>
    <t>Quinua</t>
  </si>
  <si>
    <t>Q</t>
  </si>
  <si>
    <t>Leche en Polvo</t>
  </si>
  <si>
    <t>LP</t>
  </si>
  <si>
    <t>Leche</t>
  </si>
  <si>
    <t>x48 latas</t>
  </si>
  <si>
    <t>TG</t>
  </si>
  <si>
    <t>Soya</t>
  </si>
  <si>
    <t>Yonyan</t>
  </si>
  <si>
    <t>S. Vainilla</t>
  </si>
  <si>
    <t>SV</t>
  </si>
  <si>
    <t>Otro Almacen</t>
  </si>
  <si>
    <t>Maca</t>
  </si>
  <si>
    <t>MC</t>
  </si>
  <si>
    <t>Kiwicha</t>
  </si>
  <si>
    <t>KW</t>
  </si>
  <si>
    <t>Maiz pollo</t>
  </si>
  <si>
    <t>MZP</t>
  </si>
  <si>
    <t>Maiz chufla</t>
  </si>
  <si>
    <t>MZC</t>
  </si>
  <si>
    <t>SY</t>
  </si>
  <si>
    <t>8.5 tn - 6 tn devolución</t>
  </si>
  <si>
    <t>S. Leche</t>
  </si>
  <si>
    <t>SL</t>
  </si>
  <si>
    <t>Maiz Pollo</t>
  </si>
  <si>
    <t>Quinua Qaliwarma</t>
  </si>
  <si>
    <t>QQ</t>
  </si>
  <si>
    <t>Cocoa</t>
  </si>
  <si>
    <t>CC</t>
  </si>
  <si>
    <t xml:space="preserve"> Singular</t>
  </si>
  <si>
    <t>Agropel</t>
  </si>
  <si>
    <t>S. Platano</t>
  </si>
  <si>
    <t>SP</t>
  </si>
  <si>
    <t>CASARO</t>
  </si>
  <si>
    <t>BURGOS</t>
  </si>
  <si>
    <t>Sacos</t>
  </si>
  <si>
    <t>Und</t>
  </si>
  <si>
    <t>S. Canela</t>
  </si>
  <si>
    <t>SC</t>
  </si>
  <si>
    <t>S. Lucuma</t>
  </si>
  <si>
    <t>SLC</t>
  </si>
  <si>
    <t>Pacifico</t>
  </si>
  <si>
    <t>6 tn devolución - total 27</t>
  </si>
  <si>
    <t>STOCK</t>
  </si>
  <si>
    <t>Proyección</t>
  </si>
  <si>
    <t>Saldo</t>
  </si>
  <si>
    <t xml:space="preserve">Leche Total </t>
  </si>
  <si>
    <t>Tarros total</t>
  </si>
  <si>
    <t>Cajas</t>
  </si>
  <si>
    <t>Unidades</t>
  </si>
  <si>
    <t>PRODUCTO ENVASADO EN ALMACEN</t>
  </si>
  <si>
    <t>Cliente</t>
  </si>
  <si>
    <t>N° Bolsas</t>
  </si>
  <si>
    <t>Kg Bolsa</t>
  </si>
  <si>
    <t>Cap. Sacos</t>
  </si>
  <si>
    <t>N° Sacos</t>
  </si>
  <si>
    <t>Producción</t>
  </si>
  <si>
    <t>Envasado</t>
  </si>
  <si>
    <t>Producto</t>
  </si>
  <si>
    <t>Total (kg)</t>
  </si>
  <si>
    <t>Saco (kg)</t>
  </si>
  <si>
    <t>N°Sacos</t>
  </si>
  <si>
    <t>pedir 16 TN mas</t>
  </si>
  <si>
    <t>faltan llegar 55</t>
  </si>
  <si>
    <t>(chiclayano)</t>
  </si>
  <si>
    <t>STOCK SACOS</t>
  </si>
  <si>
    <t>CLIENTE</t>
  </si>
  <si>
    <t>Maiz Chufla</t>
  </si>
  <si>
    <t>Sorbato</t>
  </si>
  <si>
    <t>PROYECCIÓN 2026</t>
  </si>
  <si>
    <t>Adelanto</t>
  </si>
  <si>
    <t>PROYECCIÓN</t>
  </si>
  <si>
    <t>Tarros</t>
  </si>
  <si>
    <t>Caja</t>
  </si>
  <si>
    <t>Unidad</t>
  </si>
  <si>
    <t>Total a producir en kg</t>
  </si>
  <si>
    <t>Entregas</t>
  </si>
  <si>
    <t>LECHE</t>
  </si>
  <si>
    <t>CEREAL</t>
  </si>
  <si>
    <t>TOTAL</t>
  </si>
  <si>
    <t>RESUMEN LECHE</t>
  </si>
  <si>
    <t>Pedidos por entregar</t>
  </si>
  <si>
    <t>Stock en Almacen</t>
  </si>
  <si>
    <t>Leche pagada para recoger</t>
  </si>
  <si>
    <t>FALTA COMPRAR</t>
  </si>
  <si>
    <t>Procesado</t>
  </si>
  <si>
    <t>Etiquetas de fila</t>
  </si>
  <si>
    <t>Suma de KG BOLSA</t>
  </si>
  <si>
    <t>2026</t>
  </si>
  <si>
    <t>2027</t>
  </si>
  <si>
    <t>2025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</si>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</sst>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#,##0.000"/>
    <numFmt numFmtId="166" formatCode="0.000"/>
    <numFmt numFmtId="167" formatCode="#,##0.00_ ;[Red]\-#,##0.00\ "/>
    <numFmt numFmtId="168" formatCode="#,##0.0"/>
    <numFmt numFmtId="169" formatCode="#,##0_ ;[Red]\-#,##0\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6" fillId="2" borderId="0" xfId="0" applyFont="1" applyFill="1"/>
    <xf numFmtId="1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/>
    <xf numFmtId="14" fontId="0" fillId="0" borderId="0" xfId="0" applyNumberFormat="1"/>
    <xf numFmtId="0" fontId="1" fillId="4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4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4" fontId="0" fillId="0" borderId="0" xfId="0" applyNumberFormat="1"/>
    <xf numFmtId="3" fontId="1" fillId="4" borderId="0" xfId="0" applyNumberFormat="1" applyFont="1" applyFill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4" fontId="1" fillId="4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1" fillId="4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8" fillId="8" borderId="3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4" fontId="8" fillId="8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/>
    </xf>
    <xf numFmtId="3" fontId="0" fillId="0" borderId="1" xfId="0" applyNumberFormat="1" applyBorder="1"/>
    <xf numFmtId="169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0" fillId="0" borderId="0" xfId="1" applyNumberFormat="1" applyFont="1"/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0" fillId="0" borderId="0" xfId="0" applyNumberFormat="1"/>
    <xf numFmtId="0" fontId="3" fillId="0" borderId="0" xfId="0" applyFont="1"/>
    <xf numFmtId="0" fontId="10" fillId="4" borderId="0" xfId="0" applyFont="1" applyFill="1" applyAlignment="1">
      <alignment horizontal="center"/>
    </xf>
    <xf numFmtId="14" fontId="10" fillId="4" borderId="0" xfId="0" applyNumberFormat="1" applyFont="1" applyFill="1" applyAlignment="1">
      <alignment horizontal="center"/>
    </xf>
    <xf numFmtId="4" fontId="10" fillId="4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" fontId="12" fillId="4" borderId="0" xfId="0" applyNumberFormat="1" applyFont="1" applyFill="1" applyAlignment="1">
      <alignment horizontal="center"/>
    </xf>
    <xf numFmtId="3" fontId="12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/>
    <xf numFmtId="17" fontId="3" fillId="0" borderId="0" xfId="0" applyNumberFormat="1" applyFont="1" applyAlignment="1">
      <alignment horizontal="center" vertical="center" wrapText="1"/>
    </xf>
    <xf numFmtId="2" fontId="10" fillId="4" borderId="0" xfId="0" applyNumberFormat="1" applyFont="1" applyFill="1" applyAlignment="1">
      <alignment horizontal="center"/>
    </xf>
    <xf numFmtId="2" fontId="11" fillId="0" borderId="0" xfId="0" applyNumberFormat="1" applyFont="1" applyAlignment="1">
      <alignment horizontal="center"/>
    </xf>
    <xf numFmtId="0" fontId="14" fillId="6" borderId="0" xfId="0" applyFont="1" applyFill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3" fontId="14" fillId="6" borderId="0" xfId="0" applyNumberFormat="1" applyFont="1" applyFill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14" fontId="14" fillId="6" borderId="0" xfId="0" applyNumberFormat="1" applyFont="1" applyFill="1" applyAlignment="1">
      <alignment horizontal="center"/>
    </xf>
    <xf numFmtId="3" fontId="1" fillId="6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3" fillId="5" borderId="0" xfId="0" applyFont="1" applyFill="1"/>
    <xf numFmtId="4" fontId="13" fillId="5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166" fontId="13" fillId="5" borderId="0" xfId="0" applyNumberFormat="1" applyFont="1" applyFill="1" applyAlignment="1">
      <alignment horizontal="center"/>
    </xf>
    <xf numFmtId="166" fontId="14" fillId="6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 vertical="center"/>
    </xf>
    <xf numFmtId="14" fontId="14" fillId="6" borderId="0" xfId="0" applyNumberFormat="1" applyFont="1" applyFill="1" applyAlignment="1">
      <alignment horizontal="center" vertical="center"/>
    </xf>
    <xf numFmtId="3" fontId="14" fillId="6" borderId="0" xfId="0" applyNumberFormat="1" applyFont="1" applyFill="1" applyAlignment="1">
      <alignment horizontal="center" vertical="center"/>
    </xf>
    <xf numFmtId="166" fontId="14" fillId="6" borderId="0" xfId="0" applyNumberFormat="1" applyFont="1" applyFill="1" applyAlignment="1">
      <alignment horizontal="center" vertical="center"/>
    </xf>
    <xf numFmtId="4" fontId="14" fillId="6" borderId="0" xfId="0" applyNumberFormat="1" applyFont="1" applyFill="1" applyAlignment="1">
      <alignment horizontal="center" vertical="center"/>
    </xf>
    <xf numFmtId="4" fontId="16" fillId="0" borderId="0" xfId="0" applyNumberFormat="1" applyFont="1" applyAlignment="1">
      <alignment horizontal="center"/>
    </xf>
    <xf numFmtId="4" fontId="1" fillId="6" borderId="0" xfId="0" applyNumberFormat="1" applyFont="1" applyFill="1" applyAlignment="1">
      <alignment horizontal="center" vertical="center"/>
    </xf>
    <xf numFmtId="4" fontId="1" fillId="7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7" borderId="0" xfId="0" applyFont="1" applyFill="1" applyAlignment="1">
      <alignment horizontal="center"/>
    </xf>
    <xf numFmtId="3" fontId="12" fillId="7" borderId="0" xfId="0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/>
    <xf numFmtId="169" fontId="1" fillId="6" borderId="1" xfId="0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0" fontId="17" fillId="0" borderId="0" xfId="1" applyNumberFormat="1" applyFont="1"/>
    <xf numFmtId="16" fontId="5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14" fontId="0" fillId="0" borderId="0" xfId="0" applyNumberFormat="1" applyAlignment="1">
      <alignment horizontal="left" indent="2"/>
    </xf>
    <xf numFmtId="3" fontId="1" fillId="5" borderId="1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3" fontId="1" fillId="5" borderId="7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#,##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COIMPEC" refreshedDate="46277.366286226854" createdVersion="8" refreshedVersion="8" minRefreshableVersion="3" recordCount="1211" xr:uid="{EF2ABDE7-D656-4CFD-8D14-9721530D483F}">
  <cacheSource type="worksheet">
    <worksheetSource name="Cereal"/>
  </cacheSource>
  <cacheFields count="20">
    <cacheField name="EMPRESA" numFmtId="0">
      <sharedItems count="12">
        <s v="PENDIENTE"/>
        <s v="CORDELAN"/>
        <s v="MI FORTALEZA"/>
        <s v="ESPERANZA"/>
        <s v="ENHA"/>
        <s v="ANDES"/>
        <s v="FACOIMPEC"/>
        <s v="NAPER"/>
        <s v="GRAN INDUST."/>
        <s v="BACHOTA"/>
        <s v="MEVAK"/>
        <s v="MOVA"/>
      </sharedItems>
    </cacheField>
    <cacheField name="MUNICIPALIDAD" numFmtId="0">
      <sharedItems count="162">
        <s v="Agua Blanca"/>
        <s v="Alto Biavo"/>
        <s v="Alto Trujillo"/>
        <s v="Ascope"/>
        <s v="Asuncion"/>
        <s v="Asuncion - Chacas"/>
        <s v="Barranquita"/>
        <s v="Buenaventura"/>
        <s v="Buenavista"/>
        <s v="Caceres"/>
        <s v="Cachachi"/>
        <s v="Cajabamba"/>
        <s v="Cajabamba Leche"/>
        <s v="Cajamarca Rur"/>
        <s v="Cajamarca Urb"/>
        <s v="Cajamarca Urb - 2025"/>
        <s v="Cajatambo"/>
        <s v="Camporredondo"/>
        <s v="Carabamba"/>
        <s v="Carabamba1"/>
        <s v="Carhuaz"/>
        <s v="Casa Grande"/>
        <s v="Catilluc"/>
        <s v="Chao"/>
        <s v="Chetilla"/>
        <s v="Chiclayo"/>
        <s v="Chiclayo1"/>
        <s v="Chilete"/>
        <s v="Chiliquin"/>
        <s v="Chimban"/>
        <s v="Chocope"/>
        <s v="Chongoyape"/>
        <s v="Choropampa"/>
        <s v="Cochabamba"/>
        <s v="Cochan"/>
        <s v="Coishco"/>
        <s v="Colcamar"/>
        <s v="Condebamba"/>
        <s v="Copallin"/>
        <s v="Coris"/>
        <s v="Cospan"/>
        <s v="El Prado"/>
        <s v="Encañada"/>
        <s v="Enha 1"/>
        <s v="Enha 2"/>
        <s v="Enha 3"/>
        <s v="Enha 4"/>
        <s v="Enha 5"/>
        <s v="Enha 6"/>
        <s v="Florencia de Mora"/>
        <s v="Florida"/>
        <s v="Gregorio Pita"/>
        <s v="Guadalupito"/>
        <s v="Huabal"/>
        <s v="Hualgayoc"/>
        <s v="Huamachuco"/>
        <s v="Huambo"/>
        <s v="Huancas"/>
        <s v="Huaranchal"/>
        <s v="Huarango"/>
        <s v="Huaso"/>
        <s v="Huaso (azucar)"/>
        <s v="Huayllabamba"/>
        <s v="Ichocan"/>
        <s v="IMPERIUM"/>
        <s v="IMPERIUM 2"/>
        <s v="Imperium Plt"/>
        <s v="Ingenio"/>
        <s v="Jesus"/>
        <s v="Jose Manuel Quiroz"/>
        <s v="Jose Sabogal"/>
        <s v="La Banda de Shilcayo"/>
        <s v="La Esperanza"/>
        <s v="La Florida"/>
        <s v="Llacanora"/>
        <s v="Llama"/>
        <s v="Longotea"/>
        <s v="Longuita"/>
        <s v="Luya"/>
        <s v="Luya Az"/>
        <s v="Macate"/>
        <s v="Magdalena"/>
        <s v="Magdalena de Cao"/>
        <s v="Mancos"/>
        <s v="Manseriche"/>
        <s v="Marcabal"/>
        <s v="Marcara"/>
        <s v="Marcara1"/>
        <s v="Matara"/>
        <s v="Morales"/>
        <s v="Moyobamba"/>
        <s v="Namballe"/>
        <s v="Namora"/>
        <s v="Nueva Arica"/>
        <s v="Nueva Cajamarca"/>
        <s v="Olleros"/>
        <s v="Olmos"/>
        <s v="Organos"/>
        <s v="Pisuquia"/>
        <s v="Pomahuaca"/>
        <s v="Qaliwarma Avena"/>
        <s v="Qaliwarma Kiwicha"/>
        <s v="Qaliwarma Quinua"/>
        <s v="Querocotillo"/>
        <s v="Querocoto"/>
        <s v="Quillo"/>
        <s v="Salaverry"/>
        <s v="San Antonio"/>
        <s v="San Benito"/>
        <s v="San Carlos"/>
        <s v="San Gregorio"/>
        <s v="San Ignacio"/>
        <s v="San Isidro de Maino"/>
        <s v="San Isidro Maino"/>
        <s v="San Jose"/>
        <s v="San Jose Alto"/>
        <s v="San Jose de Lourdes"/>
        <s v="San Juan"/>
        <s v="San Luis - 25"/>
        <s v="San Marcos - Ancash"/>
        <s v="San Marcos - Caj.25"/>
        <s v="San Martin"/>
        <s v="San Martin-25"/>
        <s v="San Miguel"/>
        <s v="San Pablo"/>
        <s v="San Pablo - Trigo"/>
        <s v="San Pedro"/>
        <s v="San Roque"/>
        <s v="Santa"/>
        <s v="Sarin"/>
        <s v="Shanao - 25"/>
        <s v="Sitacocha"/>
        <s v="Soloco"/>
        <s v="Supe"/>
        <s v="Suyo"/>
        <s v="Tantarica"/>
        <s v="Taurija"/>
        <s v="Tongod"/>
        <s v="Totora"/>
        <s v="Trujillo"/>
        <s v="Tumbaden"/>
        <s v="Urpay"/>
        <s v="Utcubamba"/>
        <s v="Utcubamba - 25"/>
        <s v="Val y Fio Av"/>
        <s v="Val y Fio Coc"/>
        <s v="Val y Fio Har"/>
        <s v="Val y Fio Hj"/>
        <s v="Val y Fio Mc"/>
        <s v="Val y Fio Mc1"/>
        <s v="Val y Fio Mz"/>
        <s v="Val y Fio Plt"/>
        <s v="Val y Fio Sy/Az"/>
        <s v="Val y Fio Sy/Mz"/>
        <s v="Vapa"/>
        <s v="Vapa 2"/>
        <s v="Vapa 3"/>
        <s v="Victor Larco"/>
        <s v="Viru"/>
        <s v="Yautan"/>
        <s v="Yonan"/>
        <s v="Zapatero"/>
      </sharedItems>
    </cacheField>
    <cacheField name="MES" numFmtId="0">
      <sharedItems containsDate="1" containsMixedTypes="1" minDate="2027-01-01T00:00:00" maxDate="2027-03-02T00:00:00" count="64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  <s v="O.C."/>
        <d v="2027-01-01T00:00:00"/>
        <d v="2027-02-01T00:00:00"/>
        <d v="2027-03-01T00:00:00"/>
        <s v="Enero / Febrero / Marzo"/>
        <s v="Abril / Mayo / Junio"/>
        <s v="Julio / Agosto / Septiembre"/>
        <s v="Octubre / Noviembre / Diciembre"/>
        <s v="Enero / Febrero / Marzo / Abril"/>
        <s v="Mayo / Junio"/>
        <s v="Julio / Agosto"/>
        <s v="Septiembre / Octubre"/>
        <s v="Noviembre / Diciembre"/>
        <s v="Septiembre"/>
        <s v="Complementaria 1"/>
        <s v="Complementaria 2"/>
        <s v="Complementaria 3"/>
        <s v="Enero / Febrero"/>
        <s v="Marzo / Abril"/>
        <s v="Mayo / Junio / Julio / Agosto"/>
        <s v="Septiembre / Octubre / Noviembre / Diciembre"/>
        <s v="Extra"/>
        <s v="O.C. 15"/>
        <s v="O.C. 13"/>
        <s v="O.C. 18"/>
        <s v="O.C. 20"/>
        <s v="O.C"/>
        <s v="Dicb25"/>
        <s v="Febrero / Marzo / Abril"/>
        <s v="Primera"/>
        <s v="Segunda"/>
        <s v="Tercera"/>
        <s v="Cuarta"/>
        <s v="Quinta"/>
        <s v="Sexta"/>
        <s v="Septima"/>
        <s v="Octava"/>
        <s v="Lima"/>
        <s v="Yurimag"/>
        <s v="Cajamarca"/>
        <s v="Pizan"/>
        <s v="Pucalpa"/>
        <s v="Chimbote"/>
        <s v="Chota"/>
        <s v="Huaraz"/>
        <s v="Ene - Agos"/>
        <s v="O.C. - 8"/>
        <s v="O.C. - 12"/>
        <s v="O.C. - 4"/>
        <s v="O.C. - 1"/>
        <s v="O.C. - 7"/>
        <s v="O.C. - 2"/>
      </sharedItems>
    </cacheField>
    <cacheField name="FECHA" numFmtId="14">
      <sharedItems containsSemiMixedTypes="0" containsNonDate="0" containsDate="1" containsString="0" minDate="2025-12-11T00:00:00" maxDate="2027-03-01T00:00:00" count="231">
        <d v="2026-02-28T00:00:00"/>
        <d v="2026-04-28T00:00:00"/>
        <d v="2026-06-26T00:00:00"/>
        <d v="2026-08-28T00:00:00"/>
        <d v="2026-10-27T00:00:00"/>
        <d v="2026-01-30T00:00:00"/>
        <d v="2026-03-31T00:00:00"/>
        <d v="2026-04-15T00:00:00"/>
        <d v="2026-06-15T00:00:00"/>
        <d v="2026-08-15T00:00:00"/>
        <d v="2026-10-15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7-02-28T00:00:00"/>
        <d v="2026-01-15T00:00:00"/>
        <d v="2026-03-15T00:00:00"/>
        <d v="2026-09-15T00:00:00"/>
        <d v="2026-03-16T00:00:00"/>
        <d v="2026-04-21T00:00:00"/>
        <d v="2026-06-08T00:00:00"/>
        <d v="2026-08-20T00:00:00"/>
        <d v="2026-09-25T00:00:00"/>
        <d v="2025-12-31T00:00:00"/>
        <d v="2026-01-23T00:00:00"/>
        <d v="2026-02-20T00:00:00"/>
        <d v="2026-06-22T00:00:00"/>
        <d v="2026-08-19T00:00:00"/>
        <d v="2026-10-20T00:00:00"/>
        <d v="2026-07-05T00:00:00"/>
        <d v="2026-02-02T00:00:00"/>
        <d v="2026-04-25T00:00:00"/>
        <d v="2026-08-07T00:00:00"/>
        <d v="2026-01-31T00:00:00"/>
        <d v="2026-02-27T00:00:00"/>
        <d v="2026-03-27T00:00:00"/>
        <d v="2026-04-27T00:00:00"/>
        <d v="2026-06-27T00:00:00"/>
        <d v="2026-07-27T00:00:00"/>
        <d v="2026-08-27T00:00:00"/>
        <d v="2026-01-26T00:00:00"/>
        <d v="2026-02-24T00:00:00"/>
        <d v="2026-03-24T00:00:00"/>
        <d v="2026-04-23T00:00:00"/>
        <d v="2026-05-22T00:00:00"/>
        <d v="2026-06-25T00:00:00"/>
        <d v="2026-07-24T00:00:00"/>
        <d v="2026-08-25T00:00:00"/>
        <d v="2026-10-22T00:00:00"/>
        <d v="2026-11-26T00:00:00"/>
        <d v="2026-03-12T00:00:00"/>
        <d v="2026-09-14T00:00:00"/>
        <d v="2026-07-16T00:00:00"/>
        <d v="2026-09-01T00:00:00"/>
        <d v="2026-11-18T00:00:00"/>
        <d v="2026-03-17T00:00:00"/>
        <d v="2026-05-14T00:00:00"/>
        <d v="2026-02-15T00:00:00"/>
        <d v="2026-09-11T00:00:00"/>
        <d v="2026-03-10T00:00:00"/>
        <d v="2026-04-02T00:00:00"/>
        <d v="2025-12-15T00:00:00"/>
        <d v="2026-01-20T00:00:00"/>
        <d v="2026-02-18T00:00:00"/>
        <d v="2026-03-20T00:00:00"/>
        <d v="2026-04-20T00:00:00"/>
        <d v="2026-05-21T00:00:00"/>
        <d v="2026-07-20T00:00:00"/>
        <d v="2026-09-21T00:00:00"/>
        <d v="2026-11-20T00:00:00"/>
        <d v="2026-01-16T00:00:00"/>
        <d v="2026-02-05T00:00:00"/>
        <d v="2026-03-05T00:00:00"/>
        <d v="2026-04-05T00:00:00"/>
        <d v="2026-05-05T00:00:00"/>
        <d v="2026-06-05T00:00:00"/>
        <d v="2026-08-05T00:00:00"/>
        <d v="2026-09-05T00:00:00"/>
        <d v="2026-10-05T00:00:00"/>
        <d v="2026-11-05T00:00:00"/>
        <d v="2026-04-08T00:00:00"/>
        <d v="2026-10-07T00:00:00"/>
        <d v="2026-01-28T00:00:00"/>
        <d v="2026-02-25T00:00:00"/>
        <d v="2026-03-25T00:00:00"/>
        <d v="2026-04-22T00:00:00"/>
        <d v="2026-05-27T00:00:00"/>
        <d v="2026-06-24T00:00:00"/>
        <d v="2026-07-22T00:00:00"/>
        <d v="2026-08-26T00:00:00"/>
        <d v="2026-09-23T00:00:00"/>
        <d v="2026-10-28T00:00:00"/>
        <d v="2026-11-25T00:00:00"/>
        <d v="2026-01-17T00:00:00"/>
        <d v="2026-08-11T00:00:00"/>
        <d v="2025-12-26T00:00:00"/>
        <d v="2026-09-28T00:00:00"/>
        <d v="2026-12-15T00:00:00"/>
        <d v="2026-12-21T00:00:00"/>
        <d v="2026-03-30T00:00:00"/>
        <d v="2026-09-09T00:00:00"/>
        <d v="2026-04-24T00:00:00"/>
        <d v="2026-06-19T00:00:00"/>
        <d v="2026-08-21T00:00:00"/>
        <d v="2026-09-18T00:00:00"/>
        <d v="2026-10-23T00:00:00"/>
        <d v="2026-05-25T00:00:00"/>
        <d v="2026-08-24T00:00:00"/>
        <d v="2026-10-30T00:00:00"/>
        <d v="2026-09-10T00:00:00"/>
        <d v="2025-12-20T00:00:00"/>
        <d v="2026-01-29T00:00:00"/>
        <d v="2026-05-28T00:00:00"/>
        <d v="2026-10-29T00:00:00"/>
        <d v="2026-11-27T00:00:00"/>
        <d v="2026-04-10T00:00:00"/>
        <d v="2026-06-21T00:00:00"/>
        <d v="2026-06-23T00:00:00"/>
        <d v="2026-08-18T00:00:00"/>
        <d v="2026-10-21T00:00:00"/>
        <d v="2026-01-19T00:00:00"/>
        <d v="2026-08-30T00:00:00"/>
        <d v="2026-09-03T00:00:00"/>
        <d v="2026-11-23T00:00:00"/>
        <d v="2026-06-29T00:00:00"/>
        <d v="2026-03-02T00:00:00"/>
        <d v="2026-05-29T00:00:00"/>
        <d v="2026-09-29T00:00:00"/>
        <d v="2026-06-28T00:00:00"/>
        <d v="2026-07-14T00:00:00"/>
        <d v="2026-05-30T00:00:00"/>
        <d v="2026-07-30T00:00:00"/>
        <d v="2026-01-12T00:00:00"/>
        <d v="2026-02-12T00:00:00"/>
        <d v="2026-05-13T00:00:00"/>
        <d v="2026-07-13T00:00:00"/>
        <d v="2026-10-03T00:00:00"/>
        <d v="2026-11-03T00:00:00"/>
        <d v="2026-02-19T00:00:00"/>
        <d v="2026-01-05T00:00:00"/>
        <d v="2026-03-23T00:00:00"/>
        <d v="2026-07-21T00:00:00"/>
        <d v="2026-05-08T00:00:00"/>
        <d v="2026-09-24T00:00:00"/>
        <d v="2026-01-03T00:00:00"/>
        <d v="2026-02-23T00:00:00"/>
        <d v="2026-01-14T00:00:00"/>
        <d v="2026-05-15T00:00:00"/>
        <d v="2026-07-15T00:00:00"/>
        <d v="2026-11-15T00:00:00"/>
        <d v="2026-10-26T00:00:00"/>
        <d v="2025-12-19T00:00:00"/>
        <d v="2026-09-19T00:00:00"/>
        <d v="2025-12-22T00:00:00"/>
        <d v="2026-11-24T00:00:00"/>
        <d v="2026-02-10T00:00:00"/>
        <d v="2026-01-27T00:00:00"/>
        <d v="2026-05-26T00:00:00"/>
        <d v="2026-09-22T00:00:00"/>
        <d v="2026-03-09T00:00:00"/>
        <d v="2026-09-27T00:00:00"/>
        <d v="2026-04-07T00:00:00"/>
        <d v="2026-03-21T00:00:00"/>
        <d v="2026-05-20T00:00:00"/>
        <d v="2026-03-01T00:00:00"/>
        <d v="2026-05-01T00:00:00"/>
        <d v="2026-11-01T00:00:00"/>
        <d v="2026-05-12T00:00:00"/>
        <d v="2026-06-20T00:00:00"/>
        <d v="2026-01-24T00:00:00"/>
        <d v="2026-07-17T00:00:00"/>
        <d v="2026-10-24T00:00:00"/>
        <d v="2026-04-16T00:00:00"/>
        <d v="2026-06-16T00:00:00"/>
        <d v="2026-09-16T00:00:00"/>
        <d v="2026-02-11T00:00:00"/>
        <d v="2026-08-12T00:00:00"/>
        <d v="2026-10-14T00:00:00"/>
        <d v="2026-11-11T00:00:00"/>
        <d v="2026-06-09T00:00:00"/>
        <d v="2026-07-09T00:00:00"/>
        <d v="2026-08-09T00:00:00"/>
        <d v="2026-11-09T00:00:00"/>
        <d v="2026-01-01T00:00:00"/>
        <d v="2026-08-10T00:00:00"/>
        <d v="2026-02-13T00:00:00"/>
        <d v="2026-02-16T00:00:00"/>
        <d v="2026-06-02T00:00:00"/>
        <d v="2026-06-06T00:00:00"/>
        <d v="2025-12-21T00:00:00"/>
        <d v="2026-01-21T00:00:00"/>
        <d v="2026-02-21T00:00:00"/>
        <d v="2026-08-14T00:00:00"/>
        <d v="2025-12-24T00:00:00"/>
        <d v="2026-05-24T00:00:00"/>
        <d v="2026-03-11T00:00:00"/>
        <d v="2026-03-26T00:00:00"/>
        <d v="2026-10-25T00:00:00"/>
        <d v="2026-01-07T00:00:00"/>
        <d v="2026-09-20T00:00:00"/>
        <d v="2026-05-23T00:00:00"/>
        <d v="2026-10-19T00:00:00"/>
        <d v="2026-11-16T00:00:00"/>
        <d v="2026-07-25T00:00:00"/>
        <d v="2025-12-29T00:00:00"/>
        <d v="2026-04-17T00:00:00"/>
        <d v="2026-05-18T00:00:00"/>
        <d v="2026-08-17T00:00:00"/>
        <d v="2026-09-26T00:00:00"/>
        <d v="2025-12-11T00:00:00"/>
        <d v="2026-02-17T00:00:00"/>
        <d v="2025-12-25T00:00:00"/>
        <d v="2026-01-10T00:00:00"/>
        <d v="2026-06-10T00:00:00"/>
        <d v="2026-07-10T00:00:00"/>
        <d v="2026-07-11T00:00:00"/>
        <d v="2026-03-29T00:00:00"/>
        <d v="2026-06-13T00:00:00"/>
        <d v="2026-02-07T00:00:00"/>
        <d v="2026-09-17T00:00:00"/>
        <d v="2026-03-28T00:00:00"/>
        <d v="2026-07-28T00:00:00"/>
        <d v="2025-12-23T00:00:00"/>
        <d v="2026-12-23T00:00:00"/>
      </sharedItems>
      <fieldGroup par="19"/>
    </cacheField>
    <cacheField name="N° BOLSAS" numFmtId="3">
      <sharedItems containsSemiMixedTypes="0" containsString="0" containsNumber="1" minValue="46" maxValue="33338" count="336">
        <n v="640"/>
        <n v="1041"/>
        <n v="547"/>
        <n v="528"/>
        <n v="530"/>
        <n v="548"/>
        <n v="3120"/>
        <n v="2400"/>
        <n v="9390"/>
        <n v="4696.5"/>
        <n v="2684"/>
        <n v="3051"/>
        <n v="802"/>
        <n v="723"/>
        <n v="775"/>
        <n v="778"/>
        <n v="804.5"/>
        <n v="5996"/>
        <n v="1350"/>
        <n v="450"/>
        <n v="3420"/>
        <n v="1710"/>
        <n v="1025.29"/>
        <n v="6500"/>
        <n v="1012.86"/>
        <n v="914.84"/>
        <n v="980.18"/>
        <n v="3269.81"/>
        <n v="2953.38"/>
        <n v="3164.33"/>
        <n v="4455"/>
        <n v="2500"/>
        <n v="2560"/>
        <n v="1980"/>
        <n v="660"/>
        <n v="840"/>
        <n v="845"/>
        <n v="1056"/>
        <n v="1880"/>
        <n v="2820"/>
        <n v="1678"/>
        <n v="1118"/>
        <n v="1127"/>
        <n v="2746"/>
        <n v="1076"/>
        <n v="1405.68"/>
        <n v="2550"/>
        <n v="1462.5"/>
        <n v="12145.8"/>
        <n v="7836"/>
        <n v="3134.4"/>
        <n v="11754"/>
        <n v="8951.25"/>
        <n v="8662.5"/>
        <n v="8085"/>
        <n v="860"/>
        <n v="476"/>
        <n v="485"/>
        <n v="1049"/>
        <n v="1010"/>
        <n v="1100"/>
        <n v="1496.22"/>
        <n v="1212"/>
        <n v="404"/>
        <n v="1977"/>
        <n v="759"/>
        <n v="1128"/>
        <n v="2256"/>
        <n v="790"/>
        <n v="800"/>
        <n v="810"/>
        <n v="2430"/>
        <n v="2427"/>
        <n v="1256"/>
        <n v="875"/>
        <n v="1048"/>
        <n v="2096"/>
        <n v="2760"/>
        <n v="12501"/>
        <n v="33338"/>
        <n v="120"/>
        <n v="336"/>
        <n v="1039"/>
        <n v="180"/>
        <n v="2240"/>
        <n v="2800"/>
        <n v="1065"/>
        <n v="1962"/>
        <n v="981"/>
        <n v="1200"/>
        <n v="2320"/>
        <n v="1433"/>
        <n v="1166"/>
        <n v="6999"/>
        <n v="3490"/>
        <n v="3480"/>
        <n v="1712"/>
        <n v="125"/>
        <n v="130"/>
        <n v="888"/>
        <n v="4013"/>
        <n v="4118"/>
        <n v="792"/>
        <n v="1593.29"/>
        <n v="620"/>
        <n v="602"/>
        <n v="961.5"/>
        <n v="425"/>
        <n v="3000"/>
        <n v="1000"/>
        <n v="3170"/>
        <n v="740"/>
        <n v="772"/>
        <n v="3204"/>
        <n v="283"/>
        <n v="228"/>
        <n v="997.5"/>
        <n v="498.75"/>
        <n v="4100"/>
        <n v="589"/>
        <n v="532"/>
        <n v="570"/>
        <n v="2350"/>
        <n v="1432"/>
        <n v="1294"/>
        <n v="1386"/>
        <n v="1044.4000000000001"/>
        <n v="6182"/>
        <n v="5584"/>
        <n v="5983"/>
        <n v="990"/>
        <n v="565"/>
        <n v="553.70000000000005"/>
        <n v="1321.23"/>
        <n v="919"/>
        <n v="1105.0830000000001"/>
        <n v="369.48399999999998"/>
        <n v="798"/>
        <n v="797"/>
        <n v="1605"/>
        <n v="1953"/>
        <n v="3200"/>
        <n v="3256"/>
        <n v="240"/>
        <n v="850"/>
        <n v="1441.0309999999999"/>
        <n v="720"/>
        <n v="2540"/>
        <n v="2340"/>
        <n v="2372"/>
        <n v="611"/>
        <n v="627"/>
        <n v="827"/>
        <n v="636"/>
        <n v="1430"/>
        <n v="1292"/>
        <n v="1384"/>
        <n v="1424"/>
        <n v="4791"/>
        <n v="4327"/>
        <n v="4924"/>
        <n v="5088"/>
        <n v="4380"/>
        <n v="2920"/>
        <n v="1460"/>
        <n v="1705"/>
        <n v="4122"/>
        <n v="596"/>
        <n v="298"/>
        <n v="2685"/>
        <n v="2678"/>
        <n v="2581"/>
        <n v="752"/>
        <n v="221"/>
        <n v="220"/>
        <n v="5788"/>
        <n v="5200"/>
        <n v="5559"/>
        <n v="5794"/>
        <n v="952.57"/>
        <n v="921.84"/>
        <n v="239.2"/>
        <n v="1345"/>
        <n v="1070"/>
        <n v="995"/>
        <n v="1168"/>
        <n v="1169"/>
        <n v="28801"/>
        <n v="4537"/>
        <n v="10960"/>
        <n v="4650"/>
        <n v="20070"/>
        <n v="4665"/>
        <n v="4144"/>
        <n v="5486"/>
        <n v="5482"/>
        <n v="4134"/>
        <n v="9800"/>
        <n v="6650"/>
        <n v="3926"/>
        <n v="9450"/>
        <n v="4497"/>
        <n v="8684"/>
        <n v="9000"/>
        <n v="8436"/>
        <n v="4505"/>
        <n v="10189"/>
        <n v="4596"/>
        <n v="3920"/>
        <n v="12460"/>
        <n v="9900"/>
        <n v="12500"/>
        <n v="1150"/>
        <n v="14477"/>
        <n v="4282"/>
        <n v="10109"/>
        <n v="9276"/>
        <n v="10048"/>
        <n v="4285"/>
        <n v="8043"/>
        <n v="6917"/>
        <n v="1891"/>
        <n v="1850"/>
        <n v="925"/>
        <n v="853"/>
        <n v="770"/>
        <n v="825"/>
        <n v="561.42999999999995"/>
        <n v="606"/>
        <n v="500"/>
        <n v="900"/>
        <n v="4160"/>
        <n v="3038"/>
        <n v="260"/>
        <n v="72"/>
        <n v="1135"/>
        <n v="1025"/>
        <n v="1098"/>
        <n v="486"/>
        <n v="1760"/>
        <n v="4190"/>
        <n v="2724"/>
        <n v="780"/>
        <n v="1909"/>
        <n v="1932"/>
        <n v="1948"/>
        <n v="1795"/>
        <n v="1791"/>
        <n v="3536"/>
        <n v="3422"/>
        <n v="3537"/>
        <n v="3423"/>
        <n v="3557"/>
        <n v="3213"/>
        <n v="600"/>
        <n v="304"/>
        <n v="912"/>
        <n v="3090"/>
        <n v="2817"/>
        <n v="1102"/>
        <n v="1429"/>
        <n v="1582"/>
        <n v="1531"/>
        <n v="180.47200000000001"/>
        <n v="163.00700000000001"/>
        <n v="174.65"/>
        <n v="2308"/>
        <n v="1876"/>
        <n v="1663"/>
        <n v="1664"/>
        <n v="351"/>
        <n v="353"/>
        <n v="358"/>
        <n v="233"/>
        <n v="2156"/>
        <n v="726"/>
        <n v="370"/>
        <n v="400"/>
        <n v="8000"/>
        <n v="2000"/>
        <n v="1084"/>
        <n v="2652"/>
        <n v="884"/>
        <n v="2674.57"/>
        <n v="2144"/>
        <n v="536"/>
        <n v="170"/>
        <n v="146"/>
        <n v="10802.3"/>
        <n v="10454"/>
        <n v="6898.9179999999997"/>
        <n v="5572"/>
        <n v="1316.13"/>
        <n v="6230"/>
        <n v="12056"/>
        <n v="229"/>
        <n v="46"/>
        <n v="189"/>
        <n v="192"/>
        <n v="1509"/>
        <n v="4400"/>
        <n v="2502"/>
        <n v="1426"/>
        <n v="8400"/>
        <n v="6000"/>
        <n v="10000"/>
        <n v="4200"/>
        <n v="226"/>
        <n v="150"/>
        <n v="1326"/>
        <n v="3784"/>
        <n v="230"/>
        <n v="488"/>
        <n v="244"/>
        <n v="183"/>
        <n v="672"/>
        <n v="20000"/>
        <n v="30000"/>
        <n v="2450"/>
        <n v="15000"/>
        <n v="2250"/>
        <n v="5000"/>
        <n v="2630"/>
        <n v="2375"/>
        <n v="2545"/>
        <n v="3040"/>
        <n v="2942"/>
        <n v="13509"/>
        <n v="1989"/>
        <n v="2802"/>
        <n v="700"/>
        <n v="1770"/>
        <n v="929"/>
        <n v="930"/>
        <n v="901"/>
        <n v="702"/>
      </sharedItems>
    </cacheField>
    <cacheField name="KG BOLSA" numFmtId="0">
      <sharedItems containsSemiMixedTypes="0" containsString="0" containsNumber="1" minValue="0.26" maxValue="2.48" count="117">
        <n v="1.27593"/>
        <n v="1"/>
        <n v="0.95145999999999997"/>
        <n v="1.18512"/>
        <n v="0.77800000000000002"/>
        <n v="1.1299999999999999"/>
        <n v="0.5"/>
        <n v="0.42499999999999999"/>
        <n v="0.8"/>
        <n v="2.48"/>
        <n v="2.4"/>
        <n v="2.2400000000000002"/>
        <n v="1.8767400000000001"/>
        <n v="1.69512"/>
        <n v="1.8162"/>
        <n v="0.38429999999999997"/>
        <n v="1.25"/>
        <n v="0.85470829999999998"/>
        <n v="0.8226"/>
        <n v="0.94791999999999998"/>
        <n v="1.3554299999999999"/>
        <n v="1.044"/>
        <n v="1.72"/>
        <n v="0.93371999999999999"/>
        <n v="0.84336"/>
        <n v="0.90359999999999996"/>
        <n v="1.29"/>
        <n v="0.86799999999999999"/>
        <n v="1.5201"/>
        <n v="0.91283000000000003"/>
        <n v="1.2225999999999999"/>
        <n v="1.7111700000000001"/>
        <n v="1.70333"/>
        <n v="1.2378100000000001"/>
        <n v="1.5649999999999999"/>
        <n v="0.9113"/>
        <n v="1.7622"/>
        <n v="1.5386"/>
        <n v="1.2"/>
        <n v="1.68"/>
        <n v="1.0007999999999999"/>
        <n v="0.94479999999999997"/>
        <n v="1.65"/>
        <n v="1.6079918"/>
        <n v="0.72354399999999996"/>
        <n v="1.68706"/>
        <n v="1.32"/>
        <n v="1.06"/>
        <n v="1.4112"/>
        <n v="1.35"/>
        <n v="1.7397"/>
        <n v="0.75"/>
        <n v="1.0565"/>
        <n v="0.93"/>
        <n v="0.84"/>
        <n v="0.9"/>
        <n v="1.2695819500000001"/>
        <n v="1.4295599999999999"/>
        <n v="0.92037718999999996"/>
        <n v="1.83"/>
        <n v="0.78203999999999996"/>
        <n v="1.50702"/>
        <n v="0.73"/>
        <n v="1.0495000000000001"/>
        <n v="1.5760000000000001"/>
        <n v="1.63686"/>
        <n v="0.84011000000000002"/>
        <n v="1.5175099999999999"/>
        <n v="1.5670999999999999"/>
        <n v="0.65627999999999997"/>
        <n v="0.62063999999999997"/>
        <n v="1.7250000000000001"/>
        <n v="1.5580000000000001"/>
        <n v="1.73"/>
        <n v="1.67"/>
        <n v="1.47"/>
        <n v="0.92"/>
        <n v="1.363"/>
        <n v="1.302"/>
        <n v="1.1759999999999999"/>
        <n v="1.26"/>
        <n v="1.0846119999999999"/>
        <n v="1.2300629999999999"/>
        <n v="0.59762000000000004"/>
        <n v="0.26"/>
        <n v="1.3560000000000001"/>
        <n v="1.355"/>
        <n v="0.50504400000000005"/>
        <n v="1.7050000000000001"/>
        <n v="1.54"/>
        <n v="1.47519"/>
        <n v="1.5249999999999999"/>
        <n v="1.74"/>
        <n v="1.0145999999999999"/>
        <n v="1.4172"/>
        <n v="1.4540999999999999"/>
        <n v="1.7337499999999999"/>
        <n v="1.0229999999999999"/>
        <n v="0.92400000000000004"/>
        <n v="0.99"/>
        <n v="1.22397"/>
        <n v="0.85"/>
        <n v="0.33457999999999999"/>
        <n v="1.4397500000000001"/>
        <n v="0.76666999999999996"/>
        <n v="0.76859999999999995"/>
        <n v="0.91080000000000005"/>
        <n v="0.85167000000000004"/>
        <n v="0.92556000000000005"/>
        <n v="0.74463999999999997"/>
        <n v="1.1166259999999999"/>
        <n v="1.47814"/>
        <n v="0.70399999999999996"/>
        <n v="0.65"/>
        <n v="1.5"/>
        <n v="0.76004400000000005"/>
        <n v="1.577"/>
      </sharedItems>
    </cacheField>
    <cacheField name="TOTAL (KG)" numFmtId="165">
      <sharedItems containsSemiMixedTypes="0" containsString="0" containsNumber="1" minValue="46" maxValue="33364.670399999995"/>
    </cacheField>
    <cacheField name="CAP. SACOS" numFmtId="1">
      <sharedItems containsSemiMixedTypes="0" containsString="0" containsNumber="1" containsInteger="1" minValue="18" maxValue="120" count="15">
        <n v="35"/>
        <n v="50"/>
        <n v="40"/>
        <n v="60"/>
        <n v="80"/>
        <n v="18"/>
        <n v="25"/>
        <n v="100"/>
        <n v="30"/>
        <n v="45"/>
        <n v="22"/>
        <n v="28"/>
        <n v="70"/>
        <n v="120"/>
        <n v="55"/>
      </sharedItems>
    </cacheField>
    <cacheField name="N° SACOS" numFmtId="0">
      <sharedItems containsSemiMixedTypes="0" containsString="0" containsNumber="1" containsInteger="1" minValue="1" maxValue="833" count="130">
        <n v="18"/>
        <n v="20"/>
        <n v="10"/>
        <n v="78"/>
        <n v="89"/>
        <n v="40"/>
        <n v="234"/>
        <n v="117"/>
        <n v="76"/>
        <n v="38"/>
        <n v="16"/>
        <n v="14"/>
        <n v="15"/>
        <n v="119"/>
        <n v="33"/>
        <n v="5"/>
        <n v="42"/>
        <n v="21"/>
        <n v="25"/>
        <n v="130"/>
        <n v="22"/>
        <n v="24"/>
        <n v="81"/>
        <n v="73"/>
        <n v="79"/>
        <n v="247"/>
        <n v="100"/>
        <n v="8"/>
        <n v="30"/>
        <n v="37"/>
        <n v="56"/>
        <n v="41"/>
        <n v="27"/>
        <n v="68"/>
        <n v="26"/>
        <n v="35"/>
        <n v="102"/>
        <n v="29"/>
        <n v="303"/>
        <n v="195"/>
        <n v="293"/>
        <n v="223"/>
        <n v="216"/>
        <n v="202"/>
        <n v="19"/>
        <n v="11"/>
        <n v="12"/>
        <n v="36"/>
        <n v="51"/>
        <n v="75"/>
        <n v="53"/>
        <n v="69"/>
        <n v="500"/>
        <n v="833"/>
        <n v="3"/>
        <n v="4"/>
        <n v="70"/>
        <n v="39"/>
        <n v="279"/>
        <n v="99"/>
        <n v="87"/>
        <n v="57"/>
        <n v="137"/>
        <n v="31"/>
        <n v="63"/>
        <n v="13"/>
        <n v="80"/>
        <n v="7"/>
        <n v="91"/>
        <n v="136"/>
        <n v="17"/>
        <n v="94"/>
        <n v="28"/>
        <n v="206"/>
        <n v="186"/>
        <n v="199"/>
        <n v="9"/>
        <n v="32"/>
        <n v="64"/>
        <n v="65"/>
        <n v="84"/>
        <n v="59"/>
        <n v="191"/>
        <n v="173"/>
        <n v="196"/>
        <n v="203"/>
        <n v="146"/>
        <n v="97"/>
        <n v="6"/>
        <n v="144"/>
        <n v="138"/>
        <n v="23"/>
        <n v="288"/>
        <n v="45"/>
        <n v="109"/>
        <n v="46"/>
        <n v="200"/>
        <n v="54"/>
        <n v="98"/>
        <n v="66"/>
        <n v="44"/>
        <n v="86"/>
        <n v="90"/>
        <n v="101"/>
        <n v="124"/>
        <n v="125"/>
        <n v="92"/>
        <n v="1"/>
        <n v="108"/>
        <n v="71"/>
        <n v="141"/>
        <n v="142"/>
        <n v="128"/>
        <n v="88"/>
        <n v="55"/>
        <n v="43"/>
        <n v="160"/>
        <n v="270"/>
        <n v="261"/>
        <n v="113"/>
        <n v="105"/>
        <n v="52"/>
        <n v="47"/>
        <n v="2"/>
        <n v="750"/>
        <n v="61"/>
        <n v="600"/>
        <n v="375"/>
        <n v="60"/>
        <n v="337"/>
      </sharedItems>
    </cacheField>
    <cacheField name="UNIDADES" numFmtId="0">
      <sharedItems containsSemiMixedTypes="0" containsString="0" containsNumber="1" minValue="0" maxValue="97"/>
    </cacheField>
    <cacheField name="PRODUCCIÓN" numFmtId="14">
      <sharedItems containsNonDate="0" containsDate="1" containsString="0" containsBlank="1" minDate="2025-12-04T00:00:00" maxDate="2026-09-12T00:00:00" count="231">
        <d v="2026-02-22T00:00:00"/>
        <d v="2026-05-05T00:00:00"/>
        <d v="2026-06-29T00:00:00"/>
        <d v="2026-08-29T00:00:00"/>
        <m/>
        <d v="2026-01-29T00:00:00"/>
        <d v="2026-03-28T00:00:00"/>
        <d v="2026-04-24T00:00:00"/>
        <d v="2026-06-02T00:00:00"/>
        <d v="2026-08-07T00:00:00"/>
        <d v="2026-03-24T00:00:00"/>
        <d v="2026-04-27T00:00:00"/>
        <d v="2026-05-19T00:00:00"/>
        <d v="2026-06-24T00:00:00"/>
        <d v="2026-07-22T00:00:00"/>
        <d v="2026-08-10T00:00:00"/>
        <d v="2026-08-17T00:00:00"/>
        <d v="2026-01-17T00:00:00"/>
        <d v="2026-03-20T00:00:00"/>
        <d v="2026-06-19T00:00:00"/>
        <d v="2026-03-15T00:00:00"/>
        <d v="2026-04-18T00:00:00"/>
        <d v="2026-06-06T00:00:00"/>
        <d v="2026-08-03T00:00:00"/>
        <d v="2026-08-19T00:00:00"/>
        <d v="2026-04-16T00:00:00"/>
        <d v="2026-06-25T00:00:00"/>
        <d v="2026-01-04T00:00:00"/>
        <d v="2026-02-10T00:00:00"/>
        <d v="2026-04-09T00:00:00"/>
        <d v="2026-06-04T00:00:00"/>
        <d v="2026-07-31T00:00:00"/>
        <d v="2026-07-04T00:00:00"/>
        <d v="2026-02-26T00:00:00"/>
        <d v="2026-04-26T00:00:00"/>
        <d v="2026-07-17T00:00:00"/>
        <d v="2026-08-04T00:00:00"/>
        <d v="2026-01-14T00:00:00"/>
        <d v="2026-03-10T00:00:00"/>
        <d v="2026-04-25T00:00:00"/>
        <d v="2026-07-30T00:00:00"/>
        <d v="2026-08-13T00:00:00"/>
        <d v="2025-12-04T00:00:00"/>
        <d v="2025-12-29T00:00:00"/>
        <d v="2026-03-23T00:00:00"/>
        <d v="2026-06-23T00:00:00"/>
        <d v="2026-07-27T00:00:00"/>
        <d v="2026-02-09T00:00:00"/>
        <d v="2026-05-28T00:00:00"/>
        <d v="2026-03-14T00:00:00"/>
        <d v="2026-07-06T00:00:00"/>
        <d v="2026-07-07T00:00:00"/>
        <d v="2026-07-11T00:00:00"/>
        <d v="2026-07-12T00:00:00"/>
        <d v="2026-07-08T00:00:00"/>
        <d v="2026-07-09T00:00:00"/>
        <d v="2026-09-08T00:00:00"/>
        <d v="2026-02-18T00:00:00"/>
        <d v="2026-03-11T00:00:00"/>
        <d v="2026-05-13T00:00:00"/>
        <d v="2026-07-16T00:00:00"/>
        <d v="2026-01-12T00:00:00"/>
        <d v="2026-02-23T00:00:00"/>
        <d v="2026-03-17T00:00:00"/>
        <d v="2026-06-09T00:00:00"/>
        <d v="2026-03-08T00:00:00"/>
        <d v="2026-01-15T00:00:00"/>
        <d v="2026-02-16T00:00:00"/>
        <d v="2026-03-19T00:00:00"/>
        <d v="2026-05-15T00:00:00"/>
        <d v="2026-06-22T00:00:00"/>
        <d v="2026-07-18T00:00:00"/>
        <d v="2026-08-15T00:00:00"/>
        <d v="2026-01-21T00:00:00"/>
        <d v="2026-02-07T00:00:00"/>
        <d v="2026-03-27T00:00:00"/>
        <d v="2026-05-17T00:00:00"/>
        <d v="2026-07-24T00:00:00"/>
        <d v="2026-08-25T00:00:00"/>
        <d v="2026-03-05T00:00:00"/>
        <d v="2026-05-26T00:00:00"/>
        <d v="2026-09-01T00:00:00"/>
        <d v="2025-12-06T00:00:00"/>
        <d v="2026-01-22T00:00:00"/>
        <d v="2026-02-20T00:00:00"/>
        <d v="2026-04-21T00:00:00"/>
        <d v="2026-05-11T00:00:00"/>
        <d v="2026-07-21T00:00:00"/>
        <d v="2026-01-27T00:00:00"/>
        <d v="2026-03-22T00:00:00"/>
        <d v="2025-12-13T00:00:00"/>
        <d v="2025-12-30T00:00:00"/>
        <d v="2026-02-25T00:00:00"/>
        <d v="2026-07-26T00:00:00"/>
        <d v="2026-08-26T00:00:00"/>
        <d v="2026-03-25T00:00:00"/>
        <d v="2026-06-21T00:00:00"/>
        <d v="2026-04-07T00:00:00"/>
        <d v="2026-04-12T00:00:00"/>
        <d v="2026-06-18T00:00:00"/>
        <d v="2026-01-23T00:00:00"/>
        <d v="2026-03-03T00:00:00"/>
        <d v="2026-05-21T00:00:00"/>
        <d v="2026-02-24T00:00:00"/>
        <d v="2026-05-25T00:00:00"/>
        <d v="2026-08-20T00:00:00"/>
        <d v="2026-05-04T00:00:00"/>
        <d v="2026-06-15T00:00:00"/>
        <d v="2026-08-12T00:00:00"/>
        <d v="2026-04-05T00:00:00"/>
        <d v="2026-07-02T00:00:00"/>
        <d v="2025-12-17T00:00:00"/>
        <d v="2026-03-29T00:00:00"/>
        <d v="2026-08-02T00:00:00"/>
        <d v="2026-01-05T00:00:00"/>
        <d v="2026-01-28T00:00:00"/>
        <d v="2026-06-27T00:00:00"/>
        <d v="2026-08-27T00:00:00"/>
        <d v="2026-03-09T00:00:00"/>
        <d v="2026-04-08T00:00:00"/>
        <d v="2026-07-03T00:00:00"/>
        <d v="2026-01-10T00:00:00"/>
        <d v="2026-04-11T00:00:00"/>
        <d v="2026-08-09T00:00:00"/>
        <d v="2026-01-06T00:00:00"/>
        <d v="2026-04-22T00:00:00"/>
        <d v="2026-08-23T00:00:00"/>
        <d v="2026-01-30T00:00:00"/>
        <d v="2026-01-03T00:00:00"/>
        <d v="2026-05-14T00:00:00"/>
        <d v="2026-02-02T00:00:00"/>
        <d v="2026-09-04T00:00:00"/>
        <d v="2026-03-01T00:00:00"/>
        <d v="2026-04-28T00:00:00"/>
        <d v="2026-06-26T00:00:00"/>
        <d v="2025-12-11T00:00:00"/>
        <d v="2026-04-15T00:00:00"/>
        <d v="2026-08-14T00:00:00"/>
        <d v="2026-01-24T00:00:00"/>
        <d v="2026-07-05T00:00:00"/>
        <d v="2026-08-24T00:00:00"/>
        <d v="2026-07-13T00:00:00"/>
        <d v="2026-09-07T00:00:00"/>
        <d v="2026-01-25T00:00:00"/>
        <d v="2026-03-21T00:00:00"/>
        <d v="2026-06-12T00:00:00"/>
        <d v="2026-02-12T00:00:00"/>
        <d v="2026-05-16T00:00:00"/>
        <d v="2026-07-23T00:00:00"/>
        <d v="2026-01-26T00:00:00"/>
        <d v="2026-02-11T00:00:00"/>
        <d v="2026-04-19T00:00:00"/>
        <d v="2025-12-16T00:00:00"/>
        <d v="2026-04-04T00:00:00"/>
        <d v="2026-02-28T00:00:00"/>
        <d v="2026-05-24T00:00:00"/>
        <d v="2026-08-18T00:00:00"/>
        <d v="2026-06-16T00:00:00"/>
        <d v="2026-02-04T00:00:00"/>
        <d v="2026-02-19T00:00:00"/>
        <d v="2026-06-30T00:00:00"/>
        <d v="2026-02-17T00:00:00"/>
        <d v="2026-09-05T00:00:00"/>
        <d v="2026-07-20T00:00:00"/>
        <d v="2026-02-05T00:00:00"/>
        <d v="2026-07-19T00:00:00"/>
        <d v="2026-09-02T00:00:00"/>
        <d v="2025-12-21T00:00:00"/>
        <d v="2026-01-20T00:00:00"/>
        <d v="2026-04-13T00:00:00"/>
        <d v="2026-05-22T00:00:00"/>
        <d v="2026-08-05T00:00:00"/>
        <d v="2026-02-15T00:00:00"/>
        <d v="2026-03-13T00:00:00"/>
        <d v="2026-01-09T00:00:00"/>
        <d v="2026-08-08T00:00:00"/>
        <d v="2026-03-07T00:00:00"/>
        <d v="2026-06-17T00:00:00"/>
        <d v="2026-04-06T00:00:00"/>
        <d v="2026-04-30T00:00:00"/>
        <d v="2026-03-12T00:00:00"/>
        <d v="2026-06-08T00:00:00"/>
        <d v="2026-04-20T00:00:00"/>
        <d v="2026-02-13T00:00:00"/>
        <d v="2026-05-18T00:00:00"/>
        <d v="2026-08-06T00:00:00"/>
        <d v="2026-05-08T00:00:00"/>
        <d v="2026-05-12T00:00:00"/>
        <d v="2026-06-14T00:00:00"/>
        <d v="2026-05-09T00:00:00"/>
        <d v="2026-06-28T00:00:00"/>
        <d v="2026-07-01T00:00:00"/>
        <d v="2026-03-06T00:00:00"/>
        <d v="2026-08-28T00:00:00"/>
        <d v="2026-03-02T00:00:00"/>
        <d v="2026-04-23T00:00:00"/>
        <d v="2026-04-17T00:00:00"/>
        <d v="2026-01-31T00:00:00"/>
        <d v="2025-12-27T00:00:00"/>
        <d v="2026-06-01T00:00:00"/>
        <d v="2026-09-10T00:00:00"/>
        <d v="2026-02-06T00:00:00"/>
        <d v="2026-03-18T00:00:00"/>
        <d v="2026-07-25T00:00:00"/>
        <d v="2026-01-19T00:00:00"/>
        <d v="2026-02-14T00:00:00"/>
        <d v="2026-04-14T00:00:00"/>
        <d v="2026-07-15T00:00:00"/>
        <d v="2026-03-30T00:00:00"/>
        <d v="2025-12-05T00:00:00"/>
        <d v="2026-08-22T00:00:00"/>
        <d v="2026-01-02T00:00:00"/>
        <d v="2026-03-26T00:00:00"/>
        <d v="2026-04-29T00:00:00"/>
        <d v="2026-01-07T00:00:00"/>
        <d v="2025-12-20T00:00:00"/>
        <d v="2026-01-13T00:00:00"/>
        <d v="2026-07-10T00:00:00"/>
        <d v="2026-07-29T00:00:00"/>
        <d v="2026-06-05T00:00:00"/>
        <d v="2026-05-29T00:00:00"/>
        <d v="2026-09-11T00:00:00"/>
        <d v="2026-06-11T00:00:00"/>
        <d v="2026-04-10T00:00:00"/>
        <d v="2026-05-27T00:00:00"/>
        <d v="2026-01-08T00:00:00"/>
        <d v="2026-02-21T00:00:00"/>
        <d v="2026-08-21T00:00:00"/>
        <d v="2026-02-27T00:00:00"/>
        <d v="2025-12-22T00:00:00"/>
        <d v="2026-09-06T00:00:00"/>
      </sharedItems>
      <fieldGroup par="16"/>
    </cacheField>
    <cacheField name="ENVASADO" numFmtId="14">
      <sharedItems containsNonDate="0" containsDate="1" containsString="0" containsBlank="1" minDate="2025-12-04T00:00:00" maxDate="2026-09-12T00:00:00"/>
    </cacheField>
    <cacheField name="SALIDA" numFmtId="14">
      <sharedItems containsNonDate="0" containsDate="1" containsString="0" containsBlank="1" minDate="2025-12-04T00:00:00" maxDate="2026-12-31T00:00:00"/>
    </cacheField>
    <cacheField name="PRODUCTO" numFmtId="0">
      <sharedItems containsBlank="1"/>
    </cacheField>
    <cacheField name="Meses (PRODUCCIÓN)" numFmtId="0" databaseField="0">
      <fieldGroup base="10">
        <rangePr groupBy="months" startDate="2025-12-04T00:00:00" endDate="2026-09-12T00:00:00"/>
        <groupItems count="14">
          <s v="&lt;4/1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2/09/2026"/>
        </groupItems>
      </fieldGroup>
    </cacheField>
    <cacheField name="Trimestres (PRODUCCIÓN)" numFmtId="0" databaseField="0">
      <fieldGroup base="10">
        <rangePr groupBy="quarters" startDate="2025-12-04T00:00:00" endDate="2026-09-12T00:00:00"/>
        <groupItems count="6">
          <s v="&lt;4/12/2025"/>
          <s v="Trim.1"/>
          <s v="Trim.2"/>
          <s v="Trim.3"/>
          <s v="Trim.4"/>
          <s v="&gt;12/09/2026"/>
        </groupItems>
      </fieldGroup>
    </cacheField>
    <cacheField name="Años (PRODUCCIÓN)" numFmtId="0" databaseField="0">
      <fieldGroup base="10">
        <rangePr groupBy="years" startDate="2025-12-04T00:00:00" endDate="2026-09-12T00:00:00"/>
        <groupItems count="4">
          <s v="&lt;4/12/2025"/>
          <s v="2025"/>
          <s v="2026"/>
          <s v="&gt;12/09/2026"/>
        </groupItems>
      </fieldGroup>
    </cacheField>
    <cacheField name="Meses (FECHA)" numFmtId="0" databaseField="0">
      <fieldGroup base="3">
        <rangePr groupBy="months" startDate="2025-12-11T00:00:00" endDate="2027-03-01T00:00:00"/>
        <groupItems count="14">
          <s v="&lt;11/1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3/2027"/>
        </groupItems>
      </fieldGroup>
    </cacheField>
    <cacheField name="Trimestres (FECHA)" numFmtId="0" databaseField="0">
      <fieldGroup base="3">
        <rangePr groupBy="quarters" startDate="2025-12-11T00:00:00" endDate="2027-03-01T00:00:00"/>
        <groupItems count="6">
          <s v="&lt;11/12/2025"/>
          <s v="Trim.1"/>
          <s v="Trim.2"/>
          <s v="Trim.3"/>
          <s v="Trim.4"/>
          <s v="&gt;1/03/2027"/>
        </groupItems>
      </fieldGroup>
    </cacheField>
    <cacheField name="Años (FECHA)" numFmtId="0" databaseField="0">
      <fieldGroup base="3">
        <rangePr groupBy="years" startDate="2025-12-11T00:00:00" endDate="2027-03-01T00:00:00"/>
        <groupItems count="5">
          <s v="&lt;11/12/2025"/>
          <s v="2025"/>
          <s v="2026"/>
          <s v="2027"/>
          <s v="&gt;1/0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1">
  <r>
    <x v="0"/>
    <x v="0"/>
    <x v="0"/>
    <x v="0"/>
    <x v="0"/>
    <x v="0"/>
    <n v="816.59519999999998"/>
    <x v="0"/>
    <x v="0"/>
    <n v="10"/>
    <x v="0"/>
    <d v="2026-02-22T00:00:00"/>
    <d v="2026-04-07T00:00:00"/>
    <s v="HOJUELAS DE KIWICHA TOSTADA, SOYA INTEGRAL, QUINUA,  AVENA CON MACA ENRIQUECIDA CON VITAMINAS Y MINERALES"/>
  </r>
  <r>
    <x v="0"/>
    <x v="0"/>
    <x v="1"/>
    <x v="0"/>
    <x v="0"/>
    <x v="0"/>
    <n v="816.59519999999998"/>
    <x v="0"/>
    <x v="0"/>
    <n v="10"/>
    <x v="0"/>
    <d v="2026-02-22T00:00:00"/>
    <d v="2026-04-07T00:00:00"/>
    <s v="HOJUELAS DE KIWICHA TOSTADA, SOYA INTEGRAL, QUINUA,  AVENA CON MACA ENRIQUECIDA CON VITAMINAS Y MINERALES"/>
  </r>
  <r>
    <x v="0"/>
    <x v="0"/>
    <x v="2"/>
    <x v="0"/>
    <x v="0"/>
    <x v="0"/>
    <n v="816.59519999999998"/>
    <x v="0"/>
    <x v="0"/>
    <n v="10"/>
    <x v="0"/>
    <d v="2026-02-22T00:00:00"/>
    <d v="2026-04-07T00:00:00"/>
    <s v="HOJUELAS DE KIWICHA TOSTADA, SOYA INTEGRAL, QUINUA,  AVENA CON MACA ENRIQUECIDA CON VITAMINAS Y MINERALES"/>
  </r>
  <r>
    <x v="0"/>
    <x v="0"/>
    <x v="3"/>
    <x v="0"/>
    <x v="0"/>
    <x v="0"/>
    <n v="816.59519999999998"/>
    <x v="0"/>
    <x v="0"/>
    <n v="10"/>
    <x v="0"/>
    <d v="2026-02-22T00:00:00"/>
    <d v="2026-04-07T00:00:00"/>
    <s v="HOJUELAS DE KIWICHA TOSTADA, SOYA INTEGRAL, QUINUA,  AVENA CON MACA ENRIQUECIDA CON VITAMINAS Y MINERALES"/>
  </r>
  <r>
    <x v="0"/>
    <x v="0"/>
    <x v="4"/>
    <x v="1"/>
    <x v="0"/>
    <x v="0"/>
    <n v="816.59519999999998"/>
    <x v="0"/>
    <x v="0"/>
    <n v="10"/>
    <x v="1"/>
    <d v="2026-05-05T00:00:00"/>
    <d v="2026-05-05T00:00:00"/>
    <s v="HOJUELAS DE KIWICHA TOSTADA, SOYA INTEGRAL, QUINUA,  AVENA CON MACA ENRIQUECIDA CON VITAMINAS Y MINERALES"/>
  </r>
  <r>
    <x v="0"/>
    <x v="0"/>
    <x v="5"/>
    <x v="1"/>
    <x v="0"/>
    <x v="0"/>
    <n v="816.59519999999998"/>
    <x v="0"/>
    <x v="0"/>
    <n v="10"/>
    <x v="1"/>
    <d v="2026-05-05T00:00:00"/>
    <d v="2026-05-05T00:00:00"/>
    <s v="HOJUELAS DE KIWICHA TOSTADA, SOYA INTEGRAL, QUINUA,  AVENA CON MACA ENRIQUECIDA CON VITAMINAS Y MINERALES"/>
  </r>
  <r>
    <x v="0"/>
    <x v="0"/>
    <x v="6"/>
    <x v="2"/>
    <x v="0"/>
    <x v="0"/>
    <n v="816.59519999999998"/>
    <x v="0"/>
    <x v="0"/>
    <n v="10"/>
    <x v="2"/>
    <d v="2026-06-29T00:00:00"/>
    <d v="2026-06-29T00:00:00"/>
    <s v="HOJUELAS DE KIWICHA TOSTADA, SOYA INTEGRAL, QUINUA,  AVENA CON MACA ENRIQUECIDA CON VITAMINAS Y MINERALES"/>
  </r>
  <r>
    <x v="0"/>
    <x v="0"/>
    <x v="7"/>
    <x v="2"/>
    <x v="0"/>
    <x v="0"/>
    <n v="816.59519999999998"/>
    <x v="0"/>
    <x v="0"/>
    <n v="10"/>
    <x v="2"/>
    <d v="2026-06-29T00:00:00"/>
    <d v="2026-06-29T00:00:00"/>
    <s v="HOJUELAS DE KIWICHA TOSTADA, SOYA INTEGRAL, QUINUA,  AVENA CON MACA ENRIQUECIDA CON VITAMINAS Y MINERALES"/>
  </r>
  <r>
    <x v="0"/>
    <x v="0"/>
    <x v="8"/>
    <x v="3"/>
    <x v="0"/>
    <x v="0"/>
    <n v="816.59519999999998"/>
    <x v="0"/>
    <x v="0"/>
    <n v="10"/>
    <x v="3"/>
    <d v="2026-08-29T00:00:00"/>
    <d v="2026-09-04T00:00:00"/>
    <s v="HOJUELAS DE KIWICHA TOSTADA, SOYA INTEGRAL, QUINUA,  AVENA CON MACA ENRIQUECIDA CON VITAMINAS Y MINERALES"/>
  </r>
  <r>
    <x v="0"/>
    <x v="0"/>
    <x v="9"/>
    <x v="3"/>
    <x v="0"/>
    <x v="0"/>
    <n v="816.59519999999998"/>
    <x v="0"/>
    <x v="0"/>
    <n v="10"/>
    <x v="3"/>
    <d v="2026-08-29T00:00:00"/>
    <d v="2026-09-04T00:00:00"/>
    <s v="HOJUELAS DE KIWICHA TOSTADA, SOYA INTEGRAL, QUINUA,  AVENA CON MACA ENRIQUECIDA CON VITAMINAS Y MINERALES"/>
  </r>
  <r>
    <x v="0"/>
    <x v="0"/>
    <x v="10"/>
    <x v="4"/>
    <x v="0"/>
    <x v="0"/>
    <n v="816.59519999999998"/>
    <x v="0"/>
    <x v="0"/>
    <n v="10"/>
    <x v="4"/>
    <m/>
    <m/>
    <s v="HOJUELAS DE KIWICHA TOSTADA, SOYA INTEGRAL, QUINUA,  AVENA CON MACA ENRIQUECIDA CON VITAMINAS Y MINERALES"/>
  </r>
  <r>
    <x v="0"/>
    <x v="0"/>
    <x v="11"/>
    <x v="4"/>
    <x v="0"/>
    <x v="0"/>
    <n v="816.59519999999998"/>
    <x v="0"/>
    <x v="0"/>
    <n v="10"/>
    <x v="4"/>
    <m/>
    <m/>
    <s v="HOJUELAS DE KIWICHA TOSTADA, SOYA INTEGRAL, QUINUA,  AVENA CON MACA ENRIQUECIDA CON VITAMINAS Y MINERALES"/>
  </r>
  <r>
    <x v="0"/>
    <x v="1"/>
    <x v="12"/>
    <x v="5"/>
    <x v="1"/>
    <x v="1"/>
    <n v="1041"/>
    <x v="1"/>
    <x v="1"/>
    <n v="41"/>
    <x v="5"/>
    <d v="2026-01-29T00:00:00"/>
    <d v="2026-01-29T00:00:00"/>
    <s v="HOJUELAS PRECOCIDAS AZUCARADAS DE AVENA, CAÑIHUA, QUINUA, CEBADA, MACA, ALBUMINA DE HUEVO FORTIFICADA CON VITAMINAS Y MINERALES"/>
  </r>
  <r>
    <x v="0"/>
    <x v="1"/>
    <x v="2"/>
    <x v="6"/>
    <x v="2"/>
    <x v="1"/>
    <n v="547"/>
    <x v="1"/>
    <x v="2"/>
    <n v="47"/>
    <x v="6"/>
    <d v="2026-03-28T00:00:00"/>
    <d v="2026-03-28T00:00:00"/>
    <s v="HOJUELAS PRECOCIDAS AZUCARADAS DE AVENA, CAÑIHUA, QUINUA, CEBADA, MACA, ALBUMINA DE HUEVO FORTIFICADA CON VITAMINAS Y MINERALES"/>
  </r>
  <r>
    <x v="0"/>
    <x v="1"/>
    <x v="3"/>
    <x v="6"/>
    <x v="3"/>
    <x v="1"/>
    <n v="528"/>
    <x v="1"/>
    <x v="2"/>
    <n v="28"/>
    <x v="6"/>
    <d v="2026-03-28T00:00:00"/>
    <d v="2026-03-28T00:00:00"/>
    <s v="HOJUELAS PRECOCIDAS AZUCARADAS DE AVENA, CAÑIHUA, QUINUA, CEBADA, MACA, ALBUMINA DE HUEVO FORTIFICADA CON VITAMINAS Y MINERALES"/>
  </r>
  <r>
    <x v="0"/>
    <x v="1"/>
    <x v="4"/>
    <x v="7"/>
    <x v="2"/>
    <x v="1"/>
    <n v="547"/>
    <x v="1"/>
    <x v="2"/>
    <n v="47"/>
    <x v="7"/>
    <d v="2026-04-24T00:00:00"/>
    <d v="2026-05-05T00:00:00"/>
    <s v="HOJUELAS PRECOCIDAS AZUCARADAS DE AVENA, CAÑIHUA, QUINUA, CEBADA, MACA, ALBUMINA DE HUEVO FORTIFICADA CON VITAMINAS Y MINERALES"/>
  </r>
  <r>
    <x v="0"/>
    <x v="1"/>
    <x v="5"/>
    <x v="7"/>
    <x v="3"/>
    <x v="1"/>
    <n v="528"/>
    <x v="1"/>
    <x v="2"/>
    <n v="28"/>
    <x v="7"/>
    <d v="2026-04-24T00:00:00"/>
    <d v="2026-05-05T00:00:00"/>
    <s v="HOJUELAS PRECOCIDAS AZUCARADAS DE AVENA, CAÑIHUA, QUINUA, CEBADA, MACA, ALBUMINA DE HUEVO FORTIFICADA CON VITAMINAS Y MINERALES"/>
  </r>
  <r>
    <x v="0"/>
    <x v="1"/>
    <x v="6"/>
    <x v="8"/>
    <x v="2"/>
    <x v="1"/>
    <n v="547"/>
    <x v="1"/>
    <x v="2"/>
    <n v="47"/>
    <x v="8"/>
    <d v="2026-06-02T00:00:00"/>
    <d v="2026-06-05T00:00:00"/>
    <s v="HOJUELAS PRECOCIDAS AZUCARADAS DE AVENA, CAÑIHUA, QUINUA, CEBADA, MACA, ALBUMINA DE HUEVO FORTIFICADA CON VITAMINAS Y MINERALES"/>
  </r>
  <r>
    <x v="0"/>
    <x v="1"/>
    <x v="7"/>
    <x v="8"/>
    <x v="2"/>
    <x v="1"/>
    <n v="547"/>
    <x v="1"/>
    <x v="2"/>
    <n v="47"/>
    <x v="8"/>
    <d v="2026-06-02T00:00:00"/>
    <d v="2026-06-05T00:00:00"/>
    <s v="HOJUELAS PRECOCIDAS AZUCARADAS DE AVENA, CAÑIHUA, QUINUA, CEBADA, MACA, ALBUMINA DE HUEVO FORTIFICADA CON VITAMINAS Y MINERALES"/>
  </r>
  <r>
    <x v="0"/>
    <x v="1"/>
    <x v="8"/>
    <x v="9"/>
    <x v="4"/>
    <x v="1"/>
    <n v="530"/>
    <x v="1"/>
    <x v="2"/>
    <n v="30"/>
    <x v="9"/>
    <d v="2026-08-07T00:00:00"/>
    <d v="2026-08-19T00:00:00"/>
    <s v="HOJUELAS PRECOCIDAS AZUCARADAS DE AVENA, CAÑIHUA, QUINUA, CEBADA, MACA, ALBUMINA DE HUEVO FORTIFICADA CON VITAMINAS Y MINERALES"/>
  </r>
  <r>
    <x v="0"/>
    <x v="1"/>
    <x v="9"/>
    <x v="9"/>
    <x v="5"/>
    <x v="1"/>
    <n v="548"/>
    <x v="1"/>
    <x v="2"/>
    <n v="48"/>
    <x v="9"/>
    <d v="2026-08-07T00:00:00"/>
    <d v="2026-08-19T00:00:00"/>
    <s v="HOJUELAS PRECOCIDAS AZUCARADAS DE AVENA, CAÑIHUA, QUINUA, CEBADA, MACA, ALBUMINA DE HUEVO FORTIFICADA CON VITAMINAS Y MINERALES"/>
  </r>
  <r>
    <x v="0"/>
    <x v="1"/>
    <x v="10"/>
    <x v="10"/>
    <x v="4"/>
    <x v="1"/>
    <n v="530"/>
    <x v="1"/>
    <x v="2"/>
    <n v="30"/>
    <x v="4"/>
    <m/>
    <m/>
    <s v="HOJUELAS PRECOCIDAS AZUCARADAS DE AVENA, CAÑIHUA, QUINUA, CEBADA, MACA, ALBUMINA DE HUEVO FORTIFICADA CON VITAMINAS Y MINERALES"/>
  </r>
  <r>
    <x v="0"/>
    <x v="1"/>
    <x v="11"/>
    <x v="10"/>
    <x v="5"/>
    <x v="1"/>
    <n v="548"/>
    <x v="1"/>
    <x v="2"/>
    <n v="48"/>
    <x v="4"/>
    <m/>
    <m/>
    <s v="HOJUELAS PRECOCIDAS AZUCARADAS DE AVENA, CAÑIHUA, QUINUA, CEBADA, MACA, ALBUMINA DE HUEVO FORTIFICADA CON VITAMINAS Y MINERALES"/>
  </r>
  <r>
    <x v="0"/>
    <x v="2"/>
    <x v="3"/>
    <x v="6"/>
    <x v="6"/>
    <x v="2"/>
    <n v="2968.5551999999998"/>
    <x v="2"/>
    <x v="3"/>
    <n v="0"/>
    <x v="10"/>
    <d v="2026-03-24T00:00:00"/>
    <d v="2026-03-24T00:00:00"/>
    <s v="MEZCLA DE HOJUELAS DE QUINUA, AVENA Y KIWICHA ENRIQUECIDA CON VITAMINAS Y MINERALES - HOJUELAS CRUDAS"/>
  </r>
  <r>
    <x v="0"/>
    <x v="2"/>
    <x v="4"/>
    <x v="11"/>
    <x v="6"/>
    <x v="2"/>
    <n v="2968.5551999999998"/>
    <x v="2"/>
    <x v="3"/>
    <n v="0"/>
    <x v="11"/>
    <d v="2026-04-27T00:00:00"/>
    <d v="2026-04-27T00:00:00"/>
    <s v="MEZCLA DE HOJUELAS DE QUINUA, AVENA Y KIWICHA ENRIQUECIDA CON VITAMINAS Y MINERALES - HOJUELAS CRUDAS"/>
  </r>
  <r>
    <x v="0"/>
    <x v="2"/>
    <x v="5"/>
    <x v="12"/>
    <x v="6"/>
    <x v="2"/>
    <n v="2968.5551999999998"/>
    <x v="2"/>
    <x v="3"/>
    <n v="0"/>
    <x v="12"/>
    <d v="2026-05-19T00:00:00"/>
    <d v="2026-05-25T00:00:00"/>
    <s v="MEZCLA DE HOJUELAS DE QUINUA, AVENA Y KIWICHA ENRIQUECIDA CON VITAMINAS Y MINERALES - HOJUELAS CRUDAS"/>
  </r>
  <r>
    <x v="0"/>
    <x v="2"/>
    <x v="6"/>
    <x v="13"/>
    <x v="6"/>
    <x v="2"/>
    <n v="2968.5551999999998"/>
    <x v="2"/>
    <x v="3"/>
    <n v="0"/>
    <x v="13"/>
    <d v="2026-06-24T00:00:00"/>
    <d v="2026-06-24T00:00:00"/>
    <s v="MEZCLA DE HOJUELAS DE QUINUA, AVENA Y KIWICHA ENRIQUECIDA CON VITAMINAS Y MINERALES - HOJUELAS CRUDAS"/>
  </r>
  <r>
    <x v="0"/>
    <x v="2"/>
    <x v="7"/>
    <x v="14"/>
    <x v="6"/>
    <x v="2"/>
    <n v="2968.5551999999998"/>
    <x v="2"/>
    <x v="3"/>
    <n v="0"/>
    <x v="14"/>
    <d v="2026-07-22T00:00:00"/>
    <d v="2026-07-22T00:00:00"/>
    <s v="MEZCLA DE HOJUELAS DE QUINUA, AVENA Y KIWICHA ENRIQUECIDA CON VITAMINAS Y MINERALES - HOJUELAS CRUDAS"/>
  </r>
  <r>
    <x v="0"/>
    <x v="2"/>
    <x v="12"/>
    <x v="15"/>
    <x v="6"/>
    <x v="3"/>
    <n v="3697.5744"/>
    <x v="0"/>
    <x v="4"/>
    <n v="5"/>
    <x v="15"/>
    <d v="2026-08-10T00:00:00"/>
    <d v="2026-08-10T00:00:00"/>
    <s v="MEZCLA DE HOJUELAS DE QUINUA, AVENA Y KIWICHA ENRIQUECIDA CON VITAMINAS Y MINERALES - HOJUELAS CRUDAS"/>
  </r>
  <r>
    <x v="0"/>
    <x v="2"/>
    <x v="8"/>
    <x v="15"/>
    <x v="6"/>
    <x v="2"/>
    <n v="2968.5551999999998"/>
    <x v="2"/>
    <x v="3"/>
    <n v="0"/>
    <x v="16"/>
    <d v="2026-08-17T00:00:00"/>
    <d v="2026-08-29T00:00:00"/>
    <s v="MEZCLA DE HOJUELAS DE QUINUA, AVENA Y KIWICHA ENRIQUECIDA CON VITAMINAS Y MINERALES - HOJUELAS CRUDAS"/>
  </r>
  <r>
    <x v="0"/>
    <x v="2"/>
    <x v="9"/>
    <x v="16"/>
    <x v="6"/>
    <x v="2"/>
    <n v="2968.5551999999998"/>
    <x v="2"/>
    <x v="3"/>
    <n v="0"/>
    <x v="4"/>
    <m/>
    <m/>
    <s v="MEZCLA DE HOJUELAS DE QUINUA, AVENA Y KIWICHA ENRIQUECIDA CON VITAMINAS Y MINERALES - HOJUELAS CRUDAS"/>
  </r>
  <r>
    <x v="0"/>
    <x v="2"/>
    <x v="10"/>
    <x v="17"/>
    <x v="6"/>
    <x v="2"/>
    <n v="2968.5551999999998"/>
    <x v="2"/>
    <x v="3"/>
    <n v="0"/>
    <x v="4"/>
    <m/>
    <m/>
    <s v="MEZCLA DE HOJUELAS DE QUINUA, AVENA Y KIWICHA ENRIQUECIDA CON VITAMINAS Y MINERALES - HOJUELAS CRUDAS"/>
  </r>
  <r>
    <x v="0"/>
    <x v="2"/>
    <x v="11"/>
    <x v="18"/>
    <x v="6"/>
    <x v="2"/>
    <n v="2968.5551999999998"/>
    <x v="2"/>
    <x v="3"/>
    <n v="0"/>
    <x v="4"/>
    <m/>
    <m/>
    <s v="MEZCLA DE HOJUELAS DE QUINUA, AVENA Y KIWICHA ENRIQUECIDA CON VITAMINAS Y MINERALES - HOJUELAS CRUDAS"/>
  </r>
  <r>
    <x v="0"/>
    <x v="2"/>
    <x v="13"/>
    <x v="19"/>
    <x v="6"/>
    <x v="2"/>
    <n v="2968.5551999999998"/>
    <x v="2"/>
    <x v="3"/>
    <n v="0"/>
    <x v="4"/>
    <m/>
    <m/>
    <s v="MEZCLA DE HOJUELAS DE QUINUA, AVENA Y KIWICHA ENRIQUECIDA CON VITAMINAS Y MINERALES - HOJUELAS CRUDAS"/>
  </r>
  <r>
    <x v="0"/>
    <x v="2"/>
    <x v="14"/>
    <x v="20"/>
    <x v="6"/>
    <x v="2"/>
    <n v="2968.5551999999998"/>
    <x v="2"/>
    <x v="3"/>
    <n v="0"/>
    <x v="4"/>
    <m/>
    <m/>
    <s v="MEZCLA DE HOJUELAS DE QUINUA, AVENA Y KIWICHA ENRIQUECIDA CON VITAMINAS Y MINERALES - HOJUELAS CRUDAS"/>
  </r>
  <r>
    <x v="0"/>
    <x v="2"/>
    <x v="15"/>
    <x v="21"/>
    <x v="6"/>
    <x v="2"/>
    <n v="2968.5551999999998"/>
    <x v="2"/>
    <x v="3"/>
    <n v="0"/>
    <x v="4"/>
    <m/>
    <m/>
    <s v="MEZCLA DE HOJUELAS DE QUINUA, AVENA Y KIWICHA ENRIQUECIDA CON VITAMINAS Y MINERALES - HOJUELAS CRUDAS"/>
  </r>
  <r>
    <x v="0"/>
    <x v="3"/>
    <x v="16"/>
    <x v="22"/>
    <x v="7"/>
    <x v="4"/>
    <n v="1867.2"/>
    <x v="3"/>
    <x v="5"/>
    <n v="0"/>
    <x v="17"/>
    <d v="2026-01-17T00:00:00"/>
    <d v="2026-01-27T00:00:00"/>
    <s v="HOJUELAS DE AVENA, KIWICHA, QUINUA, MAÍZ CHUFLA CON SOYA, MACA Y AZÚCAR FORTIFICADA CON VITAMINAS Y MINERALES - HOJUELAS PRECOCIDAS"/>
  </r>
  <r>
    <x v="0"/>
    <x v="3"/>
    <x v="17"/>
    <x v="23"/>
    <x v="7"/>
    <x v="4"/>
    <n v="1867.2"/>
    <x v="3"/>
    <x v="5"/>
    <n v="0"/>
    <x v="18"/>
    <d v="2026-03-20T00:00:00"/>
    <d v="2026-03-20T00:00:00"/>
    <s v="HOJUELAS DE AVENA, KIWICHA, QUINUA, MAÍZ CHUFLA CON SOYA, MACA Y AZÚCAR FORTIFICADA CON VITAMINAS Y MINERALES - HOJUELAS PRECOCIDAS"/>
  </r>
  <r>
    <x v="0"/>
    <x v="3"/>
    <x v="18"/>
    <x v="8"/>
    <x v="7"/>
    <x v="4"/>
    <n v="1867.2"/>
    <x v="3"/>
    <x v="5"/>
    <n v="0"/>
    <x v="19"/>
    <d v="2026-06-19T00:00:00"/>
    <d v="2026-06-19T00:00:00"/>
    <s v="HOJUELAS DE AVENA, KIWICHA, QUINUA, MAÍZ CHUFLA CON SOYA, MACA Y AZÚCAR FORTIFICADA CON VITAMINAS Y MINERALES - HOJUELAS PRECOCIDAS"/>
  </r>
  <r>
    <x v="0"/>
    <x v="3"/>
    <x v="19"/>
    <x v="24"/>
    <x v="7"/>
    <x v="4"/>
    <n v="1867.2"/>
    <x v="3"/>
    <x v="5"/>
    <n v="0"/>
    <x v="4"/>
    <m/>
    <m/>
    <s v="HOJUELAS DE AVENA, KIWICHA, QUINUA, MAÍZ CHUFLA CON SOYA, MACA Y AZÚCAR FORTIFICADA CON VITAMINAS Y MINERALES - HOJUELAS PRECOCIDAS"/>
  </r>
  <r>
    <x v="0"/>
    <x v="4"/>
    <x v="20"/>
    <x v="25"/>
    <x v="8"/>
    <x v="1"/>
    <n v="9390"/>
    <x v="2"/>
    <x v="6"/>
    <n v="30"/>
    <x v="20"/>
    <d v="2026-03-15T00:00:00"/>
    <d v="2026-03-16T00:00:00"/>
    <s v="HOJUELA DE KIWICHA TOSTADA SOYA INTEGRAL QUINUA AVENA CON MACA ENRIQUECIDA CON VITAMINAS Y MINERALES"/>
  </r>
  <r>
    <x v="0"/>
    <x v="4"/>
    <x v="21"/>
    <x v="26"/>
    <x v="9"/>
    <x v="1"/>
    <n v="4696.5"/>
    <x v="2"/>
    <x v="7"/>
    <n v="16.5"/>
    <x v="21"/>
    <d v="2026-04-18T00:00:00"/>
    <d v="2026-04-19T00:00:00"/>
    <s v="HOJUELA DE KIWICHA TOSTADA SOYA INTEGRAL QUINUA AVENA CON MACA ENRIQUECIDA CON VITAMINAS Y MINERALES"/>
  </r>
  <r>
    <x v="0"/>
    <x v="4"/>
    <x v="22"/>
    <x v="27"/>
    <x v="9"/>
    <x v="1"/>
    <n v="4696.5"/>
    <x v="2"/>
    <x v="7"/>
    <n v="16.5"/>
    <x v="22"/>
    <d v="2026-06-06T00:00:00"/>
    <d v="2026-06-06T00:00:00"/>
    <s v="HOJUELA DE KIWICHA TOSTADA SOYA INTEGRAL QUINUA AVENA CON MACA ENRIQUECIDA CON VITAMINAS Y MINERALES"/>
  </r>
  <r>
    <x v="0"/>
    <x v="4"/>
    <x v="12"/>
    <x v="28"/>
    <x v="10"/>
    <x v="5"/>
    <n v="3032.9199999999996"/>
    <x v="0"/>
    <x v="8"/>
    <n v="24"/>
    <x v="23"/>
    <d v="2026-08-03T00:00:00"/>
    <d v="2026-08-03T00:00:00"/>
    <s v="HOJUELA DE KIWICHA TOSTADA SOYA INTEGRAL QUINUA AVENA CON MACA ENRIQUECIDA CON VITAMINAS Y MINERALES"/>
  </r>
  <r>
    <x v="0"/>
    <x v="4"/>
    <x v="23"/>
    <x v="28"/>
    <x v="9"/>
    <x v="1"/>
    <n v="4696.5"/>
    <x v="2"/>
    <x v="7"/>
    <n v="16.5"/>
    <x v="24"/>
    <d v="2026-08-19T00:00:00"/>
    <d v="2026-08-19T00:00:00"/>
    <s v="HOJUELA DE KIWICHA TOSTADA SOYA INTEGRAL QUINUA AVENA CON MACA ENRIQUECIDA CON VITAMINAS Y MINERALES"/>
  </r>
  <r>
    <x v="0"/>
    <x v="4"/>
    <x v="24"/>
    <x v="4"/>
    <x v="9"/>
    <x v="1"/>
    <n v="4696.5"/>
    <x v="2"/>
    <x v="7"/>
    <n v="16.5"/>
    <x v="4"/>
    <m/>
    <m/>
    <s v="HOJUELA DE KIWICHA TOSTADA SOYA INTEGRAL QUINUA AVENA CON MACA ENRIQUECIDA CON VITAMINAS Y MINERALES"/>
  </r>
  <r>
    <x v="0"/>
    <x v="5"/>
    <x v="16"/>
    <x v="7"/>
    <x v="11"/>
    <x v="6"/>
    <n v="1525.5"/>
    <x v="4"/>
    <x v="9"/>
    <n v="11"/>
    <x v="25"/>
    <d v="2026-04-16T00:00:00"/>
    <d v="2026-04-16T00:00:00"/>
    <s v="HOJUELAS DE QUINUA AVENA KIWICHA CON HARINA DE MACA ENRIQUECIDA CON VITAMINAS Y MINERALES"/>
  </r>
  <r>
    <x v="0"/>
    <x v="5"/>
    <x v="17"/>
    <x v="7"/>
    <x v="11"/>
    <x v="6"/>
    <n v="1525.5"/>
    <x v="4"/>
    <x v="9"/>
    <n v="11"/>
    <x v="25"/>
    <d v="2026-04-16T00:00:00"/>
    <d v="2026-04-16T00:00:00"/>
    <s v="HOJUELAS DE QUINUA AVENA KIWICHA CON HARINA DE MACA ENRIQUECIDA CON VITAMINAS Y MINERALES"/>
  </r>
  <r>
    <x v="0"/>
    <x v="5"/>
    <x v="18"/>
    <x v="2"/>
    <x v="11"/>
    <x v="6"/>
    <n v="1525.5"/>
    <x v="4"/>
    <x v="9"/>
    <n v="11"/>
    <x v="26"/>
    <d v="2026-06-25T00:00:00"/>
    <d v="2026-06-25T00:00:00"/>
    <s v="HOJUELAS DE QUINUA AVENA KIWICHA CON HARINA DE MACA ENRIQUECIDA CON VITAMINAS Y MINERALES"/>
  </r>
  <r>
    <x v="0"/>
    <x v="5"/>
    <x v="19"/>
    <x v="29"/>
    <x v="11"/>
    <x v="6"/>
    <n v="1525.5"/>
    <x v="4"/>
    <x v="9"/>
    <n v="11"/>
    <x v="4"/>
    <m/>
    <m/>
    <s v="HOJUELAS DE QUINUA AVENA KIWICHA CON HARINA DE MACA ENRIQUECIDA CON VITAMINAS Y MINERALES"/>
  </r>
  <r>
    <x v="0"/>
    <x v="6"/>
    <x v="0"/>
    <x v="30"/>
    <x v="12"/>
    <x v="1"/>
    <n v="802"/>
    <x v="1"/>
    <x v="10"/>
    <n v="2"/>
    <x v="27"/>
    <d v="2026-01-04T00:00:00"/>
    <d v="2026-01-10T00:00:00"/>
    <s v="HOJUELAS PRECOCIDAS AZUCARADAS DE AVENA, CAÑIHUA, QUINUA, HARINA TOSTADA DE CEBADA, HARINA DESHIDRATADA MACA, HARINA INTEGRAL DE SOYA, ALBUMINA DE HUEVO FORTIFICADA CON VITAMINAS Y MINERALES"/>
  </r>
  <r>
    <x v="0"/>
    <x v="6"/>
    <x v="1"/>
    <x v="31"/>
    <x v="13"/>
    <x v="1"/>
    <n v="723"/>
    <x v="1"/>
    <x v="11"/>
    <n v="23"/>
    <x v="27"/>
    <d v="2026-01-04T00:00:00"/>
    <d v="2026-01-10T00:00:00"/>
    <s v="HOJUELAS PRECOCIDAS AZUCARADAS DE AVENA, CAÑIHUA, QUINUA, HARINA TOSTADA DE CEBADA, HARINA DESHIDRATADA MACA, HARINA INTEGRAL DE SOYA, ALBUMINA DE HUEVO FORTIFICADA CON VITAMINAS Y MINERALES"/>
  </r>
  <r>
    <x v="0"/>
    <x v="6"/>
    <x v="2"/>
    <x v="32"/>
    <x v="12"/>
    <x v="1"/>
    <n v="802"/>
    <x v="1"/>
    <x v="10"/>
    <n v="2"/>
    <x v="28"/>
    <d v="2026-02-10T00:00:00"/>
    <d v="2026-02-10T00:00:00"/>
    <s v="HOJUELAS PRECOCIDAS AZUCARADAS DE AVENA, CAÑIHUA, QUINUA, HARINA TOSTADA DE CEBADA, HARINA DESHIDRATADA MACA, HARINA INTEGRAL DE SOYA, ALBUMINA DE HUEVO FORTIFICADA CON VITAMINAS Y MINERALES"/>
  </r>
  <r>
    <x v="0"/>
    <x v="6"/>
    <x v="3"/>
    <x v="32"/>
    <x v="14"/>
    <x v="1"/>
    <n v="775"/>
    <x v="1"/>
    <x v="12"/>
    <n v="25"/>
    <x v="28"/>
    <d v="2026-02-10T00:00:00"/>
    <d v="2026-02-10T00:00:00"/>
    <s v="HOJUELAS PRECOCIDAS AZUCARADAS DE AVENA, CAÑIHUA, QUINUA, HARINA TOSTADA DE CEBADA, HARINA DESHIDRATADA MACA, HARINA INTEGRAL DE SOYA, ALBUMINA DE HUEVO FORTIFICADA CON VITAMINAS Y MINERALES"/>
  </r>
  <r>
    <x v="0"/>
    <x v="6"/>
    <x v="4"/>
    <x v="26"/>
    <x v="12"/>
    <x v="1"/>
    <n v="802"/>
    <x v="1"/>
    <x v="10"/>
    <n v="2"/>
    <x v="29"/>
    <d v="2026-04-09T00:00:00"/>
    <d v="2026-04-09T00:00:00"/>
    <s v="HOJUELAS PRECOCIDAS AZUCARADAS DE AVENA, CAÑIHUA, QUINUA, HARINA TOSTADA DE CEBADA, HARINA DESHIDRATADA MACA, HARINA INTEGRAL DE SOYA, ALBUMINA DE HUEVO FORTIFICADA CON VITAMINAS Y MINERALES"/>
  </r>
  <r>
    <x v="0"/>
    <x v="6"/>
    <x v="5"/>
    <x v="26"/>
    <x v="14"/>
    <x v="1"/>
    <n v="775"/>
    <x v="1"/>
    <x v="12"/>
    <n v="25"/>
    <x v="29"/>
    <d v="2026-04-09T00:00:00"/>
    <d v="2026-04-09T00:00:00"/>
    <s v="HOJUELAS PRECOCIDAS AZUCARADAS DE AVENA, CAÑIHUA, QUINUA, HARINA TOSTADA DE CEBADA, HARINA DESHIDRATADA MACA, HARINA INTEGRAL DE SOYA, ALBUMINA DE HUEVO FORTIFICADA CON VITAMINAS Y MINERALES"/>
  </r>
  <r>
    <x v="0"/>
    <x v="6"/>
    <x v="6"/>
    <x v="33"/>
    <x v="12"/>
    <x v="1"/>
    <n v="802"/>
    <x v="1"/>
    <x v="10"/>
    <n v="2"/>
    <x v="30"/>
    <d v="2026-06-04T00:00:00"/>
    <d v="2026-06-05T00:00:00"/>
    <s v="HOJUELAS PRECOCIDAS AZUCARADAS DE AVENA, CAÑIHUA, QUINUA, HARINA TOSTADA DE CEBADA, HARINA DESHIDRATADA MACA, HARINA INTEGRAL DE SOYA, ALBUMINA DE HUEVO FORTIFICADA CON VITAMINAS Y MINERALES"/>
  </r>
  <r>
    <x v="0"/>
    <x v="6"/>
    <x v="7"/>
    <x v="33"/>
    <x v="12"/>
    <x v="1"/>
    <n v="802"/>
    <x v="1"/>
    <x v="10"/>
    <n v="2"/>
    <x v="30"/>
    <d v="2026-06-04T00:00:00"/>
    <d v="2026-06-05T00:00:00"/>
    <s v="HOJUELAS PRECOCIDAS AZUCARADAS DE AVENA, CAÑIHUA, QUINUA, HARINA TOSTADA DE CEBADA, HARINA DESHIDRATADA MACA, HARINA INTEGRAL DE SOYA, ALBUMINA DE HUEVO FORTIFICADA CON VITAMINAS Y MINERALES"/>
  </r>
  <r>
    <x v="0"/>
    <x v="6"/>
    <x v="8"/>
    <x v="34"/>
    <x v="14"/>
    <x v="1"/>
    <n v="775"/>
    <x v="1"/>
    <x v="12"/>
    <n v="25"/>
    <x v="31"/>
    <d v="2026-07-31T00:00:00"/>
    <d v="2026-07-31T00:00:00"/>
    <s v="HOJUELAS PRECOCIDAS AZUCARADAS DE AVENA, CAÑIHUA, QUINUA, HARINA TOSTADA DE CEBADA, HARINA DESHIDRATADA MACA, HARINA INTEGRAL DE SOYA, ALBUMINA DE HUEVO FORTIFICADA CON VITAMINAS Y MINERALES"/>
  </r>
  <r>
    <x v="0"/>
    <x v="6"/>
    <x v="9"/>
    <x v="34"/>
    <x v="12"/>
    <x v="1"/>
    <n v="802"/>
    <x v="1"/>
    <x v="10"/>
    <n v="2"/>
    <x v="23"/>
    <d v="2026-08-03T00:00:00"/>
    <d v="2026-08-03T00:00:00"/>
    <s v="HOJUELAS PRECOCIDAS AZUCARADAS DE AVENA, CAÑIHUA, QUINUA, HARINA TOSTADA DE CEBADA, HARINA DESHIDRATADA MACA, HARINA INTEGRAL DE SOYA, ALBUMINA DE HUEVO FORTIFICADA CON VITAMINAS Y MINERALES"/>
  </r>
  <r>
    <x v="0"/>
    <x v="6"/>
    <x v="10"/>
    <x v="35"/>
    <x v="15"/>
    <x v="1"/>
    <n v="778"/>
    <x v="1"/>
    <x v="12"/>
    <n v="28"/>
    <x v="4"/>
    <m/>
    <m/>
    <s v="HOJUELAS PRECOCIDAS AZUCARADAS DE AVENA, CAÑIHUA, QUINUA, HARINA TOSTADA DE CEBADA, HARINA DESHIDRATADA MACA, HARINA INTEGRAL DE SOYA, ALBUMINA DE HUEVO FORTIFICADA CON VITAMINAS Y MINERALES"/>
  </r>
  <r>
    <x v="0"/>
    <x v="6"/>
    <x v="11"/>
    <x v="35"/>
    <x v="16"/>
    <x v="1"/>
    <n v="804.5"/>
    <x v="1"/>
    <x v="10"/>
    <n v="4.5"/>
    <x v="4"/>
    <m/>
    <m/>
    <s v="HOJUELAS PRECOCIDAS AZUCARADAS DE AVENA, CAÑIHUA, QUINUA, HARINA TOSTADA DE CEBADA, HARINA DESHIDRATADA MACA, HARINA INTEGRAL DE SOYA, ALBUMINA DE HUEVO FORTIFICADA CON VITAMINAS Y MINERALES"/>
  </r>
  <r>
    <x v="0"/>
    <x v="7"/>
    <x v="12"/>
    <x v="36"/>
    <x v="17"/>
    <x v="1"/>
    <n v="5996"/>
    <x v="1"/>
    <x v="13"/>
    <n v="46"/>
    <x v="32"/>
    <d v="2026-07-04T00:00:00"/>
    <d v="2026-07-04T00:00:00"/>
    <s v="HOJUELA DE QUINUA, AVENA, KIWICHA PRECOCIDA, AZUCARADA, FORTIFICADA CON VITAMINAS Y MINERALES"/>
  </r>
  <r>
    <x v="0"/>
    <x v="8"/>
    <x v="16"/>
    <x v="37"/>
    <x v="18"/>
    <x v="1"/>
    <n v="1350"/>
    <x v="2"/>
    <x v="14"/>
    <n v="30"/>
    <x v="33"/>
    <d v="2026-02-26T00:00:00"/>
    <d v="2026-02-26T00:00:00"/>
    <s v="HOJUELAS DE AVENA, QUINUA Y HARINA DE MAÍZ PRECOCIDAS ENRIQUECIDAS CON VITAMINAS Y MINERALES"/>
  </r>
  <r>
    <x v="0"/>
    <x v="8"/>
    <x v="17"/>
    <x v="38"/>
    <x v="18"/>
    <x v="1"/>
    <n v="1350"/>
    <x v="2"/>
    <x v="14"/>
    <n v="30"/>
    <x v="34"/>
    <d v="2026-04-26T00:00:00"/>
    <d v="2026-04-26T00:00:00"/>
    <s v="HOJUELAS DE AVENA, QUINUA Y HARINA DE MAÍZ PRECOCIDAS ENRIQUECIDAS CON VITAMINAS Y MINERALES"/>
  </r>
  <r>
    <x v="0"/>
    <x v="8"/>
    <x v="18"/>
    <x v="13"/>
    <x v="18"/>
    <x v="1"/>
    <n v="1350"/>
    <x v="2"/>
    <x v="14"/>
    <n v="30"/>
    <x v="35"/>
    <d v="2026-07-17T00:00:00"/>
    <d v="2026-07-17T00:00:00"/>
    <s v="HOJUELAS DE AVENA, QUINUA Y HARINA DE MAÍZ PRECOCIDAS ENRIQUECIDAS CON VITAMINAS Y MINERALES"/>
  </r>
  <r>
    <x v="0"/>
    <x v="8"/>
    <x v="12"/>
    <x v="39"/>
    <x v="19"/>
    <x v="7"/>
    <n v="191.25"/>
    <x v="4"/>
    <x v="15"/>
    <n v="50"/>
    <x v="36"/>
    <d v="2026-08-04T00:00:00"/>
    <d v="2026-08-11T00:00:00"/>
    <s v="HOJUELAS DE AVENA, QUINUA Y HARINA DE MAÍZ PRECOCIDAS ENRIQUECIDAS CON VITAMINAS Y MINERALES"/>
  </r>
  <r>
    <x v="0"/>
    <x v="8"/>
    <x v="19"/>
    <x v="16"/>
    <x v="18"/>
    <x v="1"/>
    <n v="1350"/>
    <x v="2"/>
    <x v="14"/>
    <n v="30"/>
    <x v="4"/>
    <m/>
    <m/>
    <s v="HOJUELAS DE AVENA, QUINUA Y HARINA DE MAÍZ PRECOCIDAS ENRIQUECIDAS CON VITAMINAS Y MINERALES"/>
  </r>
  <r>
    <x v="0"/>
    <x v="9"/>
    <x v="0"/>
    <x v="40"/>
    <x v="20"/>
    <x v="6"/>
    <n v="1710"/>
    <x v="4"/>
    <x v="16"/>
    <n v="60"/>
    <x v="37"/>
    <d v="2026-01-14T00:00:00"/>
    <d v="2026-01-14T00:00:00"/>
    <s v="HOJUELAS PRECOCIDAS DE AVENA, QUINUA Y KIWICHA, HARINA DE MAIZ CHUFLA, FORTIFICADA CON VITAMINAS Y MINERALES"/>
  </r>
  <r>
    <x v="0"/>
    <x v="9"/>
    <x v="2"/>
    <x v="41"/>
    <x v="21"/>
    <x v="6"/>
    <n v="855"/>
    <x v="4"/>
    <x v="17"/>
    <n v="30"/>
    <x v="38"/>
    <d v="2026-03-10T00:00:00"/>
    <d v="2026-03-11T00:00:00"/>
    <s v="HOJUELAS PRECOCIDAS DE AVENA, QUINUA Y KIWICHA, HARINA DE MAÍZ CHUFLA FORTIFICADA CON VITAMINAS Y MINERALES "/>
  </r>
  <r>
    <x v="0"/>
    <x v="9"/>
    <x v="3"/>
    <x v="42"/>
    <x v="21"/>
    <x v="6"/>
    <n v="855"/>
    <x v="4"/>
    <x v="17"/>
    <n v="30"/>
    <x v="38"/>
    <d v="2026-03-10T00:00:00"/>
    <d v="2026-03-11T00:00:00"/>
    <s v="HOJUELAS PRECOCIDAS DE AVENA, QUINUA Y KIWICHA, HARINA DE MAÍZ CHUFLA FORTIFICADA CON VITAMINAS Y MINERALES "/>
  </r>
  <r>
    <x v="0"/>
    <x v="9"/>
    <x v="4"/>
    <x v="43"/>
    <x v="21"/>
    <x v="6"/>
    <n v="855"/>
    <x v="4"/>
    <x v="17"/>
    <n v="30"/>
    <x v="39"/>
    <d v="2026-04-25T00:00:00"/>
    <d v="2026-04-26T00:00:00"/>
    <s v="HOJUELAS PRECOCIDAS DE AVENA, QUINUA Y KIWICHA, HARINA DE MAÍZ CHUFLA FORTIFICADA CON VITAMINAS Y MINERALES "/>
  </r>
  <r>
    <x v="0"/>
    <x v="9"/>
    <x v="5"/>
    <x v="43"/>
    <x v="21"/>
    <x v="6"/>
    <n v="855"/>
    <x v="4"/>
    <x v="17"/>
    <n v="30"/>
    <x v="39"/>
    <d v="2026-04-25T00:00:00"/>
    <d v="2026-04-26T00:00:00"/>
    <s v="HOJUELAS PRECOCIDAS DE AVENA, QUINUA Y KIWICHA, HARINA DE MAÍZ CHUFLA FORTIFICADA CON VITAMINAS Y MINERALES "/>
  </r>
  <r>
    <x v="0"/>
    <x v="9"/>
    <x v="6"/>
    <x v="44"/>
    <x v="21"/>
    <x v="6"/>
    <n v="855"/>
    <x v="4"/>
    <x v="17"/>
    <n v="30"/>
    <x v="13"/>
    <d v="2026-06-24T00:00:00"/>
    <d v="2026-06-25T00:00:00"/>
    <s v="HOJUELAS PRECOCIDAS DE AVENA, QUINUA Y KIWICHA, HARINA DE MAÍZ CHUFLA FORTIFICADA CON VITAMINAS Y MINERALES "/>
  </r>
  <r>
    <x v="0"/>
    <x v="9"/>
    <x v="7"/>
    <x v="44"/>
    <x v="21"/>
    <x v="6"/>
    <n v="855"/>
    <x v="4"/>
    <x v="17"/>
    <n v="30"/>
    <x v="13"/>
    <d v="2026-06-24T00:00:00"/>
    <d v="2026-06-25T00:00:00"/>
    <s v="HOJUELAS PRECOCIDAS DE AVENA, QUINUA Y KIWICHA, HARINA DE MAÍZ CHUFLA FORTIFICADA CON VITAMINAS Y MINERALES "/>
  </r>
  <r>
    <x v="0"/>
    <x v="9"/>
    <x v="12"/>
    <x v="45"/>
    <x v="22"/>
    <x v="1"/>
    <n v="1025.29"/>
    <x v="2"/>
    <x v="18"/>
    <n v="25.289999999999964"/>
    <x v="40"/>
    <d v="2026-07-30T00:00:00"/>
    <d v="2026-07-30T00:00:00"/>
    <s v="HOJUELAS PRECOCIDAS DE AVENA, QUINUA Y KIWICHA, HARINA DE MAÍZ CHUFLA FORTIFICADA CON VITAMINAS Y MINERALES "/>
  </r>
  <r>
    <x v="0"/>
    <x v="9"/>
    <x v="8"/>
    <x v="46"/>
    <x v="21"/>
    <x v="6"/>
    <n v="855"/>
    <x v="4"/>
    <x v="17"/>
    <n v="30"/>
    <x v="41"/>
    <d v="2026-08-13T00:00:00"/>
    <d v="2026-09-01T00:00:00"/>
    <s v="HOJUELAS PRECOCIDAS DE AVENA, QUINUA Y KIWICHA, HARINA DE MAÍZ CHUFLA FORTIFICADA CON VITAMINAS Y MINERALES "/>
  </r>
  <r>
    <x v="0"/>
    <x v="9"/>
    <x v="9"/>
    <x v="46"/>
    <x v="21"/>
    <x v="6"/>
    <n v="855"/>
    <x v="4"/>
    <x v="17"/>
    <n v="30"/>
    <x v="41"/>
    <d v="2026-08-13T00:00:00"/>
    <d v="2026-09-01T00:00:00"/>
    <s v="HOJUELAS PRECOCIDAS DE AVENA, QUINUA Y KIWICHA, HARINA DE MAÍZ CHUFLA FORTIFICADA CON VITAMINAS Y MINERALES "/>
  </r>
  <r>
    <x v="0"/>
    <x v="9"/>
    <x v="10"/>
    <x v="4"/>
    <x v="21"/>
    <x v="6"/>
    <n v="855"/>
    <x v="4"/>
    <x v="17"/>
    <n v="30"/>
    <x v="4"/>
    <m/>
    <m/>
    <s v="HOJUELAS PRECOCIDAS DE AVENA, QUINUA Y KIWICHA, HARINA DE MAÍZ CHUFLA FORTIFICADA CON VITAMINAS Y MINERALES "/>
  </r>
  <r>
    <x v="0"/>
    <x v="9"/>
    <x v="11"/>
    <x v="4"/>
    <x v="21"/>
    <x v="6"/>
    <n v="855"/>
    <x v="4"/>
    <x v="17"/>
    <n v="30"/>
    <x v="4"/>
    <m/>
    <m/>
    <s v="HOJUELAS PRECOCIDAS DE AVENA, QUINUA Y KIWICHA, HARINA DE MAÍZ CHUFLA FORTIFICADA CON VITAMINAS Y MINERALES "/>
  </r>
  <r>
    <x v="1"/>
    <x v="10"/>
    <x v="0"/>
    <x v="30"/>
    <x v="23"/>
    <x v="8"/>
    <n v="5200"/>
    <x v="1"/>
    <x v="19"/>
    <n v="0"/>
    <x v="42"/>
    <d v="2025-12-04T00:00:00"/>
    <d v="2025-12-04T00:00:00"/>
    <s v="MEZCLA PRECOCIDA DE AVENA, QUINUA, KIWICHA, SOYA Y MACA AZUCARADA FORTIFICADA CON VITAMINAS Y MINERALES "/>
  </r>
  <r>
    <x v="1"/>
    <x v="10"/>
    <x v="1"/>
    <x v="47"/>
    <x v="23"/>
    <x v="8"/>
    <n v="5200"/>
    <x v="1"/>
    <x v="19"/>
    <n v="0"/>
    <x v="43"/>
    <d v="2025-12-29T00:00:00"/>
    <d v="2026-01-24T00:00:00"/>
    <s v="MEZCLA PRECOCIDA DE AVENA, QUINUA, KIWICHA, SOYA Y MACA AZUCARADA FORTIFICADA CON VITAMINAS Y MINERALES "/>
  </r>
  <r>
    <x v="1"/>
    <x v="10"/>
    <x v="2"/>
    <x v="48"/>
    <x v="23"/>
    <x v="8"/>
    <n v="5200"/>
    <x v="1"/>
    <x v="19"/>
    <n v="0"/>
    <x v="0"/>
    <d v="2026-02-22T00:00:00"/>
    <d v="2026-02-22T00:00:00"/>
    <s v="MEZCLA PRECOCIDA DE AVENA, QUINUA, KIWICHA, SOYA Y MACA AZUCARADA FORTIFICADA CON VITAMINAS Y MINERALES "/>
  </r>
  <r>
    <x v="1"/>
    <x v="10"/>
    <x v="3"/>
    <x v="49"/>
    <x v="23"/>
    <x v="8"/>
    <n v="5200"/>
    <x v="1"/>
    <x v="19"/>
    <n v="0"/>
    <x v="44"/>
    <d v="2026-03-23T00:00:00"/>
    <d v="2026-03-26T00:00:00"/>
    <s v="MEZCLA PRECOCIDA DE AVENA, QUINUA, KIWICHA, SOYA Y MACA AZUCARADA FORTIFICADA CON VITAMINAS Y MINERALES "/>
  </r>
  <r>
    <x v="1"/>
    <x v="10"/>
    <x v="4"/>
    <x v="50"/>
    <x v="23"/>
    <x v="8"/>
    <n v="5200"/>
    <x v="1"/>
    <x v="19"/>
    <n v="0"/>
    <x v="34"/>
    <d v="2026-04-26T00:00:00"/>
    <d v="2026-04-26T00:00:00"/>
    <s v="MEZCLA PRECOCIDA DE AVENA, QUINUA, KIWICHA, SOYA Y MACA AZUCARADA FORTIFICADA CON VITAMINAS Y MINERALES "/>
  </r>
  <r>
    <x v="1"/>
    <x v="10"/>
    <x v="5"/>
    <x v="51"/>
    <x v="23"/>
    <x v="8"/>
    <n v="5200"/>
    <x v="1"/>
    <x v="19"/>
    <n v="0"/>
    <x v="12"/>
    <d v="2026-05-19T00:00:00"/>
    <d v="2026-05-21T00:00:00"/>
    <s v="MEZCLA PRECOCIDA DE AVENA, QUINUA, KIWICHA, SOYA Y MACA AZUCARADA FORTIFICADA CON VITAMINAS Y MINERALES "/>
  </r>
  <r>
    <x v="1"/>
    <x v="10"/>
    <x v="6"/>
    <x v="52"/>
    <x v="23"/>
    <x v="8"/>
    <n v="5200"/>
    <x v="1"/>
    <x v="19"/>
    <n v="0"/>
    <x v="45"/>
    <d v="2026-06-23T00:00:00"/>
    <d v="2026-06-23T00:00:00"/>
    <s v="MEZCLA PRECOCIDA DE AVENA, QUINUA, KIWICHA, SOYA Y MACA AZUCARADA FORTIFICADA CON VITAMINAS Y MINERALES "/>
  </r>
  <r>
    <x v="1"/>
    <x v="10"/>
    <x v="7"/>
    <x v="53"/>
    <x v="23"/>
    <x v="8"/>
    <n v="5200"/>
    <x v="1"/>
    <x v="19"/>
    <n v="0"/>
    <x v="46"/>
    <d v="2026-07-27T00:00:00"/>
    <d v="2026-07-27T00:00:00"/>
    <s v="MEZCLA PRECOCIDA DE AVENA, QUINUA, KIWICHA, SOYA Y MACA AZUCARADA FORTIFICADA CON VITAMINAS Y MINERALES "/>
  </r>
  <r>
    <x v="1"/>
    <x v="10"/>
    <x v="8"/>
    <x v="54"/>
    <x v="23"/>
    <x v="8"/>
    <n v="5200"/>
    <x v="1"/>
    <x v="19"/>
    <n v="0"/>
    <x v="9"/>
    <d v="2026-08-07T00:00:00"/>
    <d v="2026-08-21T00:00:00"/>
    <s v="MEZCLA PRECOCIDA DE AVENA, QUINUA, KIWICHA, SOYA Y MACA AZUCARADA FORTIFICADA CON VITAMINAS Y MINERALES "/>
  </r>
  <r>
    <x v="1"/>
    <x v="10"/>
    <x v="9"/>
    <x v="29"/>
    <x v="23"/>
    <x v="8"/>
    <n v="5200"/>
    <x v="1"/>
    <x v="19"/>
    <n v="0"/>
    <x v="4"/>
    <m/>
    <m/>
    <s v="MEZCLA PRECOCIDA DE AVENA, QUINUA, KIWICHA, SOYA Y MACA AZUCARADA FORTIFICADA CON VITAMINAS Y MINERALES "/>
  </r>
  <r>
    <x v="1"/>
    <x v="10"/>
    <x v="10"/>
    <x v="55"/>
    <x v="23"/>
    <x v="8"/>
    <n v="5200"/>
    <x v="1"/>
    <x v="19"/>
    <n v="0"/>
    <x v="4"/>
    <m/>
    <m/>
    <s v="MEZCLA PRECOCIDA DE AVENA, QUINUA, KIWICHA, SOYA Y MACA AZUCARADA FORTIFICADA CON VITAMINAS Y MINERALES "/>
  </r>
  <r>
    <x v="1"/>
    <x v="10"/>
    <x v="11"/>
    <x v="56"/>
    <x v="23"/>
    <x v="8"/>
    <n v="5200"/>
    <x v="1"/>
    <x v="19"/>
    <n v="0"/>
    <x v="4"/>
    <m/>
    <m/>
    <s v="MEZCLA PRECOCIDA DE AVENA, QUINUA, KIWICHA, SOYA Y MACA AZUCARADA FORTIFICADA CON VITAMINAS Y MINERALES "/>
  </r>
  <r>
    <x v="0"/>
    <x v="11"/>
    <x v="0"/>
    <x v="30"/>
    <x v="24"/>
    <x v="1"/>
    <n v="1012.86"/>
    <x v="2"/>
    <x v="18"/>
    <n v="12.860000000000014"/>
    <x v="47"/>
    <d v="2026-02-09T00:00:00"/>
    <d v="2026-02-10T00:00:00"/>
    <s v="HOJUELAS DE KIWICHA, AVENA Y QUINUA, FORTIFICADAS CON VITAMINAS Y MINERALES – HOJUELAS PRECOCIDAS"/>
  </r>
  <r>
    <x v="0"/>
    <x v="11"/>
    <x v="1"/>
    <x v="30"/>
    <x v="25"/>
    <x v="1"/>
    <n v="914.84"/>
    <x v="2"/>
    <x v="20"/>
    <n v="34.840000000000032"/>
    <x v="47"/>
    <d v="2026-02-09T00:00:00"/>
    <d v="2026-02-10T00:00:00"/>
    <s v="HOJUELAS DE KIWICHA, AVENA Y QUINUA, FORTIFICADAS CON VITAMINAS Y MINERALES – HOJUELAS PRECOCIDAS"/>
  </r>
  <r>
    <x v="0"/>
    <x v="11"/>
    <x v="2"/>
    <x v="30"/>
    <x v="24"/>
    <x v="1"/>
    <n v="1012.86"/>
    <x v="2"/>
    <x v="18"/>
    <n v="12.860000000000014"/>
    <x v="47"/>
    <d v="2026-02-09T00:00:00"/>
    <d v="2026-02-10T00:00:00"/>
    <s v="HOJUELAS DE KIWICHA, AVENA Y QUINUA, FORTIFICADAS CON VITAMINAS Y MINERALES – HOJUELAS PRECOCIDAS"/>
  </r>
  <r>
    <x v="0"/>
    <x v="11"/>
    <x v="3"/>
    <x v="57"/>
    <x v="26"/>
    <x v="1"/>
    <n v="980.18"/>
    <x v="2"/>
    <x v="21"/>
    <n v="20.17999999999995"/>
    <x v="38"/>
    <d v="2026-03-10T00:00:00"/>
    <d v="2026-03-15T00:00:00"/>
    <s v="HOJUELAS DE KIWICHA, AVENA Y QUINUA, FORTIFICADAS CON VITAMINAS Y MINERALES – HOJUELAS PRECOCIDAS"/>
  </r>
  <r>
    <x v="0"/>
    <x v="11"/>
    <x v="4"/>
    <x v="57"/>
    <x v="24"/>
    <x v="1"/>
    <n v="1012.86"/>
    <x v="2"/>
    <x v="18"/>
    <n v="12.860000000000014"/>
    <x v="38"/>
    <d v="2026-03-10T00:00:00"/>
    <d v="2026-03-15T00:00:00"/>
    <s v="HOJUELAS DE KIWICHA, AVENA Y QUINUA, FORTIFICADAS CON VITAMINAS Y MINERALES – HOJUELAS PRECOCIDAS"/>
  </r>
  <r>
    <x v="0"/>
    <x v="11"/>
    <x v="5"/>
    <x v="57"/>
    <x v="26"/>
    <x v="1"/>
    <n v="980.18"/>
    <x v="2"/>
    <x v="21"/>
    <n v="20.17999999999995"/>
    <x v="38"/>
    <d v="2026-03-10T00:00:00"/>
    <d v="2026-03-15T00:00:00"/>
    <s v="HOJUELAS DE KIWICHA, AVENA Y QUINUA, FORTIFICADAS CON VITAMINAS Y MINERALES – HOJUELAS PRECOCIDAS"/>
  </r>
  <r>
    <x v="0"/>
    <x v="11"/>
    <x v="6"/>
    <x v="8"/>
    <x v="24"/>
    <x v="1"/>
    <n v="1012.86"/>
    <x v="2"/>
    <x v="18"/>
    <n v="12.860000000000014"/>
    <x v="48"/>
    <d v="2026-05-28T00:00:00"/>
    <d v="2026-06-11T00:00:00"/>
    <s v="HOJUELAS DE KIWICHA, AVENA Y QUINUA, FORTIFICADAS CON VITAMINAS Y MINERALES – HOJUELAS PRECOCIDAS"/>
  </r>
  <r>
    <x v="0"/>
    <x v="11"/>
    <x v="7"/>
    <x v="8"/>
    <x v="24"/>
    <x v="1"/>
    <n v="1012.86"/>
    <x v="2"/>
    <x v="18"/>
    <n v="12.860000000000014"/>
    <x v="48"/>
    <d v="2026-05-28T00:00:00"/>
    <d v="2026-06-11T00:00:00"/>
    <s v="HOJUELAS DE KIWICHA, AVENA Y QUINUA, FORTIFICADAS CON VITAMINAS Y MINERALES – HOJUELAS PRECOCIDAS"/>
  </r>
  <r>
    <x v="0"/>
    <x v="11"/>
    <x v="8"/>
    <x v="8"/>
    <x v="26"/>
    <x v="1"/>
    <n v="980.18"/>
    <x v="2"/>
    <x v="21"/>
    <n v="20.17999999999995"/>
    <x v="48"/>
    <d v="2026-05-28T00:00:00"/>
    <d v="2026-06-11T00:00:00"/>
    <s v="HOJUELAS DE KIWICHA, AVENA Y QUINUA, FORTIFICADAS CON VITAMINAS Y MINERALES – HOJUELAS PRECOCIDAS"/>
  </r>
  <r>
    <x v="0"/>
    <x v="11"/>
    <x v="9"/>
    <x v="58"/>
    <x v="24"/>
    <x v="1"/>
    <n v="1012.86"/>
    <x v="2"/>
    <x v="18"/>
    <n v="12.860000000000014"/>
    <x v="4"/>
    <m/>
    <m/>
    <s v="HOJUELAS DE KIWICHA, AVENA Y QUINUA, FORTIFICADAS CON VITAMINAS Y MINERALES – HOJUELAS PRECOCIDAS"/>
  </r>
  <r>
    <x v="0"/>
    <x v="11"/>
    <x v="10"/>
    <x v="58"/>
    <x v="26"/>
    <x v="1"/>
    <n v="980.18"/>
    <x v="2"/>
    <x v="21"/>
    <n v="20.17999999999995"/>
    <x v="4"/>
    <m/>
    <m/>
    <s v="HOJUELAS DE KIWICHA, AVENA Y QUINUA, FORTIFICADAS CON VITAMINAS Y MINERALES – HOJUELAS PRECOCIDAS"/>
  </r>
  <r>
    <x v="0"/>
    <x v="11"/>
    <x v="11"/>
    <x v="58"/>
    <x v="24"/>
    <x v="1"/>
    <n v="1012.86"/>
    <x v="2"/>
    <x v="18"/>
    <n v="12.860000000000014"/>
    <x v="4"/>
    <m/>
    <m/>
    <s v="HOJUELAS DE KIWICHA, AVENA Y QUINUA, FORTIFICADAS CON VITAMINAS Y MINERALES – HOJUELAS PRECOCIDAS"/>
  </r>
  <r>
    <x v="0"/>
    <x v="12"/>
    <x v="0"/>
    <x v="30"/>
    <x v="27"/>
    <x v="1"/>
    <n v="3269.81"/>
    <x v="2"/>
    <x v="22"/>
    <n v="29.809999999999945"/>
    <x v="47"/>
    <d v="2026-02-09T00:00:00"/>
    <d v="2026-02-10T00:00:00"/>
    <s v="HOJUELAS DE KIWICHA, QUINUA Y AVENA CON LECHE ENTERA EN POLVO Y HARINA DE SOYA INTEGRAL TOSTADA, FORTIFICADAS CON VITAMINAS Y MINERALES – MEZCLA PRECOCIDA"/>
  </r>
  <r>
    <x v="0"/>
    <x v="12"/>
    <x v="1"/>
    <x v="30"/>
    <x v="28"/>
    <x v="1"/>
    <n v="2953.38"/>
    <x v="2"/>
    <x v="23"/>
    <n v="33.380000000000109"/>
    <x v="47"/>
    <d v="2026-02-09T00:00:00"/>
    <d v="2026-02-10T00:00:00"/>
    <s v="HOJUELAS DE KIWICHA, QUINUA Y AVENA CON LECHE ENTERA EN POLVO Y HARINA DE SOYA INTEGRAL TOSTADA, FORTIFICADAS CON VITAMINAS Y MINERALES – MEZCLA PRECOCIDA"/>
  </r>
  <r>
    <x v="0"/>
    <x v="12"/>
    <x v="2"/>
    <x v="30"/>
    <x v="27"/>
    <x v="1"/>
    <n v="3269.81"/>
    <x v="2"/>
    <x v="22"/>
    <n v="29.809999999999945"/>
    <x v="47"/>
    <d v="2026-02-09T00:00:00"/>
    <d v="2026-02-10T00:00:00"/>
    <s v="HOJUELAS DE KIWICHA, QUINUA Y AVENA CON LECHE ENTERA EN POLVO Y HARINA DE SOYA INTEGRAL TOSTADA, FORTIFICADAS CON VITAMINAS Y MINERALES – MEZCLA PRECOCIDA"/>
  </r>
  <r>
    <x v="0"/>
    <x v="12"/>
    <x v="3"/>
    <x v="57"/>
    <x v="29"/>
    <x v="1"/>
    <n v="3164.33"/>
    <x v="2"/>
    <x v="24"/>
    <n v="4.3299999999999272"/>
    <x v="49"/>
    <d v="2026-03-14T00:00:00"/>
    <d v="2026-03-15T00:00:00"/>
    <s v="HOJUELAS DE KIWICHA, QUINUA Y AVENA CON LECHE ENTERA EN POLVO Y HARINA DE SOYA INTEGRAL TOSTADA, FORTIFICADAS CON VITAMINAS Y MINERALES – MEZCLA PRECOCIDA"/>
  </r>
  <r>
    <x v="0"/>
    <x v="12"/>
    <x v="4"/>
    <x v="57"/>
    <x v="27"/>
    <x v="1"/>
    <n v="3269.81"/>
    <x v="2"/>
    <x v="22"/>
    <n v="29.809999999999945"/>
    <x v="49"/>
    <d v="2026-03-14T00:00:00"/>
    <d v="2026-03-15T00:00:00"/>
    <s v="HOJUELAS DE KIWICHA, QUINUA Y AVENA CON LECHE ENTERA EN POLVO Y HARINA DE SOYA INTEGRAL TOSTADA, FORTIFICADAS CON VITAMINAS Y MINERALES – MEZCLA PRECOCIDA"/>
  </r>
  <r>
    <x v="0"/>
    <x v="12"/>
    <x v="5"/>
    <x v="57"/>
    <x v="29"/>
    <x v="1"/>
    <n v="3164.33"/>
    <x v="2"/>
    <x v="24"/>
    <n v="4.3299999999999272"/>
    <x v="49"/>
    <d v="2026-03-14T00:00:00"/>
    <d v="2026-03-15T00:00:00"/>
    <s v="HOJUELAS DE KIWICHA, QUINUA Y AVENA CON LECHE ENTERA EN POLVO Y HARINA DE SOYA INTEGRAL TOSTADA, FORTIFICADAS CON VITAMINAS Y MINERALES – MEZCLA PRECOCIDA"/>
  </r>
  <r>
    <x v="0"/>
    <x v="12"/>
    <x v="6"/>
    <x v="8"/>
    <x v="27"/>
    <x v="1"/>
    <n v="3269.81"/>
    <x v="2"/>
    <x v="22"/>
    <n v="29.809999999999945"/>
    <x v="48"/>
    <d v="2026-05-28T00:00:00"/>
    <d v="2026-06-11T00:00:00"/>
    <s v="HOJUELAS DE KIWICHA, QUINUA Y AVENA CON LECHE ENTERA EN POLVO Y HARINA DE SOYA INTEGRAL TOSTADA, FORTIFICADAS CON VITAMINAS Y MINERALES – MEZCLA PRECOCIDA"/>
  </r>
  <r>
    <x v="0"/>
    <x v="12"/>
    <x v="7"/>
    <x v="8"/>
    <x v="27"/>
    <x v="1"/>
    <n v="3269.81"/>
    <x v="2"/>
    <x v="22"/>
    <n v="29.809999999999945"/>
    <x v="48"/>
    <d v="2026-05-28T00:00:00"/>
    <d v="2026-06-11T00:00:00"/>
    <s v="HOJUELAS DE KIWICHA, QUINUA Y AVENA CON LECHE ENTERA EN POLVO Y HARINA DE SOYA INTEGRAL TOSTADA, FORTIFICADAS CON VITAMINAS Y MINERALES – MEZCLA PRECOCIDA"/>
  </r>
  <r>
    <x v="0"/>
    <x v="12"/>
    <x v="8"/>
    <x v="8"/>
    <x v="29"/>
    <x v="1"/>
    <n v="3164.33"/>
    <x v="2"/>
    <x v="24"/>
    <n v="4.3299999999999272"/>
    <x v="48"/>
    <d v="2026-05-28T00:00:00"/>
    <d v="2026-06-11T00:00:00"/>
    <s v="HOJUELAS DE KIWICHA, QUINUA Y AVENA CON LECHE ENTERA EN POLVO Y HARINA DE SOYA INTEGRAL TOSTADA, FORTIFICADAS CON VITAMINAS Y MINERALES – MEZCLA PRECOCIDA"/>
  </r>
  <r>
    <x v="0"/>
    <x v="12"/>
    <x v="9"/>
    <x v="58"/>
    <x v="27"/>
    <x v="1"/>
    <n v="3269.81"/>
    <x v="2"/>
    <x v="22"/>
    <n v="29.809999999999945"/>
    <x v="4"/>
    <m/>
    <m/>
    <s v="HOJUELAS DE KIWICHA, QUINUA Y AVENA CON LECHE ENTERA EN POLVO Y HARINA DE SOYA INTEGRAL TOSTADA, FORTIFICADAS CON VITAMINAS Y MINERALES – MEZCLA PRECOCIDA"/>
  </r>
  <r>
    <x v="0"/>
    <x v="12"/>
    <x v="10"/>
    <x v="58"/>
    <x v="29"/>
    <x v="1"/>
    <n v="3164.33"/>
    <x v="2"/>
    <x v="24"/>
    <n v="4.3299999999999272"/>
    <x v="4"/>
    <m/>
    <m/>
    <s v="HOJUELAS DE KIWICHA, QUINUA Y AVENA CON LECHE ENTERA EN POLVO Y HARINA DE SOYA INTEGRAL TOSTADA, FORTIFICADAS CON VITAMINAS Y MINERALES – MEZCLA PRECOCIDA"/>
  </r>
  <r>
    <x v="0"/>
    <x v="12"/>
    <x v="11"/>
    <x v="58"/>
    <x v="27"/>
    <x v="1"/>
    <n v="3269.81"/>
    <x v="2"/>
    <x v="22"/>
    <n v="29.809999999999945"/>
    <x v="4"/>
    <m/>
    <m/>
    <s v="HOJUELAS DE KIWICHA, QUINUA Y AVENA CON LECHE ENTERA EN POLVO Y HARINA DE SOYA INTEGRAL TOSTADA, FORTIFICADAS CON VITAMINAS Y MINERALES – MEZCLA PRECOCIDA"/>
  </r>
  <r>
    <x v="0"/>
    <x v="13"/>
    <x v="0"/>
    <x v="36"/>
    <x v="30"/>
    <x v="9"/>
    <n v="11048.4"/>
    <x v="5"/>
    <x v="25"/>
    <n v="9"/>
    <x v="50"/>
    <d v="2026-07-06T00:00:00"/>
    <d v="2026-07-12T00:00:00"/>
    <s v="HOJUELA DE KIWICHA, AVENA HOJUELA CRUDA, MAIZ BLANCO HARINA, PALLAR SECO, SOYA HARINA INTEGRAL TOSTADA, MACA ALMIDON ENRIQUECIDA CON VITAMINAS Y MINERALES"/>
  </r>
  <r>
    <x v="0"/>
    <x v="13"/>
    <x v="2"/>
    <x v="36"/>
    <x v="30"/>
    <x v="9"/>
    <n v="11048.4"/>
    <x v="5"/>
    <x v="25"/>
    <n v="9"/>
    <x v="50"/>
    <d v="2026-07-06T00:00:00"/>
    <d v="2026-07-12T00:00:00"/>
    <s v="HOJUELA DE KIWICHA, AVENA HOJUELA CRUDA, MAIZ BLANCO HARINA, PALLAR SECO, SOYA HARINA INTEGRAL TOSTADA, MACA ALMIDON ENRIQUECIDA CON VITAMINAS Y MINERALES"/>
  </r>
  <r>
    <x v="0"/>
    <x v="13"/>
    <x v="4"/>
    <x v="36"/>
    <x v="30"/>
    <x v="9"/>
    <n v="11048.4"/>
    <x v="5"/>
    <x v="25"/>
    <n v="9"/>
    <x v="51"/>
    <d v="2026-07-07T00:00:00"/>
    <d v="2026-07-13T00:00:00"/>
    <s v="HOJUELA DE KIWICHA, AVENA HOJUELA CRUDA, MAIZ BLANCO HARINA, PALLAR SECO, SOYA HARINA INTEGRAL TOSTADA, MACA ALMIDON ENRIQUECIDA CON VITAMINAS Y MINERALES"/>
  </r>
  <r>
    <x v="0"/>
    <x v="13"/>
    <x v="3"/>
    <x v="36"/>
    <x v="30"/>
    <x v="10"/>
    <n v="10692"/>
    <x v="5"/>
    <x v="25"/>
    <n v="9"/>
    <x v="52"/>
    <d v="2026-07-11T00:00:00"/>
    <d v="2026-07-12T00:00:00"/>
    <s v="HOJUELA DE KIWICHA, AVENA HOJUELA CRUDA, MAIZ BLANCO HARINA, PALLAR SECO, SOYA HARINA INTEGRAL TOSTADA, MACA ALMIDON ENRIQUECIDA CON VITAMINAS Y MINERALES"/>
  </r>
  <r>
    <x v="0"/>
    <x v="13"/>
    <x v="1"/>
    <x v="36"/>
    <x v="30"/>
    <x v="11"/>
    <n v="9979.2000000000007"/>
    <x v="5"/>
    <x v="25"/>
    <n v="9"/>
    <x v="53"/>
    <d v="2026-07-12T00:00:00"/>
    <d v="2026-07-13T00:00:00"/>
    <s v="HOJUELA DE KIWICHA, AVENA HOJUELA CRUDA, MAIZ BLANCO HARINA, PALLAR SECO, SOYA HARINA INTEGRAL TOSTADA, MACA ALMIDON ENRIQUECIDA CON VITAMINAS Y MINERALES"/>
  </r>
  <r>
    <x v="0"/>
    <x v="13"/>
    <x v="5"/>
    <x v="36"/>
    <x v="30"/>
    <x v="10"/>
    <n v="10692"/>
    <x v="5"/>
    <x v="25"/>
    <n v="9"/>
    <x v="53"/>
    <d v="2026-07-12T00:00:00"/>
    <d v="2026-07-13T00:00:00"/>
    <s v="HOJUELA DE KIWICHA, AVENA HOJUELA CRUDA, MAIZ BLANCO HARINA, PALLAR SECO, SOYA HARINA INTEGRAL TOSTADA, MACA ALMIDON ENRIQUECIDA CON VITAMINAS Y MINERALES"/>
  </r>
  <r>
    <x v="0"/>
    <x v="13"/>
    <x v="6"/>
    <x v="59"/>
    <x v="30"/>
    <x v="9"/>
    <n v="11048.4"/>
    <x v="5"/>
    <x v="25"/>
    <n v="9"/>
    <x v="54"/>
    <d v="2026-07-08T00:00:00"/>
    <d v="2026-07-12T00:00:00"/>
    <s v="HOJUELA DE KIWICHA, AVENA HOJUELA CRUDA, MAIZ BLANCO HARINA, PALLAR SECO, SOYA HARINA INTEGRAL TOSTADA, MACA ALMIDON ENRIQUECIDA CON VITAMINAS Y MINERALES"/>
  </r>
  <r>
    <x v="0"/>
    <x v="13"/>
    <x v="7"/>
    <x v="59"/>
    <x v="30"/>
    <x v="9"/>
    <n v="11048.4"/>
    <x v="5"/>
    <x v="25"/>
    <n v="9"/>
    <x v="55"/>
    <d v="2026-07-09T00:00:00"/>
    <d v="2026-07-12T00:00:00"/>
    <s v="HOJUELA DE KIWICHA, AVENA HOJUELA CRUDA, MAIZ BLANCO HARINA, PALLAR SECO, SOYA HARINA INTEGRAL TOSTADA, MACA ALMIDON ENRIQUECIDA CON VITAMINAS Y MINERALES"/>
  </r>
  <r>
    <x v="0"/>
    <x v="13"/>
    <x v="25"/>
    <x v="60"/>
    <x v="30"/>
    <x v="10"/>
    <n v="10692"/>
    <x v="5"/>
    <x v="25"/>
    <n v="9"/>
    <x v="56"/>
    <d v="2026-09-08T00:00:00"/>
    <m/>
    <s v="HOJUELA DE KIWICHA, AVENA HOJUELA CRUDA, MAIZ BLANCO HARINA, PALLAR SECO, SOYA HARINA INTEGRAL TOSTADA, MACA ALMIDON ENRIQUECIDA CON VITAMINAS Y MINERALES"/>
  </r>
  <r>
    <x v="0"/>
    <x v="13"/>
    <x v="9"/>
    <x v="60"/>
    <x v="30"/>
    <x v="9"/>
    <n v="11048.4"/>
    <x v="5"/>
    <x v="25"/>
    <n v="9"/>
    <x v="56"/>
    <d v="2026-09-08T00:00:00"/>
    <m/>
    <s v="HOJUELA DE KIWICHA, AVENA HOJUELA CRUDA, MAIZ BLANCO HARINA, PALLAR SECO, SOYA HARINA INTEGRAL TOSTADA, MACA ALMIDON ENRIQUECIDA CON VITAMINAS Y MINERALES"/>
  </r>
  <r>
    <x v="0"/>
    <x v="13"/>
    <x v="10"/>
    <x v="61"/>
    <x v="30"/>
    <x v="10"/>
    <n v="10692"/>
    <x v="5"/>
    <x v="25"/>
    <n v="9"/>
    <x v="4"/>
    <m/>
    <m/>
    <s v="HOJUELA DE KIWICHA, AVENA HOJUELA CRUDA, MAIZ BLANCO HARINA, PALLAR SECO, SOYA HARINA INTEGRAL TOSTADA, MACA ALMIDON ENRIQUECIDA CON VITAMINAS Y MINERALES"/>
  </r>
  <r>
    <x v="0"/>
    <x v="13"/>
    <x v="11"/>
    <x v="61"/>
    <x v="30"/>
    <x v="9"/>
    <n v="11048.4"/>
    <x v="5"/>
    <x v="25"/>
    <n v="9"/>
    <x v="4"/>
    <m/>
    <m/>
    <s v="HOJUELA DE KIWICHA, AVENA HOJUELA CRUDA, MAIZ BLANCO HARINA, PALLAR SECO, SOYA HARINA INTEGRAL TOSTADA, MACA ALMIDON ENRIQUECIDA CON VITAMINAS Y MINERALES"/>
  </r>
  <r>
    <x v="0"/>
    <x v="14"/>
    <x v="0"/>
    <x v="40"/>
    <x v="31"/>
    <x v="12"/>
    <n v="4691.8500000000004"/>
    <x v="6"/>
    <x v="26"/>
    <n v="0"/>
    <x v="57"/>
    <d v="2026-02-18T00:00:00"/>
    <d v="2026-02-18T00:00:00"/>
    <s v="HOJUELA DE KIWICHA, AVENA HOJUELA CRUDA, MAIZ BLANCO HARINA, PALLAR SECO, SOYA HARINA INTEGRAL TOSTADA, MACA ALMIDON ENRIQUECIDA CON VITAMINAS Y MINERALES"/>
  </r>
  <r>
    <x v="0"/>
    <x v="14"/>
    <x v="1"/>
    <x v="40"/>
    <x v="31"/>
    <x v="13"/>
    <n v="4237.8"/>
    <x v="6"/>
    <x v="26"/>
    <n v="0"/>
    <x v="57"/>
    <d v="2026-02-18T00:00:00"/>
    <d v="2026-02-18T00:00:00"/>
    <s v="HOJUELA DE KIWICHA, AVENA HOJUELA CRUDA, MAIZ BLANCO HARINA, PALLAR SECO, SOYA HARINA INTEGRAL TOSTADA, MACA ALMIDON ENRIQUECIDA CON VITAMINAS Y MINERALES"/>
  </r>
  <r>
    <x v="0"/>
    <x v="14"/>
    <x v="2"/>
    <x v="62"/>
    <x v="31"/>
    <x v="12"/>
    <n v="4691.8500000000004"/>
    <x v="6"/>
    <x v="26"/>
    <n v="0"/>
    <x v="38"/>
    <d v="2026-03-10T00:00:00"/>
    <d v="2026-03-15T00:00:00"/>
    <s v="HOJUELA DE KIWICHA, AVENA HOJUELA CRUDA, MAIZ BLANCO HARINA, PALLAR SECO, SOYA HARINA INTEGRAL TOSTADA, MACA ALMIDON ENRIQUECIDA CON VITAMINAS Y MINERALES"/>
  </r>
  <r>
    <x v="0"/>
    <x v="14"/>
    <x v="3"/>
    <x v="62"/>
    <x v="31"/>
    <x v="14"/>
    <n v="4540.5"/>
    <x v="6"/>
    <x v="26"/>
    <n v="0"/>
    <x v="58"/>
    <d v="2026-03-11T00:00:00"/>
    <d v="2026-03-15T00:00:00"/>
    <s v="HOJUELA DE KIWICHA, AVENA HOJUELA CRUDA, MAIZ BLANCO HARINA, PALLAR SECO, SOYA HARINA INTEGRAL TOSTADA, MACA ALMIDON ENRIQUECIDA CON VITAMINAS Y MINERALES"/>
  </r>
  <r>
    <x v="0"/>
    <x v="14"/>
    <x v="4"/>
    <x v="63"/>
    <x v="31"/>
    <x v="12"/>
    <n v="4691.8500000000004"/>
    <x v="6"/>
    <x v="26"/>
    <n v="0"/>
    <x v="59"/>
    <d v="2026-05-13T00:00:00"/>
    <d v="2026-05-13T00:00:00"/>
    <s v="HOJUELA DE KIWICHA, AVENA HOJUELA CRUDA, MAIZ BLANCO HARINA, PALLAR SECO, SOYA HARINA INTEGRAL TOSTADA, MACA ALMIDON ENRIQUECIDA CON VITAMINAS Y MINERALES"/>
  </r>
  <r>
    <x v="0"/>
    <x v="14"/>
    <x v="5"/>
    <x v="63"/>
    <x v="31"/>
    <x v="14"/>
    <n v="4540.5"/>
    <x v="6"/>
    <x v="26"/>
    <n v="0"/>
    <x v="59"/>
    <d v="2026-05-13T00:00:00"/>
    <d v="2026-05-13T00:00:00"/>
    <s v="HOJUELA DE KIWICHA, AVENA HOJUELA CRUDA, MAIZ BLANCO HARINA, PALLAR SECO, SOYA HARINA INTEGRAL TOSTADA, MACA ALMIDON ENRIQUECIDA CON VITAMINAS Y MINERALES"/>
  </r>
  <r>
    <x v="0"/>
    <x v="14"/>
    <x v="6"/>
    <x v="13"/>
    <x v="31"/>
    <x v="12"/>
    <n v="4691.8500000000004"/>
    <x v="6"/>
    <x v="26"/>
    <n v="0"/>
    <x v="60"/>
    <d v="2026-07-16T00:00:00"/>
    <d v="2026-07-16T00:00:00"/>
    <s v="HOJUELA DE KIWICHA, AVENA HOJUELA CRUDA, MAIZ BLANCO HARINA, PALLAR SECO, SOYA HARINA INTEGRAL TOSTADA, MACA ALMIDON ENRIQUECIDA CON VITAMINAS Y MINERALES"/>
  </r>
  <r>
    <x v="0"/>
    <x v="14"/>
    <x v="7"/>
    <x v="13"/>
    <x v="31"/>
    <x v="12"/>
    <n v="4691.8500000000004"/>
    <x v="6"/>
    <x v="26"/>
    <n v="0"/>
    <x v="60"/>
    <d v="2026-07-16T00:00:00"/>
    <d v="2026-07-16T00:00:00"/>
    <s v="HOJUELA DE KIWICHA, AVENA HOJUELA CRUDA, MAIZ BLANCO HARINA, PALLAR SECO, SOYA HARINA INTEGRAL TOSTADA, MACA ALMIDON ENRIQUECIDA CON VITAMINAS Y MINERALES"/>
  </r>
  <r>
    <x v="0"/>
    <x v="14"/>
    <x v="8"/>
    <x v="60"/>
    <x v="31"/>
    <x v="14"/>
    <n v="4540.5"/>
    <x v="6"/>
    <x v="26"/>
    <n v="0"/>
    <x v="4"/>
    <m/>
    <m/>
    <s v="HOJUELA DE KIWICHA, AVENA HOJUELA CRUDA, MAIZ BLANCO HARINA, PALLAR SECO, SOYA HARINA INTEGRAL TOSTADA, MACA ALMIDON ENRIQUECIDA CON VITAMINAS Y MINERALES"/>
  </r>
  <r>
    <x v="0"/>
    <x v="14"/>
    <x v="9"/>
    <x v="60"/>
    <x v="31"/>
    <x v="12"/>
    <n v="4691.8500000000004"/>
    <x v="6"/>
    <x v="26"/>
    <n v="0"/>
    <x v="4"/>
    <m/>
    <m/>
    <s v="HOJUELA DE KIWICHA, AVENA HOJUELA CRUDA, MAIZ BLANCO HARINA, PALLAR SECO, SOYA HARINA INTEGRAL TOSTADA, MACA ALMIDON ENRIQUECIDA CON VITAMINAS Y MINERALES"/>
  </r>
  <r>
    <x v="0"/>
    <x v="14"/>
    <x v="10"/>
    <x v="17"/>
    <x v="31"/>
    <x v="14"/>
    <n v="4540.5"/>
    <x v="6"/>
    <x v="26"/>
    <n v="0"/>
    <x v="4"/>
    <m/>
    <m/>
    <s v="HOJUELA DE KIWICHA, AVENA HOJUELA CRUDA, MAIZ BLANCO HARINA, PALLAR SECO, SOYA HARINA INTEGRAL TOSTADA, MACA ALMIDON ENRIQUECIDA CON VITAMINAS Y MINERALES"/>
  </r>
  <r>
    <x v="0"/>
    <x v="14"/>
    <x v="11"/>
    <x v="17"/>
    <x v="31"/>
    <x v="12"/>
    <n v="4691.8500000000004"/>
    <x v="6"/>
    <x v="26"/>
    <n v="0"/>
    <x v="4"/>
    <m/>
    <m/>
    <s v="HOJUELA DE KIWICHA, AVENA HOJUELA CRUDA, MAIZ BLANCO HARINA, PALLAR SECO, SOYA HARINA INTEGRAL TOSTADA, MACA ALMIDON ENRIQUECIDA CON VITAMINAS Y MINERALES"/>
  </r>
  <r>
    <x v="0"/>
    <x v="15"/>
    <x v="12"/>
    <x v="22"/>
    <x v="32"/>
    <x v="15"/>
    <n v="983.80799999999999"/>
    <x v="7"/>
    <x v="18"/>
    <n v="60"/>
    <x v="61"/>
    <d v="2026-01-12T00:00:00"/>
    <d v="2026-01-24T00:00:00"/>
    <s v="HOJUELA DE QUINUA AVENA CON MAÍZ CHUFLA ENRIQUECIDA CON VITAMINAS Y MINERALES"/>
  </r>
  <r>
    <x v="0"/>
    <x v="16"/>
    <x v="16"/>
    <x v="64"/>
    <x v="33"/>
    <x v="6"/>
    <n v="990"/>
    <x v="4"/>
    <x v="21"/>
    <n v="60"/>
    <x v="62"/>
    <d v="2026-02-23T00:00:00"/>
    <d v="2026-02-23T00:00:00"/>
    <s v="HOJUELAS PRECOCIDAS DE AVENA, QUINUA, KIWICHA Y MACA ENRIQUECIDA CON VITAMINAS Y MINERALES"/>
  </r>
  <r>
    <x v="0"/>
    <x v="16"/>
    <x v="3"/>
    <x v="25"/>
    <x v="34"/>
    <x v="6"/>
    <n v="330"/>
    <x v="4"/>
    <x v="27"/>
    <n v="20"/>
    <x v="63"/>
    <d v="2026-03-17T00:00:00"/>
    <d v="2026-03-18T00:00:00"/>
    <s v="HOJUELAS PRECOCIDAS DE AVENA, QUINUA, KIWICHA Y MACA ENRIQUECIDA CON VITAMINAS Y MINERALES"/>
  </r>
  <r>
    <x v="0"/>
    <x v="16"/>
    <x v="4"/>
    <x v="25"/>
    <x v="34"/>
    <x v="6"/>
    <n v="330"/>
    <x v="4"/>
    <x v="27"/>
    <n v="20"/>
    <x v="63"/>
    <d v="2026-03-17T00:00:00"/>
    <d v="2026-03-18T00:00:00"/>
    <s v="HOJUELAS PRECOCIDAS DE AVENA, QUINUA, KIWICHA Y MACA ENRIQUECIDA CON VITAMINAS Y MINERALES"/>
  </r>
  <r>
    <x v="0"/>
    <x v="16"/>
    <x v="5"/>
    <x v="25"/>
    <x v="34"/>
    <x v="6"/>
    <n v="330"/>
    <x v="4"/>
    <x v="27"/>
    <n v="20"/>
    <x v="63"/>
    <d v="2026-03-17T00:00:00"/>
    <d v="2026-03-18T00:00:00"/>
    <s v="HOJUELAS PRECOCIDAS DE AVENA, QUINUA, KIWICHA Y MACA ENRIQUECIDA CON VITAMINAS Y MINERALES"/>
  </r>
  <r>
    <x v="0"/>
    <x v="16"/>
    <x v="6"/>
    <x v="8"/>
    <x v="34"/>
    <x v="6"/>
    <n v="330"/>
    <x v="4"/>
    <x v="27"/>
    <n v="20"/>
    <x v="64"/>
    <d v="2026-06-09T00:00:00"/>
    <d v="2026-06-10T00:00:00"/>
    <s v="HOJUELAS PRECOCIDAS DE AVENA, QUINUA, KIWICHA Y MACA ENRIQUECIDA CON VITAMINAS Y MINERALES"/>
  </r>
  <r>
    <x v="0"/>
    <x v="16"/>
    <x v="7"/>
    <x v="8"/>
    <x v="34"/>
    <x v="6"/>
    <n v="330"/>
    <x v="4"/>
    <x v="27"/>
    <n v="20"/>
    <x v="64"/>
    <d v="2026-06-09T00:00:00"/>
    <d v="2026-06-10T00:00:00"/>
    <s v="HOJUELAS PRECOCIDAS DE AVENA, QUINUA, KIWICHA Y MACA ENRIQUECIDA CON VITAMINAS Y MINERALES"/>
  </r>
  <r>
    <x v="0"/>
    <x v="16"/>
    <x v="8"/>
    <x v="8"/>
    <x v="34"/>
    <x v="6"/>
    <n v="330"/>
    <x v="4"/>
    <x v="27"/>
    <n v="20"/>
    <x v="64"/>
    <d v="2026-06-09T00:00:00"/>
    <d v="2026-06-10T00:00:00"/>
    <s v="HOJUELAS PRECOCIDAS DE AVENA, QUINUA, KIWICHA Y MACA ENRIQUECIDA CON VITAMINAS Y MINERALES"/>
  </r>
  <r>
    <x v="0"/>
    <x v="16"/>
    <x v="12"/>
    <x v="65"/>
    <x v="35"/>
    <x v="6"/>
    <n v="420"/>
    <x v="4"/>
    <x v="2"/>
    <n v="40"/>
    <x v="4"/>
    <m/>
    <m/>
    <s v="HOJUELAS PRECOCIDAS DE AVENA, QUINUA, KIWICHA Y MACA ENRIQUECIDA CON VITAMINAS Y MINERALES"/>
  </r>
  <r>
    <x v="0"/>
    <x v="16"/>
    <x v="9"/>
    <x v="24"/>
    <x v="34"/>
    <x v="6"/>
    <n v="330"/>
    <x v="4"/>
    <x v="27"/>
    <n v="20"/>
    <x v="4"/>
    <m/>
    <m/>
    <s v="HOJUELAS PRECOCIDAS DE AVENA, QUINUA, KIWICHA Y MACA ENRIQUECIDA CON VITAMINAS Y MINERALES"/>
  </r>
  <r>
    <x v="0"/>
    <x v="16"/>
    <x v="10"/>
    <x v="24"/>
    <x v="34"/>
    <x v="6"/>
    <n v="330"/>
    <x v="4"/>
    <x v="27"/>
    <n v="20"/>
    <x v="4"/>
    <m/>
    <m/>
    <s v="HOJUELAS PRECOCIDAS DE AVENA, QUINUA, KIWICHA Y MACA ENRIQUECIDA CON VITAMINAS Y MINERALES"/>
  </r>
  <r>
    <x v="0"/>
    <x v="16"/>
    <x v="11"/>
    <x v="24"/>
    <x v="34"/>
    <x v="6"/>
    <n v="330"/>
    <x v="4"/>
    <x v="27"/>
    <n v="20"/>
    <x v="4"/>
    <m/>
    <m/>
    <s v="HOJUELAS PRECOCIDAS DE AVENA, QUINUA, KIWICHA Y MACA ENRIQUECIDA CON VITAMINAS Y MINERALES"/>
  </r>
  <r>
    <x v="0"/>
    <x v="17"/>
    <x v="12"/>
    <x v="66"/>
    <x v="36"/>
    <x v="16"/>
    <n v="1056.25"/>
    <x v="0"/>
    <x v="21"/>
    <n v="5"/>
    <x v="65"/>
    <d v="2026-03-08T00:00:00"/>
    <d v="2026-03-08T00:00:00"/>
    <s v="MEZCLA DE HARINA DE TRIGO Y HARINA DE CAÑIHUA FORTIFICADA CON HIERRO VITAMINAS Y MINERALES"/>
  </r>
  <r>
    <x v="0"/>
    <x v="17"/>
    <x v="12"/>
    <x v="67"/>
    <x v="37"/>
    <x v="16"/>
    <n v="1320"/>
    <x v="0"/>
    <x v="28"/>
    <n v="6"/>
    <x v="22"/>
    <d v="2026-06-06T00:00:00"/>
    <d v="2026-06-09T00:00:00"/>
    <s v="MEZCLA DE HARINA DE TRIGO Y HARINA DE CAÑIHUA FORTIFICADA CON HIERRO VITAMINAS Y MINERALES"/>
  </r>
  <r>
    <x v="1"/>
    <x v="18"/>
    <x v="0"/>
    <x v="68"/>
    <x v="38"/>
    <x v="17"/>
    <n v="1606.851604"/>
    <x v="1"/>
    <x v="29"/>
    <n v="30"/>
    <x v="42"/>
    <d v="2025-12-04T00:00:00"/>
    <d v="2025-12-15T00:00:00"/>
    <s v="MEZCLA DE HOJUELAS DE AVENA, LINAZA, CEBADA, QUINUA CON HARINA DE MACA, SOYA, LECHE EN POLVO Y AZÚCAR FORTIFICADO CON VITAMINAS Y MINERALES."/>
  </r>
  <r>
    <x v="1"/>
    <x v="18"/>
    <x v="1"/>
    <x v="69"/>
    <x v="38"/>
    <x v="17"/>
    <n v="1606.851604"/>
    <x v="1"/>
    <x v="29"/>
    <n v="30"/>
    <x v="66"/>
    <d v="2026-01-15T00:00:00"/>
    <d v="2026-01-20T00:00:00"/>
    <s v="MEZCLA DE HOJUELAS DE AVENA, LINAZA, CEBADA, QUINUA CON HARINA DE MACA, SOYA, LECHE EN POLVO Y AZÚCAR FORTIFICADO CON VITAMINAS Y MINERALES."/>
  </r>
  <r>
    <x v="1"/>
    <x v="18"/>
    <x v="2"/>
    <x v="70"/>
    <x v="38"/>
    <x v="17"/>
    <n v="1606.851604"/>
    <x v="1"/>
    <x v="29"/>
    <n v="30"/>
    <x v="67"/>
    <d v="2026-02-16T00:00:00"/>
    <d v="2026-02-18T00:00:00"/>
    <s v="MEZCLA DE HOJUELAS DE AVENA, LINAZA, CEBADA, QUINUA CON HARINA DE MACA, SOYA, LECHE EN POLVO Y AZÚCAR FORTIFICADO CON VITAMINAS Y MINERALES."/>
  </r>
  <r>
    <x v="1"/>
    <x v="19"/>
    <x v="3"/>
    <x v="71"/>
    <x v="38"/>
    <x v="17"/>
    <n v="1606.851604"/>
    <x v="1"/>
    <x v="29"/>
    <n v="30"/>
    <x v="68"/>
    <d v="2026-03-19T00:00:00"/>
    <d v="2026-03-20T00:00:00"/>
    <s v="MEZCLA DE HOJUELAS DE AVENA, LINAZA, CEBADA, QUINUA CON HARINA DE MACA, SOYA, LECHE EN POLVO Y AZÚCAR FORTIFICADO CON VITAMINAS Y MINERALES."/>
  </r>
  <r>
    <x v="1"/>
    <x v="19"/>
    <x v="4"/>
    <x v="72"/>
    <x v="38"/>
    <x v="17"/>
    <n v="1606.851604"/>
    <x v="1"/>
    <x v="29"/>
    <n v="30"/>
    <x v="25"/>
    <d v="2026-04-16T00:00:00"/>
    <d v="2026-04-20T00:00:00"/>
    <s v="MEZCLA DE HOJUELAS DE AVENA, LINAZA, CEBADA, QUINUA CON HARINA DE MACA, SOYA, LECHE EN POLVO Y AZÚCAR FORTIFICADO CON VITAMINAS Y MINERALES."/>
  </r>
  <r>
    <x v="1"/>
    <x v="19"/>
    <x v="5"/>
    <x v="73"/>
    <x v="38"/>
    <x v="17"/>
    <n v="1606.851604"/>
    <x v="1"/>
    <x v="29"/>
    <n v="30"/>
    <x v="69"/>
    <d v="2026-05-15T00:00:00"/>
    <d v="2026-05-21T00:00:00"/>
    <s v="MEZCLA DE HOJUELAS DE AVENA, LINAZA, CEBADA, QUINUA CON HARINA DE MACA, SOYA, LECHE EN POLVO Y AZÚCAR FORTIFICADO CON VITAMINAS Y MINERALES."/>
  </r>
  <r>
    <x v="1"/>
    <x v="19"/>
    <x v="6"/>
    <x v="33"/>
    <x v="38"/>
    <x v="17"/>
    <n v="1606.851604"/>
    <x v="1"/>
    <x v="29"/>
    <n v="30"/>
    <x v="70"/>
    <d v="2026-06-22T00:00:00"/>
    <d v="2026-06-22T00:00:00"/>
    <s v="MEZCLA DE HOJUELA DE AVENA, QUINUA, HARINA DE CEBADA, HARINA INTEGRAL TOSTADA DE SOYA, HARINA DE MACA, HARINA DE LINAZA, LECHE ENTERA EN POLVO, AZUCAR ENRIQUECIDA CON VITAMINAS Y MINERALES"/>
  </r>
  <r>
    <x v="1"/>
    <x v="19"/>
    <x v="7"/>
    <x v="74"/>
    <x v="38"/>
    <x v="17"/>
    <n v="1606.851604"/>
    <x v="1"/>
    <x v="29"/>
    <n v="30"/>
    <x v="71"/>
    <d v="2026-07-18T00:00:00"/>
    <d v="2026-07-18T00:00:00"/>
    <s v="MEZCLA DE HOJUELA DE AVENA, QUINUA, HARINA DE CEBADA, HARINA INTEGRAL TOSTADA DE SOYA, HARINA DE MACA, HARINA DE LINAZA, LECHE ENTERA EN POLVO, AZUCAR ENRIQUECIDA CON VITAMINAS Y MINERALES"/>
  </r>
  <r>
    <x v="1"/>
    <x v="19"/>
    <x v="12"/>
    <x v="74"/>
    <x v="39"/>
    <x v="18"/>
    <n v="2319.732"/>
    <x v="1"/>
    <x v="30"/>
    <n v="20"/>
    <x v="71"/>
    <d v="2026-07-18T00:00:00"/>
    <d v="2026-07-18T00:00:00"/>
    <s v="MEZCLA DE HOJUELA DE AVENA, QUINUA, HARINA DE CEBADA, HARINA INTEGRAL TOSTADA DE SOYA, HARINA DE MACA, HARINA DE LINAZA, LECHE ENTERA EN POLVO, AZUCAR ENRIQUECIDA CON VITAMINAS Y MINERALES"/>
  </r>
  <r>
    <x v="1"/>
    <x v="19"/>
    <x v="8"/>
    <x v="28"/>
    <x v="38"/>
    <x v="17"/>
    <n v="1606.851604"/>
    <x v="1"/>
    <x v="29"/>
    <n v="30"/>
    <x v="72"/>
    <d v="2026-08-15T00:00:00"/>
    <d v="2026-08-19T00:00:00"/>
    <s v="MEZCLA DE HOJUELA DE AVENA, QUINUA, HARINA DE CEBADA, HARINA INTEGRAL TOSTADA DE SOYA, HARINA DE MACA, HARINA DE LINAZA, LECHE ENTERA EN POLVO, AZUCAR ENRIQUECIDA CON VITAMINAS Y MINERALES"/>
  </r>
  <r>
    <x v="1"/>
    <x v="19"/>
    <x v="9"/>
    <x v="75"/>
    <x v="38"/>
    <x v="17"/>
    <n v="1606.851604"/>
    <x v="1"/>
    <x v="29"/>
    <n v="30"/>
    <x v="4"/>
    <m/>
    <m/>
    <s v="MEZCLA DE HOJUELA DE AVENA, QUINUA, HARINA DE CEBADA, HARINA INTEGRAL TOSTADA DE SOYA, HARINA DE MACA, HARINA DE LINAZA, LECHE ENTERA EN POLVO, AZUCAR ENRIQUECIDA CON VITAMINAS Y MINERALES"/>
  </r>
  <r>
    <x v="1"/>
    <x v="19"/>
    <x v="10"/>
    <x v="35"/>
    <x v="38"/>
    <x v="17"/>
    <n v="1606.851604"/>
    <x v="1"/>
    <x v="29"/>
    <n v="30"/>
    <x v="4"/>
    <m/>
    <m/>
    <s v="MEZCLA DE HOJUELA DE AVENA, QUINUA, HARINA DE CEBADA, HARINA INTEGRAL TOSTADA DE SOYA, HARINA DE MACA, HARINA DE LINAZA, LECHE ENTERA EN POLVO, AZUCAR ENRIQUECIDA CON VITAMINAS Y MINERALES"/>
  </r>
  <r>
    <x v="1"/>
    <x v="19"/>
    <x v="11"/>
    <x v="76"/>
    <x v="38"/>
    <x v="17"/>
    <n v="1606.851604"/>
    <x v="1"/>
    <x v="29"/>
    <n v="30"/>
    <x v="4"/>
    <m/>
    <m/>
    <s v="MEZCLA DE HOJUELA DE AVENA, QUINUA, HARINA DE CEBADA, HARINA INTEGRAL TOSTADA DE SOYA, HARINA DE MACA, HARINA DE LINAZA, LECHE ENTERA EN POLVO, AZUCAR ENRIQUECIDA CON VITAMINAS Y MINERALES"/>
  </r>
  <r>
    <x v="2"/>
    <x v="20"/>
    <x v="12"/>
    <x v="31"/>
    <x v="40"/>
    <x v="19"/>
    <n v="1590.6097600000001"/>
    <x v="2"/>
    <x v="31"/>
    <n v="38"/>
    <x v="73"/>
    <d v="2026-01-21T00:00:00"/>
    <d v="2026-02-01T00:00:00"/>
    <s v="HOJUELA DE AVENA, QUINUA KIWICHA Y SOYA PRECOCIDAS ENRIQUECIDAS CON VITAMINAS Y MINERALES"/>
  </r>
  <r>
    <x v="2"/>
    <x v="20"/>
    <x v="12"/>
    <x v="2"/>
    <x v="41"/>
    <x v="19"/>
    <n v="1059.7745600000001"/>
    <x v="2"/>
    <x v="32"/>
    <n v="38"/>
    <x v="26"/>
    <d v="2026-06-25T00:00:00"/>
    <d v="2026-06-25T00:00:00"/>
    <s v="HOJUELA DE AVENA, QUINUA KIWICHA Y SOYA PRECOCIDAS ENRIQUECIDAS CON VITAMINAS Y MINERALES"/>
  </r>
  <r>
    <x v="0"/>
    <x v="21"/>
    <x v="12"/>
    <x v="77"/>
    <x v="42"/>
    <x v="20"/>
    <n v="1527.56961"/>
    <x v="8"/>
    <x v="29"/>
    <n v="17"/>
    <x v="66"/>
    <d v="2026-01-15T00:00:00"/>
    <d v="2026-01-15T00:00:00"/>
    <s v="HOJUELAS DE AVENA, QUINUA, KIWICHA, CAÑIHUA ENRIQUECIDA CON VITAMINAS Y MINERALES - HOJUELAS PRECOCIDAS"/>
  </r>
  <r>
    <x v="0"/>
    <x v="21"/>
    <x v="12"/>
    <x v="78"/>
    <x v="42"/>
    <x v="20"/>
    <n v="1527.56961"/>
    <x v="8"/>
    <x v="29"/>
    <n v="17"/>
    <x v="74"/>
    <d v="2026-02-07T00:00:00"/>
    <d v="2026-02-16T00:00:00"/>
    <s v="HOJUELAS DE AVENA, QUINUA, KIWICHA, CAÑIHUA ENRIQUECIDA CON VITAMINAS Y MINERALES - HOJUELAS PRECOCIDAS"/>
  </r>
  <r>
    <x v="0"/>
    <x v="21"/>
    <x v="2"/>
    <x v="78"/>
    <x v="42"/>
    <x v="20"/>
    <n v="1527.56961"/>
    <x v="8"/>
    <x v="29"/>
    <n v="17"/>
    <x v="74"/>
    <d v="2026-02-07T00:00:00"/>
    <d v="2026-02-16T00:00:00"/>
    <s v="HOJUELAS DE AVENA, QUINUA, KIWICHA, CAÑIHUA ENRIQUECIDA CON VITAMINAS Y MINERALES - HOJUELAS PRECOCIDAS"/>
  </r>
  <r>
    <x v="0"/>
    <x v="21"/>
    <x v="3"/>
    <x v="79"/>
    <x v="42"/>
    <x v="20"/>
    <n v="1527.56961"/>
    <x v="8"/>
    <x v="29"/>
    <n v="17"/>
    <x v="75"/>
    <d v="2026-03-27T00:00:00"/>
    <d v="2026-03-27T00:00:00"/>
    <s v="HOJUELAS DE AVENA, QUINUA, KIWICHA, CAÑIHUA ENRIQUECIDA CON VITAMINAS Y MINERALES - HOJUELAS PRECOCIDAS"/>
  </r>
  <r>
    <x v="0"/>
    <x v="21"/>
    <x v="4"/>
    <x v="80"/>
    <x v="42"/>
    <x v="20"/>
    <n v="1527.56961"/>
    <x v="8"/>
    <x v="29"/>
    <n v="17"/>
    <x v="7"/>
    <d v="2026-04-24T00:00:00"/>
    <d v="2026-04-24T00:00:00"/>
    <s v="HOJUELAS DE AVENA, QUINUA, KIWICHA, CAÑIHUA ENRIQUECIDA CON VITAMINAS Y MINERALES - HOJUELAS PRECOCIDAS"/>
  </r>
  <r>
    <x v="0"/>
    <x v="21"/>
    <x v="5"/>
    <x v="81"/>
    <x v="42"/>
    <x v="20"/>
    <n v="1527.56961"/>
    <x v="8"/>
    <x v="29"/>
    <n v="17"/>
    <x v="76"/>
    <d v="2026-05-17T00:00:00"/>
    <d v="2026-05-22T00:00:00"/>
    <s v="HOJUELAS DE AVENA, QUINUA, KIWICHA, CAÑIHUA ENRIQUECIDA CON VITAMINAS Y MINERALES - HOJUELAS PRECOCIDAS"/>
  </r>
  <r>
    <x v="0"/>
    <x v="21"/>
    <x v="6"/>
    <x v="82"/>
    <x v="42"/>
    <x v="20"/>
    <n v="1527.56961"/>
    <x v="8"/>
    <x v="29"/>
    <n v="17"/>
    <x v="26"/>
    <d v="2026-06-25T00:00:00"/>
    <d v="2026-06-25T00:00:00"/>
    <s v="HOJUELAS DE AVENA, QUINUA, KIWICHA, CAÑIHUA ENRIQUECIDA CON VITAMINAS Y MINERALES - HOJUELAS PRECOCIDAS"/>
  </r>
  <r>
    <x v="0"/>
    <x v="21"/>
    <x v="7"/>
    <x v="36"/>
    <x v="42"/>
    <x v="20"/>
    <n v="1527.56961"/>
    <x v="8"/>
    <x v="29"/>
    <n v="17"/>
    <x v="77"/>
    <d v="2026-07-24T00:00:00"/>
    <d v="2026-07-24T00:00:00"/>
    <s v="HOJUELAS DE AVENA, QUINUA, KIWICHA, CAÑIHUA ENRIQUECIDA CON VITAMINAS Y MINERALES - HOJUELAS PRECOCIDAS"/>
  </r>
  <r>
    <x v="0"/>
    <x v="21"/>
    <x v="8"/>
    <x v="83"/>
    <x v="42"/>
    <x v="20"/>
    <n v="1527.56961"/>
    <x v="8"/>
    <x v="29"/>
    <n v="17"/>
    <x v="78"/>
    <d v="2026-08-25T00:00:00"/>
    <d v="2026-08-25T00:00:00"/>
    <s v="HOJUELAS DE AVENA, QUINUA, KIWICHA, CAÑIHUA ENRIQUECIDA CON VITAMINAS Y MINERALES - HOJUELAS PRECOCIDAS"/>
  </r>
  <r>
    <x v="0"/>
    <x v="21"/>
    <x v="9"/>
    <x v="84"/>
    <x v="42"/>
    <x v="20"/>
    <n v="1527.56961"/>
    <x v="8"/>
    <x v="29"/>
    <n v="17"/>
    <x v="4"/>
    <m/>
    <m/>
    <s v="HOJUELAS DE AVENA, QUINUA, KIWICHA, CAÑIHUA ENRIQUECIDA CON VITAMINAS Y MINERALES - HOJUELAS PRECOCIDAS"/>
  </r>
  <r>
    <x v="0"/>
    <x v="21"/>
    <x v="10"/>
    <x v="85"/>
    <x v="42"/>
    <x v="20"/>
    <n v="1527.56961"/>
    <x v="8"/>
    <x v="29"/>
    <n v="17"/>
    <x v="4"/>
    <m/>
    <m/>
    <s v="HOJUELAS DE AVENA, QUINUA, KIWICHA, CAÑIHUA ENRIQUECIDA CON VITAMINAS Y MINERALES - HOJUELAS PRECOCIDAS"/>
  </r>
  <r>
    <x v="0"/>
    <x v="21"/>
    <x v="11"/>
    <x v="86"/>
    <x v="42"/>
    <x v="20"/>
    <n v="1527.56961"/>
    <x v="8"/>
    <x v="29"/>
    <n v="17"/>
    <x v="4"/>
    <m/>
    <m/>
    <s v="HOJUELAS DE AVENA, QUINUA, KIWICHA, CAÑIHUA ENRIQUECIDA CON VITAMINAS Y MINERALES - HOJUELAS PRECOCIDAS"/>
  </r>
  <r>
    <x v="0"/>
    <x v="22"/>
    <x v="16"/>
    <x v="32"/>
    <x v="43"/>
    <x v="21"/>
    <n v="2866.8240000000001"/>
    <x v="2"/>
    <x v="33"/>
    <n v="26"/>
    <x v="79"/>
    <d v="2026-03-05T00:00:00"/>
    <d v="2026-03-05T00:00:00"/>
    <s v="HOJUELA DE KIWICHA TOSTADA, SOYA INTEGRAL, QUINUA, AVENA AZUCARADA CON MACA ENRIQUECIDA CON VITAMINAS Y MINERALES"/>
  </r>
  <r>
    <x v="0"/>
    <x v="22"/>
    <x v="17"/>
    <x v="87"/>
    <x v="43"/>
    <x v="21"/>
    <n v="2866.8240000000001"/>
    <x v="2"/>
    <x v="33"/>
    <n v="26"/>
    <x v="80"/>
    <d v="2026-05-26T00:00:00"/>
    <d v="2026-05-31T00:00:00"/>
    <s v="HOJUELA DE KIWICHA TOSTADA, SOYA INTEGRAL, QUINUA, AVENA AZUCARADA CON MACA ENRIQUECIDA CON VITAMINAS Y MINERALES"/>
  </r>
  <r>
    <x v="0"/>
    <x v="22"/>
    <x v="18"/>
    <x v="13"/>
    <x v="43"/>
    <x v="21"/>
    <n v="2866.8240000000001"/>
    <x v="2"/>
    <x v="33"/>
    <n v="26"/>
    <x v="81"/>
    <d v="2026-09-01T00:00:00"/>
    <d v="2026-09-05T00:00:00"/>
    <s v="HOJUELA DE KIWICHA TOSTADA, SOYA INTEGRAL, QUINUA, AVENA AZUCARADA CON MACA ENRIQUECIDA CON VITAMINAS Y MINERALES"/>
  </r>
  <r>
    <x v="0"/>
    <x v="22"/>
    <x v="12"/>
    <x v="14"/>
    <x v="44"/>
    <x v="21"/>
    <n v="1123.3440000000001"/>
    <x v="2"/>
    <x v="34"/>
    <n v="36"/>
    <x v="81"/>
    <d v="2026-09-01T00:00:00"/>
    <d v="2026-09-05T00:00:00"/>
    <s v="HOJUELA DE KIWICHA TOSTADA, SOYA INTEGRAL, QUINUA, AVENA AZUCARADA CON MACA ENRIQUECIDA CON VITAMINAS Y MINERALES"/>
  </r>
  <r>
    <x v="0"/>
    <x v="22"/>
    <x v="19"/>
    <x v="88"/>
    <x v="43"/>
    <x v="21"/>
    <n v="2866.8240000000001"/>
    <x v="2"/>
    <x v="33"/>
    <n v="26"/>
    <x v="4"/>
    <m/>
    <m/>
    <s v="HOJUELA DE KIWICHA TOSTADA, SOYA INTEGRAL, QUINUA, AVENA AZUCARADA CON MACA ENRIQUECIDA CON VITAMINAS Y MINERALES"/>
  </r>
  <r>
    <x v="0"/>
    <x v="23"/>
    <x v="0"/>
    <x v="30"/>
    <x v="45"/>
    <x v="1"/>
    <n v="1405.68"/>
    <x v="2"/>
    <x v="35"/>
    <n v="5.6800000000000637"/>
    <x v="82"/>
    <d v="2025-12-06T00:00:00"/>
    <d v="2025-12-15T00:00:00"/>
    <s v="HOJUELA PRECOCIDA DE QUINUA, AVENA, KIWICHA, MACA, SOYA, ENRIQUECIDA CON VITAMINAS Y MINERALES"/>
  </r>
  <r>
    <x v="0"/>
    <x v="23"/>
    <x v="1"/>
    <x v="89"/>
    <x v="45"/>
    <x v="1"/>
    <n v="1405.68"/>
    <x v="2"/>
    <x v="35"/>
    <n v="5.6800000000000637"/>
    <x v="83"/>
    <d v="2026-01-22T00:00:00"/>
    <d v="2026-01-26T00:00:00"/>
    <s v="HOJUELA PRECOCIDA DE QUINUA, AVENA, KIWICHA, MACA, SOYA, ENRIQUECIDA CON VITAMINAS Y MINERALES"/>
  </r>
  <r>
    <x v="0"/>
    <x v="23"/>
    <x v="2"/>
    <x v="90"/>
    <x v="45"/>
    <x v="1"/>
    <n v="1405.68"/>
    <x v="2"/>
    <x v="35"/>
    <n v="5.6800000000000637"/>
    <x v="84"/>
    <d v="2026-02-20T00:00:00"/>
    <d v="2026-02-23T00:00:00"/>
    <s v="HOJUELA PRECOCIDA DE QUINUA, AVENA, KIWICHA, MACA, SOYA, ENRIQUECIDA CON VITAMINAS Y MINERALES"/>
  </r>
  <r>
    <x v="0"/>
    <x v="23"/>
    <x v="3"/>
    <x v="91"/>
    <x v="45"/>
    <x v="1"/>
    <n v="1405.68"/>
    <x v="2"/>
    <x v="35"/>
    <n v="5.6800000000000637"/>
    <x v="44"/>
    <d v="2026-03-23T00:00:00"/>
    <d v="2026-03-23T00:00:00"/>
    <s v="HOJUELA PRECOCIDA DE QUINUA, AVENA, KIWICHA, MACA, SOYA, ENRIQUECIDA CON VITAMINAS Y MINERALES"/>
  </r>
  <r>
    <x v="0"/>
    <x v="23"/>
    <x v="4"/>
    <x v="92"/>
    <x v="45"/>
    <x v="1"/>
    <n v="1405.68"/>
    <x v="2"/>
    <x v="35"/>
    <n v="5.6800000000000637"/>
    <x v="85"/>
    <d v="2026-04-21T00:00:00"/>
    <d v="2026-04-22T00:00:00"/>
    <s v="HOJUELA PRECOCIDA DE QUINUA, AVENA, KIWICHA, MACA, SOYA, ENRIQUECIDA CON VITAMINAS Y MINERALES"/>
  </r>
  <r>
    <x v="0"/>
    <x v="23"/>
    <x v="5"/>
    <x v="93"/>
    <x v="45"/>
    <x v="1"/>
    <n v="1405.68"/>
    <x v="2"/>
    <x v="35"/>
    <n v="5.6800000000000637"/>
    <x v="86"/>
    <d v="2026-05-11T00:00:00"/>
    <d v="2026-05-25T00:00:00"/>
    <s v="HOJUELA PRECOCIDA DE QUINUA, AVENA, KIWICHA, MACA, SOYA, ENRIQUECIDA CON VITAMINAS Y MINERALES"/>
  </r>
  <r>
    <x v="0"/>
    <x v="23"/>
    <x v="6"/>
    <x v="94"/>
    <x v="45"/>
    <x v="1"/>
    <n v="1405.68"/>
    <x v="2"/>
    <x v="35"/>
    <n v="5.6800000000000637"/>
    <x v="70"/>
    <d v="2026-06-22T00:00:00"/>
    <d v="2026-06-23T00:00:00"/>
    <s v="HOJUELA PRECOCIDA DE QUINUA, AVENA, KIWICHA, MACA, SOYA, ENRIQUECIDA CON VITAMINAS Y MINERALES"/>
  </r>
  <r>
    <x v="0"/>
    <x v="23"/>
    <x v="7"/>
    <x v="95"/>
    <x v="45"/>
    <x v="1"/>
    <n v="1405.68"/>
    <x v="2"/>
    <x v="35"/>
    <n v="5.6800000000000637"/>
    <x v="87"/>
    <d v="2026-07-21T00:00:00"/>
    <d v="2026-07-22T00:00:00"/>
    <s v="HOJUELA PRECOCIDA DE QUINUA, AVENA, KIWICHA, MACA, SOYA, ENRIQUECIDA CON VITAMINAS Y MINERALES"/>
  </r>
  <r>
    <x v="0"/>
    <x v="23"/>
    <x v="8"/>
    <x v="96"/>
    <x v="45"/>
    <x v="1"/>
    <n v="1405.68"/>
    <x v="2"/>
    <x v="35"/>
    <n v="5.6800000000000637"/>
    <x v="16"/>
    <d v="2026-08-17T00:00:00"/>
    <d v="2026-08-24T00:00:00"/>
    <s v="HOJUELA PRECOCIDA DE QUINUA, AVENA, KIWICHA, MACA, SOYA, ENRIQUECIDA CON VITAMINAS Y MINERALES"/>
  </r>
  <r>
    <x v="0"/>
    <x v="23"/>
    <x v="9"/>
    <x v="97"/>
    <x v="45"/>
    <x v="1"/>
    <n v="1405.68"/>
    <x v="2"/>
    <x v="35"/>
    <n v="5.6800000000000637"/>
    <x v="4"/>
    <m/>
    <m/>
    <s v="HOJUELA PRECOCIDA DE QUINUA, AVENA, KIWICHA, MACA, SOYA, ENRIQUECIDA CON VITAMINAS Y MINERALES"/>
  </r>
  <r>
    <x v="0"/>
    <x v="23"/>
    <x v="10"/>
    <x v="98"/>
    <x v="45"/>
    <x v="1"/>
    <n v="1405.68"/>
    <x v="2"/>
    <x v="35"/>
    <n v="5.6800000000000637"/>
    <x v="4"/>
    <m/>
    <m/>
    <s v="HOJUELA PRECOCIDA DE QUINUA, AVENA, KIWICHA, MACA, SOYA, ENRIQUECIDA CON VITAMINAS Y MINERALES"/>
  </r>
  <r>
    <x v="0"/>
    <x v="23"/>
    <x v="11"/>
    <x v="99"/>
    <x v="45"/>
    <x v="1"/>
    <n v="1405.68"/>
    <x v="2"/>
    <x v="35"/>
    <n v="5.6800000000000637"/>
    <x v="4"/>
    <m/>
    <m/>
    <s v="HOJUELA PRECOCIDA DE QUINUA, AVENA, KIWICHA, MACA, SOYA, ENRIQUECIDA CON VITAMINAS Y MINERALES"/>
  </r>
  <r>
    <x v="0"/>
    <x v="24"/>
    <x v="16"/>
    <x v="100"/>
    <x v="46"/>
    <x v="22"/>
    <n v="4386"/>
    <x v="6"/>
    <x v="36"/>
    <n v="0"/>
    <x v="88"/>
    <d v="2026-01-27T00:00:00"/>
    <d v="2026-02-04T00:00:00"/>
    <s v="HOJUELAS PRECOCIDAS AZUCARADAS DE AVENA, QUINUA, KIWICHA CON TARWI, SOYA, MACA, ACEITE VEGETAL DE SOYA Y PROTEINA AISLADO DE SOYA FORTIFICADO CON VITAMINAS Y MINERALES"/>
  </r>
  <r>
    <x v="0"/>
    <x v="24"/>
    <x v="17"/>
    <x v="6"/>
    <x v="46"/>
    <x v="22"/>
    <n v="4386"/>
    <x v="6"/>
    <x v="36"/>
    <n v="0"/>
    <x v="89"/>
    <d v="2026-03-22T00:00:00"/>
    <d v="2026-03-22T00:00:00"/>
    <s v="HOJUELAS PRECOCIDAS AZUCARADAS DE AVENA, QUINUA, KIWICHA CON TARWI, SOYA, MACA, ACEITE VEGETAL DE SOYA Y PROTEINA AISLADO DE SOYA FORTIFICADO CON VITAMINAS Y MINERALES"/>
  </r>
  <r>
    <x v="0"/>
    <x v="24"/>
    <x v="18"/>
    <x v="13"/>
    <x v="46"/>
    <x v="22"/>
    <n v="4386"/>
    <x v="6"/>
    <x v="36"/>
    <n v="0"/>
    <x v="2"/>
    <d v="2026-06-29T00:00:00"/>
    <d v="2026-06-29T00:00:00"/>
    <s v="HOJUELAS PRECOCIDAS AZUCARADAS DE AVENA, QUINUA, KIWICHA CON TARWI, SOYA, MACA, ACEITE VEGETAL DE SOYA Y PROTEINA AISLADO DE SOYA FORTIFICADO CON VITAMINAS Y MINERALES"/>
  </r>
  <r>
    <x v="0"/>
    <x v="24"/>
    <x v="12"/>
    <x v="101"/>
    <x v="47"/>
    <x v="1"/>
    <n v="1462.5"/>
    <x v="1"/>
    <x v="37"/>
    <n v="12.5"/>
    <x v="24"/>
    <d v="2026-08-19T00:00:00"/>
    <d v="2026-08-19T00:00:00"/>
    <s v="HOJUELAS PRECOCIDAS AZUCARADAS DE AVENA, QUINUA, KIWICHA CON TARWI, SOYA, MACA, ACEITE VEGETAL DE SOYA Y PROTEINA AISLADO DE SOYA FORTIFICADO CON VITAMINAS Y MINERALES"/>
  </r>
  <r>
    <x v="0"/>
    <x v="24"/>
    <x v="19"/>
    <x v="16"/>
    <x v="46"/>
    <x v="22"/>
    <n v="4386"/>
    <x v="6"/>
    <x v="36"/>
    <n v="0"/>
    <x v="4"/>
    <m/>
    <m/>
    <s v="HOJUELAS PRECOCIDAS AZUCARADAS DE AVENA, QUINUA, KIWICHA CON TARWI, SOYA, MACA, ACEITE VEGETAL DE SOYA Y PROTEINA AISLADO DE SOYA FORTIFICADO CON VITAMINAS Y MINERALES"/>
  </r>
  <r>
    <x v="3"/>
    <x v="25"/>
    <x v="0"/>
    <x v="102"/>
    <x v="48"/>
    <x v="1"/>
    <n v="12145.8"/>
    <x v="2"/>
    <x v="38"/>
    <n v="25.799999999999272"/>
    <x v="90"/>
    <d v="2025-12-13T00:00:00"/>
    <d v="2025-12-18T00:00:00"/>
    <s v="HOJUELAS PRECOCIDAS DE QUINUA, AVENA Y CEBADA TOSTADA Y MOLIDA ENRIQUECIDA CON VITAMINAS Y MINERALES"/>
  </r>
  <r>
    <x v="3"/>
    <x v="25"/>
    <x v="1"/>
    <x v="40"/>
    <x v="49"/>
    <x v="1"/>
    <n v="7836"/>
    <x v="2"/>
    <x v="39"/>
    <n v="36"/>
    <x v="91"/>
    <d v="2025-12-30T00:00:00"/>
    <d v="2026-01-27T00:00:00"/>
    <s v="HOJUELAS PRECOCIDAS DE QUINUA, AVENA Y CEBADA TOSTADA Y MOLIDA ENRIQUECIDA CON VITAMINAS Y MINERALES"/>
  </r>
  <r>
    <x v="3"/>
    <x v="25"/>
    <x v="26"/>
    <x v="41"/>
    <x v="50"/>
    <x v="1"/>
    <n v="3134.4"/>
    <x v="2"/>
    <x v="3"/>
    <n v="14.400000000000091"/>
    <x v="92"/>
    <d v="2026-02-25T00:00:00"/>
    <d v="2026-02-25T00:00:00"/>
    <s v="HOJUELAS PRECOCIDAS DE QUINUA, AVENA Y CEBADA TOSTADA Y MOLIDA ENRIQUECIDA CON VITAMINAS Y MINERALES"/>
  </r>
  <r>
    <x v="3"/>
    <x v="25"/>
    <x v="27"/>
    <x v="41"/>
    <x v="48"/>
    <x v="1"/>
    <n v="12145.8"/>
    <x v="2"/>
    <x v="38"/>
    <n v="25.799999999999272"/>
    <x v="92"/>
    <d v="2026-02-25T00:00:00"/>
    <d v="2026-02-25T00:00:00"/>
    <s v="HOJUELAS PRECOCIDAS DE QUINUA, AVENA Y CEBADA TOSTADA Y MOLIDA ENRIQUECIDA CON VITAMINAS Y MINERALES"/>
  </r>
  <r>
    <x v="3"/>
    <x v="25"/>
    <x v="28"/>
    <x v="6"/>
    <x v="51"/>
    <x v="1"/>
    <n v="11754"/>
    <x v="2"/>
    <x v="40"/>
    <n v="34"/>
    <x v="63"/>
    <d v="2026-03-17T00:00:00"/>
    <d v="2026-03-26T00:00:00"/>
    <s v="HOJUELAS PRECOCIDAS DE QUINUA, AVENA Y CEBADA TOSTADA Y MOLIDA ENRIQUECIDA CON VITAMINAS Y MINERALES"/>
  </r>
  <r>
    <x v="0"/>
    <x v="26"/>
    <x v="7"/>
    <x v="45"/>
    <x v="52"/>
    <x v="1"/>
    <n v="8951.25"/>
    <x v="2"/>
    <x v="41"/>
    <n v="31.25"/>
    <x v="93"/>
    <d v="2026-07-26T00:00:00"/>
    <d v="2026-07-26T00:00:00"/>
    <s v="HOJUELAS PRECOCIDAS DE AVENA CON QUINUA, CEBADA TOSTADA Y MOLIDA(CHAQUEPA), HARINA DE MACA ENRIQUECIDA CON VITAMINAS Y MINERALES"/>
  </r>
  <r>
    <x v="0"/>
    <x v="26"/>
    <x v="8"/>
    <x v="46"/>
    <x v="53"/>
    <x v="1"/>
    <n v="8662.5"/>
    <x v="2"/>
    <x v="42"/>
    <n v="22.5"/>
    <x v="94"/>
    <d v="2026-08-26T00:00:00"/>
    <d v="2026-08-26T00:00:00"/>
    <s v="HOJUELAS PRECOCIDAS DE AVENA CON QUINUA, CEBADA TOSTADA Y MOLIDA(CHAQUEPA), HARINA DE MACA ENRIQUECIDA CON VITAMINAS Y MINERALES"/>
  </r>
  <r>
    <x v="0"/>
    <x v="26"/>
    <x v="9"/>
    <x v="103"/>
    <x v="52"/>
    <x v="1"/>
    <n v="8951.25"/>
    <x v="2"/>
    <x v="41"/>
    <n v="31.25"/>
    <x v="4"/>
    <m/>
    <m/>
    <s v="HOJUELAS PRECOCIDAS DE AVENA CON QUINUA, CEBADA TOSTADA Y MOLIDA(CHAQUEPA), HARINA DE MACA ENRIQUECIDA CON VITAMINAS Y MINERALES"/>
  </r>
  <r>
    <x v="0"/>
    <x v="26"/>
    <x v="10"/>
    <x v="98"/>
    <x v="53"/>
    <x v="1"/>
    <n v="8662.5"/>
    <x v="2"/>
    <x v="42"/>
    <n v="22.5"/>
    <x v="4"/>
    <m/>
    <m/>
    <s v="HOJUELAS PRECOCIDAS DE AVENA CON QUINUA, CEBADA TOSTADA Y MOLIDA(CHAQUEPA), HARINA DE MACA ENRIQUECIDA CON VITAMINAS Y MINERALES"/>
  </r>
  <r>
    <x v="0"/>
    <x v="26"/>
    <x v="11"/>
    <x v="56"/>
    <x v="52"/>
    <x v="1"/>
    <n v="8951.25"/>
    <x v="2"/>
    <x v="41"/>
    <n v="31.25"/>
    <x v="4"/>
    <m/>
    <m/>
    <s v="HOJUELAS PRECOCIDAS DE AVENA CON QUINUA, CEBADA TOSTADA Y MOLIDA(CHAQUEPA), HARINA DE MACA ENRIQUECIDA CON VITAMINAS Y MINERALES"/>
  </r>
  <r>
    <x v="0"/>
    <x v="26"/>
    <x v="13"/>
    <x v="104"/>
    <x v="52"/>
    <x v="1"/>
    <n v="8951.25"/>
    <x v="2"/>
    <x v="41"/>
    <n v="31.25"/>
    <x v="4"/>
    <m/>
    <m/>
    <s v="HOJUELAS PRECOCIDAS DE AVENA CON QUINUA, CEBADA TOSTADA Y MOLIDA(CHAQUEPA), HARINA DE MACA ENRIQUECIDA CON VITAMINAS Y MINERALES"/>
  </r>
  <r>
    <x v="0"/>
    <x v="26"/>
    <x v="14"/>
    <x v="105"/>
    <x v="54"/>
    <x v="1"/>
    <n v="8085"/>
    <x v="2"/>
    <x v="43"/>
    <n v="5"/>
    <x v="4"/>
    <m/>
    <m/>
    <s v="HOJUELAS PRECOCIDAS DE AVENA CON QUINUA, CEBADA TOSTADA Y MOLIDA(CHAQUEPA), HARINA DE MACA ENRIQUECIDA CON VITAMINAS Y MINERALES"/>
  </r>
  <r>
    <x v="0"/>
    <x v="27"/>
    <x v="0"/>
    <x v="40"/>
    <x v="55"/>
    <x v="23"/>
    <n v="802.99919999999997"/>
    <x v="9"/>
    <x v="44"/>
    <n v="5"/>
    <x v="61"/>
    <d v="2026-01-12T00:00:00"/>
    <d v="2026-01-14T00:00:00"/>
    <s v="HOJUELAS DE KIWICHA, QUINUA, AVENA, TRIGO, CEBADA, MACA, AJONJOLÍ Y HARINA DE SOYA ENRIQUECIDA CON VITAMINAS Y MINERALES - HOJUELAS PRECOCIDAS"/>
  </r>
  <r>
    <x v="0"/>
    <x v="27"/>
    <x v="1"/>
    <x v="40"/>
    <x v="55"/>
    <x v="24"/>
    <n v="725.28959999999995"/>
    <x v="9"/>
    <x v="44"/>
    <n v="5"/>
    <x v="61"/>
    <d v="2026-01-12T00:00:00"/>
    <d v="2026-01-14T00:00:00"/>
    <s v="HOJUELAS DE KIWICHA, QUINUA, AVENA, TRIGO, CEBADA, MACA, AJONJOLÍ Y HARINA DE SOYA ENRIQUECIDA CON VITAMINAS Y MINERALES - HOJUELAS PRECOCIDAS"/>
  </r>
  <r>
    <x v="0"/>
    <x v="27"/>
    <x v="2"/>
    <x v="40"/>
    <x v="55"/>
    <x v="23"/>
    <n v="802.99919999999997"/>
    <x v="9"/>
    <x v="44"/>
    <n v="5"/>
    <x v="61"/>
    <d v="2026-01-12T00:00:00"/>
    <d v="2026-01-14T00:00:00"/>
    <s v="HOJUELAS DE KIWICHA, QUINUA, AVENA, TRIGO, CEBADA, MACA, AJONJOLÍ Y HARINA DE SOYA ENRIQUECIDA CON VITAMINAS Y MINERALES - HOJUELAS PRECOCIDAS"/>
  </r>
  <r>
    <x v="0"/>
    <x v="27"/>
    <x v="3"/>
    <x v="106"/>
    <x v="55"/>
    <x v="25"/>
    <n v="777.096"/>
    <x v="9"/>
    <x v="44"/>
    <n v="5"/>
    <x v="95"/>
    <d v="2026-03-25T00:00:00"/>
    <d v="2026-03-25T00:00:00"/>
    <s v="HOJUELAS DE KIWICHA, QUINUA, AVENA, TRIGO, CEBADA, MACA, AJONJOLÍ Y HARINA DE SOYA ENRIQUECIDA CON VITAMINAS Y MINERALES - HOJUELAS PRECOCIDAS"/>
  </r>
  <r>
    <x v="0"/>
    <x v="27"/>
    <x v="4"/>
    <x v="106"/>
    <x v="55"/>
    <x v="23"/>
    <n v="802.99919999999997"/>
    <x v="9"/>
    <x v="44"/>
    <n v="5"/>
    <x v="95"/>
    <d v="2026-03-25T00:00:00"/>
    <d v="2026-03-25T00:00:00"/>
    <s v="HOJUELAS DE KIWICHA, QUINUA, AVENA, TRIGO, CEBADA, MACA, AJONJOLÍ Y HARINA DE SOYA ENRIQUECIDA CON VITAMINAS Y MINERALES - HOJUELAS PRECOCIDAS"/>
  </r>
  <r>
    <x v="0"/>
    <x v="27"/>
    <x v="5"/>
    <x v="106"/>
    <x v="55"/>
    <x v="25"/>
    <n v="777.096"/>
    <x v="9"/>
    <x v="44"/>
    <n v="5"/>
    <x v="95"/>
    <d v="2026-03-25T00:00:00"/>
    <d v="2026-03-25T00:00:00"/>
    <s v="HOJUELAS DE KIWICHA, QUINUA, AVENA, TRIGO, CEBADA, MACA, AJONJOLÍ Y HARINA DE SOYA ENRIQUECIDA CON VITAMINAS Y MINERALES - HOJUELAS PRECOCIDAS"/>
  </r>
  <r>
    <x v="0"/>
    <x v="27"/>
    <x v="6"/>
    <x v="13"/>
    <x v="55"/>
    <x v="23"/>
    <n v="802.99919999999997"/>
    <x v="9"/>
    <x v="44"/>
    <n v="5"/>
    <x v="96"/>
    <d v="2026-06-21T00:00:00"/>
    <d v="2026-06-22T00:00:00"/>
    <s v="HOJUELAS DE KIWICHA, QUINUA, AVENA, TRIGO, CEBADA, MACA, AJONJOLÍ Y HARINA DE SOYA ENRIQUECIDA CON VITAMINAS Y MINERALES - HOJUELAS PRECOCIDAS"/>
  </r>
  <r>
    <x v="0"/>
    <x v="27"/>
    <x v="7"/>
    <x v="13"/>
    <x v="55"/>
    <x v="23"/>
    <n v="802.99919999999997"/>
    <x v="9"/>
    <x v="44"/>
    <n v="5"/>
    <x v="96"/>
    <d v="2026-06-21T00:00:00"/>
    <d v="2026-06-22T00:00:00"/>
    <s v="HOJUELAS DE KIWICHA, QUINUA, AVENA, TRIGO, CEBADA, MACA, AJONJOLÍ Y HARINA DE SOYA ENRIQUECIDA CON VITAMINAS Y MINERALES - HOJUELAS PRECOCIDAS"/>
  </r>
  <r>
    <x v="0"/>
    <x v="27"/>
    <x v="8"/>
    <x v="13"/>
    <x v="55"/>
    <x v="25"/>
    <n v="777.096"/>
    <x v="9"/>
    <x v="44"/>
    <n v="5"/>
    <x v="96"/>
    <d v="2026-06-21T00:00:00"/>
    <d v="2026-06-22T00:00:00"/>
    <s v="HOJUELAS DE KIWICHA, QUINUA, AVENA, TRIGO, CEBADA, MACA, AJONJOLÍ Y HARINA DE SOYA ENRIQUECIDA CON VITAMINAS Y MINERALES - HOJUELAS PRECOCIDAS"/>
  </r>
  <r>
    <x v="0"/>
    <x v="27"/>
    <x v="9"/>
    <x v="16"/>
    <x v="55"/>
    <x v="23"/>
    <n v="802.99919999999997"/>
    <x v="9"/>
    <x v="44"/>
    <n v="5"/>
    <x v="4"/>
    <m/>
    <m/>
    <s v="HOJUELAS DE KIWICHA, QUINUA, AVENA, TRIGO, CEBADA, MACA, AJONJOLÍ Y HARINA DE SOYA ENRIQUECIDA CON VITAMINAS Y MINERALES - HOJUELAS PRECOCIDAS"/>
  </r>
  <r>
    <x v="0"/>
    <x v="27"/>
    <x v="10"/>
    <x v="16"/>
    <x v="55"/>
    <x v="25"/>
    <n v="777.096"/>
    <x v="9"/>
    <x v="44"/>
    <n v="5"/>
    <x v="4"/>
    <m/>
    <m/>
    <s v="HOJUELAS DE KIWICHA, QUINUA, AVENA, TRIGO, CEBADA, MACA, AJONJOLÍ Y HARINA DE SOYA ENRIQUECIDA CON VITAMINAS Y MINERALES - HOJUELAS PRECOCIDAS"/>
  </r>
  <r>
    <x v="0"/>
    <x v="27"/>
    <x v="11"/>
    <x v="16"/>
    <x v="55"/>
    <x v="23"/>
    <n v="802.99919999999997"/>
    <x v="9"/>
    <x v="44"/>
    <n v="5"/>
    <x v="4"/>
    <m/>
    <m/>
    <s v="HOJUELAS DE KIWICHA, QUINUA, AVENA, TRIGO, CEBADA, MACA, AJONJOLÍ Y HARINA DE SOYA ENRIQUECIDA CON VITAMINAS Y MINERALES - HOJUELAS PRECOCIDAS"/>
  </r>
  <r>
    <x v="4"/>
    <x v="28"/>
    <x v="12"/>
    <x v="87"/>
    <x v="56"/>
    <x v="1"/>
    <n v="476"/>
    <x v="2"/>
    <x v="45"/>
    <n v="36"/>
    <x v="97"/>
    <d v="2026-04-07T00:00:00"/>
    <d v="2026-04-08T00:00:00"/>
    <s v="HOJUELAS PRECOCIDAS DE AVENA, CON HARINA DE KIWICHA Y HARINA DE MACA, FORTIFICADA CON VITAMINAS Y MINERALES"/>
  </r>
  <r>
    <x v="4"/>
    <x v="28"/>
    <x v="12"/>
    <x v="107"/>
    <x v="57"/>
    <x v="1"/>
    <n v="485"/>
    <x v="2"/>
    <x v="46"/>
    <n v="5"/>
    <x v="4"/>
    <m/>
    <m/>
    <s v="HOJUELAS PRECOCIDAS DE AVENA, CON HARINA DE KIWICHA Y HARINA DE MACA, FORTIFICADA CON VITAMINAS Y MINERALES"/>
  </r>
  <r>
    <x v="0"/>
    <x v="29"/>
    <x v="16"/>
    <x v="6"/>
    <x v="58"/>
    <x v="26"/>
    <n v="1353.21"/>
    <x v="0"/>
    <x v="37"/>
    <n v="34"/>
    <x v="98"/>
    <d v="2026-04-12T00:00:00"/>
    <d v="2026-04-28T00:00:00"/>
    <s v="HOJUELAS PRECOCIDAS MOLIDAS DE CEREALES CON SOYA Y MACA; KIWICHA TOSTADA, SOYA INTEGRAL, QUINUA, AVENA CON MACA ENRIQUECIDA CON VITAMINAS Y MINERALES"/>
  </r>
  <r>
    <x v="0"/>
    <x v="29"/>
    <x v="17"/>
    <x v="6"/>
    <x v="58"/>
    <x v="26"/>
    <n v="1353.21"/>
    <x v="0"/>
    <x v="37"/>
    <n v="34"/>
    <x v="98"/>
    <d v="2026-04-12T00:00:00"/>
    <d v="2026-04-28T00:00:00"/>
    <s v="HOJUELAS PRECOCIDAS MOLIDAS DE CEREALES CON SOYA Y MACA; KIWICHA TOSTADA, SOYA INTEGRAL, QUINUA, AVENA CON MACA ENRIQUECIDA CON VITAMINAS Y MINERALES"/>
  </r>
  <r>
    <x v="0"/>
    <x v="29"/>
    <x v="18"/>
    <x v="13"/>
    <x v="58"/>
    <x v="26"/>
    <n v="1353.21"/>
    <x v="0"/>
    <x v="37"/>
    <n v="34"/>
    <x v="99"/>
    <d v="2026-06-18T00:00:00"/>
    <d v="2026-06-21T00:00:00"/>
    <s v="HOJUELAS PRECOCIDAS MOLIDAS DE CEREALES CON SOYA Y MACA; KIWICHA TOSTADA, SOYA INTEGRAL, QUINUA, AVENA CON MACA ENRIQUECIDA CON VITAMINAS Y MINERALES"/>
  </r>
  <r>
    <x v="0"/>
    <x v="29"/>
    <x v="19"/>
    <x v="16"/>
    <x v="58"/>
    <x v="26"/>
    <n v="1353.21"/>
    <x v="0"/>
    <x v="37"/>
    <n v="34"/>
    <x v="4"/>
    <m/>
    <m/>
    <s v="HOJUELAS PRECOCIDAS MOLIDAS DE CEREALES CON SOYA Y MACA; KIWICHA TOSTADA, SOYA INTEGRAL, QUINUA, AVENA CON MACA ENRIQUECIDA CON VITAMINAS Y MINERALES"/>
  </r>
  <r>
    <x v="0"/>
    <x v="30"/>
    <x v="0"/>
    <x v="22"/>
    <x v="59"/>
    <x v="27"/>
    <n v="876.68"/>
    <x v="1"/>
    <x v="1"/>
    <n v="10"/>
    <x v="100"/>
    <d v="2026-01-23T00:00:00"/>
    <d v="2026-01-30T00:00:00"/>
    <s v="MEZCLA DE HOJUELAS PRECOCIDAS DE AVENA, QUINUA, KIWICHA, MACA, FREJOL TARWI, GARBANZO Y SOYA FORTIFICADO CON VITAMINAS Y MINERALES"/>
  </r>
  <r>
    <x v="0"/>
    <x v="30"/>
    <x v="1"/>
    <x v="31"/>
    <x v="59"/>
    <x v="27"/>
    <n v="876.68"/>
    <x v="1"/>
    <x v="1"/>
    <n v="10"/>
    <x v="5"/>
    <d v="2026-01-29T00:00:00"/>
    <d v="2026-01-30T00:00:00"/>
    <s v="MEZCLA DE HOJUELAS PRECOCIDAS DE AVENA, QUINUA, KIWICHA, MACA, FREJOL TARWI, GARBANZO Y SOYA FORTIFICADO CON VITAMINAS Y MINERALES"/>
  </r>
  <r>
    <x v="0"/>
    <x v="30"/>
    <x v="2"/>
    <x v="32"/>
    <x v="59"/>
    <x v="27"/>
    <n v="876.68"/>
    <x v="1"/>
    <x v="1"/>
    <n v="10"/>
    <x v="101"/>
    <d v="2026-03-03T00:00:00"/>
    <d v="2026-03-03T00:00:00"/>
    <s v="MEZCLA DE HOJUELAS PRECOCIDAS DE AVENA, QUINUA, KIWICHA, MACA, FREJOL TARWI, GARBANZO Y SOYA FORTIFICADO CON VITAMINAS Y MINERALES"/>
  </r>
  <r>
    <x v="0"/>
    <x v="30"/>
    <x v="3"/>
    <x v="71"/>
    <x v="59"/>
    <x v="27"/>
    <n v="876.68"/>
    <x v="1"/>
    <x v="1"/>
    <n v="10"/>
    <x v="18"/>
    <d v="2026-03-20T00:00:00"/>
    <d v="2026-03-20T00:00:00"/>
    <s v="MEZCLA DE HOJUELAS PRECOCIDAS DE AVENA, QUINUA, KIWICHA, MACA, FREJOL TARWI, GARBANZO Y SOYA FORTIFICADO CON VITAMINAS Y MINERALES"/>
  </r>
  <r>
    <x v="0"/>
    <x v="30"/>
    <x v="4"/>
    <x v="108"/>
    <x v="59"/>
    <x v="27"/>
    <n v="876.68"/>
    <x v="1"/>
    <x v="1"/>
    <n v="10"/>
    <x v="7"/>
    <d v="2026-04-24T00:00:00"/>
    <d v="2026-04-24T00:00:00"/>
    <s v="MEZCLA DE HOJUELAS PRECOCIDAS DE AVENA, QUINUA, KIWICHA, MACA, FREJOL TARWI, GARBANZO Y SOYA FORTIFICADO CON VITAMINAS Y MINERALES"/>
  </r>
  <r>
    <x v="0"/>
    <x v="30"/>
    <x v="5"/>
    <x v="51"/>
    <x v="59"/>
    <x v="27"/>
    <n v="876.68"/>
    <x v="1"/>
    <x v="1"/>
    <n v="10"/>
    <x v="102"/>
    <d v="2026-05-21T00:00:00"/>
    <d v="2026-05-22T00:00:00"/>
    <s v="MEZCLA DE HOJUELAS PRECOCIDAS DE AVENA, QUINUA, KIWICHA, MACA, FREJOL TARWI, GARBANZO Y SOYA FORTIFICADO CON VITAMINAS Y MINERALES"/>
  </r>
  <r>
    <x v="0"/>
    <x v="30"/>
    <x v="6"/>
    <x v="109"/>
    <x v="59"/>
    <x v="27"/>
    <n v="876.68"/>
    <x v="1"/>
    <x v="1"/>
    <n v="10"/>
    <x v="26"/>
    <d v="2026-06-25T00:00:00"/>
    <d v="2026-06-25T00:00:00"/>
    <s v="MEZCLA DE HOJUELAS PRECOCIDAS DE AVENA, QUINUA, KIWICHA, MACA, FREJOL TARWI, GARBANZO Y SOYA FORTIFICADO CON VITAMINAS Y MINERALES"/>
  </r>
  <r>
    <x v="0"/>
    <x v="30"/>
    <x v="7"/>
    <x v="53"/>
    <x v="59"/>
    <x v="27"/>
    <n v="876.68"/>
    <x v="1"/>
    <x v="1"/>
    <n v="10"/>
    <x v="77"/>
    <d v="2026-07-24T00:00:00"/>
    <d v="2026-07-24T00:00:00"/>
    <s v="MEZCLA DE HOJUELAS PRECOCIDAS DE AVENA, QUINUA, KIWICHA, MACA, FREJOL TARWI, GARBANZO Y SOYA FORTIFICADO CON VITAMINAS Y MINERALES"/>
  </r>
  <r>
    <x v="0"/>
    <x v="30"/>
    <x v="8"/>
    <x v="110"/>
    <x v="59"/>
    <x v="27"/>
    <n v="876.68"/>
    <x v="1"/>
    <x v="1"/>
    <n v="10"/>
    <x v="78"/>
    <d v="2026-08-25T00:00:00"/>
    <d v="2026-08-25T00:00:00"/>
    <s v="MEZCLA DE HOJUELAS PRECOCIDAS DE AVENA, QUINUA, KIWICHA, MACA, FREJOL TARWI, GARBANZO Y SOYA FORTIFICADO CON VITAMINAS Y MINERALES"/>
  </r>
  <r>
    <x v="0"/>
    <x v="30"/>
    <x v="9"/>
    <x v="111"/>
    <x v="59"/>
    <x v="27"/>
    <n v="876.68"/>
    <x v="1"/>
    <x v="1"/>
    <n v="10"/>
    <x v="4"/>
    <m/>
    <m/>
    <s v="MEZCLA DE HOJUELAS PRECOCIDAS DE AVENA, QUINUA, KIWICHA, MACA, FREJOL TARWI, GARBANZO Y SOYA FORTIFICADO CON VITAMINAS Y MINERALES"/>
  </r>
  <r>
    <x v="0"/>
    <x v="30"/>
    <x v="10"/>
    <x v="112"/>
    <x v="59"/>
    <x v="27"/>
    <n v="876.68"/>
    <x v="1"/>
    <x v="1"/>
    <n v="10"/>
    <x v="4"/>
    <m/>
    <m/>
    <s v="MEZCLA DE HOJUELAS PRECOCIDAS DE AVENA, QUINUA, KIWICHA, MACA, FREJOL TARWI, GARBANZO Y SOYA FORTIFICADO CON VITAMINAS Y MINERALES"/>
  </r>
  <r>
    <x v="0"/>
    <x v="30"/>
    <x v="11"/>
    <x v="76"/>
    <x v="59"/>
    <x v="27"/>
    <n v="876.68"/>
    <x v="1"/>
    <x v="1"/>
    <n v="10"/>
    <x v="4"/>
    <m/>
    <m/>
    <s v="MEZCLA DE HOJUELAS PRECOCIDAS DE AVENA, QUINUA, KIWICHA, MACA, FREJOL TARWI, GARBANZO Y SOYA FORTIFICADO CON VITAMINAS Y MINERALES"/>
  </r>
  <r>
    <x v="0"/>
    <x v="31"/>
    <x v="0"/>
    <x v="31"/>
    <x v="60"/>
    <x v="28"/>
    <n v="1672.11"/>
    <x v="8"/>
    <x v="47"/>
    <n v="20"/>
    <x v="83"/>
    <d v="2026-01-22T00:00:00"/>
    <d v="2026-01-27T00:00:00"/>
    <s v="MEZCLA PRECOCIDA DE AVENA, QUINUA, KIWICHA CON SOYA Y MACA AZUCARADA FORTIFICADO CON VITAMINAS Y MINERALES"/>
  </r>
  <r>
    <x v="0"/>
    <x v="31"/>
    <x v="1"/>
    <x v="31"/>
    <x v="60"/>
    <x v="28"/>
    <n v="1672.11"/>
    <x v="8"/>
    <x v="47"/>
    <n v="20"/>
    <x v="83"/>
    <d v="2026-01-22T00:00:00"/>
    <d v="2026-01-27T00:00:00"/>
    <s v="MEZCLA PRECOCIDA DE AVENA, QUINUA, KIWICHA CON SOYA Y MACA AZUCARADA FORTIFICADO CON VITAMINAS Y MINERALES"/>
  </r>
  <r>
    <x v="0"/>
    <x v="31"/>
    <x v="2"/>
    <x v="90"/>
    <x v="60"/>
    <x v="28"/>
    <n v="1672.11"/>
    <x v="8"/>
    <x v="47"/>
    <n v="20"/>
    <x v="103"/>
    <d v="2026-02-24T00:00:00"/>
    <d v="2026-02-25T00:00:00"/>
    <s v="MEZCLA PRECOCIDA DE AVENA, QUINUA, KIWICHA CON SOYA Y MACA AZUCARADA FORTIFICADO CON VITAMINAS Y MINERALES"/>
  </r>
  <r>
    <x v="0"/>
    <x v="31"/>
    <x v="3"/>
    <x v="91"/>
    <x v="60"/>
    <x v="28"/>
    <n v="1672.11"/>
    <x v="8"/>
    <x v="47"/>
    <n v="20"/>
    <x v="10"/>
    <d v="2026-03-24T00:00:00"/>
    <d v="2026-03-26T00:00:00"/>
    <s v="MEZCLA PRECOCIDA DE AVENA, QUINUA, KIWICHA CON SOYA Y MACA AZUCARADA FORTIFICADO CON VITAMINAS Y MINERALES"/>
  </r>
  <r>
    <x v="0"/>
    <x v="31"/>
    <x v="4"/>
    <x v="108"/>
    <x v="60"/>
    <x v="28"/>
    <n v="1672.11"/>
    <x v="8"/>
    <x v="47"/>
    <n v="20"/>
    <x v="34"/>
    <d v="2026-04-26T00:00:00"/>
    <d v="2026-04-26T00:00:00"/>
    <s v="MEZCLA PRECOCIDA DE AVENA, QUINUA, KIWICHA CON SOYA Y MACA AZUCARADA FORTIFICADO CON VITAMINAS Y MINERALES"/>
  </r>
  <r>
    <x v="0"/>
    <x v="31"/>
    <x v="5"/>
    <x v="113"/>
    <x v="60"/>
    <x v="28"/>
    <n v="1672.11"/>
    <x v="8"/>
    <x v="47"/>
    <n v="20"/>
    <x v="104"/>
    <d v="2026-05-25T00:00:00"/>
    <d v="2026-05-25T00:00:00"/>
    <s v="MEZCLA PRECOCIDA DE AVENA, QUINUA, KIWICHA CON SOYA Y MACA AZUCARADA FORTIFICADO CON VITAMINAS Y MINERALES"/>
  </r>
  <r>
    <x v="0"/>
    <x v="31"/>
    <x v="6"/>
    <x v="52"/>
    <x v="60"/>
    <x v="28"/>
    <n v="1672.11"/>
    <x v="8"/>
    <x v="47"/>
    <n v="20"/>
    <x v="26"/>
    <d v="2026-06-25T00:00:00"/>
    <d v="2026-06-25T00:00:00"/>
    <s v="MEZCLA PRECOCIDA DE AVENA, QUINUA, KIWICHA CON SOYA Y MACA AZUCARADA FORTIFICADO CON VITAMINAS Y MINERALES"/>
  </r>
  <r>
    <x v="0"/>
    <x v="31"/>
    <x v="7"/>
    <x v="53"/>
    <x v="60"/>
    <x v="28"/>
    <n v="1672.11"/>
    <x v="8"/>
    <x v="47"/>
    <n v="20"/>
    <x v="77"/>
    <d v="2026-07-24T00:00:00"/>
    <d v="2026-07-27T00:00:00"/>
    <s v="MEZCLA PRECOCIDA DE AVENA, QUINUA, KIWICHA CON SOYA Y MACA AZUCARADA FORTIFICADO CON VITAMINAS Y MINERALES"/>
  </r>
  <r>
    <x v="0"/>
    <x v="31"/>
    <x v="8"/>
    <x v="114"/>
    <x v="60"/>
    <x v="28"/>
    <n v="1672.11"/>
    <x v="8"/>
    <x v="47"/>
    <n v="20"/>
    <x v="105"/>
    <d v="2026-08-20T00:00:00"/>
    <d v="2026-09-01T00:00:00"/>
    <s v="MEZCLA PRECOCIDA DE AVENA, QUINUA, KIWICHA CON SOYA Y MACA AZUCARADA FORTIFICADO CON VITAMINAS Y MINERALES"/>
  </r>
  <r>
    <x v="0"/>
    <x v="31"/>
    <x v="9"/>
    <x v="29"/>
    <x v="60"/>
    <x v="28"/>
    <n v="1672.11"/>
    <x v="8"/>
    <x v="47"/>
    <n v="20"/>
    <x v="4"/>
    <m/>
    <m/>
    <s v="MEZCLA PRECOCIDA DE AVENA, QUINUA, KIWICHA CON SOYA Y MACA AZUCARADA FORTIFICADO CON VITAMINAS Y MINERALES"/>
  </r>
  <r>
    <x v="0"/>
    <x v="31"/>
    <x v="10"/>
    <x v="112"/>
    <x v="60"/>
    <x v="28"/>
    <n v="1672.11"/>
    <x v="8"/>
    <x v="47"/>
    <n v="20"/>
    <x v="4"/>
    <m/>
    <m/>
    <s v="MEZCLA PRECOCIDA DE AVENA, QUINUA, KIWICHA CON SOYA Y MACA AZUCARADA FORTIFICADO CON VITAMINAS Y MINERALES"/>
  </r>
  <r>
    <x v="0"/>
    <x v="31"/>
    <x v="11"/>
    <x v="99"/>
    <x v="60"/>
    <x v="28"/>
    <n v="1672.11"/>
    <x v="8"/>
    <x v="47"/>
    <n v="20"/>
    <x v="4"/>
    <m/>
    <m/>
    <s v="MEZCLA PRECOCIDA DE AVENA, QUINUA, KIWICHA CON SOYA Y MACA AZUCARADA FORTIFICADO CON VITAMINAS Y MINERALES"/>
  </r>
  <r>
    <x v="0"/>
    <x v="32"/>
    <x v="0"/>
    <x v="42"/>
    <x v="61"/>
    <x v="1"/>
    <n v="1496.22"/>
    <x v="2"/>
    <x v="29"/>
    <n v="16.220000000000027"/>
    <x v="65"/>
    <d v="2026-03-08T00:00:00"/>
    <d v="2026-03-15T00:00:00"/>
    <s v="HOJUELA PRECOCIDA DE AVENA, ARROZ, TRIGO, QUINUA, LENTEJA CON PROTEINA AISLADO DE SOYA CON ACEITE DE GIRASOL ENRIQUECIDA CON VITAMINAS MINERALES"/>
  </r>
  <r>
    <x v="0"/>
    <x v="32"/>
    <x v="1"/>
    <x v="42"/>
    <x v="61"/>
    <x v="1"/>
    <n v="1496.22"/>
    <x v="2"/>
    <x v="29"/>
    <n v="16.220000000000027"/>
    <x v="65"/>
    <d v="2026-03-08T00:00:00"/>
    <d v="2026-03-15T00:00:00"/>
    <s v="HOJUELA PRECOCIDA DE AVENA, ARROZ, TRIGO, QUINUA, LENTEJA CON PROTEINA AISLADO DE SOYA CON ACEITE DE GIRASOL ENRIQUECIDA CON VITAMINAS MINERALES"/>
  </r>
  <r>
    <x v="0"/>
    <x v="32"/>
    <x v="2"/>
    <x v="42"/>
    <x v="61"/>
    <x v="1"/>
    <n v="1496.22"/>
    <x v="2"/>
    <x v="29"/>
    <n v="16.220000000000027"/>
    <x v="65"/>
    <d v="2026-03-08T00:00:00"/>
    <d v="2026-03-15T00:00:00"/>
    <s v="HOJUELA PRECOCIDA DE AVENA, ARROZ, TRIGO, QUINUA, LENTEJA CON PROTEINA AISLADO DE SOYA CON ACEITE DE GIRASOL ENRIQUECIDA CON VITAMINAS MINERALES"/>
  </r>
  <r>
    <x v="0"/>
    <x v="32"/>
    <x v="3"/>
    <x v="42"/>
    <x v="61"/>
    <x v="1"/>
    <n v="1496.22"/>
    <x v="2"/>
    <x v="29"/>
    <n v="16.220000000000027"/>
    <x v="65"/>
    <d v="2026-03-08T00:00:00"/>
    <d v="2026-03-15T00:00:00"/>
    <s v="HOJUELA PRECOCIDA DE AVENA, ARROZ, TRIGO, QUINUA, LENTEJA CON PROTEINA AISLADO DE SOYA CON ACEITE DE GIRASOL ENRIQUECIDA CON VITAMINAS MINERALES"/>
  </r>
  <r>
    <x v="0"/>
    <x v="32"/>
    <x v="4"/>
    <x v="11"/>
    <x v="61"/>
    <x v="1"/>
    <n v="1496.22"/>
    <x v="2"/>
    <x v="29"/>
    <n v="16.220000000000027"/>
    <x v="106"/>
    <d v="2026-05-04T00:00:00"/>
    <d v="2026-05-06T00:00:00"/>
    <s v="HOJUELA PRECOCIDA DE AVENA, ARROZ, TRIGO, QUINUA, LENTEJA CON PROTEINA AISLADO DE SOYA CON ACEITE DE GIRASOL ENRIQUECIDA CON VITAMINAS MINERALES"/>
  </r>
  <r>
    <x v="0"/>
    <x v="32"/>
    <x v="5"/>
    <x v="11"/>
    <x v="61"/>
    <x v="1"/>
    <n v="1496.22"/>
    <x v="2"/>
    <x v="29"/>
    <n v="16.220000000000027"/>
    <x v="106"/>
    <d v="2026-05-04T00:00:00"/>
    <d v="2026-05-06T00:00:00"/>
    <s v="HOJUELA PRECOCIDA DE AVENA, ARROZ, TRIGO, QUINUA, LENTEJA CON PROTEINA AISLADO DE SOYA CON ACEITE DE GIRASOL ENRIQUECIDA CON VITAMINAS MINERALES"/>
  </r>
  <r>
    <x v="0"/>
    <x v="32"/>
    <x v="6"/>
    <x v="13"/>
    <x v="61"/>
    <x v="1"/>
    <n v="1496.22"/>
    <x v="2"/>
    <x v="29"/>
    <n v="16.220000000000027"/>
    <x v="107"/>
    <d v="2026-06-15T00:00:00"/>
    <d v="2026-06-21T00:00:00"/>
    <s v="HOJUELA PRECOCIDA DE AVENA, ARROZ, TRIGO, QUINUA, LENTEJA CON PROTEINA AISLADO DE SOYA CON ACEITE DE GIRASOL ENRIQUECIDA CON VITAMINAS MINERALES"/>
  </r>
  <r>
    <x v="0"/>
    <x v="32"/>
    <x v="7"/>
    <x v="13"/>
    <x v="61"/>
    <x v="1"/>
    <n v="1496.22"/>
    <x v="2"/>
    <x v="29"/>
    <n v="16.220000000000027"/>
    <x v="107"/>
    <d v="2026-06-15T00:00:00"/>
    <d v="2026-06-21T00:00:00"/>
    <s v="HOJUELA PRECOCIDA DE AVENA, ARROZ, TRIGO, QUINUA, LENTEJA CON PROTEINA AISLADO DE SOYA CON ACEITE DE GIRASOL ENRIQUECIDA CON VITAMINAS MINERALES"/>
  </r>
  <r>
    <x v="0"/>
    <x v="32"/>
    <x v="8"/>
    <x v="3"/>
    <x v="61"/>
    <x v="1"/>
    <n v="1496.22"/>
    <x v="2"/>
    <x v="29"/>
    <n v="16.220000000000027"/>
    <x v="108"/>
    <d v="2026-08-12T00:00:00"/>
    <d v="2026-08-12T00:00:00"/>
    <s v="HOJUELA PRECOCIDA DE AVENA, ARROZ, TRIGO, QUINUA, LENTEJA CON PROTEINA AISLADO DE SOYA CON ACEITE DE GIRASOL ENRIQUECIDA CON VITAMINAS MINERALES"/>
  </r>
  <r>
    <x v="0"/>
    <x v="32"/>
    <x v="9"/>
    <x v="3"/>
    <x v="61"/>
    <x v="1"/>
    <n v="1496.22"/>
    <x v="2"/>
    <x v="29"/>
    <n v="16.220000000000027"/>
    <x v="108"/>
    <d v="2026-08-12T00:00:00"/>
    <d v="2026-08-12T00:00:00"/>
    <s v="HOJUELA PRECOCIDA DE AVENA, ARROZ, TRIGO, QUINUA, LENTEJA CON PROTEINA AISLADO DE SOYA CON ACEITE DE GIRASOL ENRIQUECIDA CON VITAMINAS MINERALES"/>
  </r>
  <r>
    <x v="0"/>
    <x v="32"/>
    <x v="10"/>
    <x v="115"/>
    <x v="61"/>
    <x v="1"/>
    <n v="1496.22"/>
    <x v="2"/>
    <x v="29"/>
    <n v="16.220000000000027"/>
    <x v="4"/>
    <m/>
    <m/>
    <s v="HOJUELA PRECOCIDA DE AVENA, ARROZ, TRIGO, QUINUA, LENTEJA CON PROTEINA AISLADO DE SOYA CON ACEITE DE GIRASOL ENRIQUECIDA CON VITAMINAS MINERALES"/>
  </r>
  <r>
    <x v="0"/>
    <x v="32"/>
    <x v="11"/>
    <x v="115"/>
    <x v="61"/>
    <x v="1"/>
    <n v="1496.22"/>
    <x v="2"/>
    <x v="29"/>
    <n v="16.220000000000027"/>
    <x v="4"/>
    <m/>
    <m/>
    <s v="HOJUELA PRECOCIDA DE AVENA, ARROZ, TRIGO, QUINUA, LENTEJA CON PROTEINA AISLADO DE SOYA CON ACEITE DE GIRASOL ENRIQUECIDA CON VITAMINAS MINERALES"/>
  </r>
  <r>
    <x v="0"/>
    <x v="33"/>
    <x v="16"/>
    <x v="78"/>
    <x v="62"/>
    <x v="29"/>
    <n v="1106.34996"/>
    <x v="9"/>
    <x v="34"/>
    <n v="42"/>
    <x v="57"/>
    <d v="2026-02-18T00:00:00"/>
    <d v="2026-02-19T00:00:00"/>
    <s v="HOJUELAS PRECOCIDAS DE AVENA, QUINUA, KIWICHA, MACA, HARINA DE MAÍZ CHUFLA FORTIFICADO CON VITAMINAS Y MINERALES"/>
  </r>
  <r>
    <x v="0"/>
    <x v="33"/>
    <x v="17"/>
    <x v="6"/>
    <x v="62"/>
    <x v="29"/>
    <n v="1106.34996"/>
    <x v="9"/>
    <x v="34"/>
    <n v="42"/>
    <x v="109"/>
    <d v="2026-04-05T00:00:00"/>
    <d v="2026-04-05T00:00:00"/>
    <s v="HOJUELAS PRECOCIDAS DE AVENA, QUINUA, KIWICHA, MACA, HARINA DE MAÍZ CHUFLA FORTIFICADO CON VITAMINAS Y MINERALES"/>
  </r>
  <r>
    <x v="0"/>
    <x v="33"/>
    <x v="18"/>
    <x v="13"/>
    <x v="62"/>
    <x v="29"/>
    <n v="1106.34996"/>
    <x v="9"/>
    <x v="34"/>
    <n v="42"/>
    <x v="110"/>
    <d v="2026-07-02T00:00:00"/>
    <d v="2026-07-02T00:00:00"/>
    <s v="HOJUELAS PRECOCIDAS DE AVENA, QUINUA, KIWICHA, MACA, HARINA DE MAÍZ CHUFLA FORTIFICADO CON VITAMINAS Y MINERALES"/>
  </r>
  <r>
    <x v="0"/>
    <x v="33"/>
    <x v="12"/>
    <x v="116"/>
    <x v="63"/>
    <x v="30"/>
    <n v="493.93039999999996"/>
    <x v="0"/>
    <x v="45"/>
    <n v="19"/>
    <x v="4"/>
    <m/>
    <m/>
    <s v="HOJUELAS PRECOCIDAS DE AVENA, QUINUA, KIWICHA, MACA, HARINA DE MAÍZ CHUFLA FORTIFICADO CON VITAMINAS Y MINERALES"/>
  </r>
  <r>
    <x v="0"/>
    <x v="33"/>
    <x v="19"/>
    <x v="16"/>
    <x v="62"/>
    <x v="29"/>
    <n v="1106.34996"/>
    <x v="9"/>
    <x v="34"/>
    <n v="42"/>
    <x v="4"/>
    <m/>
    <m/>
    <s v="HOJUELAS PRECOCIDAS DE AVENA, QUINUA, KIWICHA, MACA, HARINA DE MAÍZ CHUFLA FORTIFICADO CON VITAMINAS Y MINERALES"/>
  </r>
  <r>
    <x v="5"/>
    <x v="34"/>
    <x v="16"/>
    <x v="117"/>
    <x v="64"/>
    <x v="31"/>
    <n v="3382.9830900000002"/>
    <x v="6"/>
    <x v="24"/>
    <n v="2"/>
    <x v="111"/>
    <d v="2025-12-17T00:00:00"/>
    <d v="2026-01-14T00:00:00"/>
    <s v="HOJUELAS PRECOCIDAS DE QUINUA, AVENA, SOYA, MACA Y ACEITE VEGETAL DE SOYA ENRIQUECIDA CON VITAMINAS Y MINERALES"/>
  </r>
  <r>
    <x v="5"/>
    <x v="34"/>
    <x v="17"/>
    <x v="6"/>
    <x v="64"/>
    <x v="31"/>
    <n v="3382.9830900000002"/>
    <x v="6"/>
    <x v="24"/>
    <n v="2"/>
    <x v="112"/>
    <d v="2026-03-29T00:00:00"/>
    <d v="2026-03-29T00:00:00"/>
    <s v="HOJUELAS PRECOCIDAS DE QUINUA, AVENA, SOYA, MACA Y ACEITE VEGETAL DE SOYA ENRIQUECIDA CON VITAMINAS Y MINERALES"/>
  </r>
  <r>
    <x v="5"/>
    <x v="34"/>
    <x v="18"/>
    <x v="13"/>
    <x v="64"/>
    <x v="31"/>
    <n v="3382.9830900000002"/>
    <x v="6"/>
    <x v="24"/>
    <n v="2"/>
    <x v="110"/>
    <d v="2026-07-02T00:00:00"/>
    <d v="2026-07-02T00:00:00"/>
    <s v="HOJUELAS PRECOCIDAS DE QUINUA, AVENA, SOYA, MACA Y ACEITE VEGETAL DE SOYA ENRIQUECIDA CON VITAMINAS Y MINERALES"/>
  </r>
  <r>
    <x v="5"/>
    <x v="34"/>
    <x v="12"/>
    <x v="14"/>
    <x v="65"/>
    <x v="31"/>
    <n v="1298.7780300000002"/>
    <x v="6"/>
    <x v="28"/>
    <n v="9"/>
    <x v="113"/>
    <d v="2026-08-02T00:00:00"/>
    <d v="2026-08-03T00:00:00"/>
    <s v="HOJUELAS PRECOCIDAS DE QUINUA, AVENA, SOYA, MACA Y ACEITE VEGETAL DE SOYA ENRIQUECIDA CON VITAMINAS Y MINERALES"/>
  </r>
  <r>
    <x v="5"/>
    <x v="34"/>
    <x v="19"/>
    <x v="16"/>
    <x v="64"/>
    <x v="31"/>
    <n v="3382.9830900000002"/>
    <x v="6"/>
    <x v="24"/>
    <n v="2"/>
    <x v="4"/>
    <m/>
    <m/>
    <s v="HOJUELAS PRECOCIDAS DE QUINUA, AVENA, SOYA, MACA Y ACEITE VEGETAL DE SOYA ENRIQUECIDA CON VITAMINAS Y MINERALES"/>
  </r>
  <r>
    <x v="0"/>
    <x v="35"/>
    <x v="0"/>
    <x v="118"/>
    <x v="66"/>
    <x v="32"/>
    <n v="1921.3562400000001"/>
    <x v="10"/>
    <x v="48"/>
    <n v="6"/>
    <x v="114"/>
    <d v="2026-01-05T00:00:00"/>
    <d v="2026-01-06T00:00:00"/>
    <s v="HOJUELAS PRECOCIDAS DE AVENA, QUINUA, KIWICHA, CON MACA Y SOYA ENRIQUECIDA CON VITAMINAS Y MINERALES"/>
  </r>
  <r>
    <x v="0"/>
    <x v="35"/>
    <x v="1"/>
    <x v="118"/>
    <x v="66"/>
    <x v="32"/>
    <n v="1921.3562400000001"/>
    <x v="10"/>
    <x v="48"/>
    <n v="6"/>
    <x v="115"/>
    <d v="2026-01-28T00:00:00"/>
    <d v="2026-01-29T00:00:00"/>
    <s v="HOJUELAS PRECOCIDAS DE AVENA, QUINUA, KIWICHA, CON MACA Y SOYA ENRIQUECIDA CON VITAMINAS Y MINERALES"/>
  </r>
  <r>
    <x v="0"/>
    <x v="35"/>
    <x v="2"/>
    <x v="90"/>
    <x v="66"/>
    <x v="32"/>
    <n v="1921.3562400000001"/>
    <x v="10"/>
    <x v="48"/>
    <n v="6"/>
    <x v="103"/>
    <d v="2026-02-24T00:00:00"/>
    <d v="2026-02-25T00:00:00"/>
    <s v="HOJUELAS PRECOCIDAS DE AVENA, QUINUA, KIWICHA, CON MACA Y SOYA ENRIQUECIDA CON VITAMINAS Y MINERALES"/>
  </r>
  <r>
    <x v="0"/>
    <x v="35"/>
    <x v="3"/>
    <x v="106"/>
    <x v="66"/>
    <x v="32"/>
    <n v="1921.3562400000001"/>
    <x v="10"/>
    <x v="48"/>
    <n v="6"/>
    <x v="10"/>
    <d v="2026-03-24T00:00:00"/>
    <d v="2026-03-24T00:00:00"/>
    <s v="HOJUELAS PRECOCIDAS DE AVENA, QUINUA, KIWICHA, CON MACA Y SOYA ENRIQUECIDA CON VITAMINAS Y MINERALES"/>
  </r>
  <r>
    <x v="0"/>
    <x v="35"/>
    <x v="4"/>
    <x v="1"/>
    <x v="66"/>
    <x v="32"/>
    <n v="1921.3562400000001"/>
    <x v="10"/>
    <x v="48"/>
    <n v="6"/>
    <x v="39"/>
    <d v="2026-04-25T00:00:00"/>
    <d v="2026-04-25T00:00:00"/>
    <s v="HOJUELAS PRECOCIDAS DE AVENA, QUINUA, KIWICHA, CON MACA Y SOYA ENRIQUECIDA CON VITAMINAS Y MINERALES"/>
  </r>
  <r>
    <x v="0"/>
    <x v="35"/>
    <x v="5"/>
    <x v="119"/>
    <x v="66"/>
    <x v="32"/>
    <n v="1921.3562400000001"/>
    <x v="10"/>
    <x v="48"/>
    <n v="6"/>
    <x v="102"/>
    <d v="2026-05-21T00:00:00"/>
    <d v="2026-05-25T00:00:00"/>
    <s v="HOJUELAS PRECOCIDAS DE AVENA, QUINUA, KIWICHA, CON MACA Y SOYA ENRIQUECIDA CON VITAMINAS Y MINERALES"/>
  </r>
  <r>
    <x v="0"/>
    <x v="35"/>
    <x v="6"/>
    <x v="2"/>
    <x v="66"/>
    <x v="32"/>
    <n v="1921.3562400000001"/>
    <x v="10"/>
    <x v="48"/>
    <n v="6"/>
    <x v="116"/>
    <d v="2026-06-27T00:00:00"/>
    <d v="2026-06-28T00:00:00"/>
    <s v="HOJUELAS PRECOCIDAS DE AVENA, QUINUA, KIWICHA, CON MACA Y SOYA ENRIQUECIDA CON VITAMINAS Y MINERALES"/>
  </r>
  <r>
    <x v="0"/>
    <x v="35"/>
    <x v="7"/>
    <x v="53"/>
    <x v="66"/>
    <x v="32"/>
    <n v="1921.3562400000001"/>
    <x v="10"/>
    <x v="48"/>
    <n v="6"/>
    <x v="40"/>
    <d v="2026-07-30T00:00:00"/>
    <d v="2026-07-30T00:00:00"/>
    <s v="HOJUELAS PRECOCIDAS DE AVENA, QUINUA, KIWICHA, CON MACA Y SOYA ENRIQUECIDA CON VITAMINAS Y MINERALES"/>
  </r>
  <r>
    <x v="0"/>
    <x v="35"/>
    <x v="12"/>
    <x v="46"/>
    <x v="67"/>
    <x v="33"/>
    <n v="2792.4993600000003"/>
    <x v="8"/>
    <x v="49"/>
    <n v="6"/>
    <x v="117"/>
    <d v="2026-08-27T00:00:00"/>
    <d v="2026-08-27T00:00:00"/>
    <s v="HOJUELAS PRECOCIDAS DE AVENA, QUINUA, KIWICHA, CON MACA Y SOYA ENRIQUECIDA CON VITAMINAS Y MINERALES"/>
  </r>
  <r>
    <x v="0"/>
    <x v="35"/>
    <x v="8"/>
    <x v="46"/>
    <x v="66"/>
    <x v="32"/>
    <n v="1921.3562400000001"/>
    <x v="10"/>
    <x v="48"/>
    <n v="6"/>
    <x v="117"/>
    <d v="2026-08-27T00:00:00"/>
    <d v="2026-08-27T00:00:00"/>
    <s v="HOJUELAS PRECOCIDAS DE AVENA, QUINUA, KIWICHA, CON MACA Y SOYA ENRIQUECIDA CON VITAMINAS Y MINERALES"/>
  </r>
  <r>
    <x v="0"/>
    <x v="35"/>
    <x v="9"/>
    <x v="103"/>
    <x v="66"/>
    <x v="32"/>
    <n v="1921.3562400000001"/>
    <x v="10"/>
    <x v="48"/>
    <n v="6"/>
    <x v="4"/>
    <m/>
    <m/>
    <s v="HOJUELAS PRECOCIDAS DE AVENA, QUINUA, KIWICHA, CON MACA Y SOYA ENRIQUECIDA CON VITAMINAS Y MINERALES"/>
  </r>
  <r>
    <x v="0"/>
    <x v="35"/>
    <x v="10"/>
    <x v="120"/>
    <x v="66"/>
    <x v="32"/>
    <n v="1921.3562400000001"/>
    <x v="10"/>
    <x v="48"/>
    <n v="6"/>
    <x v="4"/>
    <m/>
    <m/>
    <s v="HOJUELAS PRECOCIDAS DE AVENA, QUINUA, KIWICHA, CON MACA Y SOYA ENRIQUECIDA CON VITAMINAS Y MINERALES"/>
  </r>
  <r>
    <x v="0"/>
    <x v="35"/>
    <x v="11"/>
    <x v="121"/>
    <x v="66"/>
    <x v="32"/>
    <n v="1921.3562400000001"/>
    <x v="10"/>
    <x v="48"/>
    <n v="6"/>
    <x v="4"/>
    <m/>
    <m/>
    <s v="HOJUELAS PRECOCIDAS DE AVENA, QUINUA, KIWICHA, CON MACA Y SOYA ENRIQUECIDA CON VITAMINAS Y MINERALES"/>
  </r>
  <r>
    <x v="4"/>
    <x v="36"/>
    <x v="12"/>
    <x v="23"/>
    <x v="68"/>
    <x v="1"/>
    <n v="790"/>
    <x v="2"/>
    <x v="44"/>
    <n v="30"/>
    <x v="118"/>
    <d v="2026-03-09T00:00:00"/>
    <d v="2026-03-10T00:00:00"/>
    <s v="MEZCLA DE HARINAS DE SIETE SEMILLAS (TRIGO, HABAS, ARVEJAS, KIWICHA, CAÑIHUA, CEBADA, QUINUA) CON HARINA DE PLATANO ENRIQUECIDA CON VITAMINAS Y MINERALES"/>
  </r>
  <r>
    <x v="4"/>
    <x v="36"/>
    <x v="12"/>
    <x v="122"/>
    <x v="69"/>
    <x v="1"/>
    <n v="800"/>
    <x v="2"/>
    <x v="1"/>
    <n v="0"/>
    <x v="119"/>
    <d v="2026-04-08T00:00:00"/>
    <d v="2026-04-08T00:00:00"/>
    <s v="MEZCLA DE HARINAS DE SIETE SEMILLAS (TRIGO, HABAS, ARVEJAS, KIWICHA, CAÑIHUA, CEBADA, QUINUA) CON HARINA DE PLATANO ENRIQUECIDA CON VITAMINAS Y MINERALES"/>
  </r>
  <r>
    <x v="4"/>
    <x v="36"/>
    <x v="12"/>
    <x v="8"/>
    <x v="70"/>
    <x v="1"/>
    <n v="810"/>
    <x v="2"/>
    <x v="1"/>
    <n v="10"/>
    <x v="120"/>
    <d v="2026-07-03T00:00:00"/>
    <d v="2026-07-07T00:00:00"/>
    <s v="MEZCLA DE HARINAS DE SIETE SEMILLAS (TRIGO, HABAS, ARVEJAS, KIWICHA, CAÑIHUA, CEBADA, QUINUA) CON HARINA DE PLATANO ENRIQUECIDA CON VITAMINAS Y MINERALES"/>
  </r>
  <r>
    <x v="0"/>
    <x v="37"/>
    <x v="29"/>
    <x v="22"/>
    <x v="71"/>
    <x v="34"/>
    <n v="3802.95"/>
    <x v="8"/>
    <x v="22"/>
    <n v="0"/>
    <x v="121"/>
    <d v="2026-01-10T00:00:00"/>
    <d v="2026-01-11T00:00:00"/>
    <s v="MEZCLA PRECOCIDA DE AVENA, QUINUA, KIWICHA CON SOYA Y MACA AZUCARADA FORTIFICADO CON VITAMINAS Y MINERALES"/>
  </r>
  <r>
    <x v="0"/>
    <x v="37"/>
    <x v="30"/>
    <x v="32"/>
    <x v="71"/>
    <x v="34"/>
    <n v="3802.95"/>
    <x v="8"/>
    <x v="22"/>
    <n v="0"/>
    <x v="28"/>
    <d v="2026-02-10T00:00:00"/>
    <d v="2026-02-10T00:00:00"/>
    <s v="MEZCLA PRECOCIDA DE AVENA, QUINUA, KIWICHA CON SOYA Y MACA AZUCARADA FORTIFICADO CON VITAMINAS Y MINERALES"/>
  </r>
  <r>
    <x v="0"/>
    <x v="37"/>
    <x v="21"/>
    <x v="26"/>
    <x v="71"/>
    <x v="34"/>
    <n v="3802.95"/>
    <x v="8"/>
    <x v="22"/>
    <n v="0"/>
    <x v="122"/>
    <d v="2026-04-11T00:00:00"/>
    <d v="2026-04-23T00:00:00"/>
    <s v="MEZCLA PRECOCIDA DE AVENA, QUINUA, KIWICHA CON SOYA Y MACA AZUCARADA FORTIFICADO CON VITAMINAS Y MINERALES"/>
  </r>
  <r>
    <x v="0"/>
    <x v="37"/>
    <x v="12"/>
    <x v="123"/>
    <x v="72"/>
    <x v="35"/>
    <n v="2211.7251000000001"/>
    <x v="9"/>
    <x v="50"/>
    <n v="42"/>
    <x v="123"/>
    <d v="2026-08-09T00:00:00"/>
    <d v="2026-08-10T00:00:00"/>
    <s v="MEZCLA PRECOCIDA DE AVENA, QUINUA, KIWICHA CON SOYA Y MACA AZUCARADA FORTIFICADO CON VITAMINAS Y MINERALES"/>
  </r>
  <r>
    <x v="0"/>
    <x v="37"/>
    <x v="22"/>
    <x v="124"/>
    <x v="71"/>
    <x v="34"/>
    <n v="3802.95"/>
    <x v="8"/>
    <x v="22"/>
    <n v="0"/>
    <x v="80"/>
    <d v="2026-05-26T00:00:00"/>
    <d v="2026-06-14T00:00:00"/>
    <s v="MEZCLA PRECOCIDA DE AVENA, QUINUA, KIWICHA CON SOYA Y MACA AZUCARADA FORTIFICADO CON VITAMINAS Y MINERALES"/>
  </r>
  <r>
    <x v="0"/>
    <x v="37"/>
    <x v="23"/>
    <x v="125"/>
    <x v="71"/>
    <x v="34"/>
    <n v="3802.95"/>
    <x v="8"/>
    <x v="22"/>
    <n v="0"/>
    <x v="9"/>
    <d v="2026-08-07T00:00:00"/>
    <d v="2026-08-10T00:00:00"/>
    <s v="MEZCLA PRECOCIDA DE AVENA, QUINUA, KIWICHA CON SOYA Y MACA AZUCARADA FORTIFICADO CON VITAMINAS Y MINERALES"/>
  </r>
  <r>
    <x v="0"/>
    <x v="37"/>
    <x v="24"/>
    <x v="126"/>
    <x v="71"/>
    <x v="34"/>
    <n v="3802.95"/>
    <x v="8"/>
    <x v="22"/>
    <n v="0"/>
    <x v="4"/>
    <m/>
    <m/>
    <s v="MEZCLA PRECOCIDA DE AVENA, QUINUA, KIWICHA CON SOYA Y MACA AZUCARADA FORTIFICADO CON VITAMINAS Y MINERALES"/>
  </r>
  <r>
    <x v="0"/>
    <x v="38"/>
    <x v="29"/>
    <x v="127"/>
    <x v="73"/>
    <x v="8"/>
    <n v="1004.8000000000001"/>
    <x v="1"/>
    <x v="18"/>
    <n v="6"/>
    <x v="124"/>
    <d v="2026-01-06T00:00:00"/>
    <d v="2026-01-06T00:00:00"/>
    <s v="HOJUELAS PRECOCIDAS AZUCARADAS DE AVENA, QUINUA, KIWICHA CON HARINA Y PROTEÍNAS DE SOYA FORTIFICADA CON VITAMINAS Y MINERALES"/>
  </r>
  <r>
    <x v="0"/>
    <x v="38"/>
    <x v="30"/>
    <x v="127"/>
    <x v="73"/>
    <x v="8"/>
    <n v="1004.8000000000001"/>
    <x v="1"/>
    <x v="18"/>
    <n v="6"/>
    <x v="101"/>
    <d v="2026-03-03T00:00:00"/>
    <d v="2026-03-03T00:00:00"/>
    <s v="HOJUELAS PRECOCIDAS AZUCARADAS DE AVENA, QUINUA, KIWICHA CON HARINA Y PROTEÍNAS DE SOYA FORTIFICADA CON VITAMINAS Y MINERALES"/>
  </r>
  <r>
    <x v="0"/>
    <x v="38"/>
    <x v="21"/>
    <x v="79"/>
    <x v="73"/>
    <x v="8"/>
    <n v="1004.8000000000001"/>
    <x v="1"/>
    <x v="18"/>
    <n v="6"/>
    <x v="125"/>
    <d v="2026-04-22T00:00:00"/>
    <d v="2026-04-23T00:00:00"/>
    <s v="HOJUELAS PRECOCIDAS AZUCARADAS DE AVENA, QUINUA, KIWICHA CON HARINA Y PROTEÍNAS DE SOYA FORTIFICADA CON VITAMINAS Y MINERALES"/>
  </r>
  <r>
    <x v="0"/>
    <x v="38"/>
    <x v="22"/>
    <x v="13"/>
    <x v="73"/>
    <x v="8"/>
    <n v="1004.8000000000001"/>
    <x v="1"/>
    <x v="18"/>
    <n v="6"/>
    <x v="13"/>
    <d v="2026-06-24T00:00:00"/>
    <d v="2026-06-25T00:00:00"/>
    <s v="HOJUELAS PRECOCIDAS AZUCARADAS DE AVENA, QUINUA, KIWICHA CON HARINA Y PROTEÍNAS DE SOYA FORTIFICADA CON VITAMINAS Y MINERALES"/>
  </r>
  <r>
    <x v="0"/>
    <x v="38"/>
    <x v="23"/>
    <x v="128"/>
    <x v="73"/>
    <x v="8"/>
    <n v="1004.8000000000001"/>
    <x v="1"/>
    <x v="18"/>
    <n v="6"/>
    <x v="126"/>
    <d v="2026-08-23T00:00:00"/>
    <d v="2026-08-23T00:00:00"/>
    <s v="HOJUELAS PRECOCIDAS AZUCARADAS DE AVENA, QUINUA, KIWICHA CON HARINA Y PROTEÍNAS DE SOYA FORTIFICADA CON VITAMINAS Y MINERALES"/>
  </r>
  <r>
    <x v="0"/>
    <x v="38"/>
    <x v="24"/>
    <x v="129"/>
    <x v="73"/>
    <x v="8"/>
    <n v="1004.8000000000001"/>
    <x v="1"/>
    <x v="18"/>
    <n v="6"/>
    <x v="4"/>
    <m/>
    <m/>
    <s v="HOJUELAS PRECOCIDAS AZUCARADAS DE AVENA, QUINUA, KIWICHA CON HARINA Y PROTEÍNAS DE SOYA FORTIFICADA CON VITAMINAS Y MINERALES"/>
  </r>
  <r>
    <x v="0"/>
    <x v="39"/>
    <x v="12"/>
    <x v="89"/>
    <x v="74"/>
    <x v="1"/>
    <n v="875"/>
    <x v="2"/>
    <x v="17"/>
    <n v="35"/>
    <x v="127"/>
    <d v="2026-01-30T00:00:00"/>
    <d v="2026-02-01T00:00:00"/>
    <s v="HOJUELAS DE AVENA, QUINUA, KIWICHA Y SOYA PRECOCIDAS ENRIQUECIDAS CON VITAMINAS Y MINERALES"/>
  </r>
  <r>
    <x v="0"/>
    <x v="39"/>
    <x v="12"/>
    <x v="13"/>
    <x v="74"/>
    <x v="1"/>
    <n v="875"/>
    <x v="2"/>
    <x v="17"/>
    <n v="35"/>
    <x v="26"/>
    <d v="2026-06-25T00:00:00"/>
    <d v="2026-06-25T00:00:00"/>
    <s v="HOJUELAS DE AVENA, QUINUA, KIWICHA Y SOYA PRECOCIDAS ENRIQUECIDAS CON VITAMINAS Y MINERALES"/>
  </r>
  <r>
    <x v="0"/>
    <x v="39"/>
    <x v="12"/>
    <x v="16"/>
    <x v="74"/>
    <x v="1"/>
    <n v="875"/>
    <x v="2"/>
    <x v="17"/>
    <n v="35"/>
    <x v="4"/>
    <m/>
    <m/>
    <s v="HOJUELAS DE AVENA, QUINUA, KIWICHA Y SOYA PRECOCIDAS ENRIQUECIDAS CON VITAMINAS Y MINERALES"/>
  </r>
  <r>
    <x v="0"/>
    <x v="40"/>
    <x v="0"/>
    <x v="30"/>
    <x v="75"/>
    <x v="36"/>
    <n v="1846.7855999999999"/>
    <x v="6"/>
    <x v="31"/>
    <n v="23"/>
    <x v="128"/>
    <d v="2026-01-03T00:00:00"/>
    <d v="2026-02-08T00:00:00"/>
    <s v="HOJUELAS DE AVENA, QUINUA, KIWICHA CON MACA Y SOYA ENRIQUECIDA CON VITAMINAS Y MINERALES "/>
  </r>
  <r>
    <x v="0"/>
    <x v="40"/>
    <x v="1"/>
    <x v="30"/>
    <x v="75"/>
    <x v="36"/>
    <n v="1846.7855999999999"/>
    <x v="6"/>
    <x v="31"/>
    <n v="23"/>
    <x v="128"/>
    <d v="2026-01-03T00:00:00"/>
    <d v="2026-02-08T00:00:00"/>
    <s v="HOJUELAS DE AVENA, QUINUA, KIWICHA CON MACA Y SOYA ENRIQUECIDA CON VITAMINAS Y MINERALES "/>
  </r>
  <r>
    <x v="0"/>
    <x v="40"/>
    <x v="2"/>
    <x v="30"/>
    <x v="75"/>
    <x v="36"/>
    <n v="1846.7855999999999"/>
    <x v="6"/>
    <x v="31"/>
    <n v="23"/>
    <x v="128"/>
    <d v="2026-01-03T00:00:00"/>
    <d v="2026-02-08T00:00:00"/>
    <s v="HOJUELAS DE AVENA, QUINUA, KIWICHA CON MACA Y SOYA ENRIQUECIDA CON VITAMINAS Y MINERALES "/>
  </r>
  <r>
    <x v="0"/>
    <x v="40"/>
    <x v="3"/>
    <x v="92"/>
    <x v="75"/>
    <x v="36"/>
    <n v="1846.7855999999999"/>
    <x v="6"/>
    <x v="31"/>
    <n v="23"/>
    <x v="129"/>
    <d v="2026-05-14T00:00:00"/>
    <d v="2026-05-14T00:00:00"/>
    <s v="HOJUELAS DE AVENA, QUINUA, KIWICHA CON MACA Y SOYA ENRIQUECIDA CON VITAMINAS Y MINERALES "/>
  </r>
  <r>
    <x v="0"/>
    <x v="40"/>
    <x v="4"/>
    <x v="92"/>
    <x v="75"/>
    <x v="36"/>
    <n v="1846.7855999999999"/>
    <x v="6"/>
    <x v="31"/>
    <n v="23"/>
    <x v="129"/>
    <d v="2026-05-14T00:00:00"/>
    <d v="2026-05-14T00:00:00"/>
    <s v="HOJUELAS DE AVENA, QUINUA, KIWICHA CON MACA Y SOYA ENRIQUECIDA CON VITAMINAS Y MINERALES "/>
  </r>
  <r>
    <x v="0"/>
    <x v="40"/>
    <x v="5"/>
    <x v="92"/>
    <x v="75"/>
    <x v="36"/>
    <n v="1846.7855999999999"/>
    <x v="6"/>
    <x v="31"/>
    <n v="23"/>
    <x v="129"/>
    <d v="2026-05-14T00:00:00"/>
    <d v="2026-05-14T00:00:00"/>
    <s v="HOJUELAS DE AVENA, QUINUA, KIWICHA CON MACA Y SOYA ENRIQUECIDA CON VITAMINAS Y MINERALES "/>
  </r>
  <r>
    <x v="0"/>
    <x v="40"/>
    <x v="12"/>
    <x v="114"/>
    <x v="76"/>
    <x v="37"/>
    <n v="3224.9056"/>
    <x v="8"/>
    <x v="51"/>
    <n v="26"/>
    <x v="126"/>
    <d v="2026-08-23T00:00:00"/>
    <d v="2026-08-23T00:00:00"/>
    <m/>
  </r>
  <r>
    <x v="0"/>
    <x v="40"/>
    <x v="6"/>
    <x v="114"/>
    <x v="75"/>
    <x v="36"/>
    <n v="1846.7855999999999"/>
    <x v="6"/>
    <x v="31"/>
    <n v="23"/>
    <x v="126"/>
    <d v="2026-08-23T00:00:00"/>
    <d v="2026-08-23T00:00:00"/>
    <s v="HOJUELAS DE AVENA, QUINUA, KIWICHA CON MACA Y SOYA ENRIQUECIDA CON VITAMINAS Y MINERALES "/>
  </r>
  <r>
    <x v="0"/>
    <x v="40"/>
    <x v="7"/>
    <x v="114"/>
    <x v="75"/>
    <x v="36"/>
    <n v="1846.7855999999999"/>
    <x v="6"/>
    <x v="31"/>
    <n v="23"/>
    <x v="126"/>
    <d v="2026-08-23T00:00:00"/>
    <d v="2026-08-23T00:00:00"/>
    <s v="HOJUELAS DE AVENA, QUINUA, KIWICHA CON MACA Y SOYA ENRIQUECIDA CON VITAMINAS Y MINERALES "/>
  </r>
  <r>
    <x v="0"/>
    <x v="40"/>
    <x v="8"/>
    <x v="114"/>
    <x v="75"/>
    <x v="36"/>
    <n v="1846.7855999999999"/>
    <x v="6"/>
    <x v="31"/>
    <n v="23"/>
    <x v="126"/>
    <d v="2026-08-23T00:00:00"/>
    <d v="2026-08-23T00:00:00"/>
    <s v="HOJUELAS DE AVENA, QUINUA, KIWICHA CON MACA Y SOYA ENRIQUECIDA CON VITAMINAS Y MINERALES "/>
  </r>
  <r>
    <x v="0"/>
    <x v="40"/>
    <x v="9"/>
    <x v="130"/>
    <x v="75"/>
    <x v="36"/>
    <n v="1846.7855999999999"/>
    <x v="6"/>
    <x v="31"/>
    <n v="23"/>
    <x v="4"/>
    <m/>
    <m/>
    <s v="HOJUELAS DE AVENA, QUINUA, KIWICHA CON MACA Y SOYA ENRIQUECIDA CON VITAMINAS Y MINERALES "/>
  </r>
  <r>
    <x v="0"/>
    <x v="40"/>
    <x v="10"/>
    <x v="130"/>
    <x v="75"/>
    <x v="36"/>
    <n v="1846.7855999999999"/>
    <x v="6"/>
    <x v="31"/>
    <n v="23"/>
    <x v="4"/>
    <m/>
    <m/>
    <s v="HOJUELAS DE AVENA, QUINUA, KIWICHA CON MACA Y SOYA ENRIQUECIDA CON VITAMINAS Y MINERALES "/>
  </r>
  <r>
    <x v="0"/>
    <x v="40"/>
    <x v="11"/>
    <x v="130"/>
    <x v="75"/>
    <x v="36"/>
    <n v="1846.7855999999999"/>
    <x v="6"/>
    <x v="31"/>
    <n v="23"/>
    <x v="4"/>
    <m/>
    <m/>
    <s v="HOJUELAS DE AVENA, QUINUA, KIWICHA CON MACA Y SOYA ENRIQUECIDA CON VITAMINAS Y MINERALES "/>
  </r>
  <r>
    <x v="0"/>
    <x v="41"/>
    <x v="20"/>
    <x v="22"/>
    <x v="77"/>
    <x v="38"/>
    <n v="3312"/>
    <x v="0"/>
    <x v="3"/>
    <n v="30"/>
    <x v="130"/>
    <d v="2026-02-02T00:00:00"/>
    <d v="2026-02-02T00:00:00"/>
    <s v="MEZCLA PRECOCIDA DE QUINUA, AVENA, MAÍZ CHUFLA CON MACA FORTIFICADA CON VITAMINAS Y MINERALES"/>
  </r>
  <r>
    <x v="0"/>
    <x v="41"/>
    <x v="31"/>
    <x v="7"/>
    <x v="77"/>
    <x v="38"/>
    <n v="3312"/>
    <x v="0"/>
    <x v="3"/>
    <n v="30"/>
    <x v="85"/>
    <d v="2026-04-21T00:00:00"/>
    <d v="2026-05-05T00:00:00"/>
    <s v="MEZCLA PRECOCIDA DE QUINUA, AVENA, MAÍZ CHUFLA CON MACA FORTIFICADA CON VITAMINAS Y MINERALES"/>
  </r>
  <r>
    <x v="0"/>
    <x v="41"/>
    <x v="32"/>
    <x v="9"/>
    <x v="77"/>
    <x v="38"/>
    <n v="3312"/>
    <x v="0"/>
    <x v="3"/>
    <n v="30"/>
    <x v="78"/>
    <d v="2026-08-25T00:00:00"/>
    <d v="2026-08-25T00:00:00"/>
    <s v="MEZCLA PRECOCIDA DE QUINUA, AVENA, MAÍZ CHUFLA CON MACA FORTIFICADA CON VITAMINAS Y MINERALES"/>
  </r>
  <r>
    <x v="0"/>
    <x v="42"/>
    <x v="16"/>
    <x v="5"/>
    <x v="78"/>
    <x v="39"/>
    <n v="21001.68"/>
    <x v="6"/>
    <x v="52"/>
    <n v="1"/>
    <x v="127"/>
    <d v="2026-01-30T00:00:00"/>
    <d v="2026-03-01T00:00:00"/>
    <s v="MEZCLA PRECOCIDA DE HOJUELAS DE QUINUA, AVENA Y KIWICHA CON SEMILLAS DE CHÍA, HARINAS DE MACA Y CACAO FORTIFICADA CON VITAMINAS Y MINERALES"/>
  </r>
  <r>
    <x v="0"/>
    <x v="42"/>
    <x v="17"/>
    <x v="106"/>
    <x v="78"/>
    <x v="39"/>
    <n v="21001.68"/>
    <x v="6"/>
    <x v="52"/>
    <n v="1"/>
    <x v="112"/>
    <d v="2026-03-29T00:00:00"/>
    <d v="2026-03-30T00:00:00"/>
    <s v="MEZCLA PRECOCIDA DE HOJUELAS DE QUINUA, AVENA Y KIWICHA CON SEMILLAS DE CHÍA, HARINAS DE MACA Y CACAO FORTIFICADA CON VITAMINAS Y MINERALES"/>
  </r>
  <r>
    <x v="0"/>
    <x v="42"/>
    <x v="18"/>
    <x v="131"/>
    <x v="78"/>
    <x v="39"/>
    <n v="21001.68"/>
    <x v="6"/>
    <x v="52"/>
    <n v="1"/>
    <x v="48"/>
    <d v="2026-05-28T00:00:00"/>
    <d v="2026-06-29T00:00:00"/>
    <s v="MEZCLA PRECOCIDA DE HOJUELAS DE QUINUA, AVENA Y KIWICHA CON SEMILLAS DE CHÍA, HARINAS DE MACA Y CACAO FORTIFICADA CON VITAMINAS Y MINERALES"/>
  </r>
  <r>
    <x v="0"/>
    <x v="42"/>
    <x v="12"/>
    <x v="128"/>
    <x v="79"/>
    <x v="40"/>
    <n v="33364.670399999995"/>
    <x v="2"/>
    <x v="53"/>
    <n v="18"/>
    <x v="131"/>
    <d v="2026-09-04T00:00:00"/>
    <d v="2026-09-09T00:00:00"/>
    <s v="MEZCLA PRECOCIDA DE HOJUELAS DE QUINUA, AVENA Y KIWICHA CON SEMILLAS DE CHÍA, HARINAS DE MACA Y CACAO FORTIFICADA CON VITAMINAS Y MINERALES"/>
  </r>
  <r>
    <x v="0"/>
    <x v="42"/>
    <x v="19"/>
    <x v="103"/>
    <x v="78"/>
    <x v="39"/>
    <n v="21001.68"/>
    <x v="6"/>
    <x v="52"/>
    <n v="1"/>
    <x v="4"/>
    <m/>
    <m/>
    <s v="MEZCLA PRECOCIDA DE HOJUELAS DE QUINUA, AVENA Y KIWICHA CON SEMILLAS DE CHÍA, HARINAS DE MACA Y CACAO FORTIFICADA CON VITAMINAS Y MINERALES"/>
  </r>
  <r>
    <x v="0"/>
    <x v="43"/>
    <x v="12"/>
    <x v="132"/>
    <x v="80"/>
    <x v="1"/>
    <n v="120"/>
    <x v="2"/>
    <x v="54"/>
    <n v="0"/>
    <x v="132"/>
    <d v="2026-03-01T00:00:00"/>
    <d v="2026-03-01T00:00:00"/>
    <m/>
  </r>
  <r>
    <x v="0"/>
    <x v="44"/>
    <x v="12"/>
    <x v="132"/>
    <x v="81"/>
    <x v="1"/>
    <n v="336"/>
    <x v="2"/>
    <x v="27"/>
    <n v="16"/>
    <x v="132"/>
    <d v="2026-03-01T00:00:00"/>
    <d v="2026-03-01T00:00:00"/>
    <m/>
  </r>
  <r>
    <x v="0"/>
    <x v="45"/>
    <x v="12"/>
    <x v="132"/>
    <x v="82"/>
    <x v="1"/>
    <n v="1039"/>
    <x v="2"/>
    <x v="18"/>
    <n v="39"/>
    <x v="132"/>
    <d v="2026-03-01T00:00:00"/>
    <d v="2026-03-01T00:00:00"/>
    <m/>
  </r>
  <r>
    <x v="0"/>
    <x v="46"/>
    <x v="12"/>
    <x v="132"/>
    <x v="83"/>
    <x v="1"/>
    <n v="180"/>
    <x v="2"/>
    <x v="55"/>
    <n v="20"/>
    <x v="132"/>
    <d v="2026-03-01T00:00:00"/>
    <d v="2026-03-01T00:00:00"/>
    <m/>
  </r>
  <r>
    <x v="0"/>
    <x v="47"/>
    <x v="12"/>
    <x v="132"/>
    <x v="68"/>
    <x v="1"/>
    <n v="790"/>
    <x v="2"/>
    <x v="44"/>
    <n v="30"/>
    <x v="132"/>
    <d v="2026-03-01T00:00:00"/>
    <d v="2026-03-01T00:00:00"/>
    <m/>
  </r>
  <r>
    <x v="0"/>
    <x v="48"/>
    <x v="12"/>
    <x v="132"/>
    <x v="56"/>
    <x v="1"/>
    <n v="476"/>
    <x v="2"/>
    <x v="45"/>
    <n v="36"/>
    <x v="132"/>
    <d v="2026-03-01T00:00:00"/>
    <d v="2026-03-01T00:00:00"/>
    <m/>
  </r>
  <r>
    <x v="0"/>
    <x v="49"/>
    <x v="1"/>
    <x v="118"/>
    <x v="84"/>
    <x v="41"/>
    <n v="2116.3519999999999"/>
    <x v="2"/>
    <x v="30"/>
    <n v="0"/>
    <x v="73"/>
    <d v="2026-01-21T00:00:00"/>
    <d v="2026-02-04T00:00:00"/>
    <s v="HOJUELAS DE AVENA QUINUA KIWICHA PRECOCIDA FORTIFICADA CON VITAMINAS Y MINERALES"/>
  </r>
  <r>
    <x v="0"/>
    <x v="49"/>
    <x v="2"/>
    <x v="41"/>
    <x v="85"/>
    <x v="41"/>
    <n v="2645.44"/>
    <x v="2"/>
    <x v="56"/>
    <n v="0"/>
    <x v="33"/>
    <d v="2026-02-26T00:00:00"/>
    <d v="2026-03-02T00:00:00"/>
    <s v="HOJUELAS DE AVENA QUINUA KIWICHA PRECOCIDA FORTIFICADA CON VITAMINAS Y MINERALES"/>
  </r>
  <r>
    <x v="0"/>
    <x v="49"/>
    <x v="3"/>
    <x v="42"/>
    <x v="85"/>
    <x v="41"/>
    <n v="2645.44"/>
    <x v="2"/>
    <x v="56"/>
    <n v="0"/>
    <x v="6"/>
    <d v="2026-03-28T00:00:00"/>
    <d v="2026-03-30T00:00:00"/>
    <s v="HOJUELAS DE AVENA QUINUA KIWICHA PRECOCIDA FORTIFICADA CON VITAMINAS Y MINERALES"/>
  </r>
  <r>
    <x v="0"/>
    <x v="49"/>
    <x v="4"/>
    <x v="1"/>
    <x v="85"/>
    <x v="41"/>
    <n v="2645.44"/>
    <x v="2"/>
    <x v="56"/>
    <n v="0"/>
    <x v="133"/>
    <d v="2026-04-28T00:00:00"/>
    <d v="2026-04-29T00:00:00"/>
    <s v="HOJUELAS DE AVENA QUINUA KIWICHA PRECOCIDA FORTIFICADA CON VITAMINAS Y MINERALES"/>
  </r>
  <r>
    <x v="0"/>
    <x v="49"/>
    <x v="5"/>
    <x v="133"/>
    <x v="85"/>
    <x v="41"/>
    <n v="2645.44"/>
    <x v="2"/>
    <x v="56"/>
    <n v="0"/>
    <x v="102"/>
    <d v="2026-05-21T00:00:00"/>
    <d v="2026-05-25T00:00:00"/>
    <s v="HOJUELAS DE AVENA QUINUA KIWICHA PRECOCIDA FORTIFICADA CON VITAMINAS Y MINERALES"/>
  </r>
  <r>
    <x v="0"/>
    <x v="49"/>
    <x v="6"/>
    <x v="2"/>
    <x v="85"/>
    <x v="41"/>
    <n v="2645.44"/>
    <x v="2"/>
    <x v="56"/>
    <n v="0"/>
    <x v="134"/>
    <d v="2026-06-26T00:00:00"/>
    <d v="2026-06-26T00:00:00"/>
    <s v="HOJUELAS DE AVENA QUINUA KIWICHA PRECOCIDA FORTIFICADA CON VITAMINAS Y MINERALES"/>
  </r>
  <r>
    <x v="0"/>
    <x v="49"/>
    <x v="7"/>
    <x v="53"/>
    <x v="85"/>
    <x v="41"/>
    <n v="2645.44"/>
    <x v="2"/>
    <x v="56"/>
    <n v="0"/>
    <x v="77"/>
    <d v="2026-07-24T00:00:00"/>
    <d v="2026-07-27T00:00:00"/>
    <s v="HOJUELAS DE AVENA QUINUA KIWICHA PRECOCIDA FORTIFICADA CON VITAMINAS Y MINERALES"/>
  </r>
  <r>
    <x v="0"/>
    <x v="49"/>
    <x v="8"/>
    <x v="3"/>
    <x v="85"/>
    <x v="41"/>
    <n v="2645.44"/>
    <x v="2"/>
    <x v="56"/>
    <n v="0"/>
    <x v="3"/>
    <d v="2026-08-29T00:00:00"/>
    <d v="2026-09-01T00:00:00"/>
    <s v="HOJUELAS DE AVENA QUINUA KIWICHA PRECOCIDA FORTIFICADA CON VITAMINAS Y MINERALES"/>
  </r>
  <r>
    <x v="0"/>
    <x v="49"/>
    <x v="9"/>
    <x v="134"/>
    <x v="85"/>
    <x v="41"/>
    <n v="2645.44"/>
    <x v="2"/>
    <x v="56"/>
    <n v="0"/>
    <x v="4"/>
    <m/>
    <m/>
    <s v="HOJUELAS DE AVENA QUINUA KIWICHA PRECOCIDA FORTIFICADA CON VITAMINAS Y MINERALES"/>
  </r>
  <r>
    <x v="0"/>
    <x v="49"/>
    <x v="10"/>
    <x v="120"/>
    <x v="85"/>
    <x v="41"/>
    <n v="2645.44"/>
    <x v="2"/>
    <x v="56"/>
    <n v="0"/>
    <x v="4"/>
    <m/>
    <m/>
    <s v="HOJUELAS DE AVENA QUINUA KIWICHA PRECOCIDA FORTIFICADA CON VITAMINAS Y MINERALES"/>
  </r>
  <r>
    <x v="0"/>
    <x v="49"/>
    <x v="11"/>
    <x v="121"/>
    <x v="85"/>
    <x v="41"/>
    <n v="2645.44"/>
    <x v="2"/>
    <x v="56"/>
    <n v="0"/>
    <x v="4"/>
    <m/>
    <m/>
    <s v="HOJUELAS DE AVENA QUINUA KIWICHA PRECOCIDA FORTIFICADA CON VITAMINAS Y MINERALES"/>
  </r>
  <r>
    <x v="4"/>
    <x v="50"/>
    <x v="12"/>
    <x v="23"/>
    <x v="37"/>
    <x v="1"/>
    <n v="1056"/>
    <x v="2"/>
    <x v="34"/>
    <n v="16"/>
    <x v="118"/>
    <d v="2026-03-09T00:00:00"/>
    <d v="2026-03-10T00:00:00"/>
    <s v="HOJUELAS PRECOCIDAS DE AVENA, QUINUA KIWICHA, CON HARINA DE MACA, HARINA INTEGRAL DE SOYA, FORTIFICADO CON VITAMINAS Y MINERALES"/>
  </r>
  <r>
    <x v="4"/>
    <x v="50"/>
    <x v="12"/>
    <x v="8"/>
    <x v="86"/>
    <x v="1"/>
    <n v="1065"/>
    <x v="2"/>
    <x v="34"/>
    <n v="25"/>
    <x v="120"/>
    <d v="2026-07-03T00:00:00"/>
    <d v="2026-07-03T00:00:00"/>
    <s v="HOJUELAS PRECOCIDAS DE AVENA, QUINUA KIWICHA, CON HARINA DE MACA, HARINA INTEGRAL DE SOYA, FORTIFICADO CON VITAMINAS Y MINERALES"/>
  </r>
  <r>
    <x v="4"/>
    <x v="50"/>
    <x v="12"/>
    <x v="107"/>
    <x v="86"/>
    <x v="1"/>
    <n v="1065"/>
    <x v="2"/>
    <x v="34"/>
    <n v="25"/>
    <x v="4"/>
    <m/>
    <m/>
    <s v="HOJUELAS PRECOCIDAS DE AVENA, QUINUA KIWICHA, CON HARINA DE MACA, HARINA INTEGRAL DE SOYA, FORTIFICADO CON VITAMINAS Y MINERALES"/>
  </r>
  <r>
    <x v="0"/>
    <x v="51"/>
    <x v="29"/>
    <x v="30"/>
    <x v="87"/>
    <x v="42"/>
    <n v="3237.2999999999997"/>
    <x v="6"/>
    <x v="3"/>
    <n v="12"/>
    <x v="135"/>
    <d v="2025-12-11T00:00:00"/>
    <d v="2025-12-18T00:00:00"/>
    <s v="MEZCLAS DE HOJUELAS DE AVENA, QUINUA Y KIWICHA CON HARINA DE MACA, HARINA DE TARWI, LECHE ENTERA EN POLVO AZUCARADO CON VITAMINAS Y MINERALES"/>
  </r>
  <r>
    <x v="0"/>
    <x v="51"/>
    <x v="30"/>
    <x v="41"/>
    <x v="87"/>
    <x v="42"/>
    <n v="3237.2999999999997"/>
    <x v="6"/>
    <x v="3"/>
    <n v="12"/>
    <x v="57"/>
    <d v="2026-02-18T00:00:00"/>
    <d v="2026-02-22T00:00:00"/>
    <s v="MEZCLAS DE HOJUELAS DE AVENA, QUINUA Y KIWICHA CON HARINA DE MACA, HARINA DE TARWI, LECHE ENTERA EN POLVO AZUCARADO CON VITAMINAS Y MINERALES"/>
  </r>
  <r>
    <x v="0"/>
    <x v="51"/>
    <x v="21"/>
    <x v="50"/>
    <x v="87"/>
    <x v="42"/>
    <n v="3237.2999999999997"/>
    <x v="6"/>
    <x v="3"/>
    <n v="12"/>
    <x v="136"/>
    <d v="2026-04-15T00:00:00"/>
    <d v="2026-04-19T00:00:00"/>
    <s v="MEZCLAS DE HOJUELAS DE AVENA, QUINUA Y KIWICHA CON HARINA DE MACA, HARINA DE TARWI, LECHE ENTERA EN POLVO AZUCARADO CON VITAMINAS Y MINERALES"/>
  </r>
  <r>
    <x v="0"/>
    <x v="51"/>
    <x v="22"/>
    <x v="135"/>
    <x v="87"/>
    <x v="42"/>
    <n v="3237.2999999999997"/>
    <x v="6"/>
    <x v="3"/>
    <n v="12"/>
    <x v="107"/>
    <d v="2026-06-15T00:00:00"/>
    <d v="2026-06-18T00:00:00"/>
    <s v="MEZCLAS DE HOJUELAS DE AVENA, QUINUA Y KIWICHA CON HARINA DE MACA, HARINA DE TARWI, LECHE ENTERA EN POLVO AZUCARADO CON VITAMINAS Y MINERALES"/>
  </r>
  <r>
    <x v="0"/>
    <x v="51"/>
    <x v="12"/>
    <x v="136"/>
    <x v="88"/>
    <x v="43"/>
    <n v="1577.4399558"/>
    <x v="6"/>
    <x v="57"/>
    <n v="6"/>
    <x v="137"/>
    <d v="2026-08-14T00:00:00"/>
    <d v="2026-08-16T00:00:00"/>
    <s v="MEZCLAS DE HOJUELAS DE AVENA, QUINUA Y KIWICHA CON HARINA DE MACA, HARINA DE TARWI, LECHE ENTERA EN POLVO AZUCARADO CON VITAMINAS Y MINERALES"/>
  </r>
  <r>
    <x v="0"/>
    <x v="51"/>
    <x v="23"/>
    <x v="96"/>
    <x v="87"/>
    <x v="42"/>
    <n v="3237.2999999999997"/>
    <x v="6"/>
    <x v="3"/>
    <n v="12"/>
    <x v="137"/>
    <d v="2026-08-14T00:00:00"/>
    <d v="2026-08-16T00:00:00"/>
    <s v="MEZCLAS DE HOJUELAS DE AVENA, QUINUA Y KIWICHA CON HARINA DE MACA, HARINA DE TARWI, LECHE ENTERA EN POLVO AZUCARADO CON VITAMINAS Y MINERALES"/>
  </r>
  <r>
    <x v="0"/>
    <x v="51"/>
    <x v="24"/>
    <x v="98"/>
    <x v="87"/>
    <x v="42"/>
    <n v="3237.2999999999997"/>
    <x v="6"/>
    <x v="3"/>
    <n v="12"/>
    <x v="4"/>
    <m/>
    <m/>
    <s v="MEZCLAS DE HOJUELAS DE AVENA, QUINUA Y KIWICHA CON HARINA DE MACA, HARINA DE TARWI, LECHE ENTERA EN POLVO AZUCARADO CON VITAMINAS Y MINERALES"/>
  </r>
  <r>
    <x v="0"/>
    <x v="52"/>
    <x v="0"/>
    <x v="68"/>
    <x v="89"/>
    <x v="44"/>
    <n v="868.25279999999998"/>
    <x v="3"/>
    <x v="1"/>
    <n v="0"/>
    <x v="90"/>
    <d v="2025-12-13T00:00:00"/>
    <d v="2025-12-29T00:00:00"/>
    <s v="HOJUELAS PRECOCIDA DE QUINUA, KIWICHA, MACA, AVENA CON LECHE ENTERA EN POLVO ENRIQUECIDA CON VITAMINAS Y MINERALES"/>
  </r>
  <r>
    <x v="0"/>
    <x v="52"/>
    <x v="1"/>
    <x v="5"/>
    <x v="89"/>
    <x v="44"/>
    <n v="868.25279999999998"/>
    <x v="3"/>
    <x v="1"/>
    <n v="0"/>
    <x v="138"/>
    <d v="2026-01-24T00:00:00"/>
    <d v="2026-01-26T00:00:00"/>
    <s v="HOJUELAS PRECOCIDA DE QUINUA, KIWICHA, MACA, AVENA CON LECHE ENTERA EN POLVO ENRIQUECIDA CON VITAMINAS Y MINERALES"/>
  </r>
  <r>
    <x v="0"/>
    <x v="52"/>
    <x v="2"/>
    <x v="0"/>
    <x v="89"/>
    <x v="44"/>
    <n v="868.25279999999998"/>
    <x v="3"/>
    <x v="1"/>
    <n v="0"/>
    <x v="84"/>
    <d v="2026-02-20T00:00:00"/>
    <d v="2026-02-23T00:00:00"/>
    <s v="HOJUELAS PRECOCIDA DE QUINUA, KIWICHA, MACA, AVENA CON LECHE ENTERA EN POLVO ENRIQUECIDA CON VITAMINAS Y MINERALES"/>
  </r>
  <r>
    <x v="0"/>
    <x v="52"/>
    <x v="3"/>
    <x v="6"/>
    <x v="89"/>
    <x v="44"/>
    <n v="868.25279999999998"/>
    <x v="3"/>
    <x v="1"/>
    <n v="0"/>
    <x v="44"/>
    <d v="2026-03-23T00:00:00"/>
    <d v="2026-03-23T00:00:00"/>
    <s v="HOJUELAS PRECOCIDA DE QUINUA, KIWICHA, MACA, AVENA CON LECHE ENTERA EN POLVO ENRIQUECIDA CON VITAMINAS Y MINERALES"/>
  </r>
  <r>
    <x v="0"/>
    <x v="52"/>
    <x v="4"/>
    <x v="11"/>
    <x v="89"/>
    <x v="44"/>
    <n v="868.25279999999998"/>
    <x v="3"/>
    <x v="1"/>
    <n v="0"/>
    <x v="125"/>
    <d v="2026-04-22T00:00:00"/>
    <d v="2026-04-24T00:00:00"/>
    <s v="HOJUELAS PRECOCIDA DE QUINUA, KIWICHA, MACA, AVENA CON LECHE ENTERA EN POLVO ENRIQUECIDA CON VITAMINAS Y MINERALES"/>
  </r>
  <r>
    <x v="0"/>
    <x v="52"/>
    <x v="5"/>
    <x v="137"/>
    <x v="89"/>
    <x v="44"/>
    <n v="868.25279999999998"/>
    <x v="3"/>
    <x v="1"/>
    <n v="0"/>
    <x v="102"/>
    <d v="2026-05-21T00:00:00"/>
    <d v="2026-05-25T00:00:00"/>
    <s v="HOJUELAS PRECOCIDA DE QUINUA, KIWICHA, MACA, AVENA CON LECHE ENTERA EN POLVO ENRIQUECIDA CON VITAMINAS Y MINERALES"/>
  </r>
  <r>
    <x v="0"/>
    <x v="52"/>
    <x v="6"/>
    <x v="13"/>
    <x v="89"/>
    <x v="44"/>
    <n v="868.25279999999998"/>
    <x v="3"/>
    <x v="1"/>
    <n v="0"/>
    <x v="45"/>
    <d v="2026-06-23T00:00:00"/>
    <d v="2026-06-23T00:00:00"/>
    <s v="HOJUELAS PRECOCIDA DE QUINUA, KIWICHA, MACA, AVENA CON LECHE ENTERA EN POLVO ENRIQUECIDA CON VITAMINAS Y MINERALES"/>
  </r>
  <r>
    <x v="0"/>
    <x v="52"/>
    <x v="12"/>
    <x v="36"/>
    <x v="90"/>
    <x v="44"/>
    <n v="1678.6220799999999"/>
    <x v="3"/>
    <x v="9"/>
    <n v="40"/>
    <x v="139"/>
    <d v="2026-07-05T00:00:00"/>
    <d v="2026-07-05T00:00:00"/>
    <s v="HOJUELAS PRECOCIDA DE QUINUA, KIWICHA, MACA, AVENA CON LECHE ENTERA EN POLVO ENRIQUECIDA CON VITAMINAS Y MINERALES"/>
  </r>
  <r>
    <x v="0"/>
    <x v="52"/>
    <x v="7"/>
    <x v="138"/>
    <x v="89"/>
    <x v="44"/>
    <n v="868.25279999999998"/>
    <x v="3"/>
    <x v="1"/>
    <n v="0"/>
    <x v="87"/>
    <d v="2026-07-21T00:00:00"/>
    <d v="2026-07-22T00:00:00"/>
    <s v="HOJUELAS PRECOCIDA DE QUINUA, KIWICHA, MACA, AVENA CON LECHE ENTERA EN POLVO ENRIQUECIDA CON VITAMINAS Y MINERALES"/>
  </r>
  <r>
    <x v="0"/>
    <x v="52"/>
    <x v="8"/>
    <x v="128"/>
    <x v="89"/>
    <x v="44"/>
    <n v="868.25279999999998"/>
    <x v="3"/>
    <x v="1"/>
    <n v="0"/>
    <x v="140"/>
    <d v="2026-08-24T00:00:00"/>
    <d v="2026-08-24T00:00:00"/>
    <s v="HOJUELAS PRECOCIDA DE QUINUA, KIWICHA, MACA, AVENA CON LECHE ENTERA EN POLVO ENRIQUECIDA CON VITAMINAS Y MINERALES"/>
  </r>
  <r>
    <x v="0"/>
    <x v="52"/>
    <x v="9"/>
    <x v="16"/>
    <x v="89"/>
    <x v="44"/>
    <n v="868.25279999999998"/>
    <x v="3"/>
    <x v="1"/>
    <n v="0"/>
    <x v="4"/>
    <m/>
    <m/>
    <s v="HOJUELAS PRECOCIDA DE QUINUA, KIWICHA, MACA, AVENA CON LECHE ENTERA EN POLVO ENRIQUECIDA CON VITAMINAS Y MINERALES"/>
  </r>
  <r>
    <x v="0"/>
    <x v="52"/>
    <x v="10"/>
    <x v="115"/>
    <x v="89"/>
    <x v="44"/>
    <n v="868.25279999999998"/>
    <x v="3"/>
    <x v="1"/>
    <n v="0"/>
    <x v="4"/>
    <m/>
    <m/>
    <s v="HOJUELAS PRECOCIDA DE QUINUA, KIWICHA, MACA, AVENA CON LECHE ENTERA EN POLVO ENRIQUECIDA CON VITAMINAS Y MINERALES"/>
  </r>
  <r>
    <x v="0"/>
    <x v="52"/>
    <x v="11"/>
    <x v="18"/>
    <x v="89"/>
    <x v="44"/>
    <n v="868.25279999999998"/>
    <x v="3"/>
    <x v="1"/>
    <n v="0"/>
    <x v="4"/>
    <m/>
    <m/>
    <s v="HOJUELAS PRECOCIDA DE QUINUA, KIWICHA, MACA, AVENA CON LECHE ENTERA EN POLVO ENRIQUECIDA CON VITAMINAS Y MINERALES"/>
  </r>
  <r>
    <x v="0"/>
    <x v="53"/>
    <x v="0"/>
    <x v="139"/>
    <x v="91"/>
    <x v="1"/>
    <n v="1433"/>
    <x v="2"/>
    <x v="35"/>
    <n v="33"/>
    <x v="114"/>
    <d v="2026-01-05T00:00:00"/>
    <d v="2026-01-06T00:00:00"/>
    <s v="MEZCLA PRECOCIDA DE AVENA, SOYA, ACEITE DE ALMENDRA, KIWICHA, MACA, QUINUA FORTIFICADA CON VITAMINAS Y MINERALES"/>
  </r>
  <r>
    <x v="0"/>
    <x v="53"/>
    <x v="1"/>
    <x v="139"/>
    <x v="91"/>
    <x v="1"/>
    <n v="1433"/>
    <x v="2"/>
    <x v="35"/>
    <n v="33"/>
    <x v="114"/>
    <d v="2026-01-05T00:00:00"/>
    <d v="2026-01-06T00:00:00"/>
    <s v="MEZCLA PRECOCIDA DE AVENA, SOYA, ACEITE DE ALMENDRA, KIWICHA, MACA, QUINUA FORTIFICADA CON VITAMINAS Y MINERALES"/>
  </r>
  <r>
    <x v="0"/>
    <x v="53"/>
    <x v="2"/>
    <x v="140"/>
    <x v="91"/>
    <x v="1"/>
    <n v="1433"/>
    <x v="2"/>
    <x v="35"/>
    <n v="33"/>
    <x v="38"/>
    <d v="2026-03-10T00:00:00"/>
    <d v="2026-03-10T00:00:00"/>
    <s v="MEZCLA PRECOCIDA DE AVENA, SOYA, ACEITE DE ALMENDRA, KIWICHA, MACA, QUINUA FORTIFICADA CON VITAMINAS Y MINERALES"/>
  </r>
  <r>
    <x v="0"/>
    <x v="53"/>
    <x v="3"/>
    <x v="57"/>
    <x v="91"/>
    <x v="1"/>
    <n v="1433"/>
    <x v="2"/>
    <x v="35"/>
    <n v="33"/>
    <x v="38"/>
    <d v="2026-03-10T00:00:00"/>
    <d v="2026-03-10T00:00:00"/>
    <s v="MEZCLA PRECOCIDA DE AVENA, SOYA, ACEITE DE ALMENDRA, KIWICHA, MACA, QUINUA FORTIFICADA CON VITAMINAS Y MINERALES"/>
  </r>
  <r>
    <x v="0"/>
    <x v="53"/>
    <x v="4"/>
    <x v="141"/>
    <x v="91"/>
    <x v="1"/>
    <n v="1433"/>
    <x v="2"/>
    <x v="35"/>
    <n v="33"/>
    <x v="106"/>
    <d v="2026-05-04T00:00:00"/>
    <d v="2026-05-04T00:00:00"/>
    <s v="MEZCLA PRECOCIDA DE AVENA, SOYA, ACEITE DE ALMENDRA, KIWICHA, MACA, QUINUA FORTIFICADA CON VITAMINAS Y MINERALES"/>
  </r>
  <r>
    <x v="0"/>
    <x v="53"/>
    <x v="5"/>
    <x v="141"/>
    <x v="91"/>
    <x v="1"/>
    <n v="1433"/>
    <x v="2"/>
    <x v="35"/>
    <n v="33"/>
    <x v="106"/>
    <d v="2026-05-04T00:00:00"/>
    <d v="2026-05-04T00:00:00"/>
    <s v="MEZCLA PRECOCIDA DE AVENA, SOYA, ACEITE DE ALMENDRA, KIWICHA, MACA, QUINUA FORTIFICADA CON VITAMINAS Y MINERALES"/>
  </r>
  <r>
    <x v="0"/>
    <x v="53"/>
    <x v="22"/>
    <x v="142"/>
    <x v="92"/>
    <x v="1"/>
    <n v="1166"/>
    <x v="2"/>
    <x v="37"/>
    <n v="6"/>
    <x v="141"/>
    <d v="2026-07-13T00:00:00"/>
    <d v="2026-07-14T00:00:00"/>
    <s v="MEZCLA PRECOCIDA DE AVENA, SOYA, ACEITE DE ALMENDRA, KIWICHA, MACA, QUINUA FORTIFICADA CON VITAMINAS Y MINERALES"/>
  </r>
  <r>
    <x v="0"/>
    <x v="53"/>
    <x v="8"/>
    <x v="24"/>
    <x v="91"/>
    <x v="1"/>
    <n v="1433"/>
    <x v="2"/>
    <x v="35"/>
    <n v="33"/>
    <x v="142"/>
    <d v="2026-09-07T00:00:00"/>
    <d v="2026-09-08T00:00:00"/>
    <s v="MEZCLA PRECOCIDA DE AVENA, SOYA, ACEITE DE ALMENDRA, KIWICHA, MACA, QUINUA FORTIFICADA CON VITAMINAS Y MINERALES"/>
  </r>
  <r>
    <x v="0"/>
    <x v="53"/>
    <x v="9"/>
    <x v="24"/>
    <x v="91"/>
    <x v="1"/>
    <n v="1433"/>
    <x v="2"/>
    <x v="35"/>
    <n v="33"/>
    <x v="142"/>
    <d v="2026-09-07T00:00:00"/>
    <d v="2026-09-08T00:00:00"/>
    <s v="MEZCLA PRECOCIDA DE AVENA, SOYA, ACEITE DE ALMENDRA, KIWICHA, MACA, QUINUA FORTIFICADA CON VITAMINAS Y MINERALES"/>
  </r>
  <r>
    <x v="0"/>
    <x v="53"/>
    <x v="10"/>
    <x v="143"/>
    <x v="91"/>
    <x v="1"/>
    <n v="1433"/>
    <x v="2"/>
    <x v="35"/>
    <n v="33"/>
    <x v="4"/>
    <m/>
    <m/>
    <s v="MEZCLA PRECOCIDA DE AVENA, SOYA, ACEITE DE ALMENDRA, KIWICHA, MACA, QUINUA FORTIFICADA CON VITAMINAS Y MINERALES"/>
  </r>
  <r>
    <x v="0"/>
    <x v="53"/>
    <x v="11"/>
    <x v="144"/>
    <x v="91"/>
    <x v="1"/>
    <n v="1433"/>
    <x v="2"/>
    <x v="35"/>
    <n v="33"/>
    <x v="4"/>
    <m/>
    <m/>
    <s v="MEZCLA PRECOCIDA DE AVENA, SOYA, ACEITE DE ALMENDRA, KIWICHA, MACA, QUINUA FORTIFICADA CON VITAMINAS Y MINERALES"/>
  </r>
  <r>
    <x v="0"/>
    <x v="54"/>
    <x v="16"/>
    <x v="22"/>
    <x v="93"/>
    <x v="45"/>
    <n v="11807.73294"/>
    <x v="6"/>
    <x v="58"/>
    <n v="24"/>
    <x v="143"/>
    <d v="2026-01-25T00:00:00"/>
    <d v="2026-02-05T00:00:00"/>
    <s v="HOJUELAS PRECOCIDAS LACTEADAS DE KIWICHA, QUINUA Y AVENA, CON MACA, SOYA, TARHUI Y GARBANZO FORTIFICADAS CON VITAMINAS Y MINERALES "/>
  </r>
  <r>
    <x v="0"/>
    <x v="54"/>
    <x v="17"/>
    <x v="23"/>
    <x v="93"/>
    <x v="45"/>
    <n v="11807.73294"/>
    <x v="6"/>
    <x v="58"/>
    <n v="24"/>
    <x v="144"/>
    <d v="2026-03-21T00:00:00"/>
    <d v="2026-03-23T00:00:00"/>
    <s v="HOJUELAS PRECOCIDAS LACTEADAS DE KIWICHA, QUINUA Y AVENA, CON MACA, SOYA, TARHUI Y GARBANZO FORTIFICADAS CON VITAMINAS Y MINERALES "/>
  </r>
  <r>
    <x v="0"/>
    <x v="54"/>
    <x v="18"/>
    <x v="8"/>
    <x v="93"/>
    <x v="45"/>
    <n v="11807.73294"/>
    <x v="6"/>
    <x v="58"/>
    <n v="24"/>
    <x v="145"/>
    <d v="2026-06-12T00:00:00"/>
    <d v="2026-06-17T00:00:00"/>
    <s v="HOJUELAS PRECOCIDAS LACTEADAS DE KIWICHA, QUINUA Y AVENA, CON MACA, SOYA, TARHUI Y GARBANZO FORTIFICADAS CON VITAMINAS Y MINERALES "/>
  </r>
  <r>
    <x v="0"/>
    <x v="54"/>
    <x v="19"/>
    <x v="24"/>
    <x v="93"/>
    <x v="45"/>
    <n v="11807.73294"/>
    <x v="6"/>
    <x v="58"/>
    <n v="24"/>
    <x v="4"/>
    <m/>
    <m/>
    <s v="HOJUELAS PRECOCIDAS LACTEADAS DE KIWICHA, QUINUA Y AVENA, CON MACA, SOYA, TARHUI Y GARBANZO FORTIFICADAS CON VITAMINAS Y MINERALES "/>
  </r>
  <r>
    <x v="0"/>
    <x v="55"/>
    <x v="0"/>
    <x v="30"/>
    <x v="94"/>
    <x v="46"/>
    <n v="4606.8"/>
    <x v="0"/>
    <x v="59"/>
    <n v="25"/>
    <x v="42"/>
    <d v="2025-12-04T00:00:00"/>
    <d v="2025-12-10T00:00:00"/>
    <s v="HOJUELAS DE AVENA, QUINUA, MACA, HARINA DE SOYA INTEGRAL TOSTADA, ALMIDÓN DE MAÍZ AZUCARADA FORTIFICADA CON VITAMINAS Y MINERALES (HOJUELAS CRUDAS)"/>
  </r>
  <r>
    <x v="0"/>
    <x v="55"/>
    <x v="1"/>
    <x v="31"/>
    <x v="94"/>
    <x v="46"/>
    <n v="4606.8"/>
    <x v="0"/>
    <x v="59"/>
    <n v="25"/>
    <x v="66"/>
    <d v="2026-01-15T00:00:00"/>
    <d v="2026-01-22T00:00:00"/>
    <s v="HOJUELAS DE AVENA, QUINUA, MACA, HARINA DE SOYA INTEGRAL TOSTADA, ALMIDÓN DE MAÍZ AZUCARADA FORTIFICADA CON VITAMINAS Y MINERALES (HOJUELAS CRUDAS)"/>
  </r>
  <r>
    <x v="0"/>
    <x v="55"/>
    <x v="2"/>
    <x v="32"/>
    <x v="94"/>
    <x v="46"/>
    <n v="4606.8"/>
    <x v="0"/>
    <x v="59"/>
    <n v="25"/>
    <x v="146"/>
    <d v="2026-02-12T00:00:00"/>
    <d v="2026-02-15T00:00:00"/>
    <s v="HOJUELAS DE AVENA, QUINUA, MACA, HARINA DE SOYA INTEGRAL TOSTADA, ALMIDÓN DE MAÍZ AZUCARADA FORTIFICADA CON VITAMINAS Y MINERALES (HOJUELAS CRUDAS)"/>
  </r>
  <r>
    <x v="0"/>
    <x v="55"/>
    <x v="3"/>
    <x v="91"/>
    <x v="94"/>
    <x v="46"/>
    <n v="4606.8"/>
    <x v="0"/>
    <x v="59"/>
    <n v="25"/>
    <x v="18"/>
    <d v="2026-03-20T00:00:00"/>
    <d v="2026-03-23T00:00:00"/>
    <s v="HOJUELAS DE AVENA, QUINUA, MACA, HARINA DE SOYA INTEGRAL TOSTADA, ALMIDÓN DE MAÍZ AZUCARADA FORTIFICADA CON VITAMINAS Y MINERALES (HOJUELAS CRUDAS)"/>
  </r>
  <r>
    <x v="0"/>
    <x v="55"/>
    <x v="4"/>
    <x v="50"/>
    <x v="94"/>
    <x v="46"/>
    <n v="4606.8"/>
    <x v="0"/>
    <x v="59"/>
    <n v="25"/>
    <x v="125"/>
    <d v="2026-04-22T00:00:00"/>
    <d v="2026-04-23T00:00:00"/>
    <s v="HOJUELAS DE AVENA, QUINUA, MACA, HARINA DE SOYA INTEGRAL TOSTADA, ALMIDÓN DE MAÍZ AZUCARADA FORTIFICADA CON VITAMINAS Y MINERALES (HOJUELAS CRUDAS)"/>
  </r>
  <r>
    <x v="0"/>
    <x v="55"/>
    <x v="5"/>
    <x v="51"/>
    <x v="94"/>
    <x v="46"/>
    <n v="4606.8"/>
    <x v="0"/>
    <x v="59"/>
    <n v="25"/>
    <x v="147"/>
    <d v="2026-05-16T00:00:00"/>
    <d v="2026-05-17T00:00:00"/>
    <s v="HOJUELAS DE AVENA, QUINUA, MACA, HARINA DE SOYA INTEGRAL TOSTADA, ALMIDÓN DE MAÍZ AZUCARADA FORTIFICADA CON VITAMINAS Y MINERALES (HOJUELAS CRUDAS)"/>
  </r>
  <r>
    <x v="0"/>
    <x v="55"/>
    <x v="6"/>
    <x v="124"/>
    <x v="94"/>
    <x v="46"/>
    <n v="4606.8"/>
    <x v="0"/>
    <x v="59"/>
    <n v="25"/>
    <x v="107"/>
    <d v="2026-06-15T00:00:00"/>
    <d v="2026-06-22T00:00:00"/>
    <s v="HOJUELAS DE AVENA, QUINUA, MACA, HARINA DE SOYA INTEGRAL TOSTADA, ALMIDÓN DE MAÍZ AZUCARADA FORTIFICADA CON VITAMINAS Y MINERALES (HOJUELAS CRUDAS)"/>
  </r>
  <r>
    <x v="0"/>
    <x v="55"/>
    <x v="7"/>
    <x v="53"/>
    <x v="94"/>
    <x v="46"/>
    <n v="4606.8"/>
    <x v="0"/>
    <x v="59"/>
    <n v="25"/>
    <x v="148"/>
    <d v="2026-07-23T00:00:00"/>
    <d v="2026-07-23T00:00:00"/>
    <s v="HOJUELAS DE AVENA, QUINUA, MACA, HARINA DE SOYA INTEGRAL TOSTADA, ALMIDÓN DE MAÍZ AZUCARADA FORTIFICADA CON VITAMINAS Y MINERALES (HOJUELAS CRUDAS)"/>
  </r>
  <r>
    <x v="0"/>
    <x v="55"/>
    <x v="8"/>
    <x v="114"/>
    <x v="94"/>
    <x v="46"/>
    <n v="4606.8"/>
    <x v="0"/>
    <x v="59"/>
    <n v="25"/>
    <x v="15"/>
    <d v="2026-08-10T00:00:00"/>
    <d v="2026-08-20T00:00:00"/>
    <s v="HOJUELAS DE AVENA, QUINUA, MACA, HARINA DE SOYA INTEGRAL TOSTADA, ALMIDÓN DE MAÍZ AZUCARADA FORTIFICADA CON VITAMINAS Y MINERALES (HOJUELAS CRUDAS)"/>
  </r>
  <r>
    <x v="0"/>
    <x v="55"/>
    <x v="12"/>
    <x v="54"/>
    <x v="95"/>
    <x v="47"/>
    <n v="3688.8"/>
    <x v="2"/>
    <x v="60"/>
    <n v="0"/>
    <x v="105"/>
    <d v="2026-08-20T00:00:00"/>
    <d v="2026-08-20T00:00:00"/>
    <s v="HOJUELAS DE AVENA, QUINUA, MACA, HARINA DE SOYA INTEGRAL TOSTADA, ALMIDÓN DE MAÍZ AZUCARADA FORTIFICADA CON VITAMINAS Y MINERALES (HOJUELAS CRUDAS)"/>
  </r>
  <r>
    <x v="0"/>
    <x v="55"/>
    <x v="9"/>
    <x v="29"/>
    <x v="94"/>
    <x v="46"/>
    <n v="4606.8"/>
    <x v="0"/>
    <x v="59"/>
    <n v="25"/>
    <x v="4"/>
    <m/>
    <m/>
    <s v="HOJUELAS DE AVENA, QUINUA, MACA, HARINA DE SOYA INTEGRAL TOSTADA, ALMIDÓN DE MAÍZ AZUCARADA FORTIFICADA CON VITAMINAS Y MINERALES (HOJUELAS CRUDAS)"/>
  </r>
  <r>
    <x v="0"/>
    <x v="55"/>
    <x v="10"/>
    <x v="112"/>
    <x v="94"/>
    <x v="46"/>
    <n v="4606.8"/>
    <x v="0"/>
    <x v="59"/>
    <n v="25"/>
    <x v="4"/>
    <m/>
    <m/>
    <s v="HOJUELAS DE AVENA, QUINUA, MACA, HARINA DE SOYA INTEGRAL TOSTADA, ALMIDÓN DE MAÍZ AZUCARADA FORTIFICADA CON VITAMINAS Y MINERALES (HOJUELAS CRUDAS)"/>
  </r>
  <r>
    <x v="0"/>
    <x v="55"/>
    <x v="11"/>
    <x v="130"/>
    <x v="94"/>
    <x v="46"/>
    <n v="4606.8"/>
    <x v="0"/>
    <x v="59"/>
    <n v="25"/>
    <x v="4"/>
    <m/>
    <m/>
    <s v="HOJUELAS DE AVENA, QUINUA, MACA, HARINA DE SOYA INTEGRAL TOSTADA, ALMIDÓN DE MAÍZ AZUCARADA FORTIFICADA CON VITAMINAS Y MINERALES (HOJUELAS CRUDAS)"/>
  </r>
  <r>
    <x v="0"/>
    <x v="56"/>
    <x v="29"/>
    <x v="31"/>
    <x v="96"/>
    <x v="48"/>
    <n v="2415.9744000000001"/>
    <x v="8"/>
    <x v="61"/>
    <n v="2"/>
    <x v="149"/>
    <d v="2026-01-26T00:00:00"/>
    <d v="2026-01-27T00:00:00"/>
    <s v="HOJUELAS DE AVENA, QUINUA, KIWICHA CON MACA Y SOYA ENRIQUECIDA CON VITAMINAS Y MINERALES - HOJUELAS PRECOCIDAS"/>
  </r>
  <r>
    <x v="0"/>
    <x v="56"/>
    <x v="30"/>
    <x v="145"/>
    <x v="96"/>
    <x v="48"/>
    <n v="2415.9744000000001"/>
    <x v="8"/>
    <x v="61"/>
    <n v="2"/>
    <x v="150"/>
    <d v="2026-02-11T00:00:00"/>
    <d v="2026-02-12T00:00:00"/>
    <s v="HOJUELAS DE AVENA, QUINUA, KIWICHA CON MACA Y SOYA ENRIQUECIDA CON VITAMINAS Y MINERALES - HOJUELAS PRECOCIDAS"/>
  </r>
  <r>
    <x v="0"/>
    <x v="56"/>
    <x v="21"/>
    <x v="50"/>
    <x v="96"/>
    <x v="48"/>
    <n v="2415.9744000000001"/>
    <x v="8"/>
    <x v="61"/>
    <n v="2"/>
    <x v="151"/>
    <d v="2026-04-19T00:00:00"/>
    <d v="2026-04-26T00:00:00"/>
    <s v="HOJUELAS DE AVENA, QUINUA, KIWICHA CON MACA Y SOYA ENRIQUECIDA CON VITAMINAS Y MINERALES - HOJUELAS PRECOCIDAS"/>
  </r>
  <r>
    <x v="0"/>
    <x v="56"/>
    <x v="22"/>
    <x v="94"/>
    <x v="96"/>
    <x v="48"/>
    <n v="2415.9744000000001"/>
    <x v="8"/>
    <x v="61"/>
    <n v="2"/>
    <x v="99"/>
    <d v="2026-06-18T00:00:00"/>
    <d v="2026-06-21T00:00:00"/>
    <s v="HOJUELAS DE AVENA, QUINUA, KIWICHA CON MACA Y SOYA ENRIQUECIDA CON VITAMINAS Y MINERALES - HOJUELAS PRECOCIDAS"/>
  </r>
  <r>
    <x v="0"/>
    <x v="56"/>
    <x v="23"/>
    <x v="96"/>
    <x v="96"/>
    <x v="48"/>
    <n v="2415.9744000000001"/>
    <x v="8"/>
    <x v="61"/>
    <n v="2"/>
    <x v="9"/>
    <d v="2026-08-07T00:00:00"/>
    <d v="2026-08-20T00:00:00"/>
    <s v="HOJUELAS DE AVENA, QUINUA, KIWICHA CON MACA Y SOYA ENRIQUECIDA CON VITAMINAS Y MINERALES - HOJUELAS PRECOCIDAS"/>
  </r>
  <r>
    <x v="0"/>
    <x v="56"/>
    <x v="24"/>
    <x v="126"/>
    <x v="96"/>
    <x v="48"/>
    <n v="2415.9744000000001"/>
    <x v="8"/>
    <x v="61"/>
    <n v="2"/>
    <x v="4"/>
    <m/>
    <m/>
    <s v="HOJUELAS DE AVENA, QUINUA, KIWICHA CON MACA Y SOYA ENRIQUECIDA CON VITAMINAS Y MINERALES - HOJUELAS PRECOCIDAS"/>
  </r>
  <r>
    <x v="4"/>
    <x v="57"/>
    <x v="12"/>
    <x v="87"/>
    <x v="97"/>
    <x v="1"/>
    <n v="125"/>
    <x v="2"/>
    <x v="54"/>
    <n v="5"/>
    <x v="119"/>
    <d v="2026-04-08T00:00:00"/>
    <d v="2026-04-08T00:00:00"/>
    <s v="MEZCLA DE HARINA DE SIETE SEMILLAS (TRIGO, HABAS, ARVEJAS, KIWICHA, CAÑIHUA, CEBADA, QUINUA) CON HARINA DE PLATANO ENRIQUECIDA CON VITAMINAS Y MINERALES"/>
  </r>
  <r>
    <x v="4"/>
    <x v="57"/>
    <x v="12"/>
    <x v="107"/>
    <x v="98"/>
    <x v="1"/>
    <n v="130"/>
    <x v="2"/>
    <x v="54"/>
    <n v="10"/>
    <x v="4"/>
    <m/>
    <m/>
    <s v="MEZCLA DE HARINA DE SIETE SEMILLAS (TRIGO, HABAS, ARVEJAS, KIWICHA, CAÑIHUA, CEBADA, QUINUA) CON HARINA DE PLATANO ENRIQUECIDA CON VITAMINAS Y MINERALES"/>
  </r>
  <r>
    <x v="0"/>
    <x v="58"/>
    <x v="0"/>
    <x v="68"/>
    <x v="99"/>
    <x v="1"/>
    <n v="888"/>
    <x v="2"/>
    <x v="20"/>
    <n v="8"/>
    <x v="152"/>
    <d v="2025-12-16T00:00:00"/>
    <d v="2026-01-04T00:00:00"/>
    <s v="HOJUELAS DE AVENA, QUINUA, KIWICHA, CAÑIHUA ENRIQUECIDA CON VITAMINAS Y MINERALES - HOJUELAS PRECOCIDAS "/>
  </r>
  <r>
    <x v="0"/>
    <x v="58"/>
    <x v="1"/>
    <x v="68"/>
    <x v="99"/>
    <x v="1"/>
    <n v="888"/>
    <x v="2"/>
    <x v="20"/>
    <n v="8"/>
    <x v="152"/>
    <d v="2025-12-16T00:00:00"/>
    <d v="2026-01-04T00:00:00"/>
    <s v="HOJUELAS DE AVENA, QUINUA, KIWICHA, CAÑIHUA ENRIQUECIDA CON VITAMINAS Y MINERALES - HOJUELAS PRECOCIDAS "/>
  </r>
  <r>
    <x v="0"/>
    <x v="58"/>
    <x v="2"/>
    <x v="68"/>
    <x v="99"/>
    <x v="1"/>
    <n v="888"/>
    <x v="2"/>
    <x v="20"/>
    <n v="8"/>
    <x v="152"/>
    <d v="2025-12-16T00:00:00"/>
    <d v="2026-01-04T00:00:00"/>
    <s v="HOJUELAS DE AVENA, QUINUA, KIWICHA, CAÑIHUA ENRIQUECIDA CON VITAMINAS Y MINERALES - HOJUELAS PRECOCIDAS "/>
  </r>
  <r>
    <x v="0"/>
    <x v="58"/>
    <x v="3"/>
    <x v="23"/>
    <x v="99"/>
    <x v="1"/>
    <n v="888"/>
    <x v="2"/>
    <x v="20"/>
    <n v="8"/>
    <x v="153"/>
    <d v="2026-04-04T00:00:00"/>
    <d v="2026-04-05T00:00:00"/>
    <s v="HOJUELAS DE AVENA, QUINUA, KIWICHA, CAÑIHUA ENRIQUECIDA CON VITAMINAS Y MINERALES - HOJUELAS PRECOCIDAS "/>
  </r>
  <r>
    <x v="0"/>
    <x v="58"/>
    <x v="4"/>
    <x v="23"/>
    <x v="99"/>
    <x v="1"/>
    <n v="888"/>
    <x v="2"/>
    <x v="20"/>
    <n v="8"/>
    <x v="153"/>
    <d v="2026-04-04T00:00:00"/>
    <d v="2026-04-05T00:00:00"/>
    <s v="HOJUELAS DE AVENA, QUINUA, KIWICHA, CAÑIHUA ENRIQUECIDA CON VITAMINAS Y MINERALES - HOJUELAS PRECOCIDAS "/>
  </r>
  <r>
    <x v="0"/>
    <x v="58"/>
    <x v="5"/>
    <x v="23"/>
    <x v="99"/>
    <x v="1"/>
    <n v="888"/>
    <x v="2"/>
    <x v="20"/>
    <n v="8"/>
    <x v="153"/>
    <d v="2026-04-04T00:00:00"/>
    <d v="2026-04-05T00:00:00"/>
    <s v="HOJUELAS DE AVENA, QUINUA, KIWICHA, CAÑIHUA ENRIQUECIDA CON VITAMINAS Y MINERALES - HOJUELAS PRECOCIDAS "/>
  </r>
  <r>
    <x v="0"/>
    <x v="58"/>
    <x v="6"/>
    <x v="8"/>
    <x v="99"/>
    <x v="1"/>
    <n v="888"/>
    <x v="2"/>
    <x v="20"/>
    <n v="8"/>
    <x v="70"/>
    <d v="2026-06-22T00:00:00"/>
    <d v="2026-07-05T00:00:00"/>
    <s v="HOJUELAS DE AVENA, QUINUA, KIWICHA, CAÑIHUA ENRIQUECIDA CON VITAMINAS Y MINERALES - HOJUELAS PRECOCIDAS "/>
  </r>
  <r>
    <x v="0"/>
    <x v="58"/>
    <x v="7"/>
    <x v="8"/>
    <x v="99"/>
    <x v="1"/>
    <n v="888"/>
    <x v="2"/>
    <x v="20"/>
    <n v="8"/>
    <x v="70"/>
    <d v="2026-06-22T00:00:00"/>
    <d v="2026-07-05T00:00:00"/>
    <s v="HOJUELAS DE AVENA, QUINUA, KIWICHA, CAÑIHUA ENRIQUECIDA CON VITAMINAS Y MINERALES - HOJUELAS PRECOCIDAS "/>
  </r>
  <r>
    <x v="0"/>
    <x v="58"/>
    <x v="8"/>
    <x v="8"/>
    <x v="99"/>
    <x v="1"/>
    <n v="888"/>
    <x v="2"/>
    <x v="20"/>
    <n v="8"/>
    <x v="70"/>
    <d v="2026-06-22T00:00:00"/>
    <d v="2026-07-05T00:00:00"/>
    <s v="HOJUELAS DE AVENA, QUINUA, KIWICHA, CAÑIHUA ENRIQUECIDA CON VITAMINAS Y MINERALES - HOJUELAS PRECOCIDAS "/>
  </r>
  <r>
    <x v="0"/>
    <x v="58"/>
    <x v="12"/>
    <x v="8"/>
    <x v="100"/>
    <x v="1"/>
    <n v="4013"/>
    <x v="2"/>
    <x v="26"/>
    <n v="13"/>
    <x v="70"/>
    <d v="2026-06-22T00:00:00"/>
    <d v="2026-07-05T00:00:00"/>
    <s v="HOJUELAS DE AVENA, QUINUA, KIWICHA, CAÑIHUA ENRIQUECIDA CON VITAMINAS Y MINERALES - HOJUELAS PRECOCIDAS "/>
  </r>
  <r>
    <x v="0"/>
    <x v="58"/>
    <x v="9"/>
    <x v="24"/>
    <x v="99"/>
    <x v="1"/>
    <n v="888"/>
    <x v="2"/>
    <x v="20"/>
    <n v="8"/>
    <x v="4"/>
    <m/>
    <m/>
    <s v="HOJUELAS DE AVENA, QUINUA, KIWICHA, CAÑIHUA ENRIQUECIDA CON VITAMINAS Y MINERALES - HOJUELAS PRECOCIDAS "/>
  </r>
  <r>
    <x v="0"/>
    <x v="58"/>
    <x v="10"/>
    <x v="24"/>
    <x v="99"/>
    <x v="1"/>
    <n v="888"/>
    <x v="2"/>
    <x v="20"/>
    <n v="8"/>
    <x v="4"/>
    <m/>
    <m/>
    <s v="HOJUELAS DE AVENA, QUINUA, KIWICHA, CAÑIHUA ENRIQUECIDA CON VITAMINAS Y MINERALES - HOJUELAS PRECOCIDAS "/>
  </r>
  <r>
    <x v="0"/>
    <x v="58"/>
    <x v="11"/>
    <x v="24"/>
    <x v="99"/>
    <x v="1"/>
    <n v="888"/>
    <x v="2"/>
    <x v="20"/>
    <n v="8"/>
    <x v="4"/>
    <m/>
    <m/>
    <s v="HOJUELAS DE AVENA, QUINUA, KIWICHA, CAÑIHUA ENRIQUECIDA CON VITAMINAS Y MINERALES - HOJUELAS PRECOCIDAS "/>
  </r>
  <r>
    <x v="0"/>
    <x v="59"/>
    <x v="29"/>
    <x v="22"/>
    <x v="101"/>
    <x v="49"/>
    <n v="5559.3"/>
    <x v="8"/>
    <x v="62"/>
    <n v="8"/>
    <x v="154"/>
    <d v="2026-02-28T00:00:00"/>
    <d v="2026-03-08T00:00:00"/>
    <s v="HOJUELA PRECOCIDA DE AVENA, KIWICHA TOSTADA, CHUFLA, PLÁTANO, FORTIFICADO CON VITAMINAS Y MINERALES"/>
  </r>
  <r>
    <x v="0"/>
    <x v="59"/>
    <x v="30"/>
    <x v="64"/>
    <x v="101"/>
    <x v="49"/>
    <n v="5559.3"/>
    <x v="8"/>
    <x v="62"/>
    <n v="8"/>
    <x v="154"/>
    <d v="2026-02-28T00:00:00"/>
    <d v="2026-03-08T00:00:00"/>
    <s v="HOJUELA PRECOCIDA DE AVENA, KIWICHA TOSTADA, CHUFLA, PLÁTANO, FORTIFICADO CON VITAMINAS Y MINERALES"/>
  </r>
  <r>
    <x v="0"/>
    <x v="59"/>
    <x v="21"/>
    <x v="7"/>
    <x v="101"/>
    <x v="49"/>
    <n v="5559.3"/>
    <x v="8"/>
    <x v="62"/>
    <n v="8"/>
    <x v="155"/>
    <d v="2026-05-24T00:00:00"/>
    <d v="2026-05-24T00:00:00"/>
    <s v="HOJUELA PRECOCIDA DE AVENA, KIWICHA TOSTADA, CHUFLA, PLÁTANO, FORTIFICADO CON VITAMINAS Y MINERALES"/>
  </r>
  <r>
    <x v="0"/>
    <x v="59"/>
    <x v="22"/>
    <x v="8"/>
    <x v="101"/>
    <x v="49"/>
    <n v="5559.3"/>
    <x v="8"/>
    <x v="62"/>
    <n v="8"/>
    <x v="30"/>
    <d v="2026-06-04T00:00:00"/>
    <d v="2026-06-08T00:00:00"/>
    <s v="HOJUELA PRECOCIDA DE AVENA, KIWICHA TOSTADA, CHUFLA, PLÁTANO, FORTIFICADO CON VITAMINAS Y MINERALES"/>
  </r>
  <r>
    <x v="0"/>
    <x v="59"/>
    <x v="23"/>
    <x v="9"/>
    <x v="101"/>
    <x v="49"/>
    <n v="5559.3"/>
    <x v="8"/>
    <x v="62"/>
    <n v="8"/>
    <x v="9"/>
    <d v="2026-08-07T00:00:00"/>
    <d v="2026-08-09T00:00:00"/>
    <s v="HOJUELA PRECOCIDA DE AVENA, KIWICHA TOSTADA, CHUFLA, PLÁTANO, FORTIFICADO CON VITAMINAS Y MINERALES"/>
  </r>
  <r>
    <x v="0"/>
    <x v="59"/>
    <x v="24"/>
    <x v="10"/>
    <x v="101"/>
    <x v="49"/>
    <n v="5559.3"/>
    <x v="8"/>
    <x v="62"/>
    <n v="8"/>
    <x v="4"/>
    <m/>
    <m/>
    <s v="HOJUELA PRECOCIDA DE AVENA, KIWICHA TOSTADA, CHUFLA, PLÁTANO, FORTIFICADO CON VITAMINAS Y MINERALES"/>
  </r>
  <r>
    <x v="0"/>
    <x v="60"/>
    <x v="0"/>
    <x v="146"/>
    <x v="102"/>
    <x v="50"/>
    <n v="1377.8424"/>
    <x v="6"/>
    <x v="63"/>
    <n v="17"/>
    <x v="43"/>
    <d v="2025-12-29T00:00:00"/>
    <d v="2025-12-30T00:00:00"/>
    <s v="HOJUELAS DE AVENA, KIWICHA, QUINUA, MAIZ CHUFLA CON SOYA, MACA Y AZUCAR FORTIFICADA CON VITAMINAS Y MINERALES"/>
  </r>
  <r>
    <x v="0"/>
    <x v="60"/>
    <x v="1"/>
    <x v="69"/>
    <x v="102"/>
    <x v="50"/>
    <n v="1377.8424"/>
    <x v="6"/>
    <x v="63"/>
    <n v="17"/>
    <x v="17"/>
    <d v="2026-01-17T00:00:00"/>
    <d v="2026-01-20T00:00:00"/>
    <s v="HOJUELAS DE AVENA, KIWICHA, QUINUA, MAIZ CHUFLA CON SOYA, MACA Y AZUCAR FORTIFICADA CON VITAMINAS Y MINERALES"/>
  </r>
  <r>
    <x v="0"/>
    <x v="60"/>
    <x v="2"/>
    <x v="32"/>
    <x v="102"/>
    <x v="50"/>
    <n v="1377.8424"/>
    <x v="6"/>
    <x v="63"/>
    <n v="17"/>
    <x v="67"/>
    <d v="2026-02-16T00:00:00"/>
    <d v="2026-02-19T00:00:00"/>
    <s v="HOJUELAS DE AVENA, KIWICHA, QUINUA, MAIZ CHUFLA CON SOYA, MACA Y AZUCAR FORTIFICADA CON VITAMINAS Y MINERALES"/>
  </r>
  <r>
    <x v="0"/>
    <x v="60"/>
    <x v="3"/>
    <x v="147"/>
    <x v="102"/>
    <x v="50"/>
    <n v="1377.8424"/>
    <x v="6"/>
    <x v="63"/>
    <n v="17"/>
    <x v="68"/>
    <d v="2026-03-19T00:00:00"/>
    <d v="2026-03-20T00:00:00"/>
    <s v="HOJUELAS DE AVENA, KIWICHA, QUINUA, MAIZ CHUFLA CON SOYA, MACA Y AZUCAR FORTIFICADA CON VITAMINAS Y MINERALES"/>
  </r>
  <r>
    <x v="0"/>
    <x v="60"/>
    <x v="4"/>
    <x v="92"/>
    <x v="102"/>
    <x v="50"/>
    <n v="1377.8424"/>
    <x v="6"/>
    <x v="63"/>
    <n v="17"/>
    <x v="151"/>
    <d v="2026-04-19T00:00:00"/>
    <d v="2026-04-20T00:00:00"/>
    <s v="HOJUELAS DE AVENA, KIWICHA, QUINUA, MAIZ CHUFLA CON SOYA, MACA Y AZUCAR FORTIFICADA CON VITAMINAS Y MINERALES"/>
  </r>
  <r>
    <x v="0"/>
    <x v="60"/>
    <x v="5"/>
    <x v="73"/>
    <x v="102"/>
    <x v="50"/>
    <n v="1377.8424"/>
    <x v="6"/>
    <x v="63"/>
    <n v="17"/>
    <x v="147"/>
    <d v="2026-05-16T00:00:00"/>
    <d v="2026-05-21T00:00:00"/>
    <s v="HOJUELAS DE AVENA, KIWICHA, QUINUA, MAIZ CHUFLA CON SOYA, MACA Y AZUCAR FORTIFICADA CON VITAMINAS Y MINERALES"/>
  </r>
  <r>
    <x v="0"/>
    <x v="60"/>
    <x v="6"/>
    <x v="33"/>
    <x v="102"/>
    <x v="50"/>
    <n v="1377.8424"/>
    <x v="6"/>
    <x v="63"/>
    <n v="17"/>
    <x v="45"/>
    <d v="2026-06-23T00:00:00"/>
    <d v="2026-06-23T00:00:00"/>
    <s v="HOJUELAS DE AVENA, KIWICHA, QUINUA, MAIZ CHUFLA CON SOYA, MACA Y AZUCAR FORTIFICADA CON VITAMINAS Y MINERALES"/>
  </r>
  <r>
    <x v="0"/>
    <x v="60"/>
    <x v="33"/>
    <x v="148"/>
    <x v="103"/>
    <x v="50"/>
    <n v="2771.8466130000002"/>
    <x v="6"/>
    <x v="64"/>
    <n v="18.289999999999964"/>
    <x v="55"/>
    <d v="2026-07-09T00:00:00"/>
    <d v="2026-07-10T00:00:00"/>
    <s v="HOJUELAS DE AVENA, KIWICHA, QUINUA, MAIZ CHUFLA CON SOYA, MACA Y AZUCAR FORTIFICADA CON VITAMINAS Y MINERALES"/>
  </r>
  <r>
    <x v="0"/>
    <x v="60"/>
    <x v="7"/>
    <x v="148"/>
    <x v="102"/>
    <x v="50"/>
    <n v="1377.8424"/>
    <x v="6"/>
    <x v="63"/>
    <n v="17"/>
    <x v="55"/>
    <d v="2026-07-09T00:00:00"/>
    <d v="2026-07-10T00:00:00"/>
    <s v="HOJUELAS DE AVENA, KIWICHA, QUINUA, MAIZ CHUFLA CON SOYA, MACA Y AZUCAR FORTIFICADA CON VITAMINAS Y MINERALES"/>
  </r>
  <r>
    <x v="0"/>
    <x v="60"/>
    <x v="8"/>
    <x v="110"/>
    <x v="102"/>
    <x v="50"/>
    <n v="1377.8424"/>
    <x v="6"/>
    <x v="63"/>
    <n v="17"/>
    <x v="156"/>
    <d v="2026-08-18T00:00:00"/>
    <d v="2026-08-19T00:00:00"/>
    <s v="HOJUELAS DE AVENA, KIWICHA, QUINUA, MAIZ CHUFLA CON SOYA, MACA Y AZUCAR FORTIFICADA CON VITAMINAS Y MINERALES"/>
  </r>
  <r>
    <x v="0"/>
    <x v="60"/>
    <x v="9"/>
    <x v="75"/>
    <x v="102"/>
    <x v="50"/>
    <n v="1377.8424"/>
    <x v="6"/>
    <x v="63"/>
    <n v="17"/>
    <x v="4"/>
    <m/>
    <m/>
    <s v="HOJUELAS DE AVENA, KIWICHA, QUINUA, MAIZ CHUFLA CON SOYA, MACA Y AZUCAR FORTIFICADA CON VITAMINAS Y MINERALES"/>
  </r>
  <r>
    <x v="0"/>
    <x v="60"/>
    <x v="10"/>
    <x v="126"/>
    <x v="102"/>
    <x v="50"/>
    <n v="1377.8424"/>
    <x v="6"/>
    <x v="63"/>
    <n v="17"/>
    <x v="4"/>
    <m/>
    <m/>
    <s v="HOJUELAS DE AVENA, KIWICHA, QUINUA, MAIZ CHUFLA CON SOYA, MACA Y AZUCAR FORTIFICADA CON VITAMINAS Y MINERALES"/>
  </r>
  <r>
    <x v="0"/>
    <x v="60"/>
    <x v="11"/>
    <x v="130"/>
    <x v="102"/>
    <x v="50"/>
    <n v="1377.8424"/>
    <x v="6"/>
    <x v="63"/>
    <n v="17"/>
    <x v="4"/>
    <m/>
    <m/>
    <s v="HOJUELAS DE AVENA, KIWICHA, QUINUA, MAIZ CHUFLA CON SOYA, MACA Y AZUCAR FORTIFICADA CON VITAMINAS Y MINERALES"/>
  </r>
  <r>
    <x v="0"/>
    <x v="61"/>
    <x v="2"/>
    <x v="0"/>
    <x v="102"/>
    <x v="51"/>
    <n v="594"/>
    <x v="3"/>
    <x v="65"/>
    <n v="12"/>
    <x v="57"/>
    <d v="2026-02-18T00:00:00"/>
    <d v="2026-02-19T00:00:00"/>
    <s v="AZUCAR RUBIA"/>
  </r>
  <r>
    <x v="0"/>
    <x v="61"/>
    <x v="3"/>
    <x v="147"/>
    <x v="102"/>
    <x v="51"/>
    <n v="594"/>
    <x v="3"/>
    <x v="65"/>
    <n v="12"/>
    <x v="68"/>
    <d v="2026-03-19T00:00:00"/>
    <d v="2026-03-20T00:00:00"/>
    <s v="AZUCAR RUBIA"/>
  </r>
  <r>
    <x v="0"/>
    <x v="61"/>
    <x v="4"/>
    <x v="92"/>
    <x v="102"/>
    <x v="51"/>
    <n v="594"/>
    <x v="1"/>
    <x v="12"/>
    <n v="42"/>
    <x v="25"/>
    <d v="2026-04-16T00:00:00"/>
    <d v="2026-04-20T00:00:00"/>
    <s v="AZUCAR RUBIA"/>
  </r>
  <r>
    <x v="0"/>
    <x v="61"/>
    <x v="5"/>
    <x v="73"/>
    <x v="102"/>
    <x v="51"/>
    <n v="594"/>
    <x v="1"/>
    <x v="12"/>
    <n v="42"/>
    <x v="102"/>
    <d v="2026-05-21T00:00:00"/>
    <d v="2026-05-21T00:00:00"/>
    <s v="AZUCAR RUBIA"/>
  </r>
  <r>
    <x v="0"/>
    <x v="61"/>
    <x v="6"/>
    <x v="33"/>
    <x v="102"/>
    <x v="51"/>
    <n v="594"/>
    <x v="1"/>
    <x v="12"/>
    <n v="42"/>
    <x v="45"/>
    <d v="2026-06-23T00:00:00"/>
    <d v="2026-06-23T00:00:00"/>
    <s v="AZUCAR RUBIA"/>
  </r>
  <r>
    <x v="0"/>
    <x v="61"/>
    <x v="7"/>
    <x v="148"/>
    <x v="102"/>
    <x v="51"/>
    <n v="594"/>
    <x v="3"/>
    <x v="65"/>
    <n v="12"/>
    <x v="55"/>
    <d v="2026-07-09T00:00:00"/>
    <d v="2026-07-10T00:00:00"/>
    <s v="AZUCAR RUBIA"/>
  </r>
  <r>
    <x v="0"/>
    <x v="61"/>
    <x v="8"/>
    <x v="110"/>
    <x v="102"/>
    <x v="51"/>
    <n v="594"/>
    <x v="3"/>
    <x v="65"/>
    <n v="12"/>
    <x v="108"/>
    <d v="2026-08-12T00:00:00"/>
    <d v="2026-08-19T00:00:00"/>
    <s v="AZUCAR RUBIA"/>
  </r>
  <r>
    <x v="0"/>
    <x v="61"/>
    <x v="9"/>
    <x v="75"/>
    <x v="102"/>
    <x v="51"/>
    <n v="594"/>
    <x v="3"/>
    <x v="65"/>
    <n v="12"/>
    <x v="4"/>
    <m/>
    <m/>
    <s v="AZUCAR RUBIA"/>
  </r>
  <r>
    <x v="0"/>
    <x v="61"/>
    <x v="10"/>
    <x v="126"/>
    <x v="102"/>
    <x v="51"/>
    <n v="594"/>
    <x v="3"/>
    <x v="65"/>
    <n v="12"/>
    <x v="4"/>
    <m/>
    <m/>
    <s v="AZUCAR RUBIA"/>
  </r>
  <r>
    <x v="0"/>
    <x v="61"/>
    <x v="11"/>
    <x v="130"/>
    <x v="102"/>
    <x v="51"/>
    <n v="594"/>
    <x v="3"/>
    <x v="65"/>
    <n v="12"/>
    <x v="4"/>
    <m/>
    <m/>
    <s v="AZUCAR RUBIA"/>
  </r>
  <r>
    <x v="1"/>
    <x v="62"/>
    <x v="3"/>
    <x v="149"/>
    <x v="104"/>
    <x v="52"/>
    <n v="655.03"/>
    <x v="2"/>
    <x v="12"/>
    <n v="20"/>
    <x v="86"/>
    <d v="2026-05-11T00:00:00"/>
    <d v="2026-05-21T00:00:00"/>
    <s v="HOJUELAS PRECOCIDAS DE AVENA, QUINUA Y KIWICHA ENRIQUECIDA CON VITAMINAS Y MINERALES"/>
  </r>
  <r>
    <x v="1"/>
    <x v="62"/>
    <x v="4"/>
    <x v="149"/>
    <x v="104"/>
    <x v="52"/>
    <n v="655.03"/>
    <x v="2"/>
    <x v="12"/>
    <n v="20"/>
    <x v="86"/>
    <d v="2026-05-11T00:00:00"/>
    <d v="2026-05-21T00:00:00"/>
    <s v="HOJUELAS PRECOCIDAS DE AVENA, QUINUA Y KIWICHA ENRIQUECIDA CON VITAMINAS Y MINERALES"/>
  </r>
  <r>
    <x v="1"/>
    <x v="62"/>
    <x v="5"/>
    <x v="51"/>
    <x v="104"/>
    <x v="52"/>
    <n v="655.03"/>
    <x v="2"/>
    <x v="12"/>
    <n v="20"/>
    <x v="86"/>
    <d v="2026-05-11T00:00:00"/>
    <d v="2026-05-21T00:00:00"/>
    <s v="HOJUELAS PRECOCIDAS DE AVENA, QUINUA Y KIWICHA ENRIQUECIDA CON VITAMINAS Y MINERALES"/>
  </r>
  <r>
    <x v="1"/>
    <x v="62"/>
    <x v="6"/>
    <x v="94"/>
    <x v="104"/>
    <x v="52"/>
    <n v="655.03"/>
    <x v="2"/>
    <x v="12"/>
    <n v="20"/>
    <x v="157"/>
    <d v="2026-06-16T00:00:00"/>
    <d v="2026-06-26T00:00:00"/>
    <s v="HOJUELAS PRECOCIDAS DE AVENA, QUINUA Y KIWICHA ENRIQUECIDA CON VITAMINAS Y MINERALES"/>
  </r>
  <r>
    <x v="1"/>
    <x v="62"/>
    <x v="7"/>
    <x v="94"/>
    <x v="104"/>
    <x v="52"/>
    <n v="655.03"/>
    <x v="2"/>
    <x v="12"/>
    <n v="20"/>
    <x v="157"/>
    <d v="2026-06-16T00:00:00"/>
    <d v="2026-06-26T00:00:00"/>
    <s v="HOJUELAS PRECOCIDAS DE AVENA, QUINUA Y KIWICHA ENRIQUECIDA CON VITAMINAS Y MINERALES"/>
  </r>
  <r>
    <x v="1"/>
    <x v="62"/>
    <x v="8"/>
    <x v="94"/>
    <x v="104"/>
    <x v="52"/>
    <n v="655.03"/>
    <x v="2"/>
    <x v="12"/>
    <n v="20"/>
    <x v="157"/>
    <d v="2026-06-16T00:00:00"/>
    <d v="2026-06-26T00:00:00"/>
    <s v="HOJUELAS PRECOCIDAS DE AVENA, QUINUA Y KIWICHA ENRIQUECIDA CON VITAMINAS Y MINERALES"/>
  </r>
  <r>
    <x v="1"/>
    <x v="62"/>
    <x v="12"/>
    <x v="74"/>
    <x v="105"/>
    <x v="52"/>
    <n v="636.01300000000003"/>
    <x v="2"/>
    <x v="12"/>
    <n v="2"/>
    <x v="31"/>
    <d v="2026-07-31T00:00:00"/>
    <d v="2026-08-06T00:00:00"/>
    <s v="HOJUELAS PRECOCIDAS DE AVENA, QUINUA Y KIWICHA ENRIQUECIDA CON VITAMINAS Y MINERALES"/>
  </r>
  <r>
    <x v="1"/>
    <x v="62"/>
    <x v="9"/>
    <x v="150"/>
    <x v="104"/>
    <x v="52"/>
    <n v="655.03"/>
    <x v="2"/>
    <x v="12"/>
    <n v="20"/>
    <x v="4"/>
    <m/>
    <m/>
    <s v="HOJUELAS PRECOCIDAS DE AVENA, QUINUA Y KIWICHA ENRIQUECIDA CON VITAMINAS Y MINERALES"/>
  </r>
  <r>
    <x v="1"/>
    <x v="62"/>
    <x v="10"/>
    <x v="150"/>
    <x v="104"/>
    <x v="52"/>
    <n v="655.03"/>
    <x v="2"/>
    <x v="12"/>
    <n v="20"/>
    <x v="4"/>
    <m/>
    <m/>
    <s v="HOJUELAS PRECOCIDAS DE AVENA, QUINUA Y KIWICHA ENRIQUECIDA CON VITAMINAS Y MINERALES"/>
  </r>
  <r>
    <x v="1"/>
    <x v="62"/>
    <x v="11"/>
    <x v="150"/>
    <x v="104"/>
    <x v="52"/>
    <n v="655.03"/>
    <x v="2"/>
    <x v="12"/>
    <n v="20"/>
    <x v="4"/>
    <m/>
    <m/>
    <s v="HOJUELAS PRECOCIDAS DE AVENA, QUINUA Y KIWICHA ENRIQUECIDA CON VITAMINAS Y MINERALES"/>
  </r>
  <r>
    <x v="0"/>
    <x v="63"/>
    <x v="29"/>
    <x v="151"/>
    <x v="106"/>
    <x v="1"/>
    <n v="961.5"/>
    <x v="1"/>
    <x v="44"/>
    <n v="11.5"/>
    <x v="158"/>
    <d v="2026-02-04T00:00:00"/>
    <d v="2026-02-09T00:00:00"/>
    <s v="MEZCLA DE HOJUELAS CON HARINA DE MAÍZ CHUFLA, CON HOJUELAS DE KIWICHA, SOYA, AVENA, ALMIDÓN DE MACA, LECHE AZUCARADA ENRIQUECIDA CON VITAMINAS Y MINERALES"/>
  </r>
  <r>
    <x v="0"/>
    <x v="63"/>
    <x v="30"/>
    <x v="152"/>
    <x v="106"/>
    <x v="1"/>
    <n v="961.5"/>
    <x v="1"/>
    <x v="44"/>
    <n v="11.5"/>
    <x v="159"/>
    <d v="2026-02-19T00:00:00"/>
    <d v="2026-02-22T00:00:00"/>
    <s v="MEZCLA DE HOJUELAS CON HARINA DE MAÍZ CHUFLA, CON HOJUELAS DE KIWICHA, SOYA, AVENA, ALMIDÓN DE MACA, LECHE AZUCARADA ENRIQUECIDA CON VITAMINAS Y MINERALES"/>
  </r>
  <r>
    <x v="0"/>
    <x v="63"/>
    <x v="21"/>
    <x v="50"/>
    <x v="106"/>
    <x v="1"/>
    <n v="961.5"/>
    <x v="1"/>
    <x v="44"/>
    <n v="11.5"/>
    <x v="151"/>
    <d v="2026-04-19T00:00:00"/>
    <d v="2026-04-19T00:00:00"/>
    <s v="MEZCLA DE HOJUELAS CON HARINA DE MAÍZ CHUFLA, CON HOJUELAS DE KIWICHA, SOYA, AVENA, ALMIDÓN DE MACA, LECHE AZUCARADA ENRIQUECIDA CON VITAMINAS Y MINERALES"/>
  </r>
  <r>
    <x v="0"/>
    <x v="63"/>
    <x v="22"/>
    <x v="33"/>
    <x v="106"/>
    <x v="1"/>
    <n v="961.5"/>
    <x v="1"/>
    <x v="44"/>
    <n v="11.5"/>
    <x v="99"/>
    <d v="2026-06-18T00:00:00"/>
    <d v="2026-06-18T00:00:00"/>
    <s v="MEZCLA DE HOJUELAS CON HARINA DE MAÍZ CHUFLA, CON HOJUELAS DE KIWICHA, SOYA, AVENA, ALMIDÓN DE MACA, LECHE AZUCARADA ENRIQUECIDA CON VITAMINAS Y MINERALES"/>
  </r>
  <r>
    <x v="0"/>
    <x v="63"/>
    <x v="12"/>
    <x v="114"/>
    <x v="107"/>
    <x v="1"/>
    <n v="425"/>
    <x v="1"/>
    <x v="27"/>
    <n v="25"/>
    <x v="72"/>
    <d v="2026-08-15T00:00:00"/>
    <d v="2026-08-16T00:00:00"/>
    <s v="MEZCLA DE HOJUELAS CON HARINA DE MAÍZ CHUFLA, CON HOJUELAS DE KIWICHA, SOYA, AVENA, ALMIDÓN DE MACA, LECHE AZUCARADA ENRIQUECIDA CON VITAMINAS Y MINERALES"/>
  </r>
  <r>
    <x v="0"/>
    <x v="63"/>
    <x v="23"/>
    <x v="114"/>
    <x v="106"/>
    <x v="1"/>
    <n v="961.5"/>
    <x v="1"/>
    <x v="44"/>
    <n v="11.5"/>
    <x v="72"/>
    <d v="2026-08-15T00:00:00"/>
    <d v="2026-08-16T00:00:00"/>
    <s v="MEZCLA DE HOJUELAS CON HARINA DE MAÍZ CHUFLA, CON HOJUELAS DE KIWICHA, SOYA, AVENA, ALMIDÓN DE MACA, LECHE AZUCARADA ENRIQUECIDA CON VITAMINAS Y MINERALES"/>
  </r>
  <r>
    <x v="0"/>
    <x v="63"/>
    <x v="24"/>
    <x v="35"/>
    <x v="106"/>
    <x v="1"/>
    <n v="961.5"/>
    <x v="1"/>
    <x v="44"/>
    <n v="11.5"/>
    <x v="4"/>
    <m/>
    <m/>
    <s v="MEZCLA DE HOJUELAS CON HARINA DE MAÍZ CHUFLA, CON HOJUELAS DE KIWICHA, SOYA, AVENA, ALMIDÓN DE MACA, LECHE AZUCARADA ENRIQUECIDA CON VITAMINAS Y MINERALES"/>
  </r>
  <r>
    <x v="0"/>
    <x v="64"/>
    <x v="12"/>
    <x v="153"/>
    <x v="108"/>
    <x v="1"/>
    <n v="3000"/>
    <x v="2"/>
    <x v="49"/>
    <n v="0"/>
    <x v="158"/>
    <d v="2026-02-04T00:00:00"/>
    <d v="2026-02-05T00:00:00"/>
    <s v="HOJUELAS DE QUINUA, AVENA, KIWICHA Y MACA FORTIFICADA CON VITAMINAS Y MINERALES / HOJUELAS DE AVENA CON QUINUA Y MACA FORTIFICADA CON VITAMINAS Y MINERALES"/>
  </r>
  <r>
    <x v="0"/>
    <x v="64"/>
    <x v="12"/>
    <x v="22"/>
    <x v="109"/>
    <x v="1"/>
    <n v="1000"/>
    <x v="2"/>
    <x v="18"/>
    <n v="0"/>
    <x v="5"/>
    <d v="2026-01-29T00:00:00"/>
    <d v="2026-02-05T00:00:00"/>
    <s v="HOJUELAS DE QUINUA, AVENA, KIWICHA Y MACA FORTIFICADA CON VITAMINAS Y MINERALES / HOJUELAS DE AVENA CON QUINUA Y MACA FORTIFICADA CON VITAMINAS Y MINERALES"/>
  </r>
  <r>
    <x v="0"/>
    <x v="64"/>
    <x v="34"/>
    <x v="154"/>
    <x v="110"/>
    <x v="1"/>
    <n v="3170"/>
    <x v="2"/>
    <x v="24"/>
    <n v="10"/>
    <x v="129"/>
    <d v="2026-05-14T00:00:00"/>
    <d v="2026-05-18T00:00:00"/>
    <s v="HOJUELAS DE QUINUA, HOJUELAS DE KIWICHA, HARINA DE MACA FORTIFICADO CON VITAMINAS Y MINERALES"/>
  </r>
  <r>
    <x v="0"/>
    <x v="64"/>
    <x v="35"/>
    <x v="154"/>
    <x v="111"/>
    <x v="1"/>
    <n v="740"/>
    <x v="2"/>
    <x v="0"/>
    <n v="20"/>
    <x v="76"/>
    <d v="2026-05-17T00:00:00"/>
    <d v="2026-05-18T00:00:00"/>
    <s v="HOJUELAS DE QUINUA, AVENA, KIWICHA Y MACA FORTIFICADA CON VITAMINAS Y MINERALES"/>
  </r>
  <r>
    <x v="0"/>
    <x v="64"/>
    <x v="36"/>
    <x v="8"/>
    <x v="112"/>
    <x v="1"/>
    <n v="772"/>
    <x v="2"/>
    <x v="44"/>
    <n v="12"/>
    <x v="99"/>
    <d v="2026-06-18T00:00:00"/>
    <d v="2026-06-18T00:00:00"/>
    <s v="HOJUELAS DE QUINUA, AVENA, KIWICHA Y MACA FORTIFICADA CON VITAMINAS Y MINERALES"/>
  </r>
  <r>
    <x v="0"/>
    <x v="64"/>
    <x v="37"/>
    <x v="45"/>
    <x v="113"/>
    <x v="1"/>
    <n v="3204"/>
    <x v="2"/>
    <x v="66"/>
    <n v="4"/>
    <x v="46"/>
    <d v="2026-07-27T00:00:00"/>
    <d v="2026-08-04T00:00:00"/>
    <s v="HOJUELAS DE QUINUA, HOJUELAS DE KIWICHA, HARINA DE MACA FORTIFICADO CON VITAMINAS Y MINERALES"/>
  </r>
  <r>
    <x v="0"/>
    <x v="65"/>
    <x v="37"/>
    <x v="45"/>
    <x v="114"/>
    <x v="1"/>
    <n v="283"/>
    <x v="2"/>
    <x v="67"/>
    <n v="3"/>
    <x v="46"/>
    <d v="2026-07-27T00:00:00"/>
    <d v="2026-08-04T00:00:00"/>
    <s v="HOJUELAS DE QUINUA, AVENA, KIWICHA Y MACA FORTIFICADA CON VITAMINAS Y MINERALES"/>
  </r>
  <r>
    <x v="0"/>
    <x v="66"/>
    <x v="12"/>
    <x v="7"/>
    <x v="115"/>
    <x v="1"/>
    <n v="228"/>
    <x v="2"/>
    <x v="15"/>
    <n v="28"/>
    <x v="98"/>
    <d v="2026-04-12T00:00:00"/>
    <d v="2026-04-12T00:00:00"/>
    <m/>
  </r>
  <r>
    <x v="0"/>
    <x v="66"/>
    <x v="36"/>
    <x v="8"/>
    <x v="115"/>
    <x v="1"/>
    <n v="228"/>
    <x v="2"/>
    <x v="15"/>
    <n v="28"/>
    <x v="99"/>
    <d v="2026-06-18T00:00:00"/>
    <d v="2026-06-18T00:00:00"/>
    <s v="HOJUELAS PRECOCIDAS DE AVENA, KIWICHA, QUINUA, CON HARINAS DE SOYA, MACA Y PLATANO FORTIFICADA CON VITAMINAS Y MINERALES"/>
  </r>
  <r>
    <x v="0"/>
    <x v="67"/>
    <x v="12"/>
    <x v="6"/>
    <x v="116"/>
    <x v="1"/>
    <n v="997.5"/>
    <x v="2"/>
    <x v="21"/>
    <n v="37.5"/>
    <x v="109"/>
    <d v="2026-04-05T00:00:00"/>
    <d v="2026-04-05T00:00:00"/>
    <s v="HOJUELAS DE QUINUA, AVENA PRECOCIDA FORTIFICADA CON VITAMINAS Y MINERALES"/>
  </r>
  <r>
    <x v="0"/>
    <x v="67"/>
    <x v="18"/>
    <x v="13"/>
    <x v="117"/>
    <x v="1"/>
    <n v="498.75"/>
    <x v="2"/>
    <x v="46"/>
    <n v="18.75"/>
    <x v="160"/>
    <d v="2026-06-30T00:00:00"/>
    <d v="2026-07-06T00:00:00"/>
    <s v="HOJUELAS DE QUINUA, AVENA PRECOCIDA FORTIFICADA CON VITAMINAS Y MINERALES"/>
  </r>
  <r>
    <x v="0"/>
    <x v="67"/>
    <x v="19"/>
    <x v="16"/>
    <x v="117"/>
    <x v="1"/>
    <n v="498.75"/>
    <x v="2"/>
    <x v="46"/>
    <n v="18.75"/>
    <x v="4"/>
    <m/>
    <m/>
    <s v="HOJUELAS DE QUINUA, AVENA PRECOCIDA FORTIFICADA CON VITAMINAS Y MINERALES"/>
  </r>
  <r>
    <x v="0"/>
    <x v="68"/>
    <x v="0"/>
    <x v="68"/>
    <x v="118"/>
    <x v="53"/>
    <n v="3813"/>
    <x v="9"/>
    <x v="68"/>
    <n v="5"/>
    <x v="152"/>
    <d v="2025-12-16T00:00:00"/>
    <d v="2025-12-18T00:00:00"/>
    <s v="HOJUELA DE AVENA, QUINUA, KIWICHA, SOYA, MACA Y MAÍZ CHUFLA FORTIFICADA CON VITAMINAS Y MINERALES"/>
  </r>
  <r>
    <x v="0"/>
    <x v="68"/>
    <x v="1"/>
    <x v="22"/>
    <x v="118"/>
    <x v="54"/>
    <n v="3444"/>
    <x v="9"/>
    <x v="68"/>
    <n v="5"/>
    <x v="61"/>
    <d v="2026-01-12T00:00:00"/>
    <d v="2026-01-12T00:00:00"/>
    <s v="HOJUELA DE AVENA, QUINUA, KIWICHA, SOYA, MACA Y MAÍZ CHUFLA FORTIFICADA CON VITAMINAS Y MINERALES"/>
  </r>
  <r>
    <x v="0"/>
    <x v="68"/>
    <x v="2"/>
    <x v="64"/>
    <x v="118"/>
    <x v="53"/>
    <n v="3813"/>
    <x v="9"/>
    <x v="68"/>
    <n v="5"/>
    <x v="161"/>
    <d v="2026-02-17T00:00:00"/>
    <d v="2026-02-18T00:00:00"/>
    <s v="HOJUELA DE AVENA, QUINUA, KIWICHA, SOYA, MACA Y MAÍZ CHUFLA FORTIFICADA CON VITAMINAS Y MINERALES"/>
  </r>
  <r>
    <x v="0"/>
    <x v="68"/>
    <x v="3"/>
    <x v="23"/>
    <x v="118"/>
    <x v="55"/>
    <n v="3690"/>
    <x v="9"/>
    <x v="68"/>
    <n v="5"/>
    <x v="49"/>
    <d v="2026-03-14T00:00:00"/>
    <d v="2026-03-15T00:00:00"/>
    <s v="HOJUELA DE AVENA, QUINUA, KIWICHA, SOYA, MACA Y MAÍZ CHUFLA FORTIFICADA CON VITAMINAS Y MINERALES"/>
  </r>
  <r>
    <x v="0"/>
    <x v="68"/>
    <x v="4"/>
    <x v="7"/>
    <x v="118"/>
    <x v="53"/>
    <n v="3813"/>
    <x v="9"/>
    <x v="68"/>
    <n v="5"/>
    <x v="151"/>
    <d v="2026-04-19T00:00:00"/>
    <d v="2026-04-19T00:00:00"/>
    <s v="HOJUELA DE AVENA, QUINUA, KIWICHA, SOYA, MACA Y MAÍZ CHUFLA FORTIFICADA CON VITAMINAS Y MINERALES"/>
  </r>
  <r>
    <x v="0"/>
    <x v="68"/>
    <x v="5"/>
    <x v="154"/>
    <x v="118"/>
    <x v="55"/>
    <n v="3690"/>
    <x v="9"/>
    <x v="68"/>
    <n v="5"/>
    <x v="59"/>
    <d v="2026-05-13T00:00:00"/>
    <d v="2026-05-13T00:00:00"/>
    <s v="HOJUELA DE AVENA, QUINUA, KIWICHA, SOYA, MACA Y MAÍZ CHUFLA FORTIFICADA CON VITAMINAS Y MINERALES"/>
  </r>
  <r>
    <x v="0"/>
    <x v="68"/>
    <x v="6"/>
    <x v="8"/>
    <x v="118"/>
    <x v="53"/>
    <n v="3813"/>
    <x v="9"/>
    <x v="68"/>
    <n v="5"/>
    <x v="107"/>
    <d v="2026-06-15T00:00:00"/>
    <d v="2026-06-24T00:00:00"/>
    <s v="HOJUELA DE AVENA, QUINUA, KIWICHA, SOYA, MACA Y MAÍZ CHUFLA FORTIFICADA CON VITAMINAS Y MINERALES"/>
  </r>
  <r>
    <x v="0"/>
    <x v="68"/>
    <x v="38"/>
    <x v="8"/>
    <x v="118"/>
    <x v="56"/>
    <n v="5205.2859950000002"/>
    <x v="8"/>
    <x v="69"/>
    <n v="20"/>
    <x v="2"/>
    <d v="2026-06-29T00:00:00"/>
    <d v="2026-06-29T00:00:00"/>
    <s v="HOJUELA DE AVENA, QUINUA, KIWICHA, SOYA, MACA Y MAÍZ CHUFLA FORTIFICADA CON VITAMINAS Y MINERALES"/>
  </r>
  <r>
    <x v="0"/>
    <x v="68"/>
    <x v="7"/>
    <x v="155"/>
    <x v="118"/>
    <x v="53"/>
    <n v="3813"/>
    <x v="9"/>
    <x v="68"/>
    <n v="5"/>
    <x v="71"/>
    <d v="2026-07-18T00:00:00"/>
    <d v="2026-07-20T00:00:00"/>
    <s v="HOJUELA DE AVENA, QUINUA, KIWICHA, SOYA, MACA Y MAÍZ CHUFLA FORTIFICADA CON VITAMINAS Y MINERALES"/>
  </r>
  <r>
    <x v="0"/>
    <x v="68"/>
    <x v="8"/>
    <x v="9"/>
    <x v="118"/>
    <x v="55"/>
    <n v="3690"/>
    <x v="9"/>
    <x v="68"/>
    <n v="5"/>
    <x v="41"/>
    <d v="2026-08-13T00:00:00"/>
    <d v="2026-08-19T00:00:00"/>
    <s v="HOJUELA DE AVENA, QUINUA, KIWICHA, SOYA, MACA Y MAÍZ CHUFLA FORTIFICADA CON VITAMINAS Y MINERALES"/>
  </r>
  <r>
    <x v="0"/>
    <x v="68"/>
    <x v="9"/>
    <x v="24"/>
    <x v="118"/>
    <x v="53"/>
    <n v="3813"/>
    <x v="9"/>
    <x v="68"/>
    <n v="5"/>
    <x v="4"/>
    <m/>
    <m/>
    <s v="HOJUELA DE AVENA, QUINUA, KIWICHA, SOYA, MACA Y MAÍZ CHUFLA FORTIFICADA CON VITAMINAS Y MINERALES"/>
  </r>
  <r>
    <x v="0"/>
    <x v="68"/>
    <x v="10"/>
    <x v="10"/>
    <x v="118"/>
    <x v="55"/>
    <n v="3690"/>
    <x v="9"/>
    <x v="68"/>
    <n v="5"/>
    <x v="4"/>
    <m/>
    <m/>
    <s v="HOJUELA DE AVENA, QUINUA, KIWICHA, SOYA, MACA Y MAÍZ CHUFLA FORTIFICADA CON VITAMINAS Y MINERALES"/>
  </r>
  <r>
    <x v="0"/>
    <x v="68"/>
    <x v="11"/>
    <x v="156"/>
    <x v="118"/>
    <x v="53"/>
    <n v="3813"/>
    <x v="9"/>
    <x v="68"/>
    <n v="5"/>
    <x v="4"/>
    <m/>
    <m/>
    <s v="HOJUELA DE AVENA, QUINUA, KIWICHA, SOYA, MACA Y MAÍZ CHUFLA FORTIFICADA CON VITAMINAS Y MINERALES"/>
  </r>
  <r>
    <x v="0"/>
    <x v="69"/>
    <x v="0"/>
    <x v="47"/>
    <x v="119"/>
    <x v="57"/>
    <n v="842.01083999999992"/>
    <x v="8"/>
    <x v="44"/>
    <n v="19"/>
    <x v="61"/>
    <d v="2026-01-12T00:00:00"/>
    <d v="2026-01-19T00:00:00"/>
    <s v="HOJUELAS DE AVENA, QUINUA, KIWICHA, CAÑIHUA ENRIQUECIDA CON VITAMINAS Y MINERALES. "/>
  </r>
  <r>
    <x v="0"/>
    <x v="69"/>
    <x v="1"/>
    <x v="47"/>
    <x v="120"/>
    <x v="57"/>
    <n v="760.52591999999993"/>
    <x v="8"/>
    <x v="70"/>
    <n v="22"/>
    <x v="61"/>
    <d v="2026-01-12T00:00:00"/>
    <d v="2026-01-19T00:00:00"/>
    <s v="HOJUELAS DE AVENA, QUINUA, KIWICHA, CAÑIHUA ENRIQUECIDA CON VITAMINAS Y MINERALES. "/>
  </r>
  <r>
    <x v="0"/>
    <x v="69"/>
    <x v="2"/>
    <x v="152"/>
    <x v="119"/>
    <x v="57"/>
    <n v="842.01083999999992"/>
    <x v="8"/>
    <x v="44"/>
    <n v="19"/>
    <x v="159"/>
    <d v="2026-02-19T00:00:00"/>
    <d v="2026-02-22T00:00:00"/>
    <s v="HOJUELAS DE AVENA, QUINUA, KIWICHA, CAÑIHUA ENRIQUECIDA CON VITAMINAS Y MINERALES. "/>
  </r>
  <r>
    <x v="0"/>
    <x v="69"/>
    <x v="3"/>
    <x v="152"/>
    <x v="121"/>
    <x v="57"/>
    <n v="814.8492"/>
    <x v="8"/>
    <x v="44"/>
    <n v="0"/>
    <x v="159"/>
    <d v="2026-02-19T00:00:00"/>
    <d v="2026-02-22T00:00:00"/>
    <s v="HOJUELAS DE AVENA, QUINUA, KIWICHA, CAÑIHUA ENRIQUECIDA CON VITAMINAS Y MINERALES. "/>
  </r>
  <r>
    <x v="0"/>
    <x v="69"/>
    <x v="4"/>
    <x v="43"/>
    <x v="119"/>
    <x v="57"/>
    <n v="842.01083999999992"/>
    <x v="8"/>
    <x v="44"/>
    <n v="19"/>
    <x v="133"/>
    <d v="2026-04-28T00:00:00"/>
    <d v="2026-04-28T00:00:00"/>
    <s v="HOJUELAS DE AVENA, QUINUA, KIWICHA, CAÑIHUA ENRIQUECIDA CON VITAMINAS Y MINERALES. "/>
  </r>
  <r>
    <x v="0"/>
    <x v="69"/>
    <x v="5"/>
    <x v="43"/>
    <x v="121"/>
    <x v="57"/>
    <n v="814.8492"/>
    <x v="8"/>
    <x v="44"/>
    <n v="0"/>
    <x v="133"/>
    <d v="2026-04-28T00:00:00"/>
    <d v="2026-04-28T00:00:00"/>
    <s v="HOJUELAS DE AVENA, QUINUA, KIWICHA, CAÑIHUA ENRIQUECIDA CON VITAMINAS Y MINERALES. "/>
  </r>
  <r>
    <x v="0"/>
    <x v="69"/>
    <x v="6"/>
    <x v="33"/>
    <x v="119"/>
    <x v="57"/>
    <n v="842.01083999999992"/>
    <x v="8"/>
    <x v="44"/>
    <n v="19"/>
    <x v="157"/>
    <d v="2026-06-16T00:00:00"/>
    <d v="2026-06-18T00:00:00"/>
    <s v="HOJUELAS DE AVENA, QUINUA, KIWICHA, CAÑIHUA ENRIQUECIDA CON VITAMINAS Y MINERALES. "/>
  </r>
  <r>
    <x v="0"/>
    <x v="69"/>
    <x v="7"/>
    <x v="33"/>
    <x v="119"/>
    <x v="57"/>
    <n v="842.01083999999992"/>
    <x v="8"/>
    <x v="44"/>
    <n v="19"/>
    <x v="157"/>
    <d v="2026-06-16T00:00:00"/>
    <d v="2026-06-18T00:00:00"/>
    <s v="HOJUELAS DE AVENA, QUINUA, KIWICHA, CAÑIHUA ENRIQUECIDA CON VITAMINAS Y MINERALES. "/>
  </r>
  <r>
    <x v="0"/>
    <x v="69"/>
    <x v="8"/>
    <x v="114"/>
    <x v="121"/>
    <x v="57"/>
    <n v="814.8492"/>
    <x v="8"/>
    <x v="44"/>
    <n v="0"/>
    <x v="41"/>
    <d v="2026-08-13T00:00:00"/>
    <d v="2026-09-06T00:00:00"/>
    <s v="HOJUELAS DE AVENA, QUINUA, KIWICHA, CAÑIHUA ENRIQUECIDA CON VITAMINAS Y MINERALES. "/>
  </r>
  <r>
    <x v="0"/>
    <x v="69"/>
    <x v="9"/>
    <x v="114"/>
    <x v="119"/>
    <x v="57"/>
    <n v="842.01083999999992"/>
    <x v="8"/>
    <x v="44"/>
    <n v="19"/>
    <x v="41"/>
    <d v="2026-08-13T00:00:00"/>
    <d v="2026-09-06T00:00:00"/>
    <s v="HOJUELAS DE AVENA, QUINUA, KIWICHA, CAÑIHUA ENRIQUECIDA CON VITAMINAS Y MINERALES. "/>
  </r>
  <r>
    <x v="0"/>
    <x v="69"/>
    <x v="12"/>
    <x v="96"/>
    <x v="121"/>
    <x v="58"/>
    <n v="524.61499830000002"/>
    <x v="2"/>
    <x v="11"/>
    <n v="10"/>
    <x v="162"/>
    <d v="2026-09-05T00:00:00"/>
    <d v="2026-09-06T00:00:00"/>
    <s v="HOJUELAS DE AVENA, QUINUA, KIWICHA, CAÑIHUA ENRIQUECIDA CON VITAMINAS Y MINERALES. "/>
  </r>
  <r>
    <x v="0"/>
    <x v="69"/>
    <x v="10"/>
    <x v="157"/>
    <x v="121"/>
    <x v="57"/>
    <n v="814.8492"/>
    <x v="8"/>
    <x v="44"/>
    <n v="0"/>
    <x v="4"/>
    <m/>
    <m/>
    <s v="HOJUELAS DE AVENA, QUINUA, KIWICHA, CAÑIHUA ENRIQUECIDA CON VITAMINAS Y MINERALES. "/>
  </r>
  <r>
    <x v="0"/>
    <x v="69"/>
    <x v="11"/>
    <x v="157"/>
    <x v="119"/>
    <x v="57"/>
    <n v="842.01083999999992"/>
    <x v="8"/>
    <x v="44"/>
    <n v="19"/>
    <x v="4"/>
    <m/>
    <m/>
    <s v="HOJUELAS DE AVENA, QUINUA, KIWICHA, CAÑIHUA ENRIQUECIDA CON VITAMINAS Y MINERALES. "/>
  </r>
  <r>
    <x v="0"/>
    <x v="70"/>
    <x v="12"/>
    <x v="74"/>
    <x v="122"/>
    <x v="59"/>
    <n v="4300.5"/>
    <x v="6"/>
    <x v="71"/>
    <n v="0"/>
    <x v="163"/>
    <d v="2026-07-20T00:00:00"/>
    <d v="2026-07-20T00:00:00"/>
    <s v="MEZCLA DE HOJUELAS PRECOCIDAS DE KIWICHA, QUINUA, AVENA CON HARINA DE MAÍZ BLANCO (CHUFLA), TARWI, PROTEÍNA DE SOYA, LECHE ENTERA EN POLVO AZUCARADA ENRIQUECIDA CON VITAMINAS Y MINERALES"/>
  </r>
  <r>
    <x v="1"/>
    <x v="71"/>
    <x v="0"/>
    <x v="158"/>
    <x v="123"/>
    <x v="1"/>
    <n v="1432"/>
    <x v="1"/>
    <x v="72"/>
    <n v="32"/>
    <x v="135"/>
    <d v="2025-12-11T00:00:00"/>
    <d v="2025-12-17T00:00:00"/>
    <s v="HOJUELA DE KIWICHA TOSTADA, SOYA INTEGRAL, QUINUA, AVENA AZUCARADA CON MACA ENRIQUECIDA CON VITAMINAS Y MINERALES"/>
  </r>
  <r>
    <x v="1"/>
    <x v="71"/>
    <x v="1"/>
    <x v="69"/>
    <x v="124"/>
    <x v="1"/>
    <n v="1294"/>
    <x v="1"/>
    <x v="18"/>
    <n v="44"/>
    <x v="27"/>
    <d v="2026-01-04T00:00:00"/>
    <d v="2026-01-10T00:00:00"/>
    <s v="HOJUELA DE KIWICHA TOSTADA, SOYA INTEGRAL, QUINUA, AVENA AZUCARADA CON MACA ENRIQUECIDA CON VITAMINAS Y MINERALES"/>
  </r>
  <r>
    <x v="1"/>
    <x v="71"/>
    <x v="2"/>
    <x v="145"/>
    <x v="123"/>
    <x v="1"/>
    <n v="1432"/>
    <x v="1"/>
    <x v="72"/>
    <n v="32"/>
    <x v="164"/>
    <d v="2026-02-05T00:00:00"/>
    <d v="2026-02-10T00:00:00"/>
    <s v="HOJUELA DE KIWICHA TOSTADA, SOYA INTEGRAL, QUINUA, AVENA AZUCARADA CON MACA ENRIQUECIDA CON VITAMINAS Y MINERALES"/>
  </r>
  <r>
    <x v="1"/>
    <x v="71"/>
    <x v="3"/>
    <x v="71"/>
    <x v="125"/>
    <x v="1"/>
    <n v="1386"/>
    <x v="1"/>
    <x v="32"/>
    <n v="36"/>
    <x v="79"/>
    <d v="2026-03-05T00:00:00"/>
    <d v="2026-03-06T00:00:00"/>
    <s v="HOJUELA DE KIWICHA TOSTADA, SOYA INTEGRAL, QUINUA, AVENA AZUCARADA CON MACA ENRIQUECIDA CON VITAMINAS Y MINERALES"/>
  </r>
  <r>
    <x v="1"/>
    <x v="71"/>
    <x v="4"/>
    <x v="72"/>
    <x v="123"/>
    <x v="1"/>
    <n v="1432"/>
    <x v="1"/>
    <x v="72"/>
    <n v="32"/>
    <x v="97"/>
    <d v="2026-04-07T00:00:00"/>
    <d v="2026-04-09T00:00:00"/>
    <s v="HOJUELA DE KIWICHA TOSTADA, SOYA INTEGRAL, QUINUA, AVENA AZUCARADA CON MACA ENRIQUECIDA CON VITAMINAS Y MINERALES"/>
  </r>
  <r>
    <x v="1"/>
    <x v="71"/>
    <x v="5"/>
    <x v="51"/>
    <x v="125"/>
    <x v="1"/>
    <n v="1386"/>
    <x v="1"/>
    <x v="32"/>
    <n v="36"/>
    <x v="1"/>
    <d v="2026-05-05T00:00:00"/>
    <d v="2026-05-05T00:00:00"/>
    <s v="HOJUELA DE KIWICHA TOSTADA, SOYA INTEGRAL, QUINUA, AVENA AZUCARADA CON MACA ENRIQUECIDA CON VITAMINAS Y MINERALES"/>
  </r>
  <r>
    <x v="1"/>
    <x v="71"/>
    <x v="6"/>
    <x v="109"/>
    <x v="123"/>
    <x v="1"/>
    <n v="1432"/>
    <x v="1"/>
    <x v="72"/>
    <n v="32"/>
    <x v="80"/>
    <d v="2026-05-26T00:00:00"/>
    <d v="2026-06-05T00:00:00"/>
    <s v="HOJUELA DE KIWICHA TOSTADA, SOYA INTEGRAL, QUINUA, AVENA AZUCARADA CON MACA ENRIQUECIDA CON VITAMINAS Y MINERALES"/>
  </r>
  <r>
    <x v="1"/>
    <x v="71"/>
    <x v="7"/>
    <x v="148"/>
    <x v="123"/>
    <x v="1"/>
    <n v="1432"/>
    <x v="1"/>
    <x v="72"/>
    <n v="32"/>
    <x v="55"/>
    <d v="2026-07-09T00:00:00"/>
    <d v="2026-07-11T00:00:00"/>
    <s v="HOJUELA DE KIWICHA TOSTADA, SOYA INTEGRAL, QUINUA, AVENA AZUCARADA CON MACA ENRIQUECIDA CON VITAMINAS Y MINERALES"/>
  </r>
  <r>
    <x v="1"/>
    <x v="71"/>
    <x v="12"/>
    <x v="148"/>
    <x v="126"/>
    <x v="1"/>
    <n v="1044.4000000000001"/>
    <x v="1"/>
    <x v="1"/>
    <n v="44.400000000000091"/>
    <x v="165"/>
    <d v="2026-07-19T00:00:00"/>
    <d v="2026-07-19T00:00:00"/>
    <s v="HOJUELA DE KIWICHA TOSTADA, SOYA INTEGRAL, QUINUA, AVENA AZUCARADA CON MACA ENRIQUECIDA CON VITAMINAS Y MINERALES"/>
  </r>
  <r>
    <x v="1"/>
    <x v="71"/>
    <x v="8"/>
    <x v="34"/>
    <x v="125"/>
    <x v="1"/>
    <n v="1386"/>
    <x v="1"/>
    <x v="32"/>
    <n v="36"/>
    <x v="31"/>
    <d v="2026-07-31T00:00:00"/>
    <d v="2026-07-31T00:00:00"/>
    <s v="HOJUELA DE KIWICHA TOSTADA, SOYA INTEGRAL, QUINUA, AVENA AZUCARADA CON MACA ENRIQUECIDA CON VITAMINAS Y MINERALES"/>
  </r>
  <r>
    <x v="1"/>
    <x v="71"/>
    <x v="9"/>
    <x v="159"/>
    <x v="123"/>
    <x v="1"/>
    <n v="1432"/>
    <x v="1"/>
    <x v="72"/>
    <n v="32"/>
    <x v="166"/>
    <d v="2026-09-02T00:00:00"/>
    <d v="2026-09-08T00:00:00"/>
    <s v="HOJUELA DE KIWICHA TOSTADA, SOYA INTEGRAL, QUINUA, AVENA AZUCARADA CON MACA ENRIQUECIDA CON VITAMINAS Y MINERALES"/>
  </r>
  <r>
    <x v="1"/>
    <x v="71"/>
    <x v="10"/>
    <x v="126"/>
    <x v="125"/>
    <x v="1"/>
    <n v="1386"/>
    <x v="1"/>
    <x v="32"/>
    <n v="36"/>
    <x v="4"/>
    <m/>
    <m/>
    <s v="HOJUELA DE KIWICHA TOSTADA, SOYA INTEGRAL, QUINUA, AVENA AZUCARADA CON MACA ENRIQUECIDA CON VITAMINAS Y MINERALES"/>
  </r>
  <r>
    <x v="1"/>
    <x v="71"/>
    <x v="11"/>
    <x v="76"/>
    <x v="123"/>
    <x v="1"/>
    <n v="1432"/>
    <x v="1"/>
    <x v="72"/>
    <n v="32"/>
    <x v="4"/>
    <m/>
    <m/>
    <s v="HOJUELA DE KIWICHA TOSTADA, SOYA INTEGRAL, QUINUA, AVENA AZUCARADA CON MACA ENRIQUECIDA CON VITAMINAS Y MINERALES"/>
  </r>
  <r>
    <x v="6"/>
    <x v="72"/>
    <x v="39"/>
    <x v="160"/>
    <x v="127"/>
    <x v="1"/>
    <n v="6182"/>
    <x v="8"/>
    <x v="73"/>
    <n v="2"/>
    <x v="167"/>
    <d v="2025-12-21T00:00:00"/>
    <d v="2025-12-22T00:00:00"/>
    <s v="HOJUELAS DE QUINUA AVENA CON AZUCAR FORTIFICADA CON VITAMINAS Y MINERALES"/>
  </r>
  <r>
    <x v="6"/>
    <x v="72"/>
    <x v="0"/>
    <x v="47"/>
    <x v="128"/>
    <x v="1"/>
    <n v="5584"/>
    <x v="8"/>
    <x v="74"/>
    <n v="4"/>
    <x v="168"/>
    <d v="2026-01-20T00:00:00"/>
    <d v="2026-01-26T00:00:00"/>
    <s v="HOJUELAS DE QUINUA AVENA CON AZUCAR FORTIFICADA CON VITAMINAS Y MINERALES"/>
  </r>
  <r>
    <x v="6"/>
    <x v="72"/>
    <x v="1"/>
    <x v="152"/>
    <x v="127"/>
    <x v="1"/>
    <n v="6182"/>
    <x v="8"/>
    <x v="73"/>
    <n v="2"/>
    <x v="84"/>
    <d v="2026-02-20T00:00:00"/>
    <d v="2026-02-23T00:00:00"/>
    <s v="HOJUELAS DE QUINUA AVENA CON AZUCAR FORTIFICADA CON VITAMINAS Y MINERALES"/>
  </r>
  <r>
    <x v="0"/>
    <x v="72"/>
    <x v="3"/>
    <x v="49"/>
    <x v="129"/>
    <x v="1"/>
    <n v="5983"/>
    <x v="8"/>
    <x v="75"/>
    <n v="13"/>
    <x v="95"/>
    <d v="2026-03-25T00:00:00"/>
    <d v="2026-03-25T00:00:00"/>
    <s v="HOJUELAS DE QUINUA AVENA CON AZÚCAR FORTIFICADA CON VITAMINAS Y MINERALES"/>
  </r>
  <r>
    <x v="0"/>
    <x v="72"/>
    <x v="4"/>
    <x v="108"/>
    <x v="127"/>
    <x v="1"/>
    <n v="6182"/>
    <x v="8"/>
    <x v="73"/>
    <n v="2"/>
    <x v="169"/>
    <d v="2026-04-13T00:00:00"/>
    <d v="2026-04-24T00:00:00"/>
    <s v="HOJUELAS DE QUINUA AVENA CON AZÚCAR FORTIFICADA CON VITAMINAS Y MINERALES"/>
  </r>
  <r>
    <x v="0"/>
    <x v="72"/>
    <x v="5"/>
    <x v="113"/>
    <x v="129"/>
    <x v="1"/>
    <n v="5983"/>
    <x v="8"/>
    <x v="75"/>
    <n v="13"/>
    <x v="170"/>
    <d v="2026-05-22T00:00:00"/>
    <d v="2026-05-25T00:00:00"/>
    <s v="HOJUELAS DE QUINUA AVENA CON AZÚCAR FORTIFICADA CON VITAMINAS Y MINERALES"/>
  </r>
  <r>
    <x v="0"/>
    <x v="72"/>
    <x v="6"/>
    <x v="94"/>
    <x v="127"/>
    <x v="1"/>
    <n v="6182"/>
    <x v="8"/>
    <x v="73"/>
    <n v="2"/>
    <x v="13"/>
    <d v="2026-06-24T00:00:00"/>
    <d v="2026-06-24T00:00:00"/>
    <s v="HOJUELAS DE QUINUA AVENA CON AZÚCAR FORTIFICADA CON VITAMINAS Y MINERALES"/>
  </r>
  <r>
    <x v="0"/>
    <x v="72"/>
    <x v="7"/>
    <x v="148"/>
    <x v="127"/>
    <x v="1"/>
    <n v="6182"/>
    <x v="8"/>
    <x v="73"/>
    <n v="2"/>
    <x v="163"/>
    <d v="2026-07-20T00:00:00"/>
    <d v="2026-07-21T00:00:00"/>
    <s v="HOJUELAS DE QUINUA AVENA CON AZÚCAR FORTIFICADA CON VITAMINAS Y MINERALES"/>
  </r>
  <r>
    <x v="0"/>
    <x v="72"/>
    <x v="8"/>
    <x v="114"/>
    <x v="129"/>
    <x v="1"/>
    <n v="5983"/>
    <x v="8"/>
    <x v="75"/>
    <n v="13"/>
    <x v="171"/>
    <d v="2026-08-05T00:00:00"/>
    <d v="2026-08-24T00:00:00"/>
    <s v="HOJUELAS DE QUINUA AVENA CON AZÚCAR FORTIFICADA CON VITAMINAS Y MINERALES"/>
  </r>
  <r>
    <x v="0"/>
    <x v="72"/>
    <x v="9"/>
    <x v="29"/>
    <x v="127"/>
    <x v="1"/>
    <n v="6182"/>
    <x v="8"/>
    <x v="73"/>
    <n v="2"/>
    <x v="4"/>
    <m/>
    <m/>
    <s v="HOJUELAS DE QUINUA AVENA CON AZÚCAR FORTIFICADA CON VITAMINAS Y MINERALES"/>
  </r>
  <r>
    <x v="0"/>
    <x v="72"/>
    <x v="10"/>
    <x v="157"/>
    <x v="129"/>
    <x v="1"/>
    <n v="5983"/>
    <x v="8"/>
    <x v="75"/>
    <n v="13"/>
    <x v="4"/>
    <m/>
    <m/>
    <s v="HOJUELAS DE QUINUA AVENA CON AZÚCAR FORTIFICADA CON VITAMINAS Y MINERALES"/>
  </r>
  <r>
    <x v="0"/>
    <x v="72"/>
    <x v="11"/>
    <x v="161"/>
    <x v="127"/>
    <x v="1"/>
    <n v="6182"/>
    <x v="8"/>
    <x v="73"/>
    <n v="2"/>
    <x v="4"/>
    <m/>
    <m/>
    <s v="HOJUELAS DE QUINUA AVENA CON AZÚCAR FORTIFICADA CON VITAMINAS Y MINERALES"/>
  </r>
  <r>
    <x v="7"/>
    <x v="73"/>
    <x v="12"/>
    <x v="162"/>
    <x v="130"/>
    <x v="60"/>
    <n v="774.21960000000001"/>
    <x v="1"/>
    <x v="44"/>
    <n v="40"/>
    <x v="164"/>
    <d v="2026-02-05T00:00:00"/>
    <d v="2026-02-05T00:00:00"/>
    <s v="HOJUELA DE QUINUA, AVENA, KIWICHA, SOYA, MACA Y TARWI (CHOCHO) CON VITAMINAS Y MINERALES"/>
  </r>
  <r>
    <x v="0"/>
    <x v="73"/>
    <x v="17"/>
    <x v="23"/>
    <x v="130"/>
    <x v="60"/>
    <n v="774.21960000000001"/>
    <x v="1"/>
    <x v="44"/>
    <n v="40"/>
    <x v="38"/>
    <d v="2026-03-10T00:00:00"/>
    <d v="2026-03-10T00:00:00"/>
    <s v="HOJUELA DE QUINUA, AVENA, KIWICHA, SOYA, MACA Y TARWI (CHOCHO) CON VITAMINAS Y MINERALES"/>
  </r>
  <r>
    <x v="0"/>
    <x v="73"/>
    <x v="18"/>
    <x v="8"/>
    <x v="130"/>
    <x v="60"/>
    <n v="774.21960000000001"/>
    <x v="1"/>
    <x v="44"/>
    <n v="40"/>
    <x v="110"/>
    <d v="2026-07-02T00:00:00"/>
    <d v="2026-07-02T00:00:00"/>
    <s v="HOJUELA DE QUINUA, AVENA, KIWICHA, SOYA, MACA Y TARWI (CHOCHO) CON VITAMINAS Y MINERALES"/>
  </r>
  <r>
    <x v="0"/>
    <x v="73"/>
    <x v="19"/>
    <x v="24"/>
    <x v="109"/>
    <x v="60"/>
    <n v="782.04"/>
    <x v="1"/>
    <x v="1"/>
    <n v="0"/>
    <x v="4"/>
    <m/>
    <m/>
    <s v="HOJUELA DE QUINUA, AVENA, KIWICHA, SOYA, MACA Y TARWI (CHOCHO) CON VITAMINAS Y MINERALES"/>
  </r>
  <r>
    <x v="0"/>
    <x v="74"/>
    <x v="0"/>
    <x v="30"/>
    <x v="131"/>
    <x v="61"/>
    <n v="851.46630000000005"/>
    <x v="11"/>
    <x v="1"/>
    <n v="5"/>
    <x v="82"/>
    <d v="2025-12-06T00:00:00"/>
    <d v="2025-12-18T00:00:00"/>
    <s v="MEZCLA PRECOCIDA DE QUINUA, AVENA, MAÍZ CHULFA CON MACA FORTIFICADA CON VITAMINAS Y MINERALES"/>
  </r>
  <r>
    <x v="0"/>
    <x v="74"/>
    <x v="1"/>
    <x v="163"/>
    <x v="131"/>
    <x v="61"/>
    <n v="851.46630000000005"/>
    <x v="11"/>
    <x v="1"/>
    <n v="5"/>
    <x v="121"/>
    <d v="2026-01-10T00:00:00"/>
    <d v="2026-01-12T00:00:00"/>
    <s v="MEZCLA PRECOCIDA DE QUINUA, AVENA, MAÍZ CHULFA CON MACA FORTIFICADA CON VITAMINAS Y MINERALES"/>
  </r>
  <r>
    <x v="0"/>
    <x v="74"/>
    <x v="2"/>
    <x v="48"/>
    <x v="131"/>
    <x v="61"/>
    <n v="851.46630000000005"/>
    <x v="11"/>
    <x v="1"/>
    <n v="5"/>
    <x v="172"/>
    <d v="2026-02-15T00:00:00"/>
    <d v="2026-02-15T00:00:00"/>
    <s v="MEZCLA PRECOCIDA DE QUINUA, AVENA, MAÍZ CHULFA CON MACA FORTIFICADA CON VITAMINAS Y MINERALES"/>
  </r>
  <r>
    <x v="0"/>
    <x v="74"/>
    <x v="3"/>
    <x v="49"/>
    <x v="131"/>
    <x v="61"/>
    <n v="851.46630000000005"/>
    <x v="11"/>
    <x v="1"/>
    <n v="5"/>
    <x v="173"/>
    <d v="2026-03-13T00:00:00"/>
    <d v="2026-03-15T00:00:00"/>
    <s v="MEZCLA PRECOCIDA DE QUINUA, AVENA, MAÍZ CHULFA CON MACA FORTIFICADA CON VITAMINAS Y MINERALES"/>
  </r>
  <r>
    <x v="0"/>
    <x v="74"/>
    <x v="4"/>
    <x v="1"/>
    <x v="131"/>
    <x v="61"/>
    <n v="851.46630000000005"/>
    <x v="11"/>
    <x v="1"/>
    <n v="5"/>
    <x v="7"/>
    <d v="2026-04-24T00:00:00"/>
    <d v="2026-04-28T00:00:00"/>
    <s v="MEZCLA PRECOCIDA DE QUINUA, AVENA, MAÍZ CHULFA CON MACA FORTIFICADA CON VITAMINAS Y MINERALES"/>
  </r>
  <r>
    <x v="0"/>
    <x v="74"/>
    <x v="5"/>
    <x v="164"/>
    <x v="131"/>
    <x v="61"/>
    <n v="851.46630000000005"/>
    <x v="11"/>
    <x v="1"/>
    <n v="5"/>
    <x v="59"/>
    <d v="2026-05-13T00:00:00"/>
    <d v="2026-05-13T00:00:00"/>
    <s v="MEZCLA PRECOCIDA DE QUINUA, AVENA, MAÍZ CHULFA CON MACA FORTIFICADA CON VITAMINAS Y MINERALES"/>
  </r>
  <r>
    <x v="0"/>
    <x v="74"/>
    <x v="6"/>
    <x v="124"/>
    <x v="131"/>
    <x v="61"/>
    <n v="851.46630000000005"/>
    <x v="11"/>
    <x v="1"/>
    <n v="5"/>
    <x v="22"/>
    <d v="2026-06-06T00:00:00"/>
    <d v="2026-06-06T00:00:00"/>
    <s v="MEZCLA PRECOCIDA DE QUINUA, AVENA, MAÍZ CHULFA CON MACA FORTIFICADA CON VITAMINAS Y MINERALES"/>
  </r>
  <r>
    <x v="0"/>
    <x v="74"/>
    <x v="12"/>
    <x v="148"/>
    <x v="132"/>
    <x v="1"/>
    <n v="553.70000000000005"/>
    <x v="2"/>
    <x v="65"/>
    <n v="33.700000000000045"/>
    <x v="163"/>
    <d v="2026-07-20T00:00:00"/>
    <d v="2026-07-20T00:00:00"/>
    <s v="MEZCLA PRECOCIDA DE QUINUA, AVENA, MAÍZ CHULFA CON MACA FORTIFICADA CON VITAMINAS Y MINERALES"/>
  </r>
  <r>
    <x v="0"/>
    <x v="74"/>
    <x v="7"/>
    <x v="148"/>
    <x v="131"/>
    <x v="61"/>
    <n v="851.46630000000005"/>
    <x v="11"/>
    <x v="1"/>
    <n v="5"/>
    <x v="163"/>
    <d v="2026-07-20T00:00:00"/>
    <d v="2026-07-20T00:00:00"/>
    <s v="MEZCLA PRECOCIDA DE QUINUA, AVENA, MAÍZ CHULFA CON MACA FORTIFICADA CON VITAMINAS Y MINERALES"/>
  </r>
  <r>
    <x v="0"/>
    <x v="74"/>
    <x v="8"/>
    <x v="54"/>
    <x v="131"/>
    <x v="61"/>
    <n v="851.46630000000005"/>
    <x v="11"/>
    <x v="1"/>
    <n v="5"/>
    <x v="16"/>
    <d v="2026-08-17T00:00:00"/>
    <d v="2026-08-17T00:00:00"/>
    <s v="MEZCLA PRECOCIDA DE QUINUA, AVENA, MAÍZ CHULFA CON MACA FORTIFICADA CON VITAMINAS Y MINERALES"/>
  </r>
  <r>
    <x v="0"/>
    <x v="74"/>
    <x v="9"/>
    <x v="165"/>
    <x v="131"/>
    <x v="61"/>
    <n v="851.46630000000005"/>
    <x v="11"/>
    <x v="1"/>
    <n v="5"/>
    <x v="4"/>
    <m/>
    <m/>
    <s v="MEZCLA PRECOCIDA DE QUINUA, AVENA, MAÍZ CHULFA CON MACA FORTIFICADA CON VITAMINAS Y MINERALES"/>
  </r>
  <r>
    <x v="0"/>
    <x v="74"/>
    <x v="10"/>
    <x v="4"/>
    <x v="131"/>
    <x v="61"/>
    <n v="851.46630000000005"/>
    <x v="11"/>
    <x v="1"/>
    <n v="5"/>
    <x v="4"/>
    <m/>
    <m/>
    <s v="MEZCLA PRECOCIDA DE QUINUA, AVENA, MAÍZ CHULFA CON MACA FORTIFICADA CON VITAMINAS Y MINERALES"/>
  </r>
  <r>
    <x v="0"/>
    <x v="74"/>
    <x v="11"/>
    <x v="161"/>
    <x v="131"/>
    <x v="61"/>
    <n v="851.46630000000005"/>
    <x v="11"/>
    <x v="1"/>
    <n v="5"/>
    <x v="4"/>
    <m/>
    <m/>
    <s v="MEZCLA PRECOCIDA DE QUINUA, AVENA, MAÍZ CHULFA CON MACA FORTIFICADA CON VITAMINAS Y MINERALES"/>
  </r>
  <r>
    <x v="1"/>
    <x v="75"/>
    <x v="0"/>
    <x v="22"/>
    <x v="133"/>
    <x v="62"/>
    <n v="964.49789999999996"/>
    <x v="3"/>
    <x v="20"/>
    <n v="1.2300000000000182"/>
    <x v="174"/>
    <d v="2026-01-09T00:00:00"/>
    <d v="2026-01-11T00:00:00"/>
    <s v="HOJUELAS DE AVENA, KIWICHA, QUINUA, MAÍZ CHUFLA CON SOYA, MACA Y AZÚCAR FORTIFICADA CON VITAMINAS Y MINERALES "/>
  </r>
  <r>
    <x v="1"/>
    <x v="75"/>
    <x v="1"/>
    <x v="22"/>
    <x v="133"/>
    <x v="62"/>
    <n v="964.49789999999996"/>
    <x v="3"/>
    <x v="20"/>
    <n v="1.2300000000000182"/>
    <x v="174"/>
    <d v="2026-01-09T00:00:00"/>
    <d v="2026-01-11T00:00:00"/>
    <s v="HOJUELAS DE AVENA, KIWICHA, QUINUA, MAÍZ CHUFLA CON SOYA, MACA Y AZÚCAR FORTIFICADA CON VITAMINAS Y MINERALES "/>
  </r>
  <r>
    <x v="1"/>
    <x v="75"/>
    <x v="2"/>
    <x v="64"/>
    <x v="134"/>
    <x v="63"/>
    <n v="964.49050000000011"/>
    <x v="2"/>
    <x v="20"/>
    <n v="39"/>
    <x v="28"/>
    <d v="2026-02-10T00:00:00"/>
    <d v="2026-02-12T00:00:00"/>
    <s v="HOJUELAS DE AVENA, KIWICHA, QUINUA, MAÍZ CHUFLA CON SOYA, MACA Y AZÚCAR FORTIFICADA CON VITAMINAS Y MINERALES "/>
  </r>
  <r>
    <x v="1"/>
    <x v="75"/>
    <x v="3"/>
    <x v="64"/>
    <x v="134"/>
    <x v="63"/>
    <n v="964.49050000000011"/>
    <x v="2"/>
    <x v="20"/>
    <n v="39"/>
    <x v="28"/>
    <d v="2026-02-10T00:00:00"/>
    <d v="2026-02-12T00:00:00"/>
    <s v="HOJUELAS DE AVENA, KIWICHA, QUINUA, MAÍZ CHUFLA CON SOYA, MACA Y AZÚCAR FORTIFICADA CON VITAMINAS Y MINERALES "/>
  </r>
  <r>
    <x v="1"/>
    <x v="75"/>
    <x v="4"/>
    <x v="7"/>
    <x v="134"/>
    <x v="63"/>
    <n v="964.49050000000011"/>
    <x v="2"/>
    <x v="20"/>
    <n v="39"/>
    <x v="34"/>
    <d v="2026-04-26T00:00:00"/>
    <d v="2026-04-26T00:00:00"/>
    <s v="HOJUELAS DE AVENA, KIWICHA, QUINUA, MAÍZ CHUFLA CON SOYA, MACA Y AZÚCAR FORTIFICADA CON VITAMINAS Y MINERALES "/>
  </r>
  <r>
    <x v="1"/>
    <x v="75"/>
    <x v="5"/>
    <x v="7"/>
    <x v="134"/>
    <x v="63"/>
    <n v="964.49050000000011"/>
    <x v="2"/>
    <x v="20"/>
    <n v="39"/>
    <x v="34"/>
    <d v="2026-04-26T00:00:00"/>
    <d v="2026-04-26T00:00:00"/>
    <s v="HOJUELAS DE AVENA, KIWICHA, QUINUA, MAÍZ CHUFLA CON SOYA, MACA Y AZÚCAR FORTIFICADA CON VITAMINAS Y MINERALES "/>
  </r>
  <r>
    <x v="1"/>
    <x v="75"/>
    <x v="6"/>
    <x v="8"/>
    <x v="134"/>
    <x v="63"/>
    <n v="964.49050000000011"/>
    <x v="2"/>
    <x v="20"/>
    <n v="39"/>
    <x v="96"/>
    <d v="2026-06-21T00:00:00"/>
    <d v="2026-06-21T00:00:00"/>
    <s v="HOJUELAS DE AVENA, KIWICHA, QUINUA, MAÍZ CHUFLA CON SOYA, MACA Y AZÚCAR FORTIFICADA CON VITAMINAS Y MINERALES "/>
  </r>
  <r>
    <x v="1"/>
    <x v="75"/>
    <x v="7"/>
    <x v="8"/>
    <x v="134"/>
    <x v="63"/>
    <n v="964.49050000000011"/>
    <x v="2"/>
    <x v="20"/>
    <n v="39"/>
    <x v="96"/>
    <d v="2026-06-21T00:00:00"/>
    <d v="2026-06-21T00:00:00"/>
    <s v="HOJUELAS DE AVENA, KIWICHA, QUINUA, MAÍZ CHUFLA CON SOYA, MACA Y AZÚCAR FORTIFICADA CON VITAMINAS Y MINERALES "/>
  </r>
  <r>
    <x v="1"/>
    <x v="75"/>
    <x v="12"/>
    <x v="36"/>
    <x v="134"/>
    <x v="64"/>
    <n v="1448.3440000000001"/>
    <x v="8"/>
    <x v="28"/>
    <n v="19"/>
    <x v="54"/>
    <d v="2026-07-08T00:00:00"/>
    <d v="2026-07-08T00:00:00"/>
    <s v="HOJUELAS DE AVENA, KIWICHA, QUINUA, MAÍZ CHUFLA CON SOYA, MACA Y AZÚCAR FORTIFICADA CON VITAMINAS Y MINERALES "/>
  </r>
  <r>
    <x v="1"/>
    <x v="75"/>
    <x v="8"/>
    <x v="9"/>
    <x v="134"/>
    <x v="63"/>
    <n v="964.49050000000011"/>
    <x v="2"/>
    <x v="20"/>
    <n v="39"/>
    <x v="175"/>
    <d v="2026-08-08T00:00:00"/>
    <d v="2026-08-20T00:00:00"/>
    <s v="HOJUELAS DE AVENA, KIWICHA, QUINUA, MAÍZ CHUFLA CON SOYA, MACA Y AZÚCAR FORTIFICADA CON VITAMINAS Y MINERALES "/>
  </r>
  <r>
    <x v="1"/>
    <x v="75"/>
    <x v="9"/>
    <x v="9"/>
    <x v="134"/>
    <x v="63"/>
    <n v="964.49050000000011"/>
    <x v="2"/>
    <x v="20"/>
    <n v="39"/>
    <x v="175"/>
    <d v="2026-08-08T00:00:00"/>
    <d v="2026-08-20T00:00:00"/>
    <s v="HOJUELAS DE AVENA, KIWICHA, QUINUA, MAÍZ CHUFLA CON SOYA, MACA Y AZÚCAR FORTIFICADA CON VITAMINAS Y MINERALES "/>
  </r>
  <r>
    <x v="1"/>
    <x v="75"/>
    <x v="10"/>
    <x v="10"/>
    <x v="134"/>
    <x v="63"/>
    <n v="964.49050000000011"/>
    <x v="2"/>
    <x v="20"/>
    <n v="39"/>
    <x v="4"/>
    <m/>
    <m/>
    <s v="HOJUELAS DE AVENA, KIWICHA, QUINUA, MAÍZ CHUFLA CON SOYA, MACA Y AZÚCAR FORTIFICADA CON VITAMINAS Y MINERALES "/>
  </r>
  <r>
    <x v="1"/>
    <x v="75"/>
    <x v="11"/>
    <x v="10"/>
    <x v="134"/>
    <x v="63"/>
    <n v="964.49050000000011"/>
    <x v="2"/>
    <x v="20"/>
    <n v="39"/>
    <x v="4"/>
    <m/>
    <m/>
    <s v="HOJUELAS DE AVENA, KIWICHA, QUINUA, MAÍZ CHUFLA CON SOYA, MACA Y AZÚCAR FORTIFICADA CON VITAMINAS Y MINERALES "/>
  </r>
  <r>
    <x v="1"/>
    <x v="75"/>
    <x v="0"/>
    <x v="104"/>
    <x v="134"/>
    <x v="63"/>
    <n v="964.49050000000011"/>
    <x v="2"/>
    <x v="20"/>
    <n v="39"/>
    <x v="4"/>
    <m/>
    <m/>
    <s v="HOJUELAS DE AVENA, KIWICHA, QUINUA, MAÍZ CHUFLA CON SOYA, MACA Y AZÚCAR FORTIFICADA CON VITAMINAS Y MINERALES "/>
  </r>
  <r>
    <x v="1"/>
    <x v="75"/>
    <x v="1"/>
    <x v="104"/>
    <x v="134"/>
    <x v="63"/>
    <n v="964.49050000000011"/>
    <x v="2"/>
    <x v="20"/>
    <n v="39"/>
    <x v="4"/>
    <m/>
    <m/>
    <s v="HOJUELAS DE AVENA, KIWICHA, QUINUA, MAÍZ CHUFLA CON SOYA, MACA Y AZÚCAR FORTIFICADA CON VITAMINAS Y MINERALES "/>
  </r>
  <r>
    <x v="0"/>
    <x v="76"/>
    <x v="16"/>
    <x v="166"/>
    <x v="135"/>
    <x v="1"/>
    <n v="1105.0830000000001"/>
    <x v="2"/>
    <x v="32"/>
    <n v="25.083000000000084"/>
    <x v="176"/>
    <d v="2026-03-07T00:00:00"/>
    <d v="2026-03-22T00:00:00"/>
    <s v="MEZCLA DE HOJUELAS DE QUINUA, AVENA, KIWICHA, SOYA, TARWI CON MACA Y LECHE ENTERA EN POLVO AZUCARADA Y FORTIFICADA CON VITAMINAS Y MINERALES SABOR A CANELA"/>
  </r>
  <r>
    <x v="0"/>
    <x v="76"/>
    <x v="17"/>
    <x v="42"/>
    <x v="135"/>
    <x v="1"/>
    <n v="1105.0830000000001"/>
    <x v="2"/>
    <x v="32"/>
    <n v="25.083000000000084"/>
    <x v="89"/>
    <d v="2026-03-22T00:00:00"/>
    <d v="2026-03-22T00:00:00"/>
    <s v="MEZCLA DE HOJUELAS DE QUINUA, AVENA, KIWICHA, SOYA, TARWI CON MACA Y LECHE ENTERA EN POLVO AZUCARADA Y FORTIFICADA CON VITAMINAS Y MINERALES SABOR A CANELA"/>
  </r>
  <r>
    <x v="0"/>
    <x v="76"/>
    <x v="18"/>
    <x v="44"/>
    <x v="135"/>
    <x v="1"/>
    <n v="1105.0830000000001"/>
    <x v="2"/>
    <x v="32"/>
    <n v="25.083000000000084"/>
    <x v="177"/>
    <d v="2026-06-17T00:00:00"/>
    <d v="2026-06-24T00:00:00"/>
    <s v="MEZCLA DE HOJUELAS DE QUINUA, AVENA, KIWICHA, SOYA, TARWI CON MACA Y LECHE ENTERA EN POLVO AZUCARADA Y FORTIFICADA CON VITAMINAS Y MINERALES SABOR A CANELA"/>
  </r>
  <r>
    <x v="0"/>
    <x v="76"/>
    <x v="12"/>
    <x v="44"/>
    <x v="136"/>
    <x v="1"/>
    <n v="369.48399999999998"/>
    <x v="2"/>
    <x v="76"/>
    <n v="9.4839999999999804"/>
    <x v="70"/>
    <d v="2026-06-22T00:00:00"/>
    <d v="2026-06-24T00:00:00"/>
    <s v="MEZCLA DE HOJUELAS DE QUINUA, AVENA, KIWICHA, SOYA, TARWI CON MACA Y LECHE ENTERA EN POLVO AZUCARADA Y FORTIFICADA CON VITAMINAS Y MINERALES SABOR A CANELA"/>
  </r>
  <r>
    <x v="0"/>
    <x v="76"/>
    <x v="19"/>
    <x v="167"/>
    <x v="135"/>
    <x v="1"/>
    <n v="1105.0830000000001"/>
    <x v="2"/>
    <x v="32"/>
    <n v="25.083000000000084"/>
    <x v="4"/>
    <m/>
    <m/>
    <s v="MEZCLA DE HOJUELAS DE QUINUA, AVENA, KIWICHA, SOYA, TARWI CON MACA Y LECHE ENTERA EN POLVO AZUCARADA Y FORTIFICADA CON VITAMINAS Y MINERALES SABOR A CANELA"/>
  </r>
  <r>
    <x v="4"/>
    <x v="77"/>
    <x v="12"/>
    <x v="87"/>
    <x v="83"/>
    <x v="1"/>
    <n v="180"/>
    <x v="2"/>
    <x v="55"/>
    <n v="20"/>
    <x v="119"/>
    <d v="2026-04-08T00:00:00"/>
    <d v="2026-04-08T00:00:00"/>
    <s v="HOJUELAS PRECOCIDAS DE QUINUA, AVENA, KIWICHA Y ARINA DE MACA FORTIFICADA CON VITAMINAS Y MINERALES"/>
  </r>
  <r>
    <x v="4"/>
    <x v="77"/>
    <x v="12"/>
    <x v="8"/>
    <x v="83"/>
    <x v="1"/>
    <n v="180"/>
    <x v="2"/>
    <x v="55"/>
    <n v="20"/>
    <x v="120"/>
    <d v="2026-07-03T00:00:00"/>
    <d v="2026-07-03T00:00:00"/>
    <s v="HOJUELAS PRECOCIDAS DE QUINUA, AVENA, KIWICHA Y ARINA DE MACA FORTIFICADA CON VITAMINAS Y MINERALES"/>
  </r>
  <r>
    <x v="0"/>
    <x v="78"/>
    <x v="12"/>
    <x v="66"/>
    <x v="137"/>
    <x v="1"/>
    <n v="798"/>
    <x v="2"/>
    <x v="44"/>
    <n v="38"/>
    <x v="38"/>
    <d v="2026-03-10T00:00:00"/>
    <d v="2026-03-10T00:00:00"/>
    <s v="HOJUELAS PRECOCIDAS DE AVENA, QUINUA, KIWICHA, HARINA DE MACA, ENRIQUECIDA CON VITAMINAS Y MINERALES"/>
  </r>
  <r>
    <x v="0"/>
    <x v="78"/>
    <x v="12"/>
    <x v="24"/>
    <x v="138"/>
    <x v="1"/>
    <n v="797"/>
    <x v="2"/>
    <x v="44"/>
    <n v="37"/>
    <x v="56"/>
    <d v="2026-09-08T00:00:00"/>
    <d v="2026-09-08T00:00:00"/>
    <s v="HOJUELAS PRECOCIDAS DE AVENA, QUINUA, KIWICHA, HARINA DE MACA, ENRIQUECIDA CON VITAMINAS Y MINERALES"/>
  </r>
  <r>
    <x v="4"/>
    <x v="79"/>
    <x v="12"/>
    <x v="87"/>
    <x v="139"/>
    <x v="1"/>
    <n v="1605"/>
    <x v="1"/>
    <x v="77"/>
    <n v="5"/>
    <x v="119"/>
    <d v="2026-04-08T00:00:00"/>
    <d v="2026-04-08T00:00:00"/>
    <s v="HOJUELAS PRECOCIDAS DE AVENA, QUINUA, KIWICHA, MACA EN HARINA Y AZUCAR RUBIA FORTIFICADA CON VITAMINAS Y MINERALES"/>
  </r>
  <r>
    <x v="0"/>
    <x v="80"/>
    <x v="16"/>
    <x v="168"/>
    <x v="140"/>
    <x v="65"/>
    <n v="3196.7875800000002"/>
    <x v="6"/>
    <x v="3"/>
    <n v="3"/>
    <x v="178"/>
    <d v="2026-04-06T00:00:00"/>
    <d v="2026-04-06T00:00:00"/>
    <s v="HOJUELAS DE AVENA, QUINUA, KIWICHA Y MACA ENRIQUECIDO CON VITAMINAS Y MINERALES "/>
  </r>
  <r>
    <x v="0"/>
    <x v="80"/>
    <x v="17"/>
    <x v="43"/>
    <x v="140"/>
    <x v="65"/>
    <n v="3196.7875800000002"/>
    <x v="6"/>
    <x v="3"/>
    <n v="3"/>
    <x v="179"/>
    <d v="2026-04-30T00:00:00"/>
    <d v="2026-05-07T00:00:00"/>
    <s v="HOJUELAS DE AVENA, QUINUA, KIWICHA Y MACA ENRIQUECIDO CON VITAMINAS Y MINERALES "/>
  </r>
  <r>
    <x v="0"/>
    <x v="80"/>
    <x v="18"/>
    <x v="13"/>
    <x v="140"/>
    <x v="65"/>
    <n v="3196.7875800000002"/>
    <x v="6"/>
    <x v="3"/>
    <n v="3"/>
    <x v="77"/>
    <d v="2026-07-24T00:00:00"/>
    <d v="2026-07-24T00:00:00"/>
    <s v="HOJUELAS DE AVENA, QUINUA, KIWICHA Y MACA ENRIQUECIDO CON VITAMINAS Y MINERALES "/>
  </r>
  <r>
    <x v="0"/>
    <x v="80"/>
    <x v="19"/>
    <x v="16"/>
    <x v="140"/>
    <x v="65"/>
    <n v="3196.7875800000002"/>
    <x v="6"/>
    <x v="3"/>
    <n v="3"/>
    <x v="4"/>
    <m/>
    <m/>
    <s v="HOJUELAS DE AVENA, QUINUA, KIWICHA Y MACA ENRIQUECIDO CON VITAMINAS Y MINERALES "/>
  </r>
  <r>
    <x v="0"/>
    <x v="81"/>
    <x v="0"/>
    <x v="30"/>
    <x v="141"/>
    <x v="66"/>
    <n v="2688.3519999999999"/>
    <x v="1"/>
    <x v="78"/>
    <n v="0"/>
    <x v="128"/>
    <d v="2026-01-03T00:00:00"/>
    <d v="2026-01-12T00:00:00"/>
    <s v="HOJUELAS PRECOCIDAS DE AVENA, KIWICHA, QUINUA, CON SOYA ENRIQUECIDA CON VITAMINAS Y MINERALES"/>
  </r>
  <r>
    <x v="0"/>
    <x v="81"/>
    <x v="1"/>
    <x v="30"/>
    <x v="141"/>
    <x v="66"/>
    <n v="2688.3519999999999"/>
    <x v="1"/>
    <x v="78"/>
    <n v="0"/>
    <x v="128"/>
    <d v="2026-01-03T00:00:00"/>
    <d v="2026-01-12T00:00:00"/>
    <s v="HOJUELAS PRECOCIDAS DE AVENA, KIWICHA, QUINUA, CON SOYA ENRIQUECIDA CON VITAMINAS Y MINERALES"/>
  </r>
  <r>
    <x v="0"/>
    <x v="81"/>
    <x v="2"/>
    <x v="30"/>
    <x v="141"/>
    <x v="66"/>
    <n v="2688.3519999999999"/>
    <x v="1"/>
    <x v="78"/>
    <n v="0"/>
    <x v="128"/>
    <d v="2026-01-03T00:00:00"/>
    <d v="2026-01-12T00:00:00"/>
    <s v="HOJUELAS PRECOCIDAS DE AVENA, KIWICHA, QUINUA, CON SOYA ENRIQUECIDA CON VITAMINAS Y MINERALES"/>
  </r>
  <r>
    <x v="0"/>
    <x v="81"/>
    <x v="3"/>
    <x v="169"/>
    <x v="141"/>
    <x v="66"/>
    <n v="2688.3519999999999"/>
    <x v="1"/>
    <x v="78"/>
    <n v="0"/>
    <x v="180"/>
    <d v="2026-03-12T00:00:00"/>
    <d v="2026-03-15T00:00:00"/>
    <s v="HOJUELAS PRECOCIDAS DE AVENA, KIWICHA, QUINUA, CON SOYA ENRIQUECIDA CON VITAMINAS Y MINERALES"/>
  </r>
  <r>
    <x v="0"/>
    <x v="81"/>
    <x v="4"/>
    <x v="169"/>
    <x v="141"/>
    <x v="66"/>
    <n v="2688.3519999999999"/>
    <x v="1"/>
    <x v="78"/>
    <n v="0"/>
    <x v="180"/>
    <d v="2026-03-12T00:00:00"/>
    <d v="2026-03-15T00:00:00"/>
    <s v="HOJUELAS PRECOCIDAS DE AVENA, KIWICHA, QUINUA, CON SOYA ENRIQUECIDA CON VITAMINAS Y MINERALES"/>
  </r>
  <r>
    <x v="0"/>
    <x v="81"/>
    <x v="5"/>
    <x v="169"/>
    <x v="141"/>
    <x v="66"/>
    <n v="2688.3519999999999"/>
    <x v="1"/>
    <x v="78"/>
    <n v="0"/>
    <x v="180"/>
    <d v="2026-03-12T00:00:00"/>
    <d v="2026-03-15T00:00:00"/>
    <s v="HOJUELAS PRECOCIDAS DE AVENA, KIWICHA, QUINUA, CON SOYA ENRIQUECIDA CON VITAMINAS Y MINERALES"/>
  </r>
  <r>
    <x v="0"/>
    <x v="81"/>
    <x v="6"/>
    <x v="123"/>
    <x v="141"/>
    <x v="66"/>
    <n v="2688.3519999999999"/>
    <x v="1"/>
    <x v="78"/>
    <n v="0"/>
    <x v="181"/>
    <d v="2026-06-08T00:00:00"/>
    <d v="2026-06-17T00:00:00"/>
    <s v="HOJUELAS PRECOCIDAS DE AVENA, KIWICHA, QUINUA, CON SOYA ENRIQUECIDA CON VITAMINAS Y MINERALES"/>
  </r>
  <r>
    <x v="0"/>
    <x v="81"/>
    <x v="7"/>
    <x v="123"/>
    <x v="141"/>
    <x v="66"/>
    <n v="2688.3519999999999"/>
    <x v="1"/>
    <x v="78"/>
    <n v="0"/>
    <x v="181"/>
    <d v="2026-06-08T00:00:00"/>
    <d v="2026-06-17T00:00:00"/>
    <s v="HOJUELAS PRECOCIDAS DE AVENA, KIWICHA, QUINUA, CON SOYA ENRIQUECIDA CON VITAMINAS Y MINERALES"/>
  </r>
  <r>
    <x v="0"/>
    <x v="81"/>
    <x v="8"/>
    <x v="123"/>
    <x v="141"/>
    <x v="66"/>
    <n v="2688.3519999999999"/>
    <x v="1"/>
    <x v="78"/>
    <n v="0"/>
    <x v="181"/>
    <d v="2026-06-08T00:00:00"/>
    <d v="2026-06-17T00:00:00"/>
    <s v="HOJUELAS PRECOCIDAS DE AVENA, KIWICHA, QUINUA, CON SOYA ENRIQUECIDA CON VITAMINAS Y MINERALES"/>
  </r>
  <r>
    <x v="0"/>
    <x v="81"/>
    <x v="9"/>
    <x v="75"/>
    <x v="141"/>
    <x v="66"/>
    <n v="2688.3519999999999"/>
    <x v="1"/>
    <x v="78"/>
    <n v="0"/>
    <x v="4"/>
    <m/>
    <m/>
    <s v="HOJUELAS PRECOCIDAS DE AVENA, KIWICHA, QUINUA, CON SOYA ENRIQUECIDA CON VITAMINAS Y MINERALES"/>
  </r>
  <r>
    <x v="0"/>
    <x v="81"/>
    <x v="10"/>
    <x v="75"/>
    <x v="141"/>
    <x v="66"/>
    <n v="2688.3519999999999"/>
    <x v="1"/>
    <x v="78"/>
    <n v="0"/>
    <x v="4"/>
    <m/>
    <m/>
    <s v="HOJUELAS PRECOCIDAS DE AVENA, KIWICHA, QUINUA, CON SOYA ENRIQUECIDA CON VITAMINAS Y MINERALES"/>
  </r>
  <r>
    <x v="0"/>
    <x v="81"/>
    <x v="11"/>
    <x v="75"/>
    <x v="142"/>
    <x v="66"/>
    <n v="2735.3981600000002"/>
    <x v="1"/>
    <x v="79"/>
    <n v="6"/>
    <x v="4"/>
    <m/>
    <m/>
    <s v="HOJUELAS PRECOCIDAS DE AVENA, KIWICHA, QUINUA, CON SOYA ENRIQUECIDA CON VITAMINAS Y MINERALES"/>
  </r>
  <r>
    <x v="0"/>
    <x v="82"/>
    <x v="0"/>
    <x v="69"/>
    <x v="143"/>
    <x v="67"/>
    <n v="364.20239999999995"/>
    <x v="8"/>
    <x v="27"/>
    <n v="0"/>
    <x v="127"/>
    <d v="2026-01-30T00:00:00"/>
    <d v="2026-02-02T00:00:00"/>
    <s v="HOJUELAS DE AVENA, QUINUA, KIWICHA CON MACA Y SOYA ENRIQUECIDA CON VITAMINAS Y MINERALES"/>
  </r>
  <r>
    <x v="0"/>
    <x v="82"/>
    <x v="1"/>
    <x v="69"/>
    <x v="143"/>
    <x v="67"/>
    <n v="364.20239999999995"/>
    <x v="8"/>
    <x v="27"/>
    <n v="0"/>
    <x v="127"/>
    <d v="2026-01-30T00:00:00"/>
    <d v="2026-02-02T00:00:00"/>
    <s v="HOJUELAS DE AVENA, QUINUA, KIWICHA CON MACA Y SOYA ENRIQUECIDA CON VITAMINAS Y MINERALES"/>
  </r>
  <r>
    <x v="0"/>
    <x v="82"/>
    <x v="2"/>
    <x v="32"/>
    <x v="143"/>
    <x v="67"/>
    <n v="364.20239999999995"/>
    <x v="8"/>
    <x v="27"/>
    <n v="0"/>
    <x v="10"/>
    <d v="2026-03-24T00:00:00"/>
    <d v="2026-03-24T00:00:00"/>
    <s v="HOJUELAS DE AVENA, QUINUA, KIWICHA CON MACA Y SOYA ENRIQUECIDA CON VITAMINAS Y MINERALES"/>
  </r>
  <r>
    <x v="0"/>
    <x v="82"/>
    <x v="3"/>
    <x v="71"/>
    <x v="143"/>
    <x v="67"/>
    <n v="364.20239999999995"/>
    <x v="8"/>
    <x v="27"/>
    <n v="0"/>
    <x v="10"/>
    <d v="2026-03-24T00:00:00"/>
    <d v="2026-03-24T00:00:00"/>
    <s v="HOJUELAS DE AVENA, QUINUA, KIWICHA CON MACA Y SOYA ENRIQUECIDA CON VITAMINAS Y MINERALES"/>
  </r>
  <r>
    <x v="0"/>
    <x v="82"/>
    <x v="4"/>
    <x v="72"/>
    <x v="143"/>
    <x v="67"/>
    <n v="364.20239999999995"/>
    <x v="8"/>
    <x v="27"/>
    <n v="0"/>
    <x v="182"/>
    <d v="2026-04-20T00:00:00"/>
    <d v="2026-04-20T00:00:00"/>
    <s v="HOJUELAS DE AVENA, QUINUA, KIWICHA CON MACA Y SOYA ENRIQUECIDA CON VITAMINAS Y MINERALES"/>
  </r>
  <r>
    <x v="0"/>
    <x v="82"/>
    <x v="5"/>
    <x v="170"/>
    <x v="143"/>
    <x v="67"/>
    <n v="364.20239999999995"/>
    <x v="8"/>
    <x v="27"/>
    <n v="0"/>
    <x v="86"/>
    <d v="2026-05-11T00:00:00"/>
    <d v="2026-05-20T00:00:00"/>
    <s v="HOJUELAS DE AVENA, QUINUA, KIWICHA CON MACA Y SOYA ENRIQUECIDA CON VITAMINAS Y MINERALES"/>
  </r>
  <r>
    <x v="0"/>
    <x v="82"/>
    <x v="6"/>
    <x v="109"/>
    <x v="143"/>
    <x v="67"/>
    <n v="364.20239999999995"/>
    <x v="8"/>
    <x v="27"/>
    <n v="0"/>
    <x v="19"/>
    <d v="2026-06-19T00:00:00"/>
    <d v="2026-06-19T00:00:00"/>
    <s v="HOJUELAS DE AVENA, QUINUA, KIWICHA CON MACA Y SOYA ENRIQUECIDA CON VITAMINAS Y MINERALES"/>
  </r>
  <r>
    <x v="0"/>
    <x v="82"/>
    <x v="7"/>
    <x v="74"/>
    <x v="143"/>
    <x v="67"/>
    <n v="364.20239999999995"/>
    <x v="8"/>
    <x v="27"/>
    <n v="0"/>
    <x v="163"/>
    <d v="2026-07-20T00:00:00"/>
    <d v="2026-07-20T00:00:00"/>
    <s v="HOJUELAS DE AVENA, QUINUA, KIWICHA CON MACA Y SOYA ENRIQUECIDA CON VITAMINAS Y MINERALES"/>
  </r>
  <r>
    <x v="0"/>
    <x v="82"/>
    <x v="12"/>
    <x v="101"/>
    <x v="114"/>
    <x v="67"/>
    <n v="429.45533"/>
    <x v="8"/>
    <x v="76"/>
    <n v="13"/>
    <x v="108"/>
    <d v="2026-08-12T00:00:00"/>
    <d v="2026-08-12T00:00:00"/>
    <s v="HOJUELAS DE AVENA, QUINUA, KIWICHA CON MACA Y SOYA ENRIQUECIDA CON VITAMINAS Y MINERALES"/>
  </r>
  <r>
    <x v="0"/>
    <x v="82"/>
    <x v="8"/>
    <x v="28"/>
    <x v="143"/>
    <x v="67"/>
    <n v="364.20239999999995"/>
    <x v="8"/>
    <x v="27"/>
    <n v="0"/>
    <x v="108"/>
    <d v="2026-08-12T00:00:00"/>
    <d v="2026-08-12T00:00:00"/>
    <s v="HOJUELAS DE AVENA, QUINUA, KIWICHA CON MACA Y SOYA ENRIQUECIDA CON VITAMINAS Y MINERALES"/>
  </r>
  <r>
    <x v="0"/>
    <x v="82"/>
    <x v="9"/>
    <x v="75"/>
    <x v="143"/>
    <x v="67"/>
    <n v="364.20239999999995"/>
    <x v="8"/>
    <x v="27"/>
    <n v="0"/>
    <x v="4"/>
    <m/>
    <m/>
    <s v="HOJUELAS DE AVENA, QUINUA, KIWICHA CON MACA Y SOYA ENRIQUECIDA CON VITAMINAS Y MINERALES"/>
  </r>
  <r>
    <x v="0"/>
    <x v="82"/>
    <x v="10"/>
    <x v="35"/>
    <x v="143"/>
    <x v="67"/>
    <n v="364.20239999999995"/>
    <x v="8"/>
    <x v="27"/>
    <n v="0"/>
    <x v="4"/>
    <m/>
    <m/>
    <s v="HOJUELAS DE AVENA, QUINUA, KIWICHA CON MACA Y SOYA ENRIQUECIDA CON VITAMINAS Y MINERALES"/>
  </r>
  <r>
    <x v="0"/>
    <x v="82"/>
    <x v="11"/>
    <x v="76"/>
    <x v="143"/>
    <x v="67"/>
    <n v="364.20239999999995"/>
    <x v="8"/>
    <x v="27"/>
    <n v="0"/>
    <x v="4"/>
    <m/>
    <m/>
    <s v="HOJUELAS DE AVENA, QUINUA, KIWICHA CON MACA Y SOYA ENRIQUECIDA CON VITAMINAS Y MINERALES"/>
  </r>
  <r>
    <x v="0"/>
    <x v="83"/>
    <x v="29"/>
    <x v="0"/>
    <x v="144"/>
    <x v="1"/>
    <n v="850"/>
    <x v="2"/>
    <x v="17"/>
    <n v="10"/>
    <x v="183"/>
    <d v="2026-02-13T00:00:00"/>
    <d v="2026-02-15T00:00:00"/>
    <s v="HOJUELAS DE AVENA, QUINUA Y KIWICHA, PRECOCIDAS ENRIQUECIDAS CON VITAMINAS Y MINERALES"/>
  </r>
  <r>
    <x v="0"/>
    <x v="83"/>
    <x v="30"/>
    <x v="171"/>
    <x v="144"/>
    <x v="1"/>
    <n v="850"/>
    <x v="2"/>
    <x v="17"/>
    <n v="10"/>
    <x v="79"/>
    <d v="2026-03-05T00:00:00"/>
    <d v="2026-03-17T00:00:00"/>
    <s v="HOJUELAS DE AVENA, QUINUA Y KIWICHA, PRECOCIDAS ENRIQUECIDAS CON VITAMINAS Y MINERALES"/>
  </r>
  <r>
    <x v="0"/>
    <x v="83"/>
    <x v="21"/>
    <x v="172"/>
    <x v="144"/>
    <x v="1"/>
    <n v="850"/>
    <x v="2"/>
    <x v="17"/>
    <n v="10"/>
    <x v="184"/>
    <d v="2026-05-18T00:00:00"/>
    <d v="2026-05-18T00:00:00"/>
    <s v="HOJUELAS DE AVENA, QUINUA Y KIWICHA, PRECOCIDAS ENRIQUECIDAS CON VITAMINAS Y MINERALES"/>
  </r>
  <r>
    <x v="0"/>
    <x v="83"/>
    <x v="6"/>
    <x v="172"/>
    <x v="107"/>
    <x v="1"/>
    <n v="425"/>
    <x v="2"/>
    <x v="2"/>
    <n v="25"/>
    <x v="184"/>
    <d v="2026-05-18T00:00:00"/>
    <d v="2026-05-18T00:00:00"/>
    <s v="HOJUELAS DE AVENA, QUINUA Y KIWICHA, PRECOCIDAS ENRIQUECIDAS CON VITAMINAS Y MINERALES"/>
  </r>
  <r>
    <x v="0"/>
    <x v="83"/>
    <x v="7"/>
    <x v="39"/>
    <x v="107"/>
    <x v="1"/>
    <n v="425"/>
    <x v="2"/>
    <x v="2"/>
    <n v="25"/>
    <x v="185"/>
    <d v="2026-08-06T00:00:00"/>
    <d v="2026-08-06T00:00:00"/>
    <s v="HOJUELAS DE AVENA, QUINUA Y KIWICHA, PRECOCIDAS ENRIQUECIDAS CON VITAMINAS Y MINERALES"/>
  </r>
  <r>
    <x v="0"/>
    <x v="83"/>
    <x v="23"/>
    <x v="39"/>
    <x v="144"/>
    <x v="1"/>
    <n v="850"/>
    <x v="2"/>
    <x v="17"/>
    <n v="10"/>
    <x v="185"/>
    <d v="2026-08-06T00:00:00"/>
    <d v="2026-08-06T00:00:00"/>
    <s v="HOJUELAS DE AVENA, QUINUA Y KIWICHA, PRECOCIDAS ENRIQUECIDAS CON VITAMINAS Y MINERALES"/>
  </r>
  <r>
    <x v="0"/>
    <x v="83"/>
    <x v="24"/>
    <x v="173"/>
    <x v="144"/>
    <x v="1"/>
    <n v="850"/>
    <x v="2"/>
    <x v="17"/>
    <n v="10"/>
    <x v="4"/>
    <m/>
    <m/>
    <s v="HOJUELAS DE AVENA, QUINUA Y KIWICHA, PRECOCIDAS ENRIQUECIDAS CON VITAMINAS Y MINERALES"/>
  </r>
  <r>
    <x v="0"/>
    <x v="84"/>
    <x v="0"/>
    <x v="25"/>
    <x v="145"/>
    <x v="1"/>
    <n v="1441.0309999999999"/>
    <x v="1"/>
    <x v="72"/>
    <n v="41.030999999999949"/>
    <x v="68"/>
    <d v="2026-03-19T00:00:00"/>
    <d v="2026-03-19T00:00:00"/>
    <s v="HOJUELAS DE AVENA, KIWICHA, QUINUA, MAÍZ CHUFLA CON SOYA, MACA Y AZÚCAR FORTIFICADA CON VITAMINAS Y MINERALES"/>
  </r>
  <r>
    <x v="0"/>
    <x v="84"/>
    <x v="1"/>
    <x v="25"/>
    <x v="145"/>
    <x v="1"/>
    <n v="1441.0309999999999"/>
    <x v="1"/>
    <x v="72"/>
    <n v="41.030999999999949"/>
    <x v="68"/>
    <d v="2026-03-19T00:00:00"/>
    <d v="2026-03-19T00:00:00"/>
    <s v="HOJUELAS DE AVENA, KIWICHA, QUINUA, MAÍZ CHUFLA CON SOYA, MACA Y AZÚCAR FORTIFICADA CON VITAMINAS Y MINERALES"/>
  </r>
  <r>
    <x v="0"/>
    <x v="84"/>
    <x v="2"/>
    <x v="25"/>
    <x v="145"/>
    <x v="1"/>
    <n v="1441.0309999999999"/>
    <x v="1"/>
    <x v="72"/>
    <n v="41.030999999999949"/>
    <x v="68"/>
    <d v="2026-03-19T00:00:00"/>
    <d v="2026-03-19T00:00:00"/>
    <s v="HOJUELAS DE AVENA, KIWICHA, QUINUA, MAÍZ CHUFLA CON SOYA, MACA Y AZÚCAR FORTIFICADA CON VITAMINAS Y MINERALES"/>
  </r>
  <r>
    <x v="0"/>
    <x v="84"/>
    <x v="3"/>
    <x v="25"/>
    <x v="145"/>
    <x v="1"/>
    <n v="1441.0309999999999"/>
    <x v="1"/>
    <x v="72"/>
    <n v="41.030999999999949"/>
    <x v="68"/>
    <d v="2026-03-19T00:00:00"/>
    <d v="2026-03-19T00:00:00"/>
    <s v="HOJUELAS DE AVENA, KIWICHA, QUINUA, MAÍZ CHUFLA CON SOYA, MACA Y AZÚCAR FORTIFICADA CON VITAMINAS Y MINERALES"/>
  </r>
  <r>
    <x v="0"/>
    <x v="84"/>
    <x v="4"/>
    <x v="164"/>
    <x v="145"/>
    <x v="1"/>
    <n v="1441.0309999999999"/>
    <x v="1"/>
    <x v="72"/>
    <n v="41.030999999999949"/>
    <x v="106"/>
    <d v="2026-05-04T00:00:00"/>
    <d v="2026-05-04T00:00:00"/>
    <s v="HOJUELAS DE AVENA, KIWICHA, QUINUA, MAÍZ CHUFLA CON SOYA, MACA Y AZÚCAR FORTIFICADA CON VITAMINAS Y MINERALES"/>
  </r>
  <r>
    <x v="0"/>
    <x v="84"/>
    <x v="5"/>
    <x v="164"/>
    <x v="145"/>
    <x v="1"/>
    <n v="1441.0309999999999"/>
    <x v="1"/>
    <x v="72"/>
    <n v="41.030999999999949"/>
    <x v="186"/>
    <d v="2026-05-08T00:00:00"/>
    <d v="2026-05-12T00:00:00"/>
    <s v="HOJUELAS DE AVENA, KIWICHA, QUINUA, MAÍZ CHUFLA CON SOYA, MACA Y AZÚCAR FORTIFICADA CON VITAMINAS Y MINERALES"/>
  </r>
  <r>
    <x v="0"/>
    <x v="84"/>
    <x v="6"/>
    <x v="124"/>
    <x v="145"/>
    <x v="1"/>
    <n v="1441.0309999999999"/>
    <x v="1"/>
    <x v="72"/>
    <n v="41.030999999999949"/>
    <x v="64"/>
    <d v="2026-06-09T00:00:00"/>
    <d v="2026-06-09T00:00:00"/>
    <s v="HOJUELAS DE AVENA, KIWICHA, QUINUA, MAÍZ CHUFLA CON SOYA, MACA Y AZÚCAR FORTIFICADA CON VITAMINAS Y MINERALES"/>
  </r>
  <r>
    <x v="0"/>
    <x v="84"/>
    <x v="7"/>
    <x v="53"/>
    <x v="145"/>
    <x v="1"/>
    <n v="1441.0309999999999"/>
    <x v="1"/>
    <x v="72"/>
    <n v="41.030999999999949"/>
    <x v="148"/>
    <d v="2026-08-23T00:00:00"/>
    <d v="2026-07-23T00:00:00"/>
    <s v="HOJUELAS DE AVENA, KIWICHA, QUINUA, MAÍZ CHUFLA CON SOYA, MACA Y AZÚCAR FORTIFICADA CON VITAMINAS Y MINERALES"/>
  </r>
  <r>
    <x v="0"/>
    <x v="84"/>
    <x v="12"/>
    <x v="54"/>
    <x v="146"/>
    <x v="1"/>
    <n v="720"/>
    <x v="1"/>
    <x v="11"/>
    <n v="20"/>
    <x v="126"/>
    <d v="2026-08-23T00:00:00"/>
    <d v="2026-08-23T00:00:00"/>
    <s v="HOJUELAS DE AVENA, KIWICHA, QUINUA, MAÍZ CHUFLA CON SOYA, MACA Y AZÚCAR FORTIFICADA CON VITAMINAS Y MINERALES"/>
  </r>
  <r>
    <x v="0"/>
    <x v="84"/>
    <x v="8"/>
    <x v="96"/>
    <x v="145"/>
    <x v="1"/>
    <n v="1441.0309999999999"/>
    <x v="1"/>
    <x v="72"/>
    <n v="41.030999999999949"/>
    <x v="126"/>
    <d v="2026-08-23T00:00:00"/>
    <d v="2026-08-23T00:00:00"/>
    <s v="HOJUELAS DE AVENA, KIWICHA, QUINUA, MAÍZ CHUFLA CON SOYA, MACA Y AZÚCAR FORTIFICADA CON VITAMINAS Y MINERALES"/>
  </r>
  <r>
    <x v="0"/>
    <x v="84"/>
    <x v="9"/>
    <x v="29"/>
    <x v="145"/>
    <x v="1"/>
    <n v="1441.0309999999999"/>
    <x v="1"/>
    <x v="72"/>
    <n v="41.030999999999949"/>
    <x v="4"/>
    <m/>
    <m/>
    <s v="HOJUELAS DE AVENA, KIWICHA, QUINUA, MAÍZ CHUFLA CON SOYA, MACA Y AZÚCAR FORTIFICADA CON VITAMINAS Y MINERALES"/>
  </r>
  <r>
    <x v="0"/>
    <x v="84"/>
    <x v="10"/>
    <x v="4"/>
    <x v="145"/>
    <x v="1"/>
    <n v="1441.0309999999999"/>
    <x v="1"/>
    <x v="72"/>
    <n v="41.030999999999949"/>
    <x v="4"/>
    <m/>
    <m/>
    <s v="HOJUELAS DE AVENA, KIWICHA, QUINUA, MAÍZ CHUFLA CON SOYA, MACA Y AZÚCAR FORTIFICADA CON VITAMINAS Y MINERALES"/>
  </r>
  <r>
    <x v="0"/>
    <x v="84"/>
    <x v="11"/>
    <x v="99"/>
    <x v="145"/>
    <x v="1"/>
    <n v="1441.0309999999999"/>
    <x v="1"/>
    <x v="72"/>
    <n v="41.030999999999949"/>
    <x v="4"/>
    <m/>
    <m/>
    <s v="HOJUELAS DE AVENA, KIWICHA, QUINUA, MAÍZ CHUFLA CON SOYA, MACA Y AZÚCAR FORTIFICADA CON VITAMINAS Y MINERALES"/>
  </r>
  <r>
    <x v="6"/>
    <x v="85"/>
    <x v="12"/>
    <x v="30"/>
    <x v="147"/>
    <x v="68"/>
    <n v="3980.4339999999997"/>
    <x v="8"/>
    <x v="80"/>
    <n v="20"/>
    <x v="91"/>
    <d v="2025-12-30T00:00:00"/>
    <d v="2026-12-30T00:00:00"/>
    <s v="HOJUELAS PRECOCIDAS DE KIWICHA, SOYA, CHUFLA, AVENA, PALLAR, CON MACA Y AZÚCAR RUBIA, ENRIQUECIDAS CON VITAMINAS Y MINERALES"/>
  </r>
  <r>
    <x v="6"/>
    <x v="85"/>
    <x v="12"/>
    <x v="69"/>
    <x v="147"/>
    <x v="68"/>
    <n v="3980.4339999999997"/>
    <x v="8"/>
    <x v="80"/>
    <n v="20"/>
    <x v="121"/>
    <d v="2026-01-10T00:00:00"/>
    <d v="2026-01-12T00:00:00"/>
    <s v="HOJUELAS PRECOCIDAS DE KIWICHA, SOYA, CHUFLA, AVENA, PALLAR, CON MACA Y AZÚCAR RUBIA, ENRIQUECIDAS CON VITAMINAS Y MINERALES"/>
  </r>
  <r>
    <x v="6"/>
    <x v="85"/>
    <x v="2"/>
    <x v="64"/>
    <x v="147"/>
    <x v="68"/>
    <n v="3980.4339999999997"/>
    <x v="8"/>
    <x v="80"/>
    <n v="20"/>
    <x v="28"/>
    <d v="2026-02-10T00:00:00"/>
    <d v="2026-02-10T00:00:00"/>
    <s v="HOJUELAS PRECOCIDAS DE KIWICHA, SOYA, CHUFLA, AVENA, PALLAR, CON MACA Y AZÚCAR RUBIA, ENRIQUECIDAS CON VITAMINAS Y MINERALES"/>
  </r>
  <r>
    <x v="6"/>
    <x v="85"/>
    <x v="3"/>
    <x v="23"/>
    <x v="147"/>
    <x v="68"/>
    <n v="3980.4339999999997"/>
    <x v="8"/>
    <x v="80"/>
    <n v="20"/>
    <x v="18"/>
    <d v="2026-03-20T00:00:00"/>
    <d v="2026-03-23T00:00:00"/>
    <s v="HOJUELAS PRECOCIDAS DE KIWICHA, SOYA, CHUFLA, AVENA, PALLAR, CON MACA Y AZÚCAR RUBIA, ENRIQUECIDAS CON VITAMINAS Y MINERALES"/>
  </r>
  <r>
    <x v="6"/>
    <x v="85"/>
    <x v="4"/>
    <x v="7"/>
    <x v="147"/>
    <x v="68"/>
    <n v="3980.4339999999997"/>
    <x v="8"/>
    <x v="80"/>
    <n v="20"/>
    <x v="169"/>
    <d v="2026-04-13T00:00:00"/>
    <d v="2026-04-23T00:00:00"/>
    <s v="HOJUELAS PRECOCIDAS DE KIWICHA, SOYA, CHUFLA, AVENA, PALLAR, CON MACA Y AZÚCAR RUBIA, ENRIQUECIDAS CON VITAMINAS Y MINERALES"/>
  </r>
  <r>
    <x v="6"/>
    <x v="85"/>
    <x v="5"/>
    <x v="154"/>
    <x v="147"/>
    <x v="68"/>
    <n v="3980.4339999999997"/>
    <x v="8"/>
    <x v="80"/>
    <n v="20"/>
    <x v="187"/>
    <d v="2026-05-12T00:00:00"/>
    <d v="2026-05-17T00:00:00"/>
    <s v="HOJUELAS PRECOCIDAS DE KIWICHA, SOYA, CHUFLA, AVENA, PALLAR, CON MACA Y AZÚCAR RUBIA, ENRIQUECIDAS CON VITAMINAS Y MINERALES"/>
  </r>
  <r>
    <x v="6"/>
    <x v="85"/>
    <x v="6"/>
    <x v="8"/>
    <x v="147"/>
    <x v="68"/>
    <n v="3980.4339999999997"/>
    <x v="8"/>
    <x v="80"/>
    <n v="20"/>
    <x v="188"/>
    <d v="2026-06-14T00:00:00"/>
    <d v="2026-06-22T00:00:00"/>
    <s v="HOJUELAS PRECOCIDAS DE KIWICHA, SOYA, CHUFLA, AVENA, PALLAR, CON MACA Y AZÚCAR RUBIA, ENRIQUECIDAS CON VITAMINAS Y MINERALES"/>
  </r>
  <r>
    <x v="6"/>
    <x v="85"/>
    <x v="7"/>
    <x v="155"/>
    <x v="147"/>
    <x v="68"/>
    <n v="3980.4339999999997"/>
    <x v="8"/>
    <x v="80"/>
    <n v="20"/>
    <x v="148"/>
    <d v="2026-07-23T00:00:00"/>
    <d v="2026-07-23T00:00:00"/>
    <s v="HOJUELAS PRECOCIDAS DE KIWICHA, SOYA, CHUFLA, AVENA, PALLAR, CON MACA Y AZÚCAR RUBIA, ENRIQUECIDAS CON VITAMINAS Y MINERALES"/>
  </r>
  <r>
    <x v="6"/>
    <x v="85"/>
    <x v="12"/>
    <x v="9"/>
    <x v="147"/>
    <x v="69"/>
    <n v="1666.9512"/>
    <x v="12"/>
    <x v="47"/>
    <n v="20"/>
    <x v="105"/>
    <d v="2026-08-20T00:00:00"/>
    <d v="2026-08-23T00:00:00"/>
    <s v="HOJUELAS PRECOCIDAS DE KIWICHA, SOYA, CHUFLA, AVENA, PALLAR, CON MACA Y AZÚCAR RUBIA, ENRIQUECIDAS CON VITAMINAS Y MINERALES"/>
  </r>
  <r>
    <x v="6"/>
    <x v="85"/>
    <x v="8"/>
    <x v="9"/>
    <x v="147"/>
    <x v="68"/>
    <n v="3980.4339999999997"/>
    <x v="8"/>
    <x v="80"/>
    <n v="20"/>
    <x v="175"/>
    <d v="2026-08-08T00:00:00"/>
    <d v="2026-08-23T00:00:00"/>
    <s v="HOJUELAS PRECOCIDAS DE KIWICHA, SOYA, CHUFLA, AVENA, PALLAR, CON MACA Y AZÚCAR RUBIA, ENRIQUECIDAS CON VITAMINAS Y MINERALES"/>
  </r>
  <r>
    <x v="6"/>
    <x v="85"/>
    <x v="9"/>
    <x v="24"/>
    <x v="147"/>
    <x v="68"/>
    <n v="3980.4339999999997"/>
    <x v="8"/>
    <x v="80"/>
    <n v="20"/>
    <x v="4"/>
    <m/>
    <m/>
    <s v="HOJUELAS PRECOCIDAS DE KIWICHA, SOYA, CHUFLA, AVENA, PALLAR, CON MACA Y AZÚCAR RUBIA, ENRIQUECIDAS CON VITAMINAS Y MINERALES"/>
  </r>
  <r>
    <x v="6"/>
    <x v="85"/>
    <x v="10"/>
    <x v="10"/>
    <x v="147"/>
    <x v="68"/>
    <n v="3980.4339999999997"/>
    <x v="8"/>
    <x v="80"/>
    <n v="20"/>
    <x v="4"/>
    <m/>
    <m/>
    <s v="HOJUELAS PRECOCIDAS DE KIWICHA, SOYA, CHUFLA, AVENA, PALLAR, CON MACA Y AZÚCAR RUBIA, ENRIQUECIDAS CON VITAMINAS Y MINERALES"/>
  </r>
  <r>
    <x v="6"/>
    <x v="85"/>
    <x v="11"/>
    <x v="156"/>
    <x v="147"/>
    <x v="68"/>
    <n v="3980.4339999999997"/>
    <x v="8"/>
    <x v="80"/>
    <n v="20"/>
    <x v="4"/>
    <m/>
    <m/>
    <s v="HOJUELAS PRECOCIDAS DE KIWICHA, SOYA, CHUFLA, AVENA, PALLAR, CON MACA Y AZÚCAR RUBIA, ENRIQUECIDAS CON VITAMINAS Y MINERALES"/>
  </r>
  <r>
    <x v="0"/>
    <x v="86"/>
    <x v="16"/>
    <x v="6"/>
    <x v="148"/>
    <x v="70"/>
    <n v="1452.2975999999999"/>
    <x v="3"/>
    <x v="57"/>
    <n v="0"/>
    <x v="178"/>
    <d v="2026-04-06T00:00:00"/>
    <d v="2026-04-07T00:00:00"/>
    <s v="HOJUELAS DE AVENA CON QUINUA Y MACA FORTIFICADA CON VITAMINAS Y MINERALES "/>
  </r>
  <r>
    <x v="0"/>
    <x v="87"/>
    <x v="17"/>
    <x v="174"/>
    <x v="148"/>
    <x v="70"/>
    <n v="1452.2975999999999"/>
    <x v="12"/>
    <x v="14"/>
    <n v="30"/>
    <x v="189"/>
    <d v="2026-05-09T00:00:00"/>
    <d v="2026-05-11T00:00:00"/>
    <s v="HOJUELAS DE AVENA CON QUINUA Y MACA FORTIFICADA CON VITAMINAS Y MINERALES "/>
  </r>
  <r>
    <x v="0"/>
    <x v="87"/>
    <x v="18"/>
    <x v="13"/>
    <x v="148"/>
    <x v="70"/>
    <n v="1452.2975999999999"/>
    <x v="12"/>
    <x v="14"/>
    <n v="30"/>
    <x v="190"/>
    <d v="2026-06-28T00:00:00"/>
    <d v="2026-07-01T00:00:00"/>
    <s v="HOJUELAS DE AVENA CON QUINUA Y MACA FORTIFICADA CON VITAMINAS Y MINERALES "/>
  </r>
  <r>
    <x v="0"/>
    <x v="87"/>
    <x v="12"/>
    <x v="13"/>
    <x v="149"/>
    <x v="1"/>
    <n v="2372"/>
    <x v="2"/>
    <x v="81"/>
    <n v="12"/>
    <x v="191"/>
    <d v="2026-07-01T00:00:00"/>
    <d v="2026-07-01T00:00:00"/>
    <s v="HOJUELAS DE AVENA CON QUINUA Y MACA FORTIFICADA CON VITAMINAS Y MINERALES "/>
  </r>
  <r>
    <x v="0"/>
    <x v="87"/>
    <x v="19"/>
    <x v="16"/>
    <x v="148"/>
    <x v="70"/>
    <n v="1452.2975999999999"/>
    <x v="12"/>
    <x v="14"/>
    <n v="30"/>
    <x v="4"/>
    <m/>
    <m/>
    <s v="HOJUELAS DE AVENA CON QUINUA Y MACA FORTIFICADA CON VITAMINAS Y MINERALES "/>
  </r>
  <r>
    <x v="3"/>
    <x v="88"/>
    <x v="0"/>
    <x v="22"/>
    <x v="150"/>
    <x v="71"/>
    <n v="1053.9750000000001"/>
    <x v="6"/>
    <x v="21"/>
    <n v="11"/>
    <x v="61"/>
    <d v="2026-01-12T00:00:00"/>
    <d v="2026-01-12T00:00:00"/>
    <s v="HOJUELAS PRECOCIDAS DE KIWICHA, AVENA, CHUFLA, SOYA, TARHUI CON PROTEINAS DE SOYA, ENRIQUECIDA CON VITAMINAS Y MINERALES"/>
  </r>
  <r>
    <x v="3"/>
    <x v="88"/>
    <x v="1"/>
    <x v="22"/>
    <x v="150"/>
    <x v="72"/>
    <n v="951.93799999999999"/>
    <x v="6"/>
    <x v="21"/>
    <n v="11"/>
    <x v="61"/>
    <d v="2026-01-12T00:00:00"/>
    <d v="2026-01-12T00:00:00"/>
    <s v="HOJUELAS PRECOCIDAS DE KIWICHA, AVENA, CHUFLA, SOYA, TARHUI CON PROTEINAS DE SOYA, ENRIQUECIDA CON VITAMINAS Y MINERALES"/>
  </r>
  <r>
    <x v="3"/>
    <x v="88"/>
    <x v="2"/>
    <x v="147"/>
    <x v="151"/>
    <x v="73"/>
    <n v="1084.71"/>
    <x v="6"/>
    <x v="18"/>
    <n v="2"/>
    <x v="44"/>
    <d v="2026-03-23T00:00:00"/>
    <d v="2026-03-23T00:00:00"/>
    <s v="HOJUELAS PRECOCIDAS DE KIWICHA, AVENA, CHUFLA, SOYA, TARWI CON PROTEINAS DE SOYA ENRIQUECIDA CON VITAMINAS Y MINERALES"/>
  </r>
  <r>
    <x v="3"/>
    <x v="88"/>
    <x v="3"/>
    <x v="147"/>
    <x v="151"/>
    <x v="74"/>
    <n v="1047.0899999999999"/>
    <x v="6"/>
    <x v="18"/>
    <n v="2"/>
    <x v="44"/>
    <d v="2026-03-23T00:00:00"/>
    <d v="2026-03-23T00:00:00"/>
    <s v="HOJUELAS PRECOCIDAS DE KIWICHA, AVENA, CHUFLA, SOYA, TARWI CON PROTEINAS DE SOYA ENRIQUECIDA CON VITAMINAS Y MINERALES"/>
  </r>
  <r>
    <x v="3"/>
    <x v="88"/>
    <x v="4"/>
    <x v="50"/>
    <x v="151"/>
    <x v="73"/>
    <n v="1084.71"/>
    <x v="6"/>
    <x v="18"/>
    <n v="2"/>
    <x v="151"/>
    <d v="2026-04-19T00:00:00"/>
    <d v="2026-04-19T00:00:00"/>
    <s v="HOJUELAS PRECOCIDAS DE KIWICHA, AVENA, CHUFLA, SOYA, TARWI CON PROTEINAS DE SOYA ENRIQUECIDA CON VITAMINAS Y MINERALES"/>
  </r>
  <r>
    <x v="3"/>
    <x v="88"/>
    <x v="5"/>
    <x v="50"/>
    <x v="151"/>
    <x v="74"/>
    <n v="1047.0899999999999"/>
    <x v="6"/>
    <x v="18"/>
    <n v="2"/>
    <x v="151"/>
    <d v="2026-04-19T00:00:00"/>
    <d v="2026-04-19T00:00:00"/>
    <s v="HOJUELAS PRECOCIDAS DE KIWICHA, AVENA, CHUFLA, SOYA, TARWI CON PROTEINAS DE SOYA ENRIQUECIDA CON VITAMINAS Y MINERALES"/>
  </r>
  <r>
    <x v="3"/>
    <x v="88"/>
    <x v="6"/>
    <x v="52"/>
    <x v="151"/>
    <x v="73"/>
    <n v="1084.71"/>
    <x v="6"/>
    <x v="18"/>
    <n v="2"/>
    <x v="22"/>
    <d v="2026-06-06T00:00:00"/>
    <d v="2026-06-06T00:00:00"/>
    <s v="HOJUELAS PRECOCIDAS DE KIWICHA, AVENA, CHUFLA, SOYA, TARWI CON PROTEINAS DE SOYA ENRIQUECIDA CON VITAMINAS Y MINERALES"/>
  </r>
  <r>
    <x v="3"/>
    <x v="88"/>
    <x v="7"/>
    <x v="52"/>
    <x v="151"/>
    <x v="73"/>
    <n v="1084.71"/>
    <x v="6"/>
    <x v="18"/>
    <n v="2"/>
    <x v="22"/>
    <d v="2026-06-06T00:00:00"/>
    <d v="2026-06-06T00:00:00"/>
    <s v="HOJUELAS PRECOCIDAS DE KIWICHA, AVENA, CHUFLA, SOYA, TARWI CON PROTEINAS DE SOYA ENRIQUECIDA CON VITAMINAS Y MINERALES"/>
  </r>
  <r>
    <x v="3"/>
    <x v="88"/>
    <x v="12"/>
    <x v="36"/>
    <x v="152"/>
    <x v="73"/>
    <n v="1430.71"/>
    <x v="6"/>
    <x v="14"/>
    <n v="2"/>
    <x v="141"/>
    <d v="2026-07-13T00:00:00"/>
    <d v="2026-07-13T00:00:00"/>
    <s v="HOJUELAS PRECOCIDAS DE KIWICHA, AVENA, CHUFLA, SOYA, TARWI CON PROTEINAS DE SOYA ENRIQUECIDA CON VITAMINAS Y MINERALES"/>
  </r>
  <r>
    <x v="3"/>
    <x v="88"/>
    <x v="25"/>
    <x v="96"/>
    <x v="151"/>
    <x v="74"/>
    <n v="1047.0899999999999"/>
    <x v="6"/>
    <x v="18"/>
    <n v="2"/>
    <x v="24"/>
    <d v="2026-08-19T00:00:00"/>
    <d v="2026-08-19T00:00:00"/>
    <s v="HOJUELAS PRECOCIDAS DE KIWICHA, AVENA, CHUFLA, SOYA, TARWI CON PROTEINAS DE SOYA ENRIQUECIDA CON VITAMINAS Y MINERALES"/>
  </r>
  <r>
    <x v="3"/>
    <x v="88"/>
    <x v="9"/>
    <x v="96"/>
    <x v="151"/>
    <x v="73"/>
    <n v="1084.71"/>
    <x v="6"/>
    <x v="18"/>
    <n v="2"/>
    <x v="24"/>
    <d v="2026-08-19T00:00:00"/>
    <d v="2026-08-19T00:00:00"/>
    <s v="HOJUELAS PRECOCIDAS DE KIWICHA, AVENA, CHUFLA, SOYA, TARWI CON PROTEINAS DE SOYA ENRIQUECIDA CON VITAMINAS Y MINERALES"/>
  </r>
  <r>
    <x v="3"/>
    <x v="88"/>
    <x v="10"/>
    <x v="112"/>
    <x v="151"/>
    <x v="74"/>
    <n v="1047.0899999999999"/>
    <x v="6"/>
    <x v="18"/>
    <n v="2"/>
    <x v="4"/>
    <m/>
    <m/>
    <s v="HOJUELAS PRECOCIDAS DE KIWICHA, AVENA, CHUFLA, SOYA, TARWI CON PROTEINAS DE SOYA ENRIQUECIDA CON VITAMINAS Y MINERALES"/>
  </r>
  <r>
    <x v="3"/>
    <x v="88"/>
    <x v="11"/>
    <x v="112"/>
    <x v="153"/>
    <x v="73"/>
    <n v="1100.28"/>
    <x v="6"/>
    <x v="18"/>
    <n v="11"/>
    <x v="4"/>
    <m/>
    <m/>
    <s v="HOJUELAS PRECOCIDAS DE KIWICHA, AVENA, CHUFLA, SOYA, TARWI CON PROTEINAS DE SOYA ENRIQUECIDA CON VITAMINAS Y MINERALES"/>
  </r>
  <r>
    <x v="0"/>
    <x v="89"/>
    <x v="0"/>
    <x v="146"/>
    <x v="154"/>
    <x v="1"/>
    <n v="1430"/>
    <x v="1"/>
    <x v="72"/>
    <n v="30"/>
    <x v="27"/>
    <d v="2026-01-04T00:00:00"/>
    <d v="2026-01-10T00:00:00"/>
    <s v="HOJUELAS PRECOCIDAS AZUCARADAS DE AVENA, CAÑIHUA, QUINUA, HARINA TOSTADA DE CEBADA, HARINA DESHIDRATATA MACA, HARINA INTEGRAL DE SOYA, ALBUMINA DE HUEVO FORTIFICADA CON VITAMINAS Y MINERALES"/>
  </r>
  <r>
    <x v="0"/>
    <x v="89"/>
    <x v="1"/>
    <x v="31"/>
    <x v="155"/>
    <x v="1"/>
    <n v="1292"/>
    <x v="1"/>
    <x v="18"/>
    <n v="42"/>
    <x v="17"/>
    <d v="2026-01-17T00:00:00"/>
    <d v="2026-01-19T00:00:00"/>
    <s v="HOJUELAS PRECOCIDAS AZUCARADAS DE AVENA, CAÑIHUA, QUINUA, HARINA TOSTADA DE CEBADA, HARINA DESHIDRATATA MACA, HARINA INTEGRAL DE SOYA, ALBUMINA DE HUEVO FORTIFICADA CON VITAMINAS Y MINERALES"/>
  </r>
  <r>
    <x v="0"/>
    <x v="89"/>
    <x v="2"/>
    <x v="32"/>
    <x v="154"/>
    <x v="1"/>
    <n v="1430"/>
    <x v="1"/>
    <x v="72"/>
    <n v="30"/>
    <x v="28"/>
    <d v="2026-02-10T00:00:00"/>
    <d v="2026-02-10T00:00:00"/>
    <s v="HOJUELAS PRECOCIDAS AZUCARADAS DE AVENA, CAÑIHUA, QUINUA, HARINA TOSTADA DE CEBADA, HARINA DESHIDRATATA MACA, HARINA INTEGRAL DE SOYA, ALBUMINA DE HUEVO FORTIFICADA CON VITAMINAS Y MINERALES"/>
  </r>
  <r>
    <x v="0"/>
    <x v="89"/>
    <x v="3"/>
    <x v="71"/>
    <x v="156"/>
    <x v="1"/>
    <n v="1384"/>
    <x v="1"/>
    <x v="32"/>
    <n v="34"/>
    <x v="79"/>
    <d v="2026-03-05T00:00:00"/>
    <d v="2026-03-11T00:00:00"/>
    <s v="HOJUELAS PRECOCIDAS AZUCARADAS DE AVENA, CAÑIHUA, QUINUA, HARINA TOSTADA DE CEBADA, HARINA DESHIDRATATA MACA, HARINA INTEGRAL DE SOYA, ALBUMINA DE HUEVO FORTIFICADA CON VITAMINAS Y MINERALES"/>
  </r>
  <r>
    <x v="0"/>
    <x v="89"/>
    <x v="4"/>
    <x v="26"/>
    <x v="154"/>
    <x v="1"/>
    <n v="1430"/>
    <x v="1"/>
    <x v="72"/>
    <n v="30"/>
    <x v="29"/>
    <d v="2026-04-09T00:00:00"/>
    <d v="2026-04-09T00:00:00"/>
    <s v="HOJUELAS PRECOCIDAS AZUCARADAS DE AVENA, CAÑIHUA, QUINUA, HARINA TOSTADA DE CEBADA, HARINA DESHIDRATATA MACA, HARINA INTEGRAL DE SOYA, ALBUMINA DE HUEVO FORTIFICADA CON VITAMINAS Y MINERALES"/>
  </r>
  <r>
    <x v="0"/>
    <x v="89"/>
    <x v="5"/>
    <x v="170"/>
    <x v="156"/>
    <x v="1"/>
    <n v="1384"/>
    <x v="1"/>
    <x v="32"/>
    <n v="34"/>
    <x v="189"/>
    <d v="2026-05-09T00:00:00"/>
    <d v="2026-05-20T00:00:00"/>
    <s v="HOJUELAS PRECOCIDAS AZUCARADAS DE AVENA, CAÑIHUA, QUINUA, HARINA TOSTADA DE CEBADA, HARINA DESHIDRATATA MACA, HARINA INTEGRAL DE SOYA, ALBUMINA DE HUEVO FORTIFICADA CON VITAMINAS Y MINERALES"/>
  </r>
  <r>
    <x v="0"/>
    <x v="89"/>
    <x v="6"/>
    <x v="33"/>
    <x v="154"/>
    <x v="1"/>
    <n v="1430"/>
    <x v="1"/>
    <x v="72"/>
    <n v="30"/>
    <x v="80"/>
    <d v="2026-05-26T00:00:00"/>
    <d v="2026-06-05T00:00:00"/>
    <s v="HOJUELAS PRECOCIDAS AZUCARADAS DE AVENA, CAÑIHUA, QUINUA, HARINA TOSTADA DE CEBADA, HARINA DESHIDRATATA MACA, HARINA INTEGRAL DE SOYA, ALBUMINA DE HUEVO FORTIFICADA CON VITAMINAS Y MINERALES"/>
  </r>
  <r>
    <x v="0"/>
    <x v="89"/>
    <x v="7"/>
    <x v="148"/>
    <x v="154"/>
    <x v="1"/>
    <n v="1430"/>
    <x v="1"/>
    <x v="72"/>
    <n v="30"/>
    <x v="52"/>
    <d v="2026-07-11T00:00:00"/>
    <d v="2026-07-11T00:00:00"/>
    <s v="HOJUELAS PRECOCIDAS AZUCARADAS DE AVENA, CAÑIHUA, QUINUA, HARINA TOSTADA DE CEBADA, HARINA DESHIDRATATA MACA, HARINA INTEGRAL DE SOYA, ALBUMINA DE HUEVO FORTIFICADA CON VITAMINAS Y MINERALES"/>
  </r>
  <r>
    <x v="0"/>
    <x v="89"/>
    <x v="8"/>
    <x v="34"/>
    <x v="156"/>
    <x v="1"/>
    <n v="1384"/>
    <x v="1"/>
    <x v="32"/>
    <n v="34"/>
    <x v="31"/>
    <d v="2026-07-31T00:00:00"/>
    <d v="2026-07-31T00:00:00"/>
    <s v="HOJUELAS PRECOCIDAS AZUCARADAS DE AVENA, CAÑIHUA, QUINUA, HARINA TOSTADA DE CEBADA, HARINA DESHIDRATATA MACA, HARINA INTEGRAL DE SOYA, ALBUMINA DE HUEVO FORTIFICADA CON VITAMINAS Y MINERALES"/>
  </r>
  <r>
    <x v="0"/>
    <x v="89"/>
    <x v="9"/>
    <x v="75"/>
    <x v="154"/>
    <x v="1"/>
    <n v="1430"/>
    <x v="1"/>
    <x v="72"/>
    <n v="30"/>
    <x v="56"/>
    <d v="2026-09-08T00:00:00"/>
    <d v="2026-09-08T00:00:00"/>
    <s v="HOJUELAS PRECOCIDAS AZUCARADAS DE AVENA, CAÑIHUA, QUINUA, HARINA TOSTADA DE CEBADA, HARINA DESHIDRATATA MACA, HARINA INTEGRAL DE SOYA, ALBUMINA DE HUEVO FORTIFICADA CON VITAMINAS Y MINERALES"/>
  </r>
  <r>
    <x v="0"/>
    <x v="89"/>
    <x v="10"/>
    <x v="35"/>
    <x v="156"/>
    <x v="1"/>
    <n v="1384"/>
    <x v="1"/>
    <x v="32"/>
    <n v="34"/>
    <x v="4"/>
    <m/>
    <m/>
    <s v="HOJUELAS PRECOCIDAS AZUCARADAS DE AVENA, CAÑIHUA, QUINUA, HARINA TOSTADA DE CEBADA, HARINA DESHIDRATATA MACA, HARINA INTEGRAL DE SOYA, ALBUMINA DE HUEVO FORTIFICADA CON VITAMINAS Y MINERALES"/>
  </r>
  <r>
    <x v="0"/>
    <x v="89"/>
    <x v="11"/>
    <x v="76"/>
    <x v="157"/>
    <x v="1"/>
    <n v="1424"/>
    <x v="1"/>
    <x v="72"/>
    <n v="24"/>
    <x v="4"/>
    <m/>
    <m/>
    <s v="HOJUELAS PRECOCIDAS AZUCARADAS DE AVENA, CAÑIHUA, QUINUA, HARINA TOSTADA DE CEBADA, HARINA DESHIDRATATA MACA, HARINA INTEGRAL DE SOYA, ALBUMINA DE HUEVO FORTIFICADA CON VITAMINAS Y MINERALES"/>
  </r>
  <r>
    <x v="0"/>
    <x v="90"/>
    <x v="0"/>
    <x v="22"/>
    <x v="158"/>
    <x v="1"/>
    <n v="4791"/>
    <x v="6"/>
    <x v="82"/>
    <n v="16"/>
    <x v="5"/>
    <d v="2026-01-29T00:00:00"/>
    <d v="2026-01-29T00:00:00"/>
    <s v="HOJUELAS PRECOCIDAS AZUCARADAS DE AVENA, SACHA INCHI, HARINA DE MACA DESHIDRATADA, HARINA DE PLÁTANO, ALBUMINA DE HUEVO FORTIFICADA CON VITAMINAS Y MINERALES"/>
  </r>
  <r>
    <x v="0"/>
    <x v="90"/>
    <x v="1"/>
    <x v="40"/>
    <x v="159"/>
    <x v="1"/>
    <n v="4327"/>
    <x v="6"/>
    <x v="83"/>
    <n v="2"/>
    <x v="5"/>
    <d v="2026-01-29T00:00:00"/>
    <d v="2026-01-29T00:00:00"/>
    <s v="HOJUELAS PRECOCIDAS AZUCARADAS DE AVENA, SACHA INCHI, HARINA DE MACA DESHIDRATADA, HARINA DE PLÁTANO, ALBUMINA DE HUEVO FORTIFICADA CON VITAMINAS Y MINERALES"/>
  </r>
  <r>
    <x v="0"/>
    <x v="90"/>
    <x v="2"/>
    <x v="32"/>
    <x v="131"/>
    <x v="1"/>
    <n v="565"/>
    <x v="6"/>
    <x v="20"/>
    <n v="15"/>
    <x v="28"/>
    <d v="2026-02-10T00:00:00"/>
    <d v="2026-02-15T00:00:00"/>
    <s v=" cantidad según guia / HOJUELAS PRECOCIDAS AZUCARADAS DE AVENA, SACHA INCHI, HARINA DE MACA DESHIDRATADA, HARINA DE PLÁTANO, ALBUMINA DE HUEVO FORTIFICADA CON VITAMINAS Y MINERALES"/>
  </r>
  <r>
    <x v="0"/>
    <x v="90"/>
    <x v="3"/>
    <x v="71"/>
    <x v="160"/>
    <x v="1"/>
    <n v="4924"/>
    <x v="6"/>
    <x v="84"/>
    <n v="24"/>
    <x v="192"/>
    <d v="2026-03-06T00:00:00"/>
    <d v="2026-03-06T00:00:00"/>
    <s v="HOJUELAS PRECOCIDAS AZUCARADAS DE AVENA, SACHA INCHI, HARINA DE MACA DESHIDRATADA, HARINA DE PLÁTANO, ALBUMINA DE HUEVO FORTIFICADA CON VITAMINAS Y MINERALES"/>
  </r>
  <r>
    <x v="0"/>
    <x v="90"/>
    <x v="4"/>
    <x v="72"/>
    <x v="161"/>
    <x v="1"/>
    <n v="5088"/>
    <x v="6"/>
    <x v="85"/>
    <n v="13"/>
    <x v="153"/>
    <d v="2026-04-04T00:00:00"/>
    <d v="2026-04-04T00:00:00"/>
    <s v="HOJUELAS PRECOCIDAS AZUCARADAS DE AVENA, SACHA INCHI, HARINA DE MACA DESHIDRATADA, HARINA DE PLÁTANO, ALBUMINA DE HUEVO FORTIFICADA CON VITAMINAS Y MINERALES"/>
  </r>
  <r>
    <x v="0"/>
    <x v="90"/>
    <x v="5"/>
    <x v="72"/>
    <x v="160"/>
    <x v="1"/>
    <n v="4924"/>
    <x v="6"/>
    <x v="84"/>
    <n v="24"/>
    <x v="179"/>
    <d v="2026-04-30T00:00:00"/>
    <d v="2026-04-30T00:00:00"/>
    <s v="HOJUELAS PRECOCIDAS AZUCARADAS DE AVENA, SACHA INCHI, HARINA DE MACA DESHIDRATADA, HARINA DE PLÁTANO, ALBUMINA DE HUEVO FORTIFICADA CON VITAMINAS Y MINERALES"/>
  </r>
  <r>
    <x v="0"/>
    <x v="90"/>
    <x v="6"/>
    <x v="175"/>
    <x v="161"/>
    <x v="1"/>
    <n v="5088"/>
    <x v="6"/>
    <x v="85"/>
    <n v="13"/>
    <x v="179"/>
    <d v="2026-04-30T00:00:00"/>
    <d v="2026-04-30T00:00:00"/>
    <s v="HOJUELAS PRECOCIDAS AZUCARADAS DE AVENA, SACHA INCHI, HARINA DE MACA DESHIDRATADA, HARINA DE PLÁTANO, ALBUMINA DE HUEVO FORTIFICADA CON VITAMINAS Y MINERALES"/>
  </r>
  <r>
    <x v="0"/>
    <x v="90"/>
    <x v="7"/>
    <x v="13"/>
    <x v="161"/>
    <x v="1"/>
    <n v="5088"/>
    <x v="6"/>
    <x v="85"/>
    <n v="13"/>
    <x v="191"/>
    <d v="2026-07-01T00:00:00"/>
    <d v="2026-07-03T00:00:00"/>
    <s v="HOJUELAS PRECOCIDAS AZUCARADAS DE AVENA, SACHA INCHI, HARINA DE MACA DESHIDRATADA, HARINA DE PLÁTANO, ALBUMINA DE HUEVO FORTIFICADA CON VITAMINAS Y MINERALES"/>
  </r>
  <r>
    <x v="0"/>
    <x v="90"/>
    <x v="8"/>
    <x v="13"/>
    <x v="160"/>
    <x v="1"/>
    <n v="4924"/>
    <x v="6"/>
    <x v="84"/>
    <n v="24"/>
    <x v="191"/>
    <d v="2026-07-01T00:00:00"/>
    <d v="2026-07-03T00:00:00"/>
    <s v="HOJUELAS PRECOCIDAS AZUCARADAS DE AVENA, SACHA INCHI, HARINA DE MACA DESHIDRATADA, HARINA DE PLÁTANO, ALBUMINA DE HUEVO FORTIFICADA CON VITAMINAS Y MINERALES"/>
  </r>
  <r>
    <x v="0"/>
    <x v="90"/>
    <x v="9"/>
    <x v="128"/>
    <x v="161"/>
    <x v="1"/>
    <n v="5088"/>
    <x v="6"/>
    <x v="85"/>
    <n v="13"/>
    <x v="193"/>
    <d v="2026-08-28T00:00:00"/>
    <d v="2026-08-29T00:00:00"/>
    <s v="HOJUELAS PRECOCIDAS AZUCARADAS DE AVENA, SACHA INCHI, HARINA DE MACA DESHIDRATADA, HARINA DE PLÁTANO, ALBUMINA DE HUEVO FORTIFICADA CON VITAMINAS Y MINERALES"/>
  </r>
  <r>
    <x v="0"/>
    <x v="90"/>
    <x v="10"/>
    <x v="128"/>
    <x v="160"/>
    <x v="1"/>
    <n v="4924"/>
    <x v="6"/>
    <x v="84"/>
    <n v="24"/>
    <x v="4"/>
    <m/>
    <m/>
    <s v="HOJUELAS PRECOCIDAS AZUCARADAS DE AVENA, SACHA INCHI, HARINA DE MACA DESHIDRATADA, HARINA DE PLÁTANO, ALBUMINA DE HUEVO FORTIFICADA CON VITAMINAS Y MINERALES"/>
  </r>
  <r>
    <x v="0"/>
    <x v="90"/>
    <x v="11"/>
    <x v="76"/>
    <x v="161"/>
    <x v="1"/>
    <n v="5088"/>
    <x v="6"/>
    <x v="85"/>
    <n v="13"/>
    <x v="4"/>
    <m/>
    <m/>
    <s v="HOJUELAS PRECOCIDAS AZUCARADAS DE AVENA, SACHA INCHI, HARINA DE MACA DESHIDRATADA, HARINA DE PLÁTANO, ALBUMINA DE HUEVO FORTIFICADA CON VITAMINAS Y MINERALES"/>
  </r>
  <r>
    <x v="0"/>
    <x v="91"/>
    <x v="40"/>
    <x v="0"/>
    <x v="162"/>
    <x v="75"/>
    <n v="6438.5999999999995"/>
    <x v="8"/>
    <x v="86"/>
    <n v="0"/>
    <x v="194"/>
    <d v="2026-03-02T00:00:00"/>
    <d v="2026-03-03T00:00:00"/>
    <s v="HOJUELAS DE AVENA, SÉMOLA DE QUINUA, KIWICHA PRECOCIDA, TARWI, PLÁTANO, SOYA, CAÑIHUA ENRIQUECIDA CON VITAMINAS Y MINERALES"/>
  </r>
  <r>
    <x v="0"/>
    <x v="91"/>
    <x v="21"/>
    <x v="108"/>
    <x v="163"/>
    <x v="75"/>
    <n v="4292.3999999999996"/>
    <x v="8"/>
    <x v="87"/>
    <n v="10"/>
    <x v="195"/>
    <d v="2026-04-23T00:00:00"/>
    <d v="2026-04-23T00:00:00"/>
    <s v="HOJUELAS DE AVENA, SÉMOLA DE QUINUA, KIWICHA PRECOCIDA, TARWI, PLÁTANO, SOYA, CAÑIHUA ENRIQUECIDA CON VITAMINAS Y MINERALES"/>
  </r>
  <r>
    <x v="0"/>
    <x v="91"/>
    <x v="22"/>
    <x v="2"/>
    <x v="163"/>
    <x v="75"/>
    <n v="4292.3999999999996"/>
    <x v="8"/>
    <x v="87"/>
    <n v="10"/>
    <x v="107"/>
    <d v="2026-06-15T00:00:00"/>
    <d v="2026-06-25T00:00:00"/>
    <s v="HOJUELAS DE AVENA, SÉMOLA DE QUINUA, KIWICHA PRECOCIDA, TARWI, PLÁTANO, SOYA, CAÑIHUA ENRIQUECIDA CON VITAMINAS Y MINERALES"/>
  </r>
  <r>
    <x v="0"/>
    <x v="91"/>
    <x v="12"/>
    <x v="142"/>
    <x v="164"/>
    <x v="76"/>
    <n v="1343.2"/>
    <x v="9"/>
    <x v="77"/>
    <n v="20"/>
    <x v="72"/>
    <d v="2026-08-15T00:00:00"/>
    <d v="2026-08-17T00:00:00"/>
    <s v="HOJUELAS DE AVENA, SÉMOLA DE QUINUA, KIWICHA PRECOCIDA, TARWI, PLÁTANO, SOYA, CAÑIHUA ENRIQUECIDA CON VITAMINAS Y MINERALES"/>
  </r>
  <r>
    <x v="0"/>
    <x v="91"/>
    <x v="23"/>
    <x v="3"/>
    <x v="163"/>
    <x v="75"/>
    <n v="4292.3999999999996"/>
    <x v="8"/>
    <x v="87"/>
    <n v="10"/>
    <x v="72"/>
    <d v="2026-08-15T00:00:00"/>
    <d v="2026-08-17T00:00:00"/>
    <s v="HOJUELAS DE AVENA, SÉMOLA DE QUINUA, KIWICHA PRECOCIDA, TARWI, PLÁTANO, SOYA, CAÑIHUA ENRIQUECIDA CON VITAMINAS Y MINERALES"/>
  </r>
  <r>
    <x v="0"/>
    <x v="91"/>
    <x v="24"/>
    <x v="115"/>
    <x v="163"/>
    <x v="75"/>
    <n v="4292.3999999999996"/>
    <x v="8"/>
    <x v="87"/>
    <n v="10"/>
    <x v="4"/>
    <m/>
    <m/>
    <s v="HOJUELAS DE AVENA, SÉMOLA DE QUINUA, KIWICHA PRECOCIDA, TARWI, PLÁTANO, SOYA, CAÑIHUA ENRIQUECIDA CON VITAMINAS Y MINERALES"/>
  </r>
  <r>
    <x v="0"/>
    <x v="92"/>
    <x v="0"/>
    <x v="176"/>
    <x v="165"/>
    <x v="77"/>
    <n v="2323.915"/>
    <x v="8"/>
    <x v="30"/>
    <n v="25"/>
    <x v="17"/>
    <d v="2026-01-17T00:00:00"/>
    <d v="2026-01-19T00:00:00"/>
    <s v="HOJUELA PRECOCIDA DE QUINUA, CEBADA TOSTADA, MAÍZ CHUFLA, AVENA FORTIFICADA CON VITAMINAS Y MINERALES "/>
  </r>
  <r>
    <x v="0"/>
    <x v="92"/>
    <x v="1"/>
    <x v="176"/>
    <x v="165"/>
    <x v="77"/>
    <n v="2323.915"/>
    <x v="8"/>
    <x v="30"/>
    <n v="25"/>
    <x v="17"/>
    <d v="2026-01-17T00:00:00"/>
    <d v="2026-01-19T00:00:00"/>
    <s v="HOJUELA PRECOCIDA DE QUINUA, CEBADA TOSTADA, MAÍZ CHUFLA, AVENA FORTIFICADA CON VITAMINAS Y MINERALES "/>
  </r>
  <r>
    <x v="0"/>
    <x v="92"/>
    <x v="2"/>
    <x v="48"/>
    <x v="165"/>
    <x v="77"/>
    <n v="2323.915"/>
    <x v="8"/>
    <x v="30"/>
    <n v="25"/>
    <x v="161"/>
    <d v="2026-02-17T00:00:00"/>
    <d v="2026-02-18T00:00:00"/>
    <s v="HOJUELA PRECOCIDA DE QUINUA, CEBADA TOSTADA, MAÍZ CHUFLA, AVENA FORTIFICADA CON VITAMINAS Y MINERALES "/>
  </r>
  <r>
    <x v="0"/>
    <x v="92"/>
    <x v="3"/>
    <x v="48"/>
    <x v="165"/>
    <x v="77"/>
    <n v="2323.915"/>
    <x v="8"/>
    <x v="30"/>
    <n v="25"/>
    <x v="161"/>
    <d v="2026-02-17T00:00:00"/>
    <d v="2026-02-18T00:00:00"/>
    <s v="HOJUELA PRECOCIDA DE QUINUA, CEBADA TOSTADA, MAÍZ CHUFLA, AVENA FORTIFICADA CON VITAMINAS Y MINERALES "/>
  </r>
  <r>
    <x v="0"/>
    <x v="92"/>
    <x v="4"/>
    <x v="108"/>
    <x v="165"/>
    <x v="77"/>
    <n v="2323.915"/>
    <x v="8"/>
    <x v="30"/>
    <n v="25"/>
    <x v="196"/>
    <d v="2026-04-17T00:00:00"/>
    <d v="2026-04-19T00:00:00"/>
    <s v="HOJUELA PRECOCIDA DE QUINUA, CEBADA TOSTADA, MAÍZ CHUFLA, AVENA FORTIFICADA CON VITAMINAS Y MINERALES "/>
  </r>
  <r>
    <x v="0"/>
    <x v="92"/>
    <x v="5"/>
    <x v="108"/>
    <x v="165"/>
    <x v="77"/>
    <n v="2323.915"/>
    <x v="8"/>
    <x v="30"/>
    <n v="25"/>
    <x v="196"/>
    <d v="2026-04-17T00:00:00"/>
    <d v="2026-04-19T00:00:00"/>
    <s v="HOJUELA PRECOCIDA DE QUINUA, CEBADA TOSTADA, MAÍZ CHUFLA, AVENA FORTIFICADA CON VITAMINAS Y MINERALES "/>
  </r>
  <r>
    <x v="0"/>
    <x v="92"/>
    <x v="6"/>
    <x v="94"/>
    <x v="165"/>
    <x v="77"/>
    <n v="2323.915"/>
    <x v="8"/>
    <x v="30"/>
    <n v="25"/>
    <x v="64"/>
    <d v="2026-06-09T00:00:00"/>
    <d v="2026-06-09T00:00:00"/>
    <s v="HOJUELA PRECOCIDA DE QUINUA, CEBADA TOSTADA, MAÍZ CHUFLA, AVENA FORTIFICADA CON VITAMINAS Y MINERALES "/>
  </r>
  <r>
    <x v="0"/>
    <x v="92"/>
    <x v="7"/>
    <x v="94"/>
    <x v="165"/>
    <x v="77"/>
    <n v="2323.915"/>
    <x v="8"/>
    <x v="30"/>
    <n v="25"/>
    <x v="64"/>
    <d v="2026-06-09T00:00:00"/>
    <d v="2026-06-09T00:00:00"/>
    <s v="HOJUELA PRECOCIDA DE QUINUA, CEBADA TOSTADA, MAÍZ CHUFLA, AVENA FORTIFICADA CON VITAMINAS Y MINERALES "/>
  </r>
  <r>
    <x v="0"/>
    <x v="92"/>
    <x v="12"/>
    <x v="177"/>
    <x v="166"/>
    <x v="77"/>
    <n v="5618.2860000000001"/>
    <x v="8"/>
    <x v="62"/>
    <n v="12"/>
    <x v="71"/>
    <d v="2026-07-18T00:00:00"/>
    <d v="2026-07-20T00:00:00"/>
    <s v="HOJUELA PRECOCIDA DE QUINUA, CEBADA TOSTADA, MAÍZ CHUFLA, AVENA FORTIFICADA CON VITAMINAS Y MINERALES "/>
  </r>
  <r>
    <x v="0"/>
    <x v="92"/>
    <x v="8"/>
    <x v="114"/>
    <x v="165"/>
    <x v="77"/>
    <n v="2323.915"/>
    <x v="8"/>
    <x v="30"/>
    <n v="25"/>
    <x v="137"/>
    <d v="2026-08-14T00:00:00"/>
    <d v="2026-08-19T00:00:00"/>
    <s v="HOJUELA PRECOCIDA DE QUINUA, CEBADA TOSTADA, MAÍZ CHUFLA, AVENA FORTIFICADA CON VITAMINAS Y MINERALES "/>
  </r>
  <r>
    <x v="0"/>
    <x v="92"/>
    <x v="9"/>
    <x v="114"/>
    <x v="165"/>
    <x v="77"/>
    <n v="2323.915"/>
    <x v="8"/>
    <x v="30"/>
    <n v="25"/>
    <x v="137"/>
    <d v="2026-08-14T00:00:00"/>
    <d v="2026-08-19T00:00:00"/>
    <s v="HOJUELA PRECOCIDA DE QUINUA, CEBADA TOSTADA, MAÍZ CHUFLA, AVENA FORTIFICADA CON VITAMINAS Y MINERALES "/>
  </r>
  <r>
    <x v="0"/>
    <x v="92"/>
    <x v="10"/>
    <x v="178"/>
    <x v="165"/>
    <x v="77"/>
    <n v="2323.915"/>
    <x v="8"/>
    <x v="30"/>
    <n v="25"/>
    <x v="4"/>
    <m/>
    <m/>
    <s v="HOJUELA PRECOCIDA DE QUINUA, CEBADA TOSTADA, MAÍZ CHUFLA, AVENA FORTIFICADA CON VITAMINAS Y MINERALES "/>
  </r>
  <r>
    <x v="0"/>
    <x v="92"/>
    <x v="11"/>
    <x v="178"/>
    <x v="165"/>
    <x v="77"/>
    <n v="2323.915"/>
    <x v="8"/>
    <x v="30"/>
    <n v="25"/>
    <x v="4"/>
    <m/>
    <m/>
    <s v="HOJUELA PRECOCIDA DE QUINUA, CEBADA TOSTADA, MAÍZ CHUFLA, AVENA FORTIFICADA CON VITAMINAS Y MINERALES "/>
  </r>
  <r>
    <x v="0"/>
    <x v="93"/>
    <x v="29"/>
    <x v="66"/>
    <x v="167"/>
    <x v="1"/>
    <n v="596"/>
    <x v="2"/>
    <x v="11"/>
    <n v="36"/>
    <x v="38"/>
    <d v="2026-03-10T00:00:00"/>
    <d v="2026-03-10T00:00:00"/>
    <s v="HOJUELAS PRECOCIDAS DE QUINUA, KIWICHA, AVENA CON SOYA, TARHUI Y MACA ENRIQUECIDA O FORTIFICADA CON VITAMINAS Y MINERALES"/>
  </r>
  <r>
    <x v="0"/>
    <x v="93"/>
    <x v="2"/>
    <x v="66"/>
    <x v="168"/>
    <x v="1"/>
    <n v="298"/>
    <x v="2"/>
    <x v="67"/>
    <n v="18"/>
    <x v="38"/>
    <d v="2026-03-10T00:00:00"/>
    <d v="2026-03-10T00:00:00"/>
    <s v="HOJUELAS PRECOCIDAS DE QUINUA, KIWICHA, AVENA CON SOYA, TARHUI Y MACA ENRIQUECIDA O FORTIFICADA CON VITAMINAS Y MINERALES"/>
  </r>
  <r>
    <x v="0"/>
    <x v="93"/>
    <x v="3"/>
    <x v="66"/>
    <x v="168"/>
    <x v="1"/>
    <n v="298"/>
    <x v="2"/>
    <x v="67"/>
    <n v="18"/>
    <x v="38"/>
    <d v="2026-03-10T00:00:00"/>
    <d v="2026-03-10T00:00:00"/>
    <s v="HOJUELAS PRECOCIDAS DE QUINUA, KIWICHA, AVENA CON SOYA, TARHUI Y MACA ENRIQUECIDA O FORTIFICADA CON VITAMINAS Y MINERALES"/>
  </r>
  <r>
    <x v="0"/>
    <x v="93"/>
    <x v="4"/>
    <x v="11"/>
    <x v="168"/>
    <x v="1"/>
    <n v="298"/>
    <x v="2"/>
    <x v="67"/>
    <n v="18"/>
    <x v="1"/>
    <d v="2026-05-05T00:00:00"/>
    <d v="2026-05-10T00:00:00"/>
    <s v="HOJUELAS PRECOCIDAS DE QUINUA, KIWICHA, AVENA CON SOYA, TARHUI Y MACA ENRIQUECIDA O FORTIFICADA CON VITAMINAS Y MINERALES"/>
  </r>
  <r>
    <x v="0"/>
    <x v="93"/>
    <x v="5"/>
    <x v="11"/>
    <x v="168"/>
    <x v="1"/>
    <n v="298"/>
    <x v="2"/>
    <x v="67"/>
    <n v="18"/>
    <x v="1"/>
    <d v="2026-05-05T00:00:00"/>
    <d v="2026-05-10T00:00:00"/>
    <s v="HOJUELAS PRECOCIDAS DE QUINUA, KIWICHA, AVENA CON SOYA, TARHUI Y MACA ENRIQUECIDA O FORTIFICADA CON VITAMINAS Y MINERALES"/>
  </r>
  <r>
    <x v="0"/>
    <x v="93"/>
    <x v="6"/>
    <x v="13"/>
    <x v="168"/>
    <x v="1"/>
    <n v="298"/>
    <x v="2"/>
    <x v="67"/>
    <n v="18"/>
    <x v="110"/>
    <d v="2026-07-02T00:00:00"/>
    <d v="2026-07-02T00:00:00"/>
    <s v="HOJUELAS PRECOCIDAS DE QUINUA, KIWICHA, AVENA CON SOYA, TARHUI Y MACA ENRIQUECIDA O FORTIFICADA CON VITAMINAS Y MINERALES"/>
  </r>
  <r>
    <x v="0"/>
    <x v="93"/>
    <x v="7"/>
    <x v="13"/>
    <x v="168"/>
    <x v="1"/>
    <n v="298"/>
    <x v="2"/>
    <x v="67"/>
    <n v="18"/>
    <x v="110"/>
    <d v="2026-07-02T00:00:00"/>
    <d v="2026-07-02T00:00:00"/>
    <s v="HOJUELAS PRECOCIDAS DE QUINUA, KIWICHA, AVENA CON SOYA, TARHUI Y MACA ENRIQUECIDA O FORTIFICADA CON VITAMINAS Y MINERALES"/>
  </r>
  <r>
    <x v="0"/>
    <x v="93"/>
    <x v="8"/>
    <x v="15"/>
    <x v="168"/>
    <x v="1"/>
    <n v="298"/>
    <x v="2"/>
    <x v="67"/>
    <n v="18"/>
    <x v="4"/>
    <m/>
    <m/>
    <s v="HOJUELAS PRECOCIDAS DE QUINUA, KIWICHA, AVENA CON SOYA, TARHUI Y MACA ENRIQUECIDA O FORTIFICADA CON VITAMINAS Y MINERALES"/>
  </r>
  <r>
    <x v="0"/>
    <x v="93"/>
    <x v="9"/>
    <x v="15"/>
    <x v="168"/>
    <x v="1"/>
    <n v="298"/>
    <x v="2"/>
    <x v="67"/>
    <n v="18"/>
    <x v="4"/>
    <m/>
    <m/>
    <s v="HOJUELAS PRECOCIDAS DE QUINUA, KIWICHA, AVENA CON SOYA, TARHUI Y MACA ENRIQUECIDA O FORTIFICADA CON VITAMINAS Y MINERALES"/>
  </r>
  <r>
    <x v="0"/>
    <x v="93"/>
    <x v="10"/>
    <x v="17"/>
    <x v="168"/>
    <x v="1"/>
    <n v="298"/>
    <x v="2"/>
    <x v="67"/>
    <n v="18"/>
    <x v="4"/>
    <m/>
    <m/>
    <s v="HOJUELAS PRECOCIDAS DE QUINUA, KIWICHA, AVENA CON SOYA, TARHUI Y MACA ENRIQUECIDA O FORTIFICADA CON VITAMINAS Y MINERALES"/>
  </r>
  <r>
    <x v="0"/>
    <x v="93"/>
    <x v="11"/>
    <x v="17"/>
    <x v="168"/>
    <x v="1"/>
    <n v="298"/>
    <x v="2"/>
    <x v="67"/>
    <n v="18"/>
    <x v="4"/>
    <m/>
    <m/>
    <s v="HOJUELAS PRECOCIDAS DE QUINUA, KIWICHA, AVENA CON SOYA, TARHUI Y MACA ENRIQUECIDA O FORTIFICADA CON VITAMINAS Y MINERALES"/>
  </r>
  <r>
    <x v="0"/>
    <x v="94"/>
    <x v="0"/>
    <x v="69"/>
    <x v="10"/>
    <x v="78"/>
    <n v="3494.5680000000002"/>
    <x v="0"/>
    <x v="8"/>
    <n v="24"/>
    <x v="37"/>
    <d v="2026-01-14T00:00:00"/>
    <d v="2026-01-19T00:00:00"/>
    <s v="HOJUELAS DE QUINUA AVENA CON AZÚCAR FORTIFICADA CON VITAMINAS Y MINERALES - HOJUELAS CRUDAS"/>
  </r>
  <r>
    <x v="0"/>
    <x v="94"/>
    <x v="1"/>
    <x v="69"/>
    <x v="169"/>
    <x v="79"/>
    <n v="3157.56"/>
    <x v="0"/>
    <x v="8"/>
    <n v="25"/>
    <x v="37"/>
    <d v="2026-01-14T00:00:00"/>
    <d v="2026-01-19T00:00:00"/>
    <s v="HOJUELAS DE QUINUA AVENA CON AZÚCAR FORTIFICADA CON VITAMINAS Y MINERALES - HOJUELAS CRUDAS"/>
  </r>
  <r>
    <x v="0"/>
    <x v="94"/>
    <x v="2"/>
    <x v="32"/>
    <x v="170"/>
    <x v="78"/>
    <n v="3486.7560000000003"/>
    <x v="0"/>
    <x v="8"/>
    <n v="18"/>
    <x v="164"/>
    <d v="2026-02-05T00:00:00"/>
    <d v="2026-02-10T00:00:00"/>
    <s v="HOJUELAS DE QUINUA AVENA CON AZÚCAR FORTIFICADA CON VITAMINAS Y MINERALES - HOJUELAS CRUDAS"/>
  </r>
  <r>
    <x v="0"/>
    <x v="94"/>
    <x v="3"/>
    <x v="71"/>
    <x v="170"/>
    <x v="80"/>
    <n v="3374.28"/>
    <x v="0"/>
    <x v="8"/>
    <n v="18"/>
    <x v="176"/>
    <d v="2026-03-07T00:00:00"/>
    <d v="2026-03-11T00:00:00"/>
    <s v="HOJUELAS DE QUINUA AVENA CON AZÚCAR FORTIFICADA CON VITAMINAS Y MINERALES - HOJUELAS CRUDAS"/>
  </r>
  <r>
    <x v="0"/>
    <x v="94"/>
    <x v="4"/>
    <x v="72"/>
    <x v="170"/>
    <x v="78"/>
    <n v="3486.7560000000003"/>
    <x v="0"/>
    <x v="8"/>
    <n v="18"/>
    <x v="119"/>
    <d v="2026-04-08T00:00:00"/>
    <d v="2026-04-09T00:00:00"/>
    <s v="HOJUELAS DE QUINUA AVENA CON AZÚCAR FORTIFICADA CON VITAMINAS Y MINERALES - HOJUELAS CRUDAS"/>
  </r>
  <r>
    <x v="0"/>
    <x v="94"/>
    <x v="5"/>
    <x v="73"/>
    <x v="170"/>
    <x v="80"/>
    <n v="3374.28"/>
    <x v="0"/>
    <x v="8"/>
    <n v="18"/>
    <x v="186"/>
    <d v="2026-05-08T00:00:00"/>
    <d v="2026-05-20T00:00:00"/>
    <s v="HOJUELAS DE QUINUA AVENA CON AZÚCAR FORTIFICADA CON VITAMINAS Y MINERALES - HOJUELAS CRUDAS"/>
  </r>
  <r>
    <x v="0"/>
    <x v="94"/>
    <x v="6"/>
    <x v="33"/>
    <x v="170"/>
    <x v="78"/>
    <n v="3486.7560000000003"/>
    <x v="0"/>
    <x v="8"/>
    <n v="18"/>
    <x v="8"/>
    <d v="2026-06-02T00:00:00"/>
    <d v="2026-06-19T00:00:00"/>
    <s v="HOJUELAS DE QUINUA AVENA CON AZÚCAR FORTIFICADA CON VITAMINAS Y MINERALES - HOJUELAS CRUDAS"/>
  </r>
  <r>
    <x v="0"/>
    <x v="94"/>
    <x v="12"/>
    <x v="74"/>
    <x v="171"/>
    <x v="78"/>
    <n v="3360.462"/>
    <x v="0"/>
    <x v="23"/>
    <n v="26"/>
    <x v="60"/>
    <d v="2026-07-16T00:00:00"/>
    <d v="2026-07-19T00:00:00"/>
    <s v="HOJUELAS DE QUINUA AVENA CON AZÚCAR FORTIFICADA CON VITAMINAS Y MINERALES - HOJUELAS CRUDAS"/>
  </r>
  <r>
    <x v="0"/>
    <x v="94"/>
    <x v="7"/>
    <x v="74"/>
    <x v="170"/>
    <x v="78"/>
    <n v="3486.7560000000003"/>
    <x v="0"/>
    <x v="8"/>
    <n v="18"/>
    <x v="60"/>
    <d v="2026-07-16T00:00:00"/>
    <d v="2026-07-19T00:00:00"/>
    <s v="HOJUELAS DE QUINUA AVENA CON AZÚCAR FORTIFICADA CON VITAMINAS Y MINERALES - HOJUELAS CRUDAS"/>
  </r>
  <r>
    <x v="0"/>
    <x v="94"/>
    <x v="8"/>
    <x v="110"/>
    <x v="170"/>
    <x v="80"/>
    <n v="3374.28"/>
    <x v="0"/>
    <x v="8"/>
    <n v="18"/>
    <x v="31"/>
    <d v="2026-07-31T00:00:00"/>
    <d v="2026-08-18T00:00:00"/>
    <s v="HOJUELAS DE QUINUA AVENA CON AZÚCAR FORTIFICADA CON VITAMINAS Y MINERALES - HOJUELAS CRUDAS"/>
  </r>
  <r>
    <x v="0"/>
    <x v="94"/>
    <x v="9"/>
    <x v="75"/>
    <x v="170"/>
    <x v="78"/>
    <n v="3486.7560000000003"/>
    <x v="0"/>
    <x v="8"/>
    <n v="18"/>
    <x v="4"/>
    <m/>
    <m/>
    <s v="HOJUELAS DE QUINUA AVENA CON AZÚCAR FORTIFICADA CON VITAMINAS Y MINERALES - HOJUELAS CRUDAS"/>
  </r>
  <r>
    <x v="0"/>
    <x v="94"/>
    <x v="10"/>
    <x v="35"/>
    <x v="170"/>
    <x v="80"/>
    <n v="3374.28"/>
    <x v="0"/>
    <x v="8"/>
    <n v="18"/>
    <x v="4"/>
    <m/>
    <m/>
    <s v="HOJUELAS DE QUINUA AVENA CON AZÚCAR FORTIFICADA CON VITAMINAS Y MINERALES - HOJUELAS CRUDAS"/>
  </r>
  <r>
    <x v="0"/>
    <x v="94"/>
    <x v="11"/>
    <x v="76"/>
    <x v="170"/>
    <x v="78"/>
    <n v="3486.7560000000003"/>
    <x v="0"/>
    <x v="8"/>
    <n v="18"/>
    <x v="4"/>
    <m/>
    <m/>
    <s v="HOJUELAS DE QUINUA AVENA CON AZÚCAR FORTIFICADA CON VITAMINAS Y MINERALES - HOJUELAS CRUDAS"/>
  </r>
  <r>
    <x v="0"/>
    <x v="95"/>
    <x v="12"/>
    <x v="40"/>
    <x v="172"/>
    <x v="81"/>
    <n v="815.62822399999993"/>
    <x v="2"/>
    <x v="0"/>
    <n v="32"/>
    <x v="197"/>
    <d v="2026-01-31T00:00:00"/>
    <d v="2026-02-01T00:00:00"/>
    <s v="HOJUELAS DE AVENA, QUINUA, KIWICHA Y MACA CON VITAMINAS Y MINERALES"/>
  </r>
  <r>
    <x v="0"/>
    <x v="95"/>
    <x v="3"/>
    <x v="179"/>
    <x v="173"/>
    <x v="82"/>
    <n v="271.84392299999996"/>
    <x v="0"/>
    <x v="88"/>
    <n v="11"/>
    <x v="25"/>
    <d v="2026-04-16T00:00:00"/>
    <d v="2026-04-16T00:00:00"/>
    <s v="HOJUELAS DE AVENA, QUINUA, KIWICHA Y MACA CON VITAMINAS Y MINERALES"/>
  </r>
  <r>
    <x v="0"/>
    <x v="95"/>
    <x v="4"/>
    <x v="179"/>
    <x v="173"/>
    <x v="82"/>
    <n v="271.84392299999996"/>
    <x v="0"/>
    <x v="88"/>
    <n v="11"/>
    <x v="25"/>
    <d v="2026-04-16T00:00:00"/>
    <d v="2026-04-16T00:00:00"/>
    <s v="HOJUELAS DE AVENA, QUINUA, KIWICHA Y MACA CON VITAMINAS Y MINERALES"/>
  </r>
  <r>
    <x v="0"/>
    <x v="95"/>
    <x v="5"/>
    <x v="179"/>
    <x v="173"/>
    <x v="82"/>
    <n v="271.84392299999996"/>
    <x v="0"/>
    <x v="88"/>
    <n v="11"/>
    <x v="25"/>
    <d v="2026-04-16T00:00:00"/>
    <d v="2026-04-16T00:00:00"/>
    <s v="HOJUELAS DE AVENA, QUINUA, KIWICHA Y MACA CON VITAMINAS Y MINERALES"/>
  </r>
  <r>
    <x v="0"/>
    <x v="95"/>
    <x v="6"/>
    <x v="180"/>
    <x v="173"/>
    <x v="82"/>
    <n v="271.84392299999996"/>
    <x v="0"/>
    <x v="88"/>
    <n v="11"/>
    <x v="26"/>
    <d v="2026-06-25T00:00:00"/>
    <d v="2026-06-25T00:00:00"/>
    <s v="HOJUELAS DE AVENA, QUINUA, KIWICHA Y MACA CON VITAMINAS Y MINERALES"/>
  </r>
  <r>
    <x v="0"/>
    <x v="95"/>
    <x v="7"/>
    <x v="180"/>
    <x v="173"/>
    <x v="82"/>
    <n v="271.84392299999996"/>
    <x v="0"/>
    <x v="88"/>
    <n v="11"/>
    <x v="26"/>
    <d v="2026-06-25T00:00:00"/>
    <d v="2026-06-25T00:00:00"/>
    <s v="HOJUELAS DE AVENA, QUINUA, KIWICHA Y MACA CON VITAMINAS Y MINERALES"/>
  </r>
  <r>
    <x v="0"/>
    <x v="95"/>
    <x v="25"/>
    <x v="180"/>
    <x v="173"/>
    <x v="82"/>
    <n v="271.84392299999996"/>
    <x v="0"/>
    <x v="88"/>
    <n v="11"/>
    <x v="26"/>
    <d v="2026-06-25T00:00:00"/>
    <d v="2026-06-25T00:00:00"/>
    <s v="HOJUELAS DE AVENA, QUINUA, KIWICHA Y MACA CON VITAMINAS Y MINERALES"/>
  </r>
  <r>
    <x v="0"/>
    <x v="95"/>
    <x v="12"/>
    <x v="96"/>
    <x v="174"/>
    <x v="83"/>
    <n v="131.47640000000001"/>
    <x v="12"/>
    <x v="54"/>
    <n v="10"/>
    <x v="4"/>
    <m/>
    <m/>
    <s v="HOJUELAS DE AVENA, QUINUA, KIWICHA Y MACA CON VITAMINAS Y MINERALES"/>
  </r>
  <r>
    <x v="0"/>
    <x v="95"/>
    <x v="9"/>
    <x v="181"/>
    <x v="173"/>
    <x v="82"/>
    <n v="271.84392299999996"/>
    <x v="0"/>
    <x v="88"/>
    <n v="11"/>
    <x v="4"/>
    <m/>
    <m/>
    <s v="HOJUELAS DE AVENA, QUINUA, KIWICHA Y MACA CON VITAMINAS Y MINERALES"/>
  </r>
  <r>
    <x v="0"/>
    <x v="95"/>
    <x v="10"/>
    <x v="181"/>
    <x v="173"/>
    <x v="82"/>
    <n v="271.84392299999996"/>
    <x v="0"/>
    <x v="88"/>
    <n v="11"/>
    <x v="4"/>
    <m/>
    <m/>
    <s v="HOJUELAS DE AVENA, QUINUA, KIWICHA Y MACA CON VITAMINAS Y MINERALES"/>
  </r>
  <r>
    <x v="0"/>
    <x v="95"/>
    <x v="11"/>
    <x v="181"/>
    <x v="173"/>
    <x v="82"/>
    <n v="271.84392299999996"/>
    <x v="0"/>
    <x v="88"/>
    <n v="11"/>
    <x v="4"/>
    <m/>
    <m/>
    <s v="HOJUELAS DE AVENA, QUINUA, KIWICHA Y MACA CON VITAMINAS Y MINERALES"/>
  </r>
  <r>
    <x v="0"/>
    <x v="96"/>
    <x v="0"/>
    <x v="30"/>
    <x v="175"/>
    <x v="1"/>
    <n v="5788"/>
    <x v="2"/>
    <x v="89"/>
    <n v="28"/>
    <x v="198"/>
    <d v="2025-12-27T00:00:00"/>
    <d v="2026-01-26T00:00:00"/>
    <s v="MEZCLA PRECOCIDA DE QUINUA, KIWICHA, AVENA Y HARINA DE SOYA INTEGRAL TOSTADA CON LECHE ENTERA EN POLVO FORTIFICADA CON VITAMINAS Y MINERALES "/>
  </r>
  <r>
    <x v="0"/>
    <x v="96"/>
    <x v="1"/>
    <x v="153"/>
    <x v="176"/>
    <x v="1"/>
    <n v="5200"/>
    <x v="2"/>
    <x v="19"/>
    <n v="0"/>
    <x v="17"/>
    <d v="2026-01-17T00:00:00"/>
    <d v="2026-01-26T00:00:00"/>
    <s v="MEZCLA PRECOCIDA DE QUINUA, KIWICHA, AVENA Y HARINA DE SOYA INTEGRAL TOSTADA CON LECHE ENTERA EN POLVO FORTIFICADA CON VITAMINAS Y MINERALES "/>
  </r>
  <r>
    <x v="0"/>
    <x v="96"/>
    <x v="2"/>
    <x v="182"/>
    <x v="175"/>
    <x v="1"/>
    <n v="5788"/>
    <x v="2"/>
    <x v="89"/>
    <n v="28"/>
    <x v="146"/>
    <d v="2026-02-12T00:00:00"/>
    <d v="2026-02-12T00:00:00"/>
    <s v="MEZCLA PRECOCIDA DE QUINUA, KIWICHA, AVENA Y HARINA DE SOYA INTEGRAL TOSTADA CON LECHE ENTERA EN POLVO FORTIFICADA CON VITAMINAS Y MINERALES "/>
  </r>
  <r>
    <x v="0"/>
    <x v="96"/>
    <x v="3"/>
    <x v="66"/>
    <x v="177"/>
    <x v="1"/>
    <n v="5559"/>
    <x v="2"/>
    <x v="90"/>
    <n v="39"/>
    <x v="180"/>
    <d v="2026-03-12T00:00:00"/>
    <d v="2026-03-12T00:00:00"/>
    <s v="MEZCLA PRECOCIDA DE QUINUA, KIWICHA, AVENA Y HARINA DE SOYA INTEGRAL TOSTADA CON LECHE ENTERA EN POLVO FORTIFICADA CON VITAMINAS Y MINERALES "/>
  </r>
  <r>
    <x v="0"/>
    <x v="96"/>
    <x v="4"/>
    <x v="7"/>
    <x v="175"/>
    <x v="1"/>
    <n v="5788"/>
    <x v="2"/>
    <x v="89"/>
    <n v="28"/>
    <x v="29"/>
    <d v="2026-04-09T00:00:00"/>
    <d v="2026-04-13T00:00:00"/>
    <s v="MEZCLA PRECOCIDA DE QUINUA, KIWICHA, AVENA Y HARINA DE SOYA INTEGRAL TOSTADA CON LECHE ENTERA EN POLVO FORTIFICADA CON VITAMINAS Y MINERALES "/>
  </r>
  <r>
    <x v="0"/>
    <x v="96"/>
    <x v="5"/>
    <x v="141"/>
    <x v="177"/>
    <x v="1"/>
    <n v="5559"/>
    <x v="2"/>
    <x v="90"/>
    <n v="39"/>
    <x v="187"/>
    <d v="2026-05-12T00:00:00"/>
    <d v="2026-05-12T00:00:00"/>
    <s v="MEZCLA PRECOCIDA DE QUINUA, KIWICHA, AVENA Y HARINA DE SOYA INTEGRAL TOSTADA CON LECHE ENTERA EN POLVO FORTIFICADA CON VITAMINAS Y MINERALES "/>
  </r>
  <r>
    <x v="0"/>
    <x v="96"/>
    <x v="6"/>
    <x v="180"/>
    <x v="175"/>
    <x v="1"/>
    <n v="5788"/>
    <x v="2"/>
    <x v="89"/>
    <n v="28"/>
    <x v="199"/>
    <d v="2026-06-01T00:00:00"/>
    <d v="2026-06-09T00:00:00"/>
    <s v="MEZCLA PRECOCIDA DE QUINUA, KIWICHA, AVENA Y HARINA DE SOYA INTEGRAL TOSTADA CON LECHE ENTERA EN POLVO FORTIFICADA CON VITAMINAS Y MINERALES "/>
  </r>
  <r>
    <x v="0"/>
    <x v="96"/>
    <x v="7"/>
    <x v="155"/>
    <x v="175"/>
    <x v="1"/>
    <n v="5788"/>
    <x v="2"/>
    <x v="89"/>
    <n v="28"/>
    <x v="141"/>
    <d v="2026-07-13T00:00:00"/>
    <d v="2026-07-13T00:00:00"/>
    <s v="MEZCLA PRECOCIDA DE QUINUA, KIWICHA, AVENA Y HARINA DE SOYA INTEGRAL TOSTADA CON LECHE ENTERA EN POLVO FORTIFICADA CON VITAMINAS Y MINERALES "/>
  </r>
  <r>
    <x v="0"/>
    <x v="96"/>
    <x v="8"/>
    <x v="183"/>
    <x v="177"/>
    <x v="1"/>
    <n v="5559"/>
    <x v="2"/>
    <x v="90"/>
    <n v="39"/>
    <x v="36"/>
    <d v="2026-08-04T00:00:00"/>
    <d v="2026-08-11T00:00:00"/>
    <s v="MEZCLA PRECOCIDA DE QUINUA, KIWICHA, AVENA Y HARINA DE SOYA INTEGRAL TOSTADA CON LECHE ENTERA EN POLVO FORTIFICADA CON VITAMINAS Y MINERALES "/>
  </r>
  <r>
    <x v="0"/>
    <x v="96"/>
    <x v="9"/>
    <x v="181"/>
    <x v="175"/>
    <x v="1"/>
    <n v="5788"/>
    <x v="2"/>
    <x v="89"/>
    <n v="28"/>
    <x v="200"/>
    <d v="2026-09-10T00:00:00"/>
    <m/>
    <s v="MEZCLA PRECOCIDA DE QUINUA, KIWICHA, AVENA Y HARINA DE SOYA INTEGRAL TOSTADA CON LECHE ENTERA EN POLVO FORTIFICADA CON VITAMINAS Y MINERALES "/>
  </r>
  <r>
    <x v="0"/>
    <x v="96"/>
    <x v="10"/>
    <x v="184"/>
    <x v="177"/>
    <x v="1"/>
    <n v="5559"/>
    <x v="2"/>
    <x v="90"/>
    <n v="39"/>
    <x v="4"/>
    <m/>
    <m/>
    <s v="MEZCLA PRECOCIDA DE QUINUA, KIWICHA, AVENA Y HARINA DE SOYA INTEGRAL TOSTADA CON LECHE ENTERA EN POLVO FORTIFICADA CON VITAMINAS Y MINERALES "/>
  </r>
  <r>
    <x v="0"/>
    <x v="96"/>
    <x v="11"/>
    <x v="185"/>
    <x v="178"/>
    <x v="1"/>
    <n v="5794"/>
    <x v="2"/>
    <x v="89"/>
    <n v="34"/>
    <x v="4"/>
    <m/>
    <m/>
    <s v="MEZCLA PRECOCIDA DE QUINUA, KIWICHA, AVENA Y HARINA DE SOYA INTEGRAL TOSTADA CON LECHE ENTERA EN POLVO FORTIFICADA CON VITAMINAS Y MINERALES "/>
  </r>
  <r>
    <x v="0"/>
    <x v="97"/>
    <x v="41"/>
    <x v="186"/>
    <x v="179"/>
    <x v="1"/>
    <n v="952.57"/>
    <x v="2"/>
    <x v="91"/>
    <n v="32.57000000000005"/>
    <x v="30"/>
    <d v="2026-06-04T00:00:00"/>
    <d v="2026-06-04T00:00:00"/>
    <s v="MEZCLA DE HOJUELAS Y HARINAS PRECOCIDAS DE AVENA, TRIGO, CAÑIHUA Y QUINUA CON HARINAS DE CEBADA Y KIWICHA FORTIFICADA CON VITAMINAS Y MINERALES"/>
  </r>
  <r>
    <x v="0"/>
    <x v="97"/>
    <x v="42"/>
    <x v="186"/>
    <x v="180"/>
    <x v="1"/>
    <n v="921.84"/>
    <x v="2"/>
    <x v="91"/>
    <n v="1.8400000000000318"/>
    <x v="30"/>
    <d v="2026-06-04T00:00:00"/>
    <d v="2026-06-04T00:00:00"/>
    <s v="MEZCLA DE HOJUELAS Y HARINAS PRECOCIDAS DE AVENA, TRIGO, CAÑIHUA Y QUINUA CON HARINAS DE CEBADA Y KIWICHA FORTIFICADA CON VITAMINAS Y MINERALES"/>
  </r>
  <r>
    <x v="0"/>
    <x v="97"/>
    <x v="12"/>
    <x v="186"/>
    <x v="181"/>
    <x v="1"/>
    <n v="239.2"/>
    <x v="2"/>
    <x v="15"/>
    <n v="39.199999999999989"/>
    <x v="30"/>
    <d v="2026-06-04T00:00:00"/>
    <d v="2026-06-04T00:00:00"/>
    <s v="MEZCLA DE HOJUELAS Y HARINAS PRECOCIDAS DE AVENA, TRIGO, CAÑIHUA Y QUINUA CON HARINAS DE CEBADA Y KIWICHA FORTIFICADA CON VITAMINAS Y MINERALES"/>
  </r>
  <r>
    <x v="0"/>
    <x v="97"/>
    <x v="43"/>
    <x v="187"/>
    <x v="179"/>
    <x v="1"/>
    <n v="952.57"/>
    <x v="2"/>
    <x v="91"/>
    <n v="32.57000000000005"/>
    <x v="31"/>
    <d v="2026-07-31T00:00:00"/>
    <d v="2026-07-31T00:00:00"/>
    <s v="MEZCLA DE HOJUELAS Y HARINAS PRECOCIDAS DE AVENA, TRIGO, CAÑIHUA Y QUINUA CON HARINAS DE CEBADA Y KIWICHA FORTIFICADA CON VITAMINAS Y MINERALES"/>
  </r>
  <r>
    <x v="0"/>
    <x v="97"/>
    <x v="44"/>
    <x v="188"/>
    <x v="179"/>
    <x v="1"/>
    <n v="952.57"/>
    <x v="2"/>
    <x v="91"/>
    <n v="32.57000000000005"/>
    <x v="31"/>
    <d v="2026-07-31T00:00:00"/>
    <d v="2026-07-31T00:00:00"/>
    <s v="MEZCLA DE HOJUELAS Y HARINAS PRECOCIDAS DE AVENA, TRIGO, CAÑIHUA Y QUINUA CON HARINAS DE CEBADA Y KIWICHA FORTIFICADA CON VITAMINAS Y MINERALES"/>
  </r>
  <r>
    <x v="0"/>
    <x v="97"/>
    <x v="45"/>
    <x v="128"/>
    <x v="180"/>
    <x v="1"/>
    <n v="921.84"/>
    <x v="2"/>
    <x v="91"/>
    <n v="1.8400000000000318"/>
    <x v="4"/>
    <m/>
    <m/>
    <s v="MEZCLA DE HOJUELAS Y HARINAS PRECOCIDAS DE AVENA, TRIGO, CAÑIHUA Y QUINUA CON HARINAS DE CEBADA Y KIWICHA FORTIFICADA CON VITAMINAS Y MINERALES"/>
  </r>
  <r>
    <x v="0"/>
    <x v="97"/>
    <x v="46"/>
    <x v="128"/>
    <x v="179"/>
    <x v="1"/>
    <n v="952.57"/>
    <x v="2"/>
    <x v="91"/>
    <n v="32.57000000000005"/>
    <x v="4"/>
    <m/>
    <m/>
    <s v="MEZCLA DE HOJUELAS Y HARINAS PRECOCIDAS DE AVENA, TRIGO, CAÑIHUA Y QUINUA CON HARINAS DE CEBADA Y KIWICHA FORTIFICADA CON VITAMINAS Y MINERALES"/>
  </r>
  <r>
    <x v="0"/>
    <x v="97"/>
    <x v="47"/>
    <x v="189"/>
    <x v="180"/>
    <x v="1"/>
    <n v="921.84"/>
    <x v="2"/>
    <x v="91"/>
    <n v="1.8400000000000318"/>
    <x v="4"/>
    <m/>
    <m/>
    <s v="MEZCLA DE HOJUELAS Y HARINAS PRECOCIDAS DE AVENA, TRIGO, CAÑIHUA Y QUINUA CON HARINAS DE CEBADA Y KIWICHA FORTIFICADA CON VITAMINAS Y MINERALES"/>
  </r>
  <r>
    <x v="0"/>
    <x v="97"/>
    <x v="48"/>
    <x v="189"/>
    <x v="179"/>
    <x v="1"/>
    <n v="952.57"/>
    <x v="2"/>
    <x v="91"/>
    <n v="32.57000000000005"/>
    <x v="4"/>
    <m/>
    <m/>
    <s v="MEZCLA DE HOJUELAS Y HARINAS PRECOCIDAS DE AVENA, TRIGO, CAÑIHUA Y QUINUA CON HARINAS DE CEBADA Y KIWICHA FORTIFICADA CON VITAMINAS Y MINERALES"/>
  </r>
  <r>
    <x v="4"/>
    <x v="98"/>
    <x v="12"/>
    <x v="23"/>
    <x v="182"/>
    <x v="1"/>
    <n v="1345"/>
    <x v="2"/>
    <x v="14"/>
    <n v="25"/>
    <x v="118"/>
    <d v="2026-03-09T00:00:00"/>
    <d v="2026-03-10T00:00:00"/>
    <s v="HOJUELAS PRECOCIDAS DE QUINUA, AVENA, KIWICHA Y HARINA DE MACA FORTIFICADA CON VITAMINAS Y MINERALES"/>
  </r>
  <r>
    <x v="4"/>
    <x v="98"/>
    <x v="12"/>
    <x v="122"/>
    <x v="183"/>
    <x v="1"/>
    <n v="1070"/>
    <x v="2"/>
    <x v="34"/>
    <n v="30"/>
    <x v="97"/>
    <d v="2026-04-07T00:00:00"/>
    <d v="2026-04-08T00:00:00"/>
    <s v="HOJUELAS PRECOCIDAS DE QUINUA, AVENA, KIWICHA Y HARINA DE MACA FORTIFICADA CON VITAMINAS Y MINERALES"/>
  </r>
  <r>
    <x v="4"/>
    <x v="98"/>
    <x v="12"/>
    <x v="8"/>
    <x v="184"/>
    <x v="1"/>
    <n v="995"/>
    <x v="2"/>
    <x v="21"/>
    <n v="35"/>
    <x v="120"/>
    <d v="2026-07-03T00:00:00"/>
    <d v="2026-07-03T00:00:00"/>
    <s v="HOJUELAS PRECOCIDAS DE QUINUA, AVENA, KIWICHA Y HARINA DE MACA FORTIFICADA CON VITAMINAS Y MINERALES"/>
  </r>
  <r>
    <x v="0"/>
    <x v="99"/>
    <x v="0"/>
    <x v="190"/>
    <x v="185"/>
    <x v="1"/>
    <n v="1168"/>
    <x v="2"/>
    <x v="37"/>
    <n v="8"/>
    <x v="124"/>
    <d v="2026-01-06T00:00:00"/>
    <d v="2026-01-06T00:00:00"/>
    <s v="HOJUELAS DE QUINUA, KIWICHA, CEBADA, CAÑIHUA, AVENA Y HARINA INTEGRAL DE SOYA PRECOCIDA FORTIFICADA CON VITAMINAS Y MINERALES"/>
  </r>
  <r>
    <x v="0"/>
    <x v="99"/>
    <x v="1"/>
    <x v="69"/>
    <x v="185"/>
    <x v="1"/>
    <n v="1168"/>
    <x v="2"/>
    <x v="37"/>
    <n v="8"/>
    <x v="124"/>
    <d v="2026-01-06T00:00:00"/>
    <d v="2026-01-06T00:00:00"/>
    <s v="HOJUELAS DE QUINUA, KIWICHA, CEBADA, CAÑIHUA, AVENA Y HARINA INTEGRAL DE SOYA PRECOCIDA FORTIFICADA CON VITAMINAS Y MINERALES"/>
  </r>
  <r>
    <x v="0"/>
    <x v="99"/>
    <x v="2"/>
    <x v="32"/>
    <x v="185"/>
    <x v="1"/>
    <n v="1168"/>
    <x v="2"/>
    <x v="37"/>
    <n v="8"/>
    <x v="180"/>
    <d v="2026-03-12T00:00:00"/>
    <d v="2026-03-19T00:00:00"/>
    <s v="HOJUELAS DE QUINUA, KIWICHA, CEBADA, CAÑIHUA, AVENA Y HARINA INTEGRAL DE SOYA PRECOCIDA FORTIFICADA CON VITAMINAS Y MINERALES"/>
  </r>
  <r>
    <x v="0"/>
    <x v="99"/>
    <x v="3"/>
    <x v="71"/>
    <x v="185"/>
    <x v="1"/>
    <n v="1168"/>
    <x v="2"/>
    <x v="37"/>
    <n v="8"/>
    <x v="180"/>
    <d v="2026-03-12T00:00:00"/>
    <d v="2026-03-19T00:00:00"/>
    <s v="HOJUELAS DE QUINUA, KIWICHA, CEBADA, CAÑIHUA, AVENA Y HARINA INTEGRAL DE SOYA PRECOCIDA FORTIFICADA CON VITAMINAS Y MINERALES"/>
  </r>
  <r>
    <x v="0"/>
    <x v="99"/>
    <x v="4"/>
    <x v="72"/>
    <x v="185"/>
    <x v="1"/>
    <n v="1168"/>
    <x v="2"/>
    <x v="37"/>
    <n v="8"/>
    <x v="85"/>
    <d v="2026-04-21T00:00:00"/>
    <d v="2026-04-23T00:00:00"/>
    <s v="HOJUELAS DE QUINUA, KIWICHA, CEBADA, CAÑIHUA, AVENA Y HARINA INTEGRAL DE SOYA PRECOCIDA FORTIFICADA CON VITAMINAS Y MINERALES"/>
  </r>
  <r>
    <x v="0"/>
    <x v="99"/>
    <x v="5"/>
    <x v="72"/>
    <x v="185"/>
    <x v="1"/>
    <n v="1168"/>
    <x v="2"/>
    <x v="37"/>
    <n v="8"/>
    <x v="85"/>
    <d v="2026-04-21T00:00:00"/>
    <d v="2026-04-23T00:00:00"/>
    <s v="HOJUELAS DE QUINUA, KIWICHA, CEBADA, CAÑIHUA, AVENA Y HARINA INTEGRAL DE SOYA PRECOCIDA FORTIFICADA CON VITAMINAS Y MINERALES"/>
  </r>
  <r>
    <x v="0"/>
    <x v="99"/>
    <x v="6"/>
    <x v="175"/>
    <x v="185"/>
    <x v="1"/>
    <n v="1168"/>
    <x v="2"/>
    <x v="37"/>
    <n v="8"/>
    <x v="22"/>
    <d v="2026-06-06T00:00:00"/>
    <d v="2026-06-08T00:00:00"/>
    <s v="HOJUELAS DE QUINUA, KIWICHA, CEBADA, CAÑIHUA, AVENA Y HARINA INTEGRAL DE SOYA PRECOCIDA FORTIFICADA CON VITAMINAS Y MINERALES"/>
  </r>
  <r>
    <x v="0"/>
    <x v="99"/>
    <x v="7"/>
    <x v="175"/>
    <x v="185"/>
    <x v="1"/>
    <n v="1168"/>
    <x v="2"/>
    <x v="37"/>
    <n v="8"/>
    <x v="22"/>
    <d v="2026-06-06T00:00:00"/>
    <d v="2026-06-08T00:00:00"/>
    <s v="HOJUELAS DE QUINUA, KIWICHA, CEBADA, CAÑIHUA, AVENA Y HARINA INTEGRAL DE SOYA PRECOCIDA FORTIFICADA CON VITAMINAS Y MINERALES"/>
  </r>
  <r>
    <x v="0"/>
    <x v="99"/>
    <x v="8"/>
    <x v="74"/>
    <x v="185"/>
    <x v="1"/>
    <n v="1168"/>
    <x v="2"/>
    <x v="37"/>
    <n v="8"/>
    <x v="175"/>
    <d v="2026-08-08T00:00:00"/>
    <d v="2026-08-09T00:00:00"/>
    <s v="HOJUELAS DE QUINUA, KIWICHA, CEBADA, CAÑIHUA, AVENA Y HARINA INTEGRAL DE SOYA PRECOCIDA FORTIFICADA CON VITAMINAS Y MINERALES"/>
  </r>
  <r>
    <x v="0"/>
    <x v="99"/>
    <x v="9"/>
    <x v="28"/>
    <x v="185"/>
    <x v="1"/>
    <n v="1168"/>
    <x v="2"/>
    <x v="37"/>
    <n v="8"/>
    <x v="175"/>
    <d v="2026-08-08T00:00:00"/>
    <d v="2026-08-09T00:00:00"/>
    <s v="HOJUELAS DE QUINUA, KIWICHA, CEBADA, CAÑIHUA, AVENA Y HARINA INTEGRAL DE SOYA PRECOCIDA FORTIFICADA CON VITAMINAS Y MINERALES"/>
  </r>
  <r>
    <x v="0"/>
    <x v="99"/>
    <x v="10"/>
    <x v="35"/>
    <x v="185"/>
    <x v="1"/>
    <n v="1168"/>
    <x v="2"/>
    <x v="37"/>
    <n v="8"/>
    <x v="4"/>
    <m/>
    <m/>
    <s v="HOJUELAS DE QUINUA, KIWICHA, CEBADA, CAÑIHUA, AVENA Y HARINA INTEGRAL DE SOYA PRECOCIDA FORTIFICADA CON VITAMINAS Y MINERALES"/>
  </r>
  <r>
    <x v="0"/>
    <x v="99"/>
    <x v="11"/>
    <x v="35"/>
    <x v="186"/>
    <x v="1"/>
    <n v="1169"/>
    <x v="2"/>
    <x v="37"/>
    <n v="9"/>
    <x v="4"/>
    <m/>
    <m/>
    <s v="HOJUELAS DE QUINUA, KIWICHA, CEBADA, CAÑIHUA, AVENA Y HARINA INTEGRAL DE SOYA PRECOCIDA FORTIFICADA CON VITAMINAS Y MINERALES"/>
  </r>
  <r>
    <x v="8"/>
    <x v="100"/>
    <x v="49"/>
    <x v="191"/>
    <x v="187"/>
    <x v="84"/>
    <n v="7488.26"/>
    <x v="7"/>
    <x v="92"/>
    <n v="1"/>
    <x v="23"/>
    <d v="2026-08-03T00:00:00"/>
    <d v="2026-08-18T00:00:00"/>
    <s v="QALIWARMA - AVENA  Lt.1"/>
  </r>
  <r>
    <x v="8"/>
    <x v="100"/>
    <x v="49"/>
    <x v="191"/>
    <x v="188"/>
    <x v="84"/>
    <n v="1179.6200000000001"/>
    <x v="7"/>
    <x v="93"/>
    <n v="37"/>
    <x v="23"/>
    <d v="2026-08-03T00:00:00"/>
    <d v="2026-08-18T00:00:00"/>
    <s v="QALIWARMA - AVENA  Lt.1"/>
  </r>
  <r>
    <x v="8"/>
    <x v="100"/>
    <x v="50"/>
    <x v="16"/>
    <x v="189"/>
    <x v="84"/>
    <n v="2849.6"/>
    <x v="7"/>
    <x v="94"/>
    <n v="60"/>
    <x v="4"/>
    <m/>
    <m/>
    <s v="QALIWARMA - AVENA  Lt.2"/>
  </r>
  <r>
    <x v="9"/>
    <x v="100"/>
    <x v="51"/>
    <x v="16"/>
    <x v="190"/>
    <x v="84"/>
    <n v="1209"/>
    <x v="7"/>
    <x v="95"/>
    <n v="50"/>
    <x v="4"/>
    <m/>
    <m/>
    <s v="QALIWARMA - AVENA  Lt.2"/>
  </r>
  <r>
    <x v="8"/>
    <x v="101"/>
    <x v="50"/>
    <x v="192"/>
    <x v="191"/>
    <x v="84"/>
    <n v="5218.2"/>
    <x v="7"/>
    <x v="96"/>
    <n v="70"/>
    <x v="201"/>
    <d v="2026-02-06T00:00:00"/>
    <d v="2026-02-10T00:00:00"/>
    <s v="QALIWARMA - AVENA KIWICHA Lt.1"/>
  </r>
  <r>
    <x v="8"/>
    <x v="101"/>
    <x v="50"/>
    <x v="193"/>
    <x v="100"/>
    <x v="84"/>
    <n v="1043.3800000000001"/>
    <x v="7"/>
    <x v="5"/>
    <n v="13"/>
    <x v="33"/>
    <d v="2026-02-26T00:00:00"/>
    <d v="2026-02-26T00:00:00"/>
    <s v="QALIWARMA - AVENA KIWICHA Lt.1"/>
  </r>
  <r>
    <x v="8"/>
    <x v="101"/>
    <x v="49"/>
    <x v="66"/>
    <x v="192"/>
    <x v="84"/>
    <n v="1212.9000000000001"/>
    <x v="7"/>
    <x v="95"/>
    <n v="65"/>
    <x v="176"/>
    <d v="2026-03-07T00:00:00"/>
    <d v="2026-03-10T00:00:00"/>
    <s v="QALIWARMA - AVENA KIWICHA Lt.1"/>
  </r>
  <r>
    <x v="8"/>
    <x v="101"/>
    <x v="49"/>
    <x v="106"/>
    <x v="193"/>
    <x v="84"/>
    <n v="1077.44"/>
    <x v="7"/>
    <x v="31"/>
    <n v="44"/>
    <x v="202"/>
    <d v="2026-03-18T00:00:00"/>
    <d v="2026-03-18T00:00:00"/>
    <s v="QALIWARMA - AVENA KIWICHA Lt.1"/>
  </r>
  <r>
    <x v="8"/>
    <x v="101"/>
    <x v="50"/>
    <x v="106"/>
    <x v="194"/>
    <x v="84"/>
    <n v="1426.3600000000001"/>
    <x v="7"/>
    <x v="97"/>
    <n v="86"/>
    <x v="75"/>
    <d v="2026-03-27T00:00:00"/>
    <d v="2026-03-28T00:00:00"/>
    <s v="QALIWARMA - AVENA KIWICHA Lt.1"/>
  </r>
  <r>
    <x v="8"/>
    <x v="101"/>
    <x v="50"/>
    <x v="43"/>
    <x v="195"/>
    <x v="84"/>
    <n v="1425.32"/>
    <x v="7"/>
    <x v="97"/>
    <n v="82"/>
    <x v="182"/>
    <d v="2026-04-20T00:00:00"/>
    <d v="2026-04-24T00:00:00"/>
    <s v="QALIWARMA - AVENA KIWICHA Lt.1"/>
  </r>
  <r>
    <x v="8"/>
    <x v="101"/>
    <x v="49"/>
    <x v="43"/>
    <x v="196"/>
    <x v="84"/>
    <n v="1074.8400000000001"/>
    <x v="7"/>
    <x v="31"/>
    <n v="34"/>
    <x v="189"/>
    <d v="2026-05-09T00:00:00"/>
    <d v="2026-05-25T00:00:00"/>
    <s v="QALIWARMA - AVENA KIWICHA Lt.1"/>
  </r>
  <r>
    <x v="9"/>
    <x v="101"/>
    <x v="51"/>
    <x v="11"/>
    <x v="197"/>
    <x v="84"/>
    <n v="2548"/>
    <x v="7"/>
    <x v="98"/>
    <n v="0"/>
    <x v="7"/>
    <d v="2026-04-24T00:00:00"/>
    <d v="2026-04-28T00:00:00"/>
    <s v="QALIWARMA - AVENA KIWICHA Lt.1"/>
  </r>
  <r>
    <x v="10"/>
    <x v="101"/>
    <x v="51"/>
    <x v="11"/>
    <x v="198"/>
    <x v="84"/>
    <n v="1729"/>
    <x v="7"/>
    <x v="99"/>
    <n v="50"/>
    <x v="179"/>
    <d v="2026-04-30T00:00:00"/>
    <d v="2026-05-06T00:00:00"/>
    <s v="QALIWARMA - AVENA KIWICHA Lt.1"/>
  </r>
  <r>
    <x v="8"/>
    <x v="101"/>
    <x v="50"/>
    <x v="194"/>
    <x v="199"/>
    <x v="84"/>
    <n v="1020.76"/>
    <x v="7"/>
    <x v="57"/>
    <n v="26"/>
    <x v="145"/>
    <d v="2026-06-12T00:00:00"/>
    <d v="2026-06-19T00:00:00"/>
    <s v="QALIWARMA - AVENA KIWICHA Lt.2"/>
  </r>
  <r>
    <x v="9"/>
    <x v="101"/>
    <x v="51"/>
    <x v="195"/>
    <x v="200"/>
    <x v="84"/>
    <n v="2457"/>
    <x v="7"/>
    <x v="71"/>
    <n v="50"/>
    <x v="64"/>
    <d v="2026-06-09T00:00:00"/>
    <d v="2026-06-09T00:00:00"/>
    <s v="QALIWARMA - AVENA KIWICHA Lt.2"/>
  </r>
  <r>
    <x v="8"/>
    <x v="101"/>
    <x v="49"/>
    <x v="109"/>
    <x v="201"/>
    <x v="84"/>
    <n v="1169.22"/>
    <x v="7"/>
    <x v="100"/>
    <n v="97"/>
    <x v="145"/>
    <d v="2026-06-12T00:00:00"/>
    <d v="2026-07-06T00:00:00"/>
    <s v="QALIWARMA - AVENA KIWICHA Lt.2"/>
  </r>
  <r>
    <x v="8"/>
    <x v="101"/>
    <x v="50"/>
    <x v="109"/>
    <x v="202"/>
    <x v="84"/>
    <n v="2257.84"/>
    <x v="7"/>
    <x v="101"/>
    <n v="84"/>
    <x v="145"/>
    <d v="2026-06-12T00:00:00"/>
    <d v="2026-06-12T00:00:00"/>
    <s v="QALIWARMA - AVENA KIWICHA Lt.2"/>
  </r>
  <r>
    <x v="9"/>
    <x v="101"/>
    <x v="52"/>
    <x v="74"/>
    <x v="203"/>
    <x v="84"/>
    <n v="2340"/>
    <x v="7"/>
    <x v="102"/>
    <n v="0"/>
    <x v="203"/>
    <d v="2026-07-25T00:00:00"/>
    <d v="2026-07-29T00:00:00"/>
    <s v="QALIWARMA - AVENA KIWICHA Lt.2"/>
  </r>
  <r>
    <x v="8"/>
    <x v="101"/>
    <x v="49"/>
    <x v="191"/>
    <x v="204"/>
    <x v="84"/>
    <n v="2193.36"/>
    <x v="7"/>
    <x v="80"/>
    <n v="36"/>
    <x v="171"/>
    <d v="2026-08-05T00:00:00"/>
    <d v="2026-08-18T00:00:00"/>
    <s v="QALIWARMA - AVENA KIWICHA Lt.2"/>
  </r>
  <r>
    <x v="8"/>
    <x v="101"/>
    <x v="49"/>
    <x v="191"/>
    <x v="205"/>
    <x v="84"/>
    <n v="1171.3"/>
    <x v="7"/>
    <x v="93"/>
    <n v="5"/>
    <x v="171"/>
    <d v="2026-08-05T00:00:00"/>
    <d v="2026-08-18T00:00:00"/>
    <s v="QALIWARMA - AVENA KIWICHA Lt.3"/>
  </r>
  <r>
    <x v="8"/>
    <x v="101"/>
    <x v="50"/>
    <x v="16"/>
    <x v="206"/>
    <x v="84"/>
    <n v="2649.14"/>
    <x v="7"/>
    <x v="103"/>
    <n v="89"/>
    <x v="4"/>
    <m/>
    <m/>
    <s v="QALIWARMA - AVENA KIWICHA Lt.3"/>
  </r>
  <r>
    <x v="8"/>
    <x v="101"/>
    <x v="53"/>
    <x v="16"/>
    <x v="207"/>
    <x v="84"/>
    <n v="1194.96"/>
    <x v="7"/>
    <x v="93"/>
    <n v="96"/>
    <x v="4"/>
    <m/>
    <m/>
    <s v="QALIWARMA - AVENA KIWICHA Lt.3"/>
  </r>
  <r>
    <x v="9"/>
    <x v="101"/>
    <x v="51"/>
    <x v="16"/>
    <x v="208"/>
    <x v="84"/>
    <n v="1019.2"/>
    <x v="7"/>
    <x v="57"/>
    <n v="20"/>
    <x v="4"/>
    <m/>
    <m/>
    <s v="QALIWARMA - AVENA KIWICHA Lt.3"/>
  </r>
  <r>
    <x v="10"/>
    <x v="102"/>
    <x v="51"/>
    <x v="69"/>
    <x v="209"/>
    <x v="84"/>
    <n v="3239.6"/>
    <x v="7"/>
    <x v="104"/>
    <n v="60"/>
    <x v="204"/>
    <d v="2026-01-19T00:00:00"/>
    <d v="2026-01-19T00:00:00"/>
    <s v="QALIWARMA - AVENA QUINUA Lt.1"/>
  </r>
  <r>
    <x v="9"/>
    <x v="102"/>
    <x v="51"/>
    <x v="5"/>
    <x v="210"/>
    <x v="84"/>
    <n v="2574"/>
    <x v="7"/>
    <x v="59"/>
    <n v="0"/>
    <x v="138"/>
    <d v="2026-01-24T00:00:00"/>
    <d v="2026-01-24T00:00:00"/>
    <s v="QALIWARMA - AVENA QUINUA Lt.1"/>
  </r>
  <r>
    <x v="11"/>
    <x v="102"/>
    <x v="54"/>
    <x v="64"/>
    <x v="89"/>
    <x v="84"/>
    <n v="312"/>
    <x v="7"/>
    <x v="46"/>
    <n v="0"/>
    <x v="205"/>
    <d v="2026-02-14T00:00:00"/>
    <d v="2026-04-24T00:00:00"/>
    <s v="QALIWARMA - AVENA QUINUA Lt.1"/>
  </r>
  <r>
    <x v="11"/>
    <x v="102"/>
    <x v="55"/>
    <x v="64"/>
    <x v="211"/>
    <x v="84"/>
    <n v="3250"/>
    <x v="7"/>
    <x v="105"/>
    <n v="0"/>
    <x v="205"/>
    <d v="2026-02-14T00:00:00"/>
    <d v="2026-02-28T00:00:00"/>
    <s v="QALIWARMA - AVENA QUINUA Lt.1"/>
  </r>
  <r>
    <x v="11"/>
    <x v="102"/>
    <x v="56"/>
    <x v="64"/>
    <x v="212"/>
    <x v="84"/>
    <n v="299"/>
    <x v="7"/>
    <x v="45"/>
    <n v="50"/>
    <x v="205"/>
    <d v="2026-02-14T00:00:00"/>
    <d v="2026-02-28T00:00:00"/>
    <s v="QALIWARMA - AVENA QUINUA Lt.1"/>
  </r>
  <r>
    <x v="10"/>
    <x v="102"/>
    <x v="51"/>
    <x v="64"/>
    <x v="69"/>
    <x v="84"/>
    <n v="208"/>
    <x v="7"/>
    <x v="27"/>
    <n v="0"/>
    <x v="205"/>
    <d v="2026-02-14T00:00:00"/>
    <d v="2026-02-28T00:00:00"/>
    <s v="QALIWARMA - AVENA QUINUA Lt.2"/>
  </r>
  <r>
    <x v="8"/>
    <x v="102"/>
    <x v="49"/>
    <x v="106"/>
    <x v="193"/>
    <x v="84"/>
    <n v="1077.44"/>
    <x v="7"/>
    <x v="31"/>
    <n v="44"/>
    <x v="202"/>
    <d v="2026-03-18T00:00:00"/>
    <d v="2026-03-18T00:00:00"/>
    <s v="QALIWARMA - AVENA QUINUA Lt.1"/>
  </r>
  <r>
    <x v="8"/>
    <x v="102"/>
    <x v="50"/>
    <x v="106"/>
    <x v="213"/>
    <x v="84"/>
    <n v="3764.02"/>
    <x v="7"/>
    <x v="89"/>
    <n v="77"/>
    <x v="75"/>
    <d v="2026-03-27T00:00:00"/>
    <d v="2026-03-28T00:00:00"/>
    <s v="QALIWARMA - AVENA QUINUA Lt.2"/>
  </r>
  <r>
    <x v="8"/>
    <x v="102"/>
    <x v="50"/>
    <x v="43"/>
    <x v="213"/>
    <x v="84"/>
    <n v="3764.02"/>
    <x v="7"/>
    <x v="89"/>
    <n v="77"/>
    <x v="182"/>
    <d v="2026-04-20T00:00:00"/>
    <d v="2026-04-24T00:00:00"/>
    <s v="QALIWARMA - AVENA QUINUA Lt.2"/>
  </r>
  <r>
    <x v="8"/>
    <x v="102"/>
    <x v="49"/>
    <x v="43"/>
    <x v="193"/>
    <x v="84"/>
    <n v="1077.44"/>
    <x v="7"/>
    <x v="31"/>
    <n v="44"/>
    <x v="189"/>
    <d v="2026-05-09T00:00:00"/>
    <d v="2026-05-25T00:00:00"/>
    <s v="QALIWARMA - AVENA QUINUA Lt.2"/>
  </r>
  <r>
    <x v="9"/>
    <x v="102"/>
    <x v="51"/>
    <x v="11"/>
    <x v="197"/>
    <x v="84"/>
    <n v="2548"/>
    <x v="7"/>
    <x v="98"/>
    <n v="0"/>
    <x v="7"/>
    <d v="2026-04-24T00:00:00"/>
    <d v="2026-04-28T00:00:00"/>
    <s v="QALIWARMA - AVENA QUINUA Lt.2"/>
  </r>
  <r>
    <x v="10"/>
    <x v="102"/>
    <x v="51"/>
    <x v="11"/>
    <x v="198"/>
    <x v="84"/>
    <n v="1729"/>
    <x v="7"/>
    <x v="99"/>
    <n v="50"/>
    <x v="179"/>
    <d v="2026-04-30T00:00:00"/>
    <d v="2026-05-06T00:00:00"/>
    <s v="QALIWARMA - AVENA QUINUA Lt.1"/>
  </r>
  <r>
    <x v="9"/>
    <x v="102"/>
    <x v="51"/>
    <x v="195"/>
    <x v="200"/>
    <x v="84"/>
    <n v="2457"/>
    <x v="7"/>
    <x v="71"/>
    <n v="50"/>
    <x v="64"/>
    <d v="2026-06-09T00:00:00"/>
    <d v="2026-06-09T00:00:00"/>
    <s v="QALIWARMA - AVENA QUINUA Lt.2"/>
  </r>
  <r>
    <x v="8"/>
    <x v="102"/>
    <x v="49"/>
    <x v="109"/>
    <x v="214"/>
    <x v="84"/>
    <n v="1113.32"/>
    <x v="7"/>
    <x v="16"/>
    <n v="82"/>
    <x v="145"/>
    <d v="2026-06-12T00:00:00"/>
    <d v="2026-07-06T00:00:00"/>
    <s v="QALIWARMA - AVENA QUINUA Lt.3"/>
  </r>
  <r>
    <x v="8"/>
    <x v="102"/>
    <x v="50"/>
    <x v="109"/>
    <x v="215"/>
    <x v="84"/>
    <n v="2628.34"/>
    <x v="7"/>
    <x v="103"/>
    <n v="9"/>
    <x v="145"/>
    <d v="2026-06-12T00:00:00"/>
    <d v="2026-06-19T00:00:00"/>
    <s v="QALIWARMA - AVENA QUINUA Lt.3"/>
  </r>
  <r>
    <x v="9"/>
    <x v="102"/>
    <x v="52"/>
    <x v="74"/>
    <x v="216"/>
    <x v="84"/>
    <n v="2411.7600000000002"/>
    <x v="7"/>
    <x v="106"/>
    <n v="76"/>
    <x v="203"/>
    <d v="2026-07-25T00:00:00"/>
    <d v="2026-07-29T00:00:00"/>
    <s v="QALIWARMA - AVENA QUINUA Lt.3"/>
  </r>
  <r>
    <x v="8"/>
    <x v="102"/>
    <x v="49"/>
    <x v="191"/>
    <x v="217"/>
    <x v="84"/>
    <n v="2612.48"/>
    <x v="7"/>
    <x v="26"/>
    <n v="48"/>
    <x v="36"/>
    <d v="2026-08-04T00:00:00"/>
    <d v="2026-08-18T00:00:00"/>
    <s v="QALIWARMA - AVENA QUINUA Lt.3"/>
  </r>
  <r>
    <x v="8"/>
    <x v="102"/>
    <x v="49"/>
    <x v="191"/>
    <x v="218"/>
    <x v="84"/>
    <n v="1114.1000000000001"/>
    <x v="7"/>
    <x v="16"/>
    <n v="85"/>
    <x v="36"/>
    <d v="2026-08-04T00:00:00"/>
    <d v="2026-08-18T00:00:00"/>
    <s v="QALIWARMA - AVENA QUINUA Lt.3"/>
  </r>
  <r>
    <x v="8"/>
    <x v="102"/>
    <x v="50"/>
    <x v="16"/>
    <x v="219"/>
    <x v="84"/>
    <n v="2091.1800000000003"/>
    <x v="7"/>
    <x v="66"/>
    <n v="43"/>
    <x v="4"/>
    <m/>
    <m/>
    <s v="QALIWARMA - AVENA QUINUA Lt.3"/>
  </r>
  <r>
    <x v="8"/>
    <x v="102"/>
    <x v="53"/>
    <x v="16"/>
    <x v="220"/>
    <x v="84"/>
    <n v="1798.42"/>
    <x v="7"/>
    <x v="51"/>
    <n v="17"/>
    <x v="4"/>
    <m/>
    <m/>
    <s v="QALIWARMA - AVENA QUINUA Lt.3"/>
  </r>
  <r>
    <x v="0"/>
    <x v="103"/>
    <x v="0"/>
    <x v="196"/>
    <x v="221"/>
    <x v="85"/>
    <n v="2564.1960000000004"/>
    <x v="8"/>
    <x v="64"/>
    <n v="1"/>
    <x v="111"/>
    <d v="2025-12-17T00:00:00"/>
    <d v="2025-12-29T00:00:00"/>
    <s v="HOJUELA PRECOCIDA AVENA KIWICHA HARINA DE MAIZ BLANCO Y MACA FORTIFICADA CON VITAMINAS Y MINERALES"/>
  </r>
  <r>
    <x v="0"/>
    <x v="103"/>
    <x v="1"/>
    <x v="197"/>
    <x v="221"/>
    <x v="85"/>
    <n v="2564.1960000000004"/>
    <x v="8"/>
    <x v="64"/>
    <n v="1"/>
    <x v="121"/>
    <d v="2026-01-10T00:00:00"/>
    <d v="2026-01-11T00:00:00"/>
    <s v="HOJUELA PRECOCIDA AVENA KIWICHA HARINA DE MAIZ BLANCO Y MACA FORTIFICADA CON VITAMINAS Y MINERALES"/>
  </r>
  <r>
    <x v="0"/>
    <x v="103"/>
    <x v="2"/>
    <x v="198"/>
    <x v="221"/>
    <x v="85"/>
    <n v="2564.1960000000004"/>
    <x v="8"/>
    <x v="64"/>
    <n v="1"/>
    <x v="150"/>
    <d v="2026-02-11T00:00:00"/>
    <d v="2026-02-12T00:00:00"/>
    <s v="HOJUELA PRECOCIDA AVENA KIWICHA HARINA DE MAIZ BLANCO Y MACA FORTIFICADA CON VITAMINAS Y MINERALES"/>
  </r>
  <r>
    <x v="0"/>
    <x v="103"/>
    <x v="3"/>
    <x v="11"/>
    <x v="221"/>
    <x v="85"/>
    <n v="2564.1960000000004"/>
    <x v="8"/>
    <x v="64"/>
    <n v="1"/>
    <x v="206"/>
    <d v="2026-04-14T00:00:00"/>
    <d v="2026-04-28T00:00:00"/>
    <s v="HOJUELA PRECOCIDA AVENA KIWICHA HARINA DE MAIZ BLANCO Y MACA FORTIFICADA CON VITAMINAS Y MINERALES"/>
  </r>
  <r>
    <x v="0"/>
    <x v="103"/>
    <x v="4"/>
    <x v="11"/>
    <x v="221"/>
    <x v="85"/>
    <n v="2564.1960000000004"/>
    <x v="8"/>
    <x v="64"/>
    <n v="1"/>
    <x v="136"/>
    <d v="2026-04-15T00:00:00"/>
    <d v="2026-04-28T00:00:00"/>
    <s v="HOJUELA PRECOCIDA AVENA KIWICHA HARINA DE MAIZ BLANCO Y MACA FORTIFICADA CON VITAMINAS Y MINERALES"/>
  </r>
  <r>
    <x v="0"/>
    <x v="103"/>
    <x v="5"/>
    <x v="11"/>
    <x v="221"/>
    <x v="85"/>
    <n v="2564.1960000000004"/>
    <x v="8"/>
    <x v="64"/>
    <n v="1"/>
    <x v="133"/>
    <d v="2026-04-28T00:00:00"/>
    <d v="2026-04-28T00:00:00"/>
    <s v="HOJUELA PRECOCIDA AVENA KIWICHA HARINA DE MAIZ BLANCO Y MACA FORTIFICADA CON VITAMINAS Y MINERALES"/>
  </r>
  <r>
    <x v="0"/>
    <x v="103"/>
    <x v="6"/>
    <x v="123"/>
    <x v="221"/>
    <x v="85"/>
    <n v="2564.1960000000004"/>
    <x v="8"/>
    <x v="64"/>
    <n v="1"/>
    <x v="207"/>
    <d v="2026-07-15T00:00:00"/>
    <d v="2026-07-23T00:00:00"/>
    <s v="HOJUELA PRECOCIDA AVENA KIWICHA HARINA DE MAIZ BLANCO Y MACA FORTIFICADA CON VITAMINAS Y MINERALES"/>
  </r>
  <r>
    <x v="0"/>
    <x v="103"/>
    <x v="7"/>
    <x v="123"/>
    <x v="221"/>
    <x v="85"/>
    <n v="2564.1960000000004"/>
    <x v="8"/>
    <x v="64"/>
    <n v="1"/>
    <x v="207"/>
    <d v="2026-07-15T00:00:00"/>
    <d v="2026-07-23T00:00:00"/>
    <s v="HOJUELA PRECOCIDA AVENA KIWICHA HARINA DE MAIZ BLANCO Y MACA FORTIFICADA CON VITAMINAS Y MINERALES"/>
  </r>
  <r>
    <x v="0"/>
    <x v="103"/>
    <x v="8"/>
    <x v="123"/>
    <x v="221"/>
    <x v="85"/>
    <n v="2564.1960000000004"/>
    <x v="8"/>
    <x v="64"/>
    <n v="1"/>
    <x v="207"/>
    <d v="2026-07-15T00:00:00"/>
    <d v="2026-07-23T00:00:00"/>
    <s v="HOJUELA PRECOCIDA AVENA KIWICHA HARINA DE MAIZ BLANCO Y MACA FORTIFICADA CON VITAMINAS Y MINERALES"/>
  </r>
  <r>
    <x v="0"/>
    <x v="103"/>
    <x v="9"/>
    <x v="75"/>
    <x v="221"/>
    <x v="85"/>
    <n v="2564.1960000000004"/>
    <x v="8"/>
    <x v="64"/>
    <n v="1"/>
    <x v="4"/>
    <m/>
    <m/>
    <s v="HOJUELA PRECOCIDA AVENA KIWICHA HARINA DE MAIZ BLANCO Y MACA FORTIFICADA CON VITAMINAS Y MINERALES"/>
  </r>
  <r>
    <x v="0"/>
    <x v="103"/>
    <x v="10"/>
    <x v="75"/>
    <x v="221"/>
    <x v="85"/>
    <n v="2564.1960000000004"/>
    <x v="8"/>
    <x v="64"/>
    <n v="1"/>
    <x v="4"/>
    <m/>
    <m/>
    <s v="HOJUELA PRECOCIDA AVENA KIWICHA HARINA DE MAIZ BLANCO Y MACA FORTIFICADA CON VITAMINAS Y MINERALES"/>
  </r>
  <r>
    <x v="0"/>
    <x v="103"/>
    <x v="11"/>
    <x v="75"/>
    <x v="221"/>
    <x v="85"/>
    <n v="2564.1960000000004"/>
    <x v="8"/>
    <x v="64"/>
    <n v="1"/>
    <x v="4"/>
    <m/>
    <m/>
    <s v="HOJUELA PRECOCIDA AVENA KIWICHA HARINA DE MAIZ BLANCO Y MACA FORTIFICADA CON VITAMINAS Y MINERALES"/>
  </r>
  <r>
    <x v="0"/>
    <x v="104"/>
    <x v="0"/>
    <x v="22"/>
    <x v="109"/>
    <x v="86"/>
    <n v="1355"/>
    <x v="8"/>
    <x v="14"/>
    <n v="10"/>
    <x v="61"/>
    <d v="2026-01-12T00:00:00"/>
    <d v="2026-01-12T00:00:00"/>
    <s v="HOJUELAS DE QUINUA, AVENA, KIWICHA Y MACA FORTIFICADA CON VITAMINAS Y MINERALES"/>
  </r>
  <r>
    <x v="0"/>
    <x v="104"/>
    <x v="1"/>
    <x v="22"/>
    <x v="109"/>
    <x v="86"/>
    <n v="1355"/>
    <x v="8"/>
    <x v="14"/>
    <n v="10"/>
    <x v="61"/>
    <d v="2026-01-12T00:00:00"/>
    <d v="2026-01-12T00:00:00"/>
    <s v="HOJUELAS DE QUINUA, AVENA, KIWICHA Y MACA FORTIFICADA CON VITAMINAS Y MINERALES"/>
  </r>
  <r>
    <x v="0"/>
    <x v="104"/>
    <x v="2"/>
    <x v="64"/>
    <x v="109"/>
    <x v="86"/>
    <n v="1355"/>
    <x v="8"/>
    <x v="14"/>
    <n v="10"/>
    <x v="146"/>
    <d v="2026-02-12T00:00:00"/>
    <d v="2026-02-12T00:00:00"/>
    <s v="HOJUELAS DE QUINUA, AVENA, KIWICHA Y MACA FORTIFICADA CON VITAMINAS Y MINERALES"/>
  </r>
  <r>
    <x v="0"/>
    <x v="104"/>
    <x v="3"/>
    <x v="23"/>
    <x v="109"/>
    <x v="86"/>
    <n v="1355"/>
    <x v="8"/>
    <x v="14"/>
    <n v="10"/>
    <x v="208"/>
    <d v="2026-03-30T00:00:00"/>
    <d v="2026-03-30T00:00:00"/>
    <s v="HOJUELAS DE QUINUA, AVENA, KIWICHA Y MACA FORTIFICADA CON VITAMINAS Y MINERALES"/>
  </r>
  <r>
    <x v="0"/>
    <x v="104"/>
    <x v="4"/>
    <x v="7"/>
    <x v="109"/>
    <x v="86"/>
    <n v="1355"/>
    <x v="8"/>
    <x v="14"/>
    <n v="10"/>
    <x v="133"/>
    <d v="2026-04-28T00:00:00"/>
    <d v="2026-04-28T00:00:00"/>
    <s v="HOJUELAS DE QUINUA, AVENA, KIWICHA Y MACA FORTIFICADA CON VITAMINAS Y MINERALES"/>
  </r>
  <r>
    <x v="0"/>
    <x v="104"/>
    <x v="5"/>
    <x v="154"/>
    <x v="109"/>
    <x v="86"/>
    <n v="1355"/>
    <x v="8"/>
    <x v="14"/>
    <n v="10"/>
    <x v="80"/>
    <d v="2026-05-26T00:00:00"/>
    <d v="2026-05-27T00:00:00"/>
    <s v="HOJUELAS DE QUINUA, AVENA, KIWICHA Y MACA FORTIFICADA CON VITAMINAS Y MINERALES"/>
  </r>
  <r>
    <x v="0"/>
    <x v="104"/>
    <x v="6"/>
    <x v="8"/>
    <x v="109"/>
    <x v="86"/>
    <n v="1355"/>
    <x v="8"/>
    <x v="14"/>
    <n v="10"/>
    <x v="26"/>
    <d v="2026-06-25T00:00:00"/>
    <d v="2026-06-25T00:00:00"/>
    <s v="HOJUELAS DE QUINUA, AVENA, KIWICHA Y MACA FORTIFICADA CON VITAMINAS Y MINERALES"/>
  </r>
  <r>
    <x v="0"/>
    <x v="104"/>
    <x v="7"/>
    <x v="155"/>
    <x v="109"/>
    <x v="86"/>
    <n v="1355"/>
    <x v="8"/>
    <x v="14"/>
    <n v="10"/>
    <x v="40"/>
    <d v="2026-07-30T00:00:00"/>
    <d v="2026-07-30T00:00:00"/>
    <s v="HOJUELAS DE QUINUA, AVENA, KIWICHA Y MACA FORTIFICADA CON VITAMINAS Y MINERALES"/>
  </r>
  <r>
    <x v="0"/>
    <x v="104"/>
    <x v="12"/>
    <x v="199"/>
    <x v="109"/>
    <x v="87"/>
    <n v="505.04400000000004"/>
    <x v="4"/>
    <x v="46"/>
    <n v="40"/>
    <x v="108"/>
    <d v="2026-08-12T00:00:00"/>
    <d v="2026-08-12T00:00:00"/>
    <s v="HOJUELAS DE QUINUA, AVENA, KIWICHA Y MACA FORTIFICADA CON VITAMINAS Y MINERALES"/>
  </r>
  <r>
    <x v="0"/>
    <x v="104"/>
    <x v="8"/>
    <x v="9"/>
    <x v="109"/>
    <x v="86"/>
    <n v="1355"/>
    <x v="8"/>
    <x v="14"/>
    <n v="10"/>
    <x v="108"/>
    <d v="2026-08-12T00:00:00"/>
    <d v="2026-08-12T00:00:00"/>
    <s v="HOJUELAS DE QUINUA, AVENA, KIWICHA Y MACA FORTIFICADA CON VITAMINAS Y MINERALES"/>
  </r>
  <r>
    <x v="0"/>
    <x v="104"/>
    <x v="9"/>
    <x v="24"/>
    <x v="109"/>
    <x v="86"/>
    <n v="1355"/>
    <x v="8"/>
    <x v="14"/>
    <n v="10"/>
    <x v="4"/>
    <m/>
    <m/>
    <s v="HOJUELAS DE QUINUA, AVENA, KIWICHA Y MACA FORTIFICADA CON VITAMINAS Y MINERALES"/>
  </r>
  <r>
    <x v="0"/>
    <x v="104"/>
    <x v="10"/>
    <x v="10"/>
    <x v="109"/>
    <x v="86"/>
    <n v="1355"/>
    <x v="8"/>
    <x v="14"/>
    <n v="10"/>
    <x v="4"/>
    <m/>
    <m/>
    <s v="HOJUELAS DE QUINUA, AVENA, KIWICHA Y MACA FORTIFICADA CON VITAMINAS Y MINERALES"/>
  </r>
  <r>
    <x v="0"/>
    <x v="104"/>
    <x v="11"/>
    <x v="156"/>
    <x v="109"/>
    <x v="86"/>
    <n v="1355"/>
    <x v="8"/>
    <x v="14"/>
    <n v="10"/>
    <x v="4"/>
    <m/>
    <m/>
    <s v="HOJUELAS DE QUINUA, AVENA, KIWICHA Y MACA FORTIFICADA CON VITAMINAS Y MINERALES"/>
  </r>
  <r>
    <x v="0"/>
    <x v="105"/>
    <x v="0"/>
    <x v="30"/>
    <x v="222"/>
    <x v="88"/>
    <n v="3154.25"/>
    <x v="10"/>
    <x v="80"/>
    <n v="2"/>
    <x v="209"/>
    <d v="2025-12-05T00:00:00"/>
    <d v="2025-12-30T00:00:00"/>
    <s v="HOJUELAS PRECOCIDAS DE QUINUA, KIWICHA, MACA, AVENA CON LECHE ENTERA EN POLVO ENRIQUECIDAS CON VITAMINAS Y MINERALES"/>
  </r>
  <r>
    <x v="0"/>
    <x v="105"/>
    <x v="1"/>
    <x v="30"/>
    <x v="223"/>
    <x v="89"/>
    <n v="1424.5"/>
    <x v="10"/>
    <x v="16"/>
    <n v="1"/>
    <x v="209"/>
    <d v="2025-12-05T00:00:00"/>
    <d v="2025-12-30T00:00:00"/>
    <s v="HOJUELAS PRECOCIDAS DE QUINUA, KIWICHA, MACA, AVENA CON LECHE ENTERA EN POLVO ENRIQUECIDAS CON VITAMINAS Y MINERALES"/>
  </r>
  <r>
    <x v="0"/>
    <x v="105"/>
    <x v="3"/>
    <x v="91"/>
    <x v="222"/>
    <x v="42"/>
    <n v="3052.5"/>
    <x v="10"/>
    <x v="80"/>
    <n v="2"/>
    <x v="196"/>
    <d v="2026-04-17T00:00:00"/>
    <d v="2026-04-19T00:00:00"/>
    <s v="HOJUELAS PRECOCIDAS DE QUINUA, KIWICHA, MACA, AVENA CON LECHE ENTERA EN POLVO ENRIQUECIDAS CON VITAMINAS Y MINERALES"/>
  </r>
  <r>
    <x v="0"/>
    <x v="105"/>
    <x v="4"/>
    <x v="91"/>
    <x v="223"/>
    <x v="88"/>
    <n v="1577.125"/>
    <x v="10"/>
    <x v="16"/>
    <n v="1"/>
    <x v="196"/>
    <d v="2026-04-17T00:00:00"/>
    <d v="2026-04-19T00:00:00"/>
    <s v="HOJUELAS PRECOCIDAS DE QUINUA, KIWICHA, MACA, AVENA CON LECHE ENTERA EN POLVO ENRIQUECIDAS CON VITAMINAS Y MINERALES"/>
  </r>
  <r>
    <x v="0"/>
    <x v="105"/>
    <x v="5"/>
    <x v="94"/>
    <x v="222"/>
    <x v="42"/>
    <n v="3052.5"/>
    <x v="10"/>
    <x v="80"/>
    <n v="2"/>
    <x v="190"/>
    <d v="2026-06-28T00:00:00"/>
    <d v="2026-06-29T00:00:00"/>
    <s v="HOJUELAS PRECOCIDAS DE QUINUA, KIWICHA, MACA, AVENA CON LECHE ENTERA EN POLVO ENRIQUECIDAS CON VITAMINAS Y MINERALES"/>
  </r>
  <r>
    <x v="0"/>
    <x v="105"/>
    <x v="6"/>
    <x v="94"/>
    <x v="223"/>
    <x v="88"/>
    <n v="1577.125"/>
    <x v="10"/>
    <x v="16"/>
    <n v="1"/>
    <x v="190"/>
    <d v="2026-06-28T00:00:00"/>
    <d v="2026-06-29T00:00:00"/>
    <s v="HOJUELAS PRECOCIDAS DE QUINUA, KIWICHA, MACA, AVENA CON LECHE ENTERA EN POLVO ENRIQUECIDAS CON VITAMINAS Y MINERALES"/>
  </r>
  <r>
    <x v="0"/>
    <x v="105"/>
    <x v="9"/>
    <x v="94"/>
    <x v="222"/>
    <x v="88"/>
    <n v="3154.25"/>
    <x v="10"/>
    <x v="80"/>
    <n v="2"/>
    <x v="210"/>
    <d v="2026-08-22T00:00:00"/>
    <d v="2026-08-23T00:00:00"/>
    <s v="HOJUELAS PRECOCIDAS DE QUINUA, KIWICHA, MACA, AVENA CON LECHE ENTERA EN POLVO ENRIQUECIDAS CON VITAMINAS Y MINERALES"/>
  </r>
  <r>
    <x v="0"/>
    <x v="105"/>
    <x v="10"/>
    <x v="97"/>
    <x v="222"/>
    <x v="42"/>
    <n v="3052.5"/>
    <x v="10"/>
    <x v="80"/>
    <n v="2"/>
    <x v="210"/>
    <d v="2026-08-22T00:00:00"/>
    <d v="2026-08-23T00:00:00"/>
    <s v="HOJUELAS PRECOCIDAS DE QUINUA, KIWICHA, MACA, AVENA CON LECHE ENTERA EN POLVO ENRIQUECIDAS CON VITAMINAS Y MINERALES"/>
  </r>
  <r>
    <x v="0"/>
    <x v="105"/>
    <x v="11"/>
    <x v="97"/>
    <x v="222"/>
    <x v="88"/>
    <n v="3154.25"/>
    <x v="10"/>
    <x v="80"/>
    <n v="2"/>
    <x v="4"/>
    <m/>
    <m/>
    <s v="HOJUELAS PRECOCIDAS DE QUINUA, KIWICHA, MACA, AVENA CON LECHE ENTERA EN POLVO ENRIQUECIDAS CON VITAMINAS Y MINERALES"/>
  </r>
  <r>
    <x v="0"/>
    <x v="106"/>
    <x v="0"/>
    <x v="190"/>
    <x v="224"/>
    <x v="1"/>
    <n v="853"/>
    <x v="2"/>
    <x v="17"/>
    <n v="13"/>
    <x v="114"/>
    <d v="2026-01-05T00:00:00"/>
    <d v="2026-01-06T00:00:00"/>
    <s v="HOJUELAS DE QUINUA AVENA ENRIQUECIDA CON VITAMINAS Y MINERALES"/>
  </r>
  <r>
    <x v="0"/>
    <x v="106"/>
    <x v="1"/>
    <x v="5"/>
    <x v="225"/>
    <x v="1"/>
    <n v="770"/>
    <x v="2"/>
    <x v="44"/>
    <n v="10"/>
    <x v="115"/>
    <d v="2026-01-28T00:00:00"/>
    <d v="2026-01-29T00:00:00"/>
    <s v="HOJUELAS DE QUINUA AVENA ENRIQUECIDA CON VITAMINAS Y MINERALES"/>
  </r>
  <r>
    <x v="0"/>
    <x v="106"/>
    <x v="2"/>
    <x v="0"/>
    <x v="224"/>
    <x v="1"/>
    <n v="853"/>
    <x v="2"/>
    <x v="17"/>
    <n v="13"/>
    <x v="33"/>
    <d v="2026-02-26T00:00:00"/>
    <d v="2026-02-27T00:00:00"/>
    <s v="HOJUELAS DE QUINUA AVENA ENRIQUECIDA CON VITAMINAS Y MINERALES"/>
  </r>
  <r>
    <x v="0"/>
    <x v="106"/>
    <x v="3"/>
    <x v="106"/>
    <x v="226"/>
    <x v="1"/>
    <n v="825"/>
    <x v="2"/>
    <x v="1"/>
    <n v="25"/>
    <x v="75"/>
    <d v="2026-03-27T00:00:00"/>
    <d v="2026-03-30T00:00:00"/>
    <s v="HOJUELAS DE QUINUA AVENA ENRIQUECIDA CON VITAMINAS Y MINERALES"/>
  </r>
  <r>
    <x v="0"/>
    <x v="106"/>
    <x v="4"/>
    <x v="11"/>
    <x v="224"/>
    <x v="1"/>
    <n v="853"/>
    <x v="2"/>
    <x v="17"/>
    <n v="13"/>
    <x v="11"/>
    <d v="2026-04-27T00:00:00"/>
    <d v="2026-04-27T00:00:00"/>
    <s v="HOJUELAS DE QUINUA AVENA ENRIQUECIDA CON VITAMINAS Y MINERALES"/>
  </r>
  <r>
    <x v="0"/>
    <x v="106"/>
    <x v="5"/>
    <x v="137"/>
    <x v="226"/>
    <x v="1"/>
    <n v="825"/>
    <x v="2"/>
    <x v="1"/>
    <n v="25"/>
    <x v="102"/>
    <d v="2026-05-21T00:00:00"/>
    <d v="2026-05-22T00:00:00"/>
    <s v="HOJUELAS DE QUINUA AVENA ENRIQUECIDA CON VITAMINAS Y MINERALES"/>
  </r>
  <r>
    <x v="0"/>
    <x v="106"/>
    <x v="6"/>
    <x v="13"/>
    <x v="224"/>
    <x v="1"/>
    <n v="853"/>
    <x v="2"/>
    <x v="17"/>
    <n v="13"/>
    <x v="26"/>
    <d v="2026-06-25T00:00:00"/>
    <d v="2026-06-29T00:00:00"/>
    <s v="HOJUELAS DE QUINUA AVENA ENRIQUECIDA CON VITAMINAS Y MINERALES"/>
  </r>
  <r>
    <x v="0"/>
    <x v="106"/>
    <x v="7"/>
    <x v="138"/>
    <x v="224"/>
    <x v="1"/>
    <n v="853"/>
    <x v="2"/>
    <x v="17"/>
    <n v="13"/>
    <x v="46"/>
    <d v="2026-07-27T00:00:00"/>
    <d v="2026-07-27T00:00:00"/>
    <s v="HOJUELAS DE QUINUA AVENA ENRIQUECIDA CON VITAMINAS Y MINERALES"/>
  </r>
  <r>
    <x v="0"/>
    <x v="106"/>
    <x v="12"/>
    <x v="128"/>
    <x v="227"/>
    <x v="1"/>
    <n v="561.42999999999995"/>
    <x v="2"/>
    <x v="11"/>
    <n v="1.42999999999995"/>
    <x v="171"/>
    <d v="2026-08-05T00:00:00"/>
    <d v="2026-08-05T00:00:00"/>
    <s v="HOJUELAS DE QUINUA AVENA ENRIQUECIDA CON VITAMINAS Y MINERALES"/>
  </r>
  <r>
    <x v="0"/>
    <x v="106"/>
    <x v="8"/>
    <x v="128"/>
    <x v="226"/>
    <x v="1"/>
    <n v="825"/>
    <x v="2"/>
    <x v="1"/>
    <n v="25"/>
    <x v="193"/>
    <d v="2026-08-28T00:00:00"/>
    <d v="2026-09-01T00:00:00"/>
    <s v="HOJUELAS DE QUINUA AVENA ENRIQUECIDA CON VITAMINAS Y MINERALES"/>
  </r>
  <r>
    <x v="0"/>
    <x v="106"/>
    <x v="9"/>
    <x v="16"/>
    <x v="224"/>
    <x v="1"/>
    <n v="853"/>
    <x v="2"/>
    <x v="17"/>
    <n v="13"/>
    <x v="4"/>
    <m/>
    <m/>
    <s v="HOJUELAS DE QUINUA AVENA ENRIQUECIDA CON VITAMINAS Y MINERALES"/>
  </r>
  <r>
    <x v="0"/>
    <x v="106"/>
    <x v="10"/>
    <x v="115"/>
    <x v="226"/>
    <x v="1"/>
    <n v="825"/>
    <x v="2"/>
    <x v="1"/>
    <n v="25"/>
    <x v="4"/>
    <m/>
    <m/>
    <s v="HOJUELAS DE QUINUA AVENA ENRIQUECIDA CON VITAMINAS Y MINERALES"/>
  </r>
  <r>
    <x v="0"/>
    <x v="106"/>
    <x v="11"/>
    <x v="18"/>
    <x v="224"/>
    <x v="1"/>
    <n v="853"/>
    <x v="2"/>
    <x v="17"/>
    <n v="13"/>
    <x v="4"/>
    <m/>
    <m/>
    <s v="HOJUELAS DE QUINUA AVENA ENRIQUECIDA CON VITAMINAS Y MINERALES"/>
  </r>
  <r>
    <x v="0"/>
    <x v="107"/>
    <x v="0"/>
    <x v="30"/>
    <x v="228"/>
    <x v="6"/>
    <n v="303"/>
    <x v="4"/>
    <x v="67"/>
    <n v="46"/>
    <x v="211"/>
    <d v="2026-01-02T00:00:00"/>
    <d v="2026-01-04T00:00:00"/>
    <s v="HOJUELAS DE QUINUA AVENA PRECOCIDA FORTIFICADA CON VITAMINAS Y MINERALES"/>
  </r>
  <r>
    <x v="0"/>
    <x v="107"/>
    <x v="1"/>
    <x v="146"/>
    <x v="228"/>
    <x v="6"/>
    <n v="303"/>
    <x v="4"/>
    <x v="67"/>
    <n v="46"/>
    <x v="211"/>
    <d v="2026-01-02T00:00:00"/>
    <d v="2026-01-04T00:00:00"/>
    <s v="HOJUELAS DE QUINUA AVENA PRECOCIDA FORTIFICADA CON VITAMINAS Y MINERALES"/>
  </r>
  <r>
    <x v="0"/>
    <x v="107"/>
    <x v="2"/>
    <x v="78"/>
    <x v="228"/>
    <x v="6"/>
    <n v="303"/>
    <x v="4"/>
    <x v="67"/>
    <n v="46"/>
    <x v="62"/>
    <d v="2026-02-23T00:00:00"/>
    <d v="2026-02-23T00:00:00"/>
    <s v="HOJUELAS DE QUINUA AVENA PRECOCIDA FORTIFICADA CON VITAMINAS Y MINERALES"/>
  </r>
  <r>
    <x v="0"/>
    <x v="107"/>
    <x v="3"/>
    <x v="78"/>
    <x v="228"/>
    <x v="6"/>
    <n v="303"/>
    <x v="4"/>
    <x v="67"/>
    <n v="46"/>
    <x v="62"/>
    <d v="2026-02-23T00:00:00"/>
    <d v="2026-02-23T00:00:00"/>
    <s v="HOJUELAS DE QUINUA AVENA PRECOCIDA FORTIFICADA CON VITAMINAS Y MINERALES"/>
  </r>
  <r>
    <x v="0"/>
    <x v="107"/>
    <x v="4"/>
    <x v="11"/>
    <x v="228"/>
    <x v="6"/>
    <n v="303"/>
    <x v="4"/>
    <x v="67"/>
    <n v="46"/>
    <x v="1"/>
    <d v="2026-05-05T00:00:00"/>
    <d v="2026-05-10T00:00:00"/>
    <s v="HOJUELAS DE QUINUA AVENA PRECOCIDA FORTIFICADA CON VITAMINAS Y MINERALES"/>
  </r>
  <r>
    <x v="0"/>
    <x v="107"/>
    <x v="5"/>
    <x v="11"/>
    <x v="228"/>
    <x v="6"/>
    <n v="303"/>
    <x v="4"/>
    <x v="67"/>
    <n v="46"/>
    <x v="1"/>
    <d v="2026-05-05T00:00:00"/>
    <d v="2026-05-10T00:00:00"/>
    <s v="HOJUELAS DE QUINUA AVENA PRECOCIDA FORTIFICADA CON VITAMINAS Y MINERALES"/>
  </r>
  <r>
    <x v="0"/>
    <x v="107"/>
    <x v="6"/>
    <x v="13"/>
    <x v="228"/>
    <x v="6"/>
    <n v="303"/>
    <x v="4"/>
    <x v="67"/>
    <n v="46"/>
    <x v="64"/>
    <d v="2026-06-09T00:00:00"/>
    <d v="2026-06-10T00:00:00"/>
    <s v="HOJUELAS DE QUINUA AVENA PRECOCIDA FORTIFICADA CON VITAMINAS Y MINERALES"/>
  </r>
  <r>
    <x v="0"/>
    <x v="107"/>
    <x v="7"/>
    <x v="13"/>
    <x v="228"/>
    <x v="6"/>
    <n v="303"/>
    <x v="4"/>
    <x v="67"/>
    <n v="46"/>
    <x v="64"/>
    <d v="2026-06-09T00:00:00"/>
    <d v="2026-06-10T00:00:00"/>
    <s v="HOJUELAS DE QUINUA AVENA PRECOCIDA FORTIFICADA CON VITAMINAS Y MINERALES"/>
  </r>
  <r>
    <x v="0"/>
    <x v="107"/>
    <x v="8"/>
    <x v="128"/>
    <x v="228"/>
    <x v="6"/>
    <n v="303"/>
    <x v="4"/>
    <x v="67"/>
    <n v="46"/>
    <x v="81"/>
    <d v="2026-09-01T00:00:00"/>
    <d v="2026-09-02T00:00:00"/>
    <s v="HOJUELAS DE QUINUA AVENA PRECOCIDA FORTIFICADA CON VITAMINAS Y MINERALES"/>
  </r>
  <r>
    <x v="0"/>
    <x v="107"/>
    <x v="9"/>
    <x v="128"/>
    <x v="228"/>
    <x v="6"/>
    <n v="303"/>
    <x v="4"/>
    <x v="67"/>
    <n v="46"/>
    <x v="81"/>
    <d v="2026-09-01T00:00:00"/>
    <d v="2026-09-02T00:00:00"/>
    <s v="HOJUELAS DE QUINUA AVENA PRECOCIDA FORTIFICADA CON VITAMINAS Y MINERALES"/>
  </r>
  <r>
    <x v="0"/>
    <x v="107"/>
    <x v="10"/>
    <x v="115"/>
    <x v="228"/>
    <x v="6"/>
    <n v="303"/>
    <x v="4"/>
    <x v="67"/>
    <n v="46"/>
    <x v="4"/>
    <m/>
    <m/>
    <s v="HOJUELAS DE QUINUA AVENA PRECOCIDA FORTIFICADA CON VITAMINAS Y MINERALES"/>
  </r>
  <r>
    <x v="0"/>
    <x v="107"/>
    <x v="11"/>
    <x v="115"/>
    <x v="228"/>
    <x v="6"/>
    <n v="303"/>
    <x v="4"/>
    <x v="67"/>
    <n v="46"/>
    <x v="4"/>
    <m/>
    <m/>
    <s v="HOJUELAS DE QUINUA AVENA PRECOCIDA FORTIFICADA CON VITAMINAS Y MINERALES"/>
  </r>
  <r>
    <x v="0"/>
    <x v="108"/>
    <x v="0"/>
    <x v="47"/>
    <x v="229"/>
    <x v="90"/>
    <n v="737.59500000000003"/>
    <x v="8"/>
    <x v="10"/>
    <n v="20"/>
    <x v="164"/>
    <d v="2026-02-05T00:00:00"/>
    <d v="2026-02-05T00:00:00"/>
    <s v="MEZCLA PRECOCIDA DE HOJUELAS DE KIWICHA, QUINUA, AVENA, TRIGO Y CEBADA CON HARINA DE MACA, AJONJOLÍ Y HARINA DE SOYA ENRIQUECIDA CON VITAMINAS Y MINERALES"/>
  </r>
  <r>
    <x v="0"/>
    <x v="108"/>
    <x v="1"/>
    <x v="47"/>
    <x v="229"/>
    <x v="90"/>
    <n v="737.59500000000003"/>
    <x v="8"/>
    <x v="10"/>
    <n v="20"/>
    <x v="164"/>
    <d v="2026-02-05T00:00:00"/>
    <d v="2026-02-05T00:00:00"/>
    <s v="MEZCLA PRECOCIDA DE HOJUELAS DE KIWICHA, QUINUA, AVENA, TRIGO Y CEBADA CON HARINA DE MACA, AJONJOLÍ Y HARINA DE SOYA ENRIQUECIDA CON VITAMINAS Y MINERALES"/>
  </r>
  <r>
    <x v="0"/>
    <x v="108"/>
    <x v="2"/>
    <x v="152"/>
    <x v="229"/>
    <x v="90"/>
    <n v="737.59500000000003"/>
    <x v="8"/>
    <x v="10"/>
    <n v="20"/>
    <x v="164"/>
    <d v="2026-02-05T00:00:00"/>
    <d v="2026-02-05T00:00:00"/>
    <s v="MEZCLA PRECOCIDA DE HOJUELAS DE KIWICHA, QUINUA, AVENA, TRIGO Y CEBADA CON HARINA DE MACA, AJONJOLÍ Y HARINA DE SOYA ENRIQUECIDA CON VITAMINAS Y MINERALES"/>
  </r>
  <r>
    <x v="0"/>
    <x v="108"/>
    <x v="3"/>
    <x v="43"/>
    <x v="229"/>
    <x v="90"/>
    <n v="737.59500000000003"/>
    <x v="8"/>
    <x v="10"/>
    <n v="20"/>
    <x v="206"/>
    <d v="2026-04-14T00:00:00"/>
    <d v="2026-04-15T00:00:00"/>
    <s v="MEZCLA PRECOCIDA DE HOJUELAS DE KIWICHA, QUINUA, AVENA, TRIGO Y CEBADA CON HARINA DE MACA, AJONJOLÍ Y HARINA DE SOYA ENRIQUECIDA CON VITAMINAS Y MINERALES"/>
  </r>
  <r>
    <x v="0"/>
    <x v="108"/>
    <x v="4"/>
    <x v="43"/>
    <x v="229"/>
    <x v="90"/>
    <n v="737.59500000000003"/>
    <x v="8"/>
    <x v="10"/>
    <n v="20"/>
    <x v="206"/>
    <d v="2026-04-14T00:00:00"/>
    <d v="2026-04-15T00:00:00"/>
    <s v="MEZCLA PRECOCIDA DE HOJUELAS DE KIWICHA, QUINUA, AVENA, TRIGO Y CEBADA CON HARINA DE MACA, AJONJOLÍ Y HARINA DE SOYA ENRIQUECIDA CON VITAMINAS Y MINERALES"/>
  </r>
  <r>
    <x v="0"/>
    <x v="108"/>
    <x v="5"/>
    <x v="43"/>
    <x v="229"/>
    <x v="90"/>
    <n v="737.59500000000003"/>
    <x v="8"/>
    <x v="10"/>
    <n v="20"/>
    <x v="206"/>
    <d v="2026-04-14T00:00:00"/>
    <d v="2026-04-15T00:00:00"/>
    <s v="MEZCLA PRECOCIDA DE HOJUELAS DE KIWICHA, QUINUA, AVENA, TRIGO Y CEBADA CON HARINA DE MACA, AJONJOLÍ Y HARINA DE SOYA ENRIQUECIDA CON VITAMINAS Y MINERALES"/>
  </r>
  <r>
    <x v="0"/>
    <x v="108"/>
    <x v="6"/>
    <x v="94"/>
    <x v="229"/>
    <x v="90"/>
    <n v="737.59500000000003"/>
    <x v="8"/>
    <x v="10"/>
    <n v="20"/>
    <x v="110"/>
    <d v="2026-07-02T00:00:00"/>
    <d v="2026-07-02T00:00:00"/>
    <s v="MEZCLA PRECOCIDA DE HOJUELAS DE KIWICHA, QUINUA, AVENA, TRIGO Y CEBADA CON HARINA DE MACA, AJONJOLÍ Y HARINA DE SOYA ENRIQUECIDA CON VITAMINAS Y MINERALES"/>
  </r>
  <r>
    <x v="0"/>
    <x v="108"/>
    <x v="7"/>
    <x v="94"/>
    <x v="229"/>
    <x v="90"/>
    <n v="737.59500000000003"/>
    <x v="8"/>
    <x v="10"/>
    <n v="20"/>
    <x v="110"/>
    <d v="2026-07-02T00:00:00"/>
    <d v="2026-07-02T00:00:00"/>
    <s v="MEZCLA PRECOCIDA DE HOJUELAS DE KIWICHA, QUINUA, AVENA, TRIGO Y CEBADA CON HARINA DE MACA, AJONJOLÍ Y HARINA DE SOYA ENRIQUECIDA CON VITAMINAS Y MINERALES"/>
  </r>
  <r>
    <x v="0"/>
    <x v="108"/>
    <x v="8"/>
    <x v="94"/>
    <x v="229"/>
    <x v="90"/>
    <n v="737.59500000000003"/>
    <x v="8"/>
    <x v="10"/>
    <n v="20"/>
    <x v="110"/>
    <d v="2026-07-02T00:00:00"/>
    <d v="2026-07-02T00:00:00"/>
    <s v="MEZCLA PRECOCIDA DE HOJUELAS DE KIWICHA, QUINUA, AVENA, TRIGO Y CEBADA CON HARINA DE MACA, AJONJOLÍ Y HARINA DE SOYA ENRIQUECIDA CON VITAMINAS Y MINERALES"/>
  </r>
  <r>
    <x v="0"/>
    <x v="108"/>
    <x v="9"/>
    <x v="97"/>
    <x v="229"/>
    <x v="90"/>
    <n v="737.59500000000003"/>
    <x v="8"/>
    <x v="10"/>
    <n v="20"/>
    <x v="4"/>
    <m/>
    <m/>
    <s v="MEZCLA PRECOCIDA DE HOJUELAS DE KIWICHA, QUINUA, AVENA, TRIGO Y CEBADA CON HARINA DE MACA, AJONJOLÍ Y HARINA DE SOYA ENRIQUECIDA CON VITAMINAS Y MINERALES"/>
  </r>
  <r>
    <x v="0"/>
    <x v="108"/>
    <x v="10"/>
    <x v="97"/>
    <x v="229"/>
    <x v="90"/>
    <n v="737.59500000000003"/>
    <x v="8"/>
    <x v="10"/>
    <n v="20"/>
    <x v="4"/>
    <m/>
    <m/>
    <s v="MEZCLA PRECOCIDA DE HOJUELAS DE KIWICHA, QUINUA, AVENA, TRIGO Y CEBADA CON HARINA DE MACA, AJONJOLÍ Y HARINA DE SOYA ENRIQUECIDA CON VITAMINAS Y MINERALES"/>
  </r>
  <r>
    <x v="0"/>
    <x v="108"/>
    <x v="11"/>
    <x v="97"/>
    <x v="229"/>
    <x v="90"/>
    <n v="737.59500000000003"/>
    <x v="8"/>
    <x v="10"/>
    <n v="20"/>
    <x v="4"/>
    <m/>
    <m/>
    <s v="MEZCLA PRECOCIDA DE HOJUELAS DE KIWICHA, QUINUA, AVENA, TRIGO Y CEBADA CON HARINA DE MACA, AJONJOLÍ Y HARINA DE SOYA ENRIQUECIDA CON VITAMINAS Y MINERALES"/>
  </r>
  <r>
    <x v="4"/>
    <x v="109"/>
    <x v="12"/>
    <x v="87"/>
    <x v="174"/>
    <x v="1"/>
    <n v="220"/>
    <x v="2"/>
    <x v="15"/>
    <n v="20"/>
    <x v="97"/>
    <d v="2026-04-07T00:00:00"/>
    <d v="2026-04-08T00:00:00"/>
    <s v="MEZCLA DE HARINA DE SIETE SEMILLAS (TRIGO, HABAS, ARVEJAS, KIWICHA, CAÑIHUA, CEBADA, QUINUA) CON HARINA DE PLATANO ENRIQUECIDA CON VITAMINAS Y MINERALES"/>
  </r>
  <r>
    <x v="0"/>
    <x v="110"/>
    <x v="16"/>
    <x v="71"/>
    <x v="230"/>
    <x v="1"/>
    <n v="900"/>
    <x v="2"/>
    <x v="20"/>
    <n v="20"/>
    <x v="202"/>
    <d v="2026-03-18T00:00:00"/>
    <d v="2026-03-18T00:00:00"/>
    <s v="HOJUELA DE AVENA, QUINUA, KIWICHA CON MACA Y SOYA ENRIQUECIDA CON VITAMINAS Y MINERALES. "/>
  </r>
  <r>
    <x v="0"/>
    <x v="110"/>
    <x v="17"/>
    <x v="71"/>
    <x v="230"/>
    <x v="1"/>
    <n v="900"/>
    <x v="2"/>
    <x v="20"/>
    <n v="20"/>
    <x v="202"/>
    <d v="2026-03-18T00:00:00"/>
    <d v="2026-03-25T00:00:00"/>
    <s v="HOJUELA DE AVENA, QUINUA, KIWICHA CON MACA Y SOYA ENRIQUECIDA CON VITAMINAS Y MINERALES. "/>
  </r>
  <r>
    <x v="0"/>
    <x v="110"/>
    <x v="18"/>
    <x v="109"/>
    <x v="230"/>
    <x v="1"/>
    <n v="900"/>
    <x v="2"/>
    <x v="20"/>
    <n v="20"/>
    <x v="70"/>
    <d v="2026-06-22T00:00:00"/>
    <d v="2026-06-22T00:00:00"/>
    <s v="HOJUELA DE AVENA, QUINUA, KIWICHA CON MACA Y SOYA ENRIQUECIDA CON VITAMINAS Y MINERALES. "/>
  </r>
  <r>
    <x v="0"/>
    <x v="110"/>
    <x v="19"/>
    <x v="165"/>
    <x v="230"/>
    <x v="1"/>
    <n v="900"/>
    <x v="2"/>
    <x v="20"/>
    <n v="20"/>
    <x v="4"/>
    <m/>
    <m/>
    <s v="HOJUELA DE AVENA, QUINUA, KIWICHA CON MACA Y SOYA ENRIQUECIDA CON VITAMINAS Y MINERALES. "/>
  </r>
  <r>
    <x v="0"/>
    <x v="111"/>
    <x v="29"/>
    <x v="69"/>
    <x v="231"/>
    <x v="49"/>
    <n v="5616"/>
    <x v="8"/>
    <x v="90"/>
    <n v="20"/>
    <x v="124"/>
    <d v="2026-01-06T00:00:00"/>
    <d v="2026-01-06T00:00:00"/>
    <s v="MEZCLA PRECOCIDA DE QUINUA, KIWICHA, MAIZ CHUFLA, HARINA DE PAJURO, AISLADO DE SOYA, CHIA, SACHA INCHI (OMEGA 3, 6 Y 9) CON CANELA FORTIFICADA CON VITAMINAS Y MINERALES"/>
  </r>
  <r>
    <x v="0"/>
    <x v="111"/>
    <x v="30"/>
    <x v="32"/>
    <x v="231"/>
    <x v="49"/>
    <n v="5616"/>
    <x v="8"/>
    <x v="90"/>
    <n v="20"/>
    <x v="194"/>
    <d v="2026-03-02T00:00:00"/>
    <d v="2026-03-03T00:00:00"/>
    <s v="MEZCLA PRECOCIDA DE QUINUA, KIWICHA, MAIZ CHUFLA, HARINA DE PAJURO, AISLADO DE SOYA, CHIA, SACHA INCHI (OMEGA 3, 6 Y 9) CON CANELA FORTIFICADA CON VITAMINAS Y MINERALES"/>
  </r>
  <r>
    <x v="0"/>
    <x v="111"/>
    <x v="21"/>
    <x v="72"/>
    <x v="231"/>
    <x v="49"/>
    <n v="5616"/>
    <x v="8"/>
    <x v="90"/>
    <n v="20"/>
    <x v="97"/>
    <d v="2026-04-07T00:00:00"/>
    <d v="2026-04-13T00:00:00"/>
    <s v="MEZCLA PRECOCIDA DE QUINUA, KIWICHA, MAIZ CHUFLA, HARINA DE PAJURO, AISLADO DE SOYA, CHIA, SACHA INCHI (OMEGA 3, 6 Y 9) CON CANELA FORTIFICADA CON VITAMINAS Y MINERALES"/>
  </r>
  <r>
    <x v="0"/>
    <x v="111"/>
    <x v="22"/>
    <x v="109"/>
    <x v="231"/>
    <x v="49"/>
    <n v="5616"/>
    <x v="8"/>
    <x v="90"/>
    <n v="20"/>
    <x v="181"/>
    <d v="2026-06-08T00:00:00"/>
    <d v="2026-06-09T00:00:00"/>
    <s v="MEZCLA PRECOCIDA DE QUINUA, KIWICHA, MAIZ CHUFLA, HARINA DE PAJURO, AISLADO DE SOYA, CHIA, SACHA INCHI (OMEGA 3, 6 Y 9) CON CANELA FORTIFICADA CON VITAMINAS Y MINERALES"/>
  </r>
  <r>
    <x v="0"/>
    <x v="111"/>
    <x v="12"/>
    <x v="109"/>
    <x v="232"/>
    <x v="49"/>
    <n v="4101.3"/>
    <x v="8"/>
    <x v="103"/>
    <n v="8"/>
    <x v="26"/>
    <d v="2026-06-25T00:00:00"/>
    <d v="2026-06-25T00:00:00"/>
    <s v="MEZCLA PRECOCIDA DE QUINUA, KIWICHA, MAIZ CHUFLA, HARINA DE PAJURO, AISLADO DE SOYA, CHIA, SACHA INCHI (OMEGA 3, 6 Y 9) CON CANELA FORTIFICADA CON VITAMINAS Y MINERALES"/>
  </r>
  <r>
    <x v="0"/>
    <x v="111"/>
    <x v="23"/>
    <x v="28"/>
    <x v="231"/>
    <x v="49"/>
    <n v="5616"/>
    <x v="8"/>
    <x v="90"/>
    <n v="20"/>
    <x v="126"/>
    <d v="2026-08-23T00:00:00"/>
    <d v="2026-08-23T00:00:00"/>
    <s v="MEZCLA PRECOCIDA DE QUINUA, KIWICHA, MAIZ CHUFLA, HARINA DE PAJURO, AISLADO DE SOYA, CHIA, SACHA INCHI (OMEGA 3, 6 Y 9) CON CANELA FORTIFICADA CON VITAMINAS Y MINERALES"/>
  </r>
  <r>
    <x v="0"/>
    <x v="111"/>
    <x v="24"/>
    <x v="35"/>
    <x v="231"/>
    <x v="49"/>
    <n v="5616"/>
    <x v="8"/>
    <x v="90"/>
    <n v="20"/>
    <x v="4"/>
    <m/>
    <m/>
    <s v="MEZCLA PRECOCIDA DE QUINUA, KIWICHA, MAIZ CHUFLA, HARINA DE PAJURO, AISLADO DE SOYA, CHIA, SACHA INCHI (OMEGA 3, 6 Y 9) CON CANELA FORTIFICADA CON VITAMINAS Y MINERALES"/>
  </r>
  <r>
    <x v="4"/>
    <x v="112"/>
    <x v="12"/>
    <x v="87"/>
    <x v="233"/>
    <x v="1"/>
    <n v="260"/>
    <x v="2"/>
    <x v="88"/>
    <n v="20"/>
    <x v="97"/>
    <d v="2026-04-07T00:00:00"/>
    <d v="2026-04-08T00:00:00"/>
    <s v="MEZCLA DE HARINA DE SIETE SEMILLAS (TRIGO, HABAS, ARVEJAS, KIWICHA, CAÑIHUA, CEBADA, QUINUA) CON HARINA DE PLATANO ENRIQUECIDA CON VITAMINAS Y MINERALES"/>
  </r>
  <r>
    <x v="4"/>
    <x v="113"/>
    <x v="12"/>
    <x v="87"/>
    <x v="234"/>
    <x v="1"/>
    <n v="72"/>
    <x v="2"/>
    <x v="107"/>
    <n v="32"/>
    <x v="119"/>
    <d v="2026-04-08T00:00:00"/>
    <d v="2026-04-08T00:00:00"/>
    <s v="HOJUELAS DE AVENA, ENRIQUECIDA CON VITAMINAS Y MINERALES"/>
  </r>
  <r>
    <x v="0"/>
    <x v="114"/>
    <x v="0"/>
    <x v="200"/>
    <x v="235"/>
    <x v="1"/>
    <n v="1135"/>
    <x v="2"/>
    <x v="72"/>
    <n v="15"/>
    <x v="82"/>
    <d v="2025-12-06T00:00:00"/>
    <d v="2025-12-18T00:00:00"/>
    <s v="MEZCLA DE CEREALES: HOJUELAS DE AVENA, QUINUA, KIWICHA CON MACA Y SOYA ENRIQUECIDA CON VITAMINAS Y MINERALES"/>
  </r>
  <r>
    <x v="0"/>
    <x v="114"/>
    <x v="1"/>
    <x v="176"/>
    <x v="236"/>
    <x v="1"/>
    <n v="1025"/>
    <x v="2"/>
    <x v="18"/>
    <n v="25"/>
    <x v="83"/>
    <d v="2026-01-22T00:00:00"/>
    <d v="2026-01-22T00:00:00"/>
    <s v="MEZCLA DE CEREALES: HOJUELAS DE AVENA, QUINUA, KIWICHA CON MACA Y SOYA ENRIQUECIDA CON VITAMINAS Y MINERALES"/>
  </r>
  <r>
    <x v="0"/>
    <x v="114"/>
    <x v="2"/>
    <x v="48"/>
    <x v="235"/>
    <x v="1"/>
    <n v="1135"/>
    <x v="2"/>
    <x v="72"/>
    <n v="15"/>
    <x v="57"/>
    <d v="2026-02-18T00:00:00"/>
    <d v="2026-02-20T00:00:00"/>
    <s v="MEZCLA DE CEREALES: HOJUELAS DE AVENA, QUINUA, KIWICHA CON MACA Y SOYA ENRIQUECIDA CON VITAMINAS Y MINERALES"/>
  </r>
  <r>
    <x v="0"/>
    <x v="114"/>
    <x v="3"/>
    <x v="49"/>
    <x v="237"/>
    <x v="1"/>
    <n v="1098"/>
    <x v="2"/>
    <x v="32"/>
    <n v="18"/>
    <x v="212"/>
    <d v="2026-03-26T00:00:00"/>
    <d v="2026-03-26T00:00:00"/>
    <s v="MEZCLA DE CEREALES: HOJUELAS DE AVENA, QUINUA, KIWICHA CON MACA Y SOYA ENRIQUECIDA CON VITAMINAS Y MINERALES"/>
  </r>
  <r>
    <x v="0"/>
    <x v="114"/>
    <x v="4"/>
    <x v="108"/>
    <x v="235"/>
    <x v="1"/>
    <n v="1135"/>
    <x v="2"/>
    <x v="72"/>
    <n v="15"/>
    <x v="213"/>
    <d v="2026-04-29T00:00:00"/>
    <d v="2026-04-29T00:00:00"/>
    <s v="MEZCLA DE CEREALES: HOJUELAS DE AVENA, QUINUA, KIWICHA CON MACA Y SOYA ENRIQUECIDA CON VITAMINAS Y MINERALES"/>
  </r>
  <r>
    <x v="0"/>
    <x v="114"/>
    <x v="5"/>
    <x v="201"/>
    <x v="237"/>
    <x v="1"/>
    <n v="1098"/>
    <x v="2"/>
    <x v="32"/>
    <n v="18"/>
    <x v="69"/>
    <d v="2026-05-15T00:00:00"/>
    <d v="2026-05-20T00:00:00"/>
    <s v="MEZCLA DE CEREALES: HOJUELAS DE AVENA, QUINUA, KIWICHA CON MACA Y SOYA ENRIQUECIDA CON VITAMINAS Y MINERALES"/>
  </r>
  <r>
    <x v="0"/>
    <x v="114"/>
    <x v="6"/>
    <x v="94"/>
    <x v="235"/>
    <x v="1"/>
    <n v="1135"/>
    <x v="2"/>
    <x v="72"/>
    <n v="15"/>
    <x v="2"/>
    <d v="2026-06-29T00:00:00"/>
    <d v="2026-06-29T00:00:00"/>
    <s v="MEZCLA DE CEREALES: HOJUELAS DE AVENA, QUINUA, KIWICHA CON MACA Y SOYA ENRIQUECIDA CON VITAMINAS Y MINERALES"/>
  </r>
  <r>
    <x v="0"/>
    <x v="114"/>
    <x v="12"/>
    <x v="53"/>
    <x v="238"/>
    <x v="91"/>
    <n v="741.15"/>
    <x v="8"/>
    <x v="10"/>
    <n v="6"/>
    <x v="40"/>
    <d v="2026-07-30T00:00:00"/>
    <d v="2026-07-30T00:00:00"/>
    <s v="MEZCLA DE CEREALES: HOJUELAS DE AVENA, QUINUA, KIWICHA CON MACA Y SOYA ENRIQUECIDA CON VITAMINAS Y MINERALES"/>
  </r>
  <r>
    <x v="0"/>
    <x v="114"/>
    <x v="7"/>
    <x v="53"/>
    <x v="235"/>
    <x v="1"/>
    <n v="1135"/>
    <x v="2"/>
    <x v="72"/>
    <n v="15"/>
    <x v="40"/>
    <d v="2026-07-30T00:00:00"/>
    <d v="2026-07-30T00:00:00"/>
    <s v="MEZCLA DE CEREALES: HOJUELAS DE AVENA, QUINUA, KIWICHA CON MACA Y SOYA ENRIQUECIDA CON VITAMINAS Y MINERALES"/>
  </r>
  <r>
    <x v="0"/>
    <x v="114"/>
    <x v="8"/>
    <x v="114"/>
    <x v="237"/>
    <x v="1"/>
    <n v="1098"/>
    <x v="2"/>
    <x v="32"/>
    <n v="18"/>
    <x v="81"/>
    <d v="2026-09-01T00:00:00"/>
    <d v="2026-09-01T00:00:00"/>
    <s v="MEZCLA DE CEREALES: HOJUELAS DE AVENA, QUINUA, KIWICHA CON MACA Y SOYA ENRIQUECIDA CON VITAMINAS Y MINERALES"/>
  </r>
  <r>
    <x v="0"/>
    <x v="114"/>
    <x v="9"/>
    <x v="150"/>
    <x v="235"/>
    <x v="1"/>
    <n v="1135"/>
    <x v="2"/>
    <x v="72"/>
    <n v="15"/>
    <x v="4"/>
    <m/>
    <m/>
    <s v="MEZCLA DE CEREALES: HOJUELAS DE AVENA, QUINUA, KIWICHA CON MACA Y SOYA ENRIQUECIDA CON VITAMINAS Y MINERALES"/>
  </r>
  <r>
    <x v="0"/>
    <x v="114"/>
    <x v="10"/>
    <x v="178"/>
    <x v="237"/>
    <x v="1"/>
    <n v="1098"/>
    <x v="2"/>
    <x v="32"/>
    <n v="18"/>
    <x v="4"/>
    <m/>
    <m/>
    <s v="MEZCLA DE CEREALES: HOJUELAS DE AVENA, QUINUA, KIWICHA CON MACA Y SOYA ENRIQUECIDA CON VITAMINAS Y MINERALES"/>
  </r>
  <r>
    <x v="0"/>
    <x v="114"/>
    <x v="11"/>
    <x v="161"/>
    <x v="235"/>
    <x v="1"/>
    <n v="1135"/>
    <x v="2"/>
    <x v="72"/>
    <n v="15"/>
    <x v="4"/>
    <m/>
    <m/>
    <s v="MEZCLA DE CEREALES: HOJUELAS DE AVENA, QUINUA, KIWICHA CON MACA Y SOYA ENRIQUECIDA CON VITAMINAS Y MINERALES"/>
  </r>
  <r>
    <x v="0"/>
    <x v="115"/>
    <x v="29"/>
    <x v="0"/>
    <x v="239"/>
    <x v="1"/>
    <n v="1760"/>
    <x v="2"/>
    <x v="100"/>
    <n v="0"/>
    <x v="33"/>
    <d v="2026-02-26T00:00:00"/>
    <d v="2026-03-03T00:00:00"/>
    <s v="MEZCLA PRECOCIDA DE HOJUELAS DE AVENA, KIWICHA, QUINUA, SOYA Y MACA ENRIQUECIDA CON VITAMINAS Y MINERALES "/>
  </r>
  <r>
    <x v="0"/>
    <x v="115"/>
    <x v="30"/>
    <x v="202"/>
    <x v="239"/>
    <x v="1"/>
    <n v="1760"/>
    <x v="2"/>
    <x v="100"/>
    <n v="0"/>
    <x v="118"/>
    <d v="2026-03-09T00:00:00"/>
    <d v="2026-03-10T00:00:00"/>
    <s v="MEZCLA PRECOCIDA DE HOJUELAS DE AVENA, KIWICHA, QUINUA, SOYA Y MACA ENRIQUECIDA CON VITAMINAS Y MINERALES "/>
  </r>
  <r>
    <x v="0"/>
    <x v="115"/>
    <x v="21"/>
    <x v="141"/>
    <x v="239"/>
    <x v="1"/>
    <n v="1760"/>
    <x v="2"/>
    <x v="100"/>
    <n v="0"/>
    <x v="106"/>
    <d v="2026-05-04T00:00:00"/>
    <d v="2026-05-04T00:00:00"/>
    <s v="MEZCLA PRECOCIDA DE HOJUELAS DE AVENA, KIWICHA, QUINUA, SOYA Y MACA ENRIQUECIDA CON VITAMINAS Y MINERALES "/>
  </r>
  <r>
    <x v="0"/>
    <x v="115"/>
    <x v="22"/>
    <x v="155"/>
    <x v="239"/>
    <x v="1"/>
    <n v="1760"/>
    <x v="2"/>
    <x v="100"/>
    <n v="0"/>
    <x v="141"/>
    <d v="2026-07-13T00:00:00"/>
    <d v="2026-07-14T00:00:00"/>
    <s v="MEZCLA PRECOCIDA DE HOJUELAS DE AVENA, KIWICHA, QUINUA, SOYA Y MACA ENRIQUECIDA CON VITAMINAS Y MINERALES "/>
  </r>
  <r>
    <x v="0"/>
    <x v="115"/>
    <x v="23"/>
    <x v="24"/>
    <x v="239"/>
    <x v="1"/>
    <n v="1760"/>
    <x v="2"/>
    <x v="100"/>
    <n v="0"/>
    <x v="56"/>
    <d v="2026-09-08T00:00:00"/>
    <d v="2026-09-08T00:00:00"/>
    <s v="MEZCLA PRECOCIDA DE HOJUELAS DE AVENA, KIWICHA, QUINUA, SOYA Y MACA ENRIQUECIDA CON VITAMINAS Y MINERALES "/>
  </r>
  <r>
    <x v="0"/>
    <x v="115"/>
    <x v="24"/>
    <x v="61"/>
    <x v="239"/>
    <x v="1"/>
    <n v="1760"/>
    <x v="2"/>
    <x v="100"/>
    <n v="0"/>
    <x v="4"/>
    <m/>
    <m/>
    <s v="MEZCLA PRECOCIDA DE HOJUELAS DE AVENA, KIWICHA, QUINUA, SOYA Y MACA ENRIQUECIDA CON VITAMINAS Y MINERALES "/>
  </r>
  <r>
    <x v="0"/>
    <x v="116"/>
    <x v="29"/>
    <x v="69"/>
    <x v="240"/>
    <x v="16"/>
    <n v="5237.5"/>
    <x v="0"/>
    <x v="13"/>
    <n v="25"/>
    <x v="214"/>
    <d v="2026-01-07T00:00:00"/>
    <d v="2026-01-07T00:00:00"/>
    <s v="HOJUELA DE AVENA Y KIWICHA, HARINA DE CAMU CAMU CON OMEGA 3 Y 6 ENRIQUECIDA CON VITAMINAS Y MINERALES"/>
  </r>
  <r>
    <x v="0"/>
    <x v="116"/>
    <x v="30"/>
    <x v="32"/>
    <x v="240"/>
    <x v="16"/>
    <n v="5237.5"/>
    <x v="0"/>
    <x v="13"/>
    <n v="25"/>
    <x v="118"/>
    <d v="2026-03-09T00:00:00"/>
    <d v="2026-03-10T00:00:00"/>
    <s v="HOJUELA DE AVENA Y KIWICHA, HARINA DE CAMU CAMU CON OMEGA 3 Y 6 ENRIQUECIDA CON VITAMINAS Y MINERALES"/>
  </r>
  <r>
    <x v="0"/>
    <x v="116"/>
    <x v="21"/>
    <x v="72"/>
    <x v="240"/>
    <x v="16"/>
    <n v="5237.5"/>
    <x v="0"/>
    <x v="13"/>
    <n v="25"/>
    <x v="106"/>
    <d v="2026-05-04T00:00:00"/>
    <d v="2026-05-04T00:00:00"/>
    <s v="HOJUELA DE AVENA Y KIWICHA, HARINA DE CAMU CAMU CON OMEGA 3 Y 6 ENRIQUECIDA CON VITAMINAS Y MINERALES"/>
  </r>
  <r>
    <x v="0"/>
    <x v="116"/>
    <x v="22"/>
    <x v="109"/>
    <x v="240"/>
    <x v="16"/>
    <n v="5237.5"/>
    <x v="0"/>
    <x v="13"/>
    <n v="25"/>
    <x v="141"/>
    <d v="2026-07-13T00:00:00"/>
    <d v="2026-07-14T00:00:00"/>
    <s v="HOJUELA DE AVENA Y KIWICHA, HARINA DE CAMU CAMU CON OMEGA 3 Y 6 ENRIQUECIDA CON VITAMINAS Y MINERALES"/>
  </r>
  <r>
    <x v="0"/>
    <x v="116"/>
    <x v="23"/>
    <x v="24"/>
    <x v="240"/>
    <x v="16"/>
    <n v="5237.5"/>
    <x v="0"/>
    <x v="13"/>
    <n v="25"/>
    <x v="142"/>
    <d v="2026-09-07T00:00:00"/>
    <d v="2026-09-08T00:00:00"/>
    <s v="HOJUELA DE AVENA Y KIWICHA, HARINA DE CAMU CAMU CON OMEGA 3 Y 6 ENRIQUECIDA CON VITAMINAS Y MINERALES"/>
  </r>
  <r>
    <x v="0"/>
    <x v="116"/>
    <x v="24"/>
    <x v="35"/>
    <x v="240"/>
    <x v="16"/>
    <n v="5237.5"/>
    <x v="0"/>
    <x v="13"/>
    <n v="25"/>
    <x v="4"/>
    <m/>
    <m/>
    <s v="HOJUELA DE AVENA Y KIWICHA, HARINA DE CAMU CAMU CON OMEGA 3 Y 6 ENRIQUECIDA CON VITAMINAS Y MINERALES"/>
  </r>
  <r>
    <x v="0"/>
    <x v="117"/>
    <x v="16"/>
    <x v="30"/>
    <x v="241"/>
    <x v="92"/>
    <n v="4739.76"/>
    <x v="6"/>
    <x v="108"/>
    <n v="24"/>
    <x v="215"/>
    <d v="2025-12-20T00:00:00"/>
    <d v="2026-01-12T00:00:00"/>
    <s v="HOJUELA CRUDA DE AVENA, HOJUELA DE QUINUA, HOJUELA PRECOCIDA DE KIWICHA, HARINA INTEGRAL DE FREJOL SOYA Y HARINA DE MACA, ENRIQUECIDA CON VITAMINAS Y MINERALES"/>
  </r>
  <r>
    <x v="0"/>
    <x v="117"/>
    <x v="17"/>
    <x v="203"/>
    <x v="241"/>
    <x v="92"/>
    <n v="4739.76"/>
    <x v="6"/>
    <x v="108"/>
    <n v="24"/>
    <x v="44"/>
    <d v="2026-03-23T00:00:00"/>
    <d v="2026-03-23T00:00:00"/>
    <s v="HOJUELA CRUDA DE AVENA, HOJUELA DE QUINUA, HOJUELA PRECOCIDA DE KIWICHA, HARINA INTEGRAL DE FREJOL SOYA Y HARINA DE MACA, ENRIQUECIDA CON VITAMINAS Y MINERALES"/>
  </r>
  <r>
    <x v="0"/>
    <x v="117"/>
    <x v="18"/>
    <x v="52"/>
    <x v="241"/>
    <x v="92"/>
    <n v="4739.76"/>
    <x v="6"/>
    <x v="108"/>
    <n v="24"/>
    <x v="30"/>
    <d v="2026-06-04T00:00:00"/>
    <d v="2026-06-17T00:00:00"/>
    <s v="HOJUELA CRUDA DE AVENA, HOJUELA DE QUINUA, HOJUELA PRECOCIDA DE KIWICHA, HARINA INTEGRAL DE FREJOL SOYA Y HARINA DE MACA, ENRIQUECIDA CON VITAMINAS Y MINERALES"/>
  </r>
  <r>
    <x v="0"/>
    <x v="117"/>
    <x v="19"/>
    <x v="150"/>
    <x v="241"/>
    <x v="92"/>
    <n v="4739.76"/>
    <x v="6"/>
    <x v="108"/>
    <n v="24"/>
    <x v="4"/>
    <m/>
    <m/>
    <s v="HOJUELA CRUDA DE AVENA, HOJUELA DE QUINUA, HOJUELA PRECOCIDA DE KIWICHA, HARINA INTEGRAL DE FREJOL SOYA Y HARINA DE MACA, ENRIQUECIDA CON VITAMINAS Y MINERALES"/>
  </r>
  <r>
    <x v="0"/>
    <x v="118"/>
    <x v="12"/>
    <x v="31"/>
    <x v="242"/>
    <x v="93"/>
    <n v="791.38799999999992"/>
    <x v="2"/>
    <x v="44"/>
    <n v="20"/>
    <x v="83"/>
    <d v="2026-01-22T00:00:00"/>
    <d v="2026-01-22T00:00:00"/>
    <s v="HOJUELA DE QUINUA, KIWICHA, HARINA DE MACA, AVENA EN HOJUELAS, HARINA DE SOYA Y AJONJOLI ENRIQUECIDAS CON VITAMINAS Y MINERALES"/>
  </r>
  <r>
    <x v="0"/>
    <x v="118"/>
    <x v="12"/>
    <x v="6"/>
    <x v="242"/>
    <x v="93"/>
    <n v="791.38799999999992"/>
    <x v="2"/>
    <x v="44"/>
    <n v="20"/>
    <x v="208"/>
    <d v="2026-03-30T00:00:00"/>
    <d v="2026-03-30T00:00:00"/>
    <s v="HOJUELA DE QUINUA, KIWICHA, HARINA DE MACA, AVENA EN HOJUELAS, HARINA DE SOYA Y AJONJOLI ENRIQUECIDAS CON VITAMINAS Y MINERALES"/>
  </r>
  <r>
    <x v="0"/>
    <x v="118"/>
    <x v="12"/>
    <x v="13"/>
    <x v="242"/>
    <x v="93"/>
    <n v="791.38799999999992"/>
    <x v="2"/>
    <x v="44"/>
    <n v="20"/>
    <x v="110"/>
    <d v="2026-07-02T00:00:00"/>
    <d v="2026-07-02T00:00:00"/>
    <s v="HOJUELA DE QUINUA, KIWICHA, HARINA DE MACA, AVENA EN HOJUELAS, HARINA DE SOYA Y AJONJOLI ENRIQUECIDAS CON VITAMINAS Y MINERALES"/>
  </r>
  <r>
    <x v="0"/>
    <x v="119"/>
    <x v="0"/>
    <x v="22"/>
    <x v="243"/>
    <x v="94"/>
    <n v="2705.4348"/>
    <x v="8"/>
    <x v="64"/>
    <n v="19"/>
    <x v="216"/>
    <d v="2026-01-13T00:00:00"/>
    <d v="2026-01-20T00:00:00"/>
    <s v="HOJUELA DE AVENA, QUINUA Y MACA HARINA DE LUCUMA ENRIQUECIDA CON VITAMINAS Y MINERALES"/>
  </r>
  <r>
    <x v="0"/>
    <x v="119"/>
    <x v="1"/>
    <x v="22"/>
    <x v="243"/>
    <x v="94"/>
    <n v="2705.4348"/>
    <x v="8"/>
    <x v="64"/>
    <n v="19"/>
    <x v="216"/>
    <d v="2026-01-13T00:00:00"/>
    <d v="2026-01-20T00:00:00"/>
    <s v="HOJUELA DE AVENA, QUINUA Y MACA HARINA DE LUCUMA ENRIQUECIDA CON VITAMINAS Y MINERALES"/>
  </r>
  <r>
    <x v="0"/>
    <x v="119"/>
    <x v="2"/>
    <x v="91"/>
    <x v="244"/>
    <x v="94"/>
    <n v="2738.0304000000001"/>
    <x v="8"/>
    <x v="78"/>
    <n v="12"/>
    <x v="173"/>
    <d v="2026-03-13T00:00:00"/>
    <d v="2026-03-17T00:00:00"/>
    <s v="HOJUELAS PRECOCIDAS DE AVENA, QUINUA, HARINA DE KIWICHA, HARINA DE MACA, HARINA DE LÚCUMA ENRIQUECIDAS CON VITAMINAS Y MINERALES. "/>
  </r>
  <r>
    <x v="0"/>
    <x v="119"/>
    <x v="3"/>
    <x v="91"/>
    <x v="244"/>
    <x v="94"/>
    <n v="2738.0304000000001"/>
    <x v="8"/>
    <x v="78"/>
    <n v="12"/>
    <x v="173"/>
    <d v="2026-03-13T00:00:00"/>
    <d v="2026-03-17T00:00:00"/>
    <s v="HOJUELAS PRECOCIDAS DE AVENA, QUINUA, HARINA DE KIWICHA, HARINA DE MACA, HARINA DE LÚCUMA ENRIQUECIDAS CON VITAMINAS Y MINERALES. "/>
  </r>
  <r>
    <x v="0"/>
    <x v="119"/>
    <x v="4"/>
    <x v="38"/>
    <x v="244"/>
    <x v="94"/>
    <n v="2738.0304000000001"/>
    <x v="8"/>
    <x v="78"/>
    <n v="12"/>
    <x v="133"/>
    <d v="2026-04-28T00:00:00"/>
    <d v="2026-04-29T00:00:00"/>
    <s v="HOJUELAS PRECOCIDAS DE AVENA, QUINUA, HARINA DE KIWICHA, HARINA DE MACA, HARINA DE LÚCUMA ENRIQUECIDAS CON VITAMINAS Y MINERALES. "/>
  </r>
  <r>
    <x v="0"/>
    <x v="119"/>
    <x v="5"/>
    <x v="38"/>
    <x v="244"/>
    <x v="94"/>
    <n v="2738.0304000000001"/>
    <x v="8"/>
    <x v="78"/>
    <n v="12"/>
    <x v="133"/>
    <d v="2026-04-28T00:00:00"/>
    <d v="2026-04-29T00:00:00"/>
    <s v="HOJUELAS PRECOCIDAS DE AVENA, QUINUA, HARINA DE KIWICHA, HARINA DE MACA, HARINA DE LÚCUMA ENRIQUECIDAS CON VITAMINAS Y MINERALES. "/>
  </r>
  <r>
    <x v="0"/>
    <x v="119"/>
    <x v="6"/>
    <x v="52"/>
    <x v="244"/>
    <x v="94"/>
    <n v="2738.0304000000001"/>
    <x v="8"/>
    <x v="78"/>
    <n v="12"/>
    <x v="116"/>
    <d v="2026-06-27T00:00:00"/>
    <d v="2026-06-29T00:00:00"/>
    <s v="HOJUELAS PRECOCIDAS DE AVENA, QUINUA, HARINA DE KIWICHA, HARINA DE MACA, HARINA DE LÚCUMA ENRIQUECIDAS CON VITAMINAS Y MINERALES. "/>
  </r>
  <r>
    <x v="0"/>
    <x v="119"/>
    <x v="7"/>
    <x v="52"/>
    <x v="244"/>
    <x v="94"/>
    <n v="2738.0304000000001"/>
    <x v="8"/>
    <x v="78"/>
    <n v="12"/>
    <x v="116"/>
    <d v="2026-06-27T00:00:00"/>
    <d v="2026-06-29T00:00:00"/>
    <s v="HOJUELAS PRECOCIDAS DE AVENA, QUINUA, HARINA DE KIWICHA, HARINA DE MACA, HARINA DE LÚCUMA ENRIQUECIDAS CON VITAMINAS Y MINERALES. "/>
  </r>
  <r>
    <x v="0"/>
    <x v="119"/>
    <x v="8"/>
    <x v="54"/>
    <x v="244"/>
    <x v="94"/>
    <n v="2738.0304000000001"/>
    <x v="8"/>
    <x v="78"/>
    <n v="12"/>
    <x v="156"/>
    <d v="2026-08-18T00:00:00"/>
    <d v="2026-09-01T00:00:00"/>
    <s v="HOJUELAS PRECOCIDAS DE AVENA, QUINUA, HARINA DE KIWICHA, HARINA DE MACA, HARINA DE LÚCUMA ENRIQUECIDAS CON VITAMINAS Y MINERALES. "/>
  </r>
  <r>
    <x v="0"/>
    <x v="119"/>
    <x v="9"/>
    <x v="54"/>
    <x v="244"/>
    <x v="94"/>
    <n v="2738.0304000000001"/>
    <x v="8"/>
    <x v="78"/>
    <n v="12"/>
    <x v="156"/>
    <d v="2026-08-18T00:00:00"/>
    <d v="2026-09-01T00:00:00"/>
    <s v="HOJUELAS PRECOCIDAS DE AVENA, QUINUA, HARINA DE KIWICHA, HARINA DE MACA, HARINA DE LÚCUMA ENRIQUECIDAS CON VITAMINAS Y MINERALES. "/>
  </r>
  <r>
    <x v="0"/>
    <x v="119"/>
    <x v="12"/>
    <x v="54"/>
    <x v="244"/>
    <x v="95"/>
    <n v="2809.3211999999999"/>
    <x v="8"/>
    <x v="78"/>
    <n v="12"/>
    <x v="3"/>
    <d v="2026-08-29T00:00:00"/>
    <d v="2026-09-01T00:00:00"/>
    <s v="HOJUELAS PRECOCIDAS DE AVENA, QUINUA, HARINA DE KIWICHA, HARINA DE MACA, HARINA DE LÚCUMA ENRIQUECIDAS CON VITAMINAS Y MINERALES. "/>
  </r>
  <r>
    <x v="0"/>
    <x v="119"/>
    <x v="10"/>
    <x v="204"/>
    <x v="244"/>
    <x v="94"/>
    <n v="2738.0304000000001"/>
    <x v="8"/>
    <x v="78"/>
    <n v="12"/>
    <x v="4"/>
    <m/>
    <m/>
    <s v="HOJUELAS PRECOCIDAS DE AVENA, QUINUA, HARINA DE KIWICHA, HARINA DE MACA, HARINA DE LÚCUMA ENRIQUECIDAS CON VITAMINAS Y MINERALES. "/>
  </r>
  <r>
    <x v="0"/>
    <x v="119"/>
    <x v="11"/>
    <x v="204"/>
    <x v="245"/>
    <x v="94"/>
    <n v="2760.7056000000002"/>
    <x v="8"/>
    <x v="78"/>
    <n v="28"/>
    <x v="4"/>
    <m/>
    <m/>
    <s v="HOJUELAS PRECOCIDAS DE AVENA, QUINUA, HARINA DE KIWICHA, HARINA DE MACA, HARINA DE LÚCUMA ENRIQUECIDAS CON VITAMINAS Y MINERALES. "/>
  </r>
  <r>
    <x v="0"/>
    <x v="120"/>
    <x v="12"/>
    <x v="205"/>
    <x v="246"/>
    <x v="73"/>
    <n v="3105.35"/>
    <x v="6"/>
    <x v="109"/>
    <n v="20"/>
    <x v="214"/>
    <d v="2026-01-07T00:00:00"/>
    <d v="2026-01-10T00:00:00"/>
    <s v="HOJUELA CRUDA DE AVENA, HOJUELA DE QUINUA, HARINA DE SOYA INTEGRAL HARINA DE KIWICHA, LECHE EN POLVO ENTERA AZUCARADA FORTIFICADA CON MIX VITAMÍNICO Y FOSFATO TRICÁLCICO"/>
  </r>
  <r>
    <x v="0"/>
    <x v="120"/>
    <x v="41"/>
    <x v="38"/>
    <x v="247"/>
    <x v="96"/>
    <n v="3105.1462499999998"/>
    <x v="6"/>
    <x v="109"/>
    <n v="16"/>
    <x v="151"/>
    <d v="2026-04-19T00:00:00"/>
    <d v="2026-04-19T00:00:00"/>
    <s v="HOJUELA CRUDA DE AVENA, HOJUELA DE QUINUA, HARINA DE SOYA INTEGRAL HARINA DE KIWICHA, LECHE EN POLVO ENTERA AZUCARADA FORTIFICADA CON MIX VITAMÍNICO Y FOSFATO TRICÁLCICO"/>
  </r>
  <r>
    <x v="0"/>
    <x v="120"/>
    <x v="42"/>
    <x v="175"/>
    <x v="247"/>
    <x v="96"/>
    <n v="3105.1462499999998"/>
    <x v="6"/>
    <x v="109"/>
    <n v="16"/>
    <x v="177"/>
    <d v="2026-06-17T00:00:00"/>
    <d v="2026-06-18T00:00:00"/>
    <s v="HOJUELA CRUDA DE AVENA, HOJUELA DE QUINUA, HARINA DE SOYA INTEGRAL HARINA DE KIWICHA, LECHE EN POLVO ENTERA AZUCARADA FORTIFICADA CON MIX VITAMÍNICO Y FOSFATO TRICÁLCICO"/>
  </r>
  <r>
    <x v="0"/>
    <x v="120"/>
    <x v="43"/>
    <x v="165"/>
    <x v="247"/>
    <x v="96"/>
    <n v="3105.1462499999998"/>
    <x v="6"/>
    <x v="109"/>
    <n v="16"/>
    <x v="4"/>
    <m/>
    <m/>
    <s v="HOJUELA CRUDA DE AVENA, HOJUELA DE QUINUA, HARINA DE SOYA INTEGRAL HARINA DE KIWICHA, LECHE EN POLVO ENTERA AZUCARADA FORTIFICADA CON MIX VITAMÍNICO Y FOSFATO TRICÁLCICO"/>
  </r>
  <r>
    <x v="0"/>
    <x v="121"/>
    <x v="2"/>
    <x v="32"/>
    <x v="248"/>
    <x v="1"/>
    <n v="3536"/>
    <x v="6"/>
    <x v="110"/>
    <n v="11"/>
    <x v="28"/>
    <d v="2026-02-10T00:00:00"/>
    <d v="2026-02-10T00:00:00"/>
    <s v="HOJUELAS PRECOCIDAS DE AVENA, KIWICHA TOSTADA, HARINA DE MAIZ BLANCO, PLATANO CON AZUCAR, FORTIFICADA CON VITAMINAS Y MINERALES"/>
  </r>
  <r>
    <x v="0"/>
    <x v="121"/>
    <x v="3"/>
    <x v="71"/>
    <x v="249"/>
    <x v="1"/>
    <n v="3422"/>
    <x v="6"/>
    <x v="69"/>
    <n v="22"/>
    <x v="192"/>
    <d v="2026-03-06T00:00:00"/>
    <d v="2026-03-06T00:00:00"/>
    <s v="HOJUELAS PRECOCIDAS DE AVENA, KIWICHA TOSTADA, HARINA DE MAIZ BLANCO, PLATANO CON AZUCAR, FORTIFICADA CON VITAMINAS Y MINERALES"/>
  </r>
  <r>
    <x v="0"/>
    <x v="121"/>
    <x v="4"/>
    <x v="72"/>
    <x v="248"/>
    <x v="1"/>
    <n v="3536"/>
    <x v="6"/>
    <x v="110"/>
    <n v="11"/>
    <x v="178"/>
    <d v="2026-04-06T00:00:00"/>
    <d v="2026-04-06T00:00:00"/>
    <s v="HOJUELAS PRECOCIDAS DE AVENA, KIWICHA TOSTADA, HARINA DE MAIZ BLANCO, PLATANO CON AZUCAR, FORTIFICADA CON VITAMINAS Y MINERALES"/>
  </r>
  <r>
    <x v="0"/>
    <x v="121"/>
    <x v="5"/>
    <x v="170"/>
    <x v="249"/>
    <x v="1"/>
    <n v="3422"/>
    <x v="6"/>
    <x v="69"/>
    <n v="22"/>
    <x v="1"/>
    <d v="2026-05-05T00:00:00"/>
    <d v="2026-05-05T00:00:00"/>
    <s v="HOJUELAS PRECOCIDAS DE AVENA, KIWICHA TOSTADA, HARINA DE MAIZ BLANCO, PLATANO CON AZUCAR, FORTIFICADA CON VITAMINAS Y MINERALES"/>
  </r>
  <r>
    <x v="0"/>
    <x v="121"/>
    <x v="6"/>
    <x v="175"/>
    <x v="248"/>
    <x v="1"/>
    <n v="3536"/>
    <x v="6"/>
    <x v="110"/>
    <n v="11"/>
    <x v="48"/>
    <d v="2026-05-28T00:00:00"/>
    <d v="2026-05-29T00:00:00"/>
    <s v="HOJUELAS PRECOCIDAS DE AVENA, KIWICHA TOSTADA, HARINA DE MAIZ BLANCO, PLATANO CON AZUCAR, FORTIFICADA CON VITAMINAS Y MINERALES"/>
  </r>
  <r>
    <x v="0"/>
    <x v="121"/>
    <x v="7"/>
    <x v="74"/>
    <x v="250"/>
    <x v="1"/>
    <n v="3537"/>
    <x v="6"/>
    <x v="110"/>
    <n v="12"/>
    <x v="217"/>
    <d v="2026-07-10T00:00:00"/>
    <d v="2026-07-11T00:00:00"/>
    <s v="HOJUELAS PRECOCIDAS DE AVENA, KIWICHA TOSTADA, HARINA DE MAIZ BLANCO, PLATANO CON AZUCAR, FORTIFICADA CON VITAMINAS Y MINERALES"/>
  </r>
  <r>
    <x v="0"/>
    <x v="121"/>
    <x v="8"/>
    <x v="28"/>
    <x v="251"/>
    <x v="1"/>
    <n v="3423"/>
    <x v="6"/>
    <x v="69"/>
    <n v="23"/>
    <x v="31"/>
    <d v="2026-07-31T00:00:00"/>
    <d v="2026-07-31T00:00:00"/>
    <s v="HOJUELAS PRECOCIDAS DE AVENA, KIWICHA TOSTADA, HARINA DE MAIZ BLANCO, PLATANO CON AZUCAR, FORTIFICADA CON VITAMINAS Y MINERALES"/>
  </r>
  <r>
    <x v="0"/>
    <x v="121"/>
    <x v="9"/>
    <x v="206"/>
    <x v="250"/>
    <x v="1"/>
    <n v="3537"/>
    <x v="6"/>
    <x v="110"/>
    <n v="12"/>
    <x v="131"/>
    <d v="2026-09-04T00:00:00"/>
    <d v="2026-09-08T00:00:00"/>
    <s v="HOJUELAS PRECOCIDAS DE AVENA, KIWICHA TOSTADA, HARINA DE MAIZ BLANCO, PLATANO CON AZUCAR, FORTIFICADA CON VITAMINAS Y MINERALES"/>
  </r>
  <r>
    <x v="0"/>
    <x v="121"/>
    <x v="10"/>
    <x v="35"/>
    <x v="251"/>
    <x v="1"/>
    <n v="3423"/>
    <x v="6"/>
    <x v="69"/>
    <n v="23"/>
    <x v="4"/>
    <m/>
    <m/>
    <s v="HOJUELAS PRECOCIDAS DE AVENA, KIWICHA TOSTADA, HARINA DE MAIZ BLANCO, PLATANO CON AZUCAR, FORTIFICADA CON VITAMINAS Y MINERALES"/>
  </r>
  <r>
    <x v="0"/>
    <x v="121"/>
    <x v="11"/>
    <x v="76"/>
    <x v="250"/>
    <x v="1"/>
    <n v="3537"/>
    <x v="6"/>
    <x v="110"/>
    <n v="12"/>
    <x v="4"/>
    <m/>
    <m/>
    <s v="HOJUELAS PRECOCIDAS DE AVENA, KIWICHA TOSTADA, HARINA DE MAIZ BLANCO, PLATANO CON AZUCAR, FORTIFICADA CON VITAMINAS Y MINERALES"/>
  </r>
  <r>
    <x v="0"/>
    <x v="122"/>
    <x v="0"/>
    <x v="68"/>
    <x v="252"/>
    <x v="1"/>
    <n v="3557"/>
    <x v="6"/>
    <x v="111"/>
    <n v="7"/>
    <x v="90"/>
    <d v="2025-12-13T00:00:00"/>
    <d v="2025-12-17T00:00:00"/>
    <s v="MEZCLA DE HOJUELA PRECOCIDA DE QUINUA, AVENA, KIWICHA, MACA, LINAZA Y AJONJOLI CON PROTEINA AISLADA DE SOYA Y AZUCAR FORTIFICADA ENRIQUECIDA CON VITAMINAS Y MINERALES"/>
  </r>
  <r>
    <x v="0"/>
    <x v="122"/>
    <x v="1"/>
    <x v="22"/>
    <x v="253"/>
    <x v="1"/>
    <n v="3213"/>
    <x v="6"/>
    <x v="112"/>
    <n v="13"/>
    <x v="114"/>
    <d v="2026-01-05T00:00:00"/>
    <d v="2026-01-10T00:00:00"/>
    <s v="MEZCLA DE HOJUELA PRECOCIDA DE QUINUA, AVENA, KIWICHA, MACA, LINAZA Y AJONJOLI CON PROTEINA AISLADA DE SOYA Y AZUCAR FORTIFICADA ENRIQUECIDA CON VITAMINAS Y MINERALES"/>
  </r>
  <r>
    <x v="0"/>
    <x v="123"/>
    <x v="0"/>
    <x v="31"/>
    <x v="254"/>
    <x v="97"/>
    <n v="613.79999999999995"/>
    <x v="1"/>
    <x v="46"/>
    <n v="0"/>
    <x v="73"/>
    <d v="2026-01-21T00:00:00"/>
    <d v="2026-01-26T00:00:00"/>
    <s v="MEZCLA DE HOJUELAS DE AVENA, QUINUA, KIWICHA, CAÑIHUA, AJONJOLÍ, CON HARINA DE MACA Y AZÚCAR FORTIFICADA CON VITAMINAS Y MINERALES"/>
  </r>
  <r>
    <x v="0"/>
    <x v="123"/>
    <x v="1"/>
    <x v="31"/>
    <x v="254"/>
    <x v="98"/>
    <n v="554.4"/>
    <x v="1"/>
    <x v="46"/>
    <n v="0"/>
    <x v="73"/>
    <d v="2026-01-21T00:00:00"/>
    <d v="2026-01-26T00:00:00"/>
    <s v="MEZCLA DE HOJUELAS DE AVENA, QUINUA, KIWICHA, CAÑIHUA, AJONJOLÍ, CON HARINA DE MACA Y AZÚCAR FORTIFICADA CON VITAMINAS Y MINERALES"/>
  </r>
  <r>
    <x v="0"/>
    <x v="123"/>
    <x v="0"/>
    <x v="31"/>
    <x v="85"/>
    <x v="53"/>
    <n v="2604"/>
    <x v="1"/>
    <x v="30"/>
    <n v="0"/>
    <x v="73"/>
    <d v="2026-01-21T00:00:00"/>
    <d v="2026-01-26T00:00:00"/>
    <s v="MEZCLA DE HOJUELAS DE AVENA, QUINUA, KIWICHA, CAÑIHUA, AJONJOLÍ, CON HARINA DE MACA Y AZÚCAR FORTIFICADA CON VITAMINAS Y MINERALES"/>
  </r>
  <r>
    <x v="0"/>
    <x v="123"/>
    <x v="1"/>
    <x v="31"/>
    <x v="85"/>
    <x v="54"/>
    <n v="2352"/>
    <x v="1"/>
    <x v="30"/>
    <n v="0"/>
    <x v="73"/>
    <d v="2026-01-21T00:00:00"/>
    <d v="2026-01-26T00:00:00"/>
    <s v="MEZCLA DE HOJUELAS DE AVENA, QUINUA, KIWICHA, CAÑIHUA, AJONJOLÍ, CON HARINA DE MACA Y AZÚCAR FORTIFICADA CON VITAMINAS Y MINERALES"/>
  </r>
  <r>
    <x v="0"/>
    <x v="123"/>
    <x v="2"/>
    <x v="32"/>
    <x v="254"/>
    <x v="97"/>
    <n v="613.79999999999995"/>
    <x v="1"/>
    <x v="46"/>
    <n v="0"/>
    <x v="67"/>
    <d v="2026-02-16T00:00:00"/>
    <d v="2026-02-18T00:00:00"/>
    <s v="MEZCLA DE HOJUELAS DE AVENA, QUINUA, KIWICHA, CAÑIHUA, AJONJOLÍ, CON HARINA DE MACA Y AZÚCAR FORTIFICADA CON VITAMINAS Y MINERALES"/>
  </r>
  <r>
    <x v="0"/>
    <x v="123"/>
    <x v="2"/>
    <x v="32"/>
    <x v="85"/>
    <x v="53"/>
    <n v="2604"/>
    <x v="1"/>
    <x v="30"/>
    <n v="0"/>
    <x v="67"/>
    <d v="2026-02-16T00:00:00"/>
    <d v="2026-02-18T00:00:00"/>
    <s v="MEZCLA DE HOJUELAS DE AVENA, QUINUA, KIWICHA, CAÑIHUA, AJONJOLÍ, CON HARINA DE MACA Y AZÚCAR FORTIFICADA CON VITAMINAS Y MINERALES"/>
  </r>
  <r>
    <x v="0"/>
    <x v="123"/>
    <x v="3"/>
    <x v="32"/>
    <x v="254"/>
    <x v="99"/>
    <n v="594"/>
    <x v="1"/>
    <x v="46"/>
    <n v="0"/>
    <x v="67"/>
    <d v="2026-02-16T00:00:00"/>
    <d v="2026-02-18T00:00:00"/>
    <s v="MEZCLA DE HOJUELAS DE AVENA, QUINUA, KIWICHA, CAÑIHUA, AJONJOLÍ, CON HARINA DE MACA Y AZÚCAR FORTIFICADA CON VITAMINAS Y MINERALES"/>
  </r>
  <r>
    <x v="0"/>
    <x v="123"/>
    <x v="3"/>
    <x v="32"/>
    <x v="85"/>
    <x v="55"/>
    <n v="2520"/>
    <x v="1"/>
    <x v="30"/>
    <n v="0"/>
    <x v="67"/>
    <d v="2026-02-16T00:00:00"/>
    <d v="2026-02-18T00:00:00"/>
    <s v="MEZCLA DE HOJUELAS DE AVENA, QUINUA, KIWICHA, CAÑIHUA, AJONJOLÍ, CON HARINA DE MACA Y AZÚCAR FORTIFICADA CON VITAMINAS Y MINERALES"/>
  </r>
  <r>
    <x v="0"/>
    <x v="123"/>
    <x v="4"/>
    <x v="108"/>
    <x v="254"/>
    <x v="97"/>
    <n v="613.79999999999995"/>
    <x v="1"/>
    <x v="46"/>
    <n v="0"/>
    <x v="25"/>
    <d v="2026-04-16T00:00:00"/>
    <d v="2026-04-16T00:00:00"/>
    <s v="MEZCLA DE HOJUELAS DE AVENA, QUINUA, KIWICHA, CAÑIHUA, AJONJOLÍ, CON HARINA DE MACA Y AZÚCAR FORTIFICADA CON VITAMINAS Y MINERALES"/>
  </r>
  <r>
    <x v="0"/>
    <x v="123"/>
    <x v="4"/>
    <x v="108"/>
    <x v="85"/>
    <x v="53"/>
    <n v="2604"/>
    <x v="1"/>
    <x v="30"/>
    <n v="0"/>
    <x v="25"/>
    <d v="2026-04-16T00:00:00"/>
    <d v="2026-04-16T00:00:00"/>
    <s v="MEZCLA DE HOJUELAS DE AVENA, QUINUA, KIWICHA, CAÑIHUA, AJONJOLÍ, CON HARINA DE MACA Y AZÚCAR FORTIFICADA CON VITAMINAS Y MINERALES"/>
  </r>
  <r>
    <x v="0"/>
    <x v="123"/>
    <x v="5"/>
    <x v="207"/>
    <x v="254"/>
    <x v="99"/>
    <n v="594"/>
    <x v="1"/>
    <x v="46"/>
    <n v="0"/>
    <x v="25"/>
    <d v="2026-04-16T00:00:00"/>
    <d v="2026-04-16T00:00:00"/>
    <s v="MEZCLA DE HOJUELAS DE AVENA, QUINUA, KIWICHA, CAÑIHUA, AJONJOLÍ, CON HARINA DE MACA Y AZÚCAR FORTIFICADA CON VITAMINAS Y MINERALES"/>
  </r>
  <r>
    <x v="0"/>
    <x v="123"/>
    <x v="5"/>
    <x v="207"/>
    <x v="85"/>
    <x v="55"/>
    <n v="2520"/>
    <x v="1"/>
    <x v="30"/>
    <n v="0"/>
    <x v="25"/>
    <d v="2026-04-16T00:00:00"/>
    <d v="2026-04-16T00:00:00"/>
    <s v="MEZCLA DE HOJUELAS DE AVENA, QUINUA, KIWICHA, CAÑIHUA, AJONJOLÍ, CON HARINA DE MACA Y AZÚCAR FORTIFICADA CON VITAMINAS Y MINERALES"/>
  </r>
  <r>
    <x v="0"/>
    <x v="123"/>
    <x v="6"/>
    <x v="109"/>
    <x v="85"/>
    <x v="53"/>
    <n v="2604"/>
    <x v="1"/>
    <x v="30"/>
    <n v="0"/>
    <x v="199"/>
    <d v="2026-06-01T00:00:00"/>
    <d v="2026-06-14T00:00:00"/>
    <s v="MEZCLA DE HOJUELAS DE AVENA, QUINUA, KIWICHA, CAÑIHUA, AJONJOLÍ, CON HARINA DE MACA Y AZÚCAR FORTIFICADA CON VITAMINAS Y MINERALES"/>
  </r>
  <r>
    <x v="0"/>
    <x v="123"/>
    <x v="7"/>
    <x v="109"/>
    <x v="85"/>
    <x v="53"/>
    <n v="2604"/>
    <x v="1"/>
    <x v="30"/>
    <n v="0"/>
    <x v="199"/>
    <d v="2026-06-01T00:00:00"/>
    <d v="2026-06-14T00:00:00"/>
    <s v="MEZCLA DE HOJUELAS DE AVENA, QUINUA, KIWICHA, CAÑIHUA, AJONJOLÍ, CON HARINA DE MACA Y AZÚCAR FORTIFICADA CON VITAMINAS Y MINERALES"/>
  </r>
  <r>
    <x v="0"/>
    <x v="123"/>
    <x v="6"/>
    <x v="109"/>
    <x v="254"/>
    <x v="97"/>
    <n v="613.79999999999995"/>
    <x v="1"/>
    <x v="46"/>
    <n v="0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7"/>
    <x v="109"/>
    <x v="254"/>
    <x v="97"/>
    <n v="613.79999999999995"/>
    <x v="1"/>
    <x v="46"/>
    <n v="0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0"/>
    <x v="109"/>
    <x v="255"/>
    <x v="97"/>
    <n v="310.99199999999996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1"/>
    <x v="109"/>
    <x v="255"/>
    <x v="98"/>
    <n v="280.89600000000002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2"/>
    <x v="109"/>
    <x v="255"/>
    <x v="97"/>
    <n v="310.99199999999996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3"/>
    <x v="109"/>
    <x v="255"/>
    <x v="99"/>
    <n v="300.95999999999998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4"/>
    <x v="109"/>
    <x v="255"/>
    <x v="97"/>
    <n v="310.99199999999996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5"/>
    <x v="109"/>
    <x v="255"/>
    <x v="99"/>
    <n v="300.95999999999998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6"/>
    <x v="109"/>
    <x v="255"/>
    <x v="97"/>
    <n v="310.99199999999996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7"/>
    <x v="109"/>
    <x v="255"/>
    <x v="97"/>
    <n v="310.99199999999996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25"/>
    <x v="109"/>
    <x v="255"/>
    <x v="99"/>
    <n v="300.95999999999998"/>
    <x v="1"/>
    <x v="88"/>
    <n v="4"/>
    <x v="188"/>
    <d v="2026-06-14T00:00:00"/>
    <d v="2026-06-14T00:00:00"/>
    <s v="MEZCLA DE HOJUELAS DE AVENA, QUINUA, KIWICHA, CAÑIHUA, AJONJOLÍ, CON HARINA DE MACA Y AZÚCAR FORTIFICADA CON VITAMINAS Y MINERALES"/>
  </r>
  <r>
    <x v="0"/>
    <x v="123"/>
    <x v="8"/>
    <x v="45"/>
    <x v="254"/>
    <x v="99"/>
    <n v="594"/>
    <x v="1"/>
    <x v="46"/>
    <n v="0"/>
    <x v="218"/>
    <d v="2026-07-29T00:00:00"/>
    <d v="2026-07-29T00:00:00"/>
    <s v="MEZCLA DE HOJUELAS DE AVENA, QUINUA, KIWICHA, CAÑIHUA, AJONJOLÍ, CON HARINA DE MACA Y AZÚCAR FORTIFICADA CON VITAMINAS Y MINERALES"/>
  </r>
  <r>
    <x v="0"/>
    <x v="123"/>
    <x v="8"/>
    <x v="45"/>
    <x v="85"/>
    <x v="55"/>
    <n v="2520"/>
    <x v="1"/>
    <x v="30"/>
    <n v="0"/>
    <x v="218"/>
    <d v="2026-07-29T00:00:00"/>
    <d v="2026-07-29T00:00:00"/>
    <s v="MEZCLA DE HOJUELAS DE AVENA, QUINUA, KIWICHA, CAÑIHUA, AJONJOLÍ, CON HARINA DE MACA Y AZÚCAR FORTIFICADA CON VITAMINAS Y MINERALES"/>
  </r>
  <r>
    <x v="0"/>
    <x v="123"/>
    <x v="9"/>
    <x v="45"/>
    <x v="254"/>
    <x v="97"/>
    <n v="613.79999999999995"/>
    <x v="1"/>
    <x v="46"/>
    <n v="0"/>
    <x v="218"/>
    <d v="2026-07-29T00:00:00"/>
    <d v="2026-07-29T00:00:00"/>
    <s v="MEZCLA DE HOJUELAS DE AVENA, QUINUA, KIWICHA, CAÑIHUA, AJONJOLÍ, CON HARINA DE MACA Y AZÚCAR FORTIFICADA CON VITAMINAS Y MINERALES"/>
  </r>
  <r>
    <x v="0"/>
    <x v="123"/>
    <x v="9"/>
    <x v="45"/>
    <x v="85"/>
    <x v="53"/>
    <n v="2604"/>
    <x v="1"/>
    <x v="30"/>
    <n v="0"/>
    <x v="218"/>
    <d v="2026-07-29T00:00:00"/>
    <d v="2026-07-29T00:00:00"/>
    <s v="MEZCLA DE HOJUELAS DE AVENA, QUINUA, KIWICHA, CAÑIHUA, AJONJOLÍ, CON HARINA DE MACA Y AZÚCAR FORTIFICADA CON VITAMINAS Y MINERALES"/>
  </r>
  <r>
    <x v="0"/>
    <x v="123"/>
    <x v="9"/>
    <x v="45"/>
    <x v="256"/>
    <x v="97"/>
    <n v="932.97599999999989"/>
    <x v="1"/>
    <x v="0"/>
    <n v="12"/>
    <x v="218"/>
    <d v="2026-07-29T00:00:00"/>
    <d v="2026-07-29T00:00:00"/>
    <s v="MEZCLA DE HOJUELAS DE AVENA, QUINUA, KIWICHA, CAÑIHUA, AJONJOLÍ, CON HARINA DE MACA Y AZÚCAR FORTIFICADA CON VITAMINAS Y MINERALES"/>
  </r>
  <r>
    <x v="0"/>
    <x v="123"/>
    <x v="10"/>
    <x v="208"/>
    <x v="255"/>
    <x v="99"/>
    <n v="300.95999999999998"/>
    <x v="1"/>
    <x v="88"/>
    <n v="4"/>
    <x v="4"/>
    <m/>
    <m/>
    <s v="MEZCLA DE HOJUELAS DE AVENA, QUINUA, KIWICHA, CAÑIHUA, AJONJOLÍ, CON HARINA DE MACA Y AZÚCAR FORTIFICADA CON VITAMINAS Y MINERALES"/>
  </r>
  <r>
    <x v="0"/>
    <x v="123"/>
    <x v="10"/>
    <x v="112"/>
    <x v="254"/>
    <x v="99"/>
    <n v="594"/>
    <x v="1"/>
    <x v="46"/>
    <n v="0"/>
    <x v="4"/>
    <m/>
    <m/>
    <s v="MEZCLA DE HOJUELAS DE AVENA, QUINUA, KIWICHA, CAÑIHUA, AJONJOLÍ, CON HARINA DE MACA Y AZÚCAR FORTIFICADA CON VITAMINAS Y MINERALES"/>
  </r>
  <r>
    <x v="0"/>
    <x v="123"/>
    <x v="10"/>
    <x v="112"/>
    <x v="85"/>
    <x v="55"/>
    <n v="2520"/>
    <x v="1"/>
    <x v="30"/>
    <n v="0"/>
    <x v="4"/>
    <m/>
    <m/>
    <s v="MEZCLA DE HOJUELAS DE AVENA, QUINUA, KIWICHA, CAÑIHUA, AJONJOLÍ, CON HARINA DE MACA Y AZÚCAR FORTIFICADA CON VITAMINAS Y MINERALES"/>
  </r>
  <r>
    <x v="0"/>
    <x v="123"/>
    <x v="11"/>
    <x v="112"/>
    <x v="254"/>
    <x v="97"/>
    <n v="613.79999999999995"/>
    <x v="1"/>
    <x v="46"/>
    <n v="0"/>
    <x v="4"/>
    <m/>
    <m/>
    <s v="MEZCLA DE HOJUELAS DE AVENA, QUINUA, KIWICHA, CAÑIHUA, AJONJOLÍ, CON HARINA DE MACA Y AZÚCAR FORTIFICADA CON VITAMINAS Y MINERALES"/>
  </r>
  <r>
    <x v="0"/>
    <x v="123"/>
    <x v="11"/>
    <x v="112"/>
    <x v="85"/>
    <x v="53"/>
    <n v="2604"/>
    <x v="1"/>
    <x v="30"/>
    <n v="0"/>
    <x v="4"/>
    <m/>
    <m/>
    <s v="MEZCLA DE HOJUELAS DE AVENA, QUINUA, KIWICHA, CAÑIHUA, AJONJOLÍ, CON HARINA DE MACA Y AZÚCAR FORTIFICADA CON VITAMINAS Y MINERALES"/>
  </r>
  <r>
    <x v="0"/>
    <x v="123"/>
    <x v="11"/>
    <x v="209"/>
    <x v="255"/>
    <x v="97"/>
    <n v="310.99199999999996"/>
    <x v="1"/>
    <x v="88"/>
    <n v="4"/>
    <x v="4"/>
    <m/>
    <m/>
    <s v="MEZCLA DE HOJUELAS DE AVENA, QUINUA, KIWICHA, CAÑIHUA, AJONJOLÍ, CON HARINA DE MACA Y AZÚCAR FORTIFICADA CON VITAMINAS Y MINERALES"/>
  </r>
  <r>
    <x v="0"/>
    <x v="124"/>
    <x v="16"/>
    <x v="100"/>
    <x v="257"/>
    <x v="100"/>
    <n v="3782.0673000000002"/>
    <x v="0"/>
    <x v="113"/>
    <n v="10"/>
    <x v="127"/>
    <d v="2026-01-30T00:00:00"/>
    <d v="2026-02-05T00:00:00"/>
    <s v="HOJUELA DE KIWICHA TOSTADA, SOYA INTEGRAL, QUINUA, AVENA CON MACA ENRIQUECIDA CON VITAMINAS Y MINERALES"/>
  </r>
  <r>
    <x v="0"/>
    <x v="124"/>
    <x v="17"/>
    <x v="91"/>
    <x v="257"/>
    <x v="100"/>
    <n v="3782.0673000000002"/>
    <x v="0"/>
    <x v="113"/>
    <n v="10"/>
    <x v="95"/>
    <d v="2026-03-25T00:00:00"/>
    <d v="2026-03-25T00:00:00"/>
    <s v="HOJUELA DE KIWICHA TOSTADA, SOYA INTEGRAL, QUINUA, AVENA CON MACA ENRIQUECIDA CON VITAMINAS Y MINERALES"/>
  </r>
  <r>
    <x v="0"/>
    <x v="124"/>
    <x v="18"/>
    <x v="52"/>
    <x v="257"/>
    <x v="100"/>
    <n v="3782.0673000000002"/>
    <x v="0"/>
    <x v="113"/>
    <n v="10"/>
    <x v="157"/>
    <d v="2026-06-16T00:00:00"/>
    <d v="2026-06-29T00:00:00"/>
    <s v="HOJUELA DE KIWICHA TOSTADA, SOYA INTEGRAL, QUINUA, AVENA CON MACA ENRIQUECIDA CON VITAMINAS Y MINERALES"/>
  </r>
  <r>
    <x v="0"/>
    <x v="124"/>
    <x v="19"/>
    <x v="29"/>
    <x v="257"/>
    <x v="100"/>
    <n v="3782.0673000000002"/>
    <x v="0"/>
    <x v="113"/>
    <n v="10"/>
    <x v="4"/>
    <m/>
    <m/>
    <s v="HOJUELA DE KIWICHA TOSTADA, SOYA INTEGRAL, QUINUA, AVENA CON MACA ENRIQUECIDA CON VITAMINAS Y MINERALES"/>
  </r>
  <r>
    <x v="0"/>
    <x v="124"/>
    <x v="12"/>
    <x v="111"/>
    <x v="258"/>
    <x v="101"/>
    <n v="2394.4499999999998"/>
    <x v="0"/>
    <x v="66"/>
    <n v="17"/>
    <x v="4"/>
    <m/>
    <m/>
    <s v="HOJUELA DE KIWICHA TOSTADA, SOYA INTEGRAL, QUINUA, AVENA CON MACA ENRIQUECIDA CON VITAMINAS Y MINERALES"/>
  </r>
  <r>
    <x v="0"/>
    <x v="125"/>
    <x v="16"/>
    <x v="100"/>
    <x v="257"/>
    <x v="102"/>
    <n v="1033.8522"/>
    <x v="13"/>
    <x v="18"/>
    <n v="90"/>
    <x v="5"/>
    <d v="2026-01-29T00:00:00"/>
    <d v="2026-02-05T00:00:00"/>
    <s v="HARINA PRECOCIDA DE TRIGO"/>
  </r>
  <r>
    <x v="0"/>
    <x v="125"/>
    <x v="17"/>
    <x v="91"/>
    <x v="257"/>
    <x v="102"/>
    <n v="1033.8522"/>
    <x v="13"/>
    <x v="18"/>
    <n v="90"/>
    <x v="95"/>
    <d v="2026-03-25T00:00:00"/>
    <d v="2026-03-25T00:00:00"/>
    <s v="HARINA PRECOCIDA DE TRIGO"/>
  </r>
  <r>
    <x v="0"/>
    <x v="125"/>
    <x v="18"/>
    <x v="52"/>
    <x v="257"/>
    <x v="102"/>
    <n v="1033.8522"/>
    <x v="13"/>
    <x v="18"/>
    <n v="90"/>
    <x v="219"/>
    <d v="2026-06-05T00:00:00"/>
    <d v="2026-06-29T00:00:00"/>
    <s v="HARINA PRECOCIDA DE TRIGO"/>
  </r>
  <r>
    <x v="0"/>
    <x v="125"/>
    <x v="19"/>
    <x v="29"/>
    <x v="257"/>
    <x v="102"/>
    <n v="1033.8522"/>
    <x v="13"/>
    <x v="18"/>
    <n v="90"/>
    <x v="4"/>
    <m/>
    <m/>
    <s v="HARINA PRECOCIDA DE TRIGO"/>
  </r>
  <r>
    <x v="0"/>
    <x v="126"/>
    <x v="0"/>
    <x v="22"/>
    <x v="259"/>
    <x v="1"/>
    <n v="1102"/>
    <x v="2"/>
    <x v="32"/>
    <n v="22"/>
    <x v="37"/>
    <d v="2026-01-14T00:00:00"/>
    <d v="2026-01-15T00:00:00"/>
    <s v="MEZCLA PRECOCIDA DE HOJUELAS DE AVENA, QUINUA Y KIWICHA CON SOYA Y MAÍZ CHUFLA FORTIFICADA CON VITAMINAS Y MINERALES"/>
  </r>
  <r>
    <x v="0"/>
    <x v="126"/>
    <x v="1"/>
    <x v="69"/>
    <x v="260"/>
    <x v="1"/>
    <n v="1429"/>
    <x v="2"/>
    <x v="35"/>
    <n v="29"/>
    <x v="37"/>
    <d v="2026-01-14T00:00:00"/>
    <d v="2026-01-15T00:00:00"/>
    <s v="MEZCLA PRECOCIDA DE HOJUELAS DE AVENA, QUINUA Y KIWICHA CON SOYA Y MAÍZ CHUFLA FORTIFICADA CON VITAMINAS Y MINERALES"/>
  </r>
  <r>
    <x v="0"/>
    <x v="126"/>
    <x v="2"/>
    <x v="32"/>
    <x v="261"/>
    <x v="1"/>
    <n v="1582"/>
    <x v="2"/>
    <x v="57"/>
    <n v="22"/>
    <x v="57"/>
    <d v="2026-02-18T00:00:00"/>
    <d v="2026-02-20T00:00:00"/>
    <s v="MEZCLA PRECOCIDA DE HOJUELAS DE AVENA, QUINUA Y KIWICHA CON SOYA Y MAÍZ CHUFLA FORTIFICADA CON VITAMINAS Y MINERALES"/>
  </r>
  <r>
    <x v="0"/>
    <x v="126"/>
    <x v="3"/>
    <x v="71"/>
    <x v="262"/>
    <x v="1"/>
    <n v="1531"/>
    <x v="2"/>
    <x v="9"/>
    <n v="11"/>
    <x v="68"/>
    <d v="2026-03-19T00:00:00"/>
    <d v="2026-03-20T00:00:00"/>
    <s v="MEZCLA PRECOCIDA DE HOJUELAS DE AVENA, QUINUA Y KIWICHA CON SOYA Y MAÍZ CHUFLA FORTIFICADA CON VITAMINAS Y MINERALES"/>
  </r>
  <r>
    <x v="0"/>
    <x v="126"/>
    <x v="4"/>
    <x v="72"/>
    <x v="261"/>
    <x v="1"/>
    <n v="1582"/>
    <x v="2"/>
    <x v="57"/>
    <n v="22"/>
    <x v="136"/>
    <d v="2026-04-15T00:00:00"/>
    <d v="2026-04-23T00:00:00"/>
    <s v="MEZCLA PRECOCIDA DE HOJUELAS DE AVENA, QUINUA Y KIWICHA CON SOYA Y MAÍZ CHUFLA FORTIFICADA CON VITAMINAS Y MINERALES"/>
  </r>
  <r>
    <x v="0"/>
    <x v="126"/>
    <x v="5"/>
    <x v="170"/>
    <x v="262"/>
    <x v="1"/>
    <n v="1531"/>
    <x v="2"/>
    <x v="9"/>
    <n v="11"/>
    <x v="69"/>
    <d v="2026-05-15T00:00:00"/>
    <d v="2026-05-20T00:00:00"/>
    <s v="MEZCLA PRECOCIDA DE HOJUELAS DE AVENA, QUINUA Y KIWICHA CON SOYA Y MAÍZ CHUFLA FORTIFICADA CON VITAMINAS Y MINERALES"/>
  </r>
  <r>
    <x v="0"/>
    <x v="126"/>
    <x v="6"/>
    <x v="109"/>
    <x v="261"/>
    <x v="1"/>
    <n v="1582"/>
    <x v="2"/>
    <x v="57"/>
    <n v="22"/>
    <x v="145"/>
    <d v="2026-06-12T00:00:00"/>
    <d v="2026-06-12T00:00:00"/>
    <s v="MEZCLA PRECOCIDA DE HOJUELAS DE AVENA, QUINUA Y KIWICHA CON SOYA Y MAÍZ CHUFLA FORTIFICADA CON VITAMINAS Y MINERALES"/>
  </r>
  <r>
    <x v="0"/>
    <x v="126"/>
    <x v="7"/>
    <x v="74"/>
    <x v="261"/>
    <x v="1"/>
    <n v="1582"/>
    <x v="2"/>
    <x v="57"/>
    <n v="22"/>
    <x v="163"/>
    <d v="2026-07-20T00:00:00"/>
    <d v="2026-07-20T00:00:00"/>
    <s v="MEZCLA PRECOCIDA DE HOJUELAS DE AVENA, QUINUA Y KIWICHA CON SOYA Y MAÍZ CHUFLA FORTIFICADA CON VITAMINAS Y MINERALES"/>
  </r>
  <r>
    <x v="0"/>
    <x v="126"/>
    <x v="8"/>
    <x v="28"/>
    <x v="262"/>
    <x v="1"/>
    <n v="1531"/>
    <x v="2"/>
    <x v="9"/>
    <n v="11"/>
    <x v="24"/>
    <d v="2026-08-19T00:00:00"/>
    <d v="2026-08-19T00:00:00"/>
    <s v="MEZCLA PRECOCIDA DE HOJUELAS DE AVENA, QUINUA Y KIWICHA CON SOYA Y MAÍZ CHUFLA FORTIFICADA CON VITAMINAS Y MINERALES"/>
  </r>
  <r>
    <x v="0"/>
    <x v="126"/>
    <x v="9"/>
    <x v="111"/>
    <x v="261"/>
    <x v="1"/>
    <n v="1582"/>
    <x v="2"/>
    <x v="57"/>
    <n v="22"/>
    <x v="4"/>
    <m/>
    <m/>
    <s v="MEZCLA PRECOCIDA DE HOJUELAS DE AVENA, QUINUA Y KIWICHA CON SOYA Y MAÍZ CHUFLA FORTIFICADA CON VITAMINAS Y MINERALES"/>
  </r>
  <r>
    <x v="0"/>
    <x v="126"/>
    <x v="10"/>
    <x v="35"/>
    <x v="262"/>
    <x v="1"/>
    <n v="1531"/>
    <x v="2"/>
    <x v="9"/>
    <n v="11"/>
    <x v="4"/>
    <m/>
    <m/>
    <s v="MEZCLA PRECOCIDA DE HOJUELAS DE AVENA, QUINUA Y KIWICHA CON SOYA Y MAÍZ CHUFLA FORTIFICADA CON VITAMINAS Y MINERALES"/>
  </r>
  <r>
    <x v="0"/>
    <x v="126"/>
    <x v="11"/>
    <x v="76"/>
    <x v="261"/>
    <x v="1"/>
    <n v="1582"/>
    <x v="2"/>
    <x v="57"/>
    <n v="22"/>
    <x v="4"/>
    <m/>
    <m/>
    <s v="MEZCLA PRECOCIDA DE HOJUELAS DE AVENA, QUINUA Y KIWICHA CON SOYA Y MAÍZ CHUFLA FORTIFICADA CON VITAMINAS Y MINERALES"/>
  </r>
  <r>
    <x v="0"/>
    <x v="127"/>
    <x v="0"/>
    <x v="69"/>
    <x v="263"/>
    <x v="1"/>
    <n v="180.47200000000001"/>
    <x v="1"/>
    <x v="54"/>
    <n v="30.472000000000008"/>
    <x v="17"/>
    <d v="2026-01-17T00:00:00"/>
    <d v="2026-01-19T00:00:00"/>
    <s v="HOJUELAS PRECOCIDAS AZUCARADAS DE AVENA, CAÑIHUA, QUINUA, CEBADA, MACA, ALBUMINA DE HUEVO FORTIFICADA CON VITAMINAS Y MINERALES"/>
  </r>
  <r>
    <x v="0"/>
    <x v="127"/>
    <x v="1"/>
    <x v="69"/>
    <x v="264"/>
    <x v="1"/>
    <n v="163.00700000000001"/>
    <x v="1"/>
    <x v="54"/>
    <n v="13.007000000000005"/>
    <x v="17"/>
    <d v="2026-01-17T00:00:00"/>
    <d v="2026-01-19T00:00:00"/>
    <s v="HOJUELAS PRECOCIDAS AZUCARADAS DE AVENA, CAÑIHUA, QUINUA, CEBADA, MACA, ALBUMINA DE HUEVO FORTIFICADA CON VITAMINAS Y MINERALES"/>
  </r>
  <r>
    <x v="0"/>
    <x v="127"/>
    <x v="2"/>
    <x v="69"/>
    <x v="263"/>
    <x v="1"/>
    <n v="180.47200000000001"/>
    <x v="1"/>
    <x v="54"/>
    <n v="30.472000000000008"/>
    <x v="17"/>
    <d v="2026-01-17T00:00:00"/>
    <d v="2026-01-19T00:00:00"/>
    <s v="HOJUELAS PRECOCIDAS AZUCARADAS DE AVENA, CAÑIHUA, QUINUA, CEBADA, MACA, ALBUMINA DE HUEVO FORTIFICADA CON VITAMINAS Y MINERALES"/>
  </r>
  <r>
    <x v="0"/>
    <x v="127"/>
    <x v="3"/>
    <x v="91"/>
    <x v="265"/>
    <x v="1"/>
    <n v="174.65"/>
    <x v="1"/>
    <x v="54"/>
    <n v="24.650000000000006"/>
    <x v="38"/>
    <d v="2026-03-10T00:00:00"/>
    <d v="2026-03-11T00:00:00"/>
    <s v="HOJUELAS PRECOCIDAS AZUCARADAS DE AVENA, CAÑIHUA, QUINUA, CEBADA, MACA, ALBUMINA DE HUEVO FORTIFICADA CON VITAMINAS Y MINERALES"/>
  </r>
  <r>
    <x v="0"/>
    <x v="127"/>
    <x v="4"/>
    <x v="91"/>
    <x v="263"/>
    <x v="1"/>
    <n v="180.47200000000001"/>
    <x v="1"/>
    <x v="54"/>
    <n v="30.472000000000008"/>
    <x v="38"/>
    <d v="2026-03-10T00:00:00"/>
    <d v="2026-03-11T00:00:00"/>
    <s v="HOJUELAS PRECOCIDAS AZUCARADAS DE AVENA, CAÑIHUA, QUINUA, CEBADA, MACA, ALBUMINA DE HUEVO FORTIFICADA CON VITAMINAS Y MINERALES"/>
  </r>
  <r>
    <x v="0"/>
    <x v="127"/>
    <x v="5"/>
    <x v="91"/>
    <x v="265"/>
    <x v="1"/>
    <n v="174.65"/>
    <x v="1"/>
    <x v="54"/>
    <n v="24.650000000000006"/>
    <x v="38"/>
    <d v="2026-03-10T00:00:00"/>
    <d v="2026-03-11T00:00:00"/>
    <s v="HOJUELAS PRECOCIDAS AZUCARADAS DE AVENA, CAÑIHUA, QUINUA, CEBADA, MACA, ALBUMINA DE HUEVO FORTIFICADA CON VITAMINAS Y MINERALES"/>
  </r>
  <r>
    <x v="0"/>
    <x v="127"/>
    <x v="6"/>
    <x v="52"/>
    <x v="263"/>
    <x v="1"/>
    <n v="180.47200000000001"/>
    <x v="1"/>
    <x v="54"/>
    <n v="30.472000000000008"/>
    <x v="220"/>
    <d v="2026-05-29T00:00:00"/>
    <d v="2026-05-29T00:00:00"/>
    <s v="HOJUELAS PRECOCIDAS AZUCARADAS DE AVENA, CAÑIHUA, QUINUA, CEBADA, MACA, ALBUMINA DE HUEVO FORTIFICADA CON VITAMINAS Y MINERALES"/>
  </r>
  <r>
    <x v="0"/>
    <x v="127"/>
    <x v="7"/>
    <x v="210"/>
    <x v="263"/>
    <x v="1"/>
    <n v="180.47200000000001"/>
    <x v="1"/>
    <x v="54"/>
    <n v="30.472000000000008"/>
    <x v="220"/>
    <d v="2026-05-29T00:00:00"/>
    <d v="2026-05-29T00:00:00"/>
    <s v="HOJUELAS PRECOCIDAS AZUCARADAS DE AVENA, CAÑIHUA, QUINUA, CEBADA, MACA, ALBUMINA DE HUEVO FORTIFICADA CON VITAMINAS Y MINERALES"/>
  </r>
  <r>
    <x v="0"/>
    <x v="127"/>
    <x v="8"/>
    <x v="54"/>
    <x v="265"/>
    <x v="1"/>
    <n v="174.65"/>
    <x v="1"/>
    <x v="54"/>
    <n v="24.650000000000006"/>
    <x v="220"/>
    <d v="2026-05-29T00:00:00"/>
    <d v="2026-05-29T00:00:00"/>
    <s v="HOJUELAS PRECOCIDAS AZUCARADAS DE AVENA, CAÑIHUA, QUINUA, CEBADA, MACA, ALBUMINA DE HUEVO FORTIFICADA CON VITAMINAS Y MINERALES"/>
  </r>
  <r>
    <x v="0"/>
    <x v="127"/>
    <x v="9"/>
    <x v="29"/>
    <x v="263"/>
    <x v="1"/>
    <n v="180.47200000000001"/>
    <x v="1"/>
    <x v="54"/>
    <n v="30.472000000000008"/>
    <x v="221"/>
    <d v="2026-09-11T00:00:00"/>
    <m/>
    <s v="HOJUELAS PRECOCIDAS AZUCARADAS DE AVENA, CAÑIHUA, QUINUA, CEBADA, MACA, ALBUMINA DE HUEVO FORTIFICADA CON VITAMINAS Y MINERALES"/>
  </r>
  <r>
    <x v="0"/>
    <x v="127"/>
    <x v="10"/>
    <x v="29"/>
    <x v="265"/>
    <x v="1"/>
    <n v="174.65"/>
    <x v="1"/>
    <x v="54"/>
    <n v="24.650000000000006"/>
    <x v="221"/>
    <d v="2026-09-11T00:00:00"/>
    <m/>
    <s v="HOJUELAS PRECOCIDAS AZUCARADAS DE AVENA, CAÑIHUA, QUINUA, CEBADA, MACA, ALBUMINA DE HUEVO FORTIFICADA CON VITAMINAS Y MINERALES"/>
  </r>
  <r>
    <x v="0"/>
    <x v="127"/>
    <x v="11"/>
    <x v="29"/>
    <x v="263"/>
    <x v="1"/>
    <n v="180.47200000000001"/>
    <x v="1"/>
    <x v="54"/>
    <n v="30.472000000000008"/>
    <x v="221"/>
    <d v="2026-09-11T00:00:00"/>
    <m/>
    <s v="HOJUELAS PRECOCIDAS AZUCARADAS DE AVENA, CAÑIHUA, QUINUA, CEBADA, MACA, ALBUMINA DE HUEVO FORTIFICADA CON VITAMINAS Y MINERALES"/>
  </r>
  <r>
    <x v="0"/>
    <x v="128"/>
    <x v="0"/>
    <x v="211"/>
    <x v="266"/>
    <x v="1"/>
    <n v="2308"/>
    <x v="2"/>
    <x v="61"/>
    <n v="28"/>
    <x v="82"/>
    <d v="2025-12-06T00:00:00"/>
    <d v="2025-12-29T00:00:00"/>
    <s v="MEZCLA DE HOJUELAS PRECOCIDAS DE AVENA, QUINUA Y KIWICHA CON SOYA Y MAÍZ CHUFLA FORTIFICADA CON VITAMINAS Y MINERALES "/>
  </r>
  <r>
    <x v="0"/>
    <x v="128"/>
    <x v="1"/>
    <x v="47"/>
    <x v="266"/>
    <x v="1"/>
    <n v="2308"/>
    <x v="2"/>
    <x v="61"/>
    <n v="28"/>
    <x v="100"/>
    <d v="2026-01-23T00:00:00"/>
    <d v="2026-01-26T00:00:00"/>
    <s v="MEZCLA DE HOJUELAS PRECOCIDAS DE AVENA, QUINUA Y KIWICHA CON SOYA Y MAÍZ CHUFLA FORTIFICADA CON VITAMINAS Y MINERALES "/>
  </r>
  <r>
    <x v="0"/>
    <x v="128"/>
    <x v="2"/>
    <x v="152"/>
    <x v="266"/>
    <x v="1"/>
    <n v="2308"/>
    <x v="2"/>
    <x v="61"/>
    <n v="28"/>
    <x v="84"/>
    <d v="2026-02-20T00:00:00"/>
    <d v="2026-02-23T00:00:00"/>
    <s v="MEZCLA DE HOJUELAS PRECOCIDAS DE AVENA, QUINUA Y KIWICHA CON SOYA Y MAÍZ CHUFLA FORTIFICADA CON VITAMINAS Y MINERALES "/>
  </r>
  <r>
    <x v="0"/>
    <x v="128"/>
    <x v="3"/>
    <x v="91"/>
    <x v="266"/>
    <x v="1"/>
    <n v="2308"/>
    <x v="2"/>
    <x v="61"/>
    <n v="28"/>
    <x v="44"/>
    <d v="2026-03-23T00:00:00"/>
    <d v="2026-03-23T00:00:00"/>
    <s v="MEZCLA DE HOJUELAS PRECOCIDAS DE AVENA, QUINUA Y KIWICHA CON SOYA Y MAÍZ CHUFLA FORTIFICADA CON VITAMINAS Y MINERALES "/>
  </r>
  <r>
    <x v="0"/>
    <x v="128"/>
    <x v="4"/>
    <x v="108"/>
    <x v="266"/>
    <x v="1"/>
    <n v="2308"/>
    <x v="2"/>
    <x v="61"/>
    <n v="28"/>
    <x v="195"/>
    <d v="2026-04-23T00:00:00"/>
    <d v="2026-04-24T00:00:00"/>
    <s v="MEZCLA DE HOJUELAS PRECOCIDAS DE AVENA, QUINUA Y KIWICHA CON SOYA Y MAÍZ CHUFLA FORTIFICADA CON VITAMINAS Y MINERALES "/>
  </r>
  <r>
    <x v="0"/>
    <x v="128"/>
    <x v="5"/>
    <x v="113"/>
    <x v="266"/>
    <x v="1"/>
    <n v="2308"/>
    <x v="2"/>
    <x v="61"/>
    <n v="28"/>
    <x v="187"/>
    <d v="2026-05-12T00:00:00"/>
    <d v="2026-05-25T00:00:00"/>
    <s v="MEZCLA DE HOJUELAS PRECOCIDAS DE AVENA, QUINUA Y KIWICHA CON SOYA Y MAÍZ CHUFLA FORTIFICADA CON VITAMINAS Y MINERALES "/>
  </r>
  <r>
    <x v="0"/>
    <x v="128"/>
    <x v="6"/>
    <x v="52"/>
    <x v="266"/>
    <x v="1"/>
    <n v="2308"/>
    <x v="2"/>
    <x v="61"/>
    <n v="28"/>
    <x v="45"/>
    <d v="2026-06-23T00:00:00"/>
    <d v="2026-06-23T00:00:00"/>
    <s v="MEZCLA DE HOJUELAS PRECOCIDAS DE AVENA, QUINUA Y KIWICHA CON SOYA Y MAÍZ CHUFLA FORTIFICADA CON VITAMINAS Y MINERALES "/>
  </r>
  <r>
    <x v="0"/>
    <x v="128"/>
    <x v="7"/>
    <x v="53"/>
    <x v="266"/>
    <x v="1"/>
    <n v="2308"/>
    <x v="2"/>
    <x v="61"/>
    <n v="28"/>
    <x v="14"/>
    <d v="2026-07-22T00:00:00"/>
    <d v="2026-07-22T00:00:00"/>
    <s v="MEZCLA DE HOJUELAS PRECOCIDAS DE AVENA, QUINUA Y KIWICHA CON SOYA Y MAÍZ CHUFLA FORTIFICADA CON VITAMINAS Y MINERALES "/>
  </r>
  <r>
    <x v="0"/>
    <x v="128"/>
    <x v="12"/>
    <x v="110"/>
    <x v="267"/>
    <x v="1"/>
    <n v="1876"/>
    <x v="2"/>
    <x v="95"/>
    <n v="36"/>
    <x v="140"/>
    <d v="2026-08-24T00:00:00"/>
    <d v="2026-08-24T00:00:00"/>
    <s v="MEZCLA DE HOJUELAS PRECOCIDAS DE AVENA, QUINUA Y KIWICHA CON SOYA Y MAÍZ CHUFLA FORTIFICADA CON VITAMINAS Y MINERALES "/>
  </r>
  <r>
    <x v="0"/>
    <x v="128"/>
    <x v="8"/>
    <x v="54"/>
    <x v="266"/>
    <x v="1"/>
    <n v="2308"/>
    <x v="2"/>
    <x v="61"/>
    <n v="28"/>
    <x v="140"/>
    <d v="2026-08-24T00:00:00"/>
    <d v="2026-08-24T00:00:00"/>
    <s v="MEZCLA DE HOJUELAS PRECOCIDAS DE AVENA, QUINUA Y KIWICHA CON SOYA Y MAÍZ CHUFLA FORTIFICADA CON VITAMINAS Y MINERALES "/>
  </r>
  <r>
    <x v="0"/>
    <x v="128"/>
    <x v="9"/>
    <x v="29"/>
    <x v="266"/>
    <x v="1"/>
    <n v="2308"/>
    <x v="2"/>
    <x v="61"/>
    <n v="28"/>
    <x v="4"/>
    <m/>
    <m/>
    <s v="MEZCLA DE HOJUELAS PRECOCIDAS DE AVENA, QUINUA Y KIWICHA CON SOYA Y MAÍZ CHUFLA FORTIFICADA CON VITAMINAS Y MINERALES "/>
  </r>
  <r>
    <x v="0"/>
    <x v="128"/>
    <x v="10"/>
    <x v="112"/>
    <x v="266"/>
    <x v="1"/>
    <n v="2308"/>
    <x v="2"/>
    <x v="61"/>
    <n v="28"/>
    <x v="4"/>
    <m/>
    <m/>
    <s v="MEZCLA DE HOJUELAS PRECOCIDAS DE AVENA, QUINUA Y KIWICHA CON SOYA Y MAÍZ CHUFLA FORTIFICADA CON VITAMINAS Y MINERALES "/>
  </r>
  <r>
    <x v="0"/>
    <x v="128"/>
    <x v="11"/>
    <x v="161"/>
    <x v="266"/>
    <x v="1"/>
    <n v="2308"/>
    <x v="2"/>
    <x v="61"/>
    <n v="28"/>
    <x v="4"/>
    <m/>
    <m/>
    <s v="MEZCLA DE HOJUELAS PRECOCIDAS DE AVENA, QUINUA Y KIWICHA CON SOYA Y MAÍZ CHUFLA FORTIFICADA CON VITAMINAS Y MINERALES "/>
  </r>
  <r>
    <x v="0"/>
    <x v="129"/>
    <x v="0"/>
    <x v="117"/>
    <x v="268"/>
    <x v="103"/>
    <n v="2394.3042500000001"/>
    <x v="8"/>
    <x v="114"/>
    <n v="13"/>
    <x v="111"/>
    <d v="2025-12-17T00:00:00"/>
    <d v="2026-12-30T00:00:00"/>
    <s v="HOJUELA DE AVENA, QUINUA, KIWICHA, SABOR A VAINILLA, ENRIQUECIDA CON VITAMINAS Y MINERALES"/>
  </r>
  <r>
    <x v="0"/>
    <x v="129"/>
    <x v="1"/>
    <x v="77"/>
    <x v="268"/>
    <x v="103"/>
    <n v="2394.3042500000001"/>
    <x v="8"/>
    <x v="114"/>
    <n v="13"/>
    <x v="121"/>
    <d v="2026-01-10T00:00:00"/>
    <d v="2026-01-12T00:00:00"/>
    <s v="HOJUELA DE AVENA, QUINUA, KIWICHA, SABOR A VAINILLA, ENRIQUECIDA CON VITAMINAS Y MINERALES"/>
  </r>
  <r>
    <x v="0"/>
    <x v="129"/>
    <x v="2"/>
    <x v="193"/>
    <x v="268"/>
    <x v="103"/>
    <n v="2394.3042500000001"/>
    <x v="8"/>
    <x v="114"/>
    <n v="13"/>
    <x v="205"/>
    <d v="2026-02-14T00:00:00"/>
    <d v="2026-02-15T00:00:00"/>
    <s v="HOJUELA DE AVENA, QUINUA, KIWICHA, SABOR A VAINILLA, ENRIQUECIDA CON VITAMINAS Y MINERALES"/>
  </r>
  <r>
    <x v="0"/>
    <x v="129"/>
    <x v="3"/>
    <x v="25"/>
    <x v="268"/>
    <x v="103"/>
    <n v="2394.3042500000001"/>
    <x v="8"/>
    <x v="114"/>
    <n v="13"/>
    <x v="49"/>
    <d v="2026-03-14T00:00:00"/>
    <d v="2026-03-15T00:00:00"/>
    <s v="HOJUELA DE AVENA, QUINUA, KIWICHA, SABOR A VAINILLA, ENRIQUECIDA CON VITAMINAS Y MINERALES"/>
  </r>
  <r>
    <x v="0"/>
    <x v="129"/>
    <x v="4"/>
    <x v="212"/>
    <x v="268"/>
    <x v="103"/>
    <n v="2394.3042500000001"/>
    <x v="8"/>
    <x v="114"/>
    <n v="13"/>
    <x v="169"/>
    <d v="2026-04-13T00:00:00"/>
    <d v="2026-04-19T00:00:00"/>
    <s v="HOJUELA DE AVENA, QUINUA, KIWICHA, SABOR A VAINILLA, ENRIQUECIDA CON VITAMINAS Y MINERALES"/>
  </r>
  <r>
    <x v="0"/>
    <x v="129"/>
    <x v="5"/>
    <x v="213"/>
    <x v="268"/>
    <x v="103"/>
    <n v="2394.3042500000001"/>
    <x v="8"/>
    <x v="114"/>
    <n v="13"/>
    <x v="86"/>
    <d v="2026-05-11T00:00:00"/>
    <d v="2026-05-17T00:00:00"/>
    <s v="HOJUELA DE AVENA, QUINUA, KIWICHA, SABOR A VAINILLA, ENRIQUECIDA CON VITAMINAS Y MINERALES"/>
  </r>
  <r>
    <x v="0"/>
    <x v="129"/>
    <x v="6"/>
    <x v="180"/>
    <x v="268"/>
    <x v="103"/>
    <n v="2394.3042500000001"/>
    <x v="8"/>
    <x v="114"/>
    <n v="13"/>
    <x v="222"/>
    <d v="2026-06-11T00:00:00"/>
    <d v="2026-06-11T00:00:00"/>
    <s v="HOJUELA DE AVENA, QUINUA, KIWICHA, SABOR A VAINILLA, ENRIQUECIDA CON VITAMINAS Y MINERALES"/>
  </r>
  <r>
    <x v="0"/>
    <x v="129"/>
    <x v="7"/>
    <x v="177"/>
    <x v="268"/>
    <x v="103"/>
    <n v="2394.3042500000001"/>
    <x v="8"/>
    <x v="114"/>
    <n v="13"/>
    <x v="141"/>
    <d v="2026-07-13T00:00:00"/>
    <d v="2026-07-13T00:00:00"/>
    <s v="HOJUELA DE AVENA, QUINUA, KIWICHA, SABOR A VAINILLA, ENRIQUECIDA CON VITAMINAS Y MINERALES"/>
  </r>
  <r>
    <x v="0"/>
    <x v="129"/>
    <x v="8"/>
    <x v="214"/>
    <x v="268"/>
    <x v="103"/>
    <n v="2394.3042500000001"/>
    <x v="8"/>
    <x v="114"/>
    <n v="13"/>
    <x v="9"/>
    <d v="2026-08-07T00:00:00"/>
    <d v="2026-08-09T00:00:00"/>
    <s v="HOJUELA DE AVENA, QUINUA, KIWICHA, SABOR A VAINILLA, ENRIQUECIDA CON VITAMINAS Y MINERALES"/>
  </r>
  <r>
    <x v="0"/>
    <x v="129"/>
    <x v="9"/>
    <x v="111"/>
    <x v="268"/>
    <x v="103"/>
    <n v="2394.3042500000001"/>
    <x v="8"/>
    <x v="114"/>
    <n v="13"/>
    <x v="4"/>
    <m/>
    <m/>
    <s v="HOJUELA DE AVENA, QUINUA, KIWICHA, SABOR A VAINILLA, ENRIQUECIDA CON VITAMINAS Y MINERALES"/>
  </r>
  <r>
    <x v="0"/>
    <x v="129"/>
    <x v="10"/>
    <x v="208"/>
    <x v="268"/>
    <x v="103"/>
    <n v="2394.3042500000001"/>
    <x v="8"/>
    <x v="114"/>
    <n v="13"/>
    <x v="4"/>
    <m/>
    <m/>
    <s v="HOJUELA DE AVENA, QUINUA, KIWICHA, SABOR A VAINILLA, ENRIQUECIDA CON VITAMINAS Y MINERALES"/>
  </r>
  <r>
    <x v="0"/>
    <x v="129"/>
    <x v="11"/>
    <x v="209"/>
    <x v="269"/>
    <x v="103"/>
    <n v="2395.7440000000001"/>
    <x v="8"/>
    <x v="114"/>
    <n v="14"/>
    <x v="4"/>
    <m/>
    <m/>
    <s v="HOJUELA DE AVENA, QUINUA, KIWICHA, SABOR A VAINILLA, ENRIQUECIDA CON VITAMINAS Y MINERALES"/>
  </r>
  <r>
    <x v="0"/>
    <x v="130"/>
    <x v="16"/>
    <x v="163"/>
    <x v="270"/>
    <x v="1"/>
    <n v="351"/>
    <x v="1"/>
    <x v="67"/>
    <n v="1"/>
    <x v="5"/>
    <d v="2026-01-29T00:00:00"/>
    <d v="2026-01-29T00:00:00"/>
    <s v="HOJUELAS PRECOCIDAS AZUCARADAS DE AVENA, CAÑIHUA, QUINUA, CEBADA, MACA, ALBUMINA DE HUEVO FORTIFICADA CON VITAMINAS Y MINERALES"/>
  </r>
  <r>
    <x v="0"/>
    <x v="130"/>
    <x v="17"/>
    <x v="91"/>
    <x v="271"/>
    <x v="1"/>
    <n v="353"/>
    <x v="1"/>
    <x v="67"/>
    <n v="3"/>
    <x v="38"/>
    <d v="2026-03-10T00:00:00"/>
    <d v="2026-03-11T00:00:00"/>
    <s v="HOJUELAS PRECOCIDAS AZUCARADAS DE AVENA, CAÑIHUA, QUINUA, CEBADA, MACA, ALBUMINA DE HUEVO FORTIFICADA CON VITAMINAS Y MINERALES"/>
  </r>
  <r>
    <x v="0"/>
    <x v="130"/>
    <x v="18"/>
    <x v="52"/>
    <x v="272"/>
    <x v="1"/>
    <n v="358"/>
    <x v="1"/>
    <x v="67"/>
    <n v="8"/>
    <x v="220"/>
    <d v="2026-05-29T00:00:00"/>
    <d v="2026-05-29T00:00:00"/>
    <s v="HOJUELAS PRECOCIDAS AZUCARADAS DE AVENA, CAÑIHUA, QUINUA, CEBADA, MACA, ALBUMINA DE HUEVO FORTIFICADA CON VITAMINAS Y MINERALES"/>
  </r>
  <r>
    <x v="0"/>
    <x v="130"/>
    <x v="19"/>
    <x v="215"/>
    <x v="272"/>
    <x v="1"/>
    <n v="358"/>
    <x v="1"/>
    <x v="67"/>
    <n v="8"/>
    <x v="4"/>
    <m/>
    <m/>
    <s v="HOJUELAS PRECOCIDAS AZUCARADAS DE AVENA, CAÑIHUA, QUINUA, CEBADA, MACA, ALBUMINA DE HUEVO FORTIFICADA CON VITAMINAS Y MINERALES"/>
  </r>
  <r>
    <x v="1"/>
    <x v="131"/>
    <x v="12"/>
    <x v="216"/>
    <x v="273"/>
    <x v="104"/>
    <n v="178.63410999999999"/>
    <x v="1"/>
    <x v="55"/>
    <n v="33"/>
    <x v="82"/>
    <d v="2025-12-06T00:00:00"/>
    <d v="2025-12-10T00:00:00"/>
    <s v="HOJUELAS PRECOCIDAS DE AVENA, QUINUA, KIWICHA FORTIFICADA CON VITAMINAS Y MINERALES"/>
  </r>
  <r>
    <x v="0"/>
    <x v="131"/>
    <x v="0"/>
    <x v="30"/>
    <x v="274"/>
    <x v="104"/>
    <n v="1652.9405199999999"/>
    <x v="1"/>
    <x v="115"/>
    <n v="6"/>
    <x v="209"/>
    <d v="2025-12-05T00:00:00"/>
    <d v="2025-12-10T00:00:00"/>
    <s v="HOJUELAS PRECOCIDAS DE AVENA, QUINUA, KIWICHA FORTIFICADA CON VITAMINAS Y MINERALES"/>
  </r>
  <r>
    <x v="0"/>
    <x v="131"/>
    <x v="1"/>
    <x v="30"/>
    <x v="274"/>
    <x v="104"/>
    <n v="1652.9405199999999"/>
    <x v="1"/>
    <x v="115"/>
    <n v="6"/>
    <x v="209"/>
    <d v="2025-12-05T00:00:00"/>
    <d v="2025-12-10T00:00:00"/>
    <s v="HOJUELAS PRECOCIDAS DE AVENA, QUINUA, KIWICHA FORTIFICADA CON VITAMINAS Y MINERALES"/>
  </r>
  <r>
    <x v="0"/>
    <x v="131"/>
    <x v="2"/>
    <x v="217"/>
    <x v="274"/>
    <x v="104"/>
    <n v="1652.9405199999999"/>
    <x v="1"/>
    <x v="115"/>
    <n v="6"/>
    <x v="205"/>
    <d v="2026-02-14T00:00:00"/>
    <d v="2026-02-15T00:00:00"/>
    <s v="HOJUELAS PRECOCIDAS DE AVENA, QUINUA, KIWICHA FORTIFICADA CON VITAMINAS Y MINERALES"/>
  </r>
  <r>
    <x v="0"/>
    <x v="131"/>
    <x v="3"/>
    <x v="217"/>
    <x v="274"/>
    <x v="104"/>
    <n v="1652.9405199999999"/>
    <x v="1"/>
    <x v="115"/>
    <n v="6"/>
    <x v="205"/>
    <d v="2026-02-14T00:00:00"/>
    <d v="2026-02-15T00:00:00"/>
    <s v="HOJUELAS PRECOCIDAS DE AVENA, QUINUA, KIWICHA FORTIFICADA CON VITAMINAS Y MINERALES"/>
  </r>
  <r>
    <x v="0"/>
    <x v="131"/>
    <x v="4"/>
    <x v="26"/>
    <x v="274"/>
    <x v="104"/>
    <n v="1652.9405199999999"/>
    <x v="1"/>
    <x v="115"/>
    <n v="6"/>
    <x v="223"/>
    <d v="2026-04-10T00:00:00"/>
    <d v="2026-04-23T00:00:00"/>
    <s v="HOJUELAS PRECOCIDAS DE AVENA, QUINUA, KIWICHA FORTIFICADA CON VITAMINAS Y MINERALES"/>
  </r>
  <r>
    <x v="0"/>
    <x v="131"/>
    <x v="5"/>
    <x v="26"/>
    <x v="274"/>
    <x v="104"/>
    <n v="1652.9405199999999"/>
    <x v="1"/>
    <x v="115"/>
    <n v="6"/>
    <x v="223"/>
    <d v="2026-04-10T00:00:00"/>
    <d v="2026-04-23T00:00:00"/>
    <s v="HOJUELAS PRECOCIDAS DE AVENA, QUINUA, KIWICHA FORTIFICADA CON VITAMINAS Y MINERALES"/>
  </r>
  <r>
    <x v="0"/>
    <x v="131"/>
    <x v="6"/>
    <x v="109"/>
    <x v="274"/>
    <x v="104"/>
    <n v="1652.9405199999999"/>
    <x v="1"/>
    <x v="115"/>
    <n v="6"/>
    <x v="188"/>
    <d v="2026-06-14T00:00:00"/>
    <d v="2026-06-14T00:00:00"/>
    <s v="HOJUELAS PRECOCIDAS DE AVENA, QUINUA, KIWICHA FORTIFICADA CON VITAMINAS Y MINERALES"/>
  </r>
  <r>
    <x v="0"/>
    <x v="131"/>
    <x v="7"/>
    <x v="109"/>
    <x v="274"/>
    <x v="104"/>
    <n v="1652.9405199999999"/>
    <x v="1"/>
    <x v="115"/>
    <n v="6"/>
    <x v="188"/>
    <d v="2026-06-14T00:00:00"/>
    <d v="2026-06-14T00:00:00"/>
    <s v="HOJUELAS PRECOCIDAS DE AVENA, QUINUA, KIWICHA FORTIFICADA CON VITAMINAS Y MINERALES"/>
  </r>
  <r>
    <x v="0"/>
    <x v="131"/>
    <x v="8"/>
    <x v="28"/>
    <x v="274"/>
    <x v="104"/>
    <n v="1652.9405199999999"/>
    <x v="1"/>
    <x v="115"/>
    <n v="6"/>
    <x v="15"/>
    <d v="2026-08-10T00:00:00"/>
    <d v="2026-08-17T00:00:00"/>
    <s v="HOJUELAS PRECOCIDAS DE AVENA, QUINUA, KIWICHA FORTIFICADA CON VITAMINAS Y MINERALES"/>
  </r>
  <r>
    <x v="0"/>
    <x v="131"/>
    <x v="9"/>
    <x v="28"/>
    <x v="274"/>
    <x v="104"/>
    <n v="1652.9405199999999"/>
    <x v="1"/>
    <x v="115"/>
    <n v="6"/>
    <x v="15"/>
    <d v="2026-08-10T00:00:00"/>
    <d v="2026-08-17T00:00:00"/>
    <s v="HOJUELAS PRECOCIDAS DE AVENA, QUINUA, KIWICHA FORTIFICADA CON VITAMINAS Y MINERALES"/>
  </r>
  <r>
    <x v="0"/>
    <x v="131"/>
    <x v="10"/>
    <x v="35"/>
    <x v="274"/>
    <x v="104"/>
    <n v="1652.9405199999999"/>
    <x v="1"/>
    <x v="115"/>
    <n v="6"/>
    <x v="4"/>
    <m/>
    <m/>
    <s v="HOJUELAS PRECOCIDAS DE AVENA, QUINUA, KIWICHA FORTIFICADA CON VITAMINAS Y MINERALES"/>
  </r>
  <r>
    <x v="0"/>
    <x v="131"/>
    <x v="11"/>
    <x v="35"/>
    <x v="274"/>
    <x v="104"/>
    <n v="1652.9405199999999"/>
    <x v="1"/>
    <x v="115"/>
    <n v="6"/>
    <x v="4"/>
    <m/>
    <m/>
    <s v="HOJUELAS PRECOCIDAS DE AVENA, QUINUA, KIWICHA FORTIFICADA CON VITAMINAS Y MINERALES"/>
  </r>
  <r>
    <x v="4"/>
    <x v="132"/>
    <x v="12"/>
    <x v="87"/>
    <x v="275"/>
    <x v="1"/>
    <n v="726"/>
    <x v="2"/>
    <x v="0"/>
    <n v="6"/>
    <x v="119"/>
    <d v="2026-04-08T00:00:00"/>
    <d v="2026-04-08T00:00:00"/>
    <s v="MEZCLA DE HARINA DE SIETE SEMILLAS (TRIGO, HABAS, ARVEJAS, KIWICHA, CAÑIHUA, CEBADA, QUINUA) CON HARINA DE PLATANO ENRIQUECIDA CON VITAMINAS Y MINERALES"/>
  </r>
  <r>
    <x v="4"/>
    <x v="132"/>
    <x v="12"/>
    <x v="8"/>
    <x v="276"/>
    <x v="1"/>
    <n v="370"/>
    <x v="2"/>
    <x v="76"/>
    <n v="10"/>
    <x v="120"/>
    <d v="2026-07-03T00:00:00"/>
    <d v="2026-07-03T00:00:00"/>
    <s v="MEZCLA DE HARINA DE SIETE SEMILLAS (TRIGO, HABAS, ARVEJAS, KIWICHA, CAÑIHUA, CEBADA, QUINUA) CON HARINA DE PLATANO ENRIQUECIDA CON VITAMINAS Y MINERALES"/>
  </r>
  <r>
    <x v="4"/>
    <x v="132"/>
    <x v="12"/>
    <x v="107"/>
    <x v="277"/>
    <x v="1"/>
    <n v="400"/>
    <x v="2"/>
    <x v="2"/>
    <n v="0"/>
    <x v="4"/>
    <m/>
    <m/>
    <s v="MEZCLA DE HARINA DE SIETE SEMILLAS (TRIGO, HABAS, ARVEJAS, KIWICHA, CAÑIHUA, CEBADA, QUINUA) CON HARINA DE PLATANO ENRIQUECIDA CON VITAMINAS Y MINERALES"/>
  </r>
  <r>
    <x v="0"/>
    <x v="133"/>
    <x v="57"/>
    <x v="15"/>
    <x v="278"/>
    <x v="105"/>
    <n v="6148.7999999999993"/>
    <x v="1"/>
    <x v="116"/>
    <n v="0"/>
    <x v="81"/>
    <d v="2026-09-01T00:00:00"/>
    <d v="2026-09-02T00:00:00"/>
    <s v="HOJUELAS DE AVENA, QUINUA Y KIWICHA FORTIFICADA CON VITAMINAS Y MINERALES"/>
  </r>
  <r>
    <x v="0"/>
    <x v="133"/>
    <x v="23"/>
    <x v="16"/>
    <x v="279"/>
    <x v="105"/>
    <n v="1537.1999999999998"/>
    <x v="1"/>
    <x v="5"/>
    <n v="0"/>
    <x v="4"/>
    <m/>
    <m/>
    <s v="HOJUELAS DE AVENA, QUINUA Y KIWICHA FORTIFICADA CON VITAMINAS Y MINERALES"/>
  </r>
  <r>
    <x v="0"/>
    <x v="133"/>
    <x v="10"/>
    <x v="17"/>
    <x v="109"/>
    <x v="105"/>
    <n v="768.59999999999991"/>
    <x v="1"/>
    <x v="1"/>
    <n v="0"/>
    <x v="4"/>
    <m/>
    <m/>
    <s v="HOJUELAS DE AVENA, QUINUA Y KIWICHA FORTIFICADA CON VITAMINAS Y MINERALES"/>
  </r>
  <r>
    <x v="0"/>
    <x v="133"/>
    <x v="11"/>
    <x v="18"/>
    <x v="109"/>
    <x v="105"/>
    <n v="768.59999999999991"/>
    <x v="1"/>
    <x v="1"/>
    <n v="0"/>
    <x v="4"/>
    <m/>
    <m/>
    <s v="HOJUELAS DE AVENA, QUINUA Y KIWICHA FORTIFICADA CON VITAMINAS Y MINERALES"/>
  </r>
  <r>
    <x v="0"/>
    <x v="134"/>
    <x v="12"/>
    <x v="28"/>
    <x v="280"/>
    <x v="106"/>
    <n v="987.30720000000008"/>
    <x v="9"/>
    <x v="21"/>
    <n v="4"/>
    <x v="156"/>
    <d v="2026-08-18T00:00:00"/>
    <d v="2026-08-19T00:00:00"/>
    <s v="MEZCLA DE HOJUELAS PRECOCIDAS DE AVENA, QUINUA, TRIGO, KIWICHA O AMARANTO, CEBADA CON MACA Y AJONJOLÍ FORTIFICADAS CON VITAMINAS Y MINERALES"/>
  </r>
  <r>
    <x v="0"/>
    <x v="135"/>
    <x v="16"/>
    <x v="218"/>
    <x v="281"/>
    <x v="107"/>
    <n v="2258.6288400000003"/>
    <x v="1"/>
    <x v="50"/>
    <n v="2"/>
    <x v="198"/>
    <d v="2025-12-27T00:00:00"/>
    <d v="2026-12-27T00:00:00"/>
    <s v="HOJUELAS PRECOCIDAS DE KIWICHA, QUINUA Y AVENA, CON MAÍZ CHUFLA, HARINAS DE MACA Y SOYA, FORTIFICADAS CON VITAMINAS Y MINERALES "/>
  </r>
  <r>
    <x v="0"/>
    <x v="135"/>
    <x v="17"/>
    <x v="91"/>
    <x v="281"/>
    <x v="107"/>
    <n v="2258.6288400000003"/>
    <x v="1"/>
    <x v="50"/>
    <n v="2"/>
    <x v="95"/>
    <d v="2026-03-25T00:00:00"/>
    <d v="2026-03-25T00:00:00"/>
    <s v="HOJUELAS PRECOCIDAS DE KIWICHA, QUINUA Y AVENA, CON MAÍZ CHUFLA, HARINAS DE MACA Y SOYA, FORTIFICADAS CON VITAMINAS Y MINERALES "/>
  </r>
  <r>
    <x v="0"/>
    <x v="135"/>
    <x v="18"/>
    <x v="124"/>
    <x v="281"/>
    <x v="107"/>
    <n v="2258.6288400000003"/>
    <x v="1"/>
    <x v="50"/>
    <n v="2"/>
    <x v="70"/>
    <d v="2026-06-22T00:00:00"/>
    <d v="2026-06-22T00:00:00"/>
    <s v="HOJUELAS PRECOCIDAS DE KIWICHA, QUINUA Y AVENA, CON MAÍZ CHUFLA, HARINAS DE MACA Y SOYA, FORTIFICADAS CON VITAMINAS Y MINERALES "/>
  </r>
  <r>
    <x v="0"/>
    <x v="135"/>
    <x v="12"/>
    <x v="191"/>
    <x v="282"/>
    <x v="108"/>
    <n v="818.19504000000006"/>
    <x v="9"/>
    <x v="44"/>
    <n v="29"/>
    <x v="15"/>
    <d v="2026-08-10T00:00:00"/>
    <d v="2026-08-10T00:00:00"/>
    <s v="HOJUELAS PRECOCIDAS DE KIWICHA, QUINUA Y AVENA, CON MAÍZ CHUFLA, HARINAS DE MACA Y SOYA, FORTIFICADAS CON VITAMINAS Y MINERALES "/>
  </r>
  <r>
    <x v="0"/>
    <x v="135"/>
    <x v="19"/>
    <x v="165"/>
    <x v="283"/>
    <x v="107"/>
    <n v="2277.8510319000002"/>
    <x v="1"/>
    <x v="50"/>
    <n v="24.570000000000164"/>
    <x v="4"/>
    <m/>
    <m/>
    <s v="HOJUELAS PRECOCIDAS DE KIWICHA, QUINUA Y AVENA, CON MAÍZ CHUFLA, HARINAS DE MACA Y SOYA, FORTIFICADAS CON VITAMINAS Y MINERALES "/>
  </r>
  <r>
    <x v="0"/>
    <x v="136"/>
    <x v="0"/>
    <x v="219"/>
    <x v="19"/>
    <x v="109"/>
    <n v="335.08799999999997"/>
    <x v="3"/>
    <x v="67"/>
    <n v="30"/>
    <x v="197"/>
    <d v="2026-01-31T00:00:00"/>
    <d v="2026-02-03T00:00:00"/>
    <s v="MEZCLA DE HOJUELAS PRECOCIDAS DE AVENA, QUINUA, KIWICHA, MACA FREJOL TARWI, GARBANZO Y SOYA, FORTIFICADA CON VITAMINAS Y MINERALES."/>
  </r>
  <r>
    <x v="0"/>
    <x v="136"/>
    <x v="1"/>
    <x v="162"/>
    <x v="19"/>
    <x v="109"/>
    <n v="335.08799999999997"/>
    <x v="3"/>
    <x v="67"/>
    <n v="30"/>
    <x v="197"/>
    <d v="2026-01-31T00:00:00"/>
    <d v="2026-02-03T00:00:00"/>
    <s v="MEZCLA DE HOJUELAS PRECOCIDAS DE AVENA, QUINUA, KIWICHA, MACA FREJOL TARWI, GARBANZO Y SOYA, FORTIFICADA CON VITAMINAS Y MINERALES."/>
  </r>
  <r>
    <x v="0"/>
    <x v="136"/>
    <x v="2"/>
    <x v="66"/>
    <x v="19"/>
    <x v="109"/>
    <n v="335.08799999999997"/>
    <x v="3"/>
    <x v="67"/>
    <n v="30"/>
    <x v="79"/>
    <d v="2026-03-05T00:00:00"/>
    <d v="2026-03-12T00:00:00"/>
    <s v="MEZCLA DE HOJUELAS PRECOCIDAS DE AVENA, QUINUA, KIWICHA, MACA FREJOL TARWI, GARBANZO Y SOYA, FORTIFICADA CON VITAMINAS Y MINERALES."/>
  </r>
  <r>
    <x v="0"/>
    <x v="136"/>
    <x v="3"/>
    <x v="66"/>
    <x v="19"/>
    <x v="109"/>
    <n v="335.08799999999997"/>
    <x v="3"/>
    <x v="67"/>
    <n v="30"/>
    <x v="79"/>
    <d v="2026-03-05T00:00:00"/>
    <d v="2026-03-12T00:00:00"/>
    <s v="MEZCLA DE HOJUELAS PRECOCIDAS DE AVENA, QUINUA, KIWICHA, MACA FREJOL TARWI, GARBANZO Y SOYA, FORTIFICADA CON VITAMINAS Y MINERALES."/>
  </r>
  <r>
    <x v="0"/>
    <x v="136"/>
    <x v="4"/>
    <x v="66"/>
    <x v="19"/>
    <x v="109"/>
    <n v="335.08799999999997"/>
    <x v="3"/>
    <x v="67"/>
    <n v="30"/>
    <x v="79"/>
    <d v="2026-03-05T00:00:00"/>
    <d v="2026-03-12T00:00:00"/>
    <s v="MEZCLA DE HOJUELAS PRECOCIDAS DE AVENA, QUINUA, KIWICHA, MACA FREJOL TARWI, GARBANZO Y SOYA, FORTIFICADA CON VITAMINAS Y MINERALES."/>
  </r>
  <r>
    <x v="0"/>
    <x v="136"/>
    <x v="5"/>
    <x v="66"/>
    <x v="19"/>
    <x v="109"/>
    <n v="335.08799999999997"/>
    <x v="3"/>
    <x v="67"/>
    <n v="30"/>
    <x v="79"/>
    <d v="2026-03-05T00:00:00"/>
    <d v="2026-03-12T00:00:00"/>
    <s v="MEZCLA DE HOJUELAS PRECOCIDAS DE AVENA, QUINUA, KIWICHA, MACA FREJOL TARWI, GARBANZO Y SOYA, FORTIFICADA CON VITAMINAS Y MINERALES."/>
  </r>
  <r>
    <x v="0"/>
    <x v="136"/>
    <x v="6"/>
    <x v="220"/>
    <x v="19"/>
    <x v="109"/>
    <n v="335.08799999999997"/>
    <x v="3"/>
    <x v="67"/>
    <n v="30"/>
    <x v="220"/>
    <d v="2026-05-29T00:00:00"/>
    <d v="2026-06-26T00:00:00"/>
    <s v="MEZCLA DE HOJUELAS PRECOCIDAS DE AVENA, QUINUA, KIWICHA, MACA FREJOL TARWI, GARBANZO Y SOYA, FORTIFICADA CON VITAMINAS Y MINERALES."/>
  </r>
  <r>
    <x v="0"/>
    <x v="136"/>
    <x v="7"/>
    <x v="220"/>
    <x v="19"/>
    <x v="109"/>
    <n v="335.08799999999997"/>
    <x v="3"/>
    <x v="67"/>
    <n v="30"/>
    <x v="220"/>
    <d v="2026-05-29T00:00:00"/>
    <d v="2026-06-26T00:00:00"/>
    <s v="MEZCLA DE HOJUELAS PRECOCIDAS DE AVENA, QUINUA, KIWICHA, MACA FREJOL TARWI, GARBANZO Y SOYA, FORTIFICADA CON VITAMINAS Y MINERALES."/>
  </r>
  <r>
    <x v="0"/>
    <x v="136"/>
    <x v="8"/>
    <x v="220"/>
    <x v="19"/>
    <x v="109"/>
    <n v="335.08799999999997"/>
    <x v="3"/>
    <x v="67"/>
    <n v="30"/>
    <x v="220"/>
    <d v="2026-05-29T00:00:00"/>
    <d v="2026-06-26T00:00:00"/>
    <s v="MEZCLA DE HOJUELAS PRECOCIDAS DE AVENA, QUINUA, KIWICHA, MACA FREJOL TARWI, GARBANZO Y SOYA, FORTIFICADA CON VITAMINAS Y MINERALES."/>
  </r>
  <r>
    <x v="0"/>
    <x v="136"/>
    <x v="9"/>
    <x v="16"/>
    <x v="19"/>
    <x v="109"/>
    <n v="335.08799999999997"/>
    <x v="3"/>
    <x v="67"/>
    <n v="30"/>
    <x v="4"/>
    <m/>
    <m/>
    <s v="MEZCLA DE HOJUELAS PRECOCIDAS DE AVENA, QUINUA, KIWICHA, MACA FREJOL TARWI, GARBANZO Y SOYA, FORTIFICADA CON VITAMINAS Y MINERALES."/>
  </r>
  <r>
    <x v="0"/>
    <x v="136"/>
    <x v="10"/>
    <x v="16"/>
    <x v="19"/>
    <x v="109"/>
    <n v="335.08799999999997"/>
    <x v="3"/>
    <x v="67"/>
    <n v="30"/>
    <x v="4"/>
    <m/>
    <m/>
    <s v="MEZCLA DE HOJUELAS PRECOCIDAS DE AVENA, QUINUA, KIWICHA, MACA FREJOL TARWI, GARBANZO Y SOYA, FORTIFICADA CON VITAMINAS Y MINERALES."/>
  </r>
  <r>
    <x v="0"/>
    <x v="136"/>
    <x v="11"/>
    <x v="16"/>
    <x v="19"/>
    <x v="109"/>
    <n v="335.08799999999997"/>
    <x v="3"/>
    <x v="67"/>
    <n v="30"/>
    <x v="4"/>
    <m/>
    <m/>
    <s v="MEZCLA DE HOJUELAS PRECOCIDAS DE AVENA, QUINUA, KIWICHA, MACA FREJOL TARWI, GARBANZO Y SOYA, FORTIFICADA CON VITAMINAS Y MINERALES."/>
  </r>
  <r>
    <x v="0"/>
    <x v="137"/>
    <x v="29"/>
    <x v="5"/>
    <x v="284"/>
    <x v="110"/>
    <n v="2394.0461439999999"/>
    <x v="2"/>
    <x v="50"/>
    <n v="24"/>
    <x v="74"/>
    <d v="2026-02-07T00:00:00"/>
    <d v="2026-02-09T00:00:00"/>
    <s v="MEZCLA DE HOJUELAS PRECOCIDAS DE AVENA, KIWICHA, QUINUA, CEBADA, SOYA Y AZÚCAR FORTIFICADO CON VITAMINAS Y MINERALES "/>
  </r>
  <r>
    <x v="0"/>
    <x v="137"/>
    <x v="30"/>
    <x v="48"/>
    <x v="284"/>
    <x v="110"/>
    <n v="2394.0461439999999"/>
    <x v="2"/>
    <x v="50"/>
    <n v="24"/>
    <x v="67"/>
    <d v="2026-02-16T00:00:00"/>
    <d v="2026-02-18T00:00:00"/>
    <s v="MEZCLA DE HOJUELAS PRECOCIDAS DE AVENA, KIWICHA, QUINUA, CEBADA, SOYA Y AZÚCAR FORTIFICADO CON VITAMINAS Y MINERALES "/>
  </r>
  <r>
    <x v="0"/>
    <x v="137"/>
    <x v="21"/>
    <x v="1"/>
    <x v="284"/>
    <x v="110"/>
    <n v="2394.0461439999999"/>
    <x v="2"/>
    <x v="50"/>
    <n v="24"/>
    <x v="25"/>
    <d v="2026-04-16T00:00:00"/>
    <d v="2026-04-16T00:00:00"/>
    <s v="MEZCLA DE HOJUELAS PRECOCIDAS DE AVENA, KIWICHA, QUINUA, CEBADA, SOYA Y AZÚCAR FORTIFICADO CON VITAMINAS Y MINERALES "/>
  </r>
  <r>
    <x v="0"/>
    <x v="137"/>
    <x v="22"/>
    <x v="124"/>
    <x v="284"/>
    <x v="110"/>
    <n v="2394.0461439999999"/>
    <x v="2"/>
    <x v="50"/>
    <n v="24"/>
    <x v="80"/>
    <d v="2026-05-26T00:00:00"/>
    <d v="2026-06-14T00:00:00"/>
    <s v="MEZCLA DE HOJUELAS PRECOCIDAS DE AVENA, KIWICHA, QUINUA, CEBADA, SOYA Y AZÚCAR FORTIFICADO CON VITAMINAS Y MINERALES "/>
  </r>
  <r>
    <x v="0"/>
    <x v="137"/>
    <x v="12"/>
    <x v="221"/>
    <x v="285"/>
    <x v="111"/>
    <n v="792.28304000000003"/>
    <x v="8"/>
    <x v="70"/>
    <n v="26"/>
    <x v="51"/>
    <d v="2026-07-07T00:00:00"/>
    <d v="2026-07-07T00:00:00"/>
    <s v="MEZCLA DE HOJUELAS PRECOCIDAS DE AVENA, KIWICHA, QUINUA, CEBADA, SOYA Y AZÚCAR FORTIFICADO CON VITAMINAS Y MINERALES "/>
  </r>
  <r>
    <x v="0"/>
    <x v="137"/>
    <x v="23"/>
    <x v="54"/>
    <x v="284"/>
    <x v="110"/>
    <n v="2394.0461439999999"/>
    <x v="2"/>
    <x v="50"/>
    <n v="24"/>
    <x v="81"/>
    <d v="2026-09-01T00:00:00"/>
    <d v="2026-09-06T00:00:00"/>
    <s v="MEZCLA DE HOJUELAS PRECOCIDAS DE AVENA, KIWICHA, QUINUA, CEBADA, SOYA Y AZÚCAR FORTIFICADO CON VITAMINAS Y MINERALES "/>
  </r>
  <r>
    <x v="0"/>
    <x v="137"/>
    <x v="24"/>
    <x v="4"/>
    <x v="284"/>
    <x v="110"/>
    <n v="2394.0461439999999"/>
    <x v="2"/>
    <x v="50"/>
    <n v="24"/>
    <x v="4"/>
    <m/>
    <m/>
    <s v="MEZCLA DE HOJUELAS PRECOCIDAS DE AVENA, KIWICHA, QUINUA, CEBADA, SOYA Y AZÚCAR FORTIFICADO CON VITAMINAS Y MINERALES "/>
  </r>
  <r>
    <x v="4"/>
    <x v="138"/>
    <x v="12"/>
    <x v="87"/>
    <x v="286"/>
    <x v="1"/>
    <n v="170"/>
    <x v="2"/>
    <x v="55"/>
    <n v="10"/>
    <x v="97"/>
    <d v="2026-04-07T00:00:00"/>
    <d v="2026-04-08T00:00:00"/>
    <s v="HOJUELAS PRECOCIDAS DE AVENA, QUINUA Y KIWICHA ENRIQUECIDA CON VITAMINAS Y MINERALES"/>
  </r>
  <r>
    <x v="4"/>
    <x v="138"/>
    <x v="12"/>
    <x v="107"/>
    <x v="287"/>
    <x v="1"/>
    <n v="146"/>
    <x v="2"/>
    <x v="54"/>
    <n v="26"/>
    <x v="4"/>
    <m/>
    <m/>
    <s v="HOJUELAS PRECOCIDAS DE AVENA, QUINUA Y KIWICHA ENRIQUECIDA CON VITAMINAS Y MINERALES"/>
  </r>
  <r>
    <x v="0"/>
    <x v="139"/>
    <x v="7"/>
    <x v="60"/>
    <x v="288"/>
    <x v="1"/>
    <n v="10802.3"/>
    <x v="2"/>
    <x v="117"/>
    <n v="2.2999999999992724"/>
    <x v="4"/>
    <m/>
    <m/>
    <s v="HOJUELA PRECOCIDA DE AVENA CHUFLA SOYA INTEGRAL TOSTADA PLATANO FORTIFICADA CON VITAMINAS Y MINERALES"/>
  </r>
  <r>
    <x v="0"/>
    <x v="139"/>
    <x v="8"/>
    <x v="60"/>
    <x v="288"/>
    <x v="1"/>
    <n v="10802.3"/>
    <x v="2"/>
    <x v="117"/>
    <n v="2.2999999999992724"/>
    <x v="4"/>
    <m/>
    <m/>
    <s v="HOJUELA PRECOCIDA DE AVENA CHUFLA SOYA INTEGRAL TOSTADA PLATANO FORTIFICADA CON VITAMINAS Y MINERALES"/>
  </r>
  <r>
    <x v="0"/>
    <x v="139"/>
    <x v="9"/>
    <x v="60"/>
    <x v="289"/>
    <x v="1"/>
    <n v="10454"/>
    <x v="2"/>
    <x v="118"/>
    <n v="14"/>
    <x v="4"/>
    <m/>
    <m/>
    <s v="HOJUELA PRECOCIDA DE AVENA CHUFLA SOYA INTEGRAL TOSTADA PLATANO FORTIFICADA CON VITAMINAS Y MINERALES"/>
  </r>
  <r>
    <x v="0"/>
    <x v="139"/>
    <x v="10"/>
    <x v="17"/>
    <x v="288"/>
    <x v="1"/>
    <n v="10802.3"/>
    <x v="2"/>
    <x v="117"/>
    <n v="2.2999999999992724"/>
    <x v="4"/>
    <m/>
    <m/>
    <s v="HOJUELA PRECOCIDA DE AVENA CHUFLA SOYA INTEGRAL TOSTADA PLATANO FORTIFICADA CON VITAMINAS Y MINERALES"/>
  </r>
  <r>
    <x v="0"/>
    <x v="139"/>
    <x v="11"/>
    <x v="18"/>
    <x v="289"/>
    <x v="1"/>
    <n v="10454"/>
    <x v="2"/>
    <x v="118"/>
    <n v="14"/>
    <x v="4"/>
    <m/>
    <m/>
    <s v="HOJUELA PRECOCIDA DE AVENA CHUFLA SOYA INTEGRAL TOSTADA PLATANO FORTIFICADA CON VITAMINAS Y MINERALES"/>
  </r>
  <r>
    <x v="0"/>
    <x v="140"/>
    <x v="16"/>
    <x v="37"/>
    <x v="290"/>
    <x v="6"/>
    <n v="3449.4589999999998"/>
    <x v="4"/>
    <x v="101"/>
    <n v="18.917999999999665"/>
    <x v="130"/>
    <d v="2026-02-02T00:00:00"/>
    <d v="2026-02-02T00:00:00"/>
    <s v="MEZCLA FORTIFICADA DE HOJUELAS DE QUINUA Y KIWICHA CON HARINAS DE GARBANZO, HABA, MACA Y SOYA AZUCARADA CON VITAMINAS Y MINERALES"/>
  </r>
  <r>
    <x v="0"/>
    <x v="140"/>
    <x v="17"/>
    <x v="106"/>
    <x v="290"/>
    <x v="6"/>
    <n v="3449.4589999999998"/>
    <x v="4"/>
    <x v="101"/>
    <n v="18.917999999999665"/>
    <x v="6"/>
    <d v="2026-03-28T00:00:00"/>
    <d v="2026-03-29T00:00:00"/>
    <s v="MEZCLA FORTIFICADA DE HOJUELAS DE QUINUA Y KIWICHA CON HARINAS DE GARBANZO, HABA, MACA Y SOYA AZUCARADA CON VITAMINAS Y MINERALES"/>
  </r>
  <r>
    <x v="0"/>
    <x v="140"/>
    <x v="18"/>
    <x v="94"/>
    <x v="290"/>
    <x v="6"/>
    <n v="3449.4589999999998"/>
    <x v="4"/>
    <x v="101"/>
    <n v="18.917999999999665"/>
    <x v="96"/>
    <d v="2026-06-21T00:00:00"/>
    <d v="2026-06-22T00:00:00"/>
    <s v="MEZCLA FORTIFICADA DE HOJUELAS DE QUINUA Y KIWICHA CON HARINAS DE GARBANZO, HABA, MACA Y SOYA AZUCARADA CON VITAMINAS Y MINERALES"/>
  </r>
  <r>
    <x v="0"/>
    <x v="140"/>
    <x v="12"/>
    <x v="222"/>
    <x v="291"/>
    <x v="6"/>
    <n v="2786"/>
    <x v="4"/>
    <x v="51"/>
    <n v="52"/>
    <x v="51"/>
    <d v="2026-07-07T00:00:00"/>
    <d v="2026-07-07T00:00:00"/>
    <s v="MEZCLA FORTIFICADA DE HOJUELAS DE QUINUA Y KIWICHA CON HARINAS DE GARBANZO, HABA, MACA Y SOYA AZUCARADA CON VITAMINAS Y MINERALES"/>
  </r>
  <r>
    <x v="0"/>
    <x v="140"/>
    <x v="19"/>
    <x v="103"/>
    <x v="290"/>
    <x v="6"/>
    <n v="3449.4589999999998"/>
    <x v="4"/>
    <x v="101"/>
    <n v="18.917999999999665"/>
    <x v="4"/>
    <m/>
    <m/>
    <s v="MEZCLA FORTIFICADA DE HOJUELAS DE QUINUA Y KIWICHA CON HARINAS DE GARBANZO, HABA, MACA Y SOYA AZUCARADA CON VITAMINAS Y MINERALES"/>
  </r>
  <r>
    <x v="6"/>
    <x v="141"/>
    <x v="16"/>
    <x v="218"/>
    <x v="292"/>
    <x v="1"/>
    <n v="1316.13"/>
    <x v="2"/>
    <x v="77"/>
    <n v="36.130000000000109"/>
    <x v="167"/>
    <d v="2025-12-21T00:00:00"/>
    <d v="2026-02-03T00:00:00"/>
    <s v="MEZCLA DE HOJUELAS PRECOCIDAS DE AVENA, QUINUA, KIWICHA CON HARINA DE MACA, TARWI, GARBANZO Y SOYA FORTIFICADO CON VITAMINAS Y MINERALES"/>
  </r>
  <r>
    <x v="6"/>
    <x v="141"/>
    <x v="17"/>
    <x v="42"/>
    <x v="292"/>
    <x v="1"/>
    <n v="1316.13"/>
    <x v="2"/>
    <x v="77"/>
    <n v="36.130000000000109"/>
    <x v="79"/>
    <d v="2026-03-05T00:00:00"/>
    <d v="2026-03-12T00:00:00"/>
    <s v="MEZCLA DE HOJUELAS PRECOCIDAS DE AVENA, QUINUA, KIWICHA CON HARINA DE MACA, TARWI, GARBANZO Y SOYA FORTIFICADO CON VITAMINAS Y MINERALES"/>
  </r>
  <r>
    <x v="6"/>
    <x v="141"/>
    <x v="18"/>
    <x v="52"/>
    <x v="292"/>
    <x v="1"/>
    <n v="1316.13"/>
    <x v="2"/>
    <x v="77"/>
    <n v="36.130000000000109"/>
    <x v="224"/>
    <d v="2026-05-27T00:00:00"/>
    <d v="2026-06-26T00:00:00"/>
    <s v="MEZCLA DE HOJUELAS PRECOCIDAS DE AVENA, QUINUA, KIWICHA CON HARINA DE MACA, TARWI, GARBANZO Y SOYA FORTIFICADO CON VITAMINAS Y MINERALES"/>
  </r>
  <r>
    <x v="6"/>
    <x v="141"/>
    <x v="19"/>
    <x v="97"/>
    <x v="292"/>
    <x v="1"/>
    <n v="1316.13"/>
    <x v="2"/>
    <x v="77"/>
    <n v="36.130000000000109"/>
    <x v="4"/>
    <m/>
    <m/>
    <s v="MEZCLA DE HOJUELAS PRECOCIDAS DE AVENA, QUINUA, KIWICHA CON HARINA DE MACA, TARWI, GARBANZO Y SOYA FORTIFICADO CON VITAMINAS Y MINERALES"/>
  </r>
  <r>
    <x v="0"/>
    <x v="142"/>
    <x v="2"/>
    <x v="223"/>
    <x v="293"/>
    <x v="112"/>
    <n v="4385.92"/>
    <x v="14"/>
    <x v="119"/>
    <n v="15"/>
    <x v="208"/>
    <d v="2026-03-30T00:00:00"/>
    <d v="2026-03-30T00:00:00"/>
    <s v="MEZCLA PRECOCIDA FORTIFICADA A BASE DE HOJUELAS DE KIWICHA, QUINUA, AVENA Y CAÑIHUA, CON HARINAS DE CEBADA, TRIGO Y MACA, ENRIQUECIDA CON VITAMINAS Y MINERALES"/>
  </r>
  <r>
    <x v="0"/>
    <x v="142"/>
    <x v="3"/>
    <x v="223"/>
    <x v="293"/>
    <x v="112"/>
    <n v="4385.92"/>
    <x v="14"/>
    <x v="119"/>
    <n v="15"/>
    <x v="208"/>
    <d v="2026-03-30T00:00:00"/>
    <d v="2026-03-30T00:00:00"/>
    <s v="MEZCLA PRECOCIDA FORTIFICADA A BASE DE HOJUELAS DE KIWICHA, QUINUA, AVENA Y CAÑIHUA, CON HARINAS DE CEBADA, TRIGO Y MACA, ENRIQUECIDA CON VITAMINAS Y MINERALES"/>
  </r>
  <r>
    <x v="0"/>
    <x v="142"/>
    <x v="4"/>
    <x v="72"/>
    <x v="293"/>
    <x v="112"/>
    <n v="4385.92"/>
    <x v="14"/>
    <x v="119"/>
    <n v="15"/>
    <x v="98"/>
    <d v="2026-04-12T00:00:00"/>
    <d v="2026-04-13T00:00:00"/>
    <s v="MEZCLA PRECOCIDA FORTIFICADA A BASE DE HOJUELAS DE KIWICHA, QUINUA, AVENA Y CAÑIHUA, CON HARINAS DE CEBADA, TRIGO Y MACA, ENRIQUECIDA CON VITAMINAS Y MINERALES"/>
  </r>
  <r>
    <x v="0"/>
    <x v="142"/>
    <x v="5"/>
    <x v="213"/>
    <x v="293"/>
    <x v="112"/>
    <n v="4385.92"/>
    <x v="14"/>
    <x v="119"/>
    <n v="15"/>
    <x v="86"/>
    <d v="2026-05-11T00:00:00"/>
    <d v="2026-05-12T00:00:00"/>
    <s v="MEZCLA PRECOCIDA FORTIFICADA A BASE DE HOJUELAS DE KIWICHA, QUINUA, AVENA Y CAÑIHUA, CON HARINAS DE CEBADA, TRIGO Y MACA, ENRIQUECIDA CON VITAMINAS Y MINERALES"/>
  </r>
  <r>
    <x v="0"/>
    <x v="142"/>
    <x v="6"/>
    <x v="8"/>
    <x v="293"/>
    <x v="112"/>
    <n v="4385.92"/>
    <x v="14"/>
    <x v="119"/>
    <n v="15"/>
    <x v="145"/>
    <d v="2026-06-12T00:00:00"/>
    <d v="2026-06-16T00:00:00"/>
    <s v="MEZCLA PRECOCIDA FORTIFICADA A BASE DE HOJUELAS DE KIWICHA, QUINUA, AVENA Y CAÑIHUA, CON HARINAS DE CEBADA, TRIGO Y MACA, ENRIQUECIDA CON VITAMINAS Y MINERALES"/>
  </r>
  <r>
    <x v="0"/>
    <x v="142"/>
    <x v="7"/>
    <x v="74"/>
    <x v="293"/>
    <x v="112"/>
    <n v="4385.92"/>
    <x v="14"/>
    <x v="119"/>
    <n v="15"/>
    <x v="71"/>
    <d v="2026-07-18T00:00:00"/>
    <d v="2026-07-23T00:00:00"/>
    <s v="MEZCLA PRECOCIDA FORTIFICADA A BASE DE HOJUELAS DE KIWICHA, QUINUA, AVENA Y CAÑIHUA, CON HARINAS DE CEBADA, TRIGO Y MACA, ENRIQUECIDA CON VITAMINAS Y MINERALES"/>
  </r>
  <r>
    <x v="0"/>
    <x v="142"/>
    <x v="8"/>
    <x v="214"/>
    <x v="293"/>
    <x v="112"/>
    <n v="4385.92"/>
    <x v="14"/>
    <x v="119"/>
    <n v="15"/>
    <x v="16"/>
    <d v="2026-08-17T00:00:00"/>
    <d v="2026-08-17T00:00:00"/>
    <s v="MEZCLA PRECOCIDA FORTIFICADA A BASE DE HOJUELAS DE KIWICHA, QUINUA, AVENA Y CAÑIHUA, CON HARINAS DE CEBADA, TRIGO Y MACA, ENRIQUECIDA CON VITAMINAS Y MINERALES"/>
  </r>
  <r>
    <x v="0"/>
    <x v="142"/>
    <x v="9"/>
    <x v="214"/>
    <x v="293"/>
    <x v="112"/>
    <n v="4385.92"/>
    <x v="14"/>
    <x v="119"/>
    <n v="15"/>
    <x v="200"/>
    <d v="2026-09-10T00:00:00"/>
    <m/>
    <s v="MEZCLA PRECOCIDA FORTIFICADA A BASE DE HOJUELAS DE KIWICHA, QUINUA, AVENA Y CAÑIHUA, CON HARINAS DE CEBADA, TRIGO Y MACA, ENRIQUECIDA CON VITAMINAS Y MINERALES"/>
  </r>
  <r>
    <x v="0"/>
    <x v="142"/>
    <x v="10"/>
    <x v="208"/>
    <x v="293"/>
    <x v="112"/>
    <n v="4385.92"/>
    <x v="14"/>
    <x v="119"/>
    <n v="15"/>
    <x v="4"/>
    <m/>
    <m/>
    <s v="MEZCLA PRECOCIDA FORTIFICADA A BASE DE HOJUELAS DE KIWICHA, QUINUA, AVENA Y CAÑIHUA, CON HARINAS DE CEBADA, TRIGO Y MACA, ENRIQUECIDA CON VITAMINAS Y MINERALES"/>
  </r>
  <r>
    <x v="0"/>
    <x v="142"/>
    <x v="11"/>
    <x v="156"/>
    <x v="293"/>
    <x v="112"/>
    <n v="4385.92"/>
    <x v="14"/>
    <x v="119"/>
    <n v="15"/>
    <x v="4"/>
    <m/>
    <m/>
    <s v="MEZCLA PRECOCIDA FORTIFICADA A BASE DE HOJUELAS DE KIWICHA, QUINUA, AVENA Y CAÑIHUA, CON HARINAS DE CEBADA, TRIGO Y MACA, ENRIQUECIDA CON VITAMINAS Y MINERALES"/>
  </r>
  <r>
    <x v="0"/>
    <x v="143"/>
    <x v="12"/>
    <x v="64"/>
    <x v="294"/>
    <x v="113"/>
    <n v="7836.4000000000005"/>
    <x v="3"/>
    <x v="96"/>
    <n v="56"/>
    <x v="158"/>
    <d v="2026-02-04T00:00:00"/>
    <d v="2026-02-05T00:00:00"/>
    <s v="MEZCLA DE HOJUELAS PRECOCIDAS DE AVENA, QUINUA, KIWICHA, MACA, FREJOL TARWI, GARBANZO Y SOYA FORTIFICADO CON VITAMINAS Y MINERALES"/>
  </r>
  <r>
    <x v="0"/>
    <x v="144"/>
    <x v="58"/>
    <x v="38"/>
    <x v="295"/>
    <x v="1"/>
    <n v="229"/>
    <x v="2"/>
    <x v="15"/>
    <n v="29"/>
    <x v="195"/>
    <d v="2026-04-23T00:00:00"/>
    <d v="2026-04-24T00:00:00"/>
    <s v="HOJUELAS PRECOCIDAS DE AVENA"/>
  </r>
  <r>
    <x v="0"/>
    <x v="144"/>
    <x v="59"/>
    <x v="224"/>
    <x v="296"/>
    <x v="1"/>
    <n v="46"/>
    <x v="2"/>
    <x v="107"/>
    <n v="6"/>
    <x v="177"/>
    <d v="2026-06-17T00:00:00"/>
    <d v="2026-06-19T00:00:00"/>
    <s v="HOJUELAS PRECOCIDAS DE AVENA"/>
  </r>
  <r>
    <x v="0"/>
    <x v="145"/>
    <x v="58"/>
    <x v="38"/>
    <x v="297"/>
    <x v="1"/>
    <n v="189"/>
    <x v="2"/>
    <x v="55"/>
    <n v="29"/>
    <x v="195"/>
    <d v="2026-04-23T00:00:00"/>
    <d v="2026-04-24T00:00:00"/>
    <s v="MEZCLA PRECOCIDA DE HOJUELAS DE KIWICHA, AVENA Y QUINUA CON HARINAS DE MACA Y CACAO, SEMILLAS DE CHIA FORTIFICADO CON VITAMINAS Y MINERALES"/>
  </r>
  <r>
    <x v="0"/>
    <x v="145"/>
    <x v="59"/>
    <x v="224"/>
    <x v="298"/>
    <x v="1"/>
    <n v="192"/>
    <x v="2"/>
    <x v="55"/>
    <n v="32"/>
    <x v="177"/>
    <d v="2026-06-17T00:00:00"/>
    <d v="2026-06-19T00:00:00"/>
    <s v="MEZCLA PRECOCIDA DE HOJUELAS DE KIWICHA, AVENA Y QUINUA CON HARINAS DE MACA Y CACAO, SEMILLAS DE CHIA FORTIFICADO CON VITAMINAS Y MINERALES"/>
  </r>
  <r>
    <x v="0"/>
    <x v="146"/>
    <x v="58"/>
    <x v="38"/>
    <x v="299"/>
    <x v="1"/>
    <n v="1509"/>
    <x v="2"/>
    <x v="29"/>
    <n v="29"/>
    <x v="195"/>
    <d v="2026-04-23T00:00:00"/>
    <d v="2026-04-24T00:00:00"/>
    <s v="HARINA DE PLATANO Y  7 SEMILLAS (QUINUA, KIWICHA, HABAS, ARVERJA, MAÍZ SERRANO, CEBADA Y TRIGO)"/>
  </r>
  <r>
    <x v="0"/>
    <x v="146"/>
    <x v="59"/>
    <x v="224"/>
    <x v="300"/>
    <x v="6"/>
    <n v="2200"/>
    <x v="4"/>
    <x v="114"/>
    <n v="0"/>
    <x v="177"/>
    <d v="2026-06-17T00:00:00"/>
    <d v="2026-06-19T00:00:00"/>
    <s v="HARINA DE PLATANO Y  7 SEMILLAS (QUINUA, KIWICHA, HABAS, ARVERJA, MAÍZ SERRANO, CEBADA Y TRIGO)"/>
  </r>
  <r>
    <x v="0"/>
    <x v="147"/>
    <x v="60"/>
    <x v="57"/>
    <x v="301"/>
    <x v="6"/>
    <n v="1251"/>
    <x v="4"/>
    <x v="63"/>
    <n v="22"/>
    <x v="58"/>
    <d v="2026-03-11T00:00:00"/>
    <d v="2026-03-11T00:00:00"/>
    <s v="HOJUELAS DE QUINUA AVENA PRECOCIDA FORTIFICADA CON VITAMINAS Y MINERALES"/>
  </r>
  <r>
    <x v="0"/>
    <x v="147"/>
    <x v="58"/>
    <x v="38"/>
    <x v="302"/>
    <x v="1"/>
    <n v="1426"/>
    <x v="2"/>
    <x v="35"/>
    <n v="26"/>
    <x v="195"/>
    <d v="2026-04-23T00:00:00"/>
    <d v="2026-04-24T00:00:00"/>
    <s v="HOJUELAS DE QUINUA AVENA FORTIFICADA CON VITAMINAS Y MINERALES"/>
  </r>
  <r>
    <x v="0"/>
    <x v="148"/>
    <x v="61"/>
    <x v="225"/>
    <x v="303"/>
    <x v="6"/>
    <n v="4200"/>
    <x v="4"/>
    <x v="120"/>
    <n v="0"/>
    <x v="201"/>
    <d v="2026-02-06T00:00:00"/>
    <d v="2026-02-20T00:00:00"/>
    <s v="HOJUELAS DE QUINUA AVENA, KIWICHA Y MACA FORTIFICADA CON VITAMINAS Y MINERALES"/>
  </r>
  <r>
    <x v="0"/>
    <x v="148"/>
    <x v="60"/>
    <x v="57"/>
    <x v="304"/>
    <x v="6"/>
    <n v="3000"/>
    <x v="4"/>
    <x v="49"/>
    <n v="0"/>
    <x v="58"/>
    <d v="2026-03-11T00:00:00"/>
    <d v="2026-03-11T00:00:00"/>
    <s v="HOJUELAS DE QUINUA AVENA, KIWICHA Y MACA FORTIFICADA CON VITAMINAS Y MINERALES"/>
  </r>
  <r>
    <x v="0"/>
    <x v="148"/>
    <x v="62"/>
    <x v="26"/>
    <x v="305"/>
    <x v="6"/>
    <n v="5000"/>
    <x v="4"/>
    <x v="105"/>
    <n v="0"/>
    <x v="169"/>
    <d v="2026-04-13T00:00:00"/>
    <d v="2026-04-17T00:00:00"/>
    <s v="HOJUELAS DE QUINUA AVENA, KIWICHA Y MACA FORTIFICADA CON VITAMINAS Y MINERALES"/>
  </r>
  <r>
    <x v="0"/>
    <x v="148"/>
    <x v="59"/>
    <x v="224"/>
    <x v="306"/>
    <x v="1"/>
    <n v="4200"/>
    <x v="4"/>
    <x v="121"/>
    <n v="40"/>
    <x v="99"/>
    <d v="2026-06-18T00:00:00"/>
    <d v="2026-06-19T00:00:00"/>
    <s v="HOJUELAS DE QUINUA AVENA, KIWICHA Y MACA FORTIFICADA CON VITAMINAS Y MINERALES"/>
  </r>
  <r>
    <x v="0"/>
    <x v="149"/>
    <x v="58"/>
    <x v="38"/>
    <x v="307"/>
    <x v="1"/>
    <n v="226"/>
    <x v="2"/>
    <x v="15"/>
    <n v="26"/>
    <x v="195"/>
    <d v="2026-04-23T00:00:00"/>
    <d v="2026-04-24T00:00:00"/>
    <s v="HOJUELAS DE QUINUA AVENA Y MACA FORTIFICADA CON VITAMINAS Y MINERALES"/>
  </r>
  <r>
    <x v="0"/>
    <x v="149"/>
    <x v="59"/>
    <x v="224"/>
    <x v="308"/>
    <x v="1"/>
    <n v="150"/>
    <x v="2"/>
    <x v="54"/>
    <n v="30"/>
    <x v="177"/>
    <d v="2026-06-17T00:00:00"/>
    <d v="2026-06-19T00:00:00"/>
    <s v="HOJUELAS DE QUINUA AVENA Y MACA FORTIFICADA CON VITAMINAS Y MINERALES"/>
  </r>
  <r>
    <x v="0"/>
    <x v="150"/>
    <x v="61"/>
    <x v="225"/>
    <x v="309"/>
    <x v="6"/>
    <n v="663"/>
    <x v="4"/>
    <x v="10"/>
    <n v="46"/>
    <x v="161"/>
    <d v="2026-02-17T00:00:00"/>
    <d v="2026-02-20T00:00:00"/>
    <s v="MEZCLA PRECOCIDA DE HARINAS DE TRIGO, MAIZ Y QUINUA FORTIFICADO CON VITAMINAS Y MINERALES"/>
  </r>
  <r>
    <x v="0"/>
    <x v="150"/>
    <x v="60"/>
    <x v="57"/>
    <x v="309"/>
    <x v="6"/>
    <n v="663"/>
    <x v="4"/>
    <x v="10"/>
    <n v="46"/>
    <x v="58"/>
    <d v="2026-03-11T00:00:00"/>
    <d v="2026-03-11T00:00:00"/>
    <s v="MEZCLA PRECOCIDA DE HARINAS DE TRIGO, MAIZ Y QUINUA FORTIFICADO CON VITAMINAS Y MINERALES"/>
  </r>
  <r>
    <x v="0"/>
    <x v="150"/>
    <x v="59"/>
    <x v="224"/>
    <x v="309"/>
    <x v="6"/>
    <n v="663"/>
    <x v="4"/>
    <x v="10"/>
    <n v="46"/>
    <x v="177"/>
    <d v="2026-06-17T00:00:00"/>
    <d v="2026-06-19T00:00:00"/>
    <s v="MEZCLA PRECOCIDA DE HARINAS DE TRIGO, MAIZ Y QUINUA FORTIFICADO CON VITAMINAS Y MINERALES"/>
  </r>
  <r>
    <x v="0"/>
    <x v="151"/>
    <x v="63"/>
    <x v="64"/>
    <x v="310"/>
    <x v="6"/>
    <n v="1892"/>
    <x v="4"/>
    <x v="122"/>
    <n v="24"/>
    <x v="161"/>
    <d v="2026-02-17T00:00:00"/>
    <d v="2026-02-20T00:00:00"/>
    <s v="MEZCLA DE HARINAS DE SIETE SEMILLAS (TRIGO, HABAS, ARVEJAS, KIWICHA, CAÑIHUA, CEBADA, QUINUA) CON HARINA DE PLATANO ENRIQUECIDA CON VITAMINAS Y MINERALES"/>
  </r>
  <r>
    <x v="0"/>
    <x v="151"/>
    <x v="60"/>
    <x v="57"/>
    <x v="311"/>
    <x v="6"/>
    <n v="115"/>
    <x v="4"/>
    <x v="123"/>
    <n v="70"/>
    <x v="169"/>
    <d v="2026-04-13T00:00:00"/>
    <d v="2026-04-17T00:00:00"/>
    <s v="MEZCLA DE HARINAS DE SIETE SEMILLAS (TRIGO, HABAS, ARVEJAS, KIWICHA, CAÑIHUA, CEBADA, QUINUA) CON HARINA DE PLATANO ENRIQUECIDA CON VITAMINAS Y MINERALES"/>
  </r>
  <r>
    <x v="0"/>
    <x v="152"/>
    <x v="61"/>
    <x v="225"/>
    <x v="312"/>
    <x v="6"/>
    <n v="244"/>
    <x v="4"/>
    <x v="88"/>
    <n v="8"/>
    <x v="161"/>
    <d v="2026-02-17T00:00:00"/>
    <d v="2026-02-20T00:00:00"/>
    <s v="HOJUELAS DE QUINUA, AVENA, KIWICHA CON SOYA AZUCARADA ENRIQUECIDA CON VITAMINAS Y MINERALES"/>
  </r>
  <r>
    <x v="0"/>
    <x v="152"/>
    <x v="60"/>
    <x v="57"/>
    <x v="313"/>
    <x v="6"/>
    <n v="122"/>
    <x v="7"/>
    <x v="123"/>
    <n v="44"/>
    <x v="58"/>
    <d v="2026-03-11T00:00:00"/>
    <d v="2026-03-11T00:00:00"/>
    <s v="HOJUELAS DE QUINUA, AVENA, KIWICHA CON SOYA AZUCARADA ENRIQUECIDA CON VITAMINAS Y MINERALES"/>
  </r>
  <r>
    <x v="0"/>
    <x v="152"/>
    <x v="59"/>
    <x v="224"/>
    <x v="314"/>
    <x v="1"/>
    <n v="183"/>
    <x v="4"/>
    <x v="123"/>
    <n v="23"/>
    <x v="19"/>
    <d v="2026-06-19T00:00:00"/>
    <d v="2026-06-19T00:00:00"/>
    <s v="HOJUELAS DE QUINUA, AVENA, KIWICHA CON SOYA AZUCARADA ENRIQUECIDA CON VITAMINAS Y MINERALES"/>
  </r>
  <r>
    <x v="0"/>
    <x v="153"/>
    <x v="63"/>
    <x v="64"/>
    <x v="315"/>
    <x v="6"/>
    <n v="336"/>
    <x v="4"/>
    <x v="27"/>
    <n v="32"/>
    <x v="161"/>
    <d v="2026-02-17T00:00:00"/>
    <d v="2026-02-20T00:00:00"/>
    <s v="HOJUELAS PRECOCIDAS DE AVENA, KIWICHA TOSTADA, PLATANO, SOYA INTEGRAL TOSTADA, CHUFLA FORTIFICADA CON VITAMINAS Y MINERALES"/>
  </r>
  <r>
    <x v="0"/>
    <x v="154"/>
    <x v="12"/>
    <x v="30"/>
    <x v="316"/>
    <x v="1"/>
    <n v="20000"/>
    <x v="2"/>
    <x v="52"/>
    <n v="0"/>
    <x v="225"/>
    <d v="2026-01-08T00:00:00"/>
    <d v="2026-01-10T00:00:00"/>
    <s v="PEDIDO DICIEMBRE"/>
  </r>
  <r>
    <x v="0"/>
    <x v="154"/>
    <x v="12"/>
    <x v="0"/>
    <x v="317"/>
    <x v="1"/>
    <n v="30000"/>
    <x v="2"/>
    <x v="124"/>
    <n v="0"/>
    <x v="226"/>
    <d v="2026-02-21T00:00:00"/>
    <d v="2026-03-04T00:00:00"/>
    <s v="MEZCLA DE CEREALES PRECOCIDOS DE AVENA, QUINUA, CON HARINA DE MACA, MAIZ TOSTADO Y HARINA DE SOYA ENRIQUECIDA CON VITAMINAS Y MNERALES"/>
  </r>
  <r>
    <x v="0"/>
    <x v="154"/>
    <x v="12"/>
    <x v="23"/>
    <x v="318"/>
    <x v="1"/>
    <n v="2450"/>
    <x v="2"/>
    <x v="125"/>
    <n v="10"/>
    <x v="101"/>
    <d v="2026-03-03T00:00:00"/>
    <d v="2026-03-04T00:00:00"/>
    <s v="MEZCLA DE CEREALES PRECOCIDOS DE AVENA, QUINUA, CON HARINA DE MACA, MAIZ TOSTADO Y HARINA DE SOYA ENRIQUECIDA CON VITAMINAS Y MNERALES"/>
  </r>
  <r>
    <x v="0"/>
    <x v="154"/>
    <x v="12"/>
    <x v="6"/>
    <x v="317"/>
    <x v="1"/>
    <n v="30000"/>
    <x v="1"/>
    <x v="126"/>
    <n v="0"/>
    <x v="208"/>
    <d v="2026-03-30T00:00:00"/>
    <d v="2026-04-01T00:00:00"/>
    <s v="MEZCLA DE CEREALES PRECOCIDOS DE AVENA, QUINUA, CON HARINA DE MACA, MAIZ TOSTADO Y HARINA DE SOYA ENRIQUECIDA CON VITAMINAS Y MNERALES"/>
  </r>
  <r>
    <x v="0"/>
    <x v="154"/>
    <x v="12"/>
    <x v="72"/>
    <x v="317"/>
    <x v="1"/>
    <n v="30000"/>
    <x v="1"/>
    <x v="126"/>
    <n v="0"/>
    <x v="11"/>
    <d v="2026-04-27T00:00:00"/>
    <d v="2026-05-02T00:00:00"/>
    <s v="MEZCLA DE CEREALES PRECOCIDOS DE AVENA, QUINUA, CON HARINA DE MACA, MAIZ TOSTADO Y HARINA DE SOYA ENRIQUECIDA CON VITAMINAS Y MNERALES"/>
  </r>
  <r>
    <x v="0"/>
    <x v="154"/>
    <x v="12"/>
    <x v="12"/>
    <x v="317"/>
    <x v="1"/>
    <n v="30000"/>
    <x v="1"/>
    <x v="126"/>
    <n v="0"/>
    <x v="64"/>
    <d v="2026-06-09T00:00:00"/>
    <d v="2026-06-11T00:00:00"/>
    <s v="MEZCLA DE CEREALES PRECOCIDOS DE AVENA, QUINUA, CON HARINA DE MACA, MAIZ TOSTADO Y HARINA DE SOYA ENRIQUECIDA CON VITAMINAS Y MNERALES"/>
  </r>
  <r>
    <x v="0"/>
    <x v="154"/>
    <x v="12"/>
    <x v="74"/>
    <x v="317"/>
    <x v="1"/>
    <n v="30000"/>
    <x v="1"/>
    <x v="126"/>
    <n v="0"/>
    <x v="87"/>
    <d v="2026-07-21T00:00:00"/>
    <d v="2026-07-24T00:00:00"/>
    <s v="MEZCLA DE CEREALES PRECOCIDOS DE AVENA, QUINUA, CON HARINA DE MACA, MAIZ TOSTADO Y HARINA DE SOYA ENRIQUECIDA CON VITAMINAS Y MNERALES"/>
  </r>
  <r>
    <x v="0"/>
    <x v="154"/>
    <x v="12"/>
    <x v="28"/>
    <x v="317"/>
    <x v="1"/>
    <n v="30000"/>
    <x v="1"/>
    <x v="126"/>
    <n v="0"/>
    <x v="227"/>
    <d v="2026-08-21T00:00:00"/>
    <d v="2026-08-26T00:00:00"/>
    <s v="MEZCLA DE CEREALES PRECOCIDOS DE AVENA, QUINUA, CON HARINA DE MACA, MAIZ TOSTADO Y HARINA DE SOYA ENRIQUECIDA CON VITAMINAS Y MNERALES"/>
  </r>
  <r>
    <x v="0"/>
    <x v="154"/>
    <x v="12"/>
    <x v="226"/>
    <x v="317"/>
    <x v="1"/>
    <n v="30000"/>
    <x v="1"/>
    <x v="126"/>
    <n v="0"/>
    <x v="4"/>
    <m/>
    <m/>
    <s v="MEZCLA DE CEREALES PRECOCIDOS DE AVENA, QUINUA, CON HARINA DE MACA, MAIZ TOSTADO Y HARINA DE SOYA ENRIQUECIDA CON VITAMINAS Y MNERALES"/>
  </r>
  <r>
    <x v="0"/>
    <x v="155"/>
    <x v="12"/>
    <x v="0"/>
    <x v="319"/>
    <x v="1"/>
    <n v="15000"/>
    <x v="2"/>
    <x v="127"/>
    <n v="0"/>
    <x v="33"/>
    <d v="2026-02-26T00:00:00"/>
    <d v="2026-03-04T00:00:00"/>
    <s v="MEZCLA DE HARINAS DE CEREALES PRECOCIDAS DE KIWICHA, QUINUA, AVENA, MACA Y AZUCAR SABOR A MANZANA ENRIQUECIDA CON VTAMINAS Y MINERALES"/>
  </r>
  <r>
    <x v="0"/>
    <x v="155"/>
    <x v="12"/>
    <x v="23"/>
    <x v="320"/>
    <x v="1"/>
    <n v="2250"/>
    <x v="2"/>
    <x v="30"/>
    <n v="10"/>
    <x v="101"/>
    <d v="2026-03-03T00:00:00"/>
    <d v="2026-03-04T00:00:00"/>
    <s v="MEZCLA DE HARINAS DE CEREALES PRECOCIDAS DE KIWICHA, QUINUA, AVENA, MACA Y AZUCAR SABOR A MANZANA ENRIQUECIDA CON VTAMINAS Y MINERALES"/>
  </r>
  <r>
    <x v="0"/>
    <x v="156"/>
    <x v="12"/>
    <x v="0"/>
    <x v="321"/>
    <x v="1"/>
    <n v="5000"/>
    <x v="2"/>
    <x v="105"/>
    <n v="0"/>
    <x v="228"/>
    <d v="2026-02-27T00:00:00"/>
    <d v="2026-03-04T00:00:00"/>
    <s v="MEZCLA DE HARINAS DE CEREALES PRECOCIDAS DE KIWICHA, QUINUA, AVENA Y MACA SABOR A MANZANA ENRIQUECIDA CON VTAMINAS Y MINERALES"/>
  </r>
  <r>
    <x v="0"/>
    <x v="156"/>
    <x v="12"/>
    <x v="23"/>
    <x v="7"/>
    <x v="1"/>
    <n v="2400"/>
    <x v="2"/>
    <x v="128"/>
    <n v="0"/>
    <x v="101"/>
    <d v="2026-03-03T00:00:00"/>
    <d v="2026-03-04T00:00:00"/>
    <s v="MEZCLA DE HARINAS DE CEREALES PRECOCIDAS DE KIWICHA, QUINUA, AVENA Y MACA SABOR A MANZANA ENRIQUECIDA CON VTAMINAS Y MINERALES"/>
  </r>
  <r>
    <x v="0"/>
    <x v="157"/>
    <x v="0"/>
    <x v="190"/>
    <x v="322"/>
    <x v="1"/>
    <n v="2630"/>
    <x v="2"/>
    <x v="79"/>
    <n v="30"/>
    <x v="73"/>
    <d v="2026-01-21T00:00:00"/>
    <d v="2026-01-23T00:00:00"/>
    <s v="MEZCLA DE HOJUELAS DE AVENA, QUINUA, KIWICHA Y MACA AZUCARADA FORTIFICADA CON VITAMINAS Y MINERALES"/>
  </r>
  <r>
    <x v="0"/>
    <x v="157"/>
    <x v="1"/>
    <x v="89"/>
    <x v="323"/>
    <x v="1"/>
    <n v="2375"/>
    <x v="2"/>
    <x v="81"/>
    <n v="15"/>
    <x v="143"/>
    <d v="2026-01-25T00:00:00"/>
    <d v="2026-01-29T00:00:00"/>
    <s v="MEZCLA DE HOJUELAS DE AVENA, QUINUA, KIWICHA Y MACA AZUCARADA FORTIFICADA CON VITAMINAS Y MINERALES"/>
  </r>
  <r>
    <x v="0"/>
    <x v="157"/>
    <x v="2"/>
    <x v="90"/>
    <x v="322"/>
    <x v="1"/>
    <n v="2630"/>
    <x v="2"/>
    <x v="79"/>
    <n v="30"/>
    <x v="103"/>
    <d v="2026-02-24T00:00:00"/>
    <d v="2026-02-25T00:00:00"/>
    <s v="MEZCLA DE HOJUELAS DE AVENA, QUINUA, KIWICHA Y MACA AZUCARADA FORTIFICADA CON VITAMINAS Y MINERALES"/>
  </r>
  <r>
    <x v="0"/>
    <x v="157"/>
    <x v="3"/>
    <x v="227"/>
    <x v="324"/>
    <x v="1"/>
    <n v="2545"/>
    <x v="2"/>
    <x v="64"/>
    <n v="25"/>
    <x v="95"/>
    <d v="2026-03-25T00:00:00"/>
    <d v="2026-03-25T00:00:00"/>
    <s v="MEZCLA DE HOJUELAS DE AVENA, QUINUA, KIWICHA Y MACA AZUCARADA FORTIFICADA CON VITAMINAS Y MINERALES"/>
  </r>
  <r>
    <x v="0"/>
    <x v="157"/>
    <x v="4"/>
    <x v="43"/>
    <x v="322"/>
    <x v="1"/>
    <n v="2630"/>
    <x v="2"/>
    <x v="79"/>
    <n v="30"/>
    <x v="11"/>
    <d v="2026-04-27T00:00:00"/>
    <d v="2026-04-27T00:00:00"/>
    <s v="MEZCLA DE HOJUELAS DE AVENA, QUINUA, KIWICHA Y MACA AZUCARADA FORTIFICADA CON VITAMINAS Y MINERALES"/>
  </r>
  <r>
    <x v="0"/>
    <x v="157"/>
    <x v="5"/>
    <x v="119"/>
    <x v="324"/>
    <x v="1"/>
    <n v="2545"/>
    <x v="2"/>
    <x v="64"/>
    <n v="25"/>
    <x v="12"/>
    <d v="2026-05-19T00:00:00"/>
    <d v="2026-05-22T00:00:00"/>
    <s v="MEZCLA DE HOJUELAS DE AVENA, QUINUA, KIWICHA Y MACA AZUCARADA FORTIFICADA CON VITAMINAS Y MINERALES"/>
  </r>
  <r>
    <x v="0"/>
    <x v="157"/>
    <x v="6"/>
    <x v="44"/>
    <x v="322"/>
    <x v="1"/>
    <n v="2630"/>
    <x v="2"/>
    <x v="79"/>
    <n v="30"/>
    <x v="26"/>
    <d v="2026-06-25T00:00:00"/>
    <d v="2026-06-25T00:00:00"/>
    <s v="MEZCLA DE HOJUELAS DE AVENA, QUINUA, KIWICHA Y MACA AZUCARADA FORTIFICADA CON VITAMINAS Y MINERALES"/>
  </r>
  <r>
    <x v="0"/>
    <x v="157"/>
    <x v="7"/>
    <x v="228"/>
    <x v="322"/>
    <x v="1"/>
    <n v="2630"/>
    <x v="2"/>
    <x v="79"/>
    <n v="30"/>
    <x v="14"/>
    <d v="2026-07-22T00:00:00"/>
    <d v="2026-07-22T00:00:00"/>
    <s v="MEZCLA DE HOJUELAS DE AVENA, QUINUA, KIWICHA Y MACA AZUCARADA FORTIFICADA CON VITAMINAS Y MINERALES"/>
  </r>
  <r>
    <x v="0"/>
    <x v="157"/>
    <x v="8"/>
    <x v="3"/>
    <x v="324"/>
    <x v="1"/>
    <n v="2545"/>
    <x v="2"/>
    <x v="64"/>
    <n v="25"/>
    <x v="94"/>
    <d v="2026-08-26T00:00:00"/>
    <d v="2026-08-26T00:00:00"/>
    <s v="MEZCLA DE HOJUELAS DE AVENA, QUINUA, KIWICHA Y MACA AZUCARADA FORTIFICADA CON VITAMINAS Y MINERALES"/>
  </r>
  <r>
    <x v="0"/>
    <x v="157"/>
    <x v="9"/>
    <x v="167"/>
    <x v="322"/>
    <x v="1"/>
    <n v="2630"/>
    <x v="2"/>
    <x v="79"/>
    <n v="30"/>
    <x v="4"/>
    <m/>
    <m/>
    <s v="MEZCLA DE HOJUELAS DE AVENA, QUINUA, KIWICHA Y MACA AZUCARADA FORTIFICADA CON VITAMINAS Y MINERALES"/>
  </r>
  <r>
    <x v="0"/>
    <x v="157"/>
    <x v="10"/>
    <x v="98"/>
    <x v="324"/>
    <x v="1"/>
    <n v="2545"/>
    <x v="2"/>
    <x v="64"/>
    <n v="25"/>
    <x v="4"/>
    <m/>
    <m/>
    <s v="MEZCLA DE HOJUELAS DE AVENA, QUINUA, KIWICHA Y MACA AZUCARADA FORTIFICADA CON VITAMINAS Y MINERALES"/>
  </r>
  <r>
    <x v="0"/>
    <x v="157"/>
    <x v="11"/>
    <x v="121"/>
    <x v="322"/>
    <x v="1"/>
    <n v="2630"/>
    <x v="2"/>
    <x v="79"/>
    <n v="30"/>
    <x v="4"/>
    <m/>
    <m/>
    <s v="MEZCLA DE HOJUELAS DE AVENA, QUINUA, KIWICHA Y MACA AZUCARADA FORTIFICADA CON VITAMINAS Y MINERALES"/>
  </r>
  <r>
    <x v="6"/>
    <x v="158"/>
    <x v="39"/>
    <x v="229"/>
    <x v="325"/>
    <x v="1"/>
    <n v="3040"/>
    <x v="2"/>
    <x v="8"/>
    <n v="0"/>
    <x v="229"/>
    <d v="2025-12-22T00:00:00"/>
    <d v="2026-12-23T00:00:00"/>
    <s v="HOJUELAS PRECOCIDAS DE QUINUA, AVENA, KIWICHA, MACA, LINAZA, AJONJOLÍ CON PROTEÍNA AISLADA DE SOYA Y OMEGA 3 FORTIFICADO CON VITAMINAS Y MINERALES"/>
  </r>
  <r>
    <x v="0"/>
    <x v="158"/>
    <x v="1"/>
    <x v="47"/>
    <x v="43"/>
    <x v="1"/>
    <n v="2746"/>
    <x v="2"/>
    <x v="33"/>
    <n v="26"/>
    <x v="149"/>
    <d v="2026-01-26T00:00:00"/>
    <d v="2026-01-26T00:00:00"/>
    <s v="HOJUELAS PRECOCIDAS DE QUINUA, AVENA, KIWICHA, MACA, LINAZA, AJONJOLÍ CON PROTEÍNA AISLADA DE SOYA Y OMEGA 3 FORTIFICADO CON VITAMINAS Y MINERALES "/>
  </r>
  <r>
    <x v="0"/>
    <x v="158"/>
    <x v="2"/>
    <x v="48"/>
    <x v="325"/>
    <x v="1"/>
    <n v="3040"/>
    <x v="2"/>
    <x v="8"/>
    <n v="0"/>
    <x v="84"/>
    <d v="2026-02-20T00:00:00"/>
    <d v="2026-02-23T00:00:00"/>
    <s v="HOJUELAS PRECOCIDAS DE QUINUA, AVENA, KIWICHA, MACA, LINAZA, AJONJOLÍ CON PROTEÍNA AISLADA DE SOYA Y OMEGA 3 FORTIFICADO CON VITAMINAS Y MINERALES "/>
  </r>
  <r>
    <x v="0"/>
    <x v="158"/>
    <x v="3"/>
    <x v="49"/>
    <x v="326"/>
    <x v="1"/>
    <n v="2942"/>
    <x v="2"/>
    <x v="23"/>
    <n v="22"/>
    <x v="44"/>
    <d v="2026-03-23T00:00:00"/>
    <d v="2026-03-23T00:00:00"/>
    <s v="HOJUELAS PRECOCIDAS DE QUINUA, AVENA, KIWICHA, MACA, LINAZA, AJONJOLÍ CON PROTEÍNA AISLADA DE SOYA Y OMEGA 3 FORTIFICADO CON VITAMINAS Y MINERALES "/>
  </r>
  <r>
    <x v="0"/>
    <x v="158"/>
    <x v="4"/>
    <x v="108"/>
    <x v="325"/>
    <x v="1"/>
    <n v="3040"/>
    <x v="2"/>
    <x v="8"/>
    <n v="0"/>
    <x v="195"/>
    <d v="2026-04-23T00:00:00"/>
    <d v="2026-04-24T00:00:00"/>
    <s v="HOJUELAS PRECOCIDAS DE QUINUA, AVENA, KIWICHA, MACA, LINAZA, AJONJOLÍ CON PROTEÍNA AISLADA DE SOYA Y OMEGA 3 FORTIFICADO CON VITAMINAS Y MINERALES "/>
  </r>
  <r>
    <x v="0"/>
    <x v="158"/>
    <x v="5"/>
    <x v="164"/>
    <x v="326"/>
    <x v="1"/>
    <n v="2942"/>
    <x v="2"/>
    <x v="23"/>
    <n v="22"/>
    <x v="86"/>
    <d v="2026-05-11T00:00:00"/>
    <d v="2026-05-25T00:00:00"/>
    <s v="HOJUELAS PRECOCIDAS DE QUINUA, AVENA, KIWICHA, MACA, LINAZA, AJONJOLÍ CON PROTEÍNA AISLADA DE SOYA Y OMEGA 3 FORTIFICADO CON VITAMINAS Y MINERALES "/>
  </r>
  <r>
    <x v="0"/>
    <x v="158"/>
    <x v="6"/>
    <x v="52"/>
    <x v="325"/>
    <x v="1"/>
    <n v="3040"/>
    <x v="2"/>
    <x v="8"/>
    <n v="0"/>
    <x v="70"/>
    <d v="2026-06-22T00:00:00"/>
    <d v="2026-06-23T00:00:00"/>
    <s v="HOJUELAS PRECOCIDAS DE QUINUA, AVENA, KIWICHA, MACA, LINAZA, AJONJOLÍ CON PROTEÍNA AISLADA DE SOYA Y OMEGA 3 FORTIFICADO CON VITAMINAS Y MINERALES "/>
  </r>
  <r>
    <x v="0"/>
    <x v="158"/>
    <x v="7"/>
    <x v="45"/>
    <x v="325"/>
    <x v="1"/>
    <n v="3040"/>
    <x v="2"/>
    <x v="8"/>
    <n v="0"/>
    <x v="87"/>
    <d v="2026-07-21T00:00:00"/>
    <d v="2026-07-22T00:00:00"/>
    <s v="HOJUELAS PRECOCIDAS DE QUINUA, AVENA, KIWICHA, MACA, LINAZA, AJONJOLÍ CON PROTEÍNA AISLADA DE SOYA Y OMEGA 3 FORTIFICADO CON VITAMINAS Y MINERALES "/>
  </r>
  <r>
    <x v="0"/>
    <x v="158"/>
    <x v="8"/>
    <x v="96"/>
    <x v="326"/>
    <x v="1"/>
    <n v="2942"/>
    <x v="2"/>
    <x v="23"/>
    <n v="22"/>
    <x v="72"/>
    <d v="2026-08-15T00:00:00"/>
    <d v="2026-08-24T00:00:00"/>
    <s v="HOJUELAS PRECOCIDAS DE QUINUA, AVENA, KIWICHA, MACA, LINAZA, AJONJOLÍ CON PROTEÍNA AISLADA DE SOYA Y OMEGA 3 FORTIFICADO CON VITAMINAS Y MINERALES "/>
  </r>
  <r>
    <x v="0"/>
    <x v="158"/>
    <x v="12"/>
    <x v="15"/>
    <x v="327"/>
    <x v="1"/>
    <n v="13509"/>
    <x v="2"/>
    <x v="129"/>
    <n v="29"/>
    <x v="140"/>
    <d v="2026-08-24T00:00:00"/>
    <d v="2026-08-24T00:00:00"/>
    <s v="HOJUELAS PRECOCIDAS DE QUINUA, AVENA, KIWICHA, MACA, LINAZA, AJONJOLÍ CON PROTEÍNA AISLADA DE SOYA Y OMEGA 3 FORTIFICADO CON VITAMINAS Y MINERALES "/>
  </r>
  <r>
    <x v="0"/>
    <x v="158"/>
    <x v="9"/>
    <x v="29"/>
    <x v="325"/>
    <x v="1"/>
    <n v="3040"/>
    <x v="2"/>
    <x v="8"/>
    <n v="0"/>
    <x v="4"/>
    <m/>
    <m/>
    <s v="HOJUELAS PRECOCIDAS DE QUINUA, AVENA, KIWICHA, MACA, LINAZA, AJONJOLÍ CON PROTEÍNA AISLADA DE SOYA Y OMEGA 3 FORTIFICADO CON VITAMINAS Y MINERALES "/>
  </r>
  <r>
    <x v="0"/>
    <x v="158"/>
    <x v="10"/>
    <x v="157"/>
    <x v="326"/>
    <x v="1"/>
    <n v="2942"/>
    <x v="2"/>
    <x v="23"/>
    <n v="22"/>
    <x v="4"/>
    <m/>
    <m/>
    <s v="HOJUELAS PRECOCIDAS DE QUINUA, AVENA, KIWICHA, MACA, LINAZA, AJONJOLÍ CON PROTEÍNA AISLADA DE SOYA Y OMEGA 3 FORTIFICADO CON VITAMINAS Y MINERALES "/>
  </r>
  <r>
    <x v="0"/>
    <x v="158"/>
    <x v="11"/>
    <x v="161"/>
    <x v="325"/>
    <x v="1"/>
    <n v="3040"/>
    <x v="2"/>
    <x v="8"/>
    <n v="0"/>
    <x v="4"/>
    <m/>
    <m/>
    <s v="HOJUELAS PRECOCIDAS DE QUINUA, AVENA, KIWICHA, MACA, LINAZA, AJONJOLÍ CON PROTEÍNA AISLADA DE SOYA Y OMEGA 3 FORTIFICADO CON VITAMINAS Y MINERALES "/>
  </r>
  <r>
    <x v="0"/>
    <x v="158"/>
    <x v="13"/>
    <x v="230"/>
    <x v="325"/>
    <x v="1"/>
    <n v="3040"/>
    <x v="2"/>
    <x v="8"/>
    <n v="0"/>
    <x v="4"/>
    <m/>
    <m/>
    <s v="HOJUELAS PRECOCIDAS DE QUINUA, AVENA, KIWICHA, MACA, LINAZA, AJONJOLÍ CON PROTEÍNA AISLADA DE SOYA Y OMEGA 3 FORTIFICADO CON VITAMINAS Y MINERALES "/>
  </r>
  <r>
    <x v="0"/>
    <x v="159"/>
    <x v="16"/>
    <x v="37"/>
    <x v="328"/>
    <x v="114"/>
    <n v="2983.5"/>
    <x v="8"/>
    <x v="99"/>
    <n v="9"/>
    <x v="101"/>
    <d v="2026-03-03T00:00:00"/>
    <d v="2026-03-03T00:00:00"/>
    <s v="HOJUELAS PRECOCIDAS DE QUINUA, KIWICHA, MACA Y AVENA CON LECHE EN POLVO ENRIQUECIDA CON VITAMINAS Y MINERALES"/>
  </r>
  <r>
    <x v="0"/>
    <x v="159"/>
    <x v="17"/>
    <x v="11"/>
    <x v="328"/>
    <x v="114"/>
    <n v="2983.5"/>
    <x v="8"/>
    <x v="99"/>
    <n v="9"/>
    <x v="186"/>
    <d v="2026-05-08T00:00:00"/>
    <d v="2026-05-14T00:00:00"/>
    <s v="HOJUELAS PRECOCIDAS DE QUINUA, KIWICHA, MACA Y AVENA CON LECHE EN POLVO ENRIQUECIDA CON VITAMINAS Y MINERALES"/>
  </r>
  <r>
    <x v="0"/>
    <x v="159"/>
    <x v="18"/>
    <x v="13"/>
    <x v="328"/>
    <x v="114"/>
    <n v="2983.5"/>
    <x v="8"/>
    <x v="99"/>
    <n v="9"/>
    <x v="23"/>
    <d v="2026-08-03T00:00:00"/>
    <d v="2026-08-11T00:00:00"/>
    <s v="HOJUELAS PRECOCIDAS DE QUINUA, KIWICHA, MACA Y AVENA CON LECHE EN POLVO ENRIQUECIDA CON VITAMINAS Y MINERALES"/>
  </r>
  <r>
    <x v="0"/>
    <x v="159"/>
    <x v="19"/>
    <x v="16"/>
    <x v="328"/>
    <x v="114"/>
    <n v="2983.5"/>
    <x v="8"/>
    <x v="99"/>
    <n v="9"/>
    <x v="4"/>
    <m/>
    <m/>
    <s v="HOJUELAS PRECOCIDAS DE QUINUA, KIWICHA, MACA Y AVENA CON LECHE EN POLVO ENRIQUECIDA CON VITAMINAS Y MINERALES"/>
  </r>
  <r>
    <x v="0"/>
    <x v="160"/>
    <x v="29"/>
    <x v="22"/>
    <x v="329"/>
    <x v="115"/>
    <n v="2129.6432880000002"/>
    <x v="3"/>
    <x v="95"/>
    <n v="42"/>
    <x v="61"/>
    <d v="2026-01-12T00:00:00"/>
    <d v="2026-01-14T00:00:00"/>
    <s v="HOJUELA PRECOCIDAS DE QUINUA, KIWICHA, MACA, AVENA CON LECHE ENTERA EN POLVO ENRIQUECIDAS CON VITAMINAS Y MINERALES"/>
  </r>
  <r>
    <x v="0"/>
    <x v="160"/>
    <x v="30"/>
    <x v="41"/>
    <x v="329"/>
    <x v="115"/>
    <n v="2129.6432880000002"/>
    <x v="3"/>
    <x v="95"/>
    <n v="42"/>
    <x v="194"/>
    <d v="2026-03-02T00:00:00"/>
    <d v="2026-03-02T00:00:00"/>
    <s v="HOJUELA PRECOCIDAS DE QUINUA, KIWICHA, MACA, AVENA CON LECHE ENTERA EN POLVO ENRIQUECIDAS CON VITAMINAS Y MINERALES"/>
  </r>
  <r>
    <x v="0"/>
    <x v="160"/>
    <x v="21"/>
    <x v="50"/>
    <x v="329"/>
    <x v="115"/>
    <n v="2129.6432880000002"/>
    <x v="3"/>
    <x v="95"/>
    <n v="42"/>
    <x v="195"/>
    <d v="2026-04-23T00:00:00"/>
    <d v="2026-04-23T00:00:00"/>
    <s v="HOJUELA PRECOCIDAS DE QUINUA, KIWICHA, MACA, AVENA CON LECHE ENTERA EN POLVO ENRIQUECIDAS CON VITAMINAS Y MINERALES"/>
  </r>
  <r>
    <x v="0"/>
    <x v="160"/>
    <x v="22"/>
    <x v="135"/>
    <x v="329"/>
    <x v="115"/>
    <n v="2129.6432880000002"/>
    <x v="3"/>
    <x v="95"/>
    <n v="42"/>
    <x v="70"/>
    <d v="2026-06-22T00:00:00"/>
    <d v="2026-06-22T00:00:00"/>
    <s v="HOJUELA PRECOCIDAS DE QUINUA, KIWICHA, MACA, AVENA CON LECHE ENTERA EN POLVO ENRIQUECIDAS CON VITAMINAS Y MINERALES"/>
  </r>
  <r>
    <x v="0"/>
    <x v="160"/>
    <x v="12"/>
    <x v="96"/>
    <x v="330"/>
    <x v="116"/>
    <n v="1103.8999999999999"/>
    <x v="6"/>
    <x v="72"/>
    <n v="0"/>
    <x v="156"/>
    <d v="2026-08-18T00:00:00"/>
    <d v="2026-08-19T00:00:00"/>
    <s v="HOJUELA PRECOCIDAS DE QUINUA, KIWICHA, MACA, AVENA CON LECHE ENTERA EN POLVO ENRIQUECIDAS CON VITAMINAS Y MINERALES"/>
  </r>
  <r>
    <x v="0"/>
    <x v="160"/>
    <x v="23"/>
    <x v="96"/>
    <x v="329"/>
    <x v="115"/>
    <n v="2129.6432880000002"/>
    <x v="3"/>
    <x v="95"/>
    <n v="42"/>
    <x v="156"/>
    <d v="2026-08-18T00:00:00"/>
    <d v="2026-08-19T00:00:00"/>
    <s v="HOJUELA PRECOCIDAS DE QUINUA, KIWICHA, MACA, AVENA CON LECHE ENTERA EN POLVO ENRIQUECIDAS CON VITAMINAS Y MINERALES"/>
  </r>
  <r>
    <x v="0"/>
    <x v="160"/>
    <x v="24"/>
    <x v="98"/>
    <x v="329"/>
    <x v="115"/>
    <n v="2129.6432880000002"/>
    <x v="3"/>
    <x v="95"/>
    <n v="42"/>
    <x v="4"/>
    <m/>
    <m/>
    <s v="HOJUELA PRECOCIDAS DE QUINUA, KIWICHA, MACA, AVENA CON LECHE ENTERA EN POLVO ENRIQUECIDAS CON VITAMINAS Y MINERALES"/>
  </r>
  <r>
    <x v="0"/>
    <x v="161"/>
    <x v="29"/>
    <x v="0"/>
    <x v="331"/>
    <x v="1"/>
    <n v="1770"/>
    <x v="1"/>
    <x v="35"/>
    <n v="20"/>
    <x v="57"/>
    <d v="2026-02-18T00:00:00"/>
    <d v="2026-02-26T00:00:00"/>
    <s v="HOJUELAS PRECOCIDAS AZUCARADAS DE AVENA, CAÑIHUA, QUINUA, HARINA TOSTADA DE CEBADA, HARINA DESHIDRATADA MACA, HARINA INTEGRAL DE SOYA, ALBUMINA DE HUEVO FORTIFICADA CON VITAMINAS Y MINERALES"/>
  </r>
  <r>
    <x v="0"/>
    <x v="161"/>
    <x v="2"/>
    <x v="0"/>
    <x v="332"/>
    <x v="1"/>
    <n v="929"/>
    <x v="1"/>
    <x v="0"/>
    <n v="29"/>
    <x v="57"/>
    <d v="2026-02-18T00:00:00"/>
    <d v="2026-02-26T00:00:00"/>
    <s v="HOJUELAS PRECOCIDAS AZUCARADAS DE AVENA, CAÑIHUA, QUINUA, HARINA TOSTADA DE CEBADA, HARINA DESHIDRATADA MACA, HARINA INTEGRAL DE SOYA, ALBUMINA DE HUEVO FORTIFICADA CON VITAMINAS Y MINERALES"/>
  </r>
  <r>
    <x v="0"/>
    <x v="161"/>
    <x v="3"/>
    <x v="71"/>
    <x v="230"/>
    <x v="1"/>
    <n v="900"/>
    <x v="1"/>
    <x v="0"/>
    <n v="0"/>
    <x v="38"/>
    <d v="2026-03-10T00:00:00"/>
    <d v="2026-03-11T00:00:00"/>
    <s v="HOJUELAS PRECOCIDAS AZUCARADAS DE AVENA, CAÑIHUA, QUINUA, HARINA TOSTADA DE CEBADA, HARINA DESHIDRATADA MACA, HARINA INTEGRAL DE SOYA, ALBUMINA DE HUEVO FORTIFICADA CON VITAMINAS Y MINERALES"/>
  </r>
  <r>
    <x v="0"/>
    <x v="161"/>
    <x v="4"/>
    <x v="26"/>
    <x v="332"/>
    <x v="1"/>
    <n v="929"/>
    <x v="1"/>
    <x v="0"/>
    <n v="29"/>
    <x v="125"/>
    <d v="2026-04-22T00:00:00"/>
    <d v="2026-05-05T00:00:00"/>
    <s v="HOJUELAS PRECOCIDAS AZUCARADAS DE AVENA, CAÑIHUA, QUINUA, HARINA TOSTADA DE CEBADA, HARINA DESHIDRATADA MACA, HARINA INTEGRAL DE SOYA, ALBUMINA DE HUEVO FORTIFICADA CON VITAMINAS Y MINERALES"/>
  </r>
  <r>
    <x v="0"/>
    <x v="161"/>
    <x v="5"/>
    <x v="170"/>
    <x v="230"/>
    <x v="1"/>
    <n v="900"/>
    <x v="1"/>
    <x v="0"/>
    <n v="0"/>
    <x v="1"/>
    <d v="2026-05-05T00:00:00"/>
    <d v="2026-05-05T00:00:00"/>
    <s v="HOJUELAS PRECOCIDAS AZUCARADAS DE AVENA, CAÑIHUA, QUINUA, HARINA TOSTADA DE CEBADA, HARINA DESHIDRATADA MACA, HARINA INTEGRAL DE SOYA, ALBUMINA DE HUEVO FORTIFICADA CON VITAMINAS Y MINERALES"/>
  </r>
  <r>
    <x v="0"/>
    <x v="161"/>
    <x v="6"/>
    <x v="33"/>
    <x v="332"/>
    <x v="1"/>
    <n v="929"/>
    <x v="1"/>
    <x v="0"/>
    <n v="29"/>
    <x v="220"/>
    <d v="2026-05-29T00:00:00"/>
    <d v="2026-05-29T00:00:00"/>
    <s v="HOJUELAS PRECOCIDAS AZUCARADAS DE AVENA, CAÑIHUA, QUINUA, HARINA TOSTADA DE CEBADA, HARINA DESHIDRATADA MACA, HARINA INTEGRAL DE SOYA, ALBUMINA DE HUEVO FORTIFICADA CON VITAMINAS Y MINERALES"/>
  </r>
  <r>
    <x v="0"/>
    <x v="161"/>
    <x v="7"/>
    <x v="148"/>
    <x v="333"/>
    <x v="1"/>
    <n v="930"/>
    <x v="1"/>
    <x v="0"/>
    <n v="30"/>
    <x v="35"/>
    <d v="2026-07-17T00:00:00"/>
    <d v="2026-07-19T00:00:00"/>
    <s v="HOJUELAS PRECOCIDAS AZUCARADAS DE AVENA, CAÑIHUA, QUINUA, HARINA TOSTADA DE CEBADA, HARINA DESHIDRATADA MACA, HARINA INTEGRAL DE SOYA, ALBUMINA DE HUEVO FORTIFICADA CON VITAMINAS Y MINERALES"/>
  </r>
  <r>
    <x v="0"/>
    <x v="161"/>
    <x v="8"/>
    <x v="34"/>
    <x v="334"/>
    <x v="1"/>
    <n v="901"/>
    <x v="1"/>
    <x v="0"/>
    <n v="1"/>
    <x v="9"/>
    <d v="2026-08-07T00:00:00"/>
    <d v="2026-08-18T00:00:00"/>
    <s v="HOJUELAS PRECOCIDAS AZUCARADAS DE AVENA, CAÑIHUA, QUINUA, HARINA TOSTADA DE CEBADA, HARINA DESHIDRATADA MACA, HARINA INTEGRAL DE SOYA, ALBUMINA DE HUEVO FORTIFICADA CON VITAMINAS Y MINERALES"/>
  </r>
  <r>
    <x v="0"/>
    <x v="161"/>
    <x v="12"/>
    <x v="181"/>
    <x v="335"/>
    <x v="1"/>
    <n v="702"/>
    <x v="1"/>
    <x v="11"/>
    <n v="2"/>
    <x v="4"/>
    <m/>
    <m/>
    <s v="HOJUELAS PRECOCIDAS AZUCARADAS DE AVENA, CAÑIHUA, QUINUA, HARINA TOSTADA DE CEBADA, HARINA DESHIDRATADA MACA, HARINA INTEGRAL DE SOYA, ALBUMINA DE HUEVO FORTIFICADA CON VITAMINAS Y MINERALES"/>
  </r>
  <r>
    <x v="0"/>
    <x v="161"/>
    <x v="9"/>
    <x v="75"/>
    <x v="333"/>
    <x v="1"/>
    <n v="930"/>
    <x v="1"/>
    <x v="0"/>
    <n v="30"/>
    <x v="230"/>
    <d v="2026-09-06T00:00:00"/>
    <d v="2026-09-08T00:00:00"/>
    <s v="HOJUELAS PRECOCIDAS AZUCARADAS DE AVENA, CAÑIHUA, QUINUA, HARINA TOSTADA DE CEBADA, HARINA DESHIDRATADA MACA, HARINA INTEGRAL DE SOYA, ALBUMINA DE HUEVO FORTIFICADA CON VITAMINAS Y MINERALES"/>
  </r>
  <r>
    <x v="0"/>
    <x v="161"/>
    <x v="10"/>
    <x v="35"/>
    <x v="334"/>
    <x v="1"/>
    <n v="901"/>
    <x v="1"/>
    <x v="0"/>
    <n v="1"/>
    <x v="4"/>
    <m/>
    <m/>
    <s v="HOJUELAS PRECOCIDAS AZUCARADAS DE AVENA, CAÑIHUA, QUINUA, HARINA TOSTADA DE CEBADA, HARINA DESHIDRATADA MACA, HARINA INTEGRAL DE SOYA, ALBUMINA DE HUEVO FORTIFICADA CON VITAMINAS Y MINERALES"/>
  </r>
  <r>
    <x v="0"/>
    <x v="161"/>
    <x v="11"/>
    <x v="76"/>
    <x v="333"/>
    <x v="1"/>
    <n v="930"/>
    <x v="1"/>
    <x v="0"/>
    <n v="30"/>
    <x v="4"/>
    <m/>
    <m/>
    <s v="HOJUELAS PRECOCIDAS AZUCARADAS DE AVENA, CAÑIHUA, QUINUA, HARINA TOSTADA DE CEBADA, HARINA DESHIDRATADA MACA, HARINA INTEGRAL DE SOYA, ALBUMINA DE HUEVO FORTIFICADA CON VITAMINAS Y MINER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6011F-9387-4155-A445-BCDFF344019F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28" firstHeaderRow="1" firstDataRow="1" firstDataCol="1"/>
  <pivotFields count="20">
    <pivotField showAll="0">
      <items count="13">
        <item x="5"/>
        <item x="9"/>
        <item x="1"/>
        <item x="4"/>
        <item x="3"/>
        <item x="6"/>
        <item x="8"/>
        <item x="10"/>
        <item x="2"/>
        <item x="11"/>
        <item x="7"/>
        <item x="0"/>
        <item t="default"/>
      </items>
    </pivotField>
    <pivotField axis="axisRow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axis="axisRow" showAll="0">
      <items count="6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7"/>
        <item x="51"/>
        <item x="54"/>
        <item x="55"/>
        <item x="26"/>
        <item x="27"/>
        <item x="28"/>
        <item x="44"/>
        <item x="39"/>
        <item x="57"/>
        <item x="29"/>
        <item x="16"/>
        <item x="20"/>
        <item x="33"/>
        <item x="40"/>
        <item x="56"/>
        <item x="22"/>
        <item x="18"/>
        <item x="49"/>
        <item x="30"/>
        <item x="21"/>
        <item x="31"/>
        <item x="24"/>
        <item x="38"/>
        <item x="12"/>
        <item x="61"/>
        <item x="59"/>
        <item x="63"/>
        <item x="60"/>
        <item x="62"/>
        <item x="58"/>
        <item x="35"/>
        <item x="34"/>
        <item x="36"/>
        <item x="37"/>
        <item x="48"/>
        <item x="19"/>
        <item x="52"/>
        <item x="41"/>
        <item x="53"/>
        <item x="45"/>
        <item x="42"/>
        <item x="25"/>
        <item x="23"/>
        <item x="32"/>
        <item x="47"/>
        <item x="46"/>
        <item x="43"/>
        <item x="50"/>
        <item x="13"/>
        <item x="14"/>
        <item x="15"/>
        <item t="default"/>
      </items>
    </pivotField>
    <pivotField axis="axisRow" numFmtId="14" showAll="0">
      <items count="232">
        <item x="216"/>
        <item x="68"/>
        <item x="158"/>
        <item x="117"/>
        <item x="196"/>
        <item x="160"/>
        <item x="229"/>
        <item x="200"/>
        <item x="218"/>
        <item x="102"/>
        <item x="211"/>
        <item x="30"/>
        <item x="190"/>
        <item x="151"/>
        <item x="146"/>
        <item x="205"/>
        <item x="219"/>
        <item x="139"/>
        <item x="153"/>
        <item x="22"/>
        <item x="77"/>
        <item x="100"/>
        <item x="127"/>
        <item x="69"/>
        <item x="197"/>
        <item x="31"/>
        <item x="176"/>
        <item x="47"/>
        <item x="163"/>
        <item x="89"/>
        <item x="118"/>
        <item x="5"/>
        <item x="40"/>
        <item x="37"/>
        <item x="78"/>
        <item x="225"/>
        <item x="162"/>
        <item x="182"/>
        <item x="140"/>
        <item x="192"/>
        <item x="64"/>
        <item x="193"/>
        <item x="217"/>
        <item x="70"/>
        <item x="145"/>
        <item x="32"/>
        <item x="198"/>
        <item x="152"/>
        <item x="48"/>
        <item x="90"/>
        <item x="41"/>
        <item x="0"/>
        <item x="171"/>
        <item x="132"/>
        <item x="79"/>
        <item x="166"/>
        <item x="66"/>
        <item x="202"/>
        <item x="57"/>
        <item x="23"/>
        <item x="25"/>
        <item x="62"/>
        <item x="71"/>
        <item x="169"/>
        <item x="147"/>
        <item x="49"/>
        <item x="91"/>
        <item x="203"/>
        <item x="42"/>
        <item x="227"/>
        <item x="223"/>
        <item x="106"/>
        <item x="6"/>
        <item x="67"/>
        <item x="80"/>
        <item x="168"/>
        <item x="87"/>
        <item x="122"/>
        <item x="7"/>
        <item x="179"/>
        <item x="212"/>
        <item x="72"/>
        <item x="26"/>
        <item x="92"/>
        <item x="50"/>
        <item x="108"/>
        <item x="38"/>
        <item x="43"/>
        <item x="1"/>
        <item x="11"/>
        <item x="172"/>
        <item x="81"/>
        <item x="149"/>
        <item x="174"/>
        <item x="141"/>
        <item x="63"/>
        <item x="154"/>
        <item x="213"/>
        <item x="170"/>
        <item x="73"/>
        <item x="51"/>
        <item x="207"/>
        <item x="201"/>
        <item x="113"/>
        <item x="164"/>
        <item x="93"/>
        <item x="119"/>
        <item x="133"/>
        <item x="137"/>
        <item x="12"/>
        <item x="194"/>
        <item x="82"/>
        <item x="195"/>
        <item x="27"/>
        <item x="186"/>
        <item x="220"/>
        <item x="224"/>
        <item x="8"/>
        <item x="180"/>
        <item x="109"/>
        <item x="175"/>
        <item x="123"/>
        <item x="33"/>
        <item x="124"/>
        <item x="94"/>
        <item x="52"/>
        <item x="2"/>
        <item x="44"/>
        <item x="135"/>
        <item x="131"/>
        <item x="13"/>
        <item x="36"/>
        <item x="187"/>
        <item x="221"/>
        <item x="222"/>
        <item x="142"/>
        <item x="136"/>
        <item x="155"/>
        <item x="59"/>
        <item x="177"/>
        <item x="74"/>
        <item x="148"/>
        <item x="95"/>
        <item x="53"/>
        <item x="210"/>
        <item x="45"/>
        <item x="228"/>
        <item x="138"/>
        <item x="14"/>
        <item x="83"/>
        <item x="39"/>
        <item x="188"/>
        <item x="191"/>
        <item x="101"/>
        <item x="183"/>
        <item x="199"/>
        <item x="9"/>
        <item x="214"/>
        <item x="125"/>
        <item x="34"/>
        <item x="28"/>
        <item x="110"/>
        <item x="114"/>
        <item x="54"/>
        <item x="96"/>
        <item x="46"/>
        <item x="3"/>
        <item x="128"/>
        <item x="15"/>
        <item x="60"/>
        <item x="129"/>
        <item x="84"/>
        <item x="107"/>
        <item x="116"/>
        <item x="65"/>
        <item x="58"/>
        <item x="24"/>
        <item x="181"/>
        <item x="226"/>
        <item x="111"/>
        <item x="159"/>
        <item x="206"/>
        <item x="75"/>
        <item x="165"/>
        <item x="97"/>
        <item x="150"/>
        <item x="29"/>
        <item x="215"/>
        <item x="167"/>
        <item x="103"/>
        <item x="134"/>
        <item x="16"/>
        <item x="143"/>
        <item x="85"/>
        <item x="88"/>
        <item x="184"/>
        <item x="10"/>
        <item x="208"/>
        <item x="35"/>
        <item x="126"/>
        <item x="55"/>
        <item x="112"/>
        <item x="178"/>
        <item x="204"/>
        <item x="157"/>
        <item x="4"/>
        <item x="98"/>
        <item x="120"/>
        <item x="115"/>
        <item x="17"/>
        <item x="173"/>
        <item x="144"/>
        <item x="86"/>
        <item x="189"/>
        <item x="185"/>
        <item x="156"/>
        <item x="209"/>
        <item x="61"/>
        <item x="76"/>
        <item x="130"/>
        <item x="161"/>
        <item x="99"/>
        <item x="56"/>
        <item x="121"/>
        <item x="18"/>
        <item x="104"/>
        <item x="105"/>
        <item x="230"/>
        <item x="19"/>
        <item x="20"/>
        <item x="21"/>
        <item t="default"/>
      </items>
    </pivotField>
    <pivotField numFmtId="3" showAll="0">
      <items count="337">
        <item x="296"/>
        <item x="234"/>
        <item x="80"/>
        <item x="97"/>
        <item x="98"/>
        <item x="287"/>
        <item x="308"/>
        <item x="264"/>
        <item x="286"/>
        <item x="265"/>
        <item x="83"/>
        <item x="263"/>
        <item x="314"/>
        <item x="297"/>
        <item x="298"/>
        <item x="174"/>
        <item x="173"/>
        <item x="307"/>
        <item x="115"/>
        <item x="295"/>
        <item x="311"/>
        <item x="273"/>
        <item x="181"/>
        <item x="143"/>
        <item x="313"/>
        <item x="233"/>
        <item x="114"/>
        <item x="168"/>
        <item x="255"/>
        <item x="81"/>
        <item x="270"/>
        <item x="271"/>
        <item x="272"/>
        <item x="136"/>
        <item x="276"/>
        <item x="277"/>
        <item x="63"/>
        <item x="107"/>
        <item x="19"/>
        <item x="56"/>
        <item x="57"/>
        <item x="238"/>
        <item x="312"/>
        <item x="117"/>
        <item x="229"/>
        <item x="3"/>
        <item x="4"/>
        <item x="120"/>
        <item x="285"/>
        <item x="2"/>
        <item x="5"/>
        <item x="132"/>
        <item x="227"/>
        <item x="131"/>
        <item x="121"/>
        <item x="119"/>
        <item x="167"/>
        <item x="254"/>
        <item x="105"/>
        <item x="228"/>
        <item x="150"/>
        <item x="104"/>
        <item x="151"/>
        <item x="153"/>
        <item x="0"/>
        <item x="34"/>
        <item x="315"/>
        <item x="330"/>
        <item x="335"/>
        <item x="146"/>
        <item x="13"/>
        <item x="275"/>
        <item x="111"/>
        <item x="172"/>
        <item x="65"/>
        <item x="225"/>
        <item x="112"/>
        <item x="14"/>
        <item x="15"/>
        <item x="242"/>
        <item x="68"/>
        <item x="102"/>
        <item x="138"/>
        <item x="137"/>
        <item x="69"/>
        <item x="12"/>
        <item x="16"/>
        <item x="70"/>
        <item x="226"/>
        <item x="152"/>
        <item x="35"/>
        <item x="36"/>
        <item x="144"/>
        <item x="224"/>
        <item x="55"/>
        <item x="74"/>
        <item x="282"/>
        <item x="99"/>
        <item x="230"/>
        <item x="334"/>
        <item x="256"/>
        <item x="25"/>
        <item x="134"/>
        <item x="180"/>
        <item x="223"/>
        <item x="332"/>
        <item x="333"/>
        <item x="179"/>
        <item x="106"/>
        <item x="26"/>
        <item x="88"/>
        <item x="130"/>
        <item x="184"/>
        <item x="116"/>
        <item x="109"/>
        <item x="59"/>
        <item x="24"/>
        <item x="236"/>
        <item x="22"/>
        <item x="82"/>
        <item x="1"/>
        <item x="126"/>
        <item x="75"/>
        <item x="58"/>
        <item x="37"/>
        <item x="86"/>
        <item x="183"/>
        <item x="44"/>
        <item x="280"/>
        <item x="237"/>
        <item x="60"/>
        <item x="259"/>
        <item x="135"/>
        <item x="41"/>
        <item x="42"/>
        <item x="66"/>
        <item x="235"/>
        <item x="212"/>
        <item x="92"/>
        <item x="185"/>
        <item x="186"/>
        <item x="89"/>
        <item x="62"/>
        <item x="73"/>
        <item x="155"/>
        <item x="124"/>
        <item x="292"/>
        <item x="133"/>
        <item x="309"/>
        <item x="182"/>
        <item x="18"/>
        <item x="156"/>
        <item x="125"/>
        <item x="45"/>
        <item x="157"/>
        <item x="302"/>
        <item x="260"/>
        <item x="154"/>
        <item x="123"/>
        <item x="91"/>
        <item x="145"/>
        <item x="164"/>
        <item x="47"/>
        <item x="61"/>
        <item x="299"/>
        <item x="262"/>
        <item x="261"/>
        <item x="103"/>
        <item x="139"/>
        <item x="268"/>
        <item x="269"/>
        <item x="40"/>
        <item x="165"/>
        <item x="21"/>
        <item x="96"/>
        <item x="239"/>
        <item x="331"/>
        <item x="247"/>
        <item x="246"/>
        <item x="222"/>
        <item x="267"/>
        <item x="38"/>
        <item x="221"/>
        <item x="243"/>
        <item x="244"/>
        <item x="245"/>
        <item x="140"/>
        <item x="87"/>
        <item x="64"/>
        <item x="33"/>
        <item x="328"/>
        <item x="279"/>
        <item x="76"/>
        <item x="284"/>
        <item x="274"/>
        <item x="84"/>
        <item x="320"/>
        <item x="67"/>
        <item x="266"/>
        <item x="90"/>
        <item x="148"/>
        <item x="122"/>
        <item x="149"/>
        <item x="323"/>
        <item x="7"/>
        <item x="72"/>
        <item x="71"/>
        <item x="318"/>
        <item x="31"/>
        <item x="301"/>
        <item x="147"/>
        <item x="324"/>
        <item x="46"/>
        <item x="32"/>
        <item x="171"/>
        <item x="322"/>
        <item x="281"/>
        <item x="283"/>
        <item x="170"/>
        <item x="10"/>
        <item x="169"/>
        <item x="241"/>
        <item x="43"/>
        <item x="77"/>
        <item x="85"/>
        <item x="329"/>
        <item x="258"/>
        <item x="39"/>
        <item x="163"/>
        <item x="326"/>
        <item x="28"/>
        <item x="108"/>
        <item x="232"/>
        <item x="325"/>
        <item x="11"/>
        <item x="257"/>
        <item x="6"/>
        <item x="50"/>
        <item x="29"/>
        <item x="110"/>
        <item x="141"/>
        <item x="113"/>
        <item x="253"/>
        <item x="142"/>
        <item x="27"/>
        <item x="20"/>
        <item x="249"/>
        <item x="251"/>
        <item x="95"/>
        <item x="94"/>
        <item x="248"/>
        <item x="250"/>
        <item x="252"/>
        <item x="310"/>
        <item x="208"/>
        <item x="199"/>
        <item x="100"/>
        <item x="118"/>
        <item x="101"/>
        <item x="166"/>
        <item x="196"/>
        <item x="193"/>
        <item x="231"/>
        <item x="240"/>
        <item x="306"/>
        <item x="214"/>
        <item x="218"/>
        <item x="159"/>
        <item x="162"/>
        <item x="300"/>
        <item x="30"/>
        <item x="201"/>
        <item x="205"/>
        <item x="188"/>
        <item x="207"/>
        <item x="190"/>
        <item x="192"/>
        <item x="9"/>
        <item x="158"/>
        <item x="160"/>
        <item x="321"/>
        <item x="161"/>
        <item x="176"/>
        <item x="195"/>
        <item x="194"/>
        <item x="177"/>
        <item x="291"/>
        <item x="128"/>
        <item x="175"/>
        <item x="178"/>
        <item x="129"/>
        <item x="17"/>
        <item x="304"/>
        <item x="127"/>
        <item x="293"/>
        <item x="23"/>
        <item x="198"/>
        <item x="290"/>
        <item x="220"/>
        <item x="93"/>
        <item x="49"/>
        <item x="278"/>
        <item x="219"/>
        <item x="54"/>
        <item x="303"/>
        <item x="204"/>
        <item x="53"/>
        <item x="202"/>
        <item x="52"/>
        <item x="203"/>
        <item x="216"/>
        <item x="8"/>
        <item x="200"/>
        <item x="197"/>
        <item x="210"/>
        <item x="305"/>
        <item x="217"/>
        <item x="215"/>
        <item x="206"/>
        <item x="289"/>
        <item x="288"/>
        <item x="189"/>
        <item x="51"/>
        <item x="294"/>
        <item x="48"/>
        <item x="209"/>
        <item x="211"/>
        <item x="78"/>
        <item x="327"/>
        <item x="213"/>
        <item x="319"/>
        <item x="316"/>
        <item x="191"/>
        <item x="187"/>
        <item x="317"/>
        <item x="79"/>
        <item t="default"/>
      </items>
    </pivotField>
    <pivotField dataField="1" showAll="0">
      <items count="118">
        <item x="84"/>
        <item x="102"/>
        <item x="15"/>
        <item x="7"/>
        <item x="6"/>
        <item x="87"/>
        <item x="83"/>
        <item x="70"/>
        <item x="113"/>
        <item x="69"/>
        <item x="112"/>
        <item x="44"/>
        <item x="62"/>
        <item x="109"/>
        <item x="51"/>
        <item x="115"/>
        <item x="104"/>
        <item x="105"/>
        <item x="4"/>
        <item x="60"/>
        <item x="8"/>
        <item x="18"/>
        <item x="54"/>
        <item x="66"/>
        <item x="24"/>
        <item x="101"/>
        <item x="107"/>
        <item x="17"/>
        <item x="27"/>
        <item x="55"/>
        <item x="25"/>
        <item x="106"/>
        <item x="35"/>
        <item x="29"/>
        <item x="76"/>
        <item x="58"/>
        <item x="98"/>
        <item x="108"/>
        <item x="53"/>
        <item x="23"/>
        <item x="41"/>
        <item x="19"/>
        <item x="2"/>
        <item x="99"/>
        <item x="1"/>
        <item x="40"/>
        <item x="93"/>
        <item x="97"/>
        <item x="21"/>
        <item x="63"/>
        <item x="52"/>
        <item x="47"/>
        <item x="81"/>
        <item x="110"/>
        <item x="5"/>
        <item x="79"/>
        <item x="3"/>
        <item x="38"/>
        <item x="30"/>
        <item x="100"/>
        <item x="82"/>
        <item x="33"/>
        <item x="16"/>
        <item x="80"/>
        <item x="56"/>
        <item x="0"/>
        <item x="26"/>
        <item x="78"/>
        <item x="46"/>
        <item x="49"/>
        <item x="86"/>
        <item x="20"/>
        <item x="85"/>
        <item x="77"/>
        <item x="48"/>
        <item x="94"/>
        <item x="57"/>
        <item x="103"/>
        <item x="95"/>
        <item x="75"/>
        <item x="90"/>
        <item x="111"/>
        <item x="114"/>
        <item x="61"/>
        <item x="67"/>
        <item x="28"/>
        <item x="91"/>
        <item x="37"/>
        <item x="89"/>
        <item x="72"/>
        <item x="34"/>
        <item x="68"/>
        <item x="64"/>
        <item x="116"/>
        <item x="43"/>
        <item x="65"/>
        <item x="42"/>
        <item x="74"/>
        <item x="39"/>
        <item x="45"/>
        <item x="13"/>
        <item x="32"/>
        <item x="88"/>
        <item x="31"/>
        <item x="22"/>
        <item x="71"/>
        <item x="73"/>
        <item x="96"/>
        <item x="50"/>
        <item x="92"/>
        <item x="36"/>
        <item x="14"/>
        <item x="59"/>
        <item x="12"/>
        <item x="11"/>
        <item x="10"/>
        <item x="9"/>
        <item t="default"/>
      </items>
    </pivotField>
    <pivotField numFmtId="165" showAll="0"/>
    <pivotField numFmtId="1" showAll="0">
      <items count="16">
        <item x="5"/>
        <item x="10"/>
        <item x="6"/>
        <item x="11"/>
        <item x="8"/>
        <item x="0"/>
        <item x="2"/>
        <item x="9"/>
        <item x="1"/>
        <item x="14"/>
        <item x="3"/>
        <item x="12"/>
        <item x="4"/>
        <item x="7"/>
        <item x="13"/>
        <item t="default"/>
      </items>
    </pivotField>
    <pivotField showAll="0">
      <items count="131">
        <item x="107"/>
        <item x="123"/>
        <item x="54"/>
        <item x="55"/>
        <item x="15"/>
        <item x="88"/>
        <item x="67"/>
        <item x="27"/>
        <item x="76"/>
        <item x="2"/>
        <item x="45"/>
        <item x="46"/>
        <item x="65"/>
        <item x="11"/>
        <item x="12"/>
        <item x="10"/>
        <item x="70"/>
        <item x="0"/>
        <item x="44"/>
        <item x="1"/>
        <item x="17"/>
        <item x="20"/>
        <item x="91"/>
        <item x="21"/>
        <item x="18"/>
        <item x="34"/>
        <item x="32"/>
        <item x="72"/>
        <item x="37"/>
        <item x="28"/>
        <item x="63"/>
        <item x="77"/>
        <item x="14"/>
        <item x="35"/>
        <item x="47"/>
        <item x="29"/>
        <item x="9"/>
        <item x="57"/>
        <item x="5"/>
        <item x="31"/>
        <item x="16"/>
        <item x="115"/>
        <item x="100"/>
        <item x="93"/>
        <item x="95"/>
        <item x="122"/>
        <item x="48"/>
        <item x="121"/>
        <item x="50"/>
        <item x="97"/>
        <item x="114"/>
        <item x="30"/>
        <item x="61"/>
        <item x="81"/>
        <item x="128"/>
        <item x="125"/>
        <item x="64"/>
        <item x="78"/>
        <item x="79"/>
        <item x="99"/>
        <item x="33"/>
        <item x="51"/>
        <item x="56"/>
        <item x="109"/>
        <item x="23"/>
        <item x="49"/>
        <item x="8"/>
        <item x="3"/>
        <item x="24"/>
        <item x="66"/>
        <item x="22"/>
        <item x="80"/>
        <item x="101"/>
        <item x="60"/>
        <item x="113"/>
        <item x="4"/>
        <item x="102"/>
        <item x="68"/>
        <item x="106"/>
        <item x="71"/>
        <item x="87"/>
        <item x="98"/>
        <item x="59"/>
        <item x="26"/>
        <item x="103"/>
        <item x="36"/>
        <item x="120"/>
        <item x="108"/>
        <item x="94"/>
        <item x="119"/>
        <item x="7"/>
        <item x="13"/>
        <item x="104"/>
        <item x="105"/>
        <item x="112"/>
        <item x="19"/>
        <item x="69"/>
        <item x="62"/>
        <item x="90"/>
        <item x="110"/>
        <item x="111"/>
        <item x="89"/>
        <item x="86"/>
        <item x="116"/>
        <item x="83"/>
        <item x="74"/>
        <item x="82"/>
        <item x="39"/>
        <item x="84"/>
        <item x="75"/>
        <item x="96"/>
        <item x="43"/>
        <item x="85"/>
        <item x="73"/>
        <item x="42"/>
        <item x="41"/>
        <item x="6"/>
        <item x="25"/>
        <item x="118"/>
        <item x="117"/>
        <item x="58"/>
        <item x="92"/>
        <item x="40"/>
        <item x="38"/>
        <item x="129"/>
        <item x="127"/>
        <item x="52"/>
        <item x="126"/>
        <item x="124"/>
        <item x="53"/>
        <item t="default"/>
      </items>
    </pivotField>
    <pivotField showAll="0"/>
    <pivotField showAll="0">
      <items count="232">
        <item x="42"/>
        <item x="209"/>
        <item x="82"/>
        <item x="135"/>
        <item x="90"/>
        <item x="152"/>
        <item x="111"/>
        <item x="215"/>
        <item x="167"/>
        <item x="229"/>
        <item x="198"/>
        <item x="43"/>
        <item x="91"/>
        <item x="211"/>
        <item x="128"/>
        <item x="27"/>
        <item x="114"/>
        <item x="124"/>
        <item x="214"/>
        <item x="225"/>
        <item x="174"/>
        <item x="121"/>
        <item x="61"/>
        <item x="216"/>
        <item x="37"/>
        <item x="66"/>
        <item x="17"/>
        <item x="204"/>
        <item x="168"/>
        <item x="73"/>
        <item x="83"/>
        <item x="100"/>
        <item x="138"/>
        <item x="143"/>
        <item x="149"/>
        <item x="88"/>
        <item x="115"/>
        <item x="5"/>
        <item x="127"/>
        <item x="197"/>
        <item x="130"/>
        <item x="158"/>
        <item x="164"/>
        <item x="201"/>
        <item x="74"/>
        <item x="47"/>
        <item x="28"/>
        <item x="150"/>
        <item x="146"/>
        <item x="183"/>
        <item x="205"/>
        <item x="172"/>
        <item x="67"/>
        <item x="161"/>
        <item x="57"/>
        <item x="159"/>
        <item x="84"/>
        <item x="226"/>
        <item x="0"/>
        <item x="62"/>
        <item x="103"/>
        <item x="92"/>
        <item x="33"/>
        <item x="228"/>
        <item x="154"/>
        <item x="132"/>
        <item x="194"/>
        <item x="101"/>
        <item x="79"/>
        <item x="192"/>
        <item x="176"/>
        <item x="65"/>
        <item x="118"/>
        <item x="38"/>
        <item x="58"/>
        <item x="180"/>
        <item x="173"/>
        <item x="49"/>
        <item x="20"/>
        <item x="63"/>
        <item x="202"/>
        <item x="68"/>
        <item x="18"/>
        <item x="144"/>
        <item x="89"/>
        <item x="44"/>
        <item x="10"/>
        <item x="95"/>
        <item x="212"/>
        <item x="75"/>
        <item x="6"/>
        <item x="112"/>
        <item x="208"/>
        <item x="153"/>
        <item x="109"/>
        <item x="178"/>
        <item x="97"/>
        <item x="119"/>
        <item x="29"/>
        <item x="223"/>
        <item x="122"/>
        <item x="98"/>
        <item x="169"/>
        <item x="206"/>
        <item x="136"/>
        <item x="25"/>
        <item x="196"/>
        <item x="21"/>
        <item x="151"/>
        <item x="182"/>
        <item x="85"/>
        <item x="125"/>
        <item x="195"/>
        <item x="7"/>
        <item x="39"/>
        <item x="34"/>
        <item x="11"/>
        <item x="133"/>
        <item x="213"/>
        <item x="179"/>
        <item x="106"/>
        <item x="1"/>
        <item x="186"/>
        <item x="189"/>
        <item x="86"/>
        <item x="187"/>
        <item x="59"/>
        <item x="129"/>
        <item x="69"/>
        <item x="147"/>
        <item x="76"/>
        <item x="184"/>
        <item x="12"/>
        <item x="102"/>
        <item x="170"/>
        <item x="155"/>
        <item x="104"/>
        <item x="80"/>
        <item x="224"/>
        <item x="48"/>
        <item x="220"/>
        <item x="199"/>
        <item x="8"/>
        <item x="30"/>
        <item x="219"/>
        <item x="22"/>
        <item x="181"/>
        <item x="64"/>
        <item x="222"/>
        <item x="145"/>
        <item x="188"/>
        <item x="107"/>
        <item x="157"/>
        <item x="177"/>
        <item x="99"/>
        <item x="19"/>
        <item x="96"/>
        <item x="70"/>
        <item x="45"/>
        <item x="13"/>
        <item x="26"/>
        <item x="134"/>
        <item x="116"/>
        <item x="190"/>
        <item x="2"/>
        <item x="160"/>
        <item x="191"/>
        <item x="110"/>
        <item x="120"/>
        <item x="32"/>
        <item x="139"/>
        <item x="50"/>
        <item x="51"/>
        <item x="54"/>
        <item x="55"/>
        <item x="217"/>
        <item x="52"/>
        <item x="53"/>
        <item x="141"/>
        <item x="207"/>
        <item x="60"/>
        <item x="35"/>
        <item x="71"/>
        <item x="165"/>
        <item x="163"/>
        <item x="87"/>
        <item x="14"/>
        <item x="148"/>
        <item x="77"/>
        <item x="203"/>
        <item x="93"/>
        <item x="46"/>
        <item x="218"/>
        <item x="40"/>
        <item x="31"/>
        <item x="113"/>
        <item x="23"/>
        <item x="36"/>
        <item x="171"/>
        <item x="185"/>
        <item x="9"/>
        <item x="175"/>
        <item x="123"/>
        <item x="15"/>
        <item x="108"/>
        <item x="41"/>
        <item x="137"/>
        <item x="72"/>
        <item x="16"/>
        <item x="156"/>
        <item x="24"/>
        <item x="105"/>
        <item x="227"/>
        <item x="210"/>
        <item x="126"/>
        <item x="140"/>
        <item x="78"/>
        <item x="94"/>
        <item x="117"/>
        <item x="193"/>
        <item x="3"/>
        <item x="81"/>
        <item x="166"/>
        <item x="131"/>
        <item x="162"/>
        <item x="230"/>
        <item x="142"/>
        <item x="56"/>
        <item x="200"/>
        <item x="221"/>
        <item x="4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x="2"/>
        <item sd="0" x="3"/>
        <item sd="0" x="4"/>
        <item t="default"/>
      </items>
    </pivotField>
  </pivotFields>
  <rowFields count="4">
    <field x="1"/>
    <field x="19"/>
    <field x="2"/>
    <field x="3"/>
  </rowFields>
  <rowItems count="1825">
    <i>
      <x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31"/>
    </i>
    <i>
      <x v="2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8"/>
    </i>
    <i r="2">
      <x v="61"/>
    </i>
    <i r="3">
      <x v="228"/>
    </i>
    <i r="1">
      <x v="3"/>
    </i>
    <i>
      <x v="3"/>
    </i>
    <i r="1">
      <x v="2"/>
    </i>
    <i r="2">
      <x v="12"/>
    </i>
    <i r="3">
      <x v="59"/>
    </i>
    <i r="2">
      <x v="23"/>
    </i>
    <i r="3">
      <x v="19"/>
    </i>
    <i r="2">
      <x v="29"/>
    </i>
    <i r="3">
      <x v="117"/>
    </i>
    <i r="2">
      <x v="48"/>
    </i>
    <i r="3">
      <x v="176"/>
    </i>
    <i>
      <x v="4"/>
    </i>
    <i r="1">
      <x v="2"/>
    </i>
    <i r="2">
      <x v="24"/>
    </i>
    <i r="3">
      <x v="60"/>
    </i>
    <i r="2">
      <x v="28"/>
    </i>
    <i r="3">
      <x v="113"/>
    </i>
    <i r="2">
      <x v="32"/>
    </i>
    <i r="3">
      <x v="82"/>
    </i>
    <i r="2">
      <x v="34"/>
    </i>
    <i r="3">
      <x v="205"/>
    </i>
    <i r="2">
      <x v="36"/>
    </i>
    <i r="3">
      <x v="160"/>
    </i>
    <i r="2">
      <x v="55"/>
    </i>
    <i r="3">
      <x v="160"/>
    </i>
    <i>
      <x v="5"/>
    </i>
    <i r="1">
      <x v="2"/>
    </i>
    <i r="2">
      <x v="12"/>
    </i>
    <i r="3">
      <x v="78"/>
    </i>
    <i r="2">
      <x v="23"/>
    </i>
    <i r="3">
      <x v="78"/>
    </i>
    <i r="2">
      <x v="29"/>
    </i>
    <i r="3">
      <x v="126"/>
    </i>
    <i r="2">
      <x v="48"/>
    </i>
    <i r="3">
      <x v="186"/>
    </i>
    <i>
      <x v="6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7"/>
    </i>
    <i r="1">
      <x v="2"/>
    </i>
    <i r="2">
      <x v="36"/>
    </i>
    <i r="3">
      <x v="131"/>
    </i>
    <i>
      <x v="8"/>
    </i>
    <i r="1">
      <x v="2"/>
    </i>
    <i r="2">
      <x v="12"/>
    </i>
    <i r="3">
      <x v="86"/>
    </i>
    <i r="2">
      <x v="23"/>
    </i>
    <i r="3">
      <x v="33"/>
    </i>
    <i r="2">
      <x v="29"/>
    </i>
    <i r="3">
      <x v="130"/>
    </i>
    <i r="2">
      <x v="36"/>
    </i>
    <i r="3">
      <x v="150"/>
    </i>
    <i r="2">
      <x v="48"/>
    </i>
    <i r="3">
      <x v="191"/>
    </i>
    <i>
      <x v="9"/>
    </i>
    <i r="1">
      <x v="2"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5"/>
    </i>
    <i>
      <x v="10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1"/>
    </i>
    <i r="1">
      <x v="1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2"/>
    </i>
    <i r="1">
      <x v="1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3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54"/>
    </i>
    <i r="3">
      <x v="169"/>
    </i>
    <i>
      <x v="1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5"/>
    </i>
    <i r="1">
      <x v="2"/>
    </i>
    <i r="2">
      <x v="36"/>
    </i>
    <i r="3">
      <x v="19"/>
    </i>
    <i>
      <x v="16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3"/>
    </i>
    <i r="3">
      <x v="40"/>
    </i>
    <i r="2">
      <x v="36"/>
    </i>
    <i r="3">
      <x v="174"/>
    </i>
    <i>
      <x v="17"/>
    </i>
    <i r="1">
      <x v="2"/>
    </i>
    <i r="2">
      <x v="36"/>
    </i>
    <i r="3">
      <x v="56"/>
    </i>
    <i r="3">
      <x v="73"/>
    </i>
    <i>
      <x v="18"/>
    </i>
    <i r="1">
      <x v="1"/>
    </i>
    <i r="1">
      <x v="2"/>
    </i>
    <i r="2">
      <x v="1"/>
    </i>
    <i r="2">
      <x v="2"/>
    </i>
    <i>
      <x v="19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0"/>
    </i>
    <i>
      <x v="20"/>
    </i>
    <i r="1">
      <x v="2"/>
    </i>
    <i r="2">
      <x v="36"/>
    </i>
    <i r="3">
      <x v="25"/>
    </i>
    <i r="3">
      <x v="126"/>
    </i>
    <i>
      <x v="2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20"/>
    </i>
    <i r="3">
      <x v="34"/>
    </i>
    <i>
      <x v="22"/>
    </i>
    <i r="1">
      <x v="2"/>
    </i>
    <i r="2">
      <x v="12"/>
    </i>
    <i r="3">
      <x v="76"/>
    </i>
    <i r="2">
      <x v="23"/>
    </i>
    <i r="3">
      <x v="45"/>
    </i>
    <i r="2">
      <x v="29"/>
    </i>
    <i r="3">
      <x v="130"/>
    </i>
    <i r="2">
      <x v="36"/>
    </i>
    <i r="3">
      <x v="148"/>
    </i>
    <i r="2">
      <x v="48"/>
    </i>
    <i r="3">
      <x v="194"/>
    </i>
    <i>
      <x v="23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4"/>
    </i>
    <i r="1">
      <x v="2"/>
    </i>
    <i r="2">
      <x v="12"/>
    </i>
    <i r="3">
      <x v="72"/>
    </i>
    <i r="2">
      <x v="23"/>
    </i>
    <i r="3">
      <x v="21"/>
    </i>
    <i r="2">
      <x v="29"/>
    </i>
    <i r="3">
      <x v="130"/>
    </i>
    <i r="2">
      <x v="36"/>
    </i>
    <i r="3">
      <x v="153"/>
    </i>
    <i r="2">
      <x v="48"/>
    </i>
    <i r="3">
      <x v="191"/>
    </i>
    <i>
      <x v="25"/>
    </i>
    <i r="1">
      <x v="1"/>
    </i>
    <i r="1">
      <x v="2"/>
    </i>
    <i r="2">
      <x v="1"/>
    </i>
    <i r="2">
      <x v="16"/>
    </i>
    <i r="3">
      <x v="50"/>
    </i>
    <i r="2">
      <x v="17"/>
    </i>
    <i r="3">
      <x v="50"/>
    </i>
    <i r="2">
      <x v="18"/>
    </i>
    <i r="3">
      <x v="72"/>
    </i>
    <i>
      <x v="2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61"/>
    </i>
    <i r="3">
      <x v="225"/>
    </i>
    <i r="2">
      <x v="62"/>
    </i>
    <i r="3">
      <x v="226"/>
    </i>
    <i>
      <x v="2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8"/>
    </i>
    <i r="1">
      <x v="2"/>
    </i>
    <i r="2">
      <x v="36"/>
    </i>
    <i r="3">
      <x v="76"/>
    </i>
    <i r="3">
      <x v="172"/>
    </i>
    <i>
      <x v="29"/>
    </i>
    <i r="1">
      <x v="2"/>
    </i>
    <i r="2">
      <x v="12"/>
    </i>
    <i r="3">
      <x v="72"/>
    </i>
    <i r="2">
      <x v="23"/>
    </i>
    <i r="3">
      <x v="72"/>
    </i>
    <i r="2">
      <x v="29"/>
    </i>
    <i r="3">
      <x v="130"/>
    </i>
    <i r="2">
      <x v="48"/>
    </i>
    <i r="3">
      <x v="191"/>
    </i>
    <i>
      <x v="30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2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3"/>
    </i>
    <i r="1">
      <x v="2"/>
    </i>
    <i r="2">
      <x v="12"/>
    </i>
    <i r="3">
      <x v="72"/>
    </i>
    <i r="2">
      <x v="23"/>
    </i>
    <i r="3">
      <x v="34"/>
    </i>
    <i r="2">
      <x v="29"/>
    </i>
    <i r="3">
      <x v="130"/>
    </i>
    <i r="2">
      <x v="36"/>
    </i>
    <i r="3">
      <x v="173"/>
    </i>
    <i r="2">
      <x v="48"/>
    </i>
    <i r="3">
      <x v="191"/>
    </i>
    <i>
      <x v="34"/>
    </i>
    <i r="1">
      <x v="1"/>
    </i>
    <i r="1">
      <x v="2"/>
    </i>
    <i r="2">
      <x v="12"/>
    </i>
    <i r="3">
      <x v="72"/>
    </i>
    <i r="2">
      <x v="29"/>
    </i>
    <i r="3">
      <x v="130"/>
    </i>
    <i r="2">
      <x v="36"/>
    </i>
    <i r="3">
      <x v="148"/>
    </i>
    <i r="2">
      <x v="48"/>
    </i>
    <i r="3">
      <x v="191"/>
    </i>
    <i>
      <x v="3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5"/>
    </i>
    <i>
      <x v="36"/>
    </i>
    <i r="1">
      <x v="2"/>
    </i>
    <i r="2">
      <x v="36"/>
    </i>
    <i r="3">
      <x v="59"/>
    </i>
    <i r="3">
      <x v="77"/>
    </i>
    <i r="3">
      <x v="117"/>
    </i>
    <i>
      <x v="37"/>
    </i>
    <i r="1">
      <x v="2"/>
    </i>
    <i r="2">
      <x v="22"/>
    </i>
    <i r="3">
      <x v="19"/>
    </i>
    <i r="2">
      <x v="28"/>
    </i>
    <i r="3">
      <x v="123"/>
    </i>
    <i r="2">
      <x v="31"/>
    </i>
    <i r="3">
      <x v="45"/>
    </i>
    <i r="2">
      <x v="32"/>
    </i>
    <i r="3">
      <x v="82"/>
    </i>
    <i r="2">
      <x v="34"/>
    </i>
    <i r="3">
      <x v="199"/>
    </i>
    <i r="2">
      <x v="36"/>
    </i>
    <i r="3">
      <x v="121"/>
    </i>
    <i r="2">
      <x v="55"/>
    </i>
    <i r="3">
      <x v="158"/>
    </i>
    <i>
      <x v="38"/>
    </i>
    <i r="1">
      <x v="2"/>
    </i>
    <i r="2">
      <x v="22"/>
    </i>
    <i r="3">
      <x v="22"/>
    </i>
    <i r="2">
      <x v="28"/>
    </i>
    <i r="3">
      <x v="130"/>
    </i>
    <i r="2">
      <x v="31"/>
    </i>
    <i r="3">
      <x v="22"/>
    </i>
    <i r="2">
      <x v="32"/>
    </i>
    <i r="3">
      <x v="54"/>
    </i>
    <i r="2">
      <x v="34"/>
    </i>
    <i r="3">
      <x v="170"/>
    </i>
    <i r="2">
      <x v="55"/>
    </i>
    <i r="3">
      <x v="167"/>
    </i>
    <i>
      <x v="39"/>
    </i>
    <i r="1">
      <x v="2"/>
    </i>
    <i r="2">
      <x v="36"/>
    </i>
    <i r="3">
      <x v="29"/>
    </i>
    <i r="3">
      <x v="130"/>
    </i>
    <i r="3">
      <x v="191"/>
    </i>
    <i>
      <x v="40"/>
    </i>
    <i r="1">
      <x v="1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2"/>
    </i>
    <i>
      <x v="41"/>
    </i>
    <i r="1">
      <x v="2"/>
    </i>
    <i r="2">
      <x v="24"/>
    </i>
    <i r="3">
      <x v="19"/>
    </i>
    <i r="2">
      <x v="33"/>
    </i>
    <i r="3">
      <x v="78"/>
    </i>
    <i r="2">
      <x v="56"/>
    </i>
    <i r="3">
      <x v="156"/>
    </i>
    <i>
      <x v="42"/>
    </i>
    <i r="1">
      <x v="2"/>
    </i>
    <i r="2">
      <x v="12"/>
    </i>
    <i r="3">
      <x v="71"/>
    </i>
    <i r="2">
      <x v="23"/>
    </i>
    <i r="3">
      <x v="31"/>
    </i>
    <i r="2">
      <x v="29"/>
    </i>
    <i r="3">
      <x v="129"/>
    </i>
    <i r="2">
      <x v="36"/>
    </i>
    <i r="3">
      <x v="167"/>
    </i>
    <i r="2">
      <x v="48"/>
    </i>
    <i r="3">
      <x v="189"/>
    </i>
    <i>
      <x v="43"/>
    </i>
    <i r="1">
      <x v="2"/>
    </i>
    <i r="2">
      <x v="36"/>
    </i>
    <i r="3">
      <x v="53"/>
    </i>
    <i>
      <x v="44"/>
    </i>
    <i r="1">
      <x v="2"/>
    </i>
    <i r="2">
      <x v="36"/>
    </i>
    <i r="3">
      <x v="53"/>
    </i>
    <i>
      <x v="45"/>
    </i>
    <i r="1">
      <x v="2"/>
    </i>
    <i r="2">
      <x v="36"/>
    </i>
    <i r="3">
      <x v="53"/>
    </i>
    <i>
      <x v="46"/>
    </i>
    <i r="1">
      <x v="2"/>
    </i>
    <i r="2">
      <x v="36"/>
    </i>
    <i r="3">
      <x v="53"/>
    </i>
    <i>
      <x v="47"/>
    </i>
    <i r="1">
      <x v="2"/>
    </i>
    <i r="2">
      <x v="36"/>
    </i>
    <i r="3">
      <x v="53"/>
    </i>
    <i>
      <x v="48"/>
    </i>
    <i r="1">
      <x v="2"/>
    </i>
    <i r="2">
      <x v="36"/>
    </i>
    <i r="3">
      <x v="53"/>
    </i>
    <i>
      <x v="49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50"/>
    </i>
    <i r="1">
      <x v="2"/>
    </i>
    <i r="2">
      <x v="36"/>
    </i>
    <i r="3">
      <x v="59"/>
    </i>
    <i r="3">
      <x v="117"/>
    </i>
    <i r="3">
      <x v="172"/>
    </i>
    <i>
      <x v="51"/>
    </i>
    <i r="1">
      <x v="1"/>
    </i>
    <i r="1">
      <x v="2"/>
    </i>
    <i r="2">
      <x v="28"/>
    </i>
    <i r="3">
      <x v="128"/>
    </i>
    <i r="2">
      <x v="31"/>
    </i>
    <i r="3">
      <x v="50"/>
    </i>
    <i r="2">
      <x v="32"/>
    </i>
    <i r="3">
      <x v="84"/>
    </i>
    <i r="2">
      <x v="34"/>
    </i>
    <i r="3">
      <x v="206"/>
    </i>
    <i r="2">
      <x v="36"/>
    </i>
    <i r="3">
      <x v="136"/>
    </i>
    <i r="2">
      <x v="55"/>
    </i>
    <i r="3">
      <x v="164"/>
    </i>
    <i>
      <x v="52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31"/>
    </i>
    <i>
      <x v="53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8"/>
    </i>
    <i r="2">
      <x v="9"/>
    </i>
    <i r="2">
      <x v="10"/>
    </i>
    <i r="2">
      <x v="11"/>
    </i>
    <i r="2">
      <x v="28"/>
    </i>
    <i r="3">
      <x v="135"/>
    </i>
    <i>
      <x v="54"/>
    </i>
    <i r="1">
      <x v="2"/>
    </i>
    <i r="2">
      <x v="12"/>
    </i>
    <i r="3">
      <x v="59"/>
    </i>
    <i r="2">
      <x v="23"/>
    </i>
    <i r="3">
      <x v="19"/>
    </i>
    <i r="2">
      <x v="29"/>
    </i>
    <i r="3">
      <x v="117"/>
    </i>
    <i r="2">
      <x v="48"/>
    </i>
    <i r="3">
      <x v="176"/>
    </i>
    <i>
      <x v="55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3"/>
    </i>
    <i>
      <x v="56"/>
    </i>
    <i r="1">
      <x v="2"/>
    </i>
    <i r="2">
      <x v="22"/>
    </i>
    <i r="3">
      <x v="25"/>
    </i>
    <i r="2">
      <x v="28"/>
    </i>
    <i r="3">
      <x v="124"/>
    </i>
    <i r="2">
      <x v="31"/>
    </i>
    <i r="3">
      <x v="44"/>
    </i>
    <i r="2">
      <x v="32"/>
    </i>
    <i r="3">
      <x v="84"/>
    </i>
    <i r="2">
      <x v="34"/>
    </i>
    <i r="3">
      <x v="199"/>
    </i>
    <i r="2">
      <x v="55"/>
    </i>
    <i r="3">
      <x v="164"/>
    </i>
    <i>
      <x v="57"/>
    </i>
    <i r="1">
      <x v="2"/>
    </i>
    <i r="2">
      <x v="36"/>
    </i>
    <i r="3">
      <x v="76"/>
    </i>
    <i r="3">
      <x v="172"/>
    </i>
    <i>
      <x v="58"/>
    </i>
    <i r="1">
      <x v="1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17"/>
    </i>
    <i>
      <x v="59"/>
    </i>
    <i r="1">
      <x v="2"/>
    </i>
    <i r="2">
      <x v="22"/>
    </i>
    <i r="3">
      <x v="19"/>
    </i>
    <i r="2">
      <x v="28"/>
    </i>
    <i r="3">
      <x v="117"/>
    </i>
    <i r="2">
      <x v="31"/>
    </i>
    <i r="3">
      <x v="40"/>
    </i>
    <i r="2">
      <x v="32"/>
    </i>
    <i r="3">
      <x v="78"/>
    </i>
    <i r="2">
      <x v="34"/>
    </i>
    <i r="3">
      <x v="196"/>
    </i>
    <i r="2">
      <x v="55"/>
    </i>
    <i r="3">
      <x v="156"/>
    </i>
    <i>
      <x v="60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5"/>
    </i>
    <i r="3">
      <x v="141"/>
    </i>
    <i>
      <x v="6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62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0"/>
    </i>
    <i>
      <x v="63"/>
    </i>
    <i r="1">
      <x v="2"/>
    </i>
    <i r="2">
      <x v="22"/>
    </i>
    <i r="3">
      <x v="13"/>
    </i>
    <i r="2">
      <x v="28"/>
    </i>
    <i r="3">
      <x v="122"/>
    </i>
    <i r="2">
      <x v="31"/>
    </i>
    <i r="3">
      <x v="47"/>
    </i>
    <i r="2">
      <x v="32"/>
    </i>
    <i r="3">
      <x v="84"/>
    </i>
    <i r="2">
      <x v="34"/>
    </i>
    <i r="3">
      <x v="198"/>
    </i>
    <i r="2">
      <x v="36"/>
    </i>
    <i r="3">
      <x v="162"/>
    </i>
    <i r="2">
      <x v="55"/>
    </i>
    <i r="3">
      <x v="162"/>
    </i>
    <i>
      <x v="64"/>
    </i>
    <i r="1">
      <x v="2"/>
    </i>
    <i r="2">
      <x v="36"/>
    </i>
    <i r="3">
      <x v="18"/>
    </i>
    <i r="3">
      <x v="19"/>
    </i>
    <i r="2">
      <x v="43"/>
    </i>
    <i r="3">
      <x v="96"/>
    </i>
    <i r="2">
      <x v="44"/>
    </i>
    <i r="3">
      <x v="96"/>
    </i>
    <i r="2">
      <x v="45"/>
    </i>
    <i r="3">
      <x v="117"/>
    </i>
    <i r="2">
      <x v="46"/>
    </i>
    <i r="3">
      <x v="145"/>
    </i>
    <i>
      <x v="65"/>
    </i>
    <i r="1">
      <x v="2"/>
    </i>
    <i r="2">
      <x v="46"/>
    </i>
    <i r="3">
      <x v="145"/>
    </i>
    <i>
      <x v="66"/>
    </i>
    <i r="1">
      <x v="2"/>
    </i>
    <i r="2">
      <x v="36"/>
    </i>
    <i r="3">
      <x v="78"/>
    </i>
    <i r="2">
      <x v="45"/>
    </i>
    <i r="3">
      <x v="117"/>
    </i>
    <i>
      <x v="67"/>
    </i>
    <i r="1">
      <x v="2"/>
    </i>
    <i r="2">
      <x v="29"/>
    </i>
    <i r="3">
      <x v="130"/>
    </i>
    <i r="2">
      <x v="36"/>
    </i>
    <i r="3">
      <x v="72"/>
    </i>
    <i r="2">
      <x v="48"/>
    </i>
    <i r="3">
      <x v="191"/>
    </i>
    <i>
      <x v="68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5"/>
    </i>
    <i r="3">
      <x v="117"/>
    </i>
    <i>
      <x v="6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4"/>
    </i>
    <i>
      <x v="70"/>
    </i>
    <i r="1">
      <x v="2"/>
    </i>
    <i r="2">
      <x v="36"/>
    </i>
    <i r="3">
      <x v="140"/>
    </i>
    <i>
      <x v="71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1"/>
    </i>
    <i>
      <x v="72"/>
    </i>
    <i r="1">
      <x v="1"/>
    </i>
    <i r="1">
      <x v="2"/>
    </i>
    <i r="2"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73"/>
    </i>
    <i r="1">
      <x v="2"/>
    </i>
    <i r="2">
      <x v="12"/>
    </i>
    <i r="3">
      <x v="59"/>
    </i>
    <i r="2">
      <x v="29"/>
    </i>
    <i r="3">
      <x v="117"/>
    </i>
    <i r="2">
      <x v="36"/>
    </i>
    <i r="3">
      <x v="36"/>
    </i>
    <i r="2">
      <x v="48"/>
    </i>
    <i r="3">
      <x v="176"/>
    </i>
    <i>
      <x v="74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1"/>
    </i>
    <i>
      <x v="7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31"/>
    </i>
    <i>
      <x v="76"/>
    </i>
    <i r="1">
      <x v="2"/>
    </i>
    <i r="2">
      <x v="12"/>
    </i>
    <i r="3">
      <x v="68"/>
    </i>
    <i r="2">
      <x v="23"/>
    </i>
    <i r="3">
      <x v="55"/>
    </i>
    <i r="2">
      <x v="29"/>
    </i>
    <i r="3">
      <x v="127"/>
    </i>
    <i r="2">
      <x v="36"/>
    </i>
    <i r="3">
      <x v="127"/>
    </i>
    <i r="2">
      <x v="48"/>
    </i>
    <i r="3">
      <x v="188"/>
    </i>
    <i>
      <x v="77"/>
    </i>
    <i r="1">
      <x v="2"/>
    </i>
    <i r="2">
      <x v="36"/>
    </i>
    <i r="3">
      <x v="76"/>
    </i>
    <i r="3">
      <x v="117"/>
    </i>
    <i>
      <x v="78"/>
    </i>
    <i r="1">
      <x v="2"/>
    </i>
    <i r="2">
      <x v="36"/>
    </i>
    <i r="3">
      <x v="56"/>
    </i>
    <i r="3">
      <x v="176"/>
    </i>
    <i>
      <x v="79"/>
    </i>
    <i r="1">
      <x v="2"/>
    </i>
    <i r="2">
      <x v="36"/>
    </i>
    <i r="3">
      <x v="76"/>
    </i>
    <i>
      <x v="80"/>
    </i>
    <i r="1">
      <x v="2"/>
    </i>
    <i r="2">
      <x v="12"/>
    </i>
    <i r="3">
      <x v="87"/>
    </i>
    <i r="2">
      <x v="23"/>
    </i>
    <i r="3">
      <x v="75"/>
    </i>
    <i r="2">
      <x v="29"/>
    </i>
    <i r="3">
      <x v="130"/>
    </i>
    <i r="2">
      <x v="48"/>
    </i>
    <i r="3">
      <x v="191"/>
    </i>
    <i>
      <x v="81"/>
    </i>
    <i r="1">
      <x v="1"/>
    </i>
    <i r="1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82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53"/>
    </i>
    <i>
      <x v="83"/>
    </i>
    <i r="1">
      <x v="2"/>
    </i>
    <i r="2">
      <x v="6"/>
    </i>
    <i r="2">
      <x v="7"/>
    </i>
    <i r="2">
      <x v="22"/>
    </i>
    <i r="3">
      <x v="51"/>
    </i>
    <i r="2">
      <x v="31"/>
    </i>
    <i r="3">
      <x v="52"/>
    </i>
    <i r="2">
      <x v="32"/>
    </i>
    <i r="3">
      <x v="90"/>
    </i>
    <i r="2">
      <x v="34"/>
    </i>
    <i r="3">
      <x v="210"/>
    </i>
    <i r="2">
      <x v="55"/>
    </i>
    <i r="3">
      <x v="150"/>
    </i>
    <i>
      <x v="8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3"/>
    </i>
    <i>
      <x v="85"/>
    </i>
    <i r="1">
      <x v="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23"/>
    </i>
    <i r="3">
      <x v="156"/>
    </i>
    <i>
      <x v="86"/>
    </i>
    <i r="1">
      <x v="2"/>
    </i>
    <i r="2">
      <x v="23"/>
    </i>
    <i r="3">
      <x v="72"/>
    </i>
    <i>
      <x v="87"/>
    </i>
    <i r="1">
      <x v="2"/>
    </i>
    <i r="2">
      <x v="12"/>
    </i>
    <i r="3">
      <x v="93"/>
    </i>
    <i r="2">
      <x v="29"/>
    </i>
    <i r="3">
      <x v="130"/>
    </i>
    <i r="2">
      <x v="36"/>
    </i>
    <i r="3">
      <x v="130"/>
    </i>
    <i r="2">
      <x v="48"/>
    </i>
    <i r="3">
      <x v="191"/>
    </i>
    <i>
      <x v="88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36"/>
    </i>
    <i r="3">
      <x v="131"/>
    </i>
    <i r="2">
      <x v="54"/>
    </i>
    <i r="3">
      <x v="164"/>
    </i>
    <i>
      <x v="8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90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91"/>
    </i>
    <i r="1">
      <x v="2"/>
    </i>
    <i r="2">
      <x v="26"/>
    </i>
    <i r="3">
      <x v="51"/>
    </i>
    <i r="2">
      <x v="28"/>
    </i>
    <i r="3">
      <x v="126"/>
    </i>
    <i r="2">
      <x v="32"/>
    </i>
    <i r="3">
      <x v="85"/>
    </i>
    <i r="2">
      <x v="34"/>
    </i>
    <i r="3">
      <x v="208"/>
    </i>
    <i r="2">
      <x v="36"/>
    </i>
    <i r="3">
      <x v="135"/>
    </i>
    <i r="2">
      <x v="55"/>
    </i>
    <i r="3">
      <x v="166"/>
    </i>
    <i>
      <x v="92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39"/>
    </i>
    <i>
      <x v="93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2"/>
    </i>
    <i r="3">
      <x v="56"/>
    </i>
    <i>
      <x v="9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0"/>
    </i>
    <i>
      <x v="95"/>
    </i>
    <i r="1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36"/>
    </i>
    <i r="3">
      <x v="32"/>
    </i>
    <i r="3">
      <x v="164"/>
    </i>
    <i r="2">
      <x v="54"/>
    </i>
    <i r="3">
      <x v="118"/>
    </i>
    <i>
      <x v="96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97"/>
    </i>
    <i r="1">
      <x v="2"/>
    </i>
    <i r="2">
      <x v="19"/>
    </i>
    <i r="3">
      <x v="151"/>
    </i>
    <i r="2">
      <x v="36"/>
    </i>
    <i r="3">
      <x v="114"/>
    </i>
    <i r="2">
      <x v="47"/>
    </i>
    <i r="3">
      <x v="213"/>
    </i>
    <i r="2">
      <x v="50"/>
    </i>
    <i r="3">
      <x v="114"/>
    </i>
    <i r="2">
      <x v="52"/>
    </i>
    <i r="3">
      <x v="167"/>
    </i>
    <i r="2">
      <x v="53"/>
    </i>
    <i r="3">
      <x v="114"/>
    </i>
    <i r="2">
      <x v="57"/>
    </i>
    <i r="3">
      <x v="213"/>
    </i>
    <i r="2">
      <x v="58"/>
    </i>
    <i r="3">
      <x v="167"/>
    </i>
    <i r="2">
      <x v="59"/>
    </i>
    <i r="3">
      <x v="132"/>
    </i>
    <i>
      <x v="98"/>
    </i>
    <i r="1">
      <x v="2"/>
    </i>
    <i r="2">
      <x v="36"/>
    </i>
    <i r="3">
      <x v="59"/>
    </i>
    <i r="3">
      <x v="77"/>
    </i>
    <i r="3">
      <x v="117"/>
    </i>
    <i>
      <x v="9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00"/>
    </i>
    <i r="1">
      <x v="2"/>
    </i>
    <i r="2">
      <x v="13"/>
    </i>
    <i r="3">
      <x v="191"/>
    </i>
    <i r="2">
      <x v="30"/>
    </i>
    <i r="3">
      <x v="152"/>
    </i>
    <i r="2">
      <x v="60"/>
    </i>
    <i r="3">
      <x v="191"/>
    </i>
    <i>
      <x v="101"/>
    </i>
    <i r="1">
      <x v="2"/>
    </i>
    <i r="2">
      <x v="13"/>
    </i>
    <i r="3">
      <x v="89"/>
    </i>
    <i r="3">
      <x v="112"/>
    </i>
    <i r="3">
      <x v="191"/>
    </i>
    <i r="2">
      <x v="30"/>
    </i>
    <i r="3">
      <x v="56"/>
    </i>
    <i r="3">
      <x v="71"/>
    </i>
    <i r="3">
      <x v="87"/>
    </i>
    <i r="3">
      <x v="119"/>
    </i>
    <i r="3">
      <x v="152"/>
    </i>
    <i r="2">
      <x v="49"/>
    </i>
    <i r="3">
      <x v="140"/>
    </i>
    <i r="2">
      <x v="51"/>
    </i>
    <i r="3">
      <x v="191"/>
    </i>
    <i r="2">
      <x v="60"/>
    </i>
    <i r="3">
      <x v="39"/>
    </i>
    <i r="3">
      <x v="41"/>
    </i>
    <i r="3">
      <x v="71"/>
    </i>
    <i r="3">
      <x v="87"/>
    </i>
    <i r="3">
      <x v="110"/>
    </i>
    <i r="3">
      <x v="119"/>
    </i>
    <i r="3">
      <x v="191"/>
    </i>
    <i>
      <x v="102"/>
    </i>
    <i r="1">
      <x v="2"/>
    </i>
    <i r="2">
      <x v="13"/>
    </i>
    <i r="3">
      <x v="23"/>
    </i>
    <i r="3">
      <x v="31"/>
    </i>
    <i r="3">
      <x v="40"/>
    </i>
    <i r="3">
      <x v="89"/>
    </i>
    <i r="3">
      <x v="112"/>
    </i>
    <i r="2">
      <x v="14"/>
    </i>
    <i r="3">
      <x v="40"/>
    </i>
    <i r="2">
      <x v="15"/>
    </i>
    <i r="3">
      <x v="40"/>
    </i>
    <i r="2">
      <x v="27"/>
    </i>
    <i r="3">
      <x v="40"/>
    </i>
    <i r="2">
      <x v="30"/>
    </i>
    <i r="3">
      <x v="71"/>
    </i>
    <i r="3">
      <x v="87"/>
    </i>
    <i r="3">
      <x v="119"/>
    </i>
    <i r="3">
      <x v="152"/>
    </i>
    <i r="2">
      <x v="49"/>
    </i>
    <i r="3">
      <x v="140"/>
    </i>
    <i r="2">
      <x v="51"/>
    </i>
    <i r="3">
      <x v="191"/>
    </i>
    <i r="2">
      <x v="60"/>
    </i>
    <i r="3">
      <x v="71"/>
    </i>
    <i r="3">
      <x v="87"/>
    </i>
    <i r="3">
      <x v="119"/>
    </i>
    <i r="3">
      <x v="191"/>
    </i>
    <i>
      <x v="103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0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55"/>
    </i>
    <i>
      <x v="105"/>
    </i>
    <i r="1">
      <x v="1"/>
    </i>
    <i r="1">
      <x v="2"/>
    </i>
    <i r="2">
      <x v="3"/>
    </i>
    <i r="2">
      <x v="4"/>
    </i>
    <i r="2">
      <x v="5"/>
    </i>
    <i r="2">
      <x v="6"/>
    </i>
    <i r="2">
      <x v="9"/>
    </i>
    <i r="2">
      <x v="10"/>
    </i>
    <i r="2">
      <x v="11"/>
    </i>
    <i>
      <x v="10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7"/>
    </i>
    <i>
      <x v="107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08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09"/>
    </i>
    <i r="1">
      <x v="2"/>
    </i>
    <i r="2">
      <x v="36"/>
    </i>
    <i r="3">
      <x v="76"/>
    </i>
    <i>
      <x v="110"/>
    </i>
    <i r="1">
      <x v="2"/>
    </i>
    <i r="2">
      <x v="12"/>
    </i>
    <i r="3">
      <x v="62"/>
    </i>
    <i r="2">
      <x v="23"/>
    </i>
    <i r="3">
      <x v="62"/>
    </i>
    <i r="2">
      <x v="29"/>
    </i>
    <i r="3">
      <x v="119"/>
    </i>
    <i r="2">
      <x v="48"/>
    </i>
    <i r="3">
      <x v="183"/>
    </i>
    <i>
      <x v="111"/>
    </i>
    <i r="1">
      <x v="2"/>
    </i>
    <i r="2">
      <x v="22"/>
    </i>
    <i r="3">
      <x v="23"/>
    </i>
    <i r="2">
      <x v="28"/>
    </i>
    <i r="3">
      <x v="119"/>
    </i>
    <i r="2">
      <x v="31"/>
    </i>
    <i r="3">
      <x v="45"/>
    </i>
    <i r="2">
      <x v="32"/>
    </i>
    <i r="3">
      <x v="81"/>
    </i>
    <i r="2">
      <x v="34"/>
    </i>
    <i r="3">
      <x v="198"/>
    </i>
    <i r="2">
      <x v="36"/>
    </i>
    <i r="3">
      <x v="119"/>
    </i>
    <i r="2">
      <x v="55"/>
    </i>
    <i r="3">
      <x v="160"/>
    </i>
    <i>
      <x v="112"/>
    </i>
    <i r="1">
      <x v="2"/>
    </i>
    <i r="2">
      <x v="36"/>
    </i>
    <i r="3">
      <x v="76"/>
    </i>
    <i>
      <x v="113"/>
    </i>
    <i r="1">
      <x v="2"/>
    </i>
    <i r="2">
      <x v="36"/>
    </i>
    <i r="3">
      <x v="76"/>
    </i>
    <i>
      <x v="114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43"/>
    </i>
    <i>
      <x v="115"/>
    </i>
    <i r="1">
      <x v="2"/>
    </i>
    <i r="2">
      <x v="22"/>
    </i>
    <i r="3">
      <x v="51"/>
    </i>
    <i r="2">
      <x v="28"/>
    </i>
    <i r="3">
      <x v="137"/>
    </i>
    <i r="2">
      <x v="31"/>
    </i>
    <i r="3">
      <x v="57"/>
    </i>
    <i r="2">
      <x v="32"/>
    </i>
    <i r="3">
      <x v="94"/>
    </i>
    <i r="2">
      <x v="34"/>
    </i>
    <i r="3">
      <x v="217"/>
    </i>
    <i r="2">
      <x v="55"/>
    </i>
    <i r="3">
      <x v="176"/>
    </i>
    <i>
      <x v="116"/>
    </i>
    <i r="1">
      <x v="2"/>
    </i>
    <i r="2">
      <x v="22"/>
    </i>
    <i r="3">
      <x v="23"/>
    </i>
    <i r="2">
      <x v="28"/>
    </i>
    <i r="3">
      <x v="119"/>
    </i>
    <i r="2">
      <x v="31"/>
    </i>
    <i r="3">
      <x v="45"/>
    </i>
    <i r="2">
      <x v="32"/>
    </i>
    <i r="3">
      <x v="81"/>
    </i>
    <i r="2">
      <x v="34"/>
    </i>
    <i r="3">
      <x v="198"/>
    </i>
    <i r="2">
      <x v="55"/>
    </i>
    <i r="3">
      <x v="176"/>
    </i>
    <i>
      <x v="117"/>
    </i>
    <i r="1">
      <x v="1"/>
    </i>
    <i r="1">
      <x v="2"/>
    </i>
    <i r="2">
      <x v="12"/>
    </i>
    <i r="3">
      <x v="67"/>
    </i>
    <i r="2">
      <x v="29"/>
    </i>
    <i r="3">
      <x v="125"/>
    </i>
    <i r="2">
      <x v="48"/>
    </i>
    <i r="3">
      <x v="185"/>
    </i>
    <i>
      <x v="118"/>
    </i>
    <i r="1">
      <x v="2"/>
    </i>
    <i r="2">
      <x v="36"/>
    </i>
    <i r="3">
      <x v="25"/>
    </i>
    <i r="3">
      <x v="72"/>
    </i>
    <i r="3">
      <x v="130"/>
    </i>
    <i>
      <x v="119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3"/>
    </i>
    <i>
      <x v="120"/>
    </i>
    <i r="1">
      <x v="2"/>
    </i>
    <i r="2">
      <x v="36"/>
    </i>
    <i r="3">
      <x v="15"/>
    </i>
    <i r="2">
      <x v="50"/>
    </i>
    <i r="3">
      <x v="86"/>
    </i>
    <i r="2">
      <x v="53"/>
    </i>
    <i r="3">
      <x v="120"/>
    </i>
    <i r="2">
      <x v="59"/>
    </i>
    <i r="3">
      <x v="183"/>
    </i>
    <i>
      <x v="12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22"/>
    </i>
    <i r="1">
      <x v="1"/>
    </i>
    <i r="1">
      <x v="2"/>
    </i>
    <i r="2">
      <x v="1"/>
    </i>
    <i>
      <x v="123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54"/>
    </i>
    <i r="3">
      <x v="119"/>
    </i>
    <i>
      <x v="124"/>
    </i>
    <i r="1">
      <x v="2"/>
    </i>
    <i r="2">
      <x v="12"/>
    </i>
    <i r="3">
      <x v="66"/>
    </i>
    <i r="2">
      <x v="23"/>
    </i>
    <i r="3">
      <x v="21"/>
    </i>
    <i r="2">
      <x v="29"/>
    </i>
    <i r="3">
      <x v="125"/>
    </i>
    <i r="2">
      <x v="36"/>
    </i>
    <i r="3">
      <x v="179"/>
    </i>
    <i r="2">
      <x v="48"/>
    </i>
    <i r="3">
      <x v="186"/>
    </i>
    <i>
      <x v="125"/>
    </i>
    <i r="1">
      <x v="2"/>
    </i>
    <i r="2">
      <x v="12"/>
    </i>
    <i r="3">
      <x v="66"/>
    </i>
    <i r="2">
      <x v="23"/>
    </i>
    <i r="3">
      <x v="21"/>
    </i>
    <i r="2">
      <x v="29"/>
    </i>
    <i r="3">
      <x v="125"/>
    </i>
    <i r="2">
      <x v="48"/>
    </i>
    <i r="3">
      <x v="186"/>
    </i>
    <i>
      <x v="12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2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28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1"/>
    </i>
    <i>
      <x v="129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30"/>
    </i>
    <i r="1">
      <x v="2"/>
    </i>
    <i r="2">
      <x v="12"/>
    </i>
    <i r="3">
      <x v="66"/>
    </i>
    <i r="2">
      <x v="23"/>
    </i>
    <i r="3">
      <x v="28"/>
    </i>
    <i r="2">
      <x v="29"/>
    </i>
    <i r="3">
      <x v="125"/>
    </i>
    <i r="2">
      <x v="48"/>
    </i>
    <i r="3">
      <x v="187"/>
    </i>
    <i>
      <x v="131"/>
    </i>
    <i r="1">
      <x v="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32"/>
    </i>
    <i r="1">
      <x v="2"/>
    </i>
    <i r="2">
      <x v="36"/>
    </i>
    <i r="3">
      <x v="76"/>
    </i>
    <i r="3">
      <x v="117"/>
    </i>
    <i r="3">
      <x v="172"/>
    </i>
    <i>
      <x v="133"/>
    </i>
    <i r="1">
      <x v="2"/>
    </i>
    <i r="2">
      <x v="10"/>
    </i>
    <i r="2">
      <x v="11"/>
    </i>
    <i r="2">
      <x v="21"/>
    </i>
    <i r="3">
      <x v="168"/>
    </i>
    <i r="2">
      <x v="55"/>
    </i>
    <i r="3">
      <x v="191"/>
    </i>
    <i>
      <x v="134"/>
    </i>
    <i r="1">
      <x v="2"/>
    </i>
    <i r="2">
      <x v="36"/>
    </i>
    <i r="3">
      <x v="160"/>
    </i>
    <i>
      <x v="135"/>
    </i>
    <i r="1">
      <x v="1"/>
    </i>
    <i r="1">
      <x v="2"/>
    </i>
    <i r="2">
      <x v="12"/>
    </i>
    <i r="3">
      <x v="66"/>
    </i>
    <i r="2">
      <x v="29"/>
    </i>
    <i r="3">
      <x v="123"/>
    </i>
    <i r="2">
      <x v="36"/>
    </i>
    <i r="3">
      <x v="152"/>
    </i>
    <i r="2">
      <x v="48"/>
    </i>
    <i r="3">
      <x v="183"/>
    </i>
    <i>
      <x v="13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37"/>
    </i>
    <i r="1">
      <x v="2"/>
    </i>
    <i r="2">
      <x v="22"/>
    </i>
    <i r="3">
      <x v="31"/>
    </i>
    <i r="2">
      <x v="28"/>
    </i>
    <i r="3">
      <x v="123"/>
    </i>
    <i r="2">
      <x v="31"/>
    </i>
    <i r="3">
      <x v="48"/>
    </i>
    <i r="2">
      <x v="32"/>
    </i>
    <i r="3">
      <x v="88"/>
    </i>
    <i r="2">
      <x v="34"/>
    </i>
    <i r="3">
      <x v="205"/>
    </i>
    <i r="2">
      <x v="36"/>
    </i>
    <i r="3">
      <x v="133"/>
    </i>
    <i r="2">
      <x v="55"/>
    </i>
    <i r="3">
      <x v="163"/>
    </i>
    <i>
      <x v="138"/>
    </i>
    <i r="1">
      <x v="2"/>
    </i>
    <i r="2">
      <x v="36"/>
    </i>
    <i r="3">
      <x v="76"/>
    </i>
    <i r="3">
      <x v="172"/>
    </i>
    <i>
      <x v="139"/>
    </i>
    <i r="1">
      <x v="2"/>
    </i>
    <i r="2">
      <x v="7"/>
    </i>
    <i r="2">
      <x v="8"/>
    </i>
    <i r="2">
      <x v="9"/>
    </i>
    <i r="2">
      <x v="10"/>
    </i>
    <i r="2">
      <x v="11"/>
    </i>
    <i>
      <x v="140"/>
    </i>
    <i r="1">
      <x v="2"/>
    </i>
    <i r="2">
      <x v="12"/>
    </i>
    <i r="3">
      <x v="71"/>
    </i>
    <i r="2">
      <x v="23"/>
    </i>
    <i r="3">
      <x v="33"/>
    </i>
    <i r="2">
      <x v="29"/>
    </i>
    <i r="3">
      <x v="124"/>
    </i>
    <i r="2">
      <x v="36"/>
    </i>
    <i r="3">
      <x v="134"/>
    </i>
    <i r="2">
      <x v="48"/>
    </i>
    <i r="3">
      <x v="189"/>
    </i>
    <i>
      <x v="141"/>
    </i>
    <i r="1">
      <x v="1"/>
    </i>
    <i r="1">
      <x v="2"/>
    </i>
    <i r="2">
      <x v="12"/>
    </i>
    <i r="3">
      <x v="68"/>
    </i>
    <i r="2">
      <x v="29"/>
    </i>
    <i r="3">
      <x v="125"/>
    </i>
    <i r="2">
      <x v="48"/>
    </i>
    <i r="3">
      <x v="184"/>
    </i>
    <i>
      <x v="142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43"/>
    </i>
    <i r="1">
      <x v="2"/>
    </i>
    <i r="2">
      <x v="36"/>
    </i>
    <i r="3">
      <x v="40"/>
    </i>
    <i>
      <x v="144"/>
    </i>
    <i r="1">
      <x v="2"/>
    </i>
    <i r="2">
      <x v="38"/>
    </i>
    <i r="3">
      <x v="116"/>
    </i>
    <i r="2">
      <x v="42"/>
    </i>
    <i r="3">
      <x v="86"/>
    </i>
    <i>
      <x v="145"/>
    </i>
    <i r="1">
      <x v="2"/>
    </i>
    <i r="2">
      <x v="38"/>
    </i>
    <i r="3">
      <x v="116"/>
    </i>
    <i r="2">
      <x v="42"/>
    </i>
    <i r="3">
      <x v="86"/>
    </i>
    <i>
      <x v="146"/>
    </i>
    <i r="1">
      <x v="2"/>
    </i>
    <i r="2">
      <x v="38"/>
    </i>
    <i r="3">
      <x v="116"/>
    </i>
    <i r="2">
      <x v="42"/>
    </i>
    <i r="3">
      <x v="86"/>
    </i>
    <i>
      <x v="147"/>
    </i>
    <i r="1">
      <x v="2"/>
    </i>
    <i r="2">
      <x v="40"/>
    </i>
    <i r="3">
      <x v="58"/>
    </i>
    <i r="2">
      <x v="42"/>
    </i>
    <i r="3">
      <x v="86"/>
    </i>
    <i>
      <x v="148"/>
    </i>
    <i r="1">
      <x v="2"/>
    </i>
    <i r="2">
      <x v="37"/>
    </i>
    <i r="3">
      <x v="35"/>
    </i>
    <i r="2">
      <x v="38"/>
    </i>
    <i r="3">
      <x v="116"/>
    </i>
    <i r="2">
      <x v="40"/>
    </i>
    <i r="3">
      <x v="58"/>
    </i>
    <i r="2">
      <x v="41"/>
    </i>
    <i r="3">
      <x v="82"/>
    </i>
    <i>
      <x v="149"/>
    </i>
    <i r="1">
      <x v="2"/>
    </i>
    <i r="2">
      <x v="38"/>
    </i>
    <i r="3">
      <x v="116"/>
    </i>
    <i r="2">
      <x v="42"/>
    </i>
    <i r="3">
      <x v="86"/>
    </i>
    <i>
      <x v="150"/>
    </i>
    <i r="1">
      <x v="2"/>
    </i>
    <i r="2">
      <x v="37"/>
    </i>
    <i r="3">
      <x v="35"/>
    </i>
    <i r="2">
      <x v="38"/>
    </i>
    <i r="3">
      <x v="116"/>
    </i>
    <i r="2">
      <x v="40"/>
    </i>
    <i r="3">
      <x v="58"/>
    </i>
    <i>
      <x v="151"/>
    </i>
    <i r="1">
      <x v="2"/>
    </i>
    <i r="2">
      <x v="39"/>
    </i>
    <i r="3">
      <x v="40"/>
    </i>
    <i r="2">
      <x v="40"/>
    </i>
    <i r="3">
      <x v="58"/>
    </i>
    <i>
      <x v="152"/>
    </i>
    <i r="1">
      <x v="2"/>
    </i>
    <i r="2">
      <x v="37"/>
    </i>
    <i r="3">
      <x v="35"/>
    </i>
    <i r="2">
      <x v="38"/>
    </i>
    <i r="3">
      <x v="116"/>
    </i>
    <i r="2">
      <x v="40"/>
    </i>
    <i r="3">
      <x v="58"/>
    </i>
    <i>
      <x v="153"/>
    </i>
    <i r="1">
      <x v="2"/>
    </i>
    <i r="2">
      <x v="39"/>
    </i>
    <i r="3">
      <x v="40"/>
    </i>
    <i>
      <x v="154"/>
    </i>
    <i r="1">
      <x v="1"/>
    </i>
    <i r="1">
      <x v="2"/>
    </i>
    <i r="2">
      <x v="36"/>
    </i>
    <i r="3">
      <x v="51"/>
    </i>
    <i r="3">
      <x v="59"/>
    </i>
    <i r="3">
      <x v="72"/>
    </i>
    <i r="3">
      <x v="81"/>
    </i>
    <i r="3">
      <x v="109"/>
    </i>
    <i r="3">
      <x v="140"/>
    </i>
    <i r="3">
      <x v="160"/>
    </i>
    <i r="3">
      <x v="178"/>
    </i>
    <i>
      <x v="155"/>
    </i>
    <i r="1">
      <x v="2"/>
    </i>
    <i r="2">
      <x v="36"/>
    </i>
    <i r="3">
      <x v="51"/>
    </i>
    <i r="3">
      <x v="59"/>
    </i>
    <i>
      <x v="156"/>
    </i>
    <i r="1">
      <x v="2"/>
    </i>
    <i r="2">
      <x v="36"/>
    </i>
    <i r="3">
      <x v="51"/>
    </i>
    <i r="3">
      <x v="59"/>
    </i>
    <i>
      <x v="157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58"/>
    </i>
    <i r="1">
      <x v="1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36"/>
    </i>
    <i r="3">
      <x v="168"/>
    </i>
    <i r="2">
      <x v="61"/>
    </i>
    <i r="3">
      <x v="227"/>
    </i>
    <i>
      <x v="159"/>
    </i>
    <i r="1">
      <x v="2"/>
    </i>
    <i r="2">
      <x v="12"/>
    </i>
    <i r="3">
      <x v="89"/>
    </i>
    <i r="2">
      <x v="23"/>
    </i>
    <i r="3">
      <x v="33"/>
    </i>
    <i r="2">
      <x v="29"/>
    </i>
    <i r="3">
      <x v="130"/>
    </i>
    <i r="2">
      <x v="48"/>
    </i>
    <i r="3">
      <x v="191"/>
    </i>
    <i>
      <x v="160"/>
    </i>
    <i r="1">
      <x v="2"/>
    </i>
    <i r="2">
      <x v="22"/>
    </i>
    <i r="3">
      <x v="19"/>
    </i>
    <i r="2">
      <x v="28"/>
    </i>
    <i r="3">
      <x v="128"/>
    </i>
    <i r="2">
      <x v="31"/>
    </i>
    <i r="3">
      <x v="50"/>
    </i>
    <i r="2">
      <x v="32"/>
    </i>
    <i r="3">
      <x v="84"/>
    </i>
    <i r="2">
      <x v="34"/>
    </i>
    <i r="3">
      <x v="206"/>
    </i>
    <i r="2">
      <x v="36"/>
    </i>
    <i r="3">
      <x v="164"/>
    </i>
    <i r="2">
      <x v="55"/>
    </i>
    <i r="3">
      <x v="164"/>
    </i>
    <i>
      <x v="16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2"/>
    </i>
    <i r="3">
      <x v="51"/>
    </i>
    <i r="2">
      <x v="36"/>
    </i>
    <i r="3">
      <x v="177"/>
    </i>
    <i t="grand">
      <x/>
    </i>
  </rowItems>
  <colItems count="1">
    <i/>
  </colItems>
  <dataFields count="1">
    <dataField name="Suma de KG BOLS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6</v>
    <v>8</v>
    <v>58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AABFC-033F-4003-9D9E-06011E2D3D94}" name="Cereal" displayName="Cereal" ref="A1:N1219" totalsRowShown="0" headerRowDxfId="48" dataDxfId="47">
  <autoFilter ref="A1:N1219" xr:uid="{A17AABFC-033F-4003-9D9E-06011E2D3D94}">
    <filterColumn colId="1">
      <filters>
        <filter val="Encañada"/>
      </filters>
    </filterColumn>
  </autoFilter>
  <sortState xmlns:xlrd2="http://schemas.microsoft.com/office/spreadsheetml/2017/richdata2" ref="A218:N230">
    <sortCondition descending="1" ref="B1:B1219"/>
  </sortState>
  <tableColumns count="14">
    <tableColumn id="1" xr3:uid="{FC47A55F-78B1-4DA0-82C1-13EBCC8BC602}" name="EMPRESA" dataDxfId="46"/>
    <tableColumn id="2" xr3:uid="{186E7795-BFCE-4C73-844E-79AA53900C64}" name="MUNICIPALIDAD" dataDxfId="45"/>
    <tableColumn id="9" xr3:uid="{883A084F-CD1E-44FE-B127-D71DEAABA8F4}" name="MES" dataDxfId="44"/>
    <tableColumn id="4" xr3:uid="{81F58AFD-F959-4E9B-983B-D1B27BCBC250}" name="FECHA" dataDxfId="43"/>
    <tableColumn id="5" xr3:uid="{84E87BAD-B1B2-4F2E-BC02-9019819F937E}" name="N° BOLSAS" dataDxfId="42"/>
    <tableColumn id="6" xr3:uid="{C0C05D5F-5F0A-47BB-9D64-BD9EC9307BF4}" name="KG BOLSA" dataDxfId="41"/>
    <tableColumn id="7" xr3:uid="{37270564-9050-49A3-96FB-2A685C0B687C}" name="TOTAL (KG)" dataDxfId="40">
      <calculatedColumnFormula>Cereal[[#This Row],[N° BOLSAS]]*Cereal[[#This Row],[KG BOLSA]]</calculatedColumnFormula>
    </tableColumn>
    <tableColumn id="13" xr3:uid="{3D1E4830-975F-4165-B68B-007387348628}" name="CAP. SACOS" dataDxfId="39"/>
    <tableColumn id="14" xr3:uid="{B1C500E7-DB24-4ED6-AE83-4A69592897FA}" name="N° SACOS" dataDxfId="38">
      <calculatedColumnFormula>ROUNDDOWN(Cereal[[#This Row],[N° BOLSAS]]/Cereal[[#This Row],[CAP. SACOS]],0)</calculatedColumnFormula>
    </tableColumn>
    <tableColumn id="15" xr3:uid="{362A512A-0425-443C-B3CF-D6CAB6F69CF1}" name="UNIDADES" dataDxfId="37">
      <calculatedColumnFormula>Cereal[[#This Row],[N° BOLSAS]]-Cereal[[#This Row],[N° SACOS]]*Cereal[[#This Row],[CAP. SACOS]]</calculatedColumnFormula>
    </tableColumn>
    <tableColumn id="3" xr3:uid="{1B0905CA-6EFD-4E35-BAFA-D833242E2DC4}" name="PRODUCCIÓN" dataDxfId="36"/>
    <tableColumn id="10" xr3:uid="{F93D5716-F3F1-4D11-B7D4-530D4D40D26B}" name="ENVASADO" dataDxfId="35"/>
    <tableColumn id="11" xr3:uid="{7D95C8D3-53A0-4066-ADF9-CBDE51786F4E}" name="SALIDA" dataDxfId="34"/>
    <tableColumn id="8" xr3:uid="{A18D24BB-0E8D-41BD-AFAF-99724C266D99}" name="PRODUCTO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D98A8E-5355-45E4-8CCC-25F14003E51D}" name="Leche" displayName="Leche" ref="A1:I680" totalsRowShown="0" headerRowDxfId="10" dataDxfId="9">
  <autoFilter ref="A1:I680" xr:uid="{A17AABFC-033F-4003-9D9E-06011E2D3D94}">
    <filterColumn colId="1">
      <filters>
        <filter val="Marcara"/>
      </filters>
    </filterColumn>
  </autoFilter>
  <sortState xmlns:xlrd2="http://schemas.microsoft.com/office/spreadsheetml/2017/richdata2" ref="A2:I680">
    <sortCondition ref="B2:B680"/>
    <sortCondition ref="D2:D680"/>
  </sortState>
  <tableColumns count="9">
    <tableColumn id="1" xr3:uid="{AE5F5C0D-1986-4276-AD0A-E1A643AAFBC4}" name="EMPRESA" dataDxfId="8"/>
    <tableColumn id="2" xr3:uid="{0550D010-3022-4E14-A1D6-7A9EDEC8082C}" name="MUNICIPALIDAD" dataDxfId="7"/>
    <tableColumn id="9" xr3:uid="{7FFFD6E7-EB9D-49AC-9B09-7F0471D6F9EC}" name="MES" dataDxfId="6"/>
    <tableColumn id="4" xr3:uid="{3A059B5E-4F6F-4E91-AB19-2A2DF57D29DF}" name="FECHA" dataDxfId="5"/>
    <tableColumn id="5" xr3:uid="{2323BD66-82FF-44E4-869C-62B835912B35}" name="N° LATAS" dataDxfId="4"/>
    <tableColumn id="6" xr3:uid="{B6FC9CC5-AD26-4E18-9D57-526564A20422}" name="TOTAL CAJAS" dataDxfId="3">
      <calculatedColumnFormula>ROUNDDOWN(Leche[[#This Row],[N° LATAS]]/48,0)</calculatedColumnFormula>
    </tableColumn>
    <tableColumn id="10" xr3:uid="{4070C320-0468-4B98-A3FC-F74F5DEEE38D}" name="UNIDADES" dataDxfId="2">
      <calculatedColumnFormula>Leche[[#This Row],[N° LATAS]]-Leche[[#This Row],[TOTAL CAJAS]]*48</calculatedColumnFormula>
    </tableColumn>
    <tableColumn id="11" xr3:uid="{92567438-B0B2-4386-95F2-48C020025393}" name="ENTREGA" dataDxfId="1"/>
    <tableColumn id="7" xr3:uid="{59067DE4-D8C9-4487-B19A-097F69E69E4B}" name="CONFIRMACIÓ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3F04EB-E47F-448C-817B-3067D71BE52A}" name="Entradas" displayName="Entradas" ref="A1:H286" totalsRowShown="0" headerRowDxfId="32" dataDxfId="31">
  <autoFilter ref="A1:H286" xr:uid="{A43F04EB-E47F-448C-817B-3067D71BE52A}"/>
  <tableColumns count="8">
    <tableColumn id="1" xr3:uid="{B589F8AB-B6D1-416E-91DF-44C4393FD28E}" name="FECHA" dataDxfId="30"/>
    <tableColumn id="2" xr3:uid="{5739A1A5-BF11-4D7B-BD19-DC83AA4D15A3}" name="PRODUCTO" dataDxfId="29"/>
    <tableColumn id="3" xr3:uid="{91B8CFAD-71BA-40CF-8435-C7296521D590}" name="PROVEEDOR" dataDxfId="28"/>
    <tableColumn id="4" xr3:uid="{FAEB97B7-B442-49F7-B737-3CC844343712}" name="CODIGO" dataDxfId="27"/>
    <tableColumn id="5" xr3:uid="{92E3BCBE-24FF-4991-ACEF-FE6DB4C3A541}" name="LOTE" dataDxfId="26"/>
    <tableColumn id="6" xr3:uid="{6343B675-FED2-4943-99EA-B784244DE19D}" name="CANTIDAD" dataDxfId="25"/>
    <tableColumn id="8" xr3:uid="{F8CAB155-0D83-4093-99B6-AE7E64B0F2DF}" name="UNIDAD MEDIDA" dataDxfId="24"/>
    <tableColumn id="7" xr3:uid="{0DC4B128-BBD6-4815-8583-6F6B9FD97EB7}" name="NOTAS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240561-647C-417C-8131-D2364A7392AF}" name="Salida" displayName="Salida" ref="K1:R15" totalsRowShown="0" headerRowDxfId="22" dataDxfId="20" headerRowBorderDxfId="21" tableBorderDxfId="19">
  <autoFilter ref="K1:R15" xr:uid="{4B240561-647C-417C-8131-D2364A7392AF}"/>
  <tableColumns count="8">
    <tableColumn id="1" xr3:uid="{7AA1E9F5-C74B-4053-93AB-C8196473F9D9}" name="FECHA" dataDxfId="18"/>
    <tableColumn id="2" xr3:uid="{6CB38004-5E3B-4E32-A7E7-A5886997EDB4}" name="PRODUCTO" dataDxfId="17"/>
    <tableColumn id="3" xr3:uid="{04757BE6-93D0-4486-AE5F-965BC3BB69D1}" name="PROVEEDOR" dataDxfId="16"/>
    <tableColumn id="4" xr3:uid="{09C9EB64-7290-4B4C-9556-3DD5152331F0}" name="CODIGO" dataDxfId="15"/>
    <tableColumn id="5" xr3:uid="{75DEF155-8C6A-4622-ADA6-E429EC7E9639}" name="LOTE" dataDxfId="14"/>
    <tableColumn id="6" xr3:uid="{E09B5ED8-1F22-4BB8-B99A-B958EB37771B}" name="CANTIDAD" dataDxfId="13"/>
    <tableColumn id="7" xr3:uid="{77D845BA-3C24-4FAD-8420-75F02E21FB51}" name="UNIDAD MEDIDA" dataDxfId="12"/>
    <tableColumn id="8" xr3:uid="{81B4743C-13C6-4A9A-AF3B-0CF9631EE9FA}" name="VEHICULO" dataDxfId="1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D772-D920-4086-A205-13912B636184}">
  <sheetPr codeName="Hoja1"/>
  <dimension ref="A1:P1220"/>
  <sheetViews>
    <sheetView tabSelected="1" zoomScale="80" zoomScaleNormal="80" workbookViewId="0">
      <selection activeCell="K736" sqref="K736"/>
    </sheetView>
  </sheetViews>
  <sheetFormatPr baseColWidth="10" defaultColWidth="10.7109375" defaultRowHeight="15" x14ac:dyDescent="0.25"/>
  <cols>
    <col min="1" max="1" width="11.5703125" style="1" customWidth="1"/>
    <col min="2" max="2" width="17.85546875" style="1" customWidth="1"/>
    <col min="3" max="3" width="14.5703125" style="61" customWidth="1"/>
    <col min="4" max="4" width="11.28515625" style="2" bestFit="1" customWidth="1"/>
    <col min="5" max="5" width="12.42578125" style="24" customWidth="1"/>
    <col min="6" max="6" width="11.85546875" style="11" customWidth="1"/>
    <col min="7" max="7" width="14.42578125" style="13" customWidth="1"/>
    <col min="8" max="8" width="14.42578125" style="24" customWidth="1"/>
    <col min="9" max="10" width="14.42578125" style="1" customWidth="1"/>
    <col min="11" max="12" width="14.42578125" style="2" customWidth="1"/>
    <col min="14" max="14" width="147.5703125" style="2" bestFit="1" customWidth="1"/>
    <col min="15" max="15" width="149.5703125" bestFit="1" customWidth="1"/>
    <col min="16" max="16" width="149.5703125" style="1" bestFit="1" customWidth="1"/>
  </cols>
  <sheetData>
    <row r="1" spans="1:14" s="7" customFormat="1" x14ac:dyDescent="0.25">
      <c r="A1" s="5" t="s">
        <v>0</v>
      </c>
      <c r="B1" s="5" t="s">
        <v>1</v>
      </c>
      <c r="C1" s="60" t="s">
        <v>2</v>
      </c>
      <c r="D1" s="6" t="s">
        <v>3</v>
      </c>
      <c r="E1" s="36" t="s">
        <v>4</v>
      </c>
      <c r="F1" s="10" t="s">
        <v>5</v>
      </c>
      <c r="G1" s="12" t="s">
        <v>6</v>
      </c>
      <c r="H1" s="36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</row>
    <row r="2" spans="1:14" hidden="1" x14ac:dyDescent="0.25">
      <c r="A2" s="14" t="s">
        <v>14</v>
      </c>
      <c r="B2" s="14" t="s">
        <v>15</v>
      </c>
      <c r="C2" s="15" t="s">
        <v>16</v>
      </c>
      <c r="D2" s="16">
        <v>46081</v>
      </c>
      <c r="E2" s="17">
        <v>640</v>
      </c>
      <c r="F2" s="18">
        <v>1.27593</v>
      </c>
      <c r="G2" s="19">
        <f>Cereal[[#This Row],[N° BOLSAS]]*Cereal[[#This Row],[KG BOLSA]]</f>
        <v>816.59519999999998</v>
      </c>
      <c r="H2" s="37">
        <v>35</v>
      </c>
      <c r="I2" s="14">
        <f>ROUNDDOWN(Cereal[[#This Row],[N° BOLSAS]]/Cereal[[#This Row],[CAP. SACOS]],0)</f>
        <v>18</v>
      </c>
      <c r="J2" s="14">
        <f>Cereal[[#This Row],[N° BOLSAS]]-Cereal[[#This Row],[N° SACOS]]*Cereal[[#This Row],[CAP. SACOS]]</f>
        <v>10</v>
      </c>
      <c r="K2" s="16">
        <v>46075</v>
      </c>
      <c r="L2" s="16">
        <v>46075</v>
      </c>
      <c r="M2" s="16">
        <v>46119</v>
      </c>
      <c r="N2" s="16" t="s">
        <v>17</v>
      </c>
    </row>
    <row r="3" spans="1:14" hidden="1" x14ac:dyDescent="0.25">
      <c r="A3" s="14" t="s">
        <v>14</v>
      </c>
      <c r="B3" s="14" t="s">
        <v>15</v>
      </c>
      <c r="C3" s="15" t="s">
        <v>18</v>
      </c>
      <c r="D3" s="16">
        <v>46081</v>
      </c>
      <c r="E3" s="17">
        <v>640</v>
      </c>
      <c r="F3" s="18">
        <v>1.27593</v>
      </c>
      <c r="G3" s="19">
        <f>Cereal[[#This Row],[N° BOLSAS]]*Cereal[[#This Row],[KG BOLSA]]</f>
        <v>816.59519999999998</v>
      </c>
      <c r="H3" s="37">
        <v>35</v>
      </c>
      <c r="I3" s="14">
        <f>ROUNDDOWN(Cereal[[#This Row],[N° BOLSAS]]/Cereal[[#This Row],[CAP. SACOS]],0)</f>
        <v>18</v>
      </c>
      <c r="J3" s="14">
        <f>Cereal[[#This Row],[N° BOLSAS]]-Cereal[[#This Row],[N° SACOS]]*Cereal[[#This Row],[CAP. SACOS]]</f>
        <v>10</v>
      </c>
      <c r="K3" s="16">
        <v>46075</v>
      </c>
      <c r="L3" s="16">
        <v>46075</v>
      </c>
      <c r="M3" s="16">
        <v>46119</v>
      </c>
      <c r="N3" s="16" t="s">
        <v>17</v>
      </c>
    </row>
    <row r="4" spans="1:14" hidden="1" x14ac:dyDescent="0.25">
      <c r="A4" s="14" t="s">
        <v>14</v>
      </c>
      <c r="B4" s="14" t="s">
        <v>15</v>
      </c>
      <c r="C4" s="15" t="s">
        <v>19</v>
      </c>
      <c r="D4" s="16">
        <v>46081</v>
      </c>
      <c r="E4" s="17">
        <v>640</v>
      </c>
      <c r="F4" s="18">
        <v>1.27593</v>
      </c>
      <c r="G4" s="19">
        <f>Cereal[[#This Row],[N° BOLSAS]]*Cereal[[#This Row],[KG BOLSA]]</f>
        <v>816.59519999999998</v>
      </c>
      <c r="H4" s="37">
        <v>35</v>
      </c>
      <c r="I4" s="14">
        <f>ROUNDDOWN(Cereal[[#This Row],[N° BOLSAS]]/Cereal[[#This Row],[CAP. SACOS]],0)</f>
        <v>18</v>
      </c>
      <c r="J4" s="14">
        <f>Cereal[[#This Row],[N° BOLSAS]]-Cereal[[#This Row],[N° SACOS]]*Cereal[[#This Row],[CAP. SACOS]]</f>
        <v>10</v>
      </c>
      <c r="K4" s="16">
        <v>46075</v>
      </c>
      <c r="L4" s="16">
        <v>46075</v>
      </c>
      <c r="M4" s="16">
        <v>46119</v>
      </c>
      <c r="N4" s="16" t="s">
        <v>17</v>
      </c>
    </row>
    <row r="5" spans="1:14" hidden="1" x14ac:dyDescent="0.25">
      <c r="A5" s="14" t="s">
        <v>14</v>
      </c>
      <c r="B5" s="14" t="s">
        <v>15</v>
      </c>
      <c r="C5" s="15" t="s">
        <v>20</v>
      </c>
      <c r="D5" s="16">
        <v>46081</v>
      </c>
      <c r="E5" s="17">
        <v>640</v>
      </c>
      <c r="F5" s="18">
        <v>1.27593</v>
      </c>
      <c r="G5" s="19">
        <f>Cereal[[#This Row],[N° BOLSAS]]*Cereal[[#This Row],[KG BOLSA]]</f>
        <v>816.59519999999998</v>
      </c>
      <c r="H5" s="37">
        <v>35</v>
      </c>
      <c r="I5" s="14">
        <f>ROUNDDOWN(Cereal[[#This Row],[N° BOLSAS]]/Cereal[[#This Row],[CAP. SACOS]],0)</f>
        <v>18</v>
      </c>
      <c r="J5" s="14">
        <f>Cereal[[#This Row],[N° BOLSAS]]-Cereal[[#This Row],[N° SACOS]]*Cereal[[#This Row],[CAP. SACOS]]</f>
        <v>10</v>
      </c>
      <c r="K5" s="16">
        <v>46075</v>
      </c>
      <c r="L5" s="16">
        <v>46075</v>
      </c>
      <c r="M5" s="16">
        <v>46119</v>
      </c>
      <c r="N5" s="16" t="s">
        <v>17</v>
      </c>
    </row>
    <row r="6" spans="1:14" hidden="1" x14ac:dyDescent="0.25">
      <c r="A6" s="14" t="s">
        <v>14</v>
      </c>
      <c r="B6" s="14" t="s">
        <v>15</v>
      </c>
      <c r="C6" s="15" t="s">
        <v>21</v>
      </c>
      <c r="D6" s="16">
        <v>46140</v>
      </c>
      <c r="E6" s="17">
        <v>640</v>
      </c>
      <c r="F6" s="18">
        <v>1.27593</v>
      </c>
      <c r="G6" s="19">
        <f>Cereal[[#This Row],[N° BOLSAS]]*Cereal[[#This Row],[KG BOLSA]]</f>
        <v>816.59519999999998</v>
      </c>
      <c r="H6" s="37">
        <v>35</v>
      </c>
      <c r="I6" s="14">
        <f>ROUNDDOWN(Cereal[[#This Row],[N° BOLSAS]]/Cereal[[#This Row],[CAP. SACOS]],0)</f>
        <v>18</v>
      </c>
      <c r="J6" s="14">
        <f>Cereal[[#This Row],[N° BOLSAS]]-Cereal[[#This Row],[N° SACOS]]*Cereal[[#This Row],[CAP. SACOS]]</f>
        <v>10</v>
      </c>
      <c r="K6" s="16">
        <v>46147</v>
      </c>
      <c r="L6" s="16">
        <v>46147</v>
      </c>
      <c r="M6" s="16">
        <v>46147</v>
      </c>
      <c r="N6" s="16" t="s">
        <v>17</v>
      </c>
    </row>
    <row r="7" spans="1:14" hidden="1" x14ac:dyDescent="0.25">
      <c r="A7" s="14" t="s">
        <v>14</v>
      </c>
      <c r="B7" s="14" t="s">
        <v>15</v>
      </c>
      <c r="C7" s="15" t="s">
        <v>22</v>
      </c>
      <c r="D7" s="16">
        <v>46140</v>
      </c>
      <c r="E7" s="17">
        <v>640</v>
      </c>
      <c r="F7" s="18">
        <v>1.27593</v>
      </c>
      <c r="G7" s="19">
        <f>Cereal[[#This Row],[N° BOLSAS]]*Cereal[[#This Row],[KG BOLSA]]</f>
        <v>816.59519999999998</v>
      </c>
      <c r="H7" s="37">
        <v>35</v>
      </c>
      <c r="I7" s="14">
        <f>ROUNDDOWN(Cereal[[#This Row],[N° BOLSAS]]/Cereal[[#This Row],[CAP. SACOS]],0)</f>
        <v>18</v>
      </c>
      <c r="J7" s="14">
        <f>Cereal[[#This Row],[N° BOLSAS]]-Cereal[[#This Row],[N° SACOS]]*Cereal[[#This Row],[CAP. SACOS]]</f>
        <v>10</v>
      </c>
      <c r="K7" s="16">
        <v>46147</v>
      </c>
      <c r="L7" s="16">
        <v>46147</v>
      </c>
      <c r="M7" s="16">
        <v>46147</v>
      </c>
      <c r="N7" s="16" t="s">
        <v>17</v>
      </c>
    </row>
    <row r="8" spans="1:14" hidden="1" x14ac:dyDescent="0.25">
      <c r="A8" s="14" t="s">
        <v>14</v>
      </c>
      <c r="B8" s="14" t="s">
        <v>15</v>
      </c>
      <c r="C8" s="15" t="s">
        <v>23</v>
      </c>
      <c r="D8" s="16">
        <v>46199</v>
      </c>
      <c r="E8" s="17">
        <v>640</v>
      </c>
      <c r="F8" s="18">
        <v>1.27593</v>
      </c>
      <c r="G8" s="19">
        <f>Cereal[[#This Row],[N° BOLSAS]]*Cereal[[#This Row],[KG BOLSA]]</f>
        <v>816.59519999999998</v>
      </c>
      <c r="H8" s="37">
        <v>35</v>
      </c>
      <c r="I8" s="14">
        <f>ROUNDDOWN(Cereal[[#This Row],[N° BOLSAS]]/Cereal[[#This Row],[CAP. SACOS]],0)</f>
        <v>18</v>
      </c>
      <c r="J8" s="14">
        <f>Cereal[[#This Row],[N° BOLSAS]]-Cereal[[#This Row],[N° SACOS]]*Cereal[[#This Row],[CAP. SACOS]]</f>
        <v>10</v>
      </c>
      <c r="K8" s="16">
        <v>46202</v>
      </c>
      <c r="L8" s="16">
        <v>46202</v>
      </c>
      <c r="M8" s="16">
        <v>46202</v>
      </c>
      <c r="N8" s="16" t="s">
        <v>17</v>
      </c>
    </row>
    <row r="9" spans="1:14" hidden="1" x14ac:dyDescent="0.25">
      <c r="A9" s="14" t="s">
        <v>14</v>
      </c>
      <c r="B9" s="14" t="s">
        <v>15</v>
      </c>
      <c r="C9" s="15" t="s">
        <v>24</v>
      </c>
      <c r="D9" s="16">
        <v>46199</v>
      </c>
      <c r="E9" s="17">
        <v>640</v>
      </c>
      <c r="F9" s="18">
        <v>1.27593</v>
      </c>
      <c r="G9" s="19">
        <f>Cereal[[#This Row],[N° BOLSAS]]*Cereal[[#This Row],[KG BOLSA]]</f>
        <v>816.59519999999998</v>
      </c>
      <c r="H9" s="37">
        <v>35</v>
      </c>
      <c r="I9" s="14">
        <f>ROUNDDOWN(Cereal[[#This Row],[N° BOLSAS]]/Cereal[[#This Row],[CAP. SACOS]],0)</f>
        <v>18</v>
      </c>
      <c r="J9" s="14">
        <f>Cereal[[#This Row],[N° BOLSAS]]-Cereal[[#This Row],[N° SACOS]]*Cereal[[#This Row],[CAP. SACOS]]</f>
        <v>10</v>
      </c>
      <c r="K9" s="16">
        <v>46202</v>
      </c>
      <c r="L9" s="16">
        <v>46202</v>
      </c>
      <c r="M9" s="16">
        <v>46202</v>
      </c>
      <c r="N9" s="16" t="s">
        <v>17</v>
      </c>
    </row>
    <row r="10" spans="1:14" hidden="1" x14ac:dyDescent="0.25">
      <c r="A10" s="14" t="s">
        <v>14</v>
      </c>
      <c r="B10" s="14" t="s">
        <v>15</v>
      </c>
      <c r="C10" s="15" t="s">
        <v>25</v>
      </c>
      <c r="D10" s="16">
        <v>46262</v>
      </c>
      <c r="E10" s="17">
        <v>640</v>
      </c>
      <c r="F10" s="18">
        <v>1.27593</v>
      </c>
      <c r="G10" s="19">
        <f>Cereal[[#This Row],[N° BOLSAS]]*Cereal[[#This Row],[KG BOLSA]]</f>
        <v>816.59519999999998</v>
      </c>
      <c r="H10" s="37">
        <v>35</v>
      </c>
      <c r="I10" s="14">
        <f>ROUNDDOWN(Cereal[[#This Row],[N° BOLSAS]]/Cereal[[#This Row],[CAP. SACOS]],0)</f>
        <v>18</v>
      </c>
      <c r="J10" s="14">
        <f>Cereal[[#This Row],[N° BOLSAS]]-Cereal[[#This Row],[N° SACOS]]*Cereal[[#This Row],[CAP. SACOS]]</f>
        <v>10</v>
      </c>
      <c r="K10" s="16">
        <v>46263</v>
      </c>
      <c r="L10" s="16">
        <v>46263</v>
      </c>
      <c r="M10" s="16">
        <v>46269</v>
      </c>
      <c r="N10" s="16" t="s">
        <v>17</v>
      </c>
    </row>
    <row r="11" spans="1:14" hidden="1" x14ac:dyDescent="0.25">
      <c r="A11" s="14" t="s">
        <v>14</v>
      </c>
      <c r="B11" s="14" t="s">
        <v>15</v>
      </c>
      <c r="C11" s="15" t="s">
        <v>26</v>
      </c>
      <c r="D11" s="16">
        <v>46262</v>
      </c>
      <c r="E11" s="17">
        <v>640</v>
      </c>
      <c r="F11" s="18">
        <v>1.27593</v>
      </c>
      <c r="G11" s="19">
        <f>Cereal[[#This Row],[N° BOLSAS]]*Cereal[[#This Row],[KG BOLSA]]</f>
        <v>816.59519999999998</v>
      </c>
      <c r="H11" s="37">
        <v>35</v>
      </c>
      <c r="I11" s="14">
        <f>ROUNDDOWN(Cereal[[#This Row],[N° BOLSAS]]/Cereal[[#This Row],[CAP. SACOS]],0)</f>
        <v>18</v>
      </c>
      <c r="J11" s="14">
        <f>Cereal[[#This Row],[N° BOLSAS]]-Cereal[[#This Row],[N° SACOS]]*Cereal[[#This Row],[CAP. SACOS]]</f>
        <v>10</v>
      </c>
      <c r="K11" s="16">
        <v>46263</v>
      </c>
      <c r="L11" s="16">
        <v>46263</v>
      </c>
      <c r="M11" s="16">
        <v>46269</v>
      </c>
      <c r="N11" s="16" t="s">
        <v>17</v>
      </c>
    </row>
    <row r="12" spans="1:14" hidden="1" x14ac:dyDescent="0.25">
      <c r="A12" s="14" t="s">
        <v>14</v>
      </c>
      <c r="B12" s="14" t="s">
        <v>15</v>
      </c>
      <c r="C12" s="15" t="s">
        <v>27</v>
      </c>
      <c r="D12" s="16">
        <v>46322</v>
      </c>
      <c r="E12" s="17">
        <v>640</v>
      </c>
      <c r="F12" s="18">
        <v>1.27593</v>
      </c>
      <c r="G12" s="19">
        <f>Cereal[[#This Row],[N° BOLSAS]]*Cereal[[#This Row],[KG BOLSA]]</f>
        <v>816.59519999999998</v>
      </c>
      <c r="H12" s="37">
        <v>35</v>
      </c>
      <c r="I12" s="14">
        <f>ROUNDDOWN(Cereal[[#This Row],[N° BOLSAS]]/Cereal[[#This Row],[CAP. SACOS]],0)</f>
        <v>18</v>
      </c>
      <c r="J12" s="14">
        <f>Cereal[[#This Row],[N° BOLSAS]]-Cereal[[#This Row],[N° SACOS]]*Cereal[[#This Row],[CAP. SACOS]]</f>
        <v>10</v>
      </c>
      <c r="K12" s="16"/>
      <c r="L12" s="16"/>
      <c r="M12" s="16"/>
      <c r="N12" s="16" t="s">
        <v>17</v>
      </c>
    </row>
    <row r="13" spans="1:14" hidden="1" x14ac:dyDescent="0.25">
      <c r="A13" s="14" t="s">
        <v>14</v>
      </c>
      <c r="B13" s="14" t="s">
        <v>15</v>
      </c>
      <c r="C13" s="15" t="s">
        <v>28</v>
      </c>
      <c r="D13" s="16">
        <v>46322</v>
      </c>
      <c r="E13" s="17">
        <v>640</v>
      </c>
      <c r="F13" s="18">
        <v>1.27593</v>
      </c>
      <c r="G13" s="19">
        <f>Cereal[[#This Row],[N° BOLSAS]]*Cereal[[#This Row],[KG BOLSA]]</f>
        <v>816.59519999999998</v>
      </c>
      <c r="H13" s="37">
        <v>35</v>
      </c>
      <c r="I13" s="14">
        <f>ROUNDDOWN(Cereal[[#This Row],[N° BOLSAS]]/Cereal[[#This Row],[CAP. SACOS]],0)</f>
        <v>18</v>
      </c>
      <c r="J13" s="14">
        <f>Cereal[[#This Row],[N° BOLSAS]]-Cereal[[#This Row],[N° SACOS]]*Cereal[[#This Row],[CAP. SACOS]]</f>
        <v>10</v>
      </c>
      <c r="K13" s="16"/>
      <c r="L13" s="16"/>
      <c r="M13" s="16"/>
      <c r="N13" s="16" t="s">
        <v>17</v>
      </c>
    </row>
    <row r="14" spans="1:14" hidden="1" x14ac:dyDescent="0.25">
      <c r="A14" s="14" t="s">
        <v>14</v>
      </c>
      <c r="B14" s="14" t="s">
        <v>29</v>
      </c>
      <c r="C14" s="15" t="s">
        <v>30</v>
      </c>
      <c r="D14" s="16">
        <v>46052</v>
      </c>
      <c r="E14" s="17">
        <v>1041</v>
      </c>
      <c r="F14" s="18">
        <v>1</v>
      </c>
      <c r="G14" s="19">
        <f>Cereal[[#This Row],[N° BOLSAS]]*Cereal[[#This Row],[KG BOLSA]]</f>
        <v>1041</v>
      </c>
      <c r="H14" s="37">
        <v>50</v>
      </c>
      <c r="I14" s="14">
        <f>ROUNDDOWN(Cereal[[#This Row],[N° BOLSAS]]/Cereal[[#This Row],[CAP. SACOS]],0)</f>
        <v>20</v>
      </c>
      <c r="J14" s="14">
        <f>Cereal[[#This Row],[N° BOLSAS]]-Cereal[[#This Row],[N° SACOS]]*Cereal[[#This Row],[CAP. SACOS]]</f>
        <v>41</v>
      </c>
      <c r="K14" s="16">
        <v>46051</v>
      </c>
      <c r="L14" s="16">
        <v>46051</v>
      </c>
      <c r="M14" s="16">
        <v>46051</v>
      </c>
      <c r="N14" s="16" t="s">
        <v>31</v>
      </c>
    </row>
    <row r="15" spans="1:14" hidden="1" x14ac:dyDescent="0.25">
      <c r="A15" s="14" t="s">
        <v>14</v>
      </c>
      <c r="B15" s="14" t="s">
        <v>29</v>
      </c>
      <c r="C15" s="15" t="s">
        <v>19</v>
      </c>
      <c r="D15" s="16">
        <v>46112</v>
      </c>
      <c r="E15" s="17">
        <v>547</v>
      </c>
      <c r="F15" s="18">
        <v>1</v>
      </c>
      <c r="G15" s="19">
        <f>Cereal[[#This Row],[N° BOLSAS]]*Cereal[[#This Row],[KG BOLSA]]</f>
        <v>547</v>
      </c>
      <c r="H15" s="37">
        <v>50</v>
      </c>
      <c r="I15" s="14">
        <f>ROUNDDOWN(Cereal[[#This Row],[N° BOLSAS]]/Cereal[[#This Row],[CAP. SACOS]],0)</f>
        <v>10</v>
      </c>
      <c r="J15" s="14">
        <f>Cereal[[#This Row],[N° BOLSAS]]-Cereal[[#This Row],[N° SACOS]]*Cereal[[#This Row],[CAP. SACOS]]</f>
        <v>47</v>
      </c>
      <c r="K15" s="16">
        <v>46109</v>
      </c>
      <c r="L15" s="16">
        <v>46109</v>
      </c>
      <c r="M15" s="16">
        <v>46109</v>
      </c>
      <c r="N15" s="16" t="s">
        <v>31</v>
      </c>
    </row>
    <row r="16" spans="1:14" hidden="1" x14ac:dyDescent="0.25">
      <c r="A16" s="14" t="s">
        <v>14</v>
      </c>
      <c r="B16" s="14" t="s">
        <v>29</v>
      </c>
      <c r="C16" s="15" t="s">
        <v>20</v>
      </c>
      <c r="D16" s="16">
        <v>46112</v>
      </c>
      <c r="E16" s="17">
        <v>528</v>
      </c>
      <c r="F16" s="18">
        <v>1</v>
      </c>
      <c r="G16" s="19">
        <f>Cereal[[#This Row],[N° BOLSAS]]*Cereal[[#This Row],[KG BOLSA]]</f>
        <v>528</v>
      </c>
      <c r="H16" s="37">
        <v>50</v>
      </c>
      <c r="I16" s="14">
        <f>ROUNDDOWN(Cereal[[#This Row],[N° BOLSAS]]/Cereal[[#This Row],[CAP. SACOS]],0)</f>
        <v>10</v>
      </c>
      <c r="J16" s="14">
        <f>Cereal[[#This Row],[N° BOLSAS]]-Cereal[[#This Row],[N° SACOS]]*Cereal[[#This Row],[CAP. SACOS]]</f>
        <v>28</v>
      </c>
      <c r="K16" s="16">
        <v>46109</v>
      </c>
      <c r="L16" s="16">
        <v>46109</v>
      </c>
      <c r="M16" s="16">
        <v>46109</v>
      </c>
      <c r="N16" s="16" t="s">
        <v>31</v>
      </c>
    </row>
    <row r="17" spans="1:14" hidden="1" x14ac:dyDescent="0.25">
      <c r="A17" s="14" t="s">
        <v>14</v>
      </c>
      <c r="B17" s="14" t="s">
        <v>29</v>
      </c>
      <c r="C17" s="15" t="s">
        <v>21</v>
      </c>
      <c r="D17" s="16">
        <v>46127</v>
      </c>
      <c r="E17" s="17">
        <v>547</v>
      </c>
      <c r="F17" s="18">
        <v>1</v>
      </c>
      <c r="G17" s="19">
        <f>Cereal[[#This Row],[N° BOLSAS]]*Cereal[[#This Row],[KG BOLSA]]</f>
        <v>547</v>
      </c>
      <c r="H17" s="37">
        <v>50</v>
      </c>
      <c r="I17" s="14">
        <f>ROUNDDOWN(Cereal[[#This Row],[N° BOLSAS]]/Cereal[[#This Row],[CAP. SACOS]],0)</f>
        <v>10</v>
      </c>
      <c r="J17" s="14">
        <f>Cereal[[#This Row],[N° BOLSAS]]-Cereal[[#This Row],[N° SACOS]]*Cereal[[#This Row],[CAP. SACOS]]</f>
        <v>47</v>
      </c>
      <c r="K17" s="16">
        <v>46136</v>
      </c>
      <c r="L17" s="16">
        <v>46136</v>
      </c>
      <c r="M17" s="16">
        <v>46147</v>
      </c>
      <c r="N17" s="16" t="s">
        <v>31</v>
      </c>
    </row>
    <row r="18" spans="1:14" hidden="1" x14ac:dyDescent="0.25">
      <c r="A18" s="14" t="s">
        <v>14</v>
      </c>
      <c r="B18" s="14" t="s">
        <v>29</v>
      </c>
      <c r="C18" s="15" t="s">
        <v>22</v>
      </c>
      <c r="D18" s="16">
        <v>46127</v>
      </c>
      <c r="E18" s="17">
        <v>528</v>
      </c>
      <c r="F18" s="18">
        <v>1</v>
      </c>
      <c r="G18" s="19">
        <f>Cereal[[#This Row],[N° BOLSAS]]*Cereal[[#This Row],[KG BOLSA]]</f>
        <v>528</v>
      </c>
      <c r="H18" s="37">
        <v>50</v>
      </c>
      <c r="I18" s="14">
        <f>ROUNDDOWN(Cereal[[#This Row],[N° BOLSAS]]/Cereal[[#This Row],[CAP. SACOS]],0)</f>
        <v>10</v>
      </c>
      <c r="J18" s="14">
        <f>Cereal[[#This Row],[N° BOLSAS]]-Cereal[[#This Row],[N° SACOS]]*Cereal[[#This Row],[CAP. SACOS]]</f>
        <v>28</v>
      </c>
      <c r="K18" s="16">
        <v>46136</v>
      </c>
      <c r="L18" s="16">
        <v>46136</v>
      </c>
      <c r="M18" s="16">
        <v>46147</v>
      </c>
      <c r="N18" s="16" t="s">
        <v>31</v>
      </c>
    </row>
    <row r="19" spans="1:14" hidden="1" x14ac:dyDescent="0.25">
      <c r="A19" s="14" t="s">
        <v>14</v>
      </c>
      <c r="B19" s="14" t="s">
        <v>29</v>
      </c>
      <c r="C19" s="15" t="s">
        <v>23</v>
      </c>
      <c r="D19" s="16">
        <v>46188</v>
      </c>
      <c r="E19" s="17">
        <v>547</v>
      </c>
      <c r="F19" s="18">
        <v>1</v>
      </c>
      <c r="G19" s="19">
        <f>Cereal[[#This Row],[N° BOLSAS]]*Cereal[[#This Row],[KG BOLSA]]</f>
        <v>547</v>
      </c>
      <c r="H19" s="37">
        <v>50</v>
      </c>
      <c r="I19" s="14">
        <f>ROUNDDOWN(Cereal[[#This Row],[N° BOLSAS]]/Cereal[[#This Row],[CAP. SACOS]],0)</f>
        <v>10</v>
      </c>
      <c r="J19" s="14">
        <f>Cereal[[#This Row],[N° BOLSAS]]-Cereal[[#This Row],[N° SACOS]]*Cereal[[#This Row],[CAP. SACOS]]</f>
        <v>47</v>
      </c>
      <c r="K19" s="16">
        <v>46175</v>
      </c>
      <c r="L19" s="16">
        <v>46175</v>
      </c>
      <c r="M19" s="16">
        <v>46178</v>
      </c>
      <c r="N19" s="16" t="s">
        <v>31</v>
      </c>
    </row>
    <row r="20" spans="1:14" hidden="1" x14ac:dyDescent="0.25">
      <c r="A20" s="14" t="s">
        <v>14</v>
      </c>
      <c r="B20" s="14" t="s">
        <v>29</v>
      </c>
      <c r="C20" s="15" t="s">
        <v>24</v>
      </c>
      <c r="D20" s="16">
        <v>46188</v>
      </c>
      <c r="E20" s="17">
        <v>547</v>
      </c>
      <c r="F20" s="18">
        <v>1</v>
      </c>
      <c r="G20" s="19">
        <f>Cereal[[#This Row],[N° BOLSAS]]*Cereal[[#This Row],[KG BOLSA]]</f>
        <v>547</v>
      </c>
      <c r="H20" s="37">
        <v>50</v>
      </c>
      <c r="I20" s="14">
        <f>ROUNDDOWN(Cereal[[#This Row],[N° BOLSAS]]/Cereal[[#This Row],[CAP. SACOS]],0)</f>
        <v>10</v>
      </c>
      <c r="J20" s="14">
        <f>Cereal[[#This Row],[N° BOLSAS]]-Cereal[[#This Row],[N° SACOS]]*Cereal[[#This Row],[CAP. SACOS]]</f>
        <v>47</v>
      </c>
      <c r="K20" s="16">
        <v>46175</v>
      </c>
      <c r="L20" s="16">
        <v>46175</v>
      </c>
      <c r="M20" s="16">
        <v>46178</v>
      </c>
      <c r="N20" s="16" t="s">
        <v>31</v>
      </c>
    </row>
    <row r="21" spans="1:14" hidden="1" x14ac:dyDescent="0.25">
      <c r="A21" s="14" t="s">
        <v>14</v>
      </c>
      <c r="B21" s="14" t="s">
        <v>29</v>
      </c>
      <c r="C21" s="15" t="s">
        <v>25</v>
      </c>
      <c r="D21" s="16">
        <v>46249</v>
      </c>
      <c r="E21" s="17">
        <v>530</v>
      </c>
      <c r="F21" s="18">
        <v>1</v>
      </c>
      <c r="G21" s="19">
        <f>Cereal[[#This Row],[N° BOLSAS]]*Cereal[[#This Row],[KG BOLSA]]</f>
        <v>530</v>
      </c>
      <c r="H21" s="37">
        <v>50</v>
      </c>
      <c r="I21" s="14">
        <f>ROUNDDOWN(Cereal[[#This Row],[N° BOLSAS]]/Cereal[[#This Row],[CAP. SACOS]],0)</f>
        <v>10</v>
      </c>
      <c r="J21" s="14">
        <f>Cereal[[#This Row],[N° BOLSAS]]-Cereal[[#This Row],[N° SACOS]]*Cereal[[#This Row],[CAP. SACOS]]</f>
        <v>30</v>
      </c>
      <c r="K21" s="16">
        <v>46241</v>
      </c>
      <c r="L21" s="16">
        <v>46241</v>
      </c>
      <c r="M21" s="16">
        <v>46253</v>
      </c>
      <c r="N21" s="16" t="s">
        <v>31</v>
      </c>
    </row>
    <row r="22" spans="1:14" hidden="1" x14ac:dyDescent="0.25">
      <c r="A22" s="14" t="s">
        <v>14</v>
      </c>
      <c r="B22" s="14" t="s">
        <v>29</v>
      </c>
      <c r="C22" s="15" t="s">
        <v>26</v>
      </c>
      <c r="D22" s="16">
        <v>46249</v>
      </c>
      <c r="E22" s="17">
        <v>548</v>
      </c>
      <c r="F22" s="18">
        <v>1</v>
      </c>
      <c r="G22" s="19">
        <f>Cereal[[#This Row],[N° BOLSAS]]*Cereal[[#This Row],[KG BOLSA]]</f>
        <v>548</v>
      </c>
      <c r="H22" s="37">
        <v>50</v>
      </c>
      <c r="I22" s="14">
        <f>ROUNDDOWN(Cereal[[#This Row],[N° BOLSAS]]/Cereal[[#This Row],[CAP. SACOS]],0)</f>
        <v>10</v>
      </c>
      <c r="J22" s="14">
        <f>Cereal[[#This Row],[N° BOLSAS]]-Cereal[[#This Row],[N° SACOS]]*Cereal[[#This Row],[CAP. SACOS]]</f>
        <v>48</v>
      </c>
      <c r="K22" s="16">
        <v>46241</v>
      </c>
      <c r="L22" s="16">
        <v>46241</v>
      </c>
      <c r="M22" s="16">
        <v>46253</v>
      </c>
      <c r="N22" s="16" t="s">
        <v>31</v>
      </c>
    </row>
    <row r="23" spans="1:14" hidden="1" x14ac:dyDescent="0.25">
      <c r="A23" s="14" t="s">
        <v>14</v>
      </c>
      <c r="B23" s="14" t="s">
        <v>29</v>
      </c>
      <c r="C23" s="15" t="s">
        <v>27</v>
      </c>
      <c r="D23" s="16">
        <v>46310</v>
      </c>
      <c r="E23" s="17">
        <v>530</v>
      </c>
      <c r="F23" s="18">
        <v>1</v>
      </c>
      <c r="G23" s="19">
        <f>Cereal[[#This Row],[N° BOLSAS]]*Cereal[[#This Row],[KG BOLSA]]</f>
        <v>530</v>
      </c>
      <c r="H23" s="37">
        <v>50</v>
      </c>
      <c r="I23" s="14">
        <f>ROUNDDOWN(Cereal[[#This Row],[N° BOLSAS]]/Cereal[[#This Row],[CAP. SACOS]],0)</f>
        <v>10</v>
      </c>
      <c r="J23" s="14">
        <f>Cereal[[#This Row],[N° BOLSAS]]-Cereal[[#This Row],[N° SACOS]]*Cereal[[#This Row],[CAP. SACOS]]</f>
        <v>30</v>
      </c>
      <c r="K23" s="16"/>
      <c r="L23" s="16"/>
      <c r="M23" s="16"/>
      <c r="N23" s="16" t="s">
        <v>31</v>
      </c>
    </row>
    <row r="24" spans="1:14" hidden="1" x14ac:dyDescent="0.25">
      <c r="A24" s="14" t="s">
        <v>14</v>
      </c>
      <c r="B24" s="14" t="s">
        <v>29</v>
      </c>
      <c r="C24" s="15" t="s">
        <v>28</v>
      </c>
      <c r="D24" s="16">
        <v>46310</v>
      </c>
      <c r="E24" s="17">
        <v>548</v>
      </c>
      <c r="F24" s="18">
        <v>1</v>
      </c>
      <c r="G24" s="19">
        <f>Cereal[[#This Row],[N° BOLSAS]]*Cereal[[#This Row],[KG BOLSA]]</f>
        <v>548</v>
      </c>
      <c r="H24" s="37">
        <v>50</v>
      </c>
      <c r="I24" s="14">
        <f>ROUNDDOWN(Cereal[[#This Row],[N° BOLSAS]]/Cereal[[#This Row],[CAP. SACOS]],0)</f>
        <v>10</v>
      </c>
      <c r="J24" s="14">
        <f>Cereal[[#This Row],[N° BOLSAS]]-Cereal[[#This Row],[N° SACOS]]*Cereal[[#This Row],[CAP. SACOS]]</f>
        <v>48</v>
      </c>
      <c r="K24" s="16"/>
      <c r="L24" s="16"/>
      <c r="M24" s="16"/>
      <c r="N24" s="16" t="s">
        <v>31</v>
      </c>
    </row>
    <row r="25" spans="1:14" hidden="1" x14ac:dyDescent="0.25">
      <c r="A25" s="14" t="s">
        <v>14</v>
      </c>
      <c r="B25" s="14" t="s">
        <v>32</v>
      </c>
      <c r="C25" s="15" t="s">
        <v>20</v>
      </c>
      <c r="D25" s="16">
        <v>46112</v>
      </c>
      <c r="E25" s="17">
        <v>3120</v>
      </c>
      <c r="F25" s="18">
        <v>0.95145999999999997</v>
      </c>
      <c r="G25" s="19">
        <f>Cereal[[#This Row],[N° BOLSAS]]*Cereal[[#This Row],[KG BOLSA]]</f>
        <v>2968.5551999999998</v>
      </c>
      <c r="H25" s="37">
        <v>40</v>
      </c>
      <c r="I25" s="14">
        <f>ROUNDDOWN(Cereal[[#This Row],[N° BOLSAS]]/Cereal[[#This Row],[CAP. SACOS]],0)</f>
        <v>78</v>
      </c>
      <c r="J25" s="14">
        <f>Cereal[[#This Row],[N° BOLSAS]]-Cereal[[#This Row],[N° SACOS]]*Cereal[[#This Row],[CAP. SACOS]]</f>
        <v>0</v>
      </c>
      <c r="K25" s="16">
        <v>46105</v>
      </c>
      <c r="L25" s="16">
        <v>46105</v>
      </c>
      <c r="M25" s="16">
        <v>46105</v>
      </c>
      <c r="N25" s="16" t="s">
        <v>33</v>
      </c>
    </row>
    <row r="26" spans="1:14" hidden="1" x14ac:dyDescent="0.25">
      <c r="A26" s="14" t="s">
        <v>14</v>
      </c>
      <c r="B26" s="14" t="s">
        <v>32</v>
      </c>
      <c r="C26" s="15" t="s">
        <v>21</v>
      </c>
      <c r="D26" s="16">
        <v>46142</v>
      </c>
      <c r="E26" s="17">
        <v>3120</v>
      </c>
      <c r="F26" s="18">
        <v>0.95145999999999997</v>
      </c>
      <c r="G26" s="19">
        <f>Cereal[[#This Row],[N° BOLSAS]]*Cereal[[#This Row],[KG BOLSA]]</f>
        <v>2968.5551999999998</v>
      </c>
      <c r="H26" s="37">
        <v>40</v>
      </c>
      <c r="I26" s="14">
        <f>ROUNDDOWN(Cereal[[#This Row],[N° BOLSAS]]/Cereal[[#This Row],[CAP. SACOS]],0)</f>
        <v>78</v>
      </c>
      <c r="J26" s="14">
        <f>Cereal[[#This Row],[N° BOLSAS]]-Cereal[[#This Row],[N° SACOS]]*Cereal[[#This Row],[CAP. SACOS]]</f>
        <v>0</v>
      </c>
      <c r="K26" s="16">
        <v>46139</v>
      </c>
      <c r="L26" s="16">
        <v>46139</v>
      </c>
      <c r="M26" s="16">
        <v>46139</v>
      </c>
      <c r="N26" s="16" t="s">
        <v>33</v>
      </c>
    </row>
    <row r="27" spans="1:14" hidden="1" x14ac:dyDescent="0.25">
      <c r="A27" s="14" t="s">
        <v>14</v>
      </c>
      <c r="B27" s="14" t="s">
        <v>32</v>
      </c>
      <c r="C27" s="15" t="s">
        <v>22</v>
      </c>
      <c r="D27" s="16">
        <v>46173</v>
      </c>
      <c r="E27" s="17">
        <v>3120</v>
      </c>
      <c r="F27" s="18">
        <v>0.95145999999999997</v>
      </c>
      <c r="G27" s="19">
        <f>Cereal[[#This Row],[N° BOLSAS]]*Cereal[[#This Row],[KG BOLSA]]</f>
        <v>2968.5551999999998</v>
      </c>
      <c r="H27" s="37">
        <v>40</v>
      </c>
      <c r="I27" s="14">
        <f>ROUNDDOWN(Cereal[[#This Row],[N° BOLSAS]]/Cereal[[#This Row],[CAP. SACOS]],0)</f>
        <v>78</v>
      </c>
      <c r="J27" s="14">
        <f>Cereal[[#This Row],[N° BOLSAS]]-Cereal[[#This Row],[N° SACOS]]*Cereal[[#This Row],[CAP. SACOS]]</f>
        <v>0</v>
      </c>
      <c r="K27" s="16">
        <v>46161</v>
      </c>
      <c r="L27" s="16">
        <v>46161</v>
      </c>
      <c r="M27" s="16">
        <v>46167</v>
      </c>
      <c r="N27" s="16" t="s">
        <v>33</v>
      </c>
    </row>
    <row r="28" spans="1:14" hidden="1" x14ac:dyDescent="0.25">
      <c r="A28" s="14" t="s">
        <v>14</v>
      </c>
      <c r="B28" s="14" t="s">
        <v>32</v>
      </c>
      <c r="C28" s="15" t="s">
        <v>23</v>
      </c>
      <c r="D28" s="16">
        <v>46203</v>
      </c>
      <c r="E28" s="17">
        <v>3120</v>
      </c>
      <c r="F28" s="18">
        <v>0.95145999999999997</v>
      </c>
      <c r="G28" s="19">
        <f>Cereal[[#This Row],[N° BOLSAS]]*Cereal[[#This Row],[KG BOLSA]]</f>
        <v>2968.5551999999998</v>
      </c>
      <c r="H28" s="37">
        <v>40</v>
      </c>
      <c r="I28" s="14">
        <f>ROUNDDOWN(Cereal[[#This Row],[N° BOLSAS]]/Cereal[[#This Row],[CAP. SACOS]],0)</f>
        <v>78</v>
      </c>
      <c r="J28" s="14">
        <f>Cereal[[#This Row],[N° BOLSAS]]-Cereal[[#This Row],[N° SACOS]]*Cereal[[#This Row],[CAP. SACOS]]</f>
        <v>0</v>
      </c>
      <c r="K28" s="16">
        <v>46197</v>
      </c>
      <c r="L28" s="16">
        <v>46197</v>
      </c>
      <c r="M28" s="16">
        <v>46197</v>
      </c>
      <c r="N28" s="16" t="s">
        <v>33</v>
      </c>
    </row>
    <row r="29" spans="1:14" hidden="1" x14ac:dyDescent="0.25">
      <c r="A29" s="14" t="s">
        <v>14</v>
      </c>
      <c r="B29" s="14" t="s">
        <v>32</v>
      </c>
      <c r="C29" s="15" t="s">
        <v>24</v>
      </c>
      <c r="D29" s="16">
        <v>46234</v>
      </c>
      <c r="E29" s="17">
        <v>3120</v>
      </c>
      <c r="F29" s="18">
        <v>0.95145999999999997</v>
      </c>
      <c r="G29" s="19">
        <f>Cereal[[#This Row],[N° BOLSAS]]*Cereal[[#This Row],[KG BOLSA]]</f>
        <v>2968.5551999999998</v>
      </c>
      <c r="H29" s="37">
        <v>40</v>
      </c>
      <c r="I29" s="14">
        <f>ROUNDDOWN(Cereal[[#This Row],[N° BOLSAS]]/Cereal[[#This Row],[CAP. SACOS]],0)</f>
        <v>78</v>
      </c>
      <c r="J29" s="14">
        <f>Cereal[[#This Row],[N° BOLSAS]]-Cereal[[#This Row],[N° SACOS]]*Cereal[[#This Row],[CAP. SACOS]]</f>
        <v>0</v>
      </c>
      <c r="K29" s="16">
        <v>46225</v>
      </c>
      <c r="L29" s="16">
        <v>46225</v>
      </c>
      <c r="M29" s="16">
        <v>46225</v>
      </c>
      <c r="N29" s="16" t="s">
        <v>33</v>
      </c>
    </row>
    <row r="30" spans="1:14" hidden="1" x14ac:dyDescent="0.25">
      <c r="A30" s="14" t="s">
        <v>14</v>
      </c>
      <c r="B30" s="14" t="s">
        <v>32</v>
      </c>
      <c r="C30" s="15" t="s">
        <v>30</v>
      </c>
      <c r="D30" s="16">
        <v>46265</v>
      </c>
      <c r="E30" s="17">
        <v>3120</v>
      </c>
      <c r="F30" s="18">
        <v>1.18512</v>
      </c>
      <c r="G30" s="19">
        <f>Cereal[[#This Row],[N° BOLSAS]]*Cereal[[#This Row],[KG BOLSA]]</f>
        <v>3697.5744</v>
      </c>
      <c r="H30" s="37">
        <v>35</v>
      </c>
      <c r="I30" s="14">
        <f>ROUNDDOWN(Cereal[[#This Row],[N° BOLSAS]]/Cereal[[#This Row],[CAP. SACOS]],0)</f>
        <v>89</v>
      </c>
      <c r="J30" s="14">
        <f>Cereal[[#This Row],[N° BOLSAS]]-Cereal[[#This Row],[N° SACOS]]*Cereal[[#This Row],[CAP. SACOS]]</f>
        <v>5</v>
      </c>
      <c r="K30" s="16">
        <v>46244</v>
      </c>
      <c r="L30" s="16">
        <v>46244</v>
      </c>
      <c r="M30" s="16">
        <v>46244</v>
      </c>
      <c r="N30" s="16" t="s">
        <v>33</v>
      </c>
    </row>
    <row r="31" spans="1:14" hidden="1" x14ac:dyDescent="0.25">
      <c r="A31" s="14" t="s">
        <v>14</v>
      </c>
      <c r="B31" s="14" t="s">
        <v>32</v>
      </c>
      <c r="C31" s="15" t="s">
        <v>25</v>
      </c>
      <c r="D31" s="16">
        <v>46265</v>
      </c>
      <c r="E31" s="17">
        <v>3120</v>
      </c>
      <c r="F31" s="18">
        <v>0.95145999999999997</v>
      </c>
      <c r="G31" s="19">
        <f>Cereal[[#This Row],[N° BOLSAS]]*Cereal[[#This Row],[KG BOLSA]]</f>
        <v>2968.5551999999998</v>
      </c>
      <c r="H31" s="37">
        <v>40</v>
      </c>
      <c r="I31" s="14">
        <f>ROUNDDOWN(Cereal[[#This Row],[N° BOLSAS]]/Cereal[[#This Row],[CAP. SACOS]],0)</f>
        <v>78</v>
      </c>
      <c r="J31" s="14">
        <f>Cereal[[#This Row],[N° BOLSAS]]-Cereal[[#This Row],[N° SACOS]]*Cereal[[#This Row],[CAP. SACOS]]</f>
        <v>0</v>
      </c>
      <c r="K31" s="16">
        <v>46251</v>
      </c>
      <c r="L31" s="16">
        <v>46251</v>
      </c>
      <c r="M31" s="16">
        <v>46263</v>
      </c>
      <c r="N31" s="16" t="s">
        <v>33</v>
      </c>
    </row>
    <row r="32" spans="1:14" hidden="1" x14ac:dyDescent="0.25">
      <c r="A32" s="14" t="s">
        <v>14</v>
      </c>
      <c r="B32" s="14" t="s">
        <v>32</v>
      </c>
      <c r="C32" s="15" t="s">
        <v>26</v>
      </c>
      <c r="D32" s="16">
        <v>46295</v>
      </c>
      <c r="E32" s="17">
        <v>3120</v>
      </c>
      <c r="F32" s="18">
        <v>0.95145999999999997</v>
      </c>
      <c r="G32" s="19">
        <f>Cereal[[#This Row],[N° BOLSAS]]*Cereal[[#This Row],[KG BOLSA]]</f>
        <v>2968.5551999999998</v>
      </c>
      <c r="H32" s="37">
        <v>40</v>
      </c>
      <c r="I32" s="14">
        <f>ROUNDDOWN(Cereal[[#This Row],[N° BOLSAS]]/Cereal[[#This Row],[CAP. SACOS]],0)</f>
        <v>78</v>
      </c>
      <c r="J32" s="14">
        <f>Cereal[[#This Row],[N° BOLSAS]]-Cereal[[#This Row],[N° SACOS]]*Cereal[[#This Row],[CAP. SACOS]]</f>
        <v>0</v>
      </c>
      <c r="K32" s="16">
        <v>46290</v>
      </c>
      <c r="L32" s="16">
        <v>46290</v>
      </c>
      <c r="M32" s="16">
        <v>46290</v>
      </c>
      <c r="N32" s="16" t="s">
        <v>33</v>
      </c>
    </row>
    <row r="33" spans="1:14" ht="18.75" hidden="1" customHeight="1" x14ac:dyDescent="0.25">
      <c r="A33" s="14" t="s">
        <v>14</v>
      </c>
      <c r="B33" s="14" t="s">
        <v>32</v>
      </c>
      <c r="C33" s="15" t="s">
        <v>27</v>
      </c>
      <c r="D33" s="16">
        <v>46326</v>
      </c>
      <c r="E33" s="17">
        <v>3120</v>
      </c>
      <c r="F33" s="18">
        <v>0.95145999999999997</v>
      </c>
      <c r="G33" s="19">
        <f>Cereal[[#This Row],[N° BOLSAS]]*Cereal[[#This Row],[KG BOLSA]]</f>
        <v>2968.5551999999998</v>
      </c>
      <c r="H33" s="37">
        <v>40</v>
      </c>
      <c r="I33" s="14">
        <f>ROUNDDOWN(Cereal[[#This Row],[N° BOLSAS]]/Cereal[[#This Row],[CAP. SACOS]],0)</f>
        <v>78</v>
      </c>
      <c r="J33" s="14">
        <f>Cereal[[#This Row],[N° BOLSAS]]-Cereal[[#This Row],[N° SACOS]]*Cereal[[#This Row],[CAP. SACOS]]</f>
        <v>0</v>
      </c>
      <c r="K33" s="16"/>
      <c r="L33" s="16"/>
      <c r="M33" s="16"/>
      <c r="N33" s="16" t="s">
        <v>33</v>
      </c>
    </row>
    <row r="34" spans="1:14" hidden="1" x14ac:dyDescent="0.25">
      <c r="A34" s="14" t="s">
        <v>14</v>
      </c>
      <c r="B34" s="14" t="s">
        <v>32</v>
      </c>
      <c r="C34" s="15" t="s">
        <v>28</v>
      </c>
      <c r="D34" s="16">
        <v>46356</v>
      </c>
      <c r="E34" s="17">
        <v>3120</v>
      </c>
      <c r="F34" s="18">
        <v>0.95145999999999997</v>
      </c>
      <c r="G34" s="19">
        <f>Cereal[[#This Row],[N° BOLSAS]]*Cereal[[#This Row],[KG BOLSA]]</f>
        <v>2968.5551999999998</v>
      </c>
      <c r="H34" s="37">
        <v>40</v>
      </c>
      <c r="I34" s="14">
        <f>ROUNDDOWN(Cereal[[#This Row],[N° BOLSAS]]/Cereal[[#This Row],[CAP. SACOS]],0)</f>
        <v>78</v>
      </c>
      <c r="J34" s="14">
        <f>Cereal[[#This Row],[N° BOLSAS]]-Cereal[[#This Row],[N° SACOS]]*Cereal[[#This Row],[CAP. SACOS]]</f>
        <v>0</v>
      </c>
      <c r="K34" s="16"/>
      <c r="L34" s="16"/>
      <c r="M34" s="16"/>
      <c r="N34" s="16" t="s">
        <v>33</v>
      </c>
    </row>
    <row r="35" spans="1:14" hidden="1" x14ac:dyDescent="0.25">
      <c r="A35" s="14" t="s">
        <v>14</v>
      </c>
      <c r="B35" s="14" t="s">
        <v>32</v>
      </c>
      <c r="C35" s="88">
        <v>46388</v>
      </c>
      <c r="D35" s="16">
        <v>46387</v>
      </c>
      <c r="E35" s="17">
        <v>3120</v>
      </c>
      <c r="F35" s="18">
        <v>0.95145999999999997</v>
      </c>
      <c r="G35" s="19">
        <f>Cereal[[#This Row],[N° BOLSAS]]*Cereal[[#This Row],[KG BOLSA]]</f>
        <v>2968.5551999999998</v>
      </c>
      <c r="H35" s="37">
        <v>40</v>
      </c>
      <c r="I35" s="14">
        <f>ROUNDDOWN(Cereal[[#This Row],[N° BOLSAS]]/Cereal[[#This Row],[CAP. SACOS]],0)</f>
        <v>78</v>
      </c>
      <c r="J35" s="14">
        <f>Cereal[[#This Row],[N° BOLSAS]]-Cereal[[#This Row],[N° SACOS]]*Cereal[[#This Row],[CAP. SACOS]]</f>
        <v>0</v>
      </c>
      <c r="K35" s="16"/>
      <c r="L35" s="16"/>
      <c r="M35" s="16"/>
      <c r="N35" s="16" t="s">
        <v>33</v>
      </c>
    </row>
    <row r="36" spans="1:14" hidden="1" x14ac:dyDescent="0.25">
      <c r="A36" s="14" t="s">
        <v>14</v>
      </c>
      <c r="B36" s="14" t="s">
        <v>32</v>
      </c>
      <c r="C36" s="88">
        <v>46419</v>
      </c>
      <c r="D36" s="16">
        <v>46418</v>
      </c>
      <c r="E36" s="17">
        <v>3120</v>
      </c>
      <c r="F36" s="18">
        <v>0.95145999999999997</v>
      </c>
      <c r="G36" s="19">
        <f>Cereal[[#This Row],[N° BOLSAS]]*Cereal[[#This Row],[KG BOLSA]]</f>
        <v>2968.5551999999998</v>
      </c>
      <c r="H36" s="37">
        <v>40</v>
      </c>
      <c r="I36" s="14">
        <f>ROUNDDOWN(Cereal[[#This Row],[N° BOLSAS]]/Cereal[[#This Row],[CAP. SACOS]],0)</f>
        <v>78</v>
      </c>
      <c r="J36" s="14">
        <f>Cereal[[#This Row],[N° BOLSAS]]-Cereal[[#This Row],[N° SACOS]]*Cereal[[#This Row],[CAP. SACOS]]</f>
        <v>0</v>
      </c>
      <c r="K36" s="16"/>
      <c r="L36" s="16"/>
      <c r="M36" s="16"/>
      <c r="N36" s="16" t="s">
        <v>33</v>
      </c>
    </row>
    <row r="37" spans="1:14" hidden="1" x14ac:dyDescent="0.25">
      <c r="A37" s="14" t="s">
        <v>14</v>
      </c>
      <c r="B37" s="14" t="s">
        <v>32</v>
      </c>
      <c r="C37" s="88">
        <v>46447</v>
      </c>
      <c r="D37" s="16">
        <v>46446</v>
      </c>
      <c r="E37" s="17">
        <v>3120</v>
      </c>
      <c r="F37" s="18">
        <v>0.95145999999999997</v>
      </c>
      <c r="G37" s="19">
        <f>Cereal[[#This Row],[N° BOLSAS]]*Cereal[[#This Row],[KG BOLSA]]</f>
        <v>2968.5551999999998</v>
      </c>
      <c r="H37" s="37">
        <v>40</v>
      </c>
      <c r="I37" s="14">
        <f>ROUNDDOWN(Cereal[[#This Row],[N° BOLSAS]]/Cereal[[#This Row],[CAP. SACOS]],0)</f>
        <v>78</v>
      </c>
      <c r="J37" s="14">
        <f>Cereal[[#This Row],[N° BOLSAS]]-Cereal[[#This Row],[N° SACOS]]*Cereal[[#This Row],[CAP. SACOS]]</f>
        <v>0</v>
      </c>
      <c r="K37" s="16"/>
      <c r="L37" s="16"/>
      <c r="M37" s="16"/>
      <c r="N37" s="16" t="s">
        <v>33</v>
      </c>
    </row>
    <row r="38" spans="1:14" ht="22.5" hidden="1" x14ac:dyDescent="0.25">
      <c r="A38" s="14" t="s">
        <v>14</v>
      </c>
      <c r="B38" s="14" t="s">
        <v>34</v>
      </c>
      <c r="C38" s="15" t="s">
        <v>35</v>
      </c>
      <c r="D38" s="16">
        <v>46037</v>
      </c>
      <c r="E38" s="17">
        <v>2400</v>
      </c>
      <c r="F38" s="18">
        <v>0.77800000000000002</v>
      </c>
      <c r="G38" s="19">
        <f>Cereal[[#This Row],[N° BOLSAS]]*Cereal[[#This Row],[KG BOLSA]]</f>
        <v>1867.2</v>
      </c>
      <c r="H38" s="37">
        <v>60</v>
      </c>
      <c r="I38" s="14">
        <f>ROUNDDOWN(Cereal[[#This Row],[N° BOLSAS]]/Cereal[[#This Row],[CAP. SACOS]],0)</f>
        <v>40</v>
      </c>
      <c r="J38" s="14">
        <f>Cereal[[#This Row],[N° BOLSAS]]-Cereal[[#This Row],[N° SACOS]]*Cereal[[#This Row],[CAP. SACOS]]</f>
        <v>0</v>
      </c>
      <c r="K38" s="16">
        <v>46039</v>
      </c>
      <c r="L38" s="16">
        <v>46039</v>
      </c>
      <c r="M38" s="16">
        <v>46049</v>
      </c>
      <c r="N38" s="16" t="s">
        <v>36</v>
      </c>
    </row>
    <row r="39" spans="1:14" hidden="1" x14ac:dyDescent="0.25">
      <c r="A39" s="14" t="s">
        <v>14</v>
      </c>
      <c r="B39" s="14" t="s">
        <v>34</v>
      </c>
      <c r="C39" s="15" t="s">
        <v>37</v>
      </c>
      <c r="D39" s="16">
        <v>46096</v>
      </c>
      <c r="E39" s="17">
        <v>2400</v>
      </c>
      <c r="F39" s="18">
        <v>0.77800000000000002</v>
      </c>
      <c r="G39" s="19">
        <f>Cereal[[#This Row],[N° BOLSAS]]*Cereal[[#This Row],[KG BOLSA]]</f>
        <v>1867.2</v>
      </c>
      <c r="H39" s="37">
        <v>60</v>
      </c>
      <c r="I39" s="14">
        <f>ROUNDDOWN(Cereal[[#This Row],[N° BOLSAS]]/Cereal[[#This Row],[CAP. SACOS]],0)</f>
        <v>40</v>
      </c>
      <c r="J39" s="14">
        <f>Cereal[[#This Row],[N° BOLSAS]]-Cereal[[#This Row],[N° SACOS]]*Cereal[[#This Row],[CAP. SACOS]]</f>
        <v>0</v>
      </c>
      <c r="K39" s="16">
        <v>46101</v>
      </c>
      <c r="L39" s="16">
        <v>46101</v>
      </c>
      <c r="M39" s="16">
        <v>46101</v>
      </c>
      <c r="N39" s="16" t="s">
        <v>36</v>
      </c>
    </row>
    <row r="40" spans="1:14" ht="22.5" hidden="1" x14ac:dyDescent="0.25">
      <c r="A40" s="14" t="s">
        <v>14</v>
      </c>
      <c r="B40" s="14" t="s">
        <v>34</v>
      </c>
      <c r="C40" s="15" t="s">
        <v>38</v>
      </c>
      <c r="D40" s="16">
        <v>46188</v>
      </c>
      <c r="E40" s="17">
        <v>2400</v>
      </c>
      <c r="F40" s="18">
        <v>0.77800000000000002</v>
      </c>
      <c r="G40" s="19">
        <f>Cereal[[#This Row],[N° BOLSAS]]*Cereal[[#This Row],[KG BOLSA]]</f>
        <v>1867.2</v>
      </c>
      <c r="H40" s="37">
        <v>60</v>
      </c>
      <c r="I40" s="14">
        <f>ROUNDDOWN(Cereal[[#This Row],[N° BOLSAS]]/Cereal[[#This Row],[CAP. SACOS]],0)</f>
        <v>40</v>
      </c>
      <c r="J40" s="14">
        <f>Cereal[[#This Row],[N° BOLSAS]]-Cereal[[#This Row],[N° SACOS]]*Cereal[[#This Row],[CAP. SACOS]]</f>
        <v>0</v>
      </c>
      <c r="K40" s="16">
        <v>46192</v>
      </c>
      <c r="L40" s="16">
        <v>46192</v>
      </c>
      <c r="M40" s="16">
        <v>46192</v>
      </c>
      <c r="N40" s="16" t="s">
        <v>36</v>
      </c>
    </row>
    <row r="41" spans="1:14" ht="33.75" hidden="1" x14ac:dyDescent="0.25">
      <c r="A41" s="14" t="s">
        <v>14</v>
      </c>
      <c r="B41" s="14" t="s">
        <v>34</v>
      </c>
      <c r="C41" s="15" t="s">
        <v>39</v>
      </c>
      <c r="D41" s="16">
        <v>46280</v>
      </c>
      <c r="E41" s="17">
        <v>2400</v>
      </c>
      <c r="F41" s="18">
        <v>0.77800000000000002</v>
      </c>
      <c r="G41" s="19">
        <f>Cereal[[#This Row],[N° BOLSAS]]*Cereal[[#This Row],[KG BOLSA]]</f>
        <v>1867.2</v>
      </c>
      <c r="H41" s="37">
        <v>60</v>
      </c>
      <c r="I41" s="14">
        <f>ROUNDDOWN(Cereal[[#This Row],[N° BOLSAS]]/Cereal[[#This Row],[CAP. SACOS]],0)</f>
        <v>40</v>
      </c>
      <c r="J41" s="14">
        <f>Cereal[[#This Row],[N° BOLSAS]]-Cereal[[#This Row],[N° SACOS]]*Cereal[[#This Row],[CAP. SACOS]]</f>
        <v>0</v>
      </c>
      <c r="K41" s="16">
        <v>46281</v>
      </c>
      <c r="L41" s="16">
        <v>46281</v>
      </c>
      <c r="M41" s="16">
        <v>46283</v>
      </c>
      <c r="N41" s="16" t="s">
        <v>36</v>
      </c>
    </row>
    <row r="42" spans="1:14" ht="22.5" hidden="1" x14ac:dyDescent="0.25">
      <c r="A42" s="14" t="s">
        <v>14</v>
      </c>
      <c r="B42" s="14" t="s">
        <v>40</v>
      </c>
      <c r="C42" s="15" t="s">
        <v>41</v>
      </c>
      <c r="D42" s="16">
        <v>46097</v>
      </c>
      <c r="E42" s="17">
        <v>9390</v>
      </c>
      <c r="F42" s="18">
        <v>1</v>
      </c>
      <c r="G42" s="19">
        <f>Cereal[[#This Row],[N° BOLSAS]]*Cereal[[#This Row],[KG BOLSA]]</f>
        <v>9390</v>
      </c>
      <c r="H42" s="37">
        <v>40</v>
      </c>
      <c r="I42" s="14">
        <f>ROUNDDOWN(Cereal[[#This Row],[N° BOLSAS]]/Cereal[[#This Row],[CAP. SACOS]],0)</f>
        <v>234</v>
      </c>
      <c r="J42" s="14">
        <f>Cereal[[#This Row],[N° BOLSAS]]-Cereal[[#This Row],[N° SACOS]]*Cereal[[#This Row],[CAP. SACOS]]</f>
        <v>30</v>
      </c>
      <c r="K42" s="16">
        <v>46096</v>
      </c>
      <c r="L42" s="16">
        <v>46096</v>
      </c>
      <c r="M42" s="16">
        <v>46097</v>
      </c>
      <c r="N42" s="16" t="s">
        <v>42</v>
      </c>
    </row>
    <row r="43" spans="1:14" hidden="1" x14ac:dyDescent="0.25">
      <c r="A43" s="14" t="s">
        <v>14</v>
      </c>
      <c r="B43" s="14" t="s">
        <v>40</v>
      </c>
      <c r="C43" s="15" t="s">
        <v>43</v>
      </c>
      <c r="D43" s="16">
        <v>46133</v>
      </c>
      <c r="E43" s="17">
        <v>4696.5</v>
      </c>
      <c r="F43" s="18">
        <v>1</v>
      </c>
      <c r="G43" s="19">
        <f>Cereal[[#This Row],[N° BOLSAS]]*Cereal[[#This Row],[KG BOLSA]]</f>
        <v>4696.5</v>
      </c>
      <c r="H43" s="37">
        <v>40</v>
      </c>
      <c r="I43" s="14">
        <f>ROUNDDOWN(Cereal[[#This Row],[N° BOLSAS]]/Cereal[[#This Row],[CAP. SACOS]],0)</f>
        <v>117</v>
      </c>
      <c r="J43" s="14">
        <f>Cereal[[#This Row],[N° BOLSAS]]-Cereal[[#This Row],[N° SACOS]]*Cereal[[#This Row],[CAP. SACOS]]</f>
        <v>16.5</v>
      </c>
      <c r="K43" s="16">
        <v>46130</v>
      </c>
      <c r="L43" s="16">
        <v>46130</v>
      </c>
      <c r="M43" s="16">
        <v>46131</v>
      </c>
      <c r="N43" s="16" t="s">
        <v>42</v>
      </c>
    </row>
    <row r="44" spans="1:14" hidden="1" x14ac:dyDescent="0.25">
      <c r="A44" s="14" t="s">
        <v>14</v>
      </c>
      <c r="B44" s="14" t="s">
        <v>40</v>
      </c>
      <c r="C44" s="15" t="s">
        <v>44</v>
      </c>
      <c r="D44" s="16">
        <v>46181</v>
      </c>
      <c r="E44" s="17">
        <v>4696.5</v>
      </c>
      <c r="F44" s="18">
        <v>1</v>
      </c>
      <c r="G44" s="19">
        <f>Cereal[[#This Row],[N° BOLSAS]]*Cereal[[#This Row],[KG BOLSA]]</f>
        <v>4696.5</v>
      </c>
      <c r="H44" s="37">
        <v>40</v>
      </c>
      <c r="I44" s="14">
        <f>ROUNDDOWN(Cereal[[#This Row],[N° BOLSAS]]/Cereal[[#This Row],[CAP. SACOS]],0)</f>
        <v>117</v>
      </c>
      <c r="J44" s="14">
        <f>Cereal[[#This Row],[N° BOLSAS]]-Cereal[[#This Row],[N° SACOS]]*Cereal[[#This Row],[CAP. SACOS]]</f>
        <v>16.5</v>
      </c>
      <c r="K44" s="16">
        <v>46179</v>
      </c>
      <c r="L44" s="16">
        <v>46179</v>
      </c>
      <c r="M44" s="16">
        <v>46179</v>
      </c>
      <c r="N44" s="16" t="s">
        <v>42</v>
      </c>
    </row>
    <row r="45" spans="1:14" hidden="1" x14ac:dyDescent="0.25">
      <c r="A45" s="14" t="s">
        <v>14</v>
      </c>
      <c r="B45" s="14" t="s">
        <v>40</v>
      </c>
      <c r="C45" s="15" t="s">
        <v>30</v>
      </c>
      <c r="D45" s="16">
        <v>46254</v>
      </c>
      <c r="E45" s="17">
        <v>2684</v>
      </c>
      <c r="F45" s="18">
        <v>1.1299999999999999</v>
      </c>
      <c r="G45" s="19">
        <f>Cereal[[#This Row],[N° BOLSAS]]*Cereal[[#This Row],[KG BOLSA]]</f>
        <v>3032.9199999999996</v>
      </c>
      <c r="H45" s="37">
        <v>35</v>
      </c>
      <c r="I45" s="14">
        <f>ROUNDDOWN(Cereal[[#This Row],[N° BOLSAS]]/Cereal[[#This Row],[CAP. SACOS]],0)</f>
        <v>76</v>
      </c>
      <c r="J45" s="14">
        <f>Cereal[[#This Row],[N° BOLSAS]]-Cereal[[#This Row],[N° SACOS]]*Cereal[[#This Row],[CAP. SACOS]]</f>
        <v>24</v>
      </c>
      <c r="K45" s="16">
        <v>46237</v>
      </c>
      <c r="L45" s="16">
        <v>46237</v>
      </c>
      <c r="M45" s="16">
        <v>46237</v>
      </c>
      <c r="N45" s="16" t="s">
        <v>42</v>
      </c>
    </row>
    <row r="46" spans="1:14" ht="22.5" hidden="1" x14ac:dyDescent="0.25">
      <c r="A46" s="14" t="s">
        <v>14</v>
      </c>
      <c r="B46" s="14" t="s">
        <v>40</v>
      </c>
      <c r="C46" s="15" t="s">
        <v>45</v>
      </c>
      <c r="D46" s="16">
        <v>46254</v>
      </c>
      <c r="E46" s="17">
        <v>4696.5</v>
      </c>
      <c r="F46" s="18">
        <v>1</v>
      </c>
      <c r="G46" s="19">
        <f>Cereal[[#This Row],[N° BOLSAS]]*Cereal[[#This Row],[KG BOLSA]]</f>
        <v>4696.5</v>
      </c>
      <c r="H46" s="37">
        <v>40</v>
      </c>
      <c r="I46" s="14">
        <f>ROUNDDOWN(Cereal[[#This Row],[N° BOLSAS]]/Cereal[[#This Row],[CAP. SACOS]],0)</f>
        <v>117</v>
      </c>
      <c r="J46" s="14">
        <f>Cereal[[#This Row],[N° BOLSAS]]-Cereal[[#This Row],[N° SACOS]]*Cereal[[#This Row],[CAP. SACOS]]</f>
        <v>16.5</v>
      </c>
      <c r="K46" s="16">
        <v>46253</v>
      </c>
      <c r="L46" s="16">
        <v>46253</v>
      </c>
      <c r="M46" s="16">
        <v>46253</v>
      </c>
      <c r="N46" s="16" t="s">
        <v>42</v>
      </c>
    </row>
    <row r="47" spans="1:14" ht="22.5" hidden="1" x14ac:dyDescent="0.25">
      <c r="A47" s="14" t="s">
        <v>14</v>
      </c>
      <c r="B47" s="14" t="s">
        <v>40</v>
      </c>
      <c r="C47" s="15" t="s">
        <v>46</v>
      </c>
      <c r="D47" s="16">
        <v>46322</v>
      </c>
      <c r="E47" s="17">
        <v>4696.5</v>
      </c>
      <c r="F47" s="18">
        <v>1</v>
      </c>
      <c r="G47" s="19">
        <f>Cereal[[#This Row],[N° BOLSAS]]*Cereal[[#This Row],[KG BOLSA]]</f>
        <v>4696.5</v>
      </c>
      <c r="H47" s="37">
        <v>40</v>
      </c>
      <c r="I47" s="14">
        <f>ROUNDDOWN(Cereal[[#This Row],[N° BOLSAS]]/Cereal[[#This Row],[CAP. SACOS]],0)</f>
        <v>117</v>
      </c>
      <c r="J47" s="14">
        <f>Cereal[[#This Row],[N° BOLSAS]]-Cereal[[#This Row],[N° SACOS]]*Cereal[[#This Row],[CAP. SACOS]]</f>
        <v>16.5</v>
      </c>
      <c r="K47" s="16"/>
      <c r="L47" s="16"/>
      <c r="M47" s="16"/>
      <c r="N47" s="16" t="s">
        <v>42</v>
      </c>
    </row>
    <row r="48" spans="1:14" ht="22.5" hidden="1" x14ac:dyDescent="0.25">
      <c r="A48" s="14" t="s">
        <v>14</v>
      </c>
      <c r="B48" s="14" t="s">
        <v>47</v>
      </c>
      <c r="C48" s="15" t="s">
        <v>35</v>
      </c>
      <c r="D48" s="16">
        <v>46127</v>
      </c>
      <c r="E48" s="17">
        <v>3051</v>
      </c>
      <c r="F48" s="18">
        <v>0.5</v>
      </c>
      <c r="G48" s="19">
        <f>Cereal[[#This Row],[N° BOLSAS]]*Cereal[[#This Row],[KG BOLSA]]</f>
        <v>1525.5</v>
      </c>
      <c r="H48" s="37">
        <v>80</v>
      </c>
      <c r="I48" s="14">
        <f>ROUNDDOWN(Cereal[[#This Row],[N° BOLSAS]]/Cereal[[#This Row],[CAP. SACOS]],0)</f>
        <v>38</v>
      </c>
      <c r="J48" s="14">
        <f>Cereal[[#This Row],[N° BOLSAS]]-Cereal[[#This Row],[N° SACOS]]*Cereal[[#This Row],[CAP. SACOS]]</f>
        <v>11</v>
      </c>
      <c r="K48" s="16">
        <v>46128</v>
      </c>
      <c r="L48" s="16">
        <v>46128</v>
      </c>
      <c r="M48" s="16">
        <v>46128</v>
      </c>
      <c r="N48" s="16" t="s">
        <v>48</v>
      </c>
    </row>
    <row r="49" spans="1:14" hidden="1" x14ac:dyDescent="0.25">
      <c r="A49" s="14" t="s">
        <v>14</v>
      </c>
      <c r="B49" s="14" t="s">
        <v>47</v>
      </c>
      <c r="C49" s="15" t="s">
        <v>37</v>
      </c>
      <c r="D49" s="16">
        <v>46127</v>
      </c>
      <c r="E49" s="17">
        <v>3051</v>
      </c>
      <c r="F49" s="18">
        <v>0.5</v>
      </c>
      <c r="G49" s="19">
        <f>Cereal[[#This Row],[N° BOLSAS]]*Cereal[[#This Row],[KG BOLSA]]</f>
        <v>1525.5</v>
      </c>
      <c r="H49" s="37">
        <v>80</v>
      </c>
      <c r="I49" s="14">
        <f>ROUNDDOWN(Cereal[[#This Row],[N° BOLSAS]]/Cereal[[#This Row],[CAP. SACOS]],0)</f>
        <v>38</v>
      </c>
      <c r="J49" s="14">
        <f>Cereal[[#This Row],[N° BOLSAS]]-Cereal[[#This Row],[N° SACOS]]*Cereal[[#This Row],[CAP. SACOS]]</f>
        <v>11</v>
      </c>
      <c r="K49" s="16">
        <v>46128</v>
      </c>
      <c r="L49" s="16">
        <v>46128</v>
      </c>
      <c r="M49" s="16">
        <v>46128</v>
      </c>
      <c r="N49" s="16" t="s">
        <v>48</v>
      </c>
    </row>
    <row r="50" spans="1:14" ht="22.5" hidden="1" x14ac:dyDescent="0.25">
      <c r="A50" s="14" t="s">
        <v>14</v>
      </c>
      <c r="B50" s="14" t="s">
        <v>47</v>
      </c>
      <c r="C50" s="15" t="s">
        <v>38</v>
      </c>
      <c r="D50" s="16">
        <v>46199</v>
      </c>
      <c r="E50" s="17">
        <v>3051</v>
      </c>
      <c r="F50" s="18">
        <v>0.5</v>
      </c>
      <c r="G50" s="19">
        <f>Cereal[[#This Row],[N° BOLSAS]]*Cereal[[#This Row],[KG BOLSA]]</f>
        <v>1525.5</v>
      </c>
      <c r="H50" s="37">
        <v>80</v>
      </c>
      <c r="I50" s="14">
        <f>ROUNDDOWN(Cereal[[#This Row],[N° BOLSAS]]/Cereal[[#This Row],[CAP. SACOS]],0)</f>
        <v>38</v>
      </c>
      <c r="J50" s="14">
        <f>Cereal[[#This Row],[N° BOLSAS]]-Cereal[[#This Row],[N° SACOS]]*Cereal[[#This Row],[CAP. SACOS]]</f>
        <v>11</v>
      </c>
      <c r="K50" s="16">
        <v>46198</v>
      </c>
      <c r="L50" s="16">
        <v>46198</v>
      </c>
      <c r="M50" s="16">
        <v>46198</v>
      </c>
      <c r="N50" s="16" t="s">
        <v>48</v>
      </c>
    </row>
    <row r="51" spans="1:14" ht="33.75" hidden="1" x14ac:dyDescent="0.25">
      <c r="A51" s="14" t="s">
        <v>14</v>
      </c>
      <c r="B51" s="14" t="s">
        <v>47</v>
      </c>
      <c r="C51" s="15" t="s">
        <v>39</v>
      </c>
      <c r="D51" s="16">
        <v>46290</v>
      </c>
      <c r="E51" s="17">
        <v>3051</v>
      </c>
      <c r="F51" s="18">
        <v>0.5</v>
      </c>
      <c r="G51" s="19">
        <f>Cereal[[#This Row],[N° BOLSAS]]*Cereal[[#This Row],[KG BOLSA]]</f>
        <v>1525.5</v>
      </c>
      <c r="H51" s="37">
        <v>80</v>
      </c>
      <c r="I51" s="14">
        <f>ROUNDDOWN(Cereal[[#This Row],[N° BOLSAS]]/Cereal[[#This Row],[CAP. SACOS]],0)</f>
        <v>38</v>
      </c>
      <c r="J51" s="14">
        <f>Cereal[[#This Row],[N° BOLSAS]]-Cereal[[#This Row],[N° SACOS]]*Cereal[[#This Row],[CAP. SACOS]]</f>
        <v>11</v>
      </c>
      <c r="K51" s="16"/>
      <c r="L51" s="16"/>
      <c r="M51" s="16"/>
      <c r="N51" s="16" t="s">
        <v>48</v>
      </c>
    </row>
    <row r="52" spans="1:14" hidden="1" x14ac:dyDescent="0.25">
      <c r="A52" s="14" t="s">
        <v>14</v>
      </c>
      <c r="B52" s="14" t="s">
        <v>49</v>
      </c>
      <c r="C52" s="15" t="s">
        <v>16</v>
      </c>
      <c r="D52" s="16">
        <v>46022</v>
      </c>
      <c r="E52" s="17">
        <v>802</v>
      </c>
      <c r="F52" s="18">
        <v>1</v>
      </c>
      <c r="G52" s="19">
        <f>Cereal[[#This Row],[N° BOLSAS]]*Cereal[[#This Row],[KG BOLSA]]</f>
        <v>802</v>
      </c>
      <c r="H52" s="37">
        <v>50</v>
      </c>
      <c r="I52" s="14">
        <f>ROUNDDOWN(Cereal[[#This Row],[N° BOLSAS]]/Cereal[[#This Row],[CAP. SACOS]],0)</f>
        <v>16</v>
      </c>
      <c r="J52" s="14">
        <f>Cereal[[#This Row],[N° BOLSAS]]-Cereal[[#This Row],[N° SACOS]]*Cereal[[#This Row],[CAP. SACOS]]</f>
        <v>2</v>
      </c>
      <c r="K52" s="16">
        <v>46026</v>
      </c>
      <c r="L52" s="16">
        <v>46026</v>
      </c>
      <c r="M52" s="16">
        <v>46032</v>
      </c>
      <c r="N52" s="16" t="s">
        <v>50</v>
      </c>
    </row>
    <row r="53" spans="1:14" hidden="1" x14ac:dyDescent="0.25">
      <c r="A53" s="14" t="s">
        <v>14</v>
      </c>
      <c r="B53" s="14" t="s">
        <v>49</v>
      </c>
      <c r="C53" s="15" t="s">
        <v>18</v>
      </c>
      <c r="D53" s="16">
        <v>46045</v>
      </c>
      <c r="E53" s="17">
        <v>723</v>
      </c>
      <c r="F53" s="18">
        <v>1</v>
      </c>
      <c r="G53" s="19">
        <f>Cereal[[#This Row],[N° BOLSAS]]*Cereal[[#This Row],[KG BOLSA]]</f>
        <v>723</v>
      </c>
      <c r="H53" s="37">
        <v>50</v>
      </c>
      <c r="I53" s="14">
        <f>ROUNDDOWN(Cereal[[#This Row],[N° BOLSAS]]/Cereal[[#This Row],[CAP. SACOS]],0)</f>
        <v>14</v>
      </c>
      <c r="J53" s="14">
        <f>Cereal[[#This Row],[N° BOLSAS]]-Cereal[[#This Row],[N° SACOS]]*Cereal[[#This Row],[CAP. SACOS]]</f>
        <v>23</v>
      </c>
      <c r="K53" s="16">
        <v>46026</v>
      </c>
      <c r="L53" s="16">
        <v>46026</v>
      </c>
      <c r="M53" s="16">
        <v>46032</v>
      </c>
      <c r="N53" s="16" t="s">
        <v>50</v>
      </c>
    </row>
    <row r="54" spans="1:14" hidden="1" x14ac:dyDescent="0.25">
      <c r="A54" s="14" t="s">
        <v>14</v>
      </c>
      <c r="B54" s="14" t="s">
        <v>49</v>
      </c>
      <c r="C54" s="15" t="s">
        <v>19</v>
      </c>
      <c r="D54" s="16">
        <v>46073</v>
      </c>
      <c r="E54" s="17">
        <v>802</v>
      </c>
      <c r="F54" s="18">
        <v>1</v>
      </c>
      <c r="G54" s="19">
        <f>Cereal[[#This Row],[N° BOLSAS]]*Cereal[[#This Row],[KG BOLSA]]</f>
        <v>802</v>
      </c>
      <c r="H54" s="37">
        <v>50</v>
      </c>
      <c r="I54" s="14">
        <f>ROUNDDOWN(Cereal[[#This Row],[N° BOLSAS]]/Cereal[[#This Row],[CAP. SACOS]],0)</f>
        <v>16</v>
      </c>
      <c r="J54" s="14">
        <f>Cereal[[#This Row],[N° BOLSAS]]-Cereal[[#This Row],[N° SACOS]]*Cereal[[#This Row],[CAP. SACOS]]</f>
        <v>2</v>
      </c>
      <c r="K54" s="16">
        <v>46063</v>
      </c>
      <c r="L54" s="16">
        <v>46063</v>
      </c>
      <c r="M54" s="16">
        <v>46063</v>
      </c>
      <c r="N54" s="16" t="s">
        <v>50</v>
      </c>
    </row>
    <row r="55" spans="1:14" hidden="1" x14ac:dyDescent="0.25">
      <c r="A55" s="14" t="s">
        <v>14</v>
      </c>
      <c r="B55" s="14" t="s">
        <v>49</v>
      </c>
      <c r="C55" s="15" t="s">
        <v>20</v>
      </c>
      <c r="D55" s="16">
        <v>46073</v>
      </c>
      <c r="E55" s="17">
        <v>775</v>
      </c>
      <c r="F55" s="18">
        <v>1</v>
      </c>
      <c r="G55" s="19">
        <f>Cereal[[#This Row],[N° BOLSAS]]*Cereal[[#This Row],[KG BOLSA]]</f>
        <v>775</v>
      </c>
      <c r="H55" s="37">
        <v>50</v>
      </c>
      <c r="I55" s="14">
        <f>ROUNDDOWN(Cereal[[#This Row],[N° BOLSAS]]/Cereal[[#This Row],[CAP. SACOS]],0)</f>
        <v>15</v>
      </c>
      <c r="J55" s="14">
        <f>Cereal[[#This Row],[N° BOLSAS]]-Cereal[[#This Row],[N° SACOS]]*Cereal[[#This Row],[CAP. SACOS]]</f>
        <v>25</v>
      </c>
      <c r="K55" s="16">
        <v>46063</v>
      </c>
      <c r="L55" s="16">
        <v>46063</v>
      </c>
      <c r="M55" s="16">
        <v>46063</v>
      </c>
      <c r="N55" s="16" t="s">
        <v>50</v>
      </c>
    </row>
    <row r="56" spans="1:14" hidden="1" x14ac:dyDescent="0.25">
      <c r="A56" s="14" t="s">
        <v>14</v>
      </c>
      <c r="B56" s="14" t="s">
        <v>49</v>
      </c>
      <c r="C56" s="15" t="s">
        <v>21</v>
      </c>
      <c r="D56" s="16">
        <v>46133</v>
      </c>
      <c r="E56" s="17">
        <v>802</v>
      </c>
      <c r="F56" s="18">
        <v>1</v>
      </c>
      <c r="G56" s="19">
        <f>Cereal[[#This Row],[N° BOLSAS]]*Cereal[[#This Row],[KG BOLSA]]</f>
        <v>802</v>
      </c>
      <c r="H56" s="37">
        <v>50</v>
      </c>
      <c r="I56" s="14">
        <f>ROUNDDOWN(Cereal[[#This Row],[N° BOLSAS]]/Cereal[[#This Row],[CAP. SACOS]],0)</f>
        <v>16</v>
      </c>
      <c r="J56" s="14">
        <f>Cereal[[#This Row],[N° BOLSAS]]-Cereal[[#This Row],[N° SACOS]]*Cereal[[#This Row],[CAP. SACOS]]</f>
        <v>2</v>
      </c>
      <c r="K56" s="16">
        <v>46121</v>
      </c>
      <c r="L56" s="16">
        <v>46121</v>
      </c>
      <c r="M56" s="16">
        <v>46121</v>
      </c>
      <c r="N56" s="16" t="s">
        <v>50</v>
      </c>
    </row>
    <row r="57" spans="1:14" hidden="1" x14ac:dyDescent="0.25">
      <c r="A57" s="14" t="s">
        <v>14</v>
      </c>
      <c r="B57" s="14" t="s">
        <v>49</v>
      </c>
      <c r="C57" s="15" t="s">
        <v>22</v>
      </c>
      <c r="D57" s="16">
        <v>46133</v>
      </c>
      <c r="E57" s="17">
        <v>775</v>
      </c>
      <c r="F57" s="18">
        <v>1</v>
      </c>
      <c r="G57" s="19">
        <f>Cereal[[#This Row],[N° BOLSAS]]*Cereal[[#This Row],[KG BOLSA]]</f>
        <v>775</v>
      </c>
      <c r="H57" s="37">
        <v>50</v>
      </c>
      <c r="I57" s="14">
        <f>ROUNDDOWN(Cereal[[#This Row],[N° BOLSAS]]/Cereal[[#This Row],[CAP. SACOS]],0)</f>
        <v>15</v>
      </c>
      <c r="J57" s="14">
        <f>Cereal[[#This Row],[N° BOLSAS]]-Cereal[[#This Row],[N° SACOS]]*Cereal[[#This Row],[CAP. SACOS]]</f>
        <v>25</v>
      </c>
      <c r="K57" s="16">
        <v>46121</v>
      </c>
      <c r="L57" s="16">
        <v>46121</v>
      </c>
      <c r="M57" s="16">
        <v>46121</v>
      </c>
      <c r="N57" s="16" t="s">
        <v>50</v>
      </c>
    </row>
    <row r="58" spans="1:14" hidden="1" x14ac:dyDescent="0.25">
      <c r="A58" s="14" t="s">
        <v>14</v>
      </c>
      <c r="B58" s="14" t="s">
        <v>49</v>
      </c>
      <c r="C58" s="15" t="s">
        <v>23</v>
      </c>
      <c r="D58" s="16">
        <v>46195</v>
      </c>
      <c r="E58" s="17">
        <v>802</v>
      </c>
      <c r="F58" s="18">
        <v>1</v>
      </c>
      <c r="G58" s="19">
        <f>Cereal[[#This Row],[N° BOLSAS]]*Cereal[[#This Row],[KG BOLSA]]</f>
        <v>802</v>
      </c>
      <c r="H58" s="37">
        <v>50</v>
      </c>
      <c r="I58" s="14">
        <f>ROUNDDOWN(Cereal[[#This Row],[N° BOLSAS]]/Cereal[[#This Row],[CAP. SACOS]],0)</f>
        <v>16</v>
      </c>
      <c r="J58" s="14">
        <f>Cereal[[#This Row],[N° BOLSAS]]-Cereal[[#This Row],[N° SACOS]]*Cereal[[#This Row],[CAP. SACOS]]</f>
        <v>2</v>
      </c>
      <c r="K58" s="16">
        <v>46177</v>
      </c>
      <c r="L58" s="16">
        <v>46177</v>
      </c>
      <c r="M58" s="16">
        <v>46178</v>
      </c>
      <c r="N58" s="16" t="s">
        <v>50</v>
      </c>
    </row>
    <row r="59" spans="1:14" hidden="1" x14ac:dyDescent="0.25">
      <c r="A59" s="14" t="s">
        <v>14</v>
      </c>
      <c r="B59" s="14" t="s">
        <v>49</v>
      </c>
      <c r="C59" s="15" t="s">
        <v>24</v>
      </c>
      <c r="D59" s="16">
        <v>46195</v>
      </c>
      <c r="E59" s="17">
        <v>802</v>
      </c>
      <c r="F59" s="18">
        <v>1</v>
      </c>
      <c r="G59" s="19">
        <f>Cereal[[#This Row],[N° BOLSAS]]*Cereal[[#This Row],[KG BOLSA]]</f>
        <v>802</v>
      </c>
      <c r="H59" s="37">
        <v>50</v>
      </c>
      <c r="I59" s="14">
        <f>ROUNDDOWN(Cereal[[#This Row],[N° BOLSAS]]/Cereal[[#This Row],[CAP. SACOS]],0)</f>
        <v>16</v>
      </c>
      <c r="J59" s="14">
        <f>Cereal[[#This Row],[N° BOLSAS]]-Cereal[[#This Row],[N° SACOS]]*Cereal[[#This Row],[CAP. SACOS]]</f>
        <v>2</v>
      </c>
      <c r="K59" s="16">
        <v>46177</v>
      </c>
      <c r="L59" s="16">
        <v>46177</v>
      </c>
      <c r="M59" s="16">
        <v>46178</v>
      </c>
      <c r="N59" s="16" t="s">
        <v>50</v>
      </c>
    </row>
    <row r="60" spans="1:14" hidden="1" x14ac:dyDescent="0.25">
      <c r="A60" s="14" t="s">
        <v>14</v>
      </c>
      <c r="B60" s="14" t="s">
        <v>49</v>
      </c>
      <c r="C60" s="15" t="s">
        <v>25</v>
      </c>
      <c r="D60" s="16">
        <v>46253</v>
      </c>
      <c r="E60" s="17">
        <v>775</v>
      </c>
      <c r="F60" s="18">
        <v>1</v>
      </c>
      <c r="G60" s="19">
        <f>Cereal[[#This Row],[N° BOLSAS]]*Cereal[[#This Row],[KG BOLSA]]</f>
        <v>775</v>
      </c>
      <c r="H60" s="37">
        <v>50</v>
      </c>
      <c r="I60" s="14">
        <f>ROUNDDOWN(Cereal[[#This Row],[N° BOLSAS]]/Cereal[[#This Row],[CAP. SACOS]],0)</f>
        <v>15</v>
      </c>
      <c r="J60" s="14">
        <f>Cereal[[#This Row],[N° BOLSAS]]-Cereal[[#This Row],[N° SACOS]]*Cereal[[#This Row],[CAP. SACOS]]</f>
        <v>25</v>
      </c>
      <c r="K60" s="16">
        <v>46234</v>
      </c>
      <c r="L60" s="16">
        <v>46234</v>
      </c>
      <c r="M60" s="16">
        <v>46234</v>
      </c>
      <c r="N60" s="16" t="s">
        <v>50</v>
      </c>
    </row>
    <row r="61" spans="1:14" hidden="1" x14ac:dyDescent="0.25">
      <c r="A61" s="14" t="s">
        <v>14</v>
      </c>
      <c r="B61" s="14" t="s">
        <v>49</v>
      </c>
      <c r="C61" s="15" t="s">
        <v>26</v>
      </c>
      <c r="D61" s="16">
        <v>46253</v>
      </c>
      <c r="E61" s="17">
        <v>802</v>
      </c>
      <c r="F61" s="18">
        <v>1</v>
      </c>
      <c r="G61" s="19">
        <f>Cereal[[#This Row],[N° BOLSAS]]*Cereal[[#This Row],[KG BOLSA]]</f>
        <v>802</v>
      </c>
      <c r="H61" s="37">
        <v>50</v>
      </c>
      <c r="I61" s="14">
        <f>ROUNDDOWN(Cereal[[#This Row],[N° BOLSAS]]/Cereal[[#This Row],[CAP. SACOS]],0)</f>
        <v>16</v>
      </c>
      <c r="J61" s="14">
        <f>Cereal[[#This Row],[N° BOLSAS]]-Cereal[[#This Row],[N° SACOS]]*Cereal[[#This Row],[CAP. SACOS]]</f>
        <v>2</v>
      </c>
      <c r="K61" s="16">
        <v>46237</v>
      </c>
      <c r="L61" s="16">
        <v>46237</v>
      </c>
      <c r="M61" s="16">
        <v>46237</v>
      </c>
      <c r="N61" s="16" t="s">
        <v>50</v>
      </c>
    </row>
    <row r="62" spans="1:14" hidden="1" x14ac:dyDescent="0.25">
      <c r="A62" s="14" t="s">
        <v>14</v>
      </c>
      <c r="B62" s="14" t="s">
        <v>49</v>
      </c>
      <c r="C62" s="15" t="s">
        <v>27</v>
      </c>
      <c r="D62" s="16">
        <v>46315</v>
      </c>
      <c r="E62" s="17">
        <v>778</v>
      </c>
      <c r="F62" s="18">
        <v>1</v>
      </c>
      <c r="G62" s="19">
        <f>Cereal[[#This Row],[N° BOLSAS]]*Cereal[[#This Row],[KG BOLSA]]</f>
        <v>778</v>
      </c>
      <c r="H62" s="37">
        <v>50</v>
      </c>
      <c r="I62" s="14">
        <f>ROUNDDOWN(Cereal[[#This Row],[N° BOLSAS]]/Cereal[[#This Row],[CAP. SACOS]],0)</f>
        <v>15</v>
      </c>
      <c r="J62" s="14">
        <f>Cereal[[#This Row],[N° BOLSAS]]-Cereal[[#This Row],[N° SACOS]]*Cereal[[#This Row],[CAP. SACOS]]</f>
        <v>28</v>
      </c>
      <c r="K62" s="16"/>
      <c r="L62" s="16"/>
      <c r="M62" s="16"/>
      <c r="N62" s="16" t="s">
        <v>50</v>
      </c>
    </row>
    <row r="63" spans="1:14" hidden="1" x14ac:dyDescent="0.25">
      <c r="A63" s="14" t="s">
        <v>14</v>
      </c>
      <c r="B63" s="14" t="s">
        <v>49</v>
      </c>
      <c r="C63" s="15" t="s">
        <v>28</v>
      </c>
      <c r="D63" s="16">
        <v>46315</v>
      </c>
      <c r="E63" s="17">
        <v>804.5</v>
      </c>
      <c r="F63" s="18">
        <v>1</v>
      </c>
      <c r="G63" s="19">
        <f>Cereal[[#This Row],[N° BOLSAS]]*Cereal[[#This Row],[KG BOLSA]]</f>
        <v>804.5</v>
      </c>
      <c r="H63" s="37">
        <v>50</v>
      </c>
      <c r="I63" s="14">
        <f>ROUNDDOWN(Cereal[[#This Row],[N° BOLSAS]]/Cereal[[#This Row],[CAP. SACOS]],0)</f>
        <v>16</v>
      </c>
      <c r="J63" s="14">
        <f>Cereal[[#This Row],[N° BOLSAS]]-Cereal[[#This Row],[N° SACOS]]*Cereal[[#This Row],[CAP. SACOS]]</f>
        <v>4.5</v>
      </c>
      <c r="K63" s="16"/>
      <c r="L63" s="16"/>
      <c r="M63" s="16"/>
      <c r="N63" s="16" t="s">
        <v>50</v>
      </c>
    </row>
    <row r="64" spans="1:14" hidden="1" x14ac:dyDescent="0.25">
      <c r="A64" s="14" t="s">
        <v>14</v>
      </c>
      <c r="B64" s="14" t="s">
        <v>51</v>
      </c>
      <c r="C64" s="15" t="s">
        <v>30</v>
      </c>
      <c r="D64" s="16">
        <v>46208</v>
      </c>
      <c r="E64" s="17">
        <v>5996</v>
      </c>
      <c r="F64" s="18">
        <v>1</v>
      </c>
      <c r="G64" s="19">
        <f>Cereal[[#This Row],[N° BOLSAS]]*Cereal[[#This Row],[KG BOLSA]]</f>
        <v>5996</v>
      </c>
      <c r="H64" s="37">
        <v>50</v>
      </c>
      <c r="I64" s="14">
        <f>ROUNDDOWN(Cereal[[#This Row],[N° BOLSAS]]/Cereal[[#This Row],[CAP. SACOS]],0)</f>
        <v>119</v>
      </c>
      <c r="J64" s="14">
        <f>Cereal[[#This Row],[N° BOLSAS]]-Cereal[[#This Row],[N° SACOS]]*Cereal[[#This Row],[CAP. SACOS]]</f>
        <v>46</v>
      </c>
      <c r="K64" s="16">
        <v>46207</v>
      </c>
      <c r="L64" s="16">
        <v>46207</v>
      </c>
      <c r="M64" s="16">
        <v>46207</v>
      </c>
      <c r="N64" s="16" t="s">
        <v>52</v>
      </c>
    </row>
    <row r="65" spans="1:14" ht="22.5" hidden="1" x14ac:dyDescent="0.25">
      <c r="A65" s="14" t="s">
        <v>14</v>
      </c>
      <c r="B65" s="14" t="s">
        <v>53</v>
      </c>
      <c r="C65" s="15" t="s">
        <v>35</v>
      </c>
      <c r="D65" s="16">
        <v>46055</v>
      </c>
      <c r="E65" s="17">
        <v>1350</v>
      </c>
      <c r="F65" s="18">
        <v>1</v>
      </c>
      <c r="G65" s="19">
        <f>Cereal[[#This Row],[N° BOLSAS]]*Cereal[[#This Row],[KG BOLSA]]</f>
        <v>1350</v>
      </c>
      <c r="H65" s="37">
        <v>40</v>
      </c>
      <c r="I65" s="14">
        <f>ROUNDDOWN(Cereal[[#This Row],[N° BOLSAS]]/Cereal[[#This Row],[CAP. SACOS]],0)</f>
        <v>33</v>
      </c>
      <c r="J65" s="14">
        <f>Cereal[[#This Row],[N° BOLSAS]]-Cereal[[#This Row],[N° SACOS]]*Cereal[[#This Row],[CAP. SACOS]]</f>
        <v>30</v>
      </c>
      <c r="K65" s="16">
        <v>46079</v>
      </c>
      <c r="L65" s="16">
        <v>46079</v>
      </c>
      <c r="M65" s="16">
        <v>46079</v>
      </c>
      <c r="N65" s="16" t="s">
        <v>54</v>
      </c>
    </row>
    <row r="66" spans="1:14" hidden="1" x14ac:dyDescent="0.25">
      <c r="A66" s="14" t="s">
        <v>14</v>
      </c>
      <c r="B66" s="14" t="s">
        <v>53</v>
      </c>
      <c r="C66" s="15" t="s">
        <v>37</v>
      </c>
      <c r="D66" s="16">
        <v>46137</v>
      </c>
      <c r="E66" s="17">
        <v>1350</v>
      </c>
      <c r="F66" s="18">
        <v>1</v>
      </c>
      <c r="G66" s="19">
        <f>Cereal[[#This Row],[N° BOLSAS]]*Cereal[[#This Row],[KG BOLSA]]</f>
        <v>1350</v>
      </c>
      <c r="H66" s="37">
        <v>40</v>
      </c>
      <c r="I66" s="14">
        <f>ROUNDDOWN(Cereal[[#This Row],[N° BOLSAS]]/Cereal[[#This Row],[CAP. SACOS]],0)</f>
        <v>33</v>
      </c>
      <c r="J66" s="14">
        <f>Cereal[[#This Row],[N° BOLSAS]]-Cereal[[#This Row],[N° SACOS]]*Cereal[[#This Row],[CAP. SACOS]]</f>
        <v>30</v>
      </c>
      <c r="K66" s="16">
        <v>46138</v>
      </c>
      <c r="L66" s="16">
        <v>46138</v>
      </c>
      <c r="M66" s="16">
        <v>46138</v>
      </c>
      <c r="N66" s="16" t="s">
        <v>54</v>
      </c>
    </row>
    <row r="67" spans="1:14" ht="22.5" hidden="1" x14ac:dyDescent="0.25">
      <c r="A67" s="14" t="s">
        <v>14</v>
      </c>
      <c r="B67" s="14" t="s">
        <v>53</v>
      </c>
      <c r="C67" s="15" t="s">
        <v>38</v>
      </c>
      <c r="D67" s="16">
        <v>46203</v>
      </c>
      <c r="E67" s="17">
        <v>1350</v>
      </c>
      <c r="F67" s="18">
        <v>1</v>
      </c>
      <c r="G67" s="19">
        <f>Cereal[[#This Row],[N° BOLSAS]]*Cereal[[#This Row],[KG BOLSA]]</f>
        <v>1350</v>
      </c>
      <c r="H67" s="37">
        <v>40</v>
      </c>
      <c r="I67" s="14">
        <f>ROUNDDOWN(Cereal[[#This Row],[N° BOLSAS]]/Cereal[[#This Row],[CAP. SACOS]],0)</f>
        <v>33</v>
      </c>
      <c r="J67" s="14">
        <f>Cereal[[#This Row],[N° BOLSAS]]-Cereal[[#This Row],[N° SACOS]]*Cereal[[#This Row],[CAP. SACOS]]</f>
        <v>30</v>
      </c>
      <c r="K67" s="16">
        <v>46220</v>
      </c>
      <c r="L67" s="16">
        <v>46220</v>
      </c>
      <c r="M67" s="16">
        <v>46220</v>
      </c>
      <c r="N67" s="16" t="s">
        <v>54</v>
      </c>
    </row>
    <row r="68" spans="1:14" hidden="1" x14ac:dyDescent="0.25">
      <c r="A68" s="14" t="s">
        <v>14</v>
      </c>
      <c r="B68" s="14" t="s">
        <v>53</v>
      </c>
      <c r="C68" s="15" t="s">
        <v>30</v>
      </c>
      <c r="D68" s="16">
        <v>46241</v>
      </c>
      <c r="E68" s="17">
        <v>450</v>
      </c>
      <c r="F68" s="18">
        <v>0.42499999999999999</v>
      </c>
      <c r="G68" s="19">
        <f>Cereal[[#This Row],[N° BOLSAS]]*Cereal[[#This Row],[KG BOLSA]]</f>
        <v>191.25</v>
      </c>
      <c r="H68" s="37">
        <v>80</v>
      </c>
      <c r="I68" s="14">
        <f>ROUNDDOWN(Cereal[[#This Row],[N° BOLSAS]]/Cereal[[#This Row],[CAP. SACOS]],0)</f>
        <v>5</v>
      </c>
      <c r="J68" s="14">
        <f>Cereal[[#This Row],[N° BOLSAS]]-Cereal[[#This Row],[N° SACOS]]*Cereal[[#This Row],[CAP. SACOS]]</f>
        <v>50</v>
      </c>
      <c r="K68" s="16">
        <v>46238</v>
      </c>
      <c r="L68" s="16">
        <v>46238</v>
      </c>
      <c r="M68" s="16">
        <v>46245</v>
      </c>
      <c r="N68" s="16" t="s">
        <v>54</v>
      </c>
    </row>
    <row r="69" spans="1:14" ht="33.75" hidden="1" x14ac:dyDescent="0.25">
      <c r="A69" s="14" t="s">
        <v>14</v>
      </c>
      <c r="B69" s="14" t="s">
        <v>53</v>
      </c>
      <c r="C69" s="15" t="s">
        <v>39</v>
      </c>
      <c r="D69" s="16">
        <v>46295</v>
      </c>
      <c r="E69" s="17">
        <v>1350</v>
      </c>
      <c r="F69" s="18">
        <v>1</v>
      </c>
      <c r="G69" s="19">
        <f>Cereal[[#This Row],[N° BOLSAS]]*Cereal[[#This Row],[KG BOLSA]]</f>
        <v>1350</v>
      </c>
      <c r="H69" s="37">
        <v>40</v>
      </c>
      <c r="I69" s="14">
        <f>ROUNDDOWN(Cereal[[#This Row],[N° BOLSAS]]/Cereal[[#This Row],[CAP. SACOS]],0)</f>
        <v>33</v>
      </c>
      <c r="J69" s="14">
        <f>Cereal[[#This Row],[N° BOLSAS]]-Cereal[[#This Row],[N° SACOS]]*Cereal[[#This Row],[CAP. SACOS]]</f>
        <v>30</v>
      </c>
      <c r="K69" s="16"/>
      <c r="L69" s="16"/>
      <c r="M69" s="16"/>
      <c r="N69" s="16" t="s">
        <v>54</v>
      </c>
    </row>
    <row r="70" spans="1:14" hidden="1" x14ac:dyDescent="0.25">
      <c r="A70" s="14" t="s">
        <v>14</v>
      </c>
      <c r="B70" s="14" t="s">
        <v>55</v>
      </c>
      <c r="C70" s="15" t="s">
        <v>16</v>
      </c>
      <c r="D70" s="16">
        <v>46053</v>
      </c>
      <c r="E70" s="17">
        <v>3420</v>
      </c>
      <c r="F70" s="18">
        <v>0.5</v>
      </c>
      <c r="G70" s="19">
        <f>Cereal[[#This Row],[N° BOLSAS]]*Cereal[[#This Row],[KG BOLSA]]</f>
        <v>1710</v>
      </c>
      <c r="H70" s="37">
        <v>80</v>
      </c>
      <c r="I70" s="14">
        <f>ROUNDDOWN(Cereal[[#This Row],[N° BOLSAS]]/Cereal[[#This Row],[CAP. SACOS]],0)</f>
        <v>42</v>
      </c>
      <c r="J70" s="14">
        <f>Cereal[[#This Row],[N° BOLSAS]]-Cereal[[#This Row],[N° SACOS]]*Cereal[[#This Row],[CAP. SACOS]]</f>
        <v>60</v>
      </c>
      <c r="K70" s="16">
        <v>46036</v>
      </c>
      <c r="L70" s="16">
        <v>46036</v>
      </c>
      <c r="M70" s="16">
        <v>46036</v>
      </c>
      <c r="N70" s="16" t="s">
        <v>56</v>
      </c>
    </row>
    <row r="71" spans="1:14" hidden="1" x14ac:dyDescent="0.25">
      <c r="A71" s="14" t="s">
        <v>14</v>
      </c>
      <c r="B71" s="14" t="s">
        <v>55</v>
      </c>
      <c r="C71" s="15" t="s">
        <v>19</v>
      </c>
      <c r="D71" s="16">
        <v>46080</v>
      </c>
      <c r="E71" s="17">
        <v>1710</v>
      </c>
      <c r="F71" s="18">
        <v>0.5</v>
      </c>
      <c r="G71" s="19">
        <f>Cereal[[#This Row],[N° BOLSAS]]*Cereal[[#This Row],[KG BOLSA]]</f>
        <v>855</v>
      </c>
      <c r="H71" s="37">
        <v>80</v>
      </c>
      <c r="I71" s="14">
        <f>ROUNDDOWN(Cereal[[#This Row],[N° BOLSAS]]/Cereal[[#This Row],[CAP. SACOS]],0)</f>
        <v>21</v>
      </c>
      <c r="J71" s="14">
        <f>Cereal[[#This Row],[N° BOLSAS]]-Cereal[[#This Row],[N° SACOS]]*Cereal[[#This Row],[CAP. SACOS]]</f>
        <v>30</v>
      </c>
      <c r="K71" s="16">
        <v>46091</v>
      </c>
      <c r="L71" s="16">
        <v>46091</v>
      </c>
      <c r="M71" s="16">
        <v>46092</v>
      </c>
      <c r="N71" s="16" t="s">
        <v>57</v>
      </c>
    </row>
    <row r="72" spans="1:14" hidden="1" x14ac:dyDescent="0.25">
      <c r="A72" s="14" t="s">
        <v>14</v>
      </c>
      <c r="B72" s="14" t="s">
        <v>55</v>
      </c>
      <c r="C72" s="15" t="s">
        <v>20</v>
      </c>
      <c r="D72" s="16">
        <v>46108</v>
      </c>
      <c r="E72" s="17">
        <v>1710</v>
      </c>
      <c r="F72" s="18">
        <v>0.5</v>
      </c>
      <c r="G72" s="19">
        <f>Cereal[[#This Row],[N° BOLSAS]]*Cereal[[#This Row],[KG BOLSA]]</f>
        <v>855</v>
      </c>
      <c r="H72" s="37">
        <v>80</v>
      </c>
      <c r="I72" s="14">
        <f>ROUNDDOWN(Cereal[[#This Row],[N° BOLSAS]]/Cereal[[#This Row],[CAP. SACOS]],0)</f>
        <v>21</v>
      </c>
      <c r="J72" s="14">
        <f>Cereal[[#This Row],[N° BOLSAS]]-Cereal[[#This Row],[N° SACOS]]*Cereal[[#This Row],[CAP. SACOS]]</f>
        <v>30</v>
      </c>
      <c r="K72" s="16">
        <v>46091</v>
      </c>
      <c r="L72" s="16">
        <v>46091</v>
      </c>
      <c r="M72" s="16">
        <v>46092</v>
      </c>
      <c r="N72" s="16" t="s">
        <v>57</v>
      </c>
    </row>
    <row r="73" spans="1:14" hidden="1" x14ac:dyDescent="0.25">
      <c r="A73" s="14" t="s">
        <v>14</v>
      </c>
      <c r="B73" s="14" t="s">
        <v>55</v>
      </c>
      <c r="C73" s="15" t="s">
        <v>21</v>
      </c>
      <c r="D73" s="16">
        <v>46139</v>
      </c>
      <c r="E73" s="17">
        <v>1710</v>
      </c>
      <c r="F73" s="18">
        <v>0.5</v>
      </c>
      <c r="G73" s="19">
        <f>Cereal[[#This Row],[N° BOLSAS]]*Cereal[[#This Row],[KG BOLSA]]</f>
        <v>855</v>
      </c>
      <c r="H73" s="37">
        <v>80</v>
      </c>
      <c r="I73" s="14">
        <f>ROUNDDOWN(Cereal[[#This Row],[N° BOLSAS]]/Cereal[[#This Row],[CAP. SACOS]],0)</f>
        <v>21</v>
      </c>
      <c r="J73" s="14">
        <f>Cereal[[#This Row],[N° BOLSAS]]-Cereal[[#This Row],[N° SACOS]]*Cereal[[#This Row],[CAP. SACOS]]</f>
        <v>30</v>
      </c>
      <c r="K73" s="16">
        <v>46137</v>
      </c>
      <c r="L73" s="16">
        <v>46137</v>
      </c>
      <c r="M73" s="16">
        <v>46138</v>
      </c>
      <c r="N73" s="16" t="s">
        <v>57</v>
      </c>
    </row>
    <row r="74" spans="1:14" hidden="1" x14ac:dyDescent="0.25">
      <c r="A74" s="14" t="s">
        <v>14</v>
      </c>
      <c r="B74" s="14" t="s">
        <v>55</v>
      </c>
      <c r="C74" s="15" t="s">
        <v>22</v>
      </c>
      <c r="D74" s="16">
        <v>46139</v>
      </c>
      <c r="E74" s="17">
        <v>1710</v>
      </c>
      <c r="F74" s="18">
        <v>0.5</v>
      </c>
      <c r="G74" s="19">
        <f>Cereal[[#This Row],[N° BOLSAS]]*Cereal[[#This Row],[KG BOLSA]]</f>
        <v>855</v>
      </c>
      <c r="H74" s="37">
        <v>80</v>
      </c>
      <c r="I74" s="14">
        <f>ROUNDDOWN(Cereal[[#This Row],[N° BOLSAS]]/Cereal[[#This Row],[CAP. SACOS]],0)</f>
        <v>21</v>
      </c>
      <c r="J74" s="14">
        <f>Cereal[[#This Row],[N° BOLSAS]]-Cereal[[#This Row],[N° SACOS]]*Cereal[[#This Row],[CAP. SACOS]]</f>
        <v>30</v>
      </c>
      <c r="K74" s="16">
        <v>46137</v>
      </c>
      <c r="L74" s="16">
        <v>46137</v>
      </c>
      <c r="M74" s="16">
        <v>46138</v>
      </c>
      <c r="N74" s="16" t="s">
        <v>57</v>
      </c>
    </row>
    <row r="75" spans="1:14" hidden="1" x14ac:dyDescent="0.25">
      <c r="A75" s="14" t="s">
        <v>14</v>
      </c>
      <c r="B75" s="14" t="s">
        <v>55</v>
      </c>
      <c r="C75" s="15" t="s">
        <v>23</v>
      </c>
      <c r="D75" s="16">
        <v>46200</v>
      </c>
      <c r="E75" s="17">
        <v>1710</v>
      </c>
      <c r="F75" s="18">
        <v>0.5</v>
      </c>
      <c r="G75" s="19">
        <f>Cereal[[#This Row],[N° BOLSAS]]*Cereal[[#This Row],[KG BOLSA]]</f>
        <v>855</v>
      </c>
      <c r="H75" s="37">
        <v>80</v>
      </c>
      <c r="I75" s="14">
        <f>ROUNDDOWN(Cereal[[#This Row],[N° BOLSAS]]/Cereal[[#This Row],[CAP. SACOS]],0)</f>
        <v>21</v>
      </c>
      <c r="J75" s="14">
        <f>Cereal[[#This Row],[N° BOLSAS]]-Cereal[[#This Row],[N° SACOS]]*Cereal[[#This Row],[CAP. SACOS]]</f>
        <v>30</v>
      </c>
      <c r="K75" s="16">
        <v>46197</v>
      </c>
      <c r="L75" s="16">
        <v>46197</v>
      </c>
      <c r="M75" s="16">
        <v>46198</v>
      </c>
      <c r="N75" s="16" t="s">
        <v>57</v>
      </c>
    </row>
    <row r="76" spans="1:14" hidden="1" x14ac:dyDescent="0.25">
      <c r="A76" s="14" t="s">
        <v>14</v>
      </c>
      <c r="B76" s="14" t="s">
        <v>55</v>
      </c>
      <c r="C76" s="15" t="s">
        <v>24</v>
      </c>
      <c r="D76" s="16">
        <v>46200</v>
      </c>
      <c r="E76" s="17">
        <v>1710</v>
      </c>
      <c r="F76" s="18">
        <v>0.5</v>
      </c>
      <c r="G76" s="19">
        <f>Cereal[[#This Row],[N° BOLSAS]]*Cereal[[#This Row],[KG BOLSA]]</f>
        <v>855</v>
      </c>
      <c r="H76" s="37">
        <v>80</v>
      </c>
      <c r="I76" s="14">
        <f>ROUNDDOWN(Cereal[[#This Row],[N° BOLSAS]]/Cereal[[#This Row],[CAP. SACOS]],0)</f>
        <v>21</v>
      </c>
      <c r="J76" s="14">
        <f>Cereal[[#This Row],[N° BOLSAS]]-Cereal[[#This Row],[N° SACOS]]*Cereal[[#This Row],[CAP. SACOS]]</f>
        <v>30</v>
      </c>
      <c r="K76" s="16">
        <v>46197</v>
      </c>
      <c r="L76" s="16">
        <v>46197</v>
      </c>
      <c r="M76" s="16">
        <v>46198</v>
      </c>
      <c r="N76" s="16" t="s">
        <v>57</v>
      </c>
    </row>
    <row r="77" spans="1:14" hidden="1" x14ac:dyDescent="0.25">
      <c r="A77" s="14" t="s">
        <v>14</v>
      </c>
      <c r="B77" s="14" t="s">
        <v>55</v>
      </c>
      <c r="C77" s="15" t="s">
        <v>30</v>
      </c>
      <c r="D77" s="16">
        <v>46230</v>
      </c>
      <c r="E77" s="17">
        <v>1025.29</v>
      </c>
      <c r="F77" s="18">
        <v>1</v>
      </c>
      <c r="G77" s="19">
        <f>Cereal[[#This Row],[N° BOLSAS]]*Cereal[[#This Row],[KG BOLSA]]</f>
        <v>1025.29</v>
      </c>
      <c r="H77" s="37">
        <v>40</v>
      </c>
      <c r="I77" s="14">
        <f>ROUNDDOWN(Cereal[[#This Row],[N° BOLSAS]]/Cereal[[#This Row],[CAP. SACOS]],0)</f>
        <v>25</v>
      </c>
      <c r="J77" s="14">
        <f>Cereal[[#This Row],[N° BOLSAS]]-Cereal[[#This Row],[N° SACOS]]*Cereal[[#This Row],[CAP. SACOS]]</f>
        <v>25.289999999999964</v>
      </c>
      <c r="K77" s="16">
        <v>46233</v>
      </c>
      <c r="L77" s="16">
        <v>46233</v>
      </c>
      <c r="M77" s="16">
        <v>46233</v>
      </c>
      <c r="N77" s="16" t="s">
        <v>57</v>
      </c>
    </row>
    <row r="78" spans="1:14" hidden="1" x14ac:dyDescent="0.25">
      <c r="A78" s="14" t="s">
        <v>14</v>
      </c>
      <c r="B78" s="14" t="s">
        <v>55</v>
      </c>
      <c r="C78" s="15" t="s">
        <v>25</v>
      </c>
      <c r="D78" s="16">
        <v>46261</v>
      </c>
      <c r="E78" s="17">
        <v>1710</v>
      </c>
      <c r="F78" s="18">
        <v>0.5</v>
      </c>
      <c r="G78" s="19">
        <f>Cereal[[#This Row],[N° BOLSAS]]*Cereal[[#This Row],[KG BOLSA]]</f>
        <v>855</v>
      </c>
      <c r="H78" s="37">
        <v>80</v>
      </c>
      <c r="I78" s="14">
        <f>ROUNDDOWN(Cereal[[#This Row],[N° BOLSAS]]/Cereal[[#This Row],[CAP. SACOS]],0)</f>
        <v>21</v>
      </c>
      <c r="J78" s="14">
        <f>Cereal[[#This Row],[N° BOLSAS]]-Cereal[[#This Row],[N° SACOS]]*Cereal[[#This Row],[CAP. SACOS]]</f>
        <v>30</v>
      </c>
      <c r="K78" s="16">
        <v>46247</v>
      </c>
      <c r="L78" s="16">
        <v>46247</v>
      </c>
      <c r="M78" s="16">
        <v>46266</v>
      </c>
      <c r="N78" s="16" t="s">
        <v>57</v>
      </c>
    </row>
    <row r="79" spans="1:14" hidden="1" x14ac:dyDescent="0.25">
      <c r="A79" s="14" t="s">
        <v>14</v>
      </c>
      <c r="B79" s="14" t="s">
        <v>55</v>
      </c>
      <c r="C79" s="15" t="s">
        <v>26</v>
      </c>
      <c r="D79" s="16">
        <v>46261</v>
      </c>
      <c r="E79" s="17">
        <v>1710</v>
      </c>
      <c r="F79" s="18">
        <v>0.5</v>
      </c>
      <c r="G79" s="19">
        <f>Cereal[[#This Row],[N° BOLSAS]]*Cereal[[#This Row],[KG BOLSA]]</f>
        <v>855</v>
      </c>
      <c r="H79" s="37">
        <v>80</v>
      </c>
      <c r="I79" s="14">
        <f>ROUNDDOWN(Cereal[[#This Row],[N° BOLSAS]]/Cereal[[#This Row],[CAP. SACOS]],0)</f>
        <v>21</v>
      </c>
      <c r="J79" s="14">
        <f>Cereal[[#This Row],[N° BOLSAS]]-Cereal[[#This Row],[N° SACOS]]*Cereal[[#This Row],[CAP. SACOS]]</f>
        <v>30</v>
      </c>
      <c r="K79" s="16">
        <v>46247</v>
      </c>
      <c r="L79" s="16">
        <v>46247</v>
      </c>
      <c r="M79" s="16">
        <v>46266</v>
      </c>
      <c r="N79" s="16" t="s">
        <v>57</v>
      </c>
    </row>
    <row r="80" spans="1:14" hidden="1" x14ac:dyDescent="0.25">
      <c r="A80" s="14" t="s">
        <v>14</v>
      </c>
      <c r="B80" s="14" t="s">
        <v>55</v>
      </c>
      <c r="C80" s="15" t="s">
        <v>27</v>
      </c>
      <c r="D80" s="16">
        <v>46322</v>
      </c>
      <c r="E80" s="17">
        <v>1710</v>
      </c>
      <c r="F80" s="18">
        <v>0.5</v>
      </c>
      <c r="G80" s="19">
        <f>Cereal[[#This Row],[N° BOLSAS]]*Cereal[[#This Row],[KG BOLSA]]</f>
        <v>855</v>
      </c>
      <c r="H80" s="37">
        <v>80</v>
      </c>
      <c r="I80" s="14">
        <f>ROUNDDOWN(Cereal[[#This Row],[N° BOLSAS]]/Cereal[[#This Row],[CAP. SACOS]],0)</f>
        <v>21</v>
      </c>
      <c r="J80" s="14">
        <f>Cereal[[#This Row],[N° BOLSAS]]-Cereal[[#This Row],[N° SACOS]]*Cereal[[#This Row],[CAP. SACOS]]</f>
        <v>30</v>
      </c>
      <c r="K80" s="16"/>
      <c r="L80" s="16"/>
      <c r="M80" s="16"/>
      <c r="N80" s="16" t="s">
        <v>57</v>
      </c>
    </row>
    <row r="81" spans="1:14" hidden="1" x14ac:dyDescent="0.25">
      <c r="A81" s="14" t="s">
        <v>14</v>
      </c>
      <c r="B81" s="14" t="s">
        <v>55</v>
      </c>
      <c r="C81" s="15" t="s">
        <v>28</v>
      </c>
      <c r="D81" s="16">
        <v>46322</v>
      </c>
      <c r="E81" s="17">
        <v>1710</v>
      </c>
      <c r="F81" s="18">
        <v>0.5</v>
      </c>
      <c r="G81" s="19">
        <f>Cereal[[#This Row],[N° BOLSAS]]*Cereal[[#This Row],[KG BOLSA]]</f>
        <v>855</v>
      </c>
      <c r="H81" s="37">
        <v>80</v>
      </c>
      <c r="I81" s="14">
        <f>ROUNDDOWN(Cereal[[#This Row],[N° BOLSAS]]/Cereal[[#This Row],[CAP. SACOS]],0)</f>
        <v>21</v>
      </c>
      <c r="J81" s="14">
        <f>Cereal[[#This Row],[N° BOLSAS]]-Cereal[[#This Row],[N° SACOS]]*Cereal[[#This Row],[CAP. SACOS]]</f>
        <v>30</v>
      </c>
      <c r="K81" s="16"/>
      <c r="L81" s="16"/>
      <c r="M81" s="16"/>
      <c r="N81" s="16" t="s">
        <v>57</v>
      </c>
    </row>
    <row r="82" spans="1:14" hidden="1" x14ac:dyDescent="0.25">
      <c r="A82" s="14" t="s">
        <v>58</v>
      </c>
      <c r="B82" s="14" t="s">
        <v>59</v>
      </c>
      <c r="C82" s="15" t="s">
        <v>16</v>
      </c>
      <c r="D82" s="16">
        <v>46022</v>
      </c>
      <c r="E82" s="17">
        <v>6500</v>
      </c>
      <c r="F82" s="18">
        <v>0.8</v>
      </c>
      <c r="G82" s="19">
        <f>Cereal[[#This Row],[N° BOLSAS]]*Cereal[[#This Row],[KG BOLSA]]</f>
        <v>5200</v>
      </c>
      <c r="H82" s="37">
        <v>50</v>
      </c>
      <c r="I82" s="14">
        <f>ROUNDDOWN(Cereal[[#This Row],[N° BOLSAS]]/Cereal[[#This Row],[CAP. SACOS]],0)</f>
        <v>130</v>
      </c>
      <c r="J82" s="14">
        <f>Cereal[[#This Row],[N° BOLSAS]]-Cereal[[#This Row],[N° SACOS]]*Cereal[[#This Row],[CAP. SACOS]]</f>
        <v>0</v>
      </c>
      <c r="K82" s="16">
        <v>45995</v>
      </c>
      <c r="L82" s="16">
        <v>45995</v>
      </c>
      <c r="M82" s="16">
        <v>45995</v>
      </c>
      <c r="N82" s="16" t="s">
        <v>60</v>
      </c>
    </row>
    <row r="83" spans="1:14" hidden="1" x14ac:dyDescent="0.25">
      <c r="A83" s="14" t="s">
        <v>58</v>
      </c>
      <c r="B83" s="14" t="s">
        <v>59</v>
      </c>
      <c r="C83" s="15" t="s">
        <v>18</v>
      </c>
      <c r="D83" s="16">
        <v>46048</v>
      </c>
      <c r="E83" s="17">
        <v>6500</v>
      </c>
      <c r="F83" s="18">
        <v>0.8</v>
      </c>
      <c r="G83" s="19">
        <f>Cereal[[#This Row],[N° BOLSAS]]*Cereal[[#This Row],[KG BOLSA]]</f>
        <v>5200</v>
      </c>
      <c r="H83" s="37">
        <v>50</v>
      </c>
      <c r="I83" s="14">
        <f>ROUNDDOWN(Cereal[[#This Row],[N° BOLSAS]]/Cereal[[#This Row],[CAP. SACOS]],0)</f>
        <v>130</v>
      </c>
      <c r="J83" s="14">
        <f>Cereal[[#This Row],[N° BOLSAS]]-Cereal[[#This Row],[N° SACOS]]*Cereal[[#This Row],[CAP. SACOS]]</f>
        <v>0</v>
      </c>
      <c r="K83" s="16">
        <v>46020</v>
      </c>
      <c r="L83" s="16">
        <v>46020</v>
      </c>
      <c r="M83" s="16">
        <v>46046</v>
      </c>
      <c r="N83" s="16" t="s">
        <v>60</v>
      </c>
    </row>
    <row r="84" spans="1:14" hidden="1" x14ac:dyDescent="0.25">
      <c r="A84" s="14" t="s">
        <v>58</v>
      </c>
      <c r="B84" s="14" t="s">
        <v>59</v>
      </c>
      <c r="C84" s="15" t="s">
        <v>19</v>
      </c>
      <c r="D84" s="16">
        <v>46077</v>
      </c>
      <c r="E84" s="17">
        <v>6500</v>
      </c>
      <c r="F84" s="18">
        <v>0.8</v>
      </c>
      <c r="G84" s="19">
        <f>Cereal[[#This Row],[N° BOLSAS]]*Cereal[[#This Row],[KG BOLSA]]</f>
        <v>5200</v>
      </c>
      <c r="H84" s="37">
        <v>50</v>
      </c>
      <c r="I84" s="14">
        <f>ROUNDDOWN(Cereal[[#This Row],[N° BOLSAS]]/Cereal[[#This Row],[CAP. SACOS]],0)</f>
        <v>130</v>
      </c>
      <c r="J84" s="14">
        <f>Cereal[[#This Row],[N° BOLSAS]]-Cereal[[#This Row],[N° SACOS]]*Cereal[[#This Row],[CAP. SACOS]]</f>
        <v>0</v>
      </c>
      <c r="K84" s="16">
        <v>46075</v>
      </c>
      <c r="L84" s="16">
        <v>46075</v>
      </c>
      <c r="M84" s="16">
        <v>46075</v>
      </c>
      <c r="N84" s="16" t="s">
        <v>60</v>
      </c>
    </row>
    <row r="85" spans="1:14" hidden="1" x14ac:dyDescent="0.25">
      <c r="A85" s="14" t="s">
        <v>58</v>
      </c>
      <c r="B85" s="14" t="s">
        <v>59</v>
      </c>
      <c r="C85" s="15" t="s">
        <v>20</v>
      </c>
      <c r="D85" s="16">
        <v>46105</v>
      </c>
      <c r="E85" s="17">
        <v>6500</v>
      </c>
      <c r="F85" s="18">
        <v>0.8</v>
      </c>
      <c r="G85" s="19">
        <f>Cereal[[#This Row],[N° BOLSAS]]*Cereal[[#This Row],[KG BOLSA]]</f>
        <v>5200</v>
      </c>
      <c r="H85" s="37">
        <v>50</v>
      </c>
      <c r="I85" s="14">
        <f>ROUNDDOWN(Cereal[[#This Row],[N° BOLSAS]]/Cereal[[#This Row],[CAP. SACOS]],0)</f>
        <v>130</v>
      </c>
      <c r="J85" s="14">
        <f>Cereal[[#This Row],[N° BOLSAS]]-Cereal[[#This Row],[N° SACOS]]*Cereal[[#This Row],[CAP. SACOS]]</f>
        <v>0</v>
      </c>
      <c r="K85" s="16">
        <v>46104</v>
      </c>
      <c r="L85" s="16">
        <v>46104</v>
      </c>
      <c r="M85" s="16">
        <v>46107</v>
      </c>
      <c r="N85" s="16" t="s">
        <v>60</v>
      </c>
    </row>
    <row r="86" spans="1:14" hidden="1" x14ac:dyDescent="0.25">
      <c r="A86" s="14" t="s">
        <v>58</v>
      </c>
      <c r="B86" s="14" t="s">
        <v>59</v>
      </c>
      <c r="C86" s="15" t="s">
        <v>21</v>
      </c>
      <c r="D86" s="16">
        <v>46135</v>
      </c>
      <c r="E86" s="17">
        <v>6500</v>
      </c>
      <c r="F86" s="18">
        <v>0.8</v>
      </c>
      <c r="G86" s="19">
        <f>Cereal[[#This Row],[N° BOLSAS]]*Cereal[[#This Row],[KG BOLSA]]</f>
        <v>5200</v>
      </c>
      <c r="H86" s="37">
        <v>50</v>
      </c>
      <c r="I86" s="14">
        <f>ROUNDDOWN(Cereal[[#This Row],[N° BOLSAS]]/Cereal[[#This Row],[CAP. SACOS]],0)</f>
        <v>130</v>
      </c>
      <c r="J86" s="14">
        <f>Cereal[[#This Row],[N° BOLSAS]]-Cereal[[#This Row],[N° SACOS]]*Cereal[[#This Row],[CAP. SACOS]]</f>
        <v>0</v>
      </c>
      <c r="K86" s="16">
        <v>46138</v>
      </c>
      <c r="L86" s="16">
        <v>46138</v>
      </c>
      <c r="M86" s="16">
        <v>46138</v>
      </c>
      <c r="N86" s="16" t="s">
        <v>60</v>
      </c>
    </row>
    <row r="87" spans="1:14" hidden="1" x14ac:dyDescent="0.25">
      <c r="A87" s="14" t="s">
        <v>58</v>
      </c>
      <c r="B87" s="14" t="s">
        <v>59</v>
      </c>
      <c r="C87" s="15" t="s">
        <v>22</v>
      </c>
      <c r="D87" s="16">
        <v>46164</v>
      </c>
      <c r="E87" s="17">
        <v>6500</v>
      </c>
      <c r="F87" s="18">
        <v>0.8</v>
      </c>
      <c r="G87" s="19">
        <f>Cereal[[#This Row],[N° BOLSAS]]*Cereal[[#This Row],[KG BOLSA]]</f>
        <v>5200</v>
      </c>
      <c r="H87" s="37">
        <v>50</v>
      </c>
      <c r="I87" s="14">
        <f>ROUNDDOWN(Cereal[[#This Row],[N° BOLSAS]]/Cereal[[#This Row],[CAP. SACOS]],0)</f>
        <v>130</v>
      </c>
      <c r="J87" s="14">
        <f>Cereal[[#This Row],[N° BOLSAS]]-Cereal[[#This Row],[N° SACOS]]*Cereal[[#This Row],[CAP. SACOS]]</f>
        <v>0</v>
      </c>
      <c r="K87" s="16">
        <v>46161</v>
      </c>
      <c r="L87" s="16">
        <v>46161</v>
      </c>
      <c r="M87" s="16">
        <v>46163</v>
      </c>
      <c r="N87" s="16" t="s">
        <v>60</v>
      </c>
    </row>
    <row r="88" spans="1:14" hidden="1" x14ac:dyDescent="0.25">
      <c r="A88" s="14" t="s">
        <v>58</v>
      </c>
      <c r="B88" s="14" t="s">
        <v>59</v>
      </c>
      <c r="C88" s="15" t="s">
        <v>23</v>
      </c>
      <c r="D88" s="16">
        <v>46198</v>
      </c>
      <c r="E88" s="17">
        <v>6500</v>
      </c>
      <c r="F88" s="18">
        <v>0.8</v>
      </c>
      <c r="G88" s="19">
        <f>Cereal[[#This Row],[N° BOLSAS]]*Cereal[[#This Row],[KG BOLSA]]</f>
        <v>5200</v>
      </c>
      <c r="H88" s="37">
        <v>50</v>
      </c>
      <c r="I88" s="14">
        <f>ROUNDDOWN(Cereal[[#This Row],[N° BOLSAS]]/Cereal[[#This Row],[CAP. SACOS]],0)</f>
        <v>130</v>
      </c>
      <c r="J88" s="14">
        <f>Cereal[[#This Row],[N° BOLSAS]]-Cereal[[#This Row],[N° SACOS]]*Cereal[[#This Row],[CAP. SACOS]]</f>
        <v>0</v>
      </c>
      <c r="K88" s="16">
        <v>46196</v>
      </c>
      <c r="L88" s="16">
        <v>46196</v>
      </c>
      <c r="M88" s="16">
        <v>46196</v>
      </c>
      <c r="N88" s="16" t="s">
        <v>60</v>
      </c>
    </row>
    <row r="89" spans="1:14" hidden="1" x14ac:dyDescent="0.25">
      <c r="A89" s="14" t="s">
        <v>58</v>
      </c>
      <c r="B89" s="14" t="s">
        <v>59</v>
      </c>
      <c r="C89" s="15" t="s">
        <v>24</v>
      </c>
      <c r="D89" s="16">
        <v>46227</v>
      </c>
      <c r="E89" s="17">
        <v>6500</v>
      </c>
      <c r="F89" s="18">
        <v>0.8</v>
      </c>
      <c r="G89" s="19">
        <f>Cereal[[#This Row],[N° BOLSAS]]*Cereal[[#This Row],[KG BOLSA]]</f>
        <v>5200</v>
      </c>
      <c r="H89" s="37">
        <v>50</v>
      </c>
      <c r="I89" s="14">
        <f>ROUNDDOWN(Cereal[[#This Row],[N° BOLSAS]]/Cereal[[#This Row],[CAP. SACOS]],0)</f>
        <v>130</v>
      </c>
      <c r="J89" s="14">
        <f>Cereal[[#This Row],[N° BOLSAS]]-Cereal[[#This Row],[N° SACOS]]*Cereal[[#This Row],[CAP. SACOS]]</f>
        <v>0</v>
      </c>
      <c r="K89" s="16">
        <v>46230</v>
      </c>
      <c r="L89" s="16">
        <v>46230</v>
      </c>
      <c r="M89" s="16">
        <v>46230</v>
      </c>
      <c r="N89" s="16" t="s">
        <v>60</v>
      </c>
    </row>
    <row r="90" spans="1:14" hidden="1" x14ac:dyDescent="0.25">
      <c r="A90" s="14" t="s">
        <v>58</v>
      </c>
      <c r="B90" s="14" t="s">
        <v>59</v>
      </c>
      <c r="C90" s="15" t="s">
        <v>25</v>
      </c>
      <c r="D90" s="16">
        <v>46259</v>
      </c>
      <c r="E90" s="17">
        <v>6500</v>
      </c>
      <c r="F90" s="18">
        <v>0.8</v>
      </c>
      <c r="G90" s="19">
        <f>Cereal[[#This Row],[N° BOLSAS]]*Cereal[[#This Row],[KG BOLSA]]</f>
        <v>5200</v>
      </c>
      <c r="H90" s="37">
        <v>50</v>
      </c>
      <c r="I90" s="14">
        <f>ROUNDDOWN(Cereal[[#This Row],[N° BOLSAS]]/Cereal[[#This Row],[CAP. SACOS]],0)</f>
        <v>130</v>
      </c>
      <c r="J90" s="14">
        <f>Cereal[[#This Row],[N° BOLSAS]]-Cereal[[#This Row],[N° SACOS]]*Cereal[[#This Row],[CAP. SACOS]]</f>
        <v>0</v>
      </c>
      <c r="K90" s="16">
        <v>46241</v>
      </c>
      <c r="L90" s="16">
        <v>46241</v>
      </c>
      <c r="M90" s="16">
        <v>46255</v>
      </c>
      <c r="N90" s="16" t="s">
        <v>60</v>
      </c>
    </row>
    <row r="91" spans="1:14" hidden="1" x14ac:dyDescent="0.25">
      <c r="A91" s="14" t="s">
        <v>58</v>
      </c>
      <c r="B91" s="14" t="s">
        <v>59</v>
      </c>
      <c r="C91" s="15" t="s">
        <v>26</v>
      </c>
      <c r="D91" s="16">
        <v>46290</v>
      </c>
      <c r="E91" s="17">
        <v>6500</v>
      </c>
      <c r="F91" s="18">
        <v>0.8</v>
      </c>
      <c r="G91" s="19">
        <f>Cereal[[#This Row],[N° BOLSAS]]*Cereal[[#This Row],[KG BOLSA]]</f>
        <v>5200</v>
      </c>
      <c r="H91" s="37">
        <v>50</v>
      </c>
      <c r="I91" s="14">
        <f>ROUNDDOWN(Cereal[[#This Row],[N° BOLSAS]]/Cereal[[#This Row],[CAP. SACOS]],0)</f>
        <v>130</v>
      </c>
      <c r="J91" s="14">
        <f>Cereal[[#This Row],[N° BOLSAS]]-Cereal[[#This Row],[N° SACOS]]*Cereal[[#This Row],[CAP. SACOS]]</f>
        <v>0</v>
      </c>
      <c r="K91" s="16">
        <v>46293</v>
      </c>
      <c r="L91" s="16">
        <v>46293</v>
      </c>
      <c r="M91" s="16">
        <v>46293</v>
      </c>
      <c r="N91" s="16" t="s">
        <v>60</v>
      </c>
    </row>
    <row r="92" spans="1:14" hidden="1" x14ac:dyDescent="0.25">
      <c r="A92" s="14" t="s">
        <v>58</v>
      </c>
      <c r="B92" s="14" t="s">
        <v>59</v>
      </c>
      <c r="C92" s="15" t="s">
        <v>27</v>
      </c>
      <c r="D92" s="16">
        <v>46317</v>
      </c>
      <c r="E92" s="17">
        <v>6500</v>
      </c>
      <c r="F92" s="18">
        <v>0.8</v>
      </c>
      <c r="G92" s="19">
        <f>Cereal[[#This Row],[N° BOLSAS]]*Cereal[[#This Row],[KG BOLSA]]</f>
        <v>5200</v>
      </c>
      <c r="H92" s="37">
        <v>50</v>
      </c>
      <c r="I92" s="14">
        <f>ROUNDDOWN(Cereal[[#This Row],[N° BOLSAS]]/Cereal[[#This Row],[CAP. SACOS]],0)</f>
        <v>130</v>
      </c>
      <c r="J92" s="14">
        <f>Cereal[[#This Row],[N° BOLSAS]]-Cereal[[#This Row],[N° SACOS]]*Cereal[[#This Row],[CAP. SACOS]]</f>
        <v>0</v>
      </c>
      <c r="K92" s="16"/>
      <c r="L92" s="16"/>
      <c r="M92" s="16"/>
      <c r="N92" s="16" t="s">
        <v>60</v>
      </c>
    </row>
    <row r="93" spans="1:14" hidden="1" x14ac:dyDescent="0.25">
      <c r="A93" s="14" t="s">
        <v>58</v>
      </c>
      <c r="B93" s="14" t="s">
        <v>59</v>
      </c>
      <c r="C93" s="15" t="s">
        <v>28</v>
      </c>
      <c r="D93" s="16">
        <v>46352</v>
      </c>
      <c r="E93" s="17">
        <v>6500</v>
      </c>
      <c r="F93" s="18">
        <v>0.8</v>
      </c>
      <c r="G93" s="19">
        <f>Cereal[[#This Row],[N° BOLSAS]]*Cereal[[#This Row],[KG BOLSA]]</f>
        <v>5200</v>
      </c>
      <c r="H93" s="37">
        <v>50</v>
      </c>
      <c r="I93" s="14">
        <f>ROUNDDOWN(Cereal[[#This Row],[N° BOLSAS]]/Cereal[[#This Row],[CAP. SACOS]],0)</f>
        <v>130</v>
      </c>
      <c r="J93" s="14">
        <f>Cereal[[#This Row],[N° BOLSAS]]-Cereal[[#This Row],[N° SACOS]]*Cereal[[#This Row],[CAP. SACOS]]</f>
        <v>0</v>
      </c>
      <c r="K93" s="16"/>
      <c r="L93" s="16"/>
      <c r="M93" s="16"/>
      <c r="N93" s="16" t="s">
        <v>60</v>
      </c>
    </row>
    <row r="94" spans="1:14" hidden="1" x14ac:dyDescent="0.25">
      <c r="A94" s="14" t="s">
        <v>14</v>
      </c>
      <c r="B94" s="14" t="s">
        <v>61</v>
      </c>
      <c r="C94" s="15" t="s">
        <v>16</v>
      </c>
      <c r="D94" s="16">
        <v>46022</v>
      </c>
      <c r="E94" s="17">
        <v>1012.86</v>
      </c>
      <c r="F94" s="18">
        <v>1</v>
      </c>
      <c r="G94" s="19">
        <f>Cereal[[#This Row],[N° BOLSAS]]*Cereal[[#This Row],[KG BOLSA]]</f>
        <v>1012.86</v>
      </c>
      <c r="H94" s="37">
        <v>40</v>
      </c>
      <c r="I94" s="14">
        <f>ROUNDDOWN(Cereal[[#This Row],[N° BOLSAS]]/Cereal[[#This Row],[CAP. SACOS]],0)</f>
        <v>25</v>
      </c>
      <c r="J94" s="14">
        <f>Cereal[[#This Row],[N° BOLSAS]]-Cereal[[#This Row],[N° SACOS]]*Cereal[[#This Row],[CAP. SACOS]]</f>
        <v>12.860000000000014</v>
      </c>
      <c r="K94" s="16">
        <v>46062</v>
      </c>
      <c r="L94" s="16">
        <v>46062</v>
      </c>
      <c r="M94" s="16">
        <v>46063</v>
      </c>
      <c r="N94" s="16" t="s">
        <v>62</v>
      </c>
    </row>
    <row r="95" spans="1:14" hidden="1" x14ac:dyDescent="0.25">
      <c r="A95" s="14" t="s">
        <v>14</v>
      </c>
      <c r="B95" s="14" t="s">
        <v>61</v>
      </c>
      <c r="C95" s="15" t="s">
        <v>18</v>
      </c>
      <c r="D95" s="16">
        <v>46022</v>
      </c>
      <c r="E95" s="17">
        <v>914.84</v>
      </c>
      <c r="F95" s="18">
        <v>1</v>
      </c>
      <c r="G95" s="19">
        <f>Cereal[[#This Row],[N° BOLSAS]]*Cereal[[#This Row],[KG BOLSA]]</f>
        <v>914.84</v>
      </c>
      <c r="H95" s="37">
        <v>40</v>
      </c>
      <c r="I95" s="14">
        <f>ROUNDDOWN(Cereal[[#This Row],[N° BOLSAS]]/Cereal[[#This Row],[CAP. SACOS]],0)</f>
        <v>22</v>
      </c>
      <c r="J95" s="14">
        <f>Cereal[[#This Row],[N° BOLSAS]]-Cereal[[#This Row],[N° SACOS]]*Cereal[[#This Row],[CAP. SACOS]]</f>
        <v>34.840000000000032</v>
      </c>
      <c r="K95" s="16">
        <v>46062</v>
      </c>
      <c r="L95" s="16">
        <v>46062</v>
      </c>
      <c r="M95" s="16">
        <v>46063</v>
      </c>
      <c r="N95" s="16" t="s">
        <v>62</v>
      </c>
    </row>
    <row r="96" spans="1:14" hidden="1" x14ac:dyDescent="0.25">
      <c r="A96" s="14" t="s">
        <v>14</v>
      </c>
      <c r="B96" s="14" t="s">
        <v>61</v>
      </c>
      <c r="C96" s="15" t="s">
        <v>19</v>
      </c>
      <c r="D96" s="16">
        <v>46022</v>
      </c>
      <c r="E96" s="17">
        <v>1012.86</v>
      </c>
      <c r="F96" s="18">
        <v>1</v>
      </c>
      <c r="G96" s="19">
        <f>Cereal[[#This Row],[N° BOLSAS]]*Cereal[[#This Row],[KG BOLSA]]</f>
        <v>1012.86</v>
      </c>
      <c r="H96" s="37">
        <v>40</v>
      </c>
      <c r="I96" s="14">
        <f>ROUNDDOWN(Cereal[[#This Row],[N° BOLSAS]]/Cereal[[#This Row],[CAP. SACOS]],0)</f>
        <v>25</v>
      </c>
      <c r="J96" s="14">
        <f>Cereal[[#This Row],[N° BOLSAS]]-Cereal[[#This Row],[N° SACOS]]*Cereal[[#This Row],[CAP. SACOS]]</f>
        <v>12.860000000000014</v>
      </c>
      <c r="K96" s="16">
        <v>46062</v>
      </c>
      <c r="L96" s="16">
        <v>46062</v>
      </c>
      <c r="M96" s="16">
        <v>46063</v>
      </c>
      <c r="N96" s="16" t="s">
        <v>62</v>
      </c>
    </row>
    <row r="97" spans="1:14" hidden="1" x14ac:dyDescent="0.25">
      <c r="A97" s="14" t="s">
        <v>14</v>
      </c>
      <c r="B97" s="14" t="s">
        <v>61</v>
      </c>
      <c r="C97" s="15" t="s">
        <v>20</v>
      </c>
      <c r="D97" s="16">
        <v>46093</v>
      </c>
      <c r="E97" s="17">
        <v>980.18</v>
      </c>
      <c r="F97" s="18">
        <v>1</v>
      </c>
      <c r="G97" s="19">
        <f>Cereal[[#This Row],[N° BOLSAS]]*Cereal[[#This Row],[KG BOLSA]]</f>
        <v>980.18</v>
      </c>
      <c r="H97" s="37">
        <v>40</v>
      </c>
      <c r="I97" s="14">
        <f>ROUNDDOWN(Cereal[[#This Row],[N° BOLSAS]]/Cereal[[#This Row],[CAP. SACOS]],0)</f>
        <v>24</v>
      </c>
      <c r="J97" s="14">
        <f>Cereal[[#This Row],[N° BOLSAS]]-Cereal[[#This Row],[N° SACOS]]*Cereal[[#This Row],[CAP. SACOS]]</f>
        <v>20.17999999999995</v>
      </c>
      <c r="K97" s="16">
        <v>46091</v>
      </c>
      <c r="L97" s="16">
        <v>46091</v>
      </c>
      <c r="M97" s="16">
        <v>46096</v>
      </c>
      <c r="N97" s="16" t="s">
        <v>62</v>
      </c>
    </row>
    <row r="98" spans="1:14" hidden="1" x14ac:dyDescent="0.25">
      <c r="A98" s="14" t="s">
        <v>14</v>
      </c>
      <c r="B98" s="14" t="s">
        <v>61</v>
      </c>
      <c r="C98" s="15" t="s">
        <v>21</v>
      </c>
      <c r="D98" s="16">
        <v>46093</v>
      </c>
      <c r="E98" s="17">
        <v>1012.86</v>
      </c>
      <c r="F98" s="18">
        <v>1</v>
      </c>
      <c r="G98" s="19">
        <f>Cereal[[#This Row],[N° BOLSAS]]*Cereal[[#This Row],[KG BOLSA]]</f>
        <v>1012.86</v>
      </c>
      <c r="H98" s="37">
        <v>40</v>
      </c>
      <c r="I98" s="14">
        <f>ROUNDDOWN(Cereal[[#This Row],[N° BOLSAS]]/Cereal[[#This Row],[CAP. SACOS]],0)</f>
        <v>25</v>
      </c>
      <c r="J98" s="14">
        <f>Cereal[[#This Row],[N° BOLSAS]]-Cereal[[#This Row],[N° SACOS]]*Cereal[[#This Row],[CAP. SACOS]]</f>
        <v>12.860000000000014</v>
      </c>
      <c r="K98" s="16">
        <v>46091</v>
      </c>
      <c r="L98" s="16">
        <v>46091</v>
      </c>
      <c r="M98" s="16">
        <v>46096</v>
      </c>
      <c r="N98" s="16" t="s">
        <v>62</v>
      </c>
    </row>
    <row r="99" spans="1:14" hidden="1" x14ac:dyDescent="0.25">
      <c r="A99" s="14" t="s">
        <v>14</v>
      </c>
      <c r="B99" s="14" t="s">
        <v>61</v>
      </c>
      <c r="C99" s="15" t="s">
        <v>22</v>
      </c>
      <c r="D99" s="16">
        <v>46093</v>
      </c>
      <c r="E99" s="17">
        <v>980.18</v>
      </c>
      <c r="F99" s="18">
        <v>1</v>
      </c>
      <c r="G99" s="19">
        <f>Cereal[[#This Row],[N° BOLSAS]]*Cereal[[#This Row],[KG BOLSA]]</f>
        <v>980.18</v>
      </c>
      <c r="H99" s="37">
        <v>40</v>
      </c>
      <c r="I99" s="14">
        <f>ROUNDDOWN(Cereal[[#This Row],[N° BOLSAS]]/Cereal[[#This Row],[CAP. SACOS]],0)</f>
        <v>24</v>
      </c>
      <c r="J99" s="14">
        <f>Cereal[[#This Row],[N° BOLSAS]]-Cereal[[#This Row],[N° SACOS]]*Cereal[[#This Row],[CAP. SACOS]]</f>
        <v>20.17999999999995</v>
      </c>
      <c r="K99" s="16">
        <v>46091</v>
      </c>
      <c r="L99" s="16">
        <v>46091</v>
      </c>
      <c r="M99" s="16">
        <v>46096</v>
      </c>
      <c r="N99" s="16" t="s">
        <v>62</v>
      </c>
    </row>
    <row r="100" spans="1:14" hidden="1" x14ac:dyDescent="0.25">
      <c r="A100" s="14" t="s">
        <v>14</v>
      </c>
      <c r="B100" s="14" t="s">
        <v>61</v>
      </c>
      <c r="C100" s="15" t="s">
        <v>23</v>
      </c>
      <c r="D100" s="16">
        <v>46188</v>
      </c>
      <c r="E100" s="17">
        <v>1012.86</v>
      </c>
      <c r="F100" s="18">
        <v>1</v>
      </c>
      <c r="G100" s="19">
        <f>Cereal[[#This Row],[N° BOLSAS]]*Cereal[[#This Row],[KG BOLSA]]</f>
        <v>1012.86</v>
      </c>
      <c r="H100" s="37">
        <v>40</v>
      </c>
      <c r="I100" s="14">
        <f>ROUNDDOWN(Cereal[[#This Row],[N° BOLSAS]]/Cereal[[#This Row],[CAP. SACOS]],0)</f>
        <v>25</v>
      </c>
      <c r="J100" s="14">
        <f>Cereal[[#This Row],[N° BOLSAS]]-Cereal[[#This Row],[N° SACOS]]*Cereal[[#This Row],[CAP. SACOS]]</f>
        <v>12.860000000000014</v>
      </c>
      <c r="K100" s="16">
        <v>46170</v>
      </c>
      <c r="L100" s="16">
        <v>46170</v>
      </c>
      <c r="M100" s="16">
        <v>46184</v>
      </c>
      <c r="N100" s="16" t="s">
        <v>62</v>
      </c>
    </row>
    <row r="101" spans="1:14" hidden="1" x14ac:dyDescent="0.25">
      <c r="A101" s="14" t="s">
        <v>14</v>
      </c>
      <c r="B101" s="14" t="s">
        <v>61</v>
      </c>
      <c r="C101" s="15" t="s">
        <v>24</v>
      </c>
      <c r="D101" s="16">
        <v>46188</v>
      </c>
      <c r="E101" s="17">
        <v>1012.86</v>
      </c>
      <c r="F101" s="18">
        <v>1</v>
      </c>
      <c r="G101" s="19">
        <f>Cereal[[#This Row],[N° BOLSAS]]*Cereal[[#This Row],[KG BOLSA]]</f>
        <v>1012.86</v>
      </c>
      <c r="H101" s="37">
        <v>40</v>
      </c>
      <c r="I101" s="14">
        <f>ROUNDDOWN(Cereal[[#This Row],[N° BOLSAS]]/Cereal[[#This Row],[CAP. SACOS]],0)</f>
        <v>25</v>
      </c>
      <c r="J101" s="14">
        <f>Cereal[[#This Row],[N° BOLSAS]]-Cereal[[#This Row],[N° SACOS]]*Cereal[[#This Row],[CAP. SACOS]]</f>
        <v>12.860000000000014</v>
      </c>
      <c r="K101" s="16">
        <v>46170</v>
      </c>
      <c r="L101" s="16">
        <v>46170</v>
      </c>
      <c r="M101" s="16">
        <v>46184</v>
      </c>
      <c r="N101" s="16" t="s">
        <v>62</v>
      </c>
    </row>
    <row r="102" spans="1:14" hidden="1" x14ac:dyDescent="0.25">
      <c r="A102" s="14" t="s">
        <v>14</v>
      </c>
      <c r="B102" s="14" t="s">
        <v>61</v>
      </c>
      <c r="C102" s="15" t="s">
        <v>25</v>
      </c>
      <c r="D102" s="16">
        <v>46188</v>
      </c>
      <c r="E102" s="17">
        <v>980.18</v>
      </c>
      <c r="F102" s="18">
        <v>1</v>
      </c>
      <c r="G102" s="19">
        <f>Cereal[[#This Row],[N° BOLSAS]]*Cereal[[#This Row],[KG BOLSA]]</f>
        <v>980.18</v>
      </c>
      <c r="H102" s="37">
        <v>40</v>
      </c>
      <c r="I102" s="14">
        <f>ROUNDDOWN(Cereal[[#This Row],[N° BOLSAS]]/Cereal[[#This Row],[CAP. SACOS]],0)</f>
        <v>24</v>
      </c>
      <c r="J102" s="14">
        <f>Cereal[[#This Row],[N° BOLSAS]]-Cereal[[#This Row],[N° SACOS]]*Cereal[[#This Row],[CAP. SACOS]]</f>
        <v>20.17999999999995</v>
      </c>
      <c r="K102" s="16">
        <v>46170</v>
      </c>
      <c r="L102" s="16">
        <v>46170</v>
      </c>
      <c r="M102" s="16">
        <v>46184</v>
      </c>
      <c r="N102" s="16" t="s">
        <v>62</v>
      </c>
    </row>
    <row r="103" spans="1:14" hidden="1" x14ac:dyDescent="0.25">
      <c r="A103" s="14" t="s">
        <v>14</v>
      </c>
      <c r="B103" s="14" t="s">
        <v>61</v>
      </c>
      <c r="C103" s="15" t="s">
        <v>26</v>
      </c>
      <c r="D103" s="16">
        <v>46279</v>
      </c>
      <c r="E103" s="17">
        <v>1012.86</v>
      </c>
      <c r="F103" s="18">
        <v>1</v>
      </c>
      <c r="G103" s="19">
        <f>Cereal[[#This Row],[N° BOLSAS]]*Cereal[[#This Row],[KG BOLSA]]</f>
        <v>1012.86</v>
      </c>
      <c r="H103" s="37">
        <v>40</v>
      </c>
      <c r="I103" s="14">
        <f>ROUNDDOWN(Cereal[[#This Row],[N° BOLSAS]]/Cereal[[#This Row],[CAP. SACOS]],0)</f>
        <v>25</v>
      </c>
      <c r="J103" s="14">
        <f>Cereal[[#This Row],[N° BOLSAS]]-Cereal[[#This Row],[N° SACOS]]*Cereal[[#This Row],[CAP. SACOS]]</f>
        <v>12.860000000000014</v>
      </c>
      <c r="K103" s="16">
        <v>46276</v>
      </c>
      <c r="L103" s="16">
        <v>46276</v>
      </c>
      <c r="M103" s="16">
        <v>46278</v>
      </c>
      <c r="N103" s="16" t="s">
        <v>62</v>
      </c>
    </row>
    <row r="104" spans="1:14" hidden="1" x14ac:dyDescent="0.25">
      <c r="A104" s="14" t="s">
        <v>14</v>
      </c>
      <c r="B104" s="14" t="s">
        <v>61</v>
      </c>
      <c r="C104" s="15" t="s">
        <v>27</v>
      </c>
      <c r="D104" s="16">
        <v>46279</v>
      </c>
      <c r="E104" s="17">
        <v>980.18</v>
      </c>
      <c r="F104" s="18">
        <v>1</v>
      </c>
      <c r="G104" s="19">
        <f>Cereal[[#This Row],[N° BOLSAS]]*Cereal[[#This Row],[KG BOLSA]]</f>
        <v>980.18</v>
      </c>
      <c r="H104" s="37">
        <v>40</v>
      </c>
      <c r="I104" s="14">
        <f>ROUNDDOWN(Cereal[[#This Row],[N° BOLSAS]]/Cereal[[#This Row],[CAP. SACOS]],0)</f>
        <v>24</v>
      </c>
      <c r="J104" s="14">
        <f>Cereal[[#This Row],[N° BOLSAS]]-Cereal[[#This Row],[N° SACOS]]*Cereal[[#This Row],[CAP. SACOS]]</f>
        <v>20.17999999999995</v>
      </c>
      <c r="K104" s="16">
        <v>46276</v>
      </c>
      <c r="L104" s="16">
        <v>46276</v>
      </c>
      <c r="M104" s="16">
        <v>46278</v>
      </c>
      <c r="N104" s="16" t="s">
        <v>62</v>
      </c>
    </row>
    <row r="105" spans="1:14" hidden="1" x14ac:dyDescent="0.25">
      <c r="A105" s="14" t="s">
        <v>14</v>
      </c>
      <c r="B105" s="14" t="s">
        <v>61</v>
      </c>
      <c r="C105" s="15" t="s">
        <v>28</v>
      </c>
      <c r="D105" s="16">
        <v>46279</v>
      </c>
      <c r="E105" s="17">
        <v>1012.86</v>
      </c>
      <c r="F105" s="18">
        <v>1</v>
      </c>
      <c r="G105" s="19">
        <f>Cereal[[#This Row],[N° BOLSAS]]*Cereal[[#This Row],[KG BOLSA]]</f>
        <v>1012.86</v>
      </c>
      <c r="H105" s="37">
        <v>40</v>
      </c>
      <c r="I105" s="14">
        <f>ROUNDDOWN(Cereal[[#This Row],[N° BOLSAS]]/Cereal[[#This Row],[CAP. SACOS]],0)</f>
        <v>25</v>
      </c>
      <c r="J105" s="14">
        <f>Cereal[[#This Row],[N° BOLSAS]]-Cereal[[#This Row],[N° SACOS]]*Cereal[[#This Row],[CAP. SACOS]]</f>
        <v>12.860000000000014</v>
      </c>
      <c r="K105" s="16"/>
      <c r="L105" s="16"/>
      <c r="M105" s="16"/>
      <c r="N105" s="16" t="s">
        <v>62</v>
      </c>
    </row>
    <row r="106" spans="1:14" hidden="1" x14ac:dyDescent="0.25">
      <c r="A106" s="14" t="s">
        <v>14</v>
      </c>
      <c r="B106" s="14" t="s">
        <v>63</v>
      </c>
      <c r="C106" s="15" t="s">
        <v>16</v>
      </c>
      <c r="D106" s="16">
        <v>46022</v>
      </c>
      <c r="E106" s="17">
        <v>3269.81</v>
      </c>
      <c r="F106" s="18">
        <v>1</v>
      </c>
      <c r="G106" s="19">
        <f>Cereal[[#This Row],[N° BOLSAS]]*Cereal[[#This Row],[KG BOLSA]]</f>
        <v>3269.81</v>
      </c>
      <c r="H106" s="37">
        <v>40</v>
      </c>
      <c r="I106" s="14">
        <f>ROUNDDOWN(Cereal[[#This Row],[N° BOLSAS]]/Cereal[[#This Row],[CAP. SACOS]],0)</f>
        <v>81</v>
      </c>
      <c r="J106" s="14">
        <f>Cereal[[#This Row],[N° BOLSAS]]-Cereal[[#This Row],[N° SACOS]]*Cereal[[#This Row],[CAP. SACOS]]</f>
        <v>29.809999999999945</v>
      </c>
      <c r="K106" s="16">
        <v>46062</v>
      </c>
      <c r="L106" s="16">
        <v>46062</v>
      </c>
      <c r="M106" s="16">
        <v>46063</v>
      </c>
      <c r="N106" s="16" t="s">
        <v>64</v>
      </c>
    </row>
    <row r="107" spans="1:14" hidden="1" x14ac:dyDescent="0.25">
      <c r="A107" s="14" t="s">
        <v>14</v>
      </c>
      <c r="B107" s="14" t="s">
        <v>63</v>
      </c>
      <c r="C107" s="15" t="s">
        <v>18</v>
      </c>
      <c r="D107" s="16">
        <v>46022</v>
      </c>
      <c r="E107" s="17">
        <v>2953.38</v>
      </c>
      <c r="F107" s="18">
        <v>1</v>
      </c>
      <c r="G107" s="19">
        <f>Cereal[[#This Row],[N° BOLSAS]]*Cereal[[#This Row],[KG BOLSA]]</f>
        <v>2953.38</v>
      </c>
      <c r="H107" s="37">
        <v>40</v>
      </c>
      <c r="I107" s="14">
        <f>ROUNDDOWN(Cereal[[#This Row],[N° BOLSAS]]/Cereal[[#This Row],[CAP. SACOS]],0)</f>
        <v>73</v>
      </c>
      <c r="J107" s="14">
        <f>Cereal[[#This Row],[N° BOLSAS]]-Cereal[[#This Row],[N° SACOS]]*Cereal[[#This Row],[CAP. SACOS]]</f>
        <v>33.380000000000109</v>
      </c>
      <c r="K107" s="16">
        <v>46062</v>
      </c>
      <c r="L107" s="16">
        <v>46062</v>
      </c>
      <c r="M107" s="16">
        <v>46063</v>
      </c>
      <c r="N107" s="16" t="s">
        <v>64</v>
      </c>
    </row>
    <row r="108" spans="1:14" hidden="1" x14ac:dyDescent="0.25">
      <c r="A108" s="14" t="s">
        <v>14</v>
      </c>
      <c r="B108" s="14" t="s">
        <v>63</v>
      </c>
      <c r="C108" s="15" t="s">
        <v>19</v>
      </c>
      <c r="D108" s="16">
        <v>46022</v>
      </c>
      <c r="E108" s="17">
        <v>3269.81</v>
      </c>
      <c r="F108" s="18">
        <v>1</v>
      </c>
      <c r="G108" s="19">
        <f>Cereal[[#This Row],[N° BOLSAS]]*Cereal[[#This Row],[KG BOLSA]]</f>
        <v>3269.81</v>
      </c>
      <c r="H108" s="37">
        <v>40</v>
      </c>
      <c r="I108" s="14">
        <f>ROUNDDOWN(Cereal[[#This Row],[N° BOLSAS]]/Cereal[[#This Row],[CAP. SACOS]],0)</f>
        <v>81</v>
      </c>
      <c r="J108" s="14">
        <f>Cereal[[#This Row],[N° BOLSAS]]-Cereal[[#This Row],[N° SACOS]]*Cereal[[#This Row],[CAP. SACOS]]</f>
        <v>29.809999999999945</v>
      </c>
      <c r="K108" s="16">
        <v>46062</v>
      </c>
      <c r="L108" s="16">
        <v>46062</v>
      </c>
      <c r="M108" s="16">
        <v>46063</v>
      </c>
      <c r="N108" s="16" t="s">
        <v>64</v>
      </c>
    </row>
    <row r="109" spans="1:14" hidden="1" x14ac:dyDescent="0.25">
      <c r="A109" s="14" t="s">
        <v>14</v>
      </c>
      <c r="B109" s="14" t="s">
        <v>63</v>
      </c>
      <c r="C109" s="15" t="s">
        <v>20</v>
      </c>
      <c r="D109" s="16">
        <v>46093</v>
      </c>
      <c r="E109" s="17">
        <v>3164.33</v>
      </c>
      <c r="F109" s="18">
        <v>1</v>
      </c>
      <c r="G109" s="19">
        <f>Cereal[[#This Row],[N° BOLSAS]]*Cereal[[#This Row],[KG BOLSA]]</f>
        <v>3164.33</v>
      </c>
      <c r="H109" s="37">
        <v>40</v>
      </c>
      <c r="I109" s="14">
        <f>ROUNDDOWN(Cereal[[#This Row],[N° BOLSAS]]/Cereal[[#This Row],[CAP. SACOS]],0)</f>
        <v>79</v>
      </c>
      <c r="J109" s="14">
        <f>Cereal[[#This Row],[N° BOLSAS]]-Cereal[[#This Row],[N° SACOS]]*Cereal[[#This Row],[CAP. SACOS]]</f>
        <v>4.3299999999999272</v>
      </c>
      <c r="K109" s="16">
        <v>46095</v>
      </c>
      <c r="L109" s="16">
        <v>46095</v>
      </c>
      <c r="M109" s="16">
        <v>46096</v>
      </c>
      <c r="N109" s="16" t="s">
        <v>64</v>
      </c>
    </row>
    <row r="110" spans="1:14" hidden="1" x14ac:dyDescent="0.25">
      <c r="A110" s="14" t="s">
        <v>14</v>
      </c>
      <c r="B110" s="14" t="s">
        <v>63</v>
      </c>
      <c r="C110" s="15" t="s">
        <v>21</v>
      </c>
      <c r="D110" s="16">
        <v>46093</v>
      </c>
      <c r="E110" s="17">
        <v>3269.81</v>
      </c>
      <c r="F110" s="18">
        <v>1</v>
      </c>
      <c r="G110" s="19">
        <f>Cereal[[#This Row],[N° BOLSAS]]*Cereal[[#This Row],[KG BOLSA]]</f>
        <v>3269.81</v>
      </c>
      <c r="H110" s="37">
        <v>40</v>
      </c>
      <c r="I110" s="14">
        <f>ROUNDDOWN(Cereal[[#This Row],[N° BOLSAS]]/Cereal[[#This Row],[CAP. SACOS]],0)</f>
        <v>81</v>
      </c>
      <c r="J110" s="14">
        <f>Cereal[[#This Row],[N° BOLSAS]]-Cereal[[#This Row],[N° SACOS]]*Cereal[[#This Row],[CAP. SACOS]]</f>
        <v>29.809999999999945</v>
      </c>
      <c r="K110" s="16">
        <v>46095</v>
      </c>
      <c r="L110" s="16">
        <v>46095</v>
      </c>
      <c r="M110" s="16">
        <v>46096</v>
      </c>
      <c r="N110" s="16" t="s">
        <v>64</v>
      </c>
    </row>
    <row r="111" spans="1:14" hidden="1" x14ac:dyDescent="0.25">
      <c r="A111" s="14" t="s">
        <v>14</v>
      </c>
      <c r="B111" s="14" t="s">
        <v>63</v>
      </c>
      <c r="C111" s="15" t="s">
        <v>22</v>
      </c>
      <c r="D111" s="16">
        <v>46093</v>
      </c>
      <c r="E111" s="17">
        <v>3164.33</v>
      </c>
      <c r="F111" s="18">
        <v>1</v>
      </c>
      <c r="G111" s="19">
        <f>Cereal[[#This Row],[N° BOLSAS]]*Cereal[[#This Row],[KG BOLSA]]</f>
        <v>3164.33</v>
      </c>
      <c r="H111" s="37">
        <v>40</v>
      </c>
      <c r="I111" s="14">
        <f>ROUNDDOWN(Cereal[[#This Row],[N° BOLSAS]]/Cereal[[#This Row],[CAP. SACOS]],0)</f>
        <v>79</v>
      </c>
      <c r="J111" s="14">
        <f>Cereal[[#This Row],[N° BOLSAS]]-Cereal[[#This Row],[N° SACOS]]*Cereal[[#This Row],[CAP. SACOS]]</f>
        <v>4.3299999999999272</v>
      </c>
      <c r="K111" s="16">
        <v>46095</v>
      </c>
      <c r="L111" s="16">
        <v>46095</v>
      </c>
      <c r="M111" s="16">
        <v>46096</v>
      </c>
      <c r="N111" s="16" t="s">
        <v>64</v>
      </c>
    </row>
    <row r="112" spans="1:14" hidden="1" x14ac:dyDescent="0.25">
      <c r="A112" s="14" t="s">
        <v>14</v>
      </c>
      <c r="B112" s="14" t="s">
        <v>63</v>
      </c>
      <c r="C112" s="15" t="s">
        <v>23</v>
      </c>
      <c r="D112" s="16">
        <v>46188</v>
      </c>
      <c r="E112" s="17">
        <v>3269.81</v>
      </c>
      <c r="F112" s="18">
        <v>1</v>
      </c>
      <c r="G112" s="19">
        <f>Cereal[[#This Row],[N° BOLSAS]]*Cereal[[#This Row],[KG BOLSA]]</f>
        <v>3269.81</v>
      </c>
      <c r="H112" s="37">
        <v>40</v>
      </c>
      <c r="I112" s="14">
        <f>ROUNDDOWN(Cereal[[#This Row],[N° BOLSAS]]/Cereal[[#This Row],[CAP. SACOS]],0)</f>
        <v>81</v>
      </c>
      <c r="J112" s="14">
        <f>Cereal[[#This Row],[N° BOLSAS]]-Cereal[[#This Row],[N° SACOS]]*Cereal[[#This Row],[CAP. SACOS]]</f>
        <v>29.809999999999945</v>
      </c>
      <c r="K112" s="16">
        <v>46170</v>
      </c>
      <c r="L112" s="16">
        <v>46170</v>
      </c>
      <c r="M112" s="16">
        <v>46184</v>
      </c>
      <c r="N112" s="16" t="s">
        <v>64</v>
      </c>
    </row>
    <row r="113" spans="1:14" hidden="1" x14ac:dyDescent="0.25">
      <c r="A113" s="14" t="s">
        <v>14</v>
      </c>
      <c r="B113" s="14" t="s">
        <v>63</v>
      </c>
      <c r="C113" s="15" t="s">
        <v>24</v>
      </c>
      <c r="D113" s="16">
        <v>46188</v>
      </c>
      <c r="E113" s="17">
        <v>3269.81</v>
      </c>
      <c r="F113" s="18">
        <v>1</v>
      </c>
      <c r="G113" s="19">
        <f>Cereal[[#This Row],[N° BOLSAS]]*Cereal[[#This Row],[KG BOLSA]]</f>
        <v>3269.81</v>
      </c>
      <c r="H113" s="37">
        <v>40</v>
      </c>
      <c r="I113" s="14">
        <f>ROUNDDOWN(Cereal[[#This Row],[N° BOLSAS]]/Cereal[[#This Row],[CAP. SACOS]],0)</f>
        <v>81</v>
      </c>
      <c r="J113" s="14">
        <f>Cereal[[#This Row],[N° BOLSAS]]-Cereal[[#This Row],[N° SACOS]]*Cereal[[#This Row],[CAP. SACOS]]</f>
        <v>29.809999999999945</v>
      </c>
      <c r="K113" s="16">
        <v>46170</v>
      </c>
      <c r="L113" s="16">
        <v>46170</v>
      </c>
      <c r="M113" s="16">
        <v>46184</v>
      </c>
      <c r="N113" s="16" t="s">
        <v>64</v>
      </c>
    </row>
    <row r="114" spans="1:14" hidden="1" x14ac:dyDescent="0.25">
      <c r="A114" s="14" t="s">
        <v>14</v>
      </c>
      <c r="B114" s="14" t="s">
        <v>63</v>
      </c>
      <c r="C114" s="15" t="s">
        <v>25</v>
      </c>
      <c r="D114" s="16">
        <v>46188</v>
      </c>
      <c r="E114" s="17">
        <v>3164.33</v>
      </c>
      <c r="F114" s="18">
        <v>1</v>
      </c>
      <c r="G114" s="19">
        <f>Cereal[[#This Row],[N° BOLSAS]]*Cereal[[#This Row],[KG BOLSA]]</f>
        <v>3164.33</v>
      </c>
      <c r="H114" s="37">
        <v>40</v>
      </c>
      <c r="I114" s="14">
        <f>ROUNDDOWN(Cereal[[#This Row],[N° BOLSAS]]/Cereal[[#This Row],[CAP. SACOS]],0)</f>
        <v>79</v>
      </c>
      <c r="J114" s="14">
        <f>Cereal[[#This Row],[N° BOLSAS]]-Cereal[[#This Row],[N° SACOS]]*Cereal[[#This Row],[CAP. SACOS]]</f>
        <v>4.3299999999999272</v>
      </c>
      <c r="K114" s="16">
        <v>46170</v>
      </c>
      <c r="L114" s="16">
        <v>46170</v>
      </c>
      <c r="M114" s="16">
        <v>46184</v>
      </c>
      <c r="N114" s="16" t="s">
        <v>64</v>
      </c>
    </row>
    <row r="115" spans="1:14" hidden="1" x14ac:dyDescent="0.25">
      <c r="A115" s="14" t="s">
        <v>14</v>
      </c>
      <c r="B115" s="14" t="s">
        <v>63</v>
      </c>
      <c r="C115" s="15" t="s">
        <v>26</v>
      </c>
      <c r="D115" s="16">
        <v>46279</v>
      </c>
      <c r="E115" s="17">
        <v>3269.81</v>
      </c>
      <c r="F115" s="18">
        <v>1</v>
      </c>
      <c r="G115" s="19">
        <f>Cereal[[#This Row],[N° BOLSAS]]*Cereal[[#This Row],[KG BOLSA]]</f>
        <v>3269.81</v>
      </c>
      <c r="H115" s="37">
        <v>40</v>
      </c>
      <c r="I115" s="14">
        <f>ROUNDDOWN(Cereal[[#This Row],[N° BOLSAS]]/Cereal[[#This Row],[CAP. SACOS]],0)</f>
        <v>81</v>
      </c>
      <c r="J115" s="14">
        <f>Cereal[[#This Row],[N° BOLSAS]]-Cereal[[#This Row],[N° SACOS]]*Cereal[[#This Row],[CAP. SACOS]]</f>
        <v>29.809999999999945</v>
      </c>
      <c r="K115" s="16">
        <v>46277</v>
      </c>
      <c r="L115" s="16">
        <v>46277</v>
      </c>
      <c r="M115" s="16">
        <v>46278</v>
      </c>
      <c r="N115" s="16" t="s">
        <v>64</v>
      </c>
    </row>
    <row r="116" spans="1:14" hidden="1" x14ac:dyDescent="0.25">
      <c r="A116" s="14" t="s">
        <v>14</v>
      </c>
      <c r="B116" s="14" t="s">
        <v>63</v>
      </c>
      <c r="C116" s="15" t="s">
        <v>27</v>
      </c>
      <c r="D116" s="16">
        <v>46279</v>
      </c>
      <c r="E116" s="17">
        <v>3164.33</v>
      </c>
      <c r="F116" s="18">
        <v>1</v>
      </c>
      <c r="G116" s="19">
        <f>Cereal[[#This Row],[N° BOLSAS]]*Cereal[[#This Row],[KG BOLSA]]</f>
        <v>3164.33</v>
      </c>
      <c r="H116" s="37">
        <v>40</v>
      </c>
      <c r="I116" s="14">
        <f>ROUNDDOWN(Cereal[[#This Row],[N° BOLSAS]]/Cereal[[#This Row],[CAP. SACOS]],0)</f>
        <v>79</v>
      </c>
      <c r="J116" s="14">
        <f>Cereal[[#This Row],[N° BOLSAS]]-Cereal[[#This Row],[N° SACOS]]*Cereal[[#This Row],[CAP. SACOS]]</f>
        <v>4.3299999999999272</v>
      </c>
      <c r="K116" s="16">
        <v>46277</v>
      </c>
      <c r="L116" s="16">
        <v>46277</v>
      </c>
      <c r="M116" s="16">
        <v>46278</v>
      </c>
      <c r="N116" s="16" t="s">
        <v>64</v>
      </c>
    </row>
    <row r="117" spans="1:14" hidden="1" x14ac:dyDescent="0.25">
      <c r="A117" s="14" t="s">
        <v>14</v>
      </c>
      <c r="B117" s="14" t="s">
        <v>63</v>
      </c>
      <c r="C117" s="15" t="s">
        <v>28</v>
      </c>
      <c r="D117" s="16">
        <v>46279</v>
      </c>
      <c r="E117" s="17">
        <v>3269.81</v>
      </c>
      <c r="F117" s="18">
        <v>1</v>
      </c>
      <c r="G117" s="19">
        <f>Cereal[[#This Row],[N° BOLSAS]]*Cereal[[#This Row],[KG BOLSA]]</f>
        <v>3269.81</v>
      </c>
      <c r="H117" s="37">
        <v>40</v>
      </c>
      <c r="I117" s="14">
        <f>ROUNDDOWN(Cereal[[#This Row],[N° BOLSAS]]/Cereal[[#This Row],[CAP. SACOS]],0)</f>
        <v>81</v>
      </c>
      <c r="J117" s="14">
        <f>Cereal[[#This Row],[N° BOLSAS]]-Cereal[[#This Row],[N° SACOS]]*Cereal[[#This Row],[CAP. SACOS]]</f>
        <v>29.809999999999945</v>
      </c>
      <c r="K117" s="16"/>
      <c r="L117" s="16"/>
      <c r="M117" s="16"/>
      <c r="N117" s="16" t="s">
        <v>64</v>
      </c>
    </row>
    <row r="118" spans="1:14" hidden="1" x14ac:dyDescent="0.25">
      <c r="A118" s="14" t="s">
        <v>14</v>
      </c>
      <c r="B118" s="14" t="s">
        <v>65</v>
      </c>
      <c r="C118" s="15" t="s">
        <v>16</v>
      </c>
      <c r="D118" s="16">
        <v>46208</v>
      </c>
      <c r="E118" s="17">
        <v>4455</v>
      </c>
      <c r="F118" s="18">
        <v>2.48</v>
      </c>
      <c r="G118" s="19">
        <f>Cereal[[#This Row],[N° BOLSAS]]*Cereal[[#This Row],[KG BOLSA]]</f>
        <v>11048.4</v>
      </c>
      <c r="H118" s="37">
        <v>18</v>
      </c>
      <c r="I118" s="14">
        <f>ROUNDDOWN(Cereal[[#This Row],[N° BOLSAS]]/Cereal[[#This Row],[CAP. SACOS]],0)</f>
        <v>247</v>
      </c>
      <c r="J118" s="14">
        <f>Cereal[[#This Row],[N° BOLSAS]]-Cereal[[#This Row],[N° SACOS]]*Cereal[[#This Row],[CAP. SACOS]]</f>
        <v>9</v>
      </c>
      <c r="K118" s="16">
        <v>46209</v>
      </c>
      <c r="L118" s="16">
        <v>46209</v>
      </c>
      <c r="M118" s="16">
        <v>46215</v>
      </c>
      <c r="N118" s="16" t="s">
        <v>66</v>
      </c>
    </row>
    <row r="119" spans="1:14" hidden="1" x14ac:dyDescent="0.25">
      <c r="A119" s="14" t="s">
        <v>14</v>
      </c>
      <c r="B119" s="14" t="s">
        <v>65</v>
      </c>
      <c r="C119" s="15" t="s">
        <v>19</v>
      </c>
      <c r="D119" s="16">
        <v>46208</v>
      </c>
      <c r="E119" s="17">
        <v>4455</v>
      </c>
      <c r="F119" s="18">
        <v>2.48</v>
      </c>
      <c r="G119" s="19">
        <f>Cereal[[#This Row],[N° BOLSAS]]*Cereal[[#This Row],[KG BOLSA]]</f>
        <v>11048.4</v>
      </c>
      <c r="H119" s="37">
        <v>18</v>
      </c>
      <c r="I119" s="14">
        <f>ROUNDDOWN(Cereal[[#This Row],[N° BOLSAS]]/Cereal[[#This Row],[CAP. SACOS]],0)</f>
        <v>247</v>
      </c>
      <c r="J119" s="14">
        <f>Cereal[[#This Row],[N° BOLSAS]]-Cereal[[#This Row],[N° SACOS]]*Cereal[[#This Row],[CAP. SACOS]]</f>
        <v>9</v>
      </c>
      <c r="K119" s="16">
        <v>46209</v>
      </c>
      <c r="L119" s="16">
        <v>46209</v>
      </c>
      <c r="M119" s="16">
        <v>46215</v>
      </c>
      <c r="N119" s="16" t="s">
        <v>66</v>
      </c>
    </row>
    <row r="120" spans="1:14" hidden="1" x14ac:dyDescent="0.25">
      <c r="A120" s="14" t="s">
        <v>14</v>
      </c>
      <c r="B120" s="14" t="s">
        <v>65</v>
      </c>
      <c r="C120" s="15" t="s">
        <v>21</v>
      </c>
      <c r="D120" s="16">
        <v>46208</v>
      </c>
      <c r="E120" s="17">
        <v>4455</v>
      </c>
      <c r="F120" s="18">
        <v>2.48</v>
      </c>
      <c r="G120" s="19">
        <f>Cereal[[#This Row],[N° BOLSAS]]*Cereal[[#This Row],[KG BOLSA]]</f>
        <v>11048.4</v>
      </c>
      <c r="H120" s="37">
        <v>18</v>
      </c>
      <c r="I120" s="14">
        <f>ROUNDDOWN(Cereal[[#This Row],[N° BOLSAS]]/Cereal[[#This Row],[CAP. SACOS]],0)</f>
        <v>247</v>
      </c>
      <c r="J120" s="14">
        <f>Cereal[[#This Row],[N° BOLSAS]]-Cereal[[#This Row],[N° SACOS]]*Cereal[[#This Row],[CAP. SACOS]]</f>
        <v>9</v>
      </c>
      <c r="K120" s="16">
        <v>46210</v>
      </c>
      <c r="L120" s="16">
        <v>46210</v>
      </c>
      <c r="M120" s="16">
        <v>46216</v>
      </c>
      <c r="N120" s="16" t="s">
        <v>66</v>
      </c>
    </row>
    <row r="121" spans="1:14" hidden="1" x14ac:dyDescent="0.25">
      <c r="A121" s="14" t="s">
        <v>14</v>
      </c>
      <c r="B121" s="14" t="s">
        <v>65</v>
      </c>
      <c r="C121" s="15" t="s">
        <v>20</v>
      </c>
      <c r="D121" s="16">
        <v>46208</v>
      </c>
      <c r="E121" s="17">
        <v>4455</v>
      </c>
      <c r="F121" s="18">
        <v>2.4</v>
      </c>
      <c r="G121" s="19">
        <f>Cereal[[#This Row],[N° BOLSAS]]*Cereal[[#This Row],[KG BOLSA]]</f>
        <v>10692</v>
      </c>
      <c r="H121" s="37">
        <v>18</v>
      </c>
      <c r="I121" s="14">
        <f>ROUNDDOWN(Cereal[[#This Row],[N° BOLSAS]]/Cereal[[#This Row],[CAP. SACOS]],0)</f>
        <v>247</v>
      </c>
      <c r="J121" s="14">
        <f>Cereal[[#This Row],[N° BOLSAS]]-Cereal[[#This Row],[N° SACOS]]*Cereal[[#This Row],[CAP. SACOS]]</f>
        <v>9</v>
      </c>
      <c r="K121" s="16">
        <v>46214</v>
      </c>
      <c r="L121" s="16">
        <v>46214</v>
      </c>
      <c r="M121" s="16">
        <v>46215</v>
      </c>
      <c r="N121" s="16" t="s">
        <v>66</v>
      </c>
    </row>
    <row r="122" spans="1:14" hidden="1" x14ac:dyDescent="0.25">
      <c r="A122" s="14" t="s">
        <v>14</v>
      </c>
      <c r="B122" s="14" t="s">
        <v>65</v>
      </c>
      <c r="C122" s="15" t="s">
        <v>18</v>
      </c>
      <c r="D122" s="16">
        <v>46208</v>
      </c>
      <c r="E122" s="17">
        <v>4455</v>
      </c>
      <c r="F122" s="18">
        <v>2.2400000000000002</v>
      </c>
      <c r="G122" s="19">
        <f>Cereal[[#This Row],[N° BOLSAS]]*Cereal[[#This Row],[KG BOLSA]]</f>
        <v>9979.2000000000007</v>
      </c>
      <c r="H122" s="37">
        <v>18</v>
      </c>
      <c r="I122" s="14">
        <f>ROUNDDOWN(Cereal[[#This Row],[N° BOLSAS]]/Cereal[[#This Row],[CAP. SACOS]],0)</f>
        <v>247</v>
      </c>
      <c r="J122" s="14">
        <f>Cereal[[#This Row],[N° BOLSAS]]-Cereal[[#This Row],[N° SACOS]]*Cereal[[#This Row],[CAP. SACOS]]</f>
        <v>9</v>
      </c>
      <c r="K122" s="16">
        <v>46215</v>
      </c>
      <c r="L122" s="16">
        <v>46215</v>
      </c>
      <c r="M122" s="16">
        <v>46216</v>
      </c>
      <c r="N122" s="16" t="s">
        <v>66</v>
      </c>
    </row>
    <row r="123" spans="1:14" hidden="1" x14ac:dyDescent="0.25">
      <c r="A123" s="14" t="s">
        <v>14</v>
      </c>
      <c r="B123" s="14" t="s">
        <v>65</v>
      </c>
      <c r="C123" s="15" t="s">
        <v>22</v>
      </c>
      <c r="D123" s="16">
        <v>46208</v>
      </c>
      <c r="E123" s="17">
        <v>4455</v>
      </c>
      <c r="F123" s="18">
        <v>2.4</v>
      </c>
      <c r="G123" s="19">
        <f>Cereal[[#This Row],[N° BOLSAS]]*Cereal[[#This Row],[KG BOLSA]]</f>
        <v>10692</v>
      </c>
      <c r="H123" s="37">
        <v>18</v>
      </c>
      <c r="I123" s="14">
        <f>ROUNDDOWN(Cereal[[#This Row],[N° BOLSAS]]/Cereal[[#This Row],[CAP. SACOS]],0)</f>
        <v>247</v>
      </c>
      <c r="J123" s="14">
        <f>Cereal[[#This Row],[N° BOLSAS]]-Cereal[[#This Row],[N° SACOS]]*Cereal[[#This Row],[CAP. SACOS]]</f>
        <v>9</v>
      </c>
      <c r="K123" s="16">
        <v>46215</v>
      </c>
      <c r="L123" s="16">
        <v>46215</v>
      </c>
      <c r="M123" s="16">
        <v>46216</v>
      </c>
      <c r="N123" s="16" t="s">
        <v>66</v>
      </c>
    </row>
    <row r="124" spans="1:14" hidden="1" x14ac:dyDescent="0.25">
      <c r="A124" s="14" t="s">
        <v>14</v>
      </c>
      <c r="B124" s="14" t="s">
        <v>65</v>
      </c>
      <c r="C124" s="15" t="s">
        <v>23</v>
      </c>
      <c r="D124" s="16">
        <v>46219</v>
      </c>
      <c r="E124" s="17">
        <v>4455</v>
      </c>
      <c r="F124" s="18">
        <v>2.48</v>
      </c>
      <c r="G124" s="19">
        <f>Cereal[[#This Row],[N° BOLSAS]]*Cereal[[#This Row],[KG BOLSA]]</f>
        <v>11048.4</v>
      </c>
      <c r="H124" s="37">
        <v>18</v>
      </c>
      <c r="I124" s="14">
        <f>ROUNDDOWN(Cereal[[#This Row],[N° BOLSAS]]/Cereal[[#This Row],[CAP. SACOS]],0)</f>
        <v>247</v>
      </c>
      <c r="J124" s="14">
        <f>Cereal[[#This Row],[N° BOLSAS]]-Cereal[[#This Row],[N° SACOS]]*Cereal[[#This Row],[CAP. SACOS]]</f>
        <v>9</v>
      </c>
      <c r="K124" s="16">
        <v>46211</v>
      </c>
      <c r="L124" s="16">
        <v>46211</v>
      </c>
      <c r="M124" s="16">
        <v>46215</v>
      </c>
      <c r="N124" s="16" t="s">
        <v>66</v>
      </c>
    </row>
    <row r="125" spans="1:14" hidden="1" x14ac:dyDescent="0.25">
      <c r="A125" s="14" t="s">
        <v>14</v>
      </c>
      <c r="B125" s="14" t="s">
        <v>65</v>
      </c>
      <c r="C125" s="15" t="s">
        <v>24</v>
      </c>
      <c r="D125" s="16">
        <v>46219</v>
      </c>
      <c r="E125" s="17">
        <v>4455</v>
      </c>
      <c r="F125" s="18">
        <v>2.48</v>
      </c>
      <c r="G125" s="19">
        <f>Cereal[[#This Row],[N° BOLSAS]]*Cereal[[#This Row],[KG BOLSA]]</f>
        <v>11048.4</v>
      </c>
      <c r="H125" s="37">
        <v>18</v>
      </c>
      <c r="I125" s="14">
        <f>ROUNDDOWN(Cereal[[#This Row],[N° BOLSAS]]/Cereal[[#This Row],[CAP. SACOS]],0)</f>
        <v>247</v>
      </c>
      <c r="J125" s="14">
        <f>Cereal[[#This Row],[N° BOLSAS]]-Cereal[[#This Row],[N° SACOS]]*Cereal[[#This Row],[CAP. SACOS]]</f>
        <v>9</v>
      </c>
      <c r="K125" s="16">
        <v>46212</v>
      </c>
      <c r="L125" s="16">
        <v>46212</v>
      </c>
      <c r="M125" s="16">
        <v>46215</v>
      </c>
      <c r="N125" s="16" t="s">
        <v>66</v>
      </c>
    </row>
    <row r="126" spans="1:14" hidden="1" x14ac:dyDescent="0.25">
      <c r="A126" s="14" t="s">
        <v>14</v>
      </c>
      <c r="B126" s="14" t="s">
        <v>65</v>
      </c>
      <c r="C126" s="15" t="s">
        <v>67</v>
      </c>
      <c r="D126" s="16">
        <v>46266</v>
      </c>
      <c r="E126" s="17">
        <v>4455</v>
      </c>
      <c r="F126" s="18">
        <v>2.4</v>
      </c>
      <c r="G126" s="19">
        <f>Cereal[[#This Row],[N° BOLSAS]]*Cereal[[#This Row],[KG BOLSA]]</f>
        <v>10692</v>
      </c>
      <c r="H126" s="37">
        <v>18</v>
      </c>
      <c r="I126" s="14">
        <f>ROUNDDOWN(Cereal[[#This Row],[N° BOLSAS]]/Cereal[[#This Row],[CAP. SACOS]],0)</f>
        <v>247</v>
      </c>
      <c r="J126" s="14">
        <f>Cereal[[#This Row],[N° BOLSAS]]-Cereal[[#This Row],[N° SACOS]]*Cereal[[#This Row],[CAP. SACOS]]</f>
        <v>9</v>
      </c>
      <c r="K126" s="16">
        <v>46273</v>
      </c>
      <c r="L126" s="16">
        <v>46273</v>
      </c>
      <c r="M126" s="16">
        <v>46280</v>
      </c>
      <c r="N126" s="16" t="s">
        <v>66</v>
      </c>
    </row>
    <row r="127" spans="1:14" hidden="1" x14ac:dyDescent="0.25">
      <c r="A127" s="14" t="s">
        <v>14</v>
      </c>
      <c r="B127" s="14" t="s">
        <v>65</v>
      </c>
      <c r="C127" s="15" t="s">
        <v>26</v>
      </c>
      <c r="D127" s="16">
        <v>46266</v>
      </c>
      <c r="E127" s="17">
        <v>4455</v>
      </c>
      <c r="F127" s="18">
        <v>2.48</v>
      </c>
      <c r="G127" s="19">
        <f>Cereal[[#This Row],[N° BOLSAS]]*Cereal[[#This Row],[KG BOLSA]]</f>
        <v>11048.4</v>
      </c>
      <c r="H127" s="37">
        <v>18</v>
      </c>
      <c r="I127" s="14">
        <f>ROUNDDOWN(Cereal[[#This Row],[N° BOLSAS]]/Cereal[[#This Row],[CAP. SACOS]],0)</f>
        <v>247</v>
      </c>
      <c r="J127" s="14">
        <f>Cereal[[#This Row],[N° BOLSAS]]-Cereal[[#This Row],[N° SACOS]]*Cereal[[#This Row],[CAP. SACOS]]</f>
        <v>9</v>
      </c>
      <c r="K127" s="16">
        <v>46273</v>
      </c>
      <c r="L127" s="16">
        <v>46273</v>
      </c>
      <c r="M127" s="16">
        <v>46280</v>
      </c>
      <c r="N127" s="16" t="s">
        <v>66</v>
      </c>
    </row>
    <row r="128" spans="1:14" hidden="1" x14ac:dyDescent="0.25">
      <c r="A128" s="14" t="s">
        <v>14</v>
      </c>
      <c r="B128" s="14" t="s">
        <v>65</v>
      </c>
      <c r="C128" s="15" t="s">
        <v>27</v>
      </c>
      <c r="D128" s="16">
        <v>46344</v>
      </c>
      <c r="E128" s="17">
        <v>4455</v>
      </c>
      <c r="F128" s="18">
        <v>2.4</v>
      </c>
      <c r="G128" s="19">
        <f>Cereal[[#This Row],[N° BOLSAS]]*Cereal[[#This Row],[KG BOLSA]]</f>
        <v>10692</v>
      </c>
      <c r="H128" s="37">
        <v>18</v>
      </c>
      <c r="I128" s="14">
        <f>ROUNDDOWN(Cereal[[#This Row],[N° BOLSAS]]/Cereal[[#This Row],[CAP. SACOS]],0)</f>
        <v>247</v>
      </c>
      <c r="J128" s="14">
        <f>Cereal[[#This Row],[N° BOLSAS]]-Cereal[[#This Row],[N° SACOS]]*Cereal[[#This Row],[CAP. SACOS]]</f>
        <v>9</v>
      </c>
      <c r="K128" s="16"/>
      <c r="L128" s="16"/>
      <c r="M128" s="16"/>
      <c r="N128" s="16" t="s">
        <v>66</v>
      </c>
    </row>
    <row r="129" spans="1:14" hidden="1" x14ac:dyDescent="0.25">
      <c r="A129" s="14" t="s">
        <v>14</v>
      </c>
      <c r="B129" s="14" t="s">
        <v>65</v>
      </c>
      <c r="C129" s="15" t="s">
        <v>28</v>
      </c>
      <c r="D129" s="16">
        <v>46344</v>
      </c>
      <c r="E129" s="17">
        <v>4455</v>
      </c>
      <c r="F129" s="18">
        <v>2.48</v>
      </c>
      <c r="G129" s="19">
        <f>Cereal[[#This Row],[N° BOLSAS]]*Cereal[[#This Row],[KG BOLSA]]</f>
        <v>11048.4</v>
      </c>
      <c r="H129" s="37">
        <v>18</v>
      </c>
      <c r="I129" s="14">
        <f>ROUNDDOWN(Cereal[[#This Row],[N° BOLSAS]]/Cereal[[#This Row],[CAP. SACOS]],0)</f>
        <v>247</v>
      </c>
      <c r="J129" s="14">
        <f>Cereal[[#This Row],[N° BOLSAS]]-Cereal[[#This Row],[N° SACOS]]*Cereal[[#This Row],[CAP. SACOS]]</f>
        <v>9</v>
      </c>
      <c r="K129" s="16"/>
      <c r="L129" s="16"/>
      <c r="M129" s="16"/>
      <c r="N129" s="16" t="s">
        <v>66</v>
      </c>
    </row>
    <row r="130" spans="1:14" hidden="1" x14ac:dyDescent="0.25">
      <c r="A130" s="14" t="s">
        <v>14</v>
      </c>
      <c r="B130" s="14" t="s">
        <v>68</v>
      </c>
      <c r="C130" s="15" t="s">
        <v>16</v>
      </c>
      <c r="D130" s="16">
        <v>46053</v>
      </c>
      <c r="E130" s="17">
        <v>2500</v>
      </c>
      <c r="F130" s="18">
        <v>1.8767400000000001</v>
      </c>
      <c r="G130" s="19">
        <f>Cereal[[#This Row],[N° BOLSAS]]*Cereal[[#This Row],[KG BOLSA]]</f>
        <v>4691.8500000000004</v>
      </c>
      <c r="H130" s="37">
        <v>25</v>
      </c>
      <c r="I130" s="14">
        <f>ROUNDDOWN(Cereal[[#This Row],[N° BOLSAS]]/Cereal[[#This Row],[CAP. SACOS]],0)</f>
        <v>100</v>
      </c>
      <c r="J130" s="14">
        <f>Cereal[[#This Row],[N° BOLSAS]]-Cereal[[#This Row],[N° SACOS]]*Cereal[[#This Row],[CAP. SACOS]]</f>
        <v>0</v>
      </c>
      <c r="K130" s="16">
        <v>46071</v>
      </c>
      <c r="L130" s="16">
        <v>46071</v>
      </c>
      <c r="M130" s="16">
        <v>46071</v>
      </c>
      <c r="N130" s="16" t="s">
        <v>66</v>
      </c>
    </row>
    <row r="131" spans="1:14" hidden="1" x14ac:dyDescent="0.25">
      <c r="A131" s="14" t="s">
        <v>14</v>
      </c>
      <c r="B131" s="14" t="s">
        <v>68</v>
      </c>
      <c r="C131" s="15" t="s">
        <v>18</v>
      </c>
      <c r="D131" s="16">
        <v>46053</v>
      </c>
      <c r="E131" s="17">
        <v>2500</v>
      </c>
      <c r="F131" s="18">
        <v>1.69512</v>
      </c>
      <c r="G131" s="19">
        <f>Cereal[[#This Row],[N° BOLSAS]]*Cereal[[#This Row],[KG BOLSA]]</f>
        <v>4237.8</v>
      </c>
      <c r="H131" s="37">
        <v>25</v>
      </c>
      <c r="I131" s="14">
        <f>ROUNDDOWN(Cereal[[#This Row],[N° BOLSAS]]/Cereal[[#This Row],[CAP. SACOS]],0)</f>
        <v>100</v>
      </c>
      <c r="J131" s="14">
        <f>Cereal[[#This Row],[N° BOLSAS]]-Cereal[[#This Row],[N° SACOS]]*Cereal[[#This Row],[CAP. SACOS]]</f>
        <v>0</v>
      </c>
      <c r="K131" s="16">
        <v>46071</v>
      </c>
      <c r="L131" s="16">
        <v>46071</v>
      </c>
      <c r="M131" s="16">
        <v>46071</v>
      </c>
      <c r="N131" s="16" t="s">
        <v>66</v>
      </c>
    </row>
    <row r="132" spans="1:14" hidden="1" x14ac:dyDescent="0.25">
      <c r="A132" s="14" t="s">
        <v>14</v>
      </c>
      <c r="B132" s="14" t="s">
        <v>68</v>
      </c>
      <c r="C132" s="15" t="s">
        <v>19</v>
      </c>
      <c r="D132" s="16">
        <v>46098</v>
      </c>
      <c r="E132" s="17">
        <v>2500</v>
      </c>
      <c r="F132" s="18">
        <v>1.8767400000000001</v>
      </c>
      <c r="G132" s="19">
        <f>Cereal[[#This Row],[N° BOLSAS]]*Cereal[[#This Row],[KG BOLSA]]</f>
        <v>4691.8500000000004</v>
      </c>
      <c r="H132" s="37">
        <v>25</v>
      </c>
      <c r="I132" s="14">
        <f>ROUNDDOWN(Cereal[[#This Row],[N° BOLSAS]]/Cereal[[#This Row],[CAP. SACOS]],0)</f>
        <v>100</v>
      </c>
      <c r="J132" s="14">
        <f>Cereal[[#This Row],[N° BOLSAS]]-Cereal[[#This Row],[N° SACOS]]*Cereal[[#This Row],[CAP. SACOS]]</f>
        <v>0</v>
      </c>
      <c r="K132" s="16">
        <v>46091</v>
      </c>
      <c r="L132" s="16">
        <v>46091</v>
      </c>
      <c r="M132" s="16">
        <v>46096</v>
      </c>
      <c r="N132" s="16" t="s">
        <v>66</v>
      </c>
    </row>
    <row r="133" spans="1:14" hidden="1" x14ac:dyDescent="0.25">
      <c r="A133" s="14" t="s">
        <v>14</v>
      </c>
      <c r="B133" s="14" t="s">
        <v>68</v>
      </c>
      <c r="C133" s="15" t="s">
        <v>20</v>
      </c>
      <c r="D133" s="16">
        <v>46098</v>
      </c>
      <c r="E133" s="17">
        <v>2500</v>
      </c>
      <c r="F133" s="18">
        <v>1.8162</v>
      </c>
      <c r="G133" s="19">
        <f>Cereal[[#This Row],[N° BOLSAS]]*Cereal[[#This Row],[KG BOLSA]]</f>
        <v>4540.5</v>
      </c>
      <c r="H133" s="37">
        <v>25</v>
      </c>
      <c r="I133" s="14">
        <f>ROUNDDOWN(Cereal[[#This Row],[N° BOLSAS]]/Cereal[[#This Row],[CAP. SACOS]],0)</f>
        <v>100</v>
      </c>
      <c r="J133" s="14">
        <f>Cereal[[#This Row],[N° BOLSAS]]-Cereal[[#This Row],[N° SACOS]]*Cereal[[#This Row],[CAP. SACOS]]</f>
        <v>0</v>
      </c>
      <c r="K133" s="16">
        <v>46092</v>
      </c>
      <c r="L133" s="16">
        <v>46092</v>
      </c>
      <c r="M133" s="16">
        <v>46096</v>
      </c>
      <c r="N133" s="16" t="s">
        <v>66</v>
      </c>
    </row>
    <row r="134" spans="1:14" hidden="1" x14ac:dyDescent="0.25">
      <c r="A134" s="14" t="s">
        <v>14</v>
      </c>
      <c r="B134" s="14" t="s">
        <v>68</v>
      </c>
      <c r="C134" s="15" t="s">
        <v>21</v>
      </c>
      <c r="D134" s="16">
        <v>46156</v>
      </c>
      <c r="E134" s="17">
        <v>2500</v>
      </c>
      <c r="F134" s="18">
        <v>1.8767400000000001</v>
      </c>
      <c r="G134" s="19">
        <f>Cereal[[#This Row],[N° BOLSAS]]*Cereal[[#This Row],[KG BOLSA]]</f>
        <v>4691.8500000000004</v>
      </c>
      <c r="H134" s="37">
        <v>25</v>
      </c>
      <c r="I134" s="14">
        <f>ROUNDDOWN(Cereal[[#This Row],[N° BOLSAS]]/Cereal[[#This Row],[CAP. SACOS]],0)</f>
        <v>100</v>
      </c>
      <c r="J134" s="14">
        <f>Cereal[[#This Row],[N° BOLSAS]]-Cereal[[#This Row],[N° SACOS]]*Cereal[[#This Row],[CAP. SACOS]]</f>
        <v>0</v>
      </c>
      <c r="K134" s="16">
        <v>46155</v>
      </c>
      <c r="L134" s="16">
        <v>46155</v>
      </c>
      <c r="M134" s="16">
        <v>46155</v>
      </c>
      <c r="N134" s="16" t="s">
        <v>66</v>
      </c>
    </row>
    <row r="135" spans="1:14" hidden="1" x14ac:dyDescent="0.25">
      <c r="A135" s="14" t="s">
        <v>14</v>
      </c>
      <c r="B135" s="14" t="s">
        <v>68</v>
      </c>
      <c r="C135" s="15" t="s">
        <v>22</v>
      </c>
      <c r="D135" s="16">
        <v>46156</v>
      </c>
      <c r="E135" s="17">
        <v>2500</v>
      </c>
      <c r="F135" s="18">
        <v>1.8162</v>
      </c>
      <c r="G135" s="19">
        <f>Cereal[[#This Row],[N° BOLSAS]]*Cereal[[#This Row],[KG BOLSA]]</f>
        <v>4540.5</v>
      </c>
      <c r="H135" s="37">
        <v>25</v>
      </c>
      <c r="I135" s="14">
        <f>ROUNDDOWN(Cereal[[#This Row],[N° BOLSAS]]/Cereal[[#This Row],[CAP. SACOS]],0)</f>
        <v>100</v>
      </c>
      <c r="J135" s="14">
        <f>Cereal[[#This Row],[N° BOLSAS]]-Cereal[[#This Row],[N° SACOS]]*Cereal[[#This Row],[CAP. SACOS]]</f>
        <v>0</v>
      </c>
      <c r="K135" s="16">
        <v>46155</v>
      </c>
      <c r="L135" s="16">
        <v>46155</v>
      </c>
      <c r="M135" s="16">
        <v>46155</v>
      </c>
      <c r="N135" s="16" t="s">
        <v>66</v>
      </c>
    </row>
    <row r="136" spans="1:14" hidden="1" x14ac:dyDescent="0.25">
      <c r="A136" s="14" t="s">
        <v>14</v>
      </c>
      <c r="B136" s="14" t="s">
        <v>68</v>
      </c>
      <c r="C136" s="15" t="s">
        <v>23</v>
      </c>
      <c r="D136" s="16">
        <v>46203</v>
      </c>
      <c r="E136" s="17">
        <v>2500</v>
      </c>
      <c r="F136" s="18">
        <v>1.8767400000000001</v>
      </c>
      <c r="G136" s="19">
        <f>Cereal[[#This Row],[N° BOLSAS]]*Cereal[[#This Row],[KG BOLSA]]</f>
        <v>4691.8500000000004</v>
      </c>
      <c r="H136" s="37">
        <v>25</v>
      </c>
      <c r="I136" s="14">
        <f>ROUNDDOWN(Cereal[[#This Row],[N° BOLSAS]]/Cereal[[#This Row],[CAP. SACOS]],0)</f>
        <v>100</v>
      </c>
      <c r="J136" s="14">
        <f>Cereal[[#This Row],[N° BOLSAS]]-Cereal[[#This Row],[N° SACOS]]*Cereal[[#This Row],[CAP. SACOS]]</f>
        <v>0</v>
      </c>
      <c r="K136" s="16">
        <v>46219</v>
      </c>
      <c r="L136" s="16">
        <v>46219</v>
      </c>
      <c r="M136" s="16">
        <v>46219</v>
      </c>
      <c r="N136" s="16" t="s">
        <v>66</v>
      </c>
    </row>
    <row r="137" spans="1:14" hidden="1" x14ac:dyDescent="0.25">
      <c r="A137" s="14" t="s">
        <v>14</v>
      </c>
      <c r="B137" s="14" t="s">
        <v>68</v>
      </c>
      <c r="C137" s="15" t="s">
        <v>24</v>
      </c>
      <c r="D137" s="16">
        <v>46203</v>
      </c>
      <c r="E137" s="17">
        <v>2500</v>
      </c>
      <c r="F137" s="18">
        <v>1.8767400000000001</v>
      </c>
      <c r="G137" s="19">
        <f>Cereal[[#This Row],[N° BOLSAS]]*Cereal[[#This Row],[KG BOLSA]]</f>
        <v>4691.8500000000004</v>
      </c>
      <c r="H137" s="37">
        <v>25</v>
      </c>
      <c r="I137" s="14">
        <f>ROUNDDOWN(Cereal[[#This Row],[N° BOLSAS]]/Cereal[[#This Row],[CAP. SACOS]],0)</f>
        <v>100</v>
      </c>
      <c r="J137" s="14">
        <f>Cereal[[#This Row],[N° BOLSAS]]-Cereal[[#This Row],[N° SACOS]]*Cereal[[#This Row],[CAP. SACOS]]</f>
        <v>0</v>
      </c>
      <c r="K137" s="16">
        <v>46219</v>
      </c>
      <c r="L137" s="16">
        <v>46219</v>
      </c>
      <c r="M137" s="16">
        <v>46219</v>
      </c>
      <c r="N137" s="16" t="s">
        <v>66</v>
      </c>
    </row>
    <row r="138" spans="1:14" hidden="1" x14ac:dyDescent="0.25">
      <c r="A138" s="14" t="s">
        <v>14</v>
      </c>
      <c r="B138" s="14" t="s">
        <v>68</v>
      </c>
      <c r="C138" s="15" t="s">
        <v>25</v>
      </c>
      <c r="D138" s="16">
        <v>46266</v>
      </c>
      <c r="E138" s="17">
        <v>2500</v>
      </c>
      <c r="F138" s="18">
        <v>1.8162</v>
      </c>
      <c r="G138" s="19">
        <f>Cereal[[#This Row],[N° BOLSAS]]*Cereal[[#This Row],[KG BOLSA]]</f>
        <v>4540.5</v>
      </c>
      <c r="H138" s="37">
        <v>25</v>
      </c>
      <c r="I138" s="14">
        <f>ROUNDDOWN(Cereal[[#This Row],[N° BOLSAS]]/Cereal[[#This Row],[CAP. SACOS]],0)</f>
        <v>100</v>
      </c>
      <c r="J138" s="14">
        <f>Cereal[[#This Row],[N° BOLSAS]]-Cereal[[#This Row],[N° SACOS]]*Cereal[[#This Row],[CAP. SACOS]]</f>
        <v>0</v>
      </c>
      <c r="K138" s="16">
        <v>46280</v>
      </c>
      <c r="L138" s="16">
        <v>46280</v>
      </c>
      <c r="M138" s="16">
        <v>46280</v>
      </c>
      <c r="N138" s="16" t="s">
        <v>66</v>
      </c>
    </row>
    <row r="139" spans="1:14" hidden="1" x14ac:dyDescent="0.25">
      <c r="A139" s="14" t="s">
        <v>14</v>
      </c>
      <c r="B139" s="14" t="s">
        <v>68</v>
      </c>
      <c r="C139" s="15" t="s">
        <v>26</v>
      </c>
      <c r="D139" s="16">
        <v>46266</v>
      </c>
      <c r="E139" s="17">
        <v>2500</v>
      </c>
      <c r="F139" s="18">
        <v>1.8767400000000001</v>
      </c>
      <c r="G139" s="19">
        <f>Cereal[[#This Row],[N° BOLSAS]]*Cereal[[#This Row],[KG BOLSA]]</f>
        <v>4691.8500000000004</v>
      </c>
      <c r="H139" s="37">
        <v>25</v>
      </c>
      <c r="I139" s="14">
        <f>ROUNDDOWN(Cereal[[#This Row],[N° BOLSAS]]/Cereal[[#This Row],[CAP. SACOS]],0)</f>
        <v>100</v>
      </c>
      <c r="J139" s="14">
        <f>Cereal[[#This Row],[N° BOLSAS]]-Cereal[[#This Row],[N° SACOS]]*Cereal[[#This Row],[CAP. SACOS]]</f>
        <v>0</v>
      </c>
      <c r="K139" s="16">
        <v>46280</v>
      </c>
      <c r="L139" s="16">
        <v>46280</v>
      </c>
      <c r="M139" s="16">
        <v>46280</v>
      </c>
      <c r="N139" s="16" t="s">
        <v>66</v>
      </c>
    </row>
    <row r="140" spans="1:14" hidden="1" x14ac:dyDescent="0.25">
      <c r="A140" s="14" t="s">
        <v>14</v>
      </c>
      <c r="B140" s="14" t="s">
        <v>68</v>
      </c>
      <c r="C140" s="15" t="s">
        <v>27</v>
      </c>
      <c r="D140" s="16">
        <v>46326</v>
      </c>
      <c r="E140" s="17">
        <v>2500</v>
      </c>
      <c r="F140" s="18">
        <v>1.8162</v>
      </c>
      <c r="G140" s="19">
        <f>Cereal[[#This Row],[N° BOLSAS]]*Cereal[[#This Row],[KG BOLSA]]</f>
        <v>4540.5</v>
      </c>
      <c r="H140" s="37">
        <v>25</v>
      </c>
      <c r="I140" s="14">
        <f>ROUNDDOWN(Cereal[[#This Row],[N° BOLSAS]]/Cereal[[#This Row],[CAP. SACOS]],0)</f>
        <v>100</v>
      </c>
      <c r="J140" s="14">
        <f>Cereal[[#This Row],[N° BOLSAS]]-Cereal[[#This Row],[N° SACOS]]*Cereal[[#This Row],[CAP. SACOS]]</f>
        <v>0</v>
      </c>
      <c r="K140" s="16"/>
      <c r="L140" s="16"/>
      <c r="M140" s="16"/>
      <c r="N140" s="16" t="s">
        <v>66</v>
      </c>
    </row>
    <row r="141" spans="1:14" hidden="1" x14ac:dyDescent="0.25">
      <c r="A141" s="14" t="s">
        <v>14</v>
      </c>
      <c r="B141" s="14" t="s">
        <v>68</v>
      </c>
      <c r="C141" s="15" t="s">
        <v>28</v>
      </c>
      <c r="D141" s="16">
        <v>46326</v>
      </c>
      <c r="E141" s="17">
        <v>2500</v>
      </c>
      <c r="F141" s="18">
        <v>1.8767400000000001</v>
      </c>
      <c r="G141" s="19">
        <f>Cereal[[#This Row],[N° BOLSAS]]*Cereal[[#This Row],[KG BOLSA]]</f>
        <v>4691.8500000000004</v>
      </c>
      <c r="H141" s="37">
        <v>25</v>
      </c>
      <c r="I141" s="14">
        <f>ROUNDDOWN(Cereal[[#This Row],[N° BOLSAS]]/Cereal[[#This Row],[CAP. SACOS]],0)</f>
        <v>100</v>
      </c>
      <c r="J141" s="14">
        <f>Cereal[[#This Row],[N° BOLSAS]]-Cereal[[#This Row],[N° SACOS]]*Cereal[[#This Row],[CAP. SACOS]]</f>
        <v>0</v>
      </c>
      <c r="K141" s="16"/>
      <c r="L141" s="16"/>
      <c r="M141" s="16"/>
      <c r="N141" s="16" t="s">
        <v>66</v>
      </c>
    </row>
    <row r="142" spans="1:14" hidden="1" x14ac:dyDescent="0.25">
      <c r="A142" s="14" t="s">
        <v>14</v>
      </c>
      <c r="B142" s="14" t="s">
        <v>69</v>
      </c>
      <c r="C142" s="15" t="s">
        <v>30</v>
      </c>
      <c r="D142" s="16">
        <v>46037</v>
      </c>
      <c r="E142" s="17">
        <v>2560</v>
      </c>
      <c r="F142" s="18">
        <v>0.38429999999999997</v>
      </c>
      <c r="G142" s="19">
        <f>Cereal[[#This Row],[N° BOLSAS]]*Cereal[[#This Row],[KG BOLSA]]</f>
        <v>983.80799999999999</v>
      </c>
      <c r="H142" s="37">
        <v>100</v>
      </c>
      <c r="I142" s="14">
        <f>ROUNDDOWN(Cereal[[#This Row],[N° BOLSAS]]/Cereal[[#This Row],[CAP. SACOS]],0)</f>
        <v>25</v>
      </c>
      <c r="J142" s="14">
        <f>Cereal[[#This Row],[N° BOLSAS]]-Cereal[[#This Row],[N° SACOS]]*Cereal[[#This Row],[CAP. SACOS]]</f>
        <v>60</v>
      </c>
      <c r="K142" s="16">
        <v>46034</v>
      </c>
      <c r="L142" s="16">
        <v>46034</v>
      </c>
      <c r="M142" s="16">
        <v>46046</v>
      </c>
      <c r="N142" s="16" t="s">
        <v>70</v>
      </c>
    </row>
    <row r="143" spans="1:14" ht="22.5" hidden="1" x14ac:dyDescent="0.25">
      <c r="A143" s="14" t="s">
        <v>14</v>
      </c>
      <c r="B143" s="14" t="s">
        <v>71</v>
      </c>
      <c r="C143" s="15" t="s">
        <v>35</v>
      </c>
      <c r="D143" s="16">
        <v>46068</v>
      </c>
      <c r="E143" s="17">
        <v>1980</v>
      </c>
      <c r="F143" s="18">
        <v>0.5</v>
      </c>
      <c r="G143" s="19">
        <f>Cereal[[#This Row],[N° BOLSAS]]*Cereal[[#This Row],[KG BOLSA]]</f>
        <v>990</v>
      </c>
      <c r="H143" s="37">
        <v>80</v>
      </c>
      <c r="I143" s="14">
        <f>ROUNDDOWN(Cereal[[#This Row],[N° BOLSAS]]/Cereal[[#This Row],[CAP. SACOS]],0)</f>
        <v>24</v>
      </c>
      <c r="J143" s="14">
        <f>Cereal[[#This Row],[N° BOLSAS]]-Cereal[[#This Row],[N° SACOS]]*Cereal[[#This Row],[CAP. SACOS]]</f>
        <v>60</v>
      </c>
      <c r="K143" s="16">
        <v>46076</v>
      </c>
      <c r="L143" s="16">
        <v>46076</v>
      </c>
      <c r="M143" s="16">
        <v>46076</v>
      </c>
      <c r="N143" s="16" t="s">
        <v>72</v>
      </c>
    </row>
    <row r="144" spans="1:14" hidden="1" x14ac:dyDescent="0.25">
      <c r="A144" s="14" t="s">
        <v>14</v>
      </c>
      <c r="B144" s="14" t="s">
        <v>71</v>
      </c>
      <c r="C144" s="15" t="s">
        <v>20</v>
      </c>
      <c r="D144" s="16">
        <v>46097</v>
      </c>
      <c r="E144" s="17">
        <v>660</v>
      </c>
      <c r="F144" s="18">
        <v>0.5</v>
      </c>
      <c r="G144" s="19">
        <f>Cereal[[#This Row],[N° BOLSAS]]*Cereal[[#This Row],[KG BOLSA]]</f>
        <v>330</v>
      </c>
      <c r="H144" s="37">
        <v>80</v>
      </c>
      <c r="I144" s="14">
        <f>ROUNDDOWN(Cereal[[#This Row],[N° BOLSAS]]/Cereal[[#This Row],[CAP. SACOS]],0)</f>
        <v>8</v>
      </c>
      <c r="J144" s="14">
        <f>Cereal[[#This Row],[N° BOLSAS]]-Cereal[[#This Row],[N° SACOS]]*Cereal[[#This Row],[CAP. SACOS]]</f>
        <v>20</v>
      </c>
      <c r="K144" s="16">
        <v>46098</v>
      </c>
      <c r="L144" s="16">
        <v>46098</v>
      </c>
      <c r="M144" s="16">
        <v>46099</v>
      </c>
      <c r="N144" s="16" t="s">
        <v>72</v>
      </c>
    </row>
    <row r="145" spans="1:14" hidden="1" x14ac:dyDescent="0.25">
      <c r="A145" s="14" t="s">
        <v>14</v>
      </c>
      <c r="B145" s="14" t="s">
        <v>71</v>
      </c>
      <c r="C145" s="15" t="s">
        <v>21</v>
      </c>
      <c r="D145" s="16">
        <v>46097</v>
      </c>
      <c r="E145" s="17">
        <v>660</v>
      </c>
      <c r="F145" s="18">
        <v>0.5</v>
      </c>
      <c r="G145" s="19">
        <f>Cereal[[#This Row],[N° BOLSAS]]*Cereal[[#This Row],[KG BOLSA]]</f>
        <v>330</v>
      </c>
      <c r="H145" s="37">
        <v>80</v>
      </c>
      <c r="I145" s="14">
        <f>ROUNDDOWN(Cereal[[#This Row],[N° BOLSAS]]/Cereal[[#This Row],[CAP. SACOS]],0)</f>
        <v>8</v>
      </c>
      <c r="J145" s="14">
        <f>Cereal[[#This Row],[N° BOLSAS]]-Cereal[[#This Row],[N° SACOS]]*Cereal[[#This Row],[CAP. SACOS]]</f>
        <v>20</v>
      </c>
      <c r="K145" s="16">
        <v>46098</v>
      </c>
      <c r="L145" s="16">
        <v>46098</v>
      </c>
      <c r="M145" s="16">
        <v>46099</v>
      </c>
      <c r="N145" s="16" t="s">
        <v>72</v>
      </c>
    </row>
    <row r="146" spans="1:14" hidden="1" x14ac:dyDescent="0.25">
      <c r="A146" s="14" t="s">
        <v>14</v>
      </c>
      <c r="B146" s="14" t="s">
        <v>71</v>
      </c>
      <c r="C146" s="15" t="s">
        <v>22</v>
      </c>
      <c r="D146" s="16">
        <v>46097</v>
      </c>
      <c r="E146" s="17">
        <v>660</v>
      </c>
      <c r="F146" s="18">
        <v>0.5</v>
      </c>
      <c r="G146" s="19">
        <f>Cereal[[#This Row],[N° BOLSAS]]*Cereal[[#This Row],[KG BOLSA]]</f>
        <v>330</v>
      </c>
      <c r="H146" s="37">
        <v>80</v>
      </c>
      <c r="I146" s="14">
        <f>ROUNDDOWN(Cereal[[#This Row],[N° BOLSAS]]/Cereal[[#This Row],[CAP. SACOS]],0)</f>
        <v>8</v>
      </c>
      <c r="J146" s="14">
        <f>Cereal[[#This Row],[N° BOLSAS]]-Cereal[[#This Row],[N° SACOS]]*Cereal[[#This Row],[CAP. SACOS]]</f>
        <v>20</v>
      </c>
      <c r="K146" s="16">
        <v>46098</v>
      </c>
      <c r="L146" s="16">
        <v>46098</v>
      </c>
      <c r="M146" s="16">
        <v>46099</v>
      </c>
      <c r="N146" s="16" t="s">
        <v>72</v>
      </c>
    </row>
    <row r="147" spans="1:14" hidden="1" x14ac:dyDescent="0.25">
      <c r="A147" s="14" t="s">
        <v>14</v>
      </c>
      <c r="B147" s="14" t="s">
        <v>71</v>
      </c>
      <c r="C147" s="15" t="s">
        <v>23</v>
      </c>
      <c r="D147" s="16">
        <v>46188</v>
      </c>
      <c r="E147" s="17">
        <v>660</v>
      </c>
      <c r="F147" s="18">
        <v>0.5</v>
      </c>
      <c r="G147" s="19">
        <f>Cereal[[#This Row],[N° BOLSAS]]*Cereal[[#This Row],[KG BOLSA]]</f>
        <v>330</v>
      </c>
      <c r="H147" s="37">
        <v>80</v>
      </c>
      <c r="I147" s="14">
        <f>ROUNDDOWN(Cereal[[#This Row],[N° BOLSAS]]/Cereal[[#This Row],[CAP. SACOS]],0)</f>
        <v>8</v>
      </c>
      <c r="J147" s="14">
        <f>Cereal[[#This Row],[N° BOLSAS]]-Cereal[[#This Row],[N° SACOS]]*Cereal[[#This Row],[CAP. SACOS]]</f>
        <v>20</v>
      </c>
      <c r="K147" s="16">
        <v>46182</v>
      </c>
      <c r="L147" s="16">
        <v>46182</v>
      </c>
      <c r="M147" s="16">
        <v>46183</v>
      </c>
      <c r="N147" s="16" t="s">
        <v>72</v>
      </c>
    </row>
    <row r="148" spans="1:14" hidden="1" x14ac:dyDescent="0.25">
      <c r="A148" s="14" t="s">
        <v>14</v>
      </c>
      <c r="B148" s="14" t="s">
        <v>71</v>
      </c>
      <c r="C148" s="15" t="s">
        <v>24</v>
      </c>
      <c r="D148" s="16">
        <v>46188</v>
      </c>
      <c r="E148" s="17">
        <v>660</v>
      </c>
      <c r="F148" s="18">
        <v>0.5</v>
      </c>
      <c r="G148" s="19">
        <f>Cereal[[#This Row],[N° BOLSAS]]*Cereal[[#This Row],[KG BOLSA]]</f>
        <v>330</v>
      </c>
      <c r="H148" s="37">
        <v>80</v>
      </c>
      <c r="I148" s="14">
        <f>ROUNDDOWN(Cereal[[#This Row],[N° BOLSAS]]/Cereal[[#This Row],[CAP. SACOS]],0)</f>
        <v>8</v>
      </c>
      <c r="J148" s="14">
        <f>Cereal[[#This Row],[N° BOLSAS]]-Cereal[[#This Row],[N° SACOS]]*Cereal[[#This Row],[CAP. SACOS]]</f>
        <v>20</v>
      </c>
      <c r="K148" s="16">
        <v>46182</v>
      </c>
      <c r="L148" s="16">
        <v>46182</v>
      </c>
      <c r="M148" s="16">
        <v>46183</v>
      </c>
      <c r="N148" s="16" t="s">
        <v>72</v>
      </c>
    </row>
    <row r="149" spans="1:14" hidden="1" x14ac:dyDescent="0.25">
      <c r="A149" s="14" t="s">
        <v>14</v>
      </c>
      <c r="B149" s="14" t="s">
        <v>71</v>
      </c>
      <c r="C149" s="15" t="s">
        <v>25</v>
      </c>
      <c r="D149" s="16">
        <v>46188</v>
      </c>
      <c r="E149" s="17">
        <v>660</v>
      </c>
      <c r="F149" s="18">
        <v>0.5</v>
      </c>
      <c r="G149" s="19">
        <f>Cereal[[#This Row],[N° BOLSAS]]*Cereal[[#This Row],[KG BOLSA]]</f>
        <v>330</v>
      </c>
      <c r="H149" s="37">
        <v>80</v>
      </c>
      <c r="I149" s="14">
        <f>ROUNDDOWN(Cereal[[#This Row],[N° BOLSAS]]/Cereal[[#This Row],[CAP. SACOS]],0)</f>
        <v>8</v>
      </c>
      <c r="J149" s="14">
        <f>Cereal[[#This Row],[N° BOLSAS]]-Cereal[[#This Row],[N° SACOS]]*Cereal[[#This Row],[CAP. SACOS]]</f>
        <v>20</v>
      </c>
      <c r="K149" s="16">
        <v>46182</v>
      </c>
      <c r="L149" s="16">
        <v>46182</v>
      </c>
      <c r="M149" s="16">
        <v>46183</v>
      </c>
      <c r="N149" s="16" t="s">
        <v>72</v>
      </c>
    </row>
    <row r="150" spans="1:14" hidden="1" x14ac:dyDescent="0.25">
      <c r="A150" s="14" t="s">
        <v>14</v>
      </c>
      <c r="B150" s="14" t="s">
        <v>71</v>
      </c>
      <c r="C150" s="15" t="s">
        <v>30</v>
      </c>
      <c r="D150" s="16">
        <v>46276</v>
      </c>
      <c r="E150" s="17">
        <v>840</v>
      </c>
      <c r="F150" s="18">
        <v>0.5</v>
      </c>
      <c r="G150" s="19">
        <f>Cereal[[#This Row],[N° BOLSAS]]*Cereal[[#This Row],[KG BOLSA]]</f>
        <v>420</v>
      </c>
      <c r="H150" s="37">
        <v>80</v>
      </c>
      <c r="I150" s="14">
        <f>ROUNDDOWN(Cereal[[#This Row],[N° BOLSAS]]/Cereal[[#This Row],[CAP. SACOS]],0)</f>
        <v>10</v>
      </c>
      <c r="J150" s="14">
        <f>Cereal[[#This Row],[N° BOLSAS]]-Cereal[[#This Row],[N° SACOS]]*Cereal[[#This Row],[CAP. SACOS]]</f>
        <v>40</v>
      </c>
      <c r="K150" s="16">
        <v>46279</v>
      </c>
      <c r="L150" s="16">
        <v>46279</v>
      </c>
      <c r="M150" s="16">
        <v>46279</v>
      </c>
      <c r="N150" s="16" t="s">
        <v>72</v>
      </c>
    </row>
    <row r="151" spans="1:14" hidden="1" x14ac:dyDescent="0.25">
      <c r="A151" s="14" t="s">
        <v>14</v>
      </c>
      <c r="B151" s="14" t="s">
        <v>71</v>
      </c>
      <c r="C151" s="15" t="s">
        <v>26</v>
      </c>
      <c r="D151" s="16">
        <v>46280</v>
      </c>
      <c r="E151" s="17">
        <v>660</v>
      </c>
      <c r="F151" s="18">
        <v>0.5</v>
      </c>
      <c r="G151" s="19">
        <f>Cereal[[#This Row],[N° BOLSAS]]*Cereal[[#This Row],[KG BOLSA]]</f>
        <v>330</v>
      </c>
      <c r="H151" s="37">
        <v>80</v>
      </c>
      <c r="I151" s="14">
        <f>ROUNDDOWN(Cereal[[#This Row],[N° BOLSAS]]/Cereal[[#This Row],[CAP. SACOS]],0)</f>
        <v>8</v>
      </c>
      <c r="J151" s="14">
        <f>Cereal[[#This Row],[N° BOLSAS]]-Cereal[[#This Row],[N° SACOS]]*Cereal[[#This Row],[CAP. SACOS]]</f>
        <v>20</v>
      </c>
      <c r="K151" s="16">
        <v>46277</v>
      </c>
      <c r="L151" s="16">
        <v>46277</v>
      </c>
      <c r="M151" s="16">
        <v>46279</v>
      </c>
      <c r="N151" s="16" t="s">
        <v>72</v>
      </c>
    </row>
    <row r="152" spans="1:14" hidden="1" x14ac:dyDescent="0.25">
      <c r="A152" s="14" t="s">
        <v>14</v>
      </c>
      <c r="B152" s="14" t="s">
        <v>71</v>
      </c>
      <c r="C152" s="15" t="s">
        <v>27</v>
      </c>
      <c r="D152" s="16">
        <v>46280</v>
      </c>
      <c r="E152" s="17">
        <v>660</v>
      </c>
      <c r="F152" s="18">
        <v>0.5</v>
      </c>
      <c r="G152" s="19">
        <f>Cereal[[#This Row],[N° BOLSAS]]*Cereal[[#This Row],[KG BOLSA]]</f>
        <v>330</v>
      </c>
      <c r="H152" s="37">
        <v>80</v>
      </c>
      <c r="I152" s="14">
        <f>ROUNDDOWN(Cereal[[#This Row],[N° BOLSAS]]/Cereal[[#This Row],[CAP. SACOS]],0)</f>
        <v>8</v>
      </c>
      <c r="J152" s="14">
        <f>Cereal[[#This Row],[N° BOLSAS]]-Cereal[[#This Row],[N° SACOS]]*Cereal[[#This Row],[CAP. SACOS]]</f>
        <v>20</v>
      </c>
      <c r="K152" s="16">
        <v>46277</v>
      </c>
      <c r="L152" s="16">
        <v>46277</v>
      </c>
      <c r="M152" s="16">
        <v>46279</v>
      </c>
      <c r="N152" s="16" t="s">
        <v>72</v>
      </c>
    </row>
    <row r="153" spans="1:14" hidden="1" x14ac:dyDescent="0.25">
      <c r="A153" s="14" t="s">
        <v>14</v>
      </c>
      <c r="B153" s="14" t="s">
        <v>71</v>
      </c>
      <c r="C153" s="15" t="s">
        <v>28</v>
      </c>
      <c r="D153" s="16">
        <v>46280</v>
      </c>
      <c r="E153" s="17">
        <v>660</v>
      </c>
      <c r="F153" s="18">
        <v>0.5</v>
      </c>
      <c r="G153" s="19">
        <f>Cereal[[#This Row],[N° BOLSAS]]*Cereal[[#This Row],[KG BOLSA]]</f>
        <v>330</v>
      </c>
      <c r="H153" s="37">
        <v>80</v>
      </c>
      <c r="I153" s="14">
        <f>ROUNDDOWN(Cereal[[#This Row],[N° BOLSAS]]/Cereal[[#This Row],[CAP. SACOS]],0)</f>
        <v>8</v>
      </c>
      <c r="J153" s="14">
        <f>Cereal[[#This Row],[N° BOLSAS]]-Cereal[[#This Row],[N° SACOS]]*Cereal[[#This Row],[CAP. SACOS]]</f>
        <v>20</v>
      </c>
      <c r="K153" s="16">
        <v>46277</v>
      </c>
      <c r="L153" s="16">
        <v>46277</v>
      </c>
      <c r="M153" s="16">
        <v>46279</v>
      </c>
      <c r="N153" s="16" t="s">
        <v>72</v>
      </c>
    </row>
    <row r="154" spans="1:14" hidden="1" x14ac:dyDescent="0.25">
      <c r="A154" s="14" t="s">
        <v>14</v>
      </c>
      <c r="B154" s="14" t="s">
        <v>73</v>
      </c>
      <c r="C154" s="15" t="s">
        <v>30</v>
      </c>
      <c r="D154" s="16">
        <v>46091</v>
      </c>
      <c r="E154" s="17">
        <v>845</v>
      </c>
      <c r="F154" s="18">
        <v>1.25</v>
      </c>
      <c r="G154" s="19">
        <f>Cereal[[#This Row],[N° BOLSAS]]*Cereal[[#This Row],[KG BOLSA]]</f>
        <v>1056.25</v>
      </c>
      <c r="H154" s="37">
        <v>35</v>
      </c>
      <c r="I154" s="14">
        <f>ROUNDDOWN(Cereal[[#This Row],[N° BOLSAS]]/Cereal[[#This Row],[CAP. SACOS]],0)</f>
        <v>24</v>
      </c>
      <c r="J154" s="14">
        <f>Cereal[[#This Row],[N° BOLSAS]]-Cereal[[#This Row],[N° SACOS]]*Cereal[[#This Row],[CAP. SACOS]]</f>
        <v>5</v>
      </c>
      <c r="K154" s="16">
        <v>46089</v>
      </c>
      <c r="L154" s="16">
        <v>46089</v>
      </c>
      <c r="M154" s="16">
        <v>46089</v>
      </c>
      <c r="N154" s="16" t="s">
        <v>74</v>
      </c>
    </row>
    <row r="155" spans="1:14" hidden="1" x14ac:dyDescent="0.25">
      <c r="A155" s="14" t="s">
        <v>14</v>
      </c>
      <c r="B155" s="14" t="s">
        <v>73</v>
      </c>
      <c r="C155" s="15" t="s">
        <v>30</v>
      </c>
      <c r="D155" s="16">
        <v>46114</v>
      </c>
      <c r="E155" s="17">
        <v>1056</v>
      </c>
      <c r="F155" s="18">
        <v>1.25</v>
      </c>
      <c r="G155" s="19">
        <f>Cereal[[#This Row],[N° BOLSAS]]*Cereal[[#This Row],[KG BOLSA]]</f>
        <v>1320</v>
      </c>
      <c r="H155" s="37">
        <v>35</v>
      </c>
      <c r="I155" s="14">
        <f>ROUNDDOWN(Cereal[[#This Row],[N° BOLSAS]]/Cereal[[#This Row],[CAP. SACOS]],0)</f>
        <v>30</v>
      </c>
      <c r="J155" s="14">
        <f>Cereal[[#This Row],[N° BOLSAS]]-Cereal[[#This Row],[N° SACOS]]*Cereal[[#This Row],[CAP. SACOS]]</f>
        <v>6</v>
      </c>
      <c r="K155" s="16">
        <v>46179</v>
      </c>
      <c r="L155" s="16">
        <v>46179</v>
      </c>
      <c r="M155" s="16">
        <v>46182</v>
      </c>
      <c r="N155" s="16" t="s">
        <v>74</v>
      </c>
    </row>
    <row r="156" spans="1:14" hidden="1" x14ac:dyDescent="0.25">
      <c r="A156" s="14" t="s">
        <v>58</v>
      </c>
      <c r="B156" s="14" t="s">
        <v>75</v>
      </c>
      <c r="C156" s="15" t="s">
        <v>16</v>
      </c>
      <c r="D156" s="16">
        <v>46006</v>
      </c>
      <c r="E156" s="17">
        <v>1880</v>
      </c>
      <c r="F156" s="18">
        <v>0.85470829999999998</v>
      </c>
      <c r="G156" s="19">
        <f>Cereal[[#This Row],[N° BOLSAS]]*Cereal[[#This Row],[KG BOLSA]]</f>
        <v>1606.851604</v>
      </c>
      <c r="H156" s="37">
        <v>50</v>
      </c>
      <c r="I156" s="14">
        <f>ROUNDDOWN(Cereal[[#This Row],[N° BOLSAS]]/Cereal[[#This Row],[CAP. SACOS]],0)</f>
        <v>37</v>
      </c>
      <c r="J156" s="14">
        <f>Cereal[[#This Row],[N° BOLSAS]]-Cereal[[#This Row],[N° SACOS]]*Cereal[[#This Row],[CAP. SACOS]]</f>
        <v>30</v>
      </c>
      <c r="K156" s="16">
        <v>45995</v>
      </c>
      <c r="L156" s="16">
        <v>45995</v>
      </c>
      <c r="M156" s="16">
        <v>46006</v>
      </c>
      <c r="N156" s="16" t="s">
        <v>76</v>
      </c>
    </row>
    <row r="157" spans="1:14" hidden="1" x14ac:dyDescent="0.25">
      <c r="A157" s="14" t="s">
        <v>58</v>
      </c>
      <c r="B157" s="14" t="s">
        <v>75</v>
      </c>
      <c r="C157" s="15" t="s">
        <v>18</v>
      </c>
      <c r="D157" s="16">
        <v>46042</v>
      </c>
      <c r="E157" s="17">
        <v>1880</v>
      </c>
      <c r="F157" s="18">
        <v>0.85470829999999998</v>
      </c>
      <c r="G157" s="19">
        <f>Cereal[[#This Row],[N° BOLSAS]]*Cereal[[#This Row],[KG BOLSA]]</f>
        <v>1606.851604</v>
      </c>
      <c r="H157" s="37">
        <v>50</v>
      </c>
      <c r="I157" s="14">
        <f>ROUNDDOWN(Cereal[[#This Row],[N° BOLSAS]]/Cereal[[#This Row],[CAP. SACOS]],0)</f>
        <v>37</v>
      </c>
      <c r="J157" s="14">
        <f>Cereal[[#This Row],[N° BOLSAS]]-Cereal[[#This Row],[N° SACOS]]*Cereal[[#This Row],[CAP. SACOS]]</f>
        <v>30</v>
      </c>
      <c r="K157" s="16">
        <v>46037</v>
      </c>
      <c r="L157" s="16">
        <v>46037</v>
      </c>
      <c r="M157" s="16">
        <v>46042</v>
      </c>
      <c r="N157" s="16" t="s">
        <v>76</v>
      </c>
    </row>
    <row r="158" spans="1:14" hidden="1" x14ac:dyDescent="0.25">
      <c r="A158" s="14" t="s">
        <v>58</v>
      </c>
      <c r="B158" s="14" t="s">
        <v>75</v>
      </c>
      <c r="C158" s="15" t="s">
        <v>19</v>
      </c>
      <c r="D158" s="16">
        <v>46071</v>
      </c>
      <c r="E158" s="17">
        <v>1880</v>
      </c>
      <c r="F158" s="18">
        <v>0.85470829999999998</v>
      </c>
      <c r="G158" s="19">
        <f>Cereal[[#This Row],[N° BOLSAS]]*Cereal[[#This Row],[KG BOLSA]]</f>
        <v>1606.851604</v>
      </c>
      <c r="H158" s="37">
        <v>50</v>
      </c>
      <c r="I158" s="14">
        <f>ROUNDDOWN(Cereal[[#This Row],[N° BOLSAS]]/Cereal[[#This Row],[CAP. SACOS]],0)</f>
        <v>37</v>
      </c>
      <c r="J158" s="14">
        <f>Cereal[[#This Row],[N° BOLSAS]]-Cereal[[#This Row],[N° SACOS]]*Cereal[[#This Row],[CAP. SACOS]]</f>
        <v>30</v>
      </c>
      <c r="K158" s="16">
        <v>46069</v>
      </c>
      <c r="L158" s="16">
        <v>46069</v>
      </c>
      <c r="M158" s="16">
        <v>46071</v>
      </c>
      <c r="N158" s="16" t="s">
        <v>76</v>
      </c>
    </row>
    <row r="159" spans="1:14" hidden="1" x14ac:dyDescent="0.25">
      <c r="A159" s="14" t="s">
        <v>58</v>
      </c>
      <c r="B159" s="14" t="s">
        <v>77</v>
      </c>
      <c r="C159" s="15" t="s">
        <v>20</v>
      </c>
      <c r="D159" s="16">
        <v>46101</v>
      </c>
      <c r="E159" s="17">
        <v>1880</v>
      </c>
      <c r="F159" s="18">
        <v>0.85470829999999998</v>
      </c>
      <c r="G159" s="19">
        <f>Cereal[[#This Row],[N° BOLSAS]]*Cereal[[#This Row],[KG BOLSA]]</f>
        <v>1606.851604</v>
      </c>
      <c r="H159" s="37">
        <v>50</v>
      </c>
      <c r="I159" s="14">
        <f>ROUNDDOWN(Cereal[[#This Row],[N° BOLSAS]]/Cereal[[#This Row],[CAP. SACOS]],0)</f>
        <v>37</v>
      </c>
      <c r="J159" s="14">
        <f>Cereal[[#This Row],[N° BOLSAS]]-Cereal[[#This Row],[N° SACOS]]*Cereal[[#This Row],[CAP. SACOS]]</f>
        <v>30</v>
      </c>
      <c r="K159" s="16">
        <v>46100</v>
      </c>
      <c r="L159" s="16">
        <v>46100</v>
      </c>
      <c r="M159" s="16">
        <v>46101</v>
      </c>
      <c r="N159" s="16" t="s">
        <v>76</v>
      </c>
    </row>
    <row r="160" spans="1:14" hidden="1" x14ac:dyDescent="0.25">
      <c r="A160" s="14" t="s">
        <v>58</v>
      </c>
      <c r="B160" s="14" t="s">
        <v>77</v>
      </c>
      <c r="C160" s="15" t="s">
        <v>21</v>
      </c>
      <c r="D160" s="16">
        <v>46132</v>
      </c>
      <c r="E160" s="17">
        <v>1880</v>
      </c>
      <c r="F160" s="18">
        <v>0.85470829999999998</v>
      </c>
      <c r="G160" s="19">
        <f>Cereal[[#This Row],[N° BOLSAS]]*Cereal[[#This Row],[KG BOLSA]]</f>
        <v>1606.851604</v>
      </c>
      <c r="H160" s="37">
        <v>50</v>
      </c>
      <c r="I160" s="14">
        <f>ROUNDDOWN(Cereal[[#This Row],[N° BOLSAS]]/Cereal[[#This Row],[CAP. SACOS]],0)</f>
        <v>37</v>
      </c>
      <c r="J160" s="14">
        <f>Cereal[[#This Row],[N° BOLSAS]]-Cereal[[#This Row],[N° SACOS]]*Cereal[[#This Row],[CAP. SACOS]]</f>
        <v>30</v>
      </c>
      <c r="K160" s="16">
        <v>46128</v>
      </c>
      <c r="L160" s="16">
        <v>46128</v>
      </c>
      <c r="M160" s="16">
        <v>46132</v>
      </c>
      <c r="N160" s="16" t="s">
        <v>76</v>
      </c>
    </row>
    <row r="161" spans="1:14" hidden="1" x14ac:dyDescent="0.25">
      <c r="A161" s="14" t="s">
        <v>58</v>
      </c>
      <c r="B161" s="14" t="s">
        <v>77</v>
      </c>
      <c r="C161" s="15" t="s">
        <v>22</v>
      </c>
      <c r="D161" s="16">
        <v>46163</v>
      </c>
      <c r="E161" s="17">
        <v>1880</v>
      </c>
      <c r="F161" s="18">
        <v>0.85470829999999998</v>
      </c>
      <c r="G161" s="19">
        <f>Cereal[[#This Row],[N° BOLSAS]]*Cereal[[#This Row],[KG BOLSA]]</f>
        <v>1606.851604</v>
      </c>
      <c r="H161" s="37">
        <v>50</v>
      </c>
      <c r="I161" s="14">
        <f>ROUNDDOWN(Cereal[[#This Row],[N° BOLSAS]]/Cereal[[#This Row],[CAP. SACOS]],0)</f>
        <v>37</v>
      </c>
      <c r="J161" s="14">
        <f>Cereal[[#This Row],[N° BOLSAS]]-Cereal[[#This Row],[N° SACOS]]*Cereal[[#This Row],[CAP. SACOS]]</f>
        <v>30</v>
      </c>
      <c r="K161" s="16">
        <v>46157</v>
      </c>
      <c r="L161" s="16">
        <v>46157</v>
      </c>
      <c r="M161" s="16">
        <v>46163</v>
      </c>
      <c r="N161" s="16" t="s">
        <v>76</v>
      </c>
    </row>
    <row r="162" spans="1:14" hidden="1" x14ac:dyDescent="0.25">
      <c r="A162" s="14" t="s">
        <v>58</v>
      </c>
      <c r="B162" s="14" t="s">
        <v>77</v>
      </c>
      <c r="C162" s="15" t="s">
        <v>23</v>
      </c>
      <c r="D162" s="16">
        <v>46195</v>
      </c>
      <c r="E162" s="17">
        <v>1880</v>
      </c>
      <c r="F162" s="18">
        <v>0.85470829999999998</v>
      </c>
      <c r="G162" s="19">
        <f>Cereal[[#This Row],[N° BOLSAS]]*Cereal[[#This Row],[KG BOLSA]]</f>
        <v>1606.851604</v>
      </c>
      <c r="H162" s="37">
        <v>50</v>
      </c>
      <c r="I162" s="14">
        <f>ROUNDDOWN(Cereal[[#This Row],[N° BOLSAS]]/Cereal[[#This Row],[CAP. SACOS]],0)</f>
        <v>37</v>
      </c>
      <c r="J162" s="14">
        <f>Cereal[[#This Row],[N° BOLSAS]]-Cereal[[#This Row],[N° SACOS]]*Cereal[[#This Row],[CAP. SACOS]]</f>
        <v>30</v>
      </c>
      <c r="K162" s="16">
        <v>46195</v>
      </c>
      <c r="L162" s="16">
        <v>46195</v>
      </c>
      <c r="M162" s="16">
        <v>46195</v>
      </c>
      <c r="N162" s="42" t="s">
        <v>78</v>
      </c>
    </row>
    <row r="163" spans="1:14" hidden="1" x14ac:dyDescent="0.25">
      <c r="A163" s="14" t="s">
        <v>58</v>
      </c>
      <c r="B163" s="14" t="s">
        <v>77</v>
      </c>
      <c r="C163" s="15" t="s">
        <v>24</v>
      </c>
      <c r="D163" s="16">
        <v>46223</v>
      </c>
      <c r="E163" s="17">
        <v>1880</v>
      </c>
      <c r="F163" s="18">
        <v>0.85470829999999998</v>
      </c>
      <c r="G163" s="19">
        <f>Cereal[[#This Row],[N° BOLSAS]]*Cereal[[#This Row],[KG BOLSA]]</f>
        <v>1606.851604</v>
      </c>
      <c r="H163" s="37">
        <v>50</v>
      </c>
      <c r="I163" s="14">
        <f>ROUNDDOWN(Cereal[[#This Row],[N° BOLSAS]]/Cereal[[#This Row],[CAP. SACOS]],0)</f>
        <v>37</v>
      </c>
      <c r="J163" s="14">
        <f>Cereal[[#This Row],[N° BOLSAS]]-Cereal[[#This Row],[N° SACOS]]*Cereal[[#This Row],[CAP. SACOS]]</f>
        <v>30</v>
      </c>
      <c r="K163" s="16">
        <v>46221</v>
      </c>
      <c r="L163" s="16">
        <v>46221</v>
      </c>
      <c r="M163" s="16">
        <v>46221</v>
      </c>
      <c r="N163" s="42" t="s">
        <v>78</v>
      </c>
    </row>
    <row r="164" spans="1:14" hidden="1" x14ac:dyDescent="0.25">
      <c r="A164" s="14" t="s">
        <v>58</v>
      </c>
      <c r="B164" s="14" t="s">
        <v>77</v>
      </c>
      <c r="C164" s="15" t="s">
        <v>30</v>
      </c>
      <c r="D164" s="16">
        <v>46223</v>
      </c>
      <c r="E164" s="17">
        <v>2820</v>
      </c>
      <c r="F164" s="18">
        <v>0.8226</v>
      </c>
      <c r="G164" s="19">
        <f>Cereal[[#This Row],[N° BOLSAS]]*Cereal[[#This Row],[KG BOLSA]]</f>
        <v>2319.732</v>
      </c>
      <c r="H164" s="37">
        <v>50</v>
      </c>
      <c r="I164" s="14">
        <f>ROUNDDOWN(Cereal[[#This Row],[N° BOLSAS]]/Cereal[[#This Row],[CAP. SACOS]],0)</f>
        <v>56</v>
      </c>
      <c r="J164" s="14">
        <f>Cereal[[#This Row],[N° BOLSAS]]-Cereal[[#This Row],[N° SACOS]]*Cereal[[#This Row],[CAP. SACOS]]</f>
        <v>20</v>
      </c>
      <c r="K164" s="16">
        <v>46221</v>
      </c>
      <c r="L164" s="16">
        <v>46221</v>
      </c>
      <c r="M164" s="16">
        <v>46221</v>
      </c>
      <c r="N164" s="42" t="s">
        <v>78</v>
      </c>
    </row>
    <row r="165" spans="1:14" hidden="1" x14ac:dyDescent="0.25">
      <c r="A165" s="14" t="s">
        <v>58</v>
      </c>
      <c r="B165" s="14" t="s">
        <v>77</v>
      </c>
      <c r="C165" s="15" t="s">
        <v>25</v>
      </c>
      <c r="D165" s="16">
        <v>46254</v>
      </c>
      <c r="E165" s="17">
        <v>1880</v>
      </c>
      <c r="F165" s="18">
        <v>0.85470829999999998</v>
      </c>
      <c r="G165" s="19">
        <f>Cereal[[#This Row],[N° BOLSAS]]*Cereal[[#This Row],[KG BOLSA]]</f>
        <v>1606.851604</v>
      </c>
      <c r="H165" s="37">
        <v>50</v>
      </c>
      <c r="I165" s="14">
        <f>ROUNDDOWN(Cereal[[#This Row],[N° BOLSAS]]/Cereal[[#This Row],[CAP. SACOS]],0)</f>
        <v>37</v>
      </c>
      <c r="J165" s="14">
        <f>Cereal[[#This Row],[N° BOLSAS]]-Cereal[[#This Row],[N° SACOS]]*Cereal[[#This Row],[CAP. SACOS]]</f>
        <v>30</v>
      </c>
      <c r="K165" s="16">
        <v>46249</v>
      </c>
      <c r="L165" s="16">
        <v>46249</v>
      </c>
      <c r="M165" s="16">
        <v>46253</v>
      </c>
      <c r="N165" s="42" t="s">
        <v>78</v>
      </c>
    </row>
    <row r="166" spans="1:14" hidden="1" x14ac:dyDescent="0.25">
      <c r="A166" s="14" t="s">
        <v>58</v>
      </c>
      <c r="B166" s="14" t="s">
        <v>77</v>
      </c>
      <c r="C166" s="15" t="s">
        <v>26</v>
      </c>
      <c r="D166" s="16">
        <v>46286</v>
      </c>
      <c r="E166" s="17">
        <v>1880</v>
      </c>
      <c r="F166" s="18">
        <v>0.85470829999999998</v>
      </c>
      <c r="G166" s="19">
        <f>Cereal[[#This Row],[N° BOLSAS]]*Cereal[[#This Row],[KG BOLSA]]</f>
        <v>1606.851604</v>
      </c>
      <c r="H166" s="37">
        <v>50</v>
      </c>
      <c r="I166" s="14">
        <f>ROUNDDOWN(Cereal[[#This Row],[N° BOLSAS]]/Cereal[[#This Row],[CAP. SACOS]],0)</f>
        <v>37</v>
      </c>
      <c r="J166" s="14">
        <f>Cereal[[#This Row],[N° BOLSAS]]-Cereal[[#This Row],[N° SACOS]]*Cereal[[#This Row],[CAP. SACOS]]</f>
        <v>30</v>
      </c>
      <c r="K166" s="16">
        <v>46286</v>
      </c>
      <c r="L166" s="16">
        <v>46286</v>
      </c>
      <c r="M166" s="16">
        <v>46286</v>
      </c>
      <c r="N166" s="42" t="s">
        <v>78</v>
      </c>
    </row>
    <row r="167" spans="1:14" hidden="1" x14ac:dyDescent="0.25">
      <c r="A167" s="14" t="s">
        <v>58</v>
      </c>
      <c r="B167" s="14" t="s">
        <v>77</v>
      </c>
      <c r="C167" s="15" t="s">
        <v>27</v>
      </c>
      <c r="D167" s="16">
        <v>46315</v>
      </c>
      <c r="E167" s="17">
        <v>1880</v>
      </c>
      <c r="F167" s="18">
        <v>0.85470829999999998</v>
      </c>
      <c r="G167" s="19">
        <f>Cereal[[#This Row],[N° BOLSAS]]*Cereal[[#This Row],[KG BOLSA]]</f>
        <v>1606.851604</v>
      </c>
      <c r="H167" s="37">
        <v>50</v>
      </c>
      <c r="I167" s="14">
        <f>ROUNDDOWN(Cereal[[#This Row],[N° BOLSAS]]/Cereal[[#This Row],[CAP. SACOS]],0)</f>
        <v>37</v>
      </c>
      <c r="J167" s="14">
        <f>Cereal[[#This Row],[N° BOLSAS]]-Cereal[[#This Row],[N° SACOS]]*Cereal[[#This Row],[CAP. SACOS]]</f>
        <v>30</v>
      </c>
      <c r="K167" s="16"/>
      <c r="L167" s="16"/>
      <c r="M167" s="16"/>
      <c r="N167" s="42" t="s">
        <v>78</v>
      </c>
    </row>
    <row r="168" spans="1:14" hidden="1" x14ac:dyDescent="0.25">
      <c r="A168" s="14" t="s">
        <v>58</v>
      </c>
      <c r="B168" s="14" t="s">
        <v>77</v>
      </c>
      <c r="C168" s="15" t="s">
        <v>28</v>
      </c>
      <c r="D168" s="16">
        <v>46346</v>
      </c>
      <c r="E168" s="17">
        <v>1880</v>
      </c>
      <c r="F168" s="18">
        <v>0.85470829999999998</v>
      </c>
      <c r="G168" s="19">
        <f>Cereal[[#This Row],[N° BOLSAS]]*Cereal[[#This Row],[KG BOLSA]]</f>
        <v>1606.851604</v>
      </c>
      <c r="H168" s="37">
        <v>50</v>
      </c>
      <c r="I168" s="14">
        <f>ROUNDDOWN(Cereal[[#This Row],[N° BOLSAS]]/Cereal[[#This Row],[CAP. SACOS]],0)</f>
        <v>37</v>
      </c>
      <c r="J168" s="14">
        <f>Cereal[[#This Row],[N° BOLSAS]]-Cereal[[#This Row],[N° SACOS]]*Cereal[[#This Row],[CAP. SACOS]]</f>
        <v>30</v>
      </c>
      <c r="K168" s="16"/>
      <c r="L168" s="16"/>
      <c r="M168" s="16"/>
      <c r="N168" s="42" t="s">
        <v>78</v>
      </c>
    </row>
    <row r="169" spans="1:14" hidden="1" x14ac:dyDescent="0.25">
      <c r="A169" s="14" t="s">
        <v>79</v>
      </c>
      <c r="B169" s="14" t="s">
        <v>80</v>
      </c>
      <c r="C169" s="15" t="s">
        <v>30</v>
      </c>
      <c r="D169" s="16">
        <v>46045</v>
      </c>
      <c r="E169" s="17">
        <v>1678</v>
      </c>
      <c r="F169" s="18">
        <v>0.94791999999999998</v>
      </c>
      <c r="G169" s="19">
        <f>Cereal[[#This Row],[N° BOLSAS]]*Cereal[[#This Row],[KG BOLSA]]</f>
        <v>1590.6097600000001</v>
      </c>
      <c r="H169" s="37">
        <v>40</v>
      </c>
      <c r="I169" s="14">
        <f>ROUNDDOWN(Cereal[[#This Row],[N° BOLSAS]]/Cereal[[#This Row],[CAP. SACOS]],0)</f>
        <v>41</v>
      </c>
      <c r="J169" s="14">
        <f>Cereal[[#This Row],[N° BOLSAS]]-Cereal[[#This Row],[N° SACOS]]*Cereal[[#This Row],[CAP. SACOS]]</f>
        <v>38</v>
      </c>
      <c r="K169" s="16">
        <v>46043</v>
      </c>
      <c r="L169" s="16">
        <v>46043</v>
      </c>
      <c r="M169" s="16">
        <v>46054</v>
      </c>
      <c r="N169" s="16" t="s">
        <v>81</v>
      </c>
    </row>
    <row r="170" spans="1:14" hidden="1" x14ac:dyDescent="0.25">
      <c r="A170" s="14" t="s">
        <v>79</v>
      </c>
      <c r="B170" s="14" t="s">
        <v>80</v>
      </c>
      <c r="C170" s="15" t="s">
        <v>30</v>
      </c>
      <c r="D170" s="16">
        <v>46199</v>
      </c>
      <c r="E170" s="17">
        <v>1118</v>
      </c>
      <c r="F170" s="18">
        <v>0.94791999999999998</v>
      </c>
      <c r="G170" s="19">
        <f>Cereal[[#This Row],[N° BOLSAS]]*Cereal[[#This Row],[KG BOLSA]]</f>
        <v>1059.7745600000001</v>
      </c>
      <c r="H170" s="37">
        <v>40</v>
      </c>
      <c r="I170" s="14">
        <f>ROUNDDOWN(Cereal[[#This Row],[N° BOLSAS]]/Cereal[[#This Row],[CAP. SACOS]],0)</f>
        <v>27</v>
      </c>
      <c r="J170" s="14">
        <f>Cereal[[#This Row],[N° BOLSAS]]-Cereal[[#This Row],[N° SACOS]]*Cereal[[#This Row],[CAP. SACOS]]</f>
        <v>38</v>
      </c>
      <c r="K170" s="16">
        <v>46198</v>
      </c>
      <c r="L170" s="16">
        <v>46198</v>
      </c>
      <c r="M170" s="16">
        <v>46198</v>
      </c>
      <c r="N170" s="16" t="s">
        <v>81</v>
      </c>
    </row>
    <row r="171" spans="1:14" hidden="1" x14ac:dyDescent="0.25">
      <c r="A171" s="14" t="s">
        <v>14</v>
      </c>
      <c r="B171" s="14" t="s">
        <v>82</v>
      </c>
      <c r="C171" s="15" t="s">
        <v>30</v>
      </c>
      <c r="D171" s="16">
        <v>46038</v>
      </c>
      <c r="E171" s="17">
        <v>1127</v>
      </c>
      <c r="F171" s="18">
        <v>1.3554299999999999</v>
      </c>
      <c r="G171" s="19">
        <f>Cereal[[#This Row],[N° BOLSAS]]*Cereal[[#This Row],[KG BOLSA]]</f>
        <v>1527.56961</v>
      </c>
      <c r="H171" s="37">
        <v>30</v>
      </c>
      <c r="I171" s="14">
        <f>ROUNDDOWN(Cereal[[#This Row],[N° BOLSAS]]/Cereal[[#This Row],[CAP. SACOS]],0)</f>
        <v>37</v>
      </c>
      <c r="J171" s="14">
        <f>Cereal[[#This Row],[N° BOLSAS]]-Cereal[[#This Row],[N° SACOS]]*Cereal[[#This Row],[CAP. SACOS]]</f>
        <v>17</v>
      </c>
      <c r="K171" s="16">
        <v>46037</v>
      </c>
      <c r="L171" s="16">
        <v>46037</v>
      </c>
      <c r="M171" s="16">
        <v>46037</v>
      </c>
      <c r="N171" s="14" t="s">
        <v>83</v>
      </c>
    </row>
    <row r="172" spans="1:14" hidden="1" x14ac:dyDescent="0.25">
      <c r="A172" s="14" t="s">
        <v>14</v>
      </c>
      <c r="B172" s="14" t="s">
        <v>82</v>
      </c>
      <c r="C172" s="15" t="s">
        <v>30</v>
      </c>
      <c r="D172" s="16">
        <v>46058</v>
      </c>
      <c r="E172" s="17">
        <v>1127</v>
      </c>
      <c r="F172" s="18">
        <v>1.3554299999999999</v>
      </c>
      <c r="G172" s="19">
        <f>Cereal[[#This Row],[N° BOLSAS]]*Cereal[[#This Row],[KG BOLSA]]</f>
        <v>1527.56961</v>
      </c>
      <c r="H172" s="37">
        <v>30</v>
      </c>
      <c r="I172" s="14">
        <f>ROUNDDOWN(Cereal[[#This Row],[N° BOLSAS]]/Cereal[[#This Row],[CAP. SACOS]],0)</f>
        <v>37</v>
      </c>
      <c r="J172" s="14">
        <f>Cereal[[#This Row],[N° BOLSAS]]-Cereal[[#This Row],[N° SACOS]]*Cereal[[#This Row],[CAP. SACOS]]</f>
        <v>17</v>
      </c>
      <c r="K172" s="16">
        <v>46060</v>
      </c>
      <c r="L172" s="16">
        <v>46060</v>
      </c>
      <c r="M172" s="16">
        <v>46069</v>
      </c>
      <c r="N172" s="14" t="s">
        <v>83</v>
      </c>
    </row>
    <row r="173" spans="1:14" hidden="1" x14ac:dyDescent="0.25">
      <c r="A173" s="14" t="s">
        <v>14</v>
      </c>
      <c r="B173" s="14" t="s">
        <v>82</v>
      </c>
      <c r="C173" s="15" t="s">
        <v>19</v>
      </c>
      <c r="D173" s="16">
        <v>46058</v>
      </c>
      <c r="E173" s="17">
        <v>1127</v>
      </c>
      <c r="F173" s="18">
        <v>1.3554299999999999</v>
      </c>
      <c r="G173" s="19">
        <f>Cereal[[#This Row],[N° BOLSAS]]*Cereal[[#This Row],[KG BOLSA]]</f>
        <v>1527.56961</v>
      </c>
      <c r="H173" s="37">
        <v>30</v>
      </c>
      <c r="I173" s="14">
        <f>ROUNDDOWN(Cereal[[#This Row],[N° BOLSAS]]/Cereal[[#This Row],[CAP. SACOS]],0)</f>
        <v>37</v>
      </c>
      <c r="J173" s="14">
        <f>Cereal[[#This Row],[N° BOLSAS]]-Cereal[[#This Row],[N° SACOS]]*Cereal[[#This Row],[CAP. SACOS]]</f>
        <v>17</v>
      </c>
      <c r="K173" s="16">
        <v>46060</v>
      </c>
      <c r="L173" s="16">
        <v>46060</v>
      </c>
      <c r="M173" s="16">
        <v>46069</v>
      </c>
      <c r="N173" s="14" t="s">
        <v>83</v>
      </c>
    </row>
    <row r="174" spans="1:14" hidden="1" x14ac:dyDescent="0.25">
      <c r="A174" s="14" t="s">
        <v>14</v>
      </c>
      <c r="B174" s="14" t="s">
        <v>82</v>
      </c>
      <c r="C174" s="15" t="s">
        <v>20</v>
      </c>
      <c r="D174" s="16">
        <v>46086</v>
      </c>
      <c r="E174" s="17">
        <v>1127</v>
      </c>
      <c r="F174" s="18">
        <v>1.3554299999999999</v>
      </c>
      <c r="G174" s="19">
        <f>Cereal[[#This Row],[N° BOLSAS]]*Cereal[[#This Row],[KG BOLSA]]</f>
        <v>1527.56961</v>
      </c>
      <c r="H174" s="37">
        <v>30</v>
      </c>
      <c r="I174" s="14">
        <f>ROUNDDOWN(Cereal[[#This Row],[N° BOLSAS]]/Cereal[[#This Row],[CAP. SACOS]],0)</f>
        <v>37</v>
      </c>
      <c r="J174" s="14">
        <f>Cereal[[#This Row],[N° BOLSAS]]-Cereal[[#This Row],[N° SACOS]]*Cereal[[#This Row],[CAP. SACOS]]</f>
        <v>17</v>
      </c>
      <c r="K174" s="16">
        <v>46108</v>
      </c>
      <c r="L174" s="16">
        <v>46108</v>
      </c>
      <c r="M174" s="16">
        <v>46108</v>
      </c>
      <c r="N174" s="14" t="s">
        <v>83</v>
      </c>
    </row>
    <row r="175" spans="1:14" hidden="1" x14ac:dyDescent="0.25">
      <c r="A175" s="14" t="s">
        <v>14</v>
      </c>
      <c r="B175" s="14" t="s">
        <v>82</v>
      </c>
      <c r="C175" s="15" t="s">
        <v>21</v>
      </c>
      <c r="D175" s="16">
        <v>46117</v>
      </c>
      <c r="E175" s="17">
        <v>1127</v>
      </c>
      <c r="F175" s="18">
        <v>1.3554299999999999</v>
      </c>
      <c r="G175" s="19">
        <f>Cereal[[#This Row],[N° BOLSAS]]*Cereal[[#This Row],[KG BOLSA]]</f>
        <v>1527.56961</v>
      </c>
      <c r="H175" s="37">
        <v>30</v>
      </c>
      <c r="I175" s="14">
        <f>ROUNDDOWN(Cereal[[#This Row],[N° BOLSAS]]/Cereal[[#This Row],[CAP. SACOS]],0)</f>
        <v>37</v>
      </c>
      <c r="J175" s="14">
        <f>Cereal[[#This Row],[N° BOLSAS]]-Cereal[[#This Row],[N° SACOS]]*Cereal[[#This Row],[CAP. SACOS]]</f>
        <v>17</v>
      </c>
      <c r="K175" s="16">
        <v>46136</v>
      </c>
      <c r="L175" s="16">
        <v>46136</v>
      </c>
      <c r="M175" s="16">
        <v>46136</v>
      </c>
      <c r="N175" s="14" t="s">
        <v>83</v>
      </c>
    </row>
    <row r="176" spans="1:14" hidden="1" x14ac:dyDescent="0.25">
      <c r="A176" s="14" t="s">
        <v>14</v>
      </c>
      <c r="B176" s="14" t="s">
        <v>82</v>
      </c>
      <c r="C176" s="15" t="s">
        <v>22</v>
      </c>
      <c r="D176" s="16">
        <v>46147</v>
      </c>
      <c r="E176" s="17">
        <v>1127</v>
      </c>
      <c r="F176" s="18">
        <v>1.3554299999999999</v>
      </c>
      <c r="G176" s="19">
        <f>Cereal[[#This Row],[N° BOLSAS]]*Cereal[[#This Row],[KG BOLSA]]</f>
        <v>1527.56961</v>
      </c>
      <c r="H176" s="37">
        <v>30</v>
      </c>
      <c r="I176" s="14">
        <f>ROUNDDOWN(Cereal[[#This Row],[N° BOLSAS]]/Cereal[[#This Row],[CAP. SACOS]],0)</f>
        <v>37</v>
      </c>
      <c r="J176" s="14">
        <f>Cereal[[#This Row],[N° BOLSAS]]-Cereal[[#This Row],[N° SACOS]]*Cereal[[#This Row],[CAP. SACOS]]</f>
        <v>17</v>
      </c>
      <c r="K176" s="16">
        <v>46159</v>
      </c>
      <c r="L176" s="16">
        <v>46159</v>
      </c>
      <c r="M176" s="16">
        <v>46164</v>
      </c>
      <c r="N176" s="14" t="s">
        <v>83</v>
      </c>
    </row>
    <row r="177" spans="1:14" hidden="1" x14ac:dyDescent="0.25">
      <c r="A177" s="14" t="s">
        <v>14</v>
      </c>
      <c r="B177" s="14" t="s">
        <v>82</v>
      </c>
      <c r="C177" s="15" t="s">
        <v>23</v>
      </c>
      <c r="D177" s="16">
        <v>46178</v>
      </c>
      <c r="E177" s="17">
        <v>1127</v>
      </c>
      <c r="F177" s="18">
        <v>1.3554299999999999</v>
      </c>
      <c r="G177" s="19">
        <f>Cereal[[#This Row],[N° BOLSAS]]*Cereal[[#This Row],[KG BOLSA]]</f>
        <v>1527.56961</v>
      </c>
      <c r="H177" s="37">
        <v>30</v>
      </c>
      <c r="I177" s="14">
        <f>ROUNDDOWN(Cereal[[#This Row],[N° BOLSAS]]/Cereal[[#This Row],[CAP. SACOS]],0)</f>
        <v>37</v>
      </c>
      <c r="J177" s="14">
        <f>Cereal[[#This Row],[N° BOLSAS]]-Cereal[[#This Row],[N° SACOS]]*Cereal[[#This Row],[CAP. SACOS]]</f>
        <v>17</v>
      </c>
      <c r="K177" s="16">
        <v>46198</v>
      </c>
      <c r="L177" s="16">
        <v>46198</v>
      </c>
      <c r="M177" s="16">
        <v>46198</v>
      </c>
      <c r="N177" s="14" t="s">
        <v>83</v>
      </c>
    </row>
    <row r="178" spans="1:14" hidden="1" x14ac:dyDescent="0.25">
      <c r="A178" s="14" t="s">
        <v>14</v>
      </c>
      <c r="B178" s="14" t="s">
        <v>82</v>
      </c>
      <c r="C178" s="15" t="s">
        <v>24</v>
      </c>
      <c r="D178" s="16">
        <v>46208</v>
      </c>
      <c r="E178" s="17">
        <v>1127</v>
      </c>
      <c r="F178" s="18">
        <v>1.3554299999999999</v>
      </c>
      <c r="G178" s="19">
        <f>Cereal[[#This Row],[N° BOLSAS]]*Cereal[[#This Row],[KG BOLSA]]</f>
        <v>1527.56961</v>
      </c>
      <c r="H178" s="37">
        <v>30</v>
      </c>
      <c r="I178" s="14">
        <f>ROUNDDOWN(Cereal[[#This Row],[N° BOLSAS]]/Cereal[[#This Row],[CAP. SACOS]],0)</f>
        <v>37</v>
      </c>
      <c r="J178" s="14">
        <f>Cereal[[#This Row],[N° BOLSAS]]-Cereal[[#This Row],[N° SACOS]]*Cereal[[#This Row],[CAP. SACOS]]</f>
        <v>17</v>
      </c>
      <c r="K178" s="16">
        <v>46227</v>
      </c>
      <c r="L178" s="16">
        <v>46227</v>
      </c>
      <c r="M178" s="16">
        <v>46227</v>
      </c>
      <c r="N178" s="14" t="s">
        <v>83</v>
      </c>
    </row>
    <row r="179" spans="1:14" hidden="1" x14ac:dyDescent="0.25">
      <c r="A179" s="14" t="s">
        <v>14</v>
      </c>
      <c r="B179" s="14" t="s">
        <v>82</v>
      </c>
      <c r="C179" s="15" t="s">
        <v>25</v>
      </c>
      <c r="D179" s="16">
        <v>46239</v>
      </c>
      <c r="E179" s="17">
        <v>1127</v>
      </c>
      <c r="F179" s="18">
        <v>1.3554299999999999</v>
      </c>
      <c r="G179" s="19">
        <f>Cereal[[#This Row],[N° BOLSAS]]*Cereal[[#This Row],[KG BOLSA]]</f>
        <v>1527.56961</v>
      </c>
      <c r="H179" s="37">
        <v>30</v>
      </c>
      <c r="I179" s="14">
        <f>ROUNDDOWN(Cereal[[#This Row],[N° BOLSAS]]/Cereal[[#This Row],[CAP. SACOS]],0)</f>
        <v>37</v>
      </c>
      <c r="J179" s="14">
        <f>Cereal[[#This Row],[N° BOLSAS]]-Cereal[[#This Row],[N° SACOS]]*Cereal[[#This Row],[CAP. SACOS]]</f>
        <v>17</v>
      </c>
      <c r="K179" s="16">
        <v>46259</v>
      </c>
      <c r="L179" s="16">
        <v>46259</v>
      </c>
      <c r="M179" s="16">
        <v>46259</v>
      </c>
      <c r="N179" s="14" t="s">
        <v>83</v>
      </c>
    </row>
    <row r="180" spans="1:14" hidden="1" x14ac:dyDescent="0.25">
      <c r="A180" s="14" t="s">
        <v>14</v>
      </c>
      <c r="B180" s="14" t="s">
        <v>82</v>
      </c>
      <c r="C180" s="15" t="s">
        <v>26</v>
      </c>
      <c r="D180" s="16">
        <v>46270</v>
      </c>
      <c r="E180" s="17">
        <v>1127</v>
      </c>
      <c r="F180" s="18">
        <v>1.3554299999999999</v>
      </c>
      <c r="G180" s="19">
        <f>Cereal[[#This Row],[N° BOLSAS]]*Cereal[[#This Row],[KG BOLSA]]</f>
        <v>1527.56961</v>
      </c>
      <c r="H180" s="37">
        <v>30</v>
      </c>
      <c r="I180" s="14">
        <f>ROUNDDOWN(Cereal[[#This Row],[N° BOLSAS]]/Cereal[[#This Row],[CAP. SACOS]],0)</f>
        <v>37</v>
      </c>
      <c r="J180" s="14">
        <f>Cereal[[#This Row],[N° BOLSAS]]-Cereal[[#This Row],[N° SACOS]]*Cereal[[#This Row],[CAP. SACOS]]</f>
        <v>17</v>
      </c>
      <c r="K180" s="16">
        <v>46294</v>
      </c>
      <c r="L180" s="16">
        <v>46294</v>
      </c>
      <c r="M180" s="16">
        <v>46294</v>
      </c>
      <c r="N180" s="14" t="s">
        <v>83</v>
      </c>
    </row>
    <row r="181" spans="1:14" hidden="1" x14ac:dyDescent="0.25">
      <c r="A181" s="14" t="s">
        <v>14</v>
      </c>
      <c r="B181" s="14" t="s">
        <v>82</v>
      </c>
      <c r="C181" s="15" t="s">
        <v>27</v>
      </c>
      <c r="D181" s="16">
        <v>46300</v>
      </c>
      <c r="E181" s="17">
        <v>1127</v>
      </c>
      <c r="F181" s="18">
        <v>1.3554299999999999</v>
      </c>
      <c r="G181" s="19">
        <f>Cereal[[#This Row],[N° BOLSAS]]*Cereal[[#This Row],[KG BOLSA]]</f>
        <v>1527.56961</v>
      </c>
      <c r="H181" s="37">
        <v>30</v>
      </c>
      <c r="I181" s="14">
        <f>ROUNDDOWN(Cereal[[#This Row],[N° BOLSAS]]/Cereal[[#This Row],[CAP. SACOS]],0)</f>
        <v>37</v>
      </c>
      <c r="J181" s="14">
        <f>Cereal[[#This Row],[N° BOLSAS]]-Cereal[[#This Row],[N° SACOS]]*Cereal[[#This Row],[CAP. SACOS]]</f>
        <v>17</v>
      </c>
      <c r="K181" s="16"/>
      <c r="L181" s="16"/>
      <c r="M181" s="16"/>
      <c r="N181" s="14" t="s">
        <v>83</v>
      </c>
    </row>
    <row r="182" spans="1:14" hidden="1" x14ac:dyDescent="0.25">
      <c r="A182" s="14" t="s">
        <v>14</v>
      </c>
      <c r="B182" s="14" t="s">
        <v>82</v>
      </c>
      <c r="C182" s="15" t="s">
        <v>28</v>
      </c>
      <c r="D182" s="16">
        <v>46331</v>
      </c>
      <c r="E182" s="17">
        <v>1127</v>
      </c>
      <c r="F182" s="18">
        <v>1.3554299999999999</v>
      </c>
      <c r="G182" s="19">
        <f>Cereal[[#This Row],[N° BOLSAS]]*Cereal[[#This Row],[KG BOLSA]]</f>
        <v>1527.56961</v>
      </c>
      <c r="H182" s="37">
        <v>30</v>
      </c>
      <c r="I182" s="14">
        <f>ROUNDDOWN(Cereal[[#This Row],[N° BOLSAS]]/Cereal[[#This Row],[CAP. SACOS]],0)</f>
        <v>37</v>
      </c>
      <c r="J182" s="14">
        <f>Cereal[[#This Row],[N° BOLSAS]]-Cereal[[#This Row],[N° SACOS]]*Cereal[[#This Row],[CAP. SACOS]]</f>
        <v>17</v>
      </c>
      <c r="K182" s="16"/>
      <c r="L182" s="16"/>
      <c r="M182" s="16"/>
      <c r="N182" s="14" t="s">
        <v>83</v>
      </c>
    </row>
    <row r="183" spans="1:14" ht="22.5" hidden="1" x14ac:dyDescent="0.25">
      <c r="A183" s="14" t="s">
        <v>14</v>
      </c>
      <c r="B183" s="14" t="s">
        <v>84</v>
      </c>
      <c r="C183" s="15" t="s">
        <v>35</v>
      </c>
      <c r="D183" s="16">
        <v>46073</v>
      </c>
      <c r="E183" s="17">
        <v>2746</v>
      </c>
      <c r="F183" s="18">
        <v>1.044</v>
      </c>
      <c r="G183" s="19">
        <f>Cereal[[#This Row],[N° BOLSAS]]*Cereal[[#This Row],[KG BOLSA]]</f>
        <v>2866.8240000000001</v>
      </c>
      <c r="H183" s="37">
        <v>40</v>
      </c>
      <c r="I183" s="14">
        <f>ROUNDDOWN(Cereal[[#This Row],[N° BOLSAS]]/Cereal[[#This Row],[CAP. SACOS]],0)</f>
        <v>68</v>
      </c>
      <c r="J183" s="14">
        <f>Cereal[[#This Row],[N° BOLSAS]]-Cereal[[#This Row],[N° SACOS]]*Cereal[[#This Row],[CAP. SACOS]]</f>
        <v>26</v>
      </c>
      <c r="K183" s="16">
        <v>46086</v>
      </c>
      <c r="L183" s="16">
        <v>46086</v>
      </c>
      <c r="M183" s="16">
        <v>46086</v>
      </c>
      <c r="N183" s="16" t="s">
        <v>85</v>
      </c>
    </row>
    <row r="184" spans="1:14" hidden="1" x14ac:dyDescent="0.25">
      <c r="A184" s="14" t="s">
        <v>14</v>
      </c>
      <c r="B184" s="14" t="s">
        <v>84</v>
      </c>
      <c r="C184" s="15" t="s">
        <v>37</v>
      </c>
      <c r="D184" s="16">
        <v>46120</v>
      </c>
      <c r="E184" s="17">
        <v>2746</v>
      </c>
      <c r="F184" s="18">
        <v>1.044</v>
      </c>
      <c r="G184" s="19">
        <f>Cereal[[#This Row],[N° BOLSAS]]*Cereal[[#This Row],[KG BOLSA]]</f>
        <v>2866.8240000000001</v>
      </c>
      <c r="H184" s="37">
        <v>40</v>
      </c>
      <c r="I184" s="14">
        <f>ROUNDDOWN(Cereal[[#This Row],[N° BOLSAS]]/Cereal[[#This Row],[CAP. SACOS]],0)</f>
        <v>68</v>
      </c>
      <c r="J184" s="14">
        <f>Cereal[[#This Row],[N° BOLSAS]]-Cereal[[#This Row],[N° SACOS]]*Cereal[[#This Row],[CAP. SACOS]]</f>
        <v>26</v>
      </c>
      <c r="K184" s="16">
        <v>46168</v>
      </c>
      <c r="L184" s="16">
        <v>46168</v>
      </c>
      <c r="M184" s="16">
        <v>46173</v>
      </c>
      <c r="N184" s="16" t="s">
        <v>85</v>
      </c>
    </row>
    <row r="185" spans="1:14" ht="22.5" hidden="1" x14ac:dyDescent="0.25">
      <c r="A185" s="14" t="s">
        <v>14</v>
      </c>
      <c r="B185" s="14" t="s">
        <v>84</v>
      </c>
      <c r="C185" s="15" t="s">
        <v>38</v>
      </c>
      <c r="D185" s="16">
        <v>46203</v>
      </c>
      <c r="E185" s="17">
        <v>2746</v>
      </c>
      <c r="F185" s="18">
        <v>1.044</v>
      </c>
      <c r="G185" s="19">
        <f>Cereal[[#This Row],[N° BOLSAS]]*Cereal[[#This Row],[KG BOLSA]]</f>
        <v>2866.8240000000001</v>
      </c>
      <c r="H185" s="37">
        <v>40</v>
      </c>
      <c r="I185" s="14">
        <f>ROUNDDOWN(Cereal[[#This Row],[N° BOLSAS]]/Cereal[[#This Row],[CAP. SACOS]],0)</f>
        <v>68</v>
      </c>
      <c r="J185" s="14">
        <f>Cereal[[#This Row],[N° BOLSAS]]-Cereal[[#This Row],[N° SACOS]]*Cereal[[#This Row],[CAP. SACOS]]</f>
        <v>26</v>
      </c>
      <c r="K185" s="16">
        <v>46266</v>
      </c>
      <c r="L185" s="16">
        <v>46266</v>
      </c>
      <c r="M185" s="16">
        <v>46270</v>
      </c>
      <c r="N185" s="16" t="s">
        <v>85</v>
      </c>
    </row>
    <row r="186" spans="1:14" hidden="1" x14ac:dyDescent="0.25">
      <c r="A186" s="14" t="s">
        <v>14</v>
      </c>
      <c r="B186" s="14" t="s">
        <v>84</v>
      </c>
      <c r="C186" s="15" t="s">
        <v>30</v>
      </c>
      <c r="D186" s="16">
        <v>46234</v>
      </c>
      <c r="E186" s="17">
        <v>1076</v>
      </c>
      <c r="F186" s="18">
        <v>1.044</v>
      </c>
      <c r="G186" s="19">
        <f>Cereal[[#This Row],[N° BOLSAS]]*Cereal[[#This Row],[KG BOLSA]]</f>
        <v>1123.3440000000001</v>
      </c>
      <c r="H186" s="37">
        <v>40</v>
      </c>
      <c r="I186" s="14">
        <f>ROUNDDOWN(Cereal[[#This Row],[N° BOLSAS]]/Cereal[[#This Row],[CAP. SACOS]],0)</f>
        <v>26</v>
      </c>
      <c r="J186" s="14">
        <f>Cereal[[#This Row],[N° BOLSAS]]-Cereal[[#This Row],[N° SACOS]]*Cereal[[#This Row],[CAP. SACOS]]</f>
        <v>36</v>
      </c>
      <c r="K186" s="16">
        <v>46266</v>
      </c>
      <c r="L186" s="16">
        <v>46266</v>
      </c>
      <c r="M186" s="16">
        <v>46270</v>
      </c>
      <c r="N186" s="16" t="s">
        <v>85</v>
      </c>
    </row>
    <row r="187" spans="1:14" ht="33.75" hidden="1" x14ac:dyDescent="0.25">
      <c r="A187" s="14" t="s">
        <v>14</v>
      </c>
      <c r="B187" s="14" t="s">
        <v>84</v>
      </c>
      <c r="C187" s="15" t="s">
        <v>39</v>
      </c>
      <c r="D187" s="16">
        <v>46302</v>
      </c>
      <c r="E187" s="17">
        <v>2746</v>
      </c>
      <c r="F187" s="18">
        <v>1.044</v>
      </c>
      <c r="G187" s="19">
        <f>Cereal[[#This Row],[N° BOLSAS]]*Cereal[[#This Row],[KG BOLSA]]</f>
        <v>2866.8240000000001</v>
      </c>
      <c r="H187" s="37">
        <v>40</v>
      </c>
      <c r="I187" s="14">
        <f>ROUNDDOWN(Cereal[[#This Row],[N° BOLSAS]]/Cereal[[#This Row],[CAP. SACOS]],0)</f>
        <v>68</v>
      </c>
      <c r="J187" s="14">
        <f>Cereal[[#This Row],[N° BOLSAS]]-Cereal[[#This Row],[N° SACOS]]*Cereal[[#This Row],[CAP. SACOS]]</f>
        <v>26</v>
      </c>
      <c r="K187" s="16"/>
      <c r="L187" s="16"/>
      <c r="M187" s="16"/>
      <c r="N187" s="16" t="s">
        <v>85</v>
      </c>
    </row>
    <row r="188" spans="1:14" hidden="1" x14ac:dyDescent="0.25">
      <c r="A188" s="14" t="s">
        <v>14</v>
      </c>
      <c r="B188" s="14" t="s">
        <v>86</v>
      </c>
      <c r="C188" s="15" t="s">
        <v>16</v>
      </c>
      <c r="D188" s="16">
        <v>46022</v>
      </c>
      <c r="E188" s="17">
        <v>1405.68</v>
      </c>
      <c r="F188" s="18">
        <v>1</v>
      </c>
      <c r="G188" s="19">
        <f>Cereal[[#This Row],[N° BOLSAS]]*Cereal[[#This Row],[KG BOLSA]]</f>
        <v>1405.68</v>
      </c>
      <c r="H188" s="37">
        <v>40</v>
      </c>
      <c r="I188" s="14">
        <f>ROUNDDOWN(Cereal[[#This Row],[N° BOLSAS]]/Cereal[[#This Row],[CAP. SACOS]],0)</f>
        <v>35</v>
      </c>
      <c r="J188" s="14">
        <f>Cereal[[#This Row],[N° BOLSAS]]-Cereal[[#This Row],[N° SACOS]]*Cereal[[#This Row],[CAP. SACOS]]</f>
        <v>5.6800000000000637</v>
      </c>
      <c r="K188" s="16">
        <v>45997</v>
      </c>
      <c r="L188" s="16">
        <v>45997</v>
      </c>
      <c r="M188" s="16">
        <v>46006</v>
      </c>
      <c r="N188" s="16" t="s">
        <v>87</v>
      </c>
    </row>
    <row r="189" spans="1:14" hidden="1" x14ac:dyDescent="0.25">
      <c r="A189" s="14" t="s">
        <v>14</v>
      </c>
      <c r="B189" s="14" t="s">
        <v>86</v>
      </c>
      <c r="C189" s="15" t="s">
        <v>18</v>
      </c>
      <c r="D189" s="16">
        <v>46050</v>
      </c>
      <c r="E189" s="17">
        <v>1405.68</v>
      </c>
      <c r="F189" s="18">
        <v>1</v>
      </c>
      <c r="G189" s="19">
        <f>Cereal[[#This Row],[N° BOLSAS]]*Cereal[[#This Row],[KG BOLSA]]</f>
        <v>1405.68</v>
      </c>
      <c r="H189" s="37">
        <v>40</v>
      </c>
      <c r="I189" s="14">
        <f>ROUNDDOWN(Cereal[[#This Row],[N° BOLSAS]]/Cereal[[#This Row],[CAP. SACOS]],0)</f>
        <v>35</v>
      </c>
      <c r="J189" s="14">
        <f>Cereal[[#This Row],[N° BOLSAS]]-Cereal[[#This Row],[N° SACOS]]*Cereal[[#This Row],[CAP. SACOS]]</f>
        <v>5.6800000000000637</v>
      </c>
      <c r="K189" s="16">
        <v>46044</v>
      </c>
      <c r="L189" s="16">
        <v>46044</v>
      </c>
      <c r="M189" s="16">
        <v>46048</v>
      </c>
      <c r="N189" s="16" t="s">
        <v>87</v>
      </c>
    </row>
    <row r="190" spans="1:14" hidden="1" x14ac:dyDescent="0.25">
      <c r="A190" s="14" t="s">
        <v>14</v>
      </c>
      <c r="B190" s="14" t="s">
        <v>86</v>
      </c>
      <c r="C190" s="15" t="s">
        <v>19</v>
      </c>
      <c r="D190" s="16">
        <v>46078</v>
      </c>
      <c r="E190" s="17">
        <v>1405.68</v>
      </c>
      <c r="F190" s="18">
        <v>1</v>
      </c>
      <c r="G190" s="19">
        <f>Cereal[[#This Row],[N° BOLSAS]]*Cereal[[#This Row],[KG BOLSA]]</f>
        <v>1405.68</v>
      </c>
      <c r="H190" s="37">
        <v>40</v>
      </c>
      <c r="I190" s="14">
        <f>ROUNDDOWN(Cereal[[#This Row],[N° BOLSAS]]/Cereal[[#This Row],[CAP. SACOS]],0)</f>
        <v>35</v>
      </c>
      <c r="J190" s="14">
        <f>Cereal[[#This Row],[N° BOLSAS]]-Cereal[[#This Row],[N° SACOS]]*Cereal[[#This Row],[CAP. SACOS]]</f>
        <v>5.6800000000000637</v>
      </c>
      <c r="K190" s="16">
        <v>46073</v>
      </c>
      <c r="L190" s="16">
        <v>46073</v>
      </c>
      <c r="M190" s="16">
        <v>46076</v>
      </c>
      <c r="N190" s="16" t="s">
        <v>87</v>
      </c>
    </row>
    <row r="191" spans="1:14" hidden="1" x14ac:dyDescent="0.25">
      <c r="A191" s="14" t="s">
        <v>14</v>
      </c>
      <c r="B191" s="14" t="s">
        <v>86</v>
      </c>
      <c r="C191" s="15" t="s">
        <v>20</v>
      </c>
      <c r="D191" s="16">
        <v>46106</v>
      </c>
      <c r="E191" s="17">
        <v>1405.68</v>
      </c>
      <c r="F191" s="18">
        <v>1</v>
      </c>
      <c r="G191" s="19">
        <f>Cereal[[#This Row],[N° BOLSAS]]*Cereal[[#This Row],[KG BOLSA]]</f>
        <v>1405.68</v>
      </c>
      <c r="H191" s="37">
        <v>40</v>
      </c>
      <c r="I191" s="14">
        <f>ROUNDDOWN(Cereal[[#This Row],[N° BOLSAS]]/Cereal[[#This Row],[CAP. SACOS]],0)</f>
        <v>35</v>
      </c>
      <c r="J191" s="14">
        <f>Cereal[[#This Row],[N° BOLSAS]]-Cereal[[#This Row],[N° SACOS]]*Cereal[[#This Row],[CAP. SACOS]]</f>
        <v>5.6800000000000637</v>
      </c>
      <c r="K191" s="16">
        <v>46104</v>
      </c>
      <c r="L191" s="16">
        <v>46104</v>
      </c>
      <c r="M191" s="16">
        <v>46104</v>
      </c>
      <c r="N191" s="16" t="s">
        <v>87</v>
      </c>
    </row>
    <row r="192" spans="1:14" hidden="1" x14ac:dyDescent="0.25">
      <c r="A192" s="14" t="s">
        <v>14</v>
      </c>
      <c r="B192" s="14" t="s">
        <v>86</v>
      </c>
      <c r="C192" s="15" t="s">
        <v>21</v>
      </c>
      <c r="D192" s="16">
        <v>46134</v>
      </c>
      <c r="E192" s="17">
        <v>1405.68</v>
      </c>
      <c r="F192" s="18">
        <v>1</v>
      </c>
      <c r="G192" s="19">
        <f>Cereal[[#This Row],[N° BOLSAS]]*Cereal[[#This Row],[KG BOLSA]]</f>
        <v>1405.68</v>
      </c>
      <c r="H192" s="37">
        <v>40</v>
      </c>
      <c r="I192" s="14">
        <f>ROUNDDOWN(Cereal[[#This Row],[N° BOLSAS]]/Cereal[[#This Row],[CAP. SACOS]],0)</f>
        <v>35</v>
      </c>
      <c r="J192" s="14">
        <f>Cereal[[#This Row],[N° BOLSAS]]-Cereal[[#This Row],[N° SACOS]]*Cereal[[#This Row],[CAP. SACOS]]</f>
        <v>5.6800000000000637</v>
      </c>
      <c r="K192" s="16">
        <v>46133</v>
      </c>
      <c r="L192" s="16">
        <v>46133</v>
      </c>
      <c r="M192" s="16">
        <v>46134</v>
      </c>
      <c r="N192" s="16" t="s">
        <v>87</v>
      </c>
    </row>
    <row r="193" spans="1:14" hidden="1" x14ac:dyDescent="0.25">
      <c r="A193" s="14" t="s">
        <v>14</v>
      </c>
      <c r="B193" s="14" t="s">
        <v>86</v>
      </c>
      <c r="C193" s="15" t="s">
        <v>22</v>
      </c>
      <c r="D193" s="16">
        <v>46169</v>
      </c>
      <c r="E193" s="17">
        <v>1405.68</v>
      </c>
      <c r="F193" s="18">
        <v>1</v>
      </c>
      <c r="G193" s="19">
        <f>Cereal[[#This Row],[N° BOLSAS]]*Cereal[[#This Row],[KG BOLSA]]</f>
        <v>1405.68</v>
      </c>
      <c r="H193" s="37">
        <v>40</v>
      </c>
      <c r="I193" s="14">
        <f>ROUNDDOWN(Cereal[[#This Row],[N° BOLSAS]]/Cereal[[#This Row],[CAP. SACOS]],0)</f>
        <v>35</v>
      </c>
      <c r="J193" s="14">
        <f>Cereal[[#This Row],[N° BOLSAS]]-Cereal[[#This Row],[N° SACOS]]*Cereal[[#This Row],[CAP. SACOS]]</f>
        <v>5.6800000000000637</v>
      </c>
      <c r="K193" s="16">
        <v>46153</v>
      </c>
      <c r="L193" s="16">
        <v>46153</v>
      </c>
      <c r="M193" s="16">
        <v>46167</v>
      </c>
      <c r="N193" s="16" t="s">
        <v>87</v>
      </c>
    </row>
    <row r="194" spans="1:14" hidden="1" x14ac:dyDescent="0.25">
      <c r="A194" s="14" t="s">
        <v>14</v>
      </c>
      <c r="B194" s="14" t="s">
        <v>86</v>
      </c>
      <c r="C194" s="15" t="s">
        <v>23</v>
      </c>
      <c r="D194" s="16">
        <v>46197</v>
      </c>
      <c r="E194" s="17">
        <v>1405.68</v>
      </c>
      <c r="F194" s="18">
        <v>1</v>
      </c>
      <c r="G194" s="19">
        <f>Cereal[[#This Row],[N° BOLSAS]]*Cereal[[#This Row],[KG BOLSA]]</f>
        <v>1405.68</v>
      </c>
      <c r="H194" s="37">
        <v>40</v>
      </c>
      <c r="I194" s="14">
        <f>ROUNDDOWN(Cereal[[#This Row],[N° BOLSAS]]/Cereal[[#This Row],[CAP. SACOS]],0)</f>
        <v>35</v>
      </c>
      <c r="J194" s="14">
        <f>Cereal[[#This Row],[N° BOLSAS]]-Cereal[[#This Row],[N° SACOS]]*Cereal[[#This Row],[CAP. SACOS]]</f>
        <v>5.6800000000000637</v>
      </c>
      <c r="K194" s="16">
        <v>46195</v>
      </c>
      <c r="L194" s="16">
        <v>46195</v>
      </c>
      <c r="M194" s="16">
        <v>46196</v>
      </c>
      <c r="N194" s="16" t="s">
        <v>87</v>
      </c>
    </row>
    <row r="195" spans="1:14" hidden="1" x14ac:dyDescent="0.25">
      <c r="A195" s="14" t="s">
        <v>14</v>
      </c>
      <c r="B195" s="14" t="s">
        <v>86</v>
      </c>
      <c r="C195" s="15" t="s">
        <v>24</v>
      </c>
      <c r="D195" s="16">
        <v>46225</v>
      </c>
      <c r="E195" s="17">
        <v>1405.68</v>
      </c>
      <c r="F195" s="18">
        <v>1</v>
      </c>
      <c r="G195" s="19">
        <f>Cereal[[#This Row],[N° BOLSAS]]*Cereal[[#This Row],[KG BOLSA]]</f>
        <v>1405.68</v>
      </c>
      <c r="H195" s="37">
        <v>40</v>
      </c>
      <c r="I195" s="14">
        <f>ROUNDDOWN(Cereal[[#This Row],[N° BOLSAS]]/Cereal[[#This Row],[CAP. SACOS]],0)</f>
        <v>35</v>
      </c>
      <c r="J195" s="14">
        <f>Cereal[[#This Row],[N° BOLSAS]]-Cereal[[#This Row],[N° SACOS]]*Cereal[[#This Row],[CAP. SACOS]]</f>
        <v>5.6800000000000637</v>
      </c>
      <c r="K195" s="16">
        <v>46224</v>
      </c>
      <c r="L195" s="16">
        <v>46224</v>
      </c>
      <c r="M195" s="16">
        <v>46225</v>
      </c>
      <c r="N195" s="16" t="s">
        <v>87</v>
      </c>
    </row>
    <row r="196" spans="1:14" hidden="1" x14ac:dyDescent="0.25">
      <c r="A196" s="14" t="s">
        <v>14</v>
      </c>
      <c r="B196" s="14" t="s">
        <v>86</v>
      </c>
      <c r="C196" s="15" t="s">
        <v>25</v>
      </c>
      <c r="D196" s="16">
        <v>46260</v>
      </c>
      <c r="E196" s="17">
        <v>1405.68</v>
      </c>
      <c r="F196" s="18">
        <v>1</v>
      </c>
      <c r="G196" s="19">
        <f>Cereal[[#This Row],[N° BOLSAS]]*Cereal[[#This Row],[KG BOLSA]]</f>
        <v>1405.68</v>
      </c>
      <c r="H196" s="37">
        <v>40</v>
      </c>
      <c r="I196" s="14">
        <f>ROUNDDOWN(Cereal[[#This Row],[N° BOLSAS]]/Cereal[[#This Row],[CAP. SACOS]],0)</f>
        <v>35</v>
      </c>
      <c r="J196" s="14">
        <f>Cereal[[#This Row],[N° BOLSAS]]-Cereal[[#This Row],[N° SACOS]]*Cereal[[#This Row],[CAP. SACOS]]</f>
        <v>5.6800000000000637</v>
      </c>
      <c r="K196" s="16">
        <v>46251</v>
      </c>
      <c r="L196" s="16">
        <v>46251</v>
      </c>
      <c r="M196" s="16">
        <v>46258</v>
      </c>
      <c r="N196" s="16" t="s">
        <v>87</v>
      </c>
    </row>
    <row r="197" spans="1:14" hidden="1" x14ac:dyDescent="0.25">
      <c r="A197" s="14" t="s">
        <v>14</v>
      </c>
      <c r="B197" s="14" t="s">
        <v>86</v>
      </c>
      <c r="C197" s="15" t="s">
        <v>26</v>
      </c>
      <c r="D197" s="16">
        <v>46288</v>
      </c>
      <c r="E197" s="17">
        <v>1405.68</v>
      </c>
      <c r="F197" s="18">
        <v>1</v>
      </c>
      <c r="G197" s="19">
        <f>Cereal[[#This Row],[N° BOLSAS]]*Cereal[[#This Row],[KG BOLSA]]</f>
        <v>1405.68</v>
      </c>
      <c r="H197" s="37">
        <v>40</v>
      </c>
      <c r="I197" s="14">
        <f>ROUNDDOWN(Cereal[[#This Row],[N° BOLSAS]]/Cereal[[#This Row],[CAP. SACOS]],0)</f>
        <v>35</v>
      </c>
      <c r="J197" s="14">
        <f>Cereal[[#This Row],[N° BOLSAS]]-Cereal[[#This Row],[N° SACOS]]*Cereal[[#This Row],[CAP. SACOS]]</f>
        <v>5.6800000000000637</v>
      </c>
      <c r="K197" s="16">
        <v>46288</v>
      </c>
      <c r="L197" s="16">
        <v>46288</v>
      </c>
      <c r="M197" s="16">
        <v>46288</v>
      </c>
      <c r="N197" s="16" t="s">
        <v>87</v>
      </c>
    </row>
    <row r="198" spans="1:14" hidden="1" x14ac:dyDescent="0.25">
      <c r="A198" s="14" t="s">
        <v>14</v>
      </c>
      <c r="B198" s="14" t="s">
        <v>86</v>
      </c>
      <c r="C198" s="15" t="s">
        <v>27</v>
      </c>
      <c r="D198" s="16">
        <v>46323</v>
      </c>
      <c r="E198" s="17">
        <v>1405.68</v>
      </c>
      <c r="F198" s="18">
        <v>1</v>
      </c>
      <c r="G198" s="19">
        <f>Cereal[[#This Row],[N° BOLSAS]]*Cereal[[#This Row],[KG BOLSA]]</f>
        <v>1405.68</v>
      </c>
      <c r="H198" s="37">
        <v>40</v>
      </c>
      <c r="I198" s="14">
        <f>ROUNDDOWN(Cereal[[#This Row],[N° BOLSAS]]/Cereal[[#This Row],[CAP. SACOS]],0)</f>
        <v>35</v>
      </c>
      <c r="J198" s="14">
        <f>Cereal[[#This Row],[N° BOLSAS]]-Cereal[[#This Row],[N° SACOS]]*Cereal[[#This Row],[CAP. SACOS]]</f>
        <v>5.6800000000000637</v>
      </c>
      <c r="K198" s="16"/>
      <c r="L198" s="16"/>
      <c r="M198" s="16"/>
      <c r="N198" s="16" t="s">
        <v>87</v>
      </c>
    </row>
    <row r="199" spans="1:14" hidden="1" x14ac:dyDescent="0.25">
      <c r="A199" s="14" t="s">
        <v>14</v>
      </c>
      <c r="B199" s="14" t="s">
        <v>86</v>
      </c>
      <c r="C199" s="15" t="s">
        <v>28</v>
      </c>
      <c r="D199" s="16">
        <v>46351</v>
      </c>
      <c r="E199" s="17">
        <v>1405.68</v>
      </c>
      <c r="F199" s="18">
        <v>1</v>
      </c>
      <c r="G199" s="19">
        <f>Cereal[[#This Row],[N° BOLSAS]]*Cereal[[#This Row],[KG BOLSA]]</f>
        <v>1405.68</v>
      </c>
      <c r="H199" s="37">
        <v>40</v>
      </c>
      <c r="I199" s="14">
        <f>ROUNDDOWN(Cereal[[#This Row],[N° BOLSAS]]/Cereal[[#This Row],[CAP. SACOS]],0)</f>
        <v>35</v>
      </c>
      <c r="J199" s="14">
        <f>Cereal[[#This Row],[N° BOLSAS]]-Cereal[[#This Row],[N° SACOS]]*Cereal[[#This Row],[CAP. SACOS]]</f>
        <v>5.6800000000000637</v>
      </c>
      <c r="K199" s="16"/>
      <c r="L199" s="16"/>
      <c r="M199" s="16"/>
      <c r="N199" s="16" t="s">
        <v>87</v>
      </c>
    </row>
    <row r="200" spans="1:14" ht="22.5" hidden="1" x14ac:dyDescent="0.25">
      <c r="A200" s="14" t="s">
        <v>14</v>
      </c>
      <c r="B200" s="14" t="s">
        <v>88</v>
      </c>
      <c r="C200" s="15" t="s">
        <v>35</v>
      </c>
      <c r="D200" s="16">
        <v>46039</v>
      </c>
      <c r="E200" s="17">
        <v>2550</v>
      </c>
      <c r="F200" s="18">
        <v>1.72</v>
      </c>
      <c r="G200" s="19">
        <f>Cereal[[#This Row],[N° BOLSAS]]*Cereal[[#This Row],[KG BOLSA]]</f>
        <v>4386</v>
      </c>
      <c r="H200" s="37">
        <v>25</v>
      </c>
      <c r="I200" s="14">
        <f>ROUNDDOWN(Cereal[[#This Row],[N° BOLSAS]]/Cereal[[#This Row],[CAP. SACOS]],0)</f>
        <v>102</v>
      </c>
      <c r="J200" s="14">
        <f>Cereal[[#This Row],[N° BOLSAS]]-Cereal[[#This Row],[N° SACOS]]*Cereal[[#This Row],[CAP. SACOS]]</f>
        <v>0</v>
      </c>
      <c r="K200" s="16">
        <v>46049</v>
      </c>
      <c r="L200" s="16">
        <v>46049</v>
      </c>
      <c r="M200" s="16">
        <v>46057</v>
      </c>
      <c r="N200" s="16" t="s">
        <v>89</v>
      </c>
    </row>
    <row r="201" spans="1:14" hidden="1" x14ac:dyDescent="0.25">
      <c r="A201" s="14" t="s">
        <v>14</v>
      </c>
      <c r="B201" s="14" t="s">
        <v>88</v>
      </c>
      <c r="C201" s="15" t="s">
        <v>37</v>
      </c>
      <c r="D201" s="16">
        <v>46112</v>
      </c>
      <c r="E201" s="17">
        <v>2550</v>
      </c>
      <c r="F201" s="18">
        <v>1.72</v>
      </c>
      <c r="G201" s="19">
        <f>Cereal[[#This Row],[N° BOLSAS]]*Cereal[[#This Row],[KG BOLSA]]</f>
        <v>4386</v>
      </c>
      <c r="H201" s="37">
        <v>25</v>
      </c>
      <c r="I201" s="14">
        <f>ROUNDDOWN(Cereal[[#This Row],[N° BOLSAS]]/Cereal[[#This Row],[CAP. SACOS]],0)</f>
        <v>102</v>
      </c>
      <c r="J201" s="14">
        <f>Cereal[[#This Row],[N° BOLSAS]]-Cereal[[#This Row],[N° SACOS]]*Cereal[[#This Row],[CAP. SACOS]]</f>
        <v>0</v>
      </c>
      <c r="K201" s="16">
        <v>46103</v>
      </c>
      <c r="L201" s="16">
        <v>46103</v>
      </c>
      <c r="M201" s="16">
        <v>46103</v>
      </c>
      <c r="N201" s="16" t="s">
        <v>89</v>
      </c>
    </row>
    <row r="202" spans="1:14" ht="22.5" hidden="1" x14ac:dyDescent="0.25">
      <c r="A202" s="14" t="s">
        <v>14</v>
      </c>
      <c r="B202" s="14" t="s">
        <v>88</v>
      </c>
      <c r="C202" s="15" t="s">
        <v>38</v>
      </c>
      <c r="D202" s="16">
        <v>46203</v>
      </c>
      <c r="E202" s="17">
        <v>2550</v>
      </c>
      <c r="F202" s="18">
        <v>1.72</v>
      </c>
      <c r="G202" s="19">
        <f>Cereal[[#This Row],[N° BOLSAS]]*Cereal[[#This Row],[KG BOLSA]]</f>
        <v>4386</v>
      </c>
      <c r="H202" s="37">
        <v>25</v>
      </c>
      <c r="I202" s="14">
        <f>ROUNDDOWN(Cereal[[#This Row],[N° BOLSAS]]/Cereal[[#This Row],[CAP. SACOS]],0)</f>
        <v>102</v>
      </c>
      <c r="J202" s="14">
        <f>Cereal[[#This Row],[N° BOLSAS]]-Cereal[[#This Row],[N° SACOS]]*Cereal[[#This Row],[CAP. SACOS]]</f>
        <v>0</v>
      </c>
      <c r="K202" s="16">
        <v>46202</v>
      </c>
      <c r="L202" s="16">
        <v>46202</v>
      </c>
      <c r="M202" s="16">
        <v>46202</v>
      </c>
      <c r="N202" s="16" t="s">
        <v>89</v>
      </c>
    </row>
    <row r="203" spans="1:14" hidden="1" x14ac:dyDescent="0.25">
      <c r="A203" s="14" t="s">
        <v>14</v>
      </c>
      <c r="B203" s="14" t="s">
        <v>88</v>
      </c>
      <c r="C203" s="15" t="s">
        <v>30</v>
      </c>
      <c r="D203" s="16">
        <v>46245</v>
      </c>
      <c r="E203" s="17">
        <v>1462.5</v>
      </c>
      <c r="F203" s="18">
        <v>1</v>
      </c>
      <c r="G203" s="19">
        <f>Cereal[[#This Row],[N° BOLSAS]]*Cereal[[#This Row],[KG BOLSA]]</f>
        <v>1462.5</v>
      </c>
      <c r="H203" s="37">
        <v>50</v>
      </c>
      <c r="I203" s="14">
        <f>ROUNDDOWN(Cereal[[#This Row],[N° BOLSAS]]/Cereal[[#This Row],[CAP. SACOS]],0)</f>
        <v>29</v>
      </c>
      <c r="J203" s="14">
        <f>Cereal[[#This Row],[N° BOLSAS]]-Cereal[[#This Row],[N° SACOS]]*Cereal[[#This Row],[CAP. SACOS]]</f>
        <v>12.5</v>
      </c>
      <c r="K203" s="16">
        <v>46253</v>
      </c>
      <c r="L203" s="16">
        <v>46253</v>
      </c>
      <c r="M203" s="16">
        <v>46253</v>
      </c>
      <c r="N203" s="16" t="s">
        <v>89</v>
      </c>
    </row>
    <row r="204" spans="1:14" ht="33.75" hidden="1" x14ac:dyDescent="0.25">
      <c r="A204" s="14" t="s">
        <v>14</v>
      </c>
      <c r="B204" s="14" t="s">
        <v>88</v>
      </c>
      <c r="C204" s="15" t="s">
        <v>39</v>
      </c>
      <c r="D204" s="16">
        <v>46295</v>
      </c>
      <c r="E204" s="17">
        <v>2550</v>
      </c>
      <c r="F204" s="18">
        <v>1.72</v>
      </c>
      <c r="G204" s="19">
        <f>Cereal[[#This Row],[N° BOLSAS]]*Cereal[[#This Row],[KG BOLSA]]</f>
        <v>4386</v>
      </c>
      <c r="H204" s="37">
        <v>25</v>
      </c>
      <c r="I204" s="14">
        <f>ROUNDDOWN(Cereal[[#This Row],[N° BOLSAS]]/Cereal[[#This Row],[CAP. SACOS]],0)</f>
        <v>102</v>
      </c>
      <c r="J204" s="14">
        <f>Cereal[[#This Row],[N° BOLSAS]]-Cereal[[#This Row],[N° SACOS]]*Cereal[[#This Row],[CAP. SACOS]]</f>
        <v>0</v>
      </c>
      <c r="K204" s="16"/>
      <c r="L204" s="16"/>
      <c r="M204" s="16"/>
      <c r="N204" s="16" t="s">
        <v>89</v>
      </c>
    </row>
    <row r="205" spans="1:14" hidden="1" x14ac:dyDescent="0.25">
      <c r="A205" s="14" t="s">
        <v>90</v>
      </c>
      <c r="B205" s="14" t="s">
        <v>91</v>
      </c>
      <c r="C205" s="15" t="s">
        <v>16</v>
      </c>
      <c r="D205" s="16">
        <v>46017</v>
      </c>
      <c r="E205" s="17">
        <v>12145.8</v>
      </c>
      <c r="F205" s="18">
        <v>1</v>
      </c>
      <c r="G205" s="19">
        <f>Cereal[[#This Row],[N° BOLSAS]]*Cereal[[#This Row],[KG BOLSA]]</f>
        <v>12145.8</v>
      </c>
      <c r="H205" s="37">
        <v>40</v>
      </c>
      <c r="I205" s="14">
        <f>ROUNDDOWN(Cereal[[#This Row],[N° BOLSAS]]/Cereal[[#This Row],[CAP. SACOS]],0)</f>
        <v>303</v>
      </c>
      <c r="J205" s="14">
        <f>Cereal[[#This Row],[N° BOLSAS]]-Cereal[[#This Row],[N° SACOS]]*Cereal[[#This Row],[CAP. SACOS]]</f>
        <v>25.799999999999272</v>
      </c>
      <c r="K205" s="16">
        <v>46004</v>
      </c>
      <c r="L205" s="16">
        <v>46004</v>
      </c>
      <c r="M205" s="16">
        <v>46009</v>
      </c>
      <c r="N205" s="16" t="s">
        <v>92</v>
      </c>
    </row>
    <row r="206" spans="1:14" hidden="1" x14ac:dyDescent="0.25">
      <c r="A206" s="14" t="s">
        <v>90</v>
      </c>
      <c r="B206" s="14" t="s">
        <v>91</v>
      </c>
      <c r="C206" s="15" t="s">
        <v>18</v>
      </c>
      <c r="D206" s="16">
        <v>46053</v>
      </c>
      <c r="E206" s="17">
        <v>7836</v>
      </c>
      <c r="F206" s="18">
        <v>1</v>
      </c>
      <c r="G206" s="19">
        <f>Cereal[[#This Row],[N° BOLSAS]]*Cereal[[#This Row],[KG BOLSA]]</f>
        <v>7836</v>
      </c>
      <c r="H206" s="37">
        <v>40</v>
      </c>
      <c r="I206" s="14">
        <f>ROUNDDOWN(Cereal[[#This Row],[N° BOLSAS]]/Cereal[[#This Row],[CAP. SACOS]],0)</f>
        <v>195</v>
      </c>
      <c r="J206" s="14">
        <f>Cereal[[#This Row],[N° BOLSAS]]-Cereal[[#This Row],[N° SACOS]]*Cereal[[#This Row],[CAP. SACOS]]</f>
        <v>36</v>
      </c>
      <c r="K206" s="16">
        <v>46021</v>
      </c>
      <c r="L206" s="16">
        <v>46021</v>
      </c>
      <c r="M206" s="16">
        <v>46049</v>
      </c>
      <c r="N206" s="16" t="s">
        <v>92</v>
      </c>
    </row>
    <row r="207" spans="1:14" hidden="1" x14ac:dyDescent="0.25">
      <c r="A207" s="14" t="s">
        <v>90</v>
      </c>
      <c r="B207" s="14" t="s">
        <v>91</v>
      </c>
      <c r="C207" s="15" t="s">
        <v>93</v>
      </c>
      <c r="D207" s="16">
        <v>46080</v>
      </c>
      <c r="E207" s="17">
        <v>3134.4</v>
      </c>
      <c r="F207" s="18">
        <v>1</v>
      </c>
      <c r="G207" s="19">
        <f>Cereal[[#This Row],[N° BOLSAS]]*Cereal[[#This Row],[KG BOLSA]]</f>
        <v>3134.4</v>
      </c>
      <c r="H207" s="37">
        <v>40</v>
      </c>
      <c r="I207" s="14">
        <f>ROUNDDOWN(Cereal[[#This Row],[N° BOLSAS]]/Cereal[[#This Row],[CAP. SACOS]],0)</f>
        <v>78</v>
      </c>
      <c r="J207" s="14">
        <f>Cereal[[#This Row],[N° BOLSAS]]-Cereal[[#This Row],[N° SACOS]]*Cereal[[#This Row],[CAP. SACOS]]</f>
        <v>14.400000000000091</v>
      </c>
      <c r="K207" s="16">
        <v>46078</v>
      </c>
      <c r="L207" s="16">
        <v>46078</v>
      </c>
      <c r="M207" s="16">
        <v>46078</v>
      </c>
      <c r="N207" s="16" t="s">
        <v>92</v>
      </c>
    </row>
    <row r="208" spans="1:14" hidden="1" x14ac:dyDescent="0.25">
      <c r="A208" s="14" t="s">
        <v>90</v>
      </c>
      <c r="B208" s="14" t="s">
        <v>91</v>
      </c>
      <c r="C208" s="15" t="s">
        <v>94</v>
      </c>
      <c r="D208" s="16">
        <v>46080</v>
      </c>
      <c r="E208" s="17">
        <v>12145.8</v>
      </c>
      <c r="F208" s="18">
        <v>1</v>
      </c>
      <c r="G208" s="19">
        <f>Cereal[[#This Row],[N° BOLSAS]]*Cereal[[#This Row],[KG BOLSA]]</f>
        <v>12145.8</v>
      </c>
      <c r="H208" s="37">
        <v>40</v>
      </c>
      <c r="I208" s="14">
        <f>ROUNDDOWN(Cereal[[#This Row],[N° BOLSAS]]/Cereal[[#This Row],[CAP. SACOS]],0)</f>
        <v>303</v>
      </c>
      <c r="J208" s="14">
        <f>Cereal[[#This Row],[N° BOLSAS]]-Cereal[[#This Row],[N° SACOS]]*Cereal[[#This Row],[CAP. SACOS]]</f>
        <v>25.799999999999272</v>
      </c>
      <c r="K208" s="16">
        <v>46078</v>
      </c>
      <c r="L208" s="16">
        <v>46078</v>
      </c>
      <c r="M208" s="16">
        <v>46078</v>
      </c>
      <c r="N208" s="16" t="s">
        <v>92</v>
      </c>
    </row>
    <row r="209" spans="1:14" hidden="1" x14ac:dyDescent="0.25">
      <c r="A209" s="14" t="s">
        <v>90</v>
      </c>
      <c r="B209" s="14" t="s">
        <v>91</v>
      </c>
      <c r="C209" s="15" t="s">
        <v>95</v>
      </c>
      <c r="D209" s="16">
        <v>46112</v>
      </c>
      <c r="E209" s="17">
        <v>11754</v>
      </c>
      <c r="F209" s="18">
        <v>1</v>
      </c>
      <c r="G209" s="19">
        <f>Cereal[[#This Row],[N° BOLSAS]]*Cereal[[#This Row],[KG BOLSA]]</f>
        <v>11754</v>
      </c>
      <c r="H209" s="37">
        <v>40</v>
      </c>
      <c r="I209" s="14">
        <f>ROUNDDOWN(Cereal[[#This Row],[N° BOLSAS]]/Cereal[[#This Row],[CAP. SACOS]],0)</f>
        <v>293</v>
      </c>
      <c r="J209" s="14">
        <f>Cereal[[#This Row],[N° BOLSAS]]-Cereal[[#This Row],[N° SACOS]]*Cereal[[#This Row],[CAP. SACOS]]</f>
        <v>34</v>
      </c>
      <c r="K209" s="16">
        <v>46098</v>
      </c>
      <c r="L209" s="16">
        <v>46098</v>
      </c>
      <c r="M209" s="16">
        <v>46107</v>
      </c>
      <c r="N209" s="16" t="s">
        <v>92</v>
      </c>
    </row>
    <row r="210" spans="1:14" hidden="1" x14ac:dyDescent="0.25">
      <c r="A210" s="14" t="s">
        <v>90</v>
      </c>
      <c r="B210" s="14" t="s">
        <v>91</v>
      </c>
      <c r="C210" s="15" t="s">
        <v>26</v>
      </c>
      <c r="D210" s="16">
        <v>46293</v>
      </c>
      <c r="E210" s="17">
        <v>8951</v>
      </c>
      <c r="F210" s="18">
        <v>1</v>
      </c>
      <c r="G210" s="19">
        <f>Cereal[[#This Row],[N° BOLSAS]]*Cereal[[#This Row],[KG BOLSA]]</f>
        <v>8951</v>
      </c>
      <c r="H210" s="37">
        <v>40</v>
      </c>
      <c r="I210" s="14">
        <f>ROUNDDOWN(Cereal[[#This Row],[N° BOLSAS]]/Cereal[[#This Row],[CAP. SACOS]],0)</f>
        <v>223</v>
      </c>
      <c r="J210" s="14">
        <f>Cereal[[#This Row],[N° BOLSAS]]-Cereal[[#This Row],[N° SACOS]]*Cereal[[#This Row],[CAP. SACOS]]</f>
        <v>31</v>
      </c>
      <c r="K210" s="16">
        <v>46292</v>
      </c>
      <c r="L210" s="16">
        <v>46292</v>
      </c>
      <c r="M210" s="16">
        <v>46292</v>
      </c>
      <c r="N210" s="16" t="s">
        <v>92</v>
      </c>
    </row>
    <row r="211" spans="1:14" hidden="1" x14ac:dyDescent="0.25">
      <c r="A211" s="14" t="s">
        <v>14</v>
      </c>
      <c r="B211" s="14" t="s">
        <v>96</v>
      </c>
      <c r="C211" s="15" t="s">
        <v>24</v>
      </c>
      <c r="D211" s="16">
        <v>46230</v>
      </c>
      <c r="E211" s="17">
        <v>8951.25</v>
      </c>
      <c r="F211" s="18">
        <v>1</v>
      </c>
      <c r="G211" s="19">
        <f>Cereal[[#This Row],[N° BOLSAS]]*Cereal[[#This Row],[KG BOLSA]]</f>
        <v>8951.25</v>
      </c>
      <c r="H211" s="37">
        <v>40</v>
      </c>
      <c r="I211" s="14">
        <f>ROUNDDOWN(Cereal[[#This Row],[N° BOLSAS]]/Cereal[[#This Row],[CAP. SACOS]],0)</f>
        <v>223</v>
      </c>
      <c r="J211" s="14">
        <f>Cereal[[#This Row],[N° BOLSAS]]-Cereal[[#This Row],[N° SACOS]]*Cereal[[#This Row],[CAP. SACOS]]</f>
        <v>31.25</v>
      </c>
      <c r="K211" s="16">
        <v>46229</v>
      </c>
      <c r="L211" s="16">
        <v>46229</v>
      </c>
      <c r="M211" s="16">
        <v>46229</v>
      </c>
      <c r="N211" s="16" t="s">
        <v>97</v>
      </c>
    </row>
    <row r="212" spans="1:14" hidden="1" x14ac:dyDescent="0.25">
      <c r="A212" s="14" t="s">
        <v>14</v>
      </c>
      <c r="B212" s="14" t="s">
        <v>96</v>
      </c>
      <c r="C212" s="15" t="s">
        <v>25</v>
      </c>
      <c r="D212" s="16">
        <v>46261</v>
      </c>
      <c r="E212" s="17">
        <v>8662.5</v>
      </c>
      <c r="F212" s="18">
        <v>1</v>
      </c>
      <c r="G212" s="19">
        <f>Cereal[[#This Row],[N° BOLSAS]]*Cereal[[#This Row],[KG BOLSA]]</f>
        <v>8662.5</v>
      </c>
      <c r="H212" s="37">
        <v>40</v>
      </c>
      <c r="I212" s="14">
        <f>ROUNDDOWN(Cereal[[#This Row],[N° BOLSAS]]/Cereal[[#This Row],[CAP. SACOS]],0)</f>
        <v>216</v>
      </c>
      <c r="J212" s="14">
        <f>Cereal[[#This Row],[N° BOLSAS]]-Cereal[[#This Row],[N° SACOS]]*Cereal[[#This Row],[CAP. SACOS]]</f>
        <v>22.5</v>
      </c>
      <c r="K212" s="16">
        <v>46260</v>
      </c>
      <c r="L212" s="16">
        <v>46260</v>
      </c>
      <c r="M212" s="16">
        <v>46260</v>
      </c>
      <c r="N212" s="16" t="s">
        <v>97</v>
      </c>
    </row>
    <row r="213" spans="1:14" hidden="1" x14ac:dyDescent="0.25">
      <c r="A213" s="14" t="s">
        <v>14</v>
      </c>
      <c r="B213" s="14" t="s">
        <v>96</v>
      </c>
      <c r="C213" s="15" t="s">
        <v>26</v>
      </c>
      <c r="D213" s="16">
        <v>46293</v>
      </c>
      <c r="E213" s="17">
        <v>8951.25</v>
      </c>
      <c r="F213" s="18">
        <v>1</v>
      </c>
      <c r="G213" s="19">
        <f>Cereal[[#This Row],[N° BOLSAS]]*Cereal[[#This Row],[KG BOLSA]]</f>
        <v>8951.25</v>
      </c>
      <c r="H213" s="37">
        <v>40</v>
      </c>
      <c r="I213" s="14">
        <f>ROUNDDOWN(Cereal[[#This Row],[N° BOLSAS]]/Cereal[[#This Row],[CAP. SACOS]],0)</f>
        <v>223</v>
      </c>
      <c r="J213" s="14">
        <f>Cereal[[#This Row],[N° BOLSAS]]-Cereal[[#This Row],[N° SACOS]]*Cereal[[#This Row],[CAP. SACOS]]</f>
        <v>31.25</v>
      </c>
      <c r="K213" s="16"/>
      <c r="L213" s="16"/>
      <c r="M213" s="16"/>
      <c r="N213" s="16" t="s">
        <v>97</v>
      </c>
    </row>
    <row r="214" spans="1:14" hidden="1" x14ac:dyDescent="0.25">
      <c r="A214" s="14" t="s">
        <v>14</v>
      </c>
      <c r="B214" s="14" t="s">
        <v>96</v>
      </c>
      <c r="C214" s="15" t="s">
        <v>27</v>
      </c>
      <c r="D214" s="16">
        <v>46323</v>
      </c>
      <c r="E214" s="17">
        <v>8662.5</v>
      </c>
      <c r="F214" s="18">
        <v>1</v>
      </c>
      <c r="G214" s="19">
        <f>Cereal[[#This Row],[N° BOLSAS]]*Cereal[[#This Row],[KG BOLSA]]</f>
        <v>8662.5</v>
      </c>
      <c r="H214" s="37">
        <v>40</v>
      </c>
      <c r="I214" s="14">
        <f>ROUNDDOWN(Cereal[[#This Row],[N° BOLSAS]]/Cereal[[#This Row],[CAP. SACOS]],0)</f>
        <v>216</v>
      </c>
      <c r="J214" s="14">
        <f>Cereal[[#This Row],[N° BOLSAS]]-Cereal[[#This Row],[N° SACOS]]*Cereal[[#This Row],[CAP. SACOS]]</f>
        <v>22.5</v>
      </c>
      <c r="K214" s="16"/>
      <c r="L214" s="16"/>
      <c r="M214" s="16"/>
      <c r="N214" s="16" t="s">
        <v>97</v>
      </c>
    </row>
    <row r="215" spans="1:14" hidden="1" x14ac:dyDescent="0.25">
      <c r="A215" s="14" t="s">
        <v>14</v>
      </c>
      <c r="B215" s="14" t="s">
        <v>96</v>
      </c>
      <c r="C215" s="15" t="s">
        <v>28</v>
      </c>
      <c r="D215" s="16">
        <v>46352</v>
      </c>
      <c r="E215" s="17">
        <v>8951.25</v>
      </c>
      <c r="F215" s="18">
        <v>1</v>
      </c>
      <c r="G215" s="19">
        <f>Cereal[[#This Row],[N° BOLSAS]]*Cereal[[#This Row],[KG BOLSA]]</f>
        <v>8951.25</v>
      </c>
      <c r="H215" s="37">
        <v>40</v>
      </c>
      <c r="I215" s="14">
        <f>ROUNDDOWN(Cereal[[#This Row],[N° BOLSAS]]/Cereal[[#This Row],[CAP. SACOS]],0)</f>
        <v>223</v>
      </c>
      <c r="J215" s="14">
        <f>Cereal[[#This Row],[N° BOLSAS]]-Cereal[[#This Row],[N° SACOS]]*Cereal[[#This Row],[CAP. SACOS]]</f>
        <v>31.25</v>
      </c>
      <c r="K215" s="16"/>
      <c r="L215" s="16"/>
      <c r="M215" s="16"/>
      <c r="N215" s="16" t="s">
        <v>97</v>
      </c>
    </row>
    <row r="216" spans="1:14" hidden="1" x14ac:dyDescent="0.25">
      <c r="A216" s="14" t="s">
        <v>14</v>
      </c>
      <c r="B216" s="14" t="s">
        <v>96</v>
      </c>
      <c r="C216" s="88">
        <v>46388</v>
      </c>
      <c r="D216" s="16">
        <v>46371</v>
      </c>
      <c r="E216" s="17">
        <v>8951.25</v>
      </c>
      <c r="F216" s="18">
        <v>1</v>
      </c>
      <c r="G216" s="19">
        <f>Cereal[[#This Row],[N° BOLSAS]]*Cereal[[#This Row],[KG BOLSA]]</f>
        <v>8951.25</v>
      </c>
      <c r="H216" s="37">
        <v>40</v>
      </c>
      <c r="I216" s="14">
        <f>ROUNDDOWN(Cereal[[#This Row],[N° BOLSAS]]/Cereal[[#This Row],[CAP. SACOS]],0)</f>
        <v>223</v>
      </c>
      <c r="J216" s="14">
        <f>Cereal[[#This Row],[N° BOLSAS]]-Cereal[[#This Row],[N° SACOS]]*Cereal[[#This Row],[CAP. SACOS]]</f>
        <v>31.25</v>
      </c>
      <c r="K216" s="16"/>
      <c r="L216" s="16"/>
      <c r="M216" s="16"/>
      <c r="N216" s="16" t="s">
        <v>97</v>
      </c>
    </row>
    <row r="217" spans="1:14" hidden="1" x14ac:dyDescent="0.25">
      <c r="A217" s="14" t="s">
        <v>14</v>
      </c>
      <c r="B217" s="14" t="s">
        <v>96</v>
      </c>
      <c r="C217" s="88">
        <v>46419</v>
      </c>
      <c r="D217" s="16">
        <v>46377</v>
      </c>
      <c r="E217" s="17">
        <v>8085</v>
      </c>
      <c r="F217" s="18">
        <v>1</v>
      </c>
      <c r="G217" s="19">
        <f>Cereal[[#This Row],[N° BOLSAS]]*Cereal[[#This Row],[KG BOLSA]]</f>
        <v>8085</v>
      </c>
      <c r="H217" s="37">
        <v>40</v>
      </c>
      <c r="I217" s="14">
        <f>ROUNDDOWN(Cereal[[#This Row],[N° BOLSAS]]/Cereal[[#This Row],[CAP. SACOS]],0)</f>
        <v>202</v>
      </c>
      <c r="J217" s="14">
        <f>Cereal[[#This Row],[N° BOLSAS]]-Cereal[[#This Row],[N° SACOS]]*Cereal[[#This Row],[CAP. SACOS]]</f>
        <v>5</v>
      </c>
      <c r="K217" s="16"/>
      <c r="L217" s="16"/>
      <c r="M217" s="16"/>
      <c r="N217" s="16" t="s">
        <v>97</v>
      </c>
    </row>
    <row r="218" spans="1:14" hidden="1" x14ac:dyDescent="0.25">
      <c r="A218" s="14" t="s">
        <v>14</v>
      </c>
      <c r="B218" s="14" t="s">
        <v>98</v>
      </c>
      <c r="C218" s="15" t="s">
        <v>16</v>
      </c>
      <c r="D218" s="16">
        <v>46053</v>
      </c>
      <c r="E218" s="17">
        <v>860</v>
      </c>
      <c r="F218" s="18">
        <v>0.93371999999999999</v>
      </c>
      <c r="G218" s="19">
        <f>Cereal[[#This Row],[N° BOLSAS]]*Cereal[[#This Row],[KG BOLSA]]</f>
        <v>802.99919999999997</v>
      </c>
      <c r="H218" s="37">
        <v>45</v>
      </c>
      <c r="I218" s="14">
        <f>ROUNDDOWN(Cereal[[#This Row],[N° BOLSAS]]/Cereal[[#This Row],[CAP. SACOS]],0)</f>
        <v>19</v>
      </c>
      <c r="J218" s="14">
        <f>Cereal[[#This Row],[N° BOLSAS]]-Cereal[[#This Row],[N° SACOS]]*Cereal[[#This Row],[CAP. SACOS]]</f>
        <v>5</v>
      </c>
      <c r="K218" s="16">
        <v>46034</v>
      </c>
      <c r="L218" s="16">
        <v>46034</v>
      </c>
      <c r="M218" s="16">
        <v>46036</v>
      </c>
      <c r="N218" s="16" t="s">
        <v>99</v>
      </c>
    </row>
    <row r="219" spans="1:14" hidden="1" x14ac:dyDescent="0.25">
      <c r="A219" s="14" t="s">
        <v>14</v>
      </c>
      <c r="B219" s="14" t="s">
        <v>98</v>
      </c>
      <c r="C219" s="15" t="s">
        <v>18</v>
      </c>
      <c r="D219" s="16">
        <v>46053</v>
      </c>
      <c r="E219" s="17">
        <v>860</v>
      </c>
      <c r="F219" s="18">
        <v>0.84336</v>
      </c>
      <c r="G219" s="19">
        <f>Cereal[[#This Row],[N° BOLSAS]]*Cereal[[#This Row],[KG BOLSA]]</f>
        <v>725.28959999999995</v>
      </c>
      <c r="H219" s="37">
        <v>45</v>
      </c>
      <c r="I219" s="14">
        <f>ROUNDDOWN(Cereal[[#This Row],[N° BOLSAS]]/Cereal[[#This Row],[CAP. SACOS]],0)</f>
        <v>19</v>
      </c>
      <c r="J219" s="14">
        <f>Cereal[[#This Row],[N° BOLSAS]]-Cereal[[#This Row],[N° SACOS]]*Cereal[[#This Row],[CAP. SACOS]]</f>
        <v>5</v>
      </c>
      <c r="K219" s="16">
        <v>46034</v>
      </c>
      <c r="L219" s="16">
        <v>46034</v>
      </c>
      <c r="M219" s="16">
        <v>46036</v>
      </c>
      <c r="N219" s="16" t="s">
        <v>99</v>
      </c>
    </row>
    <row r="220" spans="1:14" hidden="1" x14ac:dyDescent="0.25">
      <c r="A220" s="14" t="s">
        <v>14</v>
      </c>
      <c r="B220" s="14" t="s">
        <v>98</v>
      </c>
      <c r="C220" s="15" t="s">
        <v>19</v>
      </c>
      <c r="D220" s="16">
        <v>46053</v>
      </c>
      <c r="E220" s="17">
        <v>860</v>
      </c>
      <c r="F220" s="18">
        <v>0.93371999999999999</v>
      </c>
      <c r="G220" s="19">
        <f>Cereal[[#This Row],[N° BOLSAS]]*Cereal[[#This Row],[KG BOLSA]]</f>
        <v>802.99919999999997</v>
      </c>
      <c r="H220" s="37">
        <v>45</v>
      </c>
      <c r="I220" s="14">
        <f>ROUNDDOWN(Cereal[[#This Row],[N° BOLSAS]]/Cereal[[#This Row],[CAP. SACOS]],0)</f>
        <v>19</v>
      </c>
      <c r="J220" s="14">
        <f>Cereal[[#This Row],[N° BOLSAS]]-Cereal[[#This Row],[N° SACOS]]*Cereal[[#This Row],[CAP. SACOS]]</f>
        <v>5</v>
      </c>
      <c r="K220" s="16">
        <v>46034</v>
      </c>
      <c r="L220" s="16">
        <v>46034</v>
      </c>
      <c r="M220" s="16">
        <v>46036</v>
      </c>
      <c r="N220" s="16" t="s">
        <v>99</v>
      </c>
    </row>
    <row r="221" spans="1:14" hidden="1" x14ac:dyDescent="0.25">
      <c r="A221" s="14" t="s">
        <v>14</v>
      </c>
      <c r="B221" s="14" t="s">
        <v>98</v>
      </c>
      <c r="C221" s="15" t="s">
        <v>20</v>
      </c>
      <c r="D221" s="16">
        <v>46111</v>
      </c>
      <c r="E221" s="17">
        <v>860</v>
      </c>
      <c r="F221" s="18">
        <v>0.90359999999999996</v>
      </c>
      <c r="G221" s="19">
        <f>Cereal[[#This Row],[N° BOLSAS]]*Cereal[[#This Row],[KG BOLSA]]</f>
        <v>777.096</v>
      </c>
      <c r="H221" s="37">
        <v>45</v>
      </c>
      <c r="I221" s="14">
        <f>ROUNDDOWN(Cereal[[#This Row],[N° BOLSAS]]/Cereal[[#This Row],[CAP. SACOS]],0)</f>
        <v>19</v>
      </c>
      <c r="J221" s="14">
        <f>Cereal[[#This Row],[N° BOLSAS]]-Cereal[[#This Row],[N° SACOS]]*Cereal[[#This Row],[CAP. SACOS]]</f>
        <v>5</v>
      </c>
      <c r="K221" s="16">
        <v>46106</v>
      </c>
      <c r="L221" s="16">
        <v>46106</v>
      </c>
      <c r="M221" s="16">
        <v>46106</v>
      </c>
      <c r="N221" s="16" t="s">
        <v>99</v>
      </c>
    </row>
    <row r="222" spans="1:14" hidden="1" x14ac:dyDescent="0.25">
      <c r="A222" s="14" t="s">
        <v>14</v>
      </c>
      <c r="B222" s="14" t="s">
        <v>98</v>
      </c>
      <c r="C222" s="15" t="s">
        <v>21</v>
      </c>
      <c r="D222" s="16">
        <v>46111</v>
      </c>
      <c r="E222" s="17">
        <v>860</v>
      </c>
      <c r="F222" s="18">
        <v>0.93371999999999999</v>
      </c>
      <c r="G222" s="19">
        <f>Cereal[[#This Row],[N° BOLSAS]]*Cereal[[#This Row],[KG BOLSA]]</f>
        <v>802.99919999999997</v>
      </c>
      <c r="H222" s="37">
        <v>45</v>
      </c>
      <c r="I222" s="14">
        <f>ROUNDDOWN(Cereal[[#This Row],[N° BOLSAS]]/Cereal[[#This Row],[CAP. SACOS]],0)</f>
        <v>19</v>
      </c>
      <c r="J222" s="14">
        <f>Cereal[[#This Row],[N° BOLSAS]]-Cereal[[#This Row],[N° SACOS]]*Cereal[[#This Row],[CAP. SACOS]]</f>
        <v>5</v>
      </c>
      <c r="K222" s="16">
        <v>46106</v>
      </c>
      <c r="L222" s="16">
        <v>46106</v>
      </c>
      <c r="M222" s="16">
        <v>46106</v>
      </c>
      <c r="N222" s="16" t="s">
        <v>99</v>
      </c>
    </row>
    <row r="223" spans="1:14" hidden="1" x14ac:dyDescent="0.25">
      <c r="A223" s="14" t="s">
        <v>14</v>
      </c>
      <c r="B223" s="14" t="s">
        <v>98</v>
      </c>
      <c r="C223" s="15" t="s">
        <v>22</v>
      </c>
      <c r="D223" s="16">
        <v>46111</v>
      </c>
      <c r="E223" s="17">
        <v>860</v>
      </c>
      <c r="F223" s="18">
        <v>0.90359999999999996</v>
      </c>
      <c r="G223" s="19">
        <f>Cereal[[#This Row],[N° BOLSAS]]*Cereal[[#This Row],[KG BOLSA]]</f>
        <v>777.096</v>
      </c>
      <c r="H223" s="37">
        <v>45</v>
      </c>
      <c r="I223" s="14">
        <f>ROUNDDOWN(Cereal[[#This Row],[N° BOLSAS]]/Cereal[[#This Row],[CAP. SACOS]],0)</f>
        <v>19</v>
      </c>
      <c r="J223" s="14">
        <f>Cereal[[#This Row],[N° BOLSAS]]-Cereal[[#This Row],[N° SACOS]]*Cereal[[#This Row],[CAP. SACOS]]</f>
        <v>5</v>
      </c>
      <c r="K223" s="16">
        <v>46106</v>
      </c>
      <c r="L223" s="16">
        <v>46106</v>
      </c>
      <c r="M223" s="16">
        <v>46106</v>
      </c>
      <c r="N223" s="16" t="s">
        <v>99</v>
      </c>
    </row>
    <row r="224" spans="1:14" hidden="1" x14ac:dyDescent="0.25">
      <c r="A224" s="14" t="s">
        <v>14</v>
      </c>
      <c r="B224" s="14" t="s">
        <v>98</v>
      </c>
      <c r="C224" s="15" t="s">
        <v>23</v>
      </c>
      <c r="D224" s="16">
        <v>46203</v>
      </c>
      <c r="E224" s="17">
        <v>860</v>
      </c>
      <c r="F224" s="18">
        <v>0.93371999999999999</v>
      </c>
      <c r="G224" s="19">
        <f>Cereal[[#This Row],[N° BOLSAS]]*Cereal[[#This Row],[KG BOLSA]]</f>
        <v>802.99919999999997</v>
      </c>
      <c r="H224" s="37">
        <v>45</v>
      </c>
      <c r="I224" s="14">
        <f>ROUNDDOWN(Cereal[[#This Row],[N° BOLSAS]]/Cereal[[#This Row],[CAP. SACOS]],0)</f>
        <v>19</v>
      </c>
      <c r="J224" s="14">
        <f>Cereal[[#This Row],[N° BOLSAS]]-Cereal[[#This Row],[N° SACOS]]*Cereal[[#This Row],[CAP. SACOS]]</f>
        <v>5</v>
      </c>
      <c r="K224" s="16">
        <v>46194</v>
      </c>
      <c r="L224" s="16">
        <v>46194</v>
      </c>
      <c r="M224" s="16">
        <v>46195</v>
      </c>
      <c r="N224" s="16" t="s">
        <v>99</v>
      </c>
    </row>
    <row r="225" spans="1:14" hidden="1" x14ac:dyDescent="0.25">
      <c r="A225" s="14" t="s">
        <v>14</v>
      </c>
      <c r="B225" s="14" t="s">
        <v>98</v>
      </c>
      <c r="C225" s="15" t="s">
        <v>24</v>
      </c>
      <c r="D225" s="16">
        <v>46203</v>
      </c>
      <c r="E225" s="17">
        <v>860</v>
      </c>
      <c r="F225" s="18">
        <v>0.93371999999999999</v>
      </c>
      <c r="G225" s="19">
        <f>Cereal[[#This Row],[N° BOLSAS]]*Cereal[[#This Row],[KG BOLSA]]</f>
        <v>802.99919999999997</v>
      </c>
      <c r="H225" s="37">
        <v>45</v>
      </c>
      <c r="I225" s="14">
        <f>ROUNDDOWN(Cereal[[#This Row],[N° BOLSAS]]/Cereal[[#This Row],[CAP. SACOS]],0)</f>
        <v>19</v>
      </c>
      <c r="J225" s="14">
        <f>Cereal[[#This Row],[N° BOLSAS]]-Cereal[[#This Row],[N° SACOS]]*Cereal[[#This Row],[CAP. SACOS]]</f>
        <v>5</v>
      </c>
      <c r="K225" s="16">
        <v>46194</v>
      </c>
      <c r="L225" s="16">
        <v>46194</v>
      </c>
      <c r="M225" s="16">
        <v>46195</v>
      </c>
      <c r="N225" s="16" t="s">
        <v>99</v>
      </c>
    </row>
    <row r="226" spans="1:14" hidden="1" x14ac:dyDescent="0.25">
      <c r="A226" s="14" t="s">
        <v>14</v>
      </c>
      <c r="B226" s="14" t="s">
        <v>98</v>
      </c>
      <c r="C226" s="15" t="s">
        <v>25</v>
      </c>
      <c r="D226" s="16">
        <v>46203</v>
      </c>
      <c r="E226" s="17">
        <v>860</v>
      </c>
      <c r="F226" s="18">
        <v>0.90359999999999996</v>
      </c>
      <c r="G226" s="19">
        <f>Cereal[[#This Row],[N° BOLSAS]]*Cereal[[#This Row],[KG BOLSA]]</f>
        <v>777.096</v>
      </c>
      <c r="H226" s="37">
        <v>45</v>
      </c>
      <c r="I226" s="14">
        <f>ROUNDDOWN(Cereal[[#This Row],[N° BOLSAS]]/Cereal[[#This Row],[CAP. SACOS]],0)</f>
        <v>19</v>
      </c>
      <c r="J226" s="14">
        <f>Cereal[[#This Row],[N° BOLSAS]]-Cereal[[#This Row],[N° SACOS]]*Cereal[[#This Row],[CAP. SACOS]]</f>
        <v>5</v>
      </c>
      <c r="K226" s="16">
        <v>46194</v>
      </c>
      <c r="L226" s="16">
        <v>46194</v>
      </c>
      <c r="M226" s="16">
        <v>46195</v>
      </c>
      <c r="N226" s="16" t="s">
        <v>99</v>
      </c>
    </row>
    <row r="227" spans="1:14" hidden="1" x14ac:dyDescent="0.25">
      <c r="A227" s="14" t="s">
        <v>14</v>
      </c>
      <c r="B227" s="14" t="s">
        <v>98</v>
      </c>
      <c r="C227" s="15" t="s">
        <v>30</v>
      </c>
      <c r="D227" s="16">
        <v>46289</v>
      </c>
      <c r="E227" s="17">
        <v>860</v>
      </c>
      <c r="F227" s="18">
        <v>0.68615999999999999</v>
      </c>
      <c r="G227" s="19">
        <f>Cereal[[#This Row],[N° BOLSAS]]*Cereal[[#This Row],[KG BOLSA]]</f>
        <v>590.09759999999994</v>
      </c>
      <c r="H227" s="37">
        <v>60</v>
      </c>
      <c r="I227" s="14">
        <f>ROUNDDOWN(Cereal[[#This Row],[N° BOLSAS]]/Cereal[[#This Row],[CAP. SACOS]],0)</f>
        <v>14</v>
      </c>
      <c r="J227" s="14">
        <f>Cereal[[#This Row],[N° BOLSAS]]-Cereal[[#This Row],[N° SACOS]]*Cereal[[#This Row],[CAP. SACOS]]</f>
        <v>20</v>
      </c>
      <c r="K227" s="16">
        <v>46288</v>
      </c>
      <c r="L227" s="16">
        <v>46288</v>
      </c>
      <c r="M227" s="16">
        <v>46288</v>
      </c>
      <c r="N227" s="16" t="s">
        <v>99</v>
      </c>
    </row>
    <row r="228" spans="1:14" hidden="1" x14ac:dyDescent="0.25">
      <c r="A228" s="14" t="s">
        <v>14</v>
      </c>
      <c r="B228" s="14" t="s">
        <v>98</v>
      </c>
      <c r="C228" s="15" t="s">
        <v>26</v>
      </c>
      <c r="D228" s="16">
        <v>46295</v>
      </c>
      <c r="E228" s="17">
        <v>860</v>
      </c>
      <c r="F228" s="18">
        <v>0.93371999999999999</v>
      </c>
      <c r="G228" s="19">
        <f>Cereal[[#This Row],[N° BOLSAS]]*Cereal[[#This Row],[KG BOLSA]]</f>
        <v>802.99919999999997</v>
      </c>
      <c r="H228" s="37">
        <v>45</v>
      </c>
      <c r="I228" s="14">
        <f>ROUNDDOWN(Cereal[[#This Row],[N° BOLSAS]]/Cereal[[#This Row],[CAP. SACOS]],0)</f>
        <v>19</v>
      </c>
      <c r="J228" s="14">
        <f>Cereal[[#This Row],[N° BOLSAS]]-Cereal[[#This Row],[N° SACOS]]*Cereal[[#This Row],[CAP. SACOS]]</f>
        <v>5</v>
      </c>
      <c r="K228" s="16">
        <v>46288</v>
      </c>
      <c r="L228" s="16">
        <v>46288</v>
      </c>
      <c r="M228" s="16">
        <v>46288</v>
      </c>
      <c r="N228" s="16" t="s">
        <v>99</v>
      </c>
    </row>
    <row r="229" spans="1:14" hidden="1" x14ac:dyDescent="0.25">
      <c r="A229" s="14" t="s">
        <v>14</v>
      </c>
      <c r="B229" s="14" t="s">
        <v>98</v>
      </c>
      <c r="C229" s="15" t="s">
        <v>27</v>
      </c>
      <c r="D229" s="16">
        <v>46295</v>
      </c>
      <c r="E229" s="17">
        <v>860</v>
      </c>
      <c r="F229" s="18">
        <v>0.90359999999999996</v>
      </c>
      <c r="G229" s="19">
        <f>Cereal[[#This Row],[N° BOLSAS]]*Cereal[[#This Row],[KG BOLSA]]</f>
        <v>777.096</v>
      </c>
      <c r="H229" s="37">
        <v>45</v>
      </c>
      <c r="I229" s="14">
        <f>ROUNDDOWN(Cereal[[#This Row],[N° BOLSAS]]/Cereal[[#This Row],[CAP. SACOS]],0)</f>
        <v>19</v>
      </c>
      <c r="J229" s="14">
        <f>Cereal[[#This Row],[N° BOLSAS]]-Cereal[[#This Row],[N° SACOS]]*Cereal[[#This Row],[CAP. SACOS]]</f>
        <v>5</v>
      </c>
      <c r="K229" s="16">
        <v>46288</v>
      </c>
      <c r="L229" s="16">
        <v>46288</v>
      </c>
      <c r="M229" s="16">
        <v>46288</v>
      </c>
      <c r="N229" s="16" t="s">
        <v>99</v>
      </c>
    </row>
    <row r="230" spans="1:14" hidden="1" x14ac:dyDescent="0.25">
      <c r="A230" s="14" t="s">
        <v>14</v>
      </c>
      <c r="B230" s="14" t="s">
        <v>98</v>
      </c>
      <c r="C230" s="15" t="s">
        <v>28</v>
      </c>
      <c r="D230" s="16">
        <v>46295</v>
      </c>
      <c r="E230" s="17">
        <v>860</v>
      </c>
      <c r="F230" s="18">
        <v>0.93371999999999999</v>
      </c>
      <c r="G230" s="19">
        <f>Cereal[[#This Row],[N° BOLSAS]]*Cereal[[#This Row],[KG BOLSA]]</f>
        <v>802.99919999999997</v>
      </c>
      <c r="H230" s="37">
        <v>45</v>
      </c>
      <c r="I230" s="14">
        <f>ROUNDDOWN(Cereal[[#This Row],[N° BOLSAS]]/Cereal[[#This Row],[CAP. SACOS]],0)</f>
        <v>19</v>
      </c>
      <c r="J230" s="14">
        <f>Cereal[[#This Row],[N° BOLSAS]]-Cereal[[#This Row],[N° SACOS]]*Cereal[[#This Row],[CAP. SACOS]]</f>
        <v>5</v>
      </c>
      <c r="K230" s="16">
        <v>46288</v>
      </c>
      <c r="L230" s="16">
        <v>46288</v>
      </c>
      <c r="M230" s="16">
        <v>46288</v>
      </c>
      <c r="N230" s="16" t="s">
        <v>99</v>
      </c>
    </row>
    <row r="231" spans="1:14" hidden="1" x14ac:dyDescent="0.25">
      <c r="A231" s="14" t="s">
        <v>100</v>
      </c>
      <c r="B231" s="14" t="s">
        <v>101</v>
      </c>
      <c r="C231" s="15" t="s">
        <v>30</v>
      </c>
      <c r="D231" s="16">
        <v>46120</v>
      </c>
      <c r="E231" s="17">
        <v>476</v>
      </c>
      <c r="F231" s="18">
        <v>1</v>
      </c>
      <c r="G231" s="19">
        <f>Cereal[[#This Row],[N° BOLSAS]]*Cereal[[#This Row],[KG BOLSA]]</f>
        <v>476</v>
      </c>
      <c r="H231" s="37">
        <v>40</v>
      </c>
      <c r="I231" s="14">
        <f>ROUNDDOWN(Cereal[[#This Row],[N° BOLSAS]]/Cereal[[#This Row],[CAP. SACOS]],0)</f>
        <v>11</v>
      </c>
      <c r="J231" s="14">
        <f>Cereal[[#This Row],[N° BOLSAS]]-Cereal[[#This Row],[N° SACOS]]*Cereal[[#This Row],[CAP. SACOS]]</f>
        <v>36</v>
      </c>
      <c r="K231" s="16">
        <v>46119</v>
      </c>
      <c r="L231" s="16">
        <v>46119</v>
      </c>
      <c r="M231" s="16">
        <v>46120</v>
      </c>
      <c r="N231" s="16" t="s">
        <v>102</v>
      </c>
    </row>
    <row r="232" spans="1:14" hidden="1" x14ac:dyDescent="0.25">
      <c r="A232" s="14" t="s">
        <v>100</v>
      </c>
      <c r="B232" s="14" t="s">
        <v>101</v>
      </c>
      <c r="C232" s="15" t="s">
        <v>30</v>
      </c>
      <c r="D232" s="16">
        <v>46274</v>
      </c>
      <c r="E232" s="17">
        <v>485</v>
      </c>
      <c r="F232" s="18">
        <v>1</v>
      </c>
      <c r="G232" s="19">
        <f>Cereal[[#This Row],[N° BOLSAS]]*Cereal[[#This Row],[KG BOLSA]]</f>
        <v>485</v>
      </c>
      <c r="H232" s="37">
        <v>40</v>
      </c>
      <c r="I232" s="14">
        <f>ROUNDDOWN(Cereal[[#This Row],[N° BOLSAS]]/Cereal[[#This Row],[CAP. SACOS]],0)</f>
        <v>12</v>
      </c>
      <c r="J232" s="14">
        <f>Cereal[[#This Row],[N° BOLSAS]]-Cereal[[#This Row],[N° SACOS]]*Cereal[[#This Row],[CAP. SACOS]]</f>
        <v>5</v>
      </c>
      <c r="K232" s="16"/>
      <c r="L232" s="16"/>
      <c r="M232" s="16"/>
      <c r="N232" s="16" t="s">
        <v>102</v>
      </c>
    </row>
    <row r="233" spans="1:14" ht="22.5" hidden="1" x14ac:dyDescent="0.25">
      <c r="A233" s="14" t="s">
        <v>14</v>
      </c>
      <c r="B233" s="14" t="s">
        <v>103</v>
      </c>
      <c r="C233" s="15" t="s">
        <v>35</v>
      </c>
      <c r="D233" s="16">
        <v>46112</v>
      </c>
      <c r="E233" s="17">
        <v>1049</v>
      </c>
      <c r="F233" s="18">
        <v>1.29</v>
      </c>
      <c r="G233" s="19">
        <f>Cereal[[#This Row],[N° BOLSAS]]*Cereal[[#This Row],[KG BOLSA]]</f>
        <v>1353.21</v>
      </c>
      <c r="H233" s="37">
        <v>35</v>
      </c>
      <c r="I233" s="14">
        <f>ROUNDDOWN(Cereal[[#This Row],[N° BOLSAS]]/Cereal[[#This Row],[CAP. SACOS]],0)</f>
        <v>29</v>
      </c>
      <c r="J233" s="14">
        <f>Cereal[[#This Row],[N° BOLSAS]]-Cereal[[#This Row],[N° SACOS]]*Cereal[[#This Row],[CAP. SACOS]]</f>
        <v>34</v>
      </c>
      <c r="K233" s="16">
        <v>46124</v>
      </c>
      <c r="L233" s="16">
        <v>46124</v>
      </c>
      <c r="M233" s="16">
        <v>46140</v>
      </c>
      <c r="N233" s="16" t="s">
        <v>104</v>
      </c>
    </row>
    <row r="234" spans="1:14" hidden="1" x14ac:dyDescent="0.25">
      <c r="A234" s="14" t="s">
        <v>14</v>
      </c>
      <c r="B234" s="14" t="s">
        <v>103</v>
      </c>
      <c r="C234" s="15" t="s">
        <v>37</v>
      </c>
      <c r="D234" s="16">
        <v>46112</v>
      </c>
      <c r="E234" s="17">
        <v>1049</v>
      </c>
      <c r="F234" s="18">
        <v>1.29</v>
      </c>
      <c r="G234" s="19">
        <f>Cereal[[#This Row],[N° BOLSAS]]*Cereal[[#This Row],[KG BOLSA]]</f>
        <v>1353.21</v>
      </c>
      <c r="H234" s="37">
        <v>35</v>
      </c>
      <c r="I234" s="14">
        <f>ROUNDDOWN(Cereal[[#This Row],[N° BOLSAS]]/Cereal[[#This Row],[CAP. SACOS]],0)</f>
        <v>29</v>
      </c>
      <c r="J234" s="14">
        <f>Cereal[[#This Row],[N° BOLSAS]]-Cereal[[#This Row],[N° SACOS]]*Cereal[[#This Row],[CAP. SACOS]]</f>
        <v>34</v>
      </c>
      <c r="K234" s="16">
        <v>46124</v>
      </c>
      <c r="L234" s="16">
        <v>46124</v>
      </c>
      <c r="M234" s="16">
        <v>46140</v>
      </c>
      <c r="N234" s="16" t="s">
        <v>104</v>
      </c>
    </row>
    <row r="235" spans="1:14" ht="22.5" hidden="1" x14ac:dyDescent="0.25">
      <c r="A235" s="14" t="s">
        <v>14</v>
      </c>
      <c r="B235" s="14" t="s">
        <v>103</v>
      </c>
      <c r="C235" s="15" t="s">
        <v>38</v>
      </c>
      <c r="D235" s="16">
        <v>46203</v>
      </c>
      <c r="E235" s="17">
        <v>1049</v>
      </c>
      <c r="F235" s="18">
        <v>1.29</v>
      </c>
      <c r="G235" s="19">
        <f>Cereal[[#This Row],[N° BOLSAS]]*Cereal[[#This Row],[KG BOLSA]]</f>
        <v>1353.21</v>
      </c>
      <c r="H235" s="37">
        <v>35</v>
      </c>
      <c r="I235" s="14">
        <f>ROUNDDOWN(Cereal[[#This Row],[N° BOLSAS]]/Cereal[[#This Row],[CAP. SACOS]],0)</f>
        <v>29</v>
      </c>
      <c r="J235" s="14">
        <f>Cereal[[#This Row],[N° BOLSAS]]-Cereal[[#This Row],[N° SACOS]]*Cereal[[#This Row],[CAP. SACOS]]</f>
        <v>34</v>
      </c>
      <c r="K235" s="16">
        <v>46191</v>
      </c>
      <c r="L235" s="16">
        <v>46191</v>
      </c>
      <c r="M235" s="16">
        <v>46194</v>
      </c>
      <c r="N235" s="16" t="s">
        <v>104</v>
      </c>
    </row>
    <row r="236" spans="1:14" ht="33.75" hidden="1" x14ac:dyDescent="0.25">
      <c r="A236" s="14" t="s">
        <v>14</v>
      </c>
      <c r="B236" s="14" t="s">
        <v>103</v>
      </c>
      <c r="C236" s="15" t="s">
        <v>39</v>
      </c>
      <c r="D236" s="16">
        <v>46295</v>
      </c>
      <c r="E236" s="17">
        <v>1049</v>
      </c>
      <c r="F236" s="18">
        <v>1.29</v>
      </c>
      <c r="G236" s="19">
        <f>Cereal[[#This Row],[N° BOLSAS]]*Cereal[[#This Row],[KG BOLSA]]</f>
        <v>1353.21</v>
      </c>
      <c r="H236" s="37">
        <v>35</v>
      </c>
      <c r="I236" s="14">
        <f>ROUNDDOWN(Cereal[[#This Row],[N° BOLSAS]]/Cereal[[#This Row],[CAP. SACOS]],0)</f>
        <v>29</v>
      </c>
      <c r="J236" s="14">
        <f>Cereal[[#This Row],[N° BOLSAS]]-Cereal[[#This Row],[N° SACOS]]*Cereal[[#This Row],[CAP. SACOS]]</f>
        <v>34</v>
      </c>
      <c r="K236" s="16"/>
      <c r="L236" s="16"/>
      <c r="M236" s="16"/>
      <c r="N236" s="16" t="s">
        <v>104</v>
      </c>
    </row>
    <row r="237" spans="1:14" hidden="1" x14ac:dyDescent="0.25">
      <c r="A237" s="14" t="s">
        <v>14</v>
      </c>
      <c r="B237" s="14" t="s">
        <v>105</v>
      </c>
      <c r="C237" s="15" t="s">
        <v>16</v>
      </c>
      <c r="D237" s="16">
        <v>46037</v>
      </c>
      <c r="E237" s="17">
        <v>1010</v>
      </c>
      <c r="F237" s="18">
        <v>0.86799999999999999</v>
      </c>
      <c r="G237" s="19">
        <f>Cereal[[#This Row],[N° BOLSAS]]*Cereal[[#This Row],[KG BOLSA]]</f>
        <v>876.68</v>
      </c>
      <c r="H237" s="37">
        <v>50</v>
      </c>
      <c r="I237" s="14">
        <f>ROUNDDOWN(Cereal[[#This Row],[N° BOLSAS]]/Cereal[[#This Row],[CAP. SACOS]],0)</f>
        <v>20</v>
      </c>
      <c r="J237" s="14">
        <f>Cereal[[#This Row],[N° BOLSAS]]-Cereal[[#This Row],[N° SACOS]]*Cereal[[#This Row],[CAP. SACOS]]</f>
        <v>10</v>
      </c>
      <c r="K237" s="16">
        <v>46045</v>
      </c>
      <c r="L237" s="16">
        <v>46045</v>
      </c>
      <c r="M237" s="16">
        <v>46052</v>
      </c>
      <c r="N237" s="16" t="s">
        <v>106</v>
      </c>
    </row>
    <row r="238" spans="1:14" hidden="1" x14ac:dyDescent="0.25">
      <c r="A238" s="14" t="s">
        <v>14</v>
      </c>
      <c r="B238" s="14" t="s">
        <v>105</v>
      </c>
      <c r="C238" s="15" t="s">
        <v>18</v>
      </c>
      <c r="D238" s="16">
        <v>46045</v>
      </c>
      <c r="E238" s="17">
        <v>1010</v>
      </c>
      <c r="F238" s="18">
        <v>0.86799999999999999</v>
      </c>
      <c r="G238" s="19">
        <f>Cereal[[#This Row],[N° BOLSAS]]*Cereal[[#This Row],[KG BOLSA]]</f>
        <v>876.68</v>
      </c>
      <c r="H238" s="37">
        <v>50</v>
      </c>
      <c r="I238" s="14">
        <f>ROUNDDOWN(Cereal[[#This Row],[N° BOLSAS]]/Cereal[[#This Row],[CAP. SACOS]],0)</f>
        <v>20</v>
      </c>
      <c r="J238" s="14">
        <f>Cereal[[#This Row],[N° BOLSAS]]-Cereal[[#This Row],[N° SACOS]]*Cereal[[#This Row],[CAP. SACOS]]</f>
        <v>10</v>
      </c>
      <c r="K238" s="16">
        <v>46051</v>
      </c>
      <c r="L238" s="16">
        <v>46051</v>
      </c>
      <c r="M238" s="16">
        <v>46052</v>
      </c>
      <c r="N238" s="16" t="s">
        <v>106</v>
      </c>
    </row>
    <row r="239" spans="1:14" hidden="1" x14ac:dyDescent="0.25">
      <c r="A239" s="14" t="s">
        <v>14</v>
      </c>
      <c r="B239" s="14" t="s">
        <v>105</v>
      </c>
      <c r="C239" s="15" t="s">
        <v>19</v>
      </c>
      <c r="D239" s="16">
        <v>46073</v>
      </c>
      <c r="E239" s="17">
        <v>1010</v>
      </c>
      <c r="F239" s="18">
        <v>0.86799999999999999</v>
      </c>
      <c r="G239" s="19">
        <f>Cereal[[#This Row],[N° BOLSAS]]*Cereal[[#This Row],[KG BOLSA]]</f>
        <v>876.68</v>
      </c>
      <c r="H239" s="37">
        <v>50</v>
      </c>
      <c r="I239" s="14">
        <f>ROUNDDOWN(Cereal[[#This Row],[N° BOLSAS]]/Cereal[[#This Row],[CAP. SACOS]],0)</f>
        <v>20</v>
      </c>
      <c r="J239" s="14">
        <f>Cereal[[#This Row],[N° BOLSAS]]-Cereal[[#This Row],[N° SACOS]]*Cereal[[#This Row],[CAP. SACOS]]</f>
        <v>10</v>
      </c>
      <c r="K239" s="16">
        <v>46084</v>
      </c>
      <c r="L239" s="16">
        <v>46084</v>
      </c>
      <c r="M239" s="16">
        <v>46084</v>
      </c>
      <c r="N239" s="16" t="s">
        <v>106</v>
      </c>
    </row>
    <row r="240" spans="1:14" hidden="1" x14ac:dyDescent="0.25">
      <c r="A240" s="14" t="s">
        <v>14</v>
      </c>
      <c r="B240" s="14" t="s">
        <v>105</v>
      </c>
      <c r="C240" s="15" t="s">
        <v>20</v>
      </c>
      <c r="D240" s="16">
        <v>46101</v>
      </c>
      <c r="E240" s="17">
        <v>1010</v>
      </c>
      <c r="F240" s="18">
        <v>0.86799999999999999</v>
      </c>
      <c r="G240" s="19">
        <f>Cereal[[#This Row],[N° BOLSAS]]*Cereal[[#This Row],[KG BOLSA]]</f>
        <v>876.68</v>
      </c>
      <c r="H240" s="37">
        <v>50</v>
      </c>
      <c r="I240" s="14">
        <f>ROUNDDOWN(Cereal[[#This Row],[N° BOLSAS]]/Cereal[[#This Row],[CAP. SACOS]],0)</f>
        <v>20</v>
      </c>
      <c r="J240" s="14">
        <f>Cereal[[#This Row],[N° BOLSAS]]-Cereal[[#This Row],[N° SACOS]]*Cereal[[#This Row],[CAP. SACOS]]</f>
        <v>10</v>
      </c>
      <c r="K240" s="16">
        <v>46101</v>
      </c>
      <c r="L240" s="16">
        <v>46101</v>
      </c>
      <c r="M240" s="16">
        <v>46101</v>
      </c>
      <c r="N240" s="16" t="s">
        <v>106</v>
      </c>
    </row>
    <row r="241" spans="1:14" hidden="1" x14ac:dyDescent="0.25">
      <c r="A241" s="14" t="s">
        <v>14</v>
      </c>
      <c r="B241" s="14" t="s">
        <v>105</v>
      </c>
      <c r="C241" s="15" t="s">
        <v>21</v>
      </c>
      <c r="D241" s="16">
        <v>46136</v>
      </c>
      <c r="E241" s="17">
        <v>1010</v>
      </c>
      <c r="F241" s="18">
        <v>0.86799999999999999</v>
      </c>
      <c r="G241" s="19">
        <f>Cereal[[#This Row],[N° BOLSAS]]*Cereal[[#This Row],[KG BOLSA]]</f>
        <v>876.68</v>
      </c>
      <c r="H241" s="37">
        <v>50</v>
      </c>
      <c r="I241" s="14">
        <f>ROUNDDOWN(Cereal[[#This Row],[N° BOLSAS]]/Cereal[[#This Row],[CAP. SACOS]],0)</f>
        <v>20</v>
      </c>
      <c r="J241" s="14">
        <f>Cereal[[#This Row],[N° BOLSAS]]-Cereal[[#This Row],[N° SACOS]]*Cereal[[#This Row],[CAP. SACOS]]</f>
        <v>10</v>
      </c>
      <c r="K241" s="16">
        <v>46136</v>
      </c>
      <c r="L241" s="16">
        <v>46136</v>
      </c>
      <c r="M241" s="16">
        <v>46136</v>
      </c>
      <c r="N241" s="16" t="s">
        <v>106</v>
      </c>
    </row>
    <row r="242" spans="1:14" hidden="1" x14ac:dyDescent="0.25">
      <c r="A242" s="14" t="s">
        <v>14</v>
      </c>
      <c r="B242" s="14" t="s">
        <v>105</v>
      </c>
      <c r="C242" s="15" t="s">
        <v>22</v>
      </c>
      <c r="D242" s="16">
        <v>46164</v>
      </c>
      <c r="E242" s="17">
        <v>1010</v>
      </c>
      <c r="F242" s="18">
        <v>0.86799999999999999</v>
      </c>
      <c r="G242" s="19">
        <f>Cereal[[#This Row],[N° BOLSAS]]*Cereal[[#This Row],[KG BOLSA]]</f>
        <v>876.68</v>
      </c>
      <c r="H242" s="37">
        <v>50</v>
      </c>
      <c r="I242" s="14">
        <f>ROUNDDOWN(Cereal[[#This Row],[N° BOLSAS]]/Cereal[[#This Row],[CAP. SACOS]],0)</f>
        <v>20</v>
      </c>
      <c r="J242" s="14">
        <f>Cereal[[#This Row],[N° BOLSAS]]-Cereal[[#This Row],[N° SACOS]]*Cereal[[#This Row],[CAP. SACOS]]</f>
        <v>10</v>
      </c>
      <c r="K242" s="16">
        <v>46163</v>
      </c>
      <c r="L242" s="16">
        <v>46163</v>
      </c>
      <c r="M242" s="16">
        <v>46164</v>
      </c>
      <c r="N242" s="16" t="s">
        <v>106</v>
      </c>
    </row>
    <row r="243" spans="1:14" hidden="1" x14ac:dyDescent="0.25">
      <c r="A243" s="14" t="s">
        <v>14</v>
      </c>
      <c r="B243" s="14" t="s">
        <v>105</v>
      </c>
      <c r="C243" s="15" t="s">
        <v>23</v>
      </c>
      <c r="D243" s="16">
        <v>46192</v>
      </c>
      <c r="E243" s="17">
        <v>1010</v>
      </c>
      <c r="F243" s="18">
        <v>0.86799999999999999</v>
      </c>
      <c r="G243" s="19">
        <f>Cereal[[#This Row],[N° BOLSAS]]*Cereal[[#This Row],[KG BOLSA]]</f>
        <v>876.68</v>
      </c>
      <c r="H243" s="37">
        <v>50</v>
      </c>
      <c r="I243" s="14">
        <f>ROUNDDOWN(Cereal[[#This Row],[N° BOLSAS]]/Cereal[[#This Row],[CAP. SACOS]],0)</f>
        <v>20</v>
      </c>
      <c r="J243" s="14">
        <f>Cereal[[#This Row],[N° BOLSAS]]-Cereal[[#This Row],[N° SACOS]]*Cereal[[#This Row],[CAP. SACOS]]</f>
        <v>10</v>
      </c>
      <c r="K243" s="16">
        <v>46198</v>
      </c>
      <c r="L243" s="16">
        <v>46198</v>
      </c>
      <c r="M243" s="16">
        <v>46198</v>
      </c>
      <c r="N243" s="16" t="s">
        <v>106</v>
      </c>
    </row>
    <row r="244" spans="1:14" hidden="1" x14ac:dyDescent="0.25">
      <c r="A244" s="14" t="s">
        <v>14</v>
      </c>
      <c r="B244" s="14" t="s">
        <v>105</v>
      </c>
      <c r="C244" s="15" t="s">
        <v>24</v>
      </c>
      <c r="D244" s="16">
        <v>46227</v>
      </c>
      <c r="E244" s="17">
        <v>1010</v>
      </c>
      <c r="F244" s="18">
        <v>0.86799999999999999</v>
      </c>
      <c r="G244" s="19">
        <f>Cereal[[#This Row],[N° BOLSAS]]*Cereal[[#This Row],[KG BOLSA]]</f>
        <v>876.68</v>
      </c>
      <c r="H244" s="37">
        <v>50</v>
      </c>
      <c r="I244" s="14">
        <f>ROUNDDOWN(Cereal[[#This Row],[N° BOLSAS]]/Cereal[[#This Row],[CAP. SACOS]],0)</f>
        <v>20</v>
      </c>
      <c r="J244" s="14">
        <f>Cereal[[#This Row],[N° BOLSAS]]-Cereal[[#This Row],[N° SACOS]]*Cereal[[#This Row],[CAP. SACOS]]</f>
        <v>10</v>
      </c>
      <c r="K244" s="16">
        <v>46227</v>
      </c>
      <c r="L244" s="16">
        <v>46227</v>
      </c>
      <c r="M244" s="16">
        <v>46227</v>
      </c>
      <c r="N244" s="16" t="s">
        <v>106</v>
      </c>
    </row>
    <row r="245" spans="1:14" hidden="1" x14ac:dyDescent="0.25">
      <c r="A245" s="14" t="s">
        <v>14</v>
      </c>
      <c r="B245" s="14" t="s">
        <v>105</v>
      </c>
      <c r="C245" s="15" t="s">
        <v>25</v>
      </c>
      <c r="D245" s="16">
        <v>46255</v>
      </c>
      <c r="E245" s="17">
        <v>1010</v>
      </c>
      <c r="F245" s="18">
        <v>0.86799999999999999</v>
      </c>
      <c r="G245" s="19">
        <f>Cereal[[#This Row],[N° BOLSAS]]*Cereal[[#This Row],[KG BOLSA]]</f>
        <v>876.68</v>
      </c>
      <c r="H245" s="37">
        <v>50</v>
      </c>
      <c r="I245" s="14">
        <f>ROUNDDOWN(Cereal[[#This Row],[N° BOLSAS]]/Cereal[[#This Row],[CAP. SACOS]],0)</f>
        <v>20</v>
      </c>
      <c r="J245" s="14">
        <f>Cereal[[#This Row],[N° BOLSAS]]-Cereal[[#This Row],[N° SACOS]]*Cereal[[#This Row],[CAP. SACOS]]</f>
        <v>10</v>
      </c>
      <c r="K245" s="16">
        <v>46259</v>
      </c>
      <c r="L245" s="16">
        <v>46259</v>
      </c>
      <c r="M245" s="16">
        <v>46259</v>
      </c>
      <c r="N245" s="16" t="s">
        <v>106</v>
      </c>
    </row>
    <row r="246" spans="1:14" hidden="1" x14ac:dyDescent="0.25">
      <c r="A246" s="14" t="s">
        <v>14</v>
      </c>
      <c r="B246" s="14" t="s">
        <v>105</v>
      </c>
      <c r="C246" s="15" t="s">
        <v>26</v>
      </c>
      <c r="D246" s="16">
        <v>46283</v>
      </c>
      <c r="E246" s="17">
        <v>1010</v>
      </c>
      <c r="F246" s="18">
        <v>0.86799999999999999</v>
      </c>
      <c r="G246" s="19">
        <f>Cereal[[#This Row],[N° BOLSAS]]*Cereal[[#This Row],[KG BOLSA]]</f>
        <v>876.68</v>
      </c>
      <c r="H246" s="37">
        <v>50</v>
      </c>
      <c r="I246" s="14">
        <f>ROUNDDOWN(Cereal[[#This Row],[N° BOLSAS]]/Cereal[[#This Row],[CAP. SACOS]],0)</f>
        <v>20</v>
      </c>
      <c r="J246" s="14">
        <f>Cereal[[#This Row],[N° BOLSAS]]-Cereal[[#This Row],[N° SACOS]]*Cereal[[#This Row],[CAP. SACOS]]</f>
        <v>10</v>
      </c>
      <c r="K246" s="16">
        <v>46294</v>
      </c>
      <c r="L246" s="16">
        <v>46294</v>
      </c>
      <c r="M246" s="16">
        <v>46294</v>
      </c>
      <c r="N246" s="16" t="s">
        <v>106</v>
      </c>
    </row>
    <row r="247" spans="1:14" hidden="1" x14ac:dyDescent="0.25">
      <c r="A247" s="14" t="s">
        <v>14</v>
      </c>
      <c r="B247" s="14" t="s">
        <v>105</v>
      </c>
      <c r="C247" s="15" t="s">
        <v>27</v>
      </c>
      <c r="D247" s="16">
        <v>46318</v>
      </c>
      <c r="E247" s="17">
        <v>1010</v>
      </c>
      <c r="F247" s="18">
        <v>0.86799999999999999</v>
      </c>
      <c r="G247" s="19">
        <f>Cereal[[#This Row],[N° BOLSAS]]*Cereal[[#This Row],[KG BOLSA]]</f>
        <v>876.68</v>
      </c>
      <c r="H247" s="37">
        <v>50</v>
      </c>
      <c r="I247" s="14">
        <f>ROUNDDOWN(Cereal[[#This Row],[N° BOLSAS]]/Cereal[[#This Row],[CAP. SACOS]],0)</f>
        <v>20</v>
      </c>
      <c r="J247" s="14">
        <f>Cereal[[#This Row],[N° BOLSAS]]-Cereal[[#This Row],[N° SACOS]]*Cereal[[#This Row],[CAP. SACOS]]</f>
        <v>10</v>
      </c>
      <c r="K247" s="16"/>
      <c r="L247" s="16"/>
      <c r="M247" s="16"/>
      <c r="N247" s="16" t="s">
        <v>106</v>
      </c>
    </row>
    <row r="248" spans="1:14" hidden="1" x14ac:dyDescent="0.25">
      <c r="A248" s="14" t="s">
        <v>14</v>
      </c>
      <c r="B248" s="14" t="s">
        <v>105</v>
      </c>
      <c r="C248" s="15" t="s">
        <v>28</v>
      </c>
      <c r="D248" s="16">
        <v>46346</v>
      </c>
      <c r="E248" s="17">
        <v>1010</v>
      </c>
      <c r="F248" s="18">
        <v>0.86799999999999999</v>
      </c>
      <c r="G248" s="19">
        <f>Cereal[[#This Row],[N° BOLSAS]]*Cereal[[#This Row],[KG BOLSA]]</f>
        <v>876.68</v>
      </c>
      <c r="H248" s="37">
        <v>50</v>
      </c>
      <c r="I248" s="14">
        <f>ROUNDDOWN(Cereal[[#This Row],[N° BOLSAS]]/Cereal[[#This Row],[CAP. SACOS]],0)</f>
        <v>20</v>
      </c>
      <c r="J248" s="14">
        <f>Cereal[[#This Row],[N° BOLSAS]]-Cereal[[#This Row],[N° SACOS]]*Cereal[[#This Row],[CAP. SACOS]]</f>
        <v>10</v>
      </c>
      <c r="K248" s="16"/>
      <c r="L248" s="16"/>
      <c r="M248" s="16"/>
      <c r="N248" s="16" t="s">
        <v>106</v>
      </c>
    </row>
    <row r="249" spans="1:14" hidden="1" x14ac:dyDescent="0.25">
      <c r="A249" s="14" t="s">
        <v>14</v>
      </c>
      <c r="B249" s="14" t="s">
        <v>107</v>
      </c>
      <c r="C249" s="15" t="s">
        <v>16</v>
      </c>
      <c r="D249" s="16">
        <v>46045</v>
      </c>
      <c r="E249" s="17">
        <v>1100</v>
      </c>
      <c r="F249" s="18">
        <v>1.5201</v>
      </c>
      <c r="G249" s="19">
        <f>Cereal[[#This Row],[N° BOLSAS]]*Cereal[[#This Row],[KG BOLSA]]</f>
        <v>1672.11</v>
      </c>
      <c r="H249" s="37">
        <v>30</v>
      </c>
      <c r="I249" s="14">
        <f>ROUNDDOWN(Cereal[[#This Row],[N° BOLSAS]]/Cereal[[#This Row],[CAP. SACOS]],0)</f>
        <v>36</v>
      </c>
      <c r="J249" s="14">
        <f>Cereal[[#This Row],[N° BOLSAS]]-Cereal[[#This Row],[N° SACOS]]*Cereal[[#This Row],[CAP. SACOS]]</f>
        <v>20</v>
      </c>
      <c r="K249" s="16">
        <v>46044</v>
      </c>
      <c r="L249" s="16">
        <v>46044</v>
      </c>
      <c r="M249" s="16">
        <v>46049</v>
      </c>
      <c r="N249" s="16" t="s">
        <v>108</v>
      </c>
    </row>
    <row r="250" spans="1:14" hidden="1" x14ac:dyDescent="0.25">
      <c r="A250" s="14" t="s">
        <v>14</v>
      </c>
      <c r="B250" s="14" t="s">
        <v>107</v>
      </c>
      <c r="C250" s="15" t="s">
        <v>18</v>
      </c>
      <c r="D250" s="16">
        <v>46045</v>
      </c>
      <c r="E250" s="17">
        <v>1100</v>
      </c>
      <c r="F250" s="18">
        <v>1.5201</v>
      </c>
      <c r="G250" s="19">
        <f>Cereal[[#This Row],[N° BOLSAS]]*Cereal[[#This Row],[KG BOLSA]]</f>
        <v>1672.11</v>
      </c>
      <c r="H250" s="37">
        <v>30</v>
      </c>
      <c r="I250" s="14">
        <f>ROUNDDOWN(Cereal[[#This Row],[N° BOLSAS]]/Cereal[[#This Row],[CAP. SACOS]],0)</f>
        <v>36</v>
      </c>
      <c r="J250" s="14">
        <f>Cereal[[#This Row],[N° BOLSAS]]-Cereal[[#This Row],[N° SACOS]]*Cereal[[#This Row],[CAP. SACOS]]</f>
        <v>20</v>
      </c>
      <c r="K250" s="16">
        <v>46044</v>
      </c>
      <c r="L250" s="16">
        <v>46044</v>
      </c>
      <c r="M250" s="16">
        <v>46049</v>
      </c>
      <c r="N250" s="16" t="s">
        <v>108</v>
      </c>
    </row>
    <row r="251" spans="1:14" hidden="1" x14ac:dyDescent="0.25">
      <c r="A251" s="14" t="s">
        <v>14</v>
      </c>
      <c r="B251" s="14" t="s">
        <v>107</v>
      </c>
      <c r="C251" s="15" t="s">
        <v>19</v>
      </c>
      <c r="D251" s="16">
        <v>46078</v>
      </c>
      <c r="E251" s="17">
        <v>1100</v>
      </c>
      <c r="F251" s="18">
        <v>1.5201</v>
      </c>
      <c r="G251" s="19">
        <f>Cereal[[#This Row],[N° BOLSAS]]*Cereal[[#This Row],[KG BOLSA]]</f>
        <v>1672.11</v>
      </c>
      <c r="H251" s="37">
        <v>30</v>
      </c>
      <c r="I251" s="14">
        <f>ROUNDDOWN(Cereal[[#This Row],[N° BOLSAS]]/Cereal[[#This Row],[CAP. SACOS]],0)</f>
        <v>36</v>
      </c>
      <c r="J251" s="14">
        <f>Cereal[[#This Row],[N° BOLSAS]]-Cereal[[#This Row],[N° SACOS]]*Cereal[[#This Row],[CAP. SACOS]]</f>
        <v>20</v>
      </c>
      <c r="K251" s="16">
        <v>46077</v>
      </c>
      <c r="L251" s="16">
        <v>46077</v>
      </c>
      <c r="M251" s="16">
        <v>46078</v>
      </c>
      <c r="N251" s="16" t="s">
        <v>108</v>
      </c>
    </row>
    <row r="252" spans="1:14" hidden="1" x14ac:dyDescent="0.25">
      <c r="A252" s="14" t="s">
        <v>14</v>
      </c>
      <c r="B252" s="14" t="s">
        <v>107</v>
      </c>
      <c r="C252" s="15" t="s">
        <v>20</v>
      </c>
      <c r="D252" s="16">
        <v>46106</v>
      </c>
      <c r="E252" s="17">
        <v>1100</v>
      </c>
      <c r="F252" s="18">
        <v>1.5201</v>
      </c>
      <c r="G252" s="19">
        <f>Cereal[[#This Row],[N° BOLSAS]]*Cereal[[#This Row],[KG BOLSA]]</f>
        <v>1672.11</v>
      </c>
      <c r="H252" s="37">
        <v>30</v>
      </c>
      <c r="I252" s="14">
        <f>ROUNDDOWN(Cereal[[#This Row],[N° BOLSAS]]/Cereal[[#This Row],[CAP. SACOS]],0)</f>
        <v>36</v>
      </c>
      <c r="J252" s="14">
        <f>Cereal[[#This Row],[N° BOLSAS]]-Cereal[[#This Row],[N° SACOS]]*Cereal[[#This Row],[CAP. SACOS]]</f>
        <v>20</v>
      </c>
      <c r="K252" s="16">
        <v>46105</v>
      </c>
      <c r="L252" s="16">
        <v>46105</v>
      </c>
      <c r="M252" s="16">
        <v>46107</v>
      </c>
      <c r="N252" s="16" t="s">
        <v>108</v>
      </c>
    </row>
    <row r="253" spans="1:14" hidden="1" x14ac:dyDescent="0.25">
      <c r="A253" s="14" t="s">
        <v>14</v>
      </c>
      <c r="B253" s="14" t="s">
        <v>107</v>
      </c>
      <c r="C253" s="15" t="s">
        <v>21</v>
      </c>
      <c r="D253" s="16">
        <v>46136</v>
      </c>
      <c r="E253" s="17">
        <v>1100</v>
      </c>
      <c r="F253" s="18">
        <v>1.5201</v>
      </c>
      <c r="G253" s="19">
        <f>Cereal[[#This Row],[N° BOLSAS]]*Cereal[[#This Row],[KG BOLSA]]</f>
        <v>1672.11</v>
      </c>
      <c r="H253" s="37">
        <v>30</v>
      </c>
      <c r="I253" s="14">
        <f>ROUNDDOWN(Cereal[[#This Row],[N° BOLSAS]]/Cereal[[#This Row],[CAP. SACOS]],0)</f>
        <v>36</v>
      </c>
      <c r="J253" s="14">
        <f>Cereal[[#This Row],[N° BOLSAS]]-Cereal[[#This Row],[N° SACOS]]*Cereal[[#This Row],[CAP. SACOS]]</f>
        <v>20</v>
      </c>
      <c r="K253" s="16">
        <v>46138</v>
      </c>
      <c r="L253" s="16">
        <v>46138</v>
      </c>
      <c r="M253" s="16">
        <v>46138</v>
      </c>
      <c r="N253" s="16" t="s">
        <v>108</v>
      </c>
    </row>
    <row r="254" spans="1:14" hidden="1" x14ac:dyDescent="0.25">
      <c r="A254" s="14" t="s">
        <v>14</v>
      </c>
      <c r="B254" s="14" t="s">
        <v>107</v>
      </c>
      <c r="C254" s="15" t="s">
        <v>22</v>
      </c>
      <c r="D254" s="16">
        <v>46167</v>
      </c>
      <c r="E254" s="17">
        <v>1100</v>
      </c>
      <c r="F254" s="18">
        <v>1.5201</v>
      </c>
      <c r="G254" s="19">
        <f>Cereal[[#This Row],[N° BOLSAS]]*Cereal[[#This Row],[KG BOLSA]]</f>
        <v>1672.11</v>
      </c>
      <c r="H254" s="37">
        <v>30</v>
      </c>
      <c r="I254" s="14">
        <f>ROUNDDOWN(Cereal[[#This Row],[N° BOLSAS]]/Cereal[[#This Row],[CAP. SACOS]],0)</f>
        <v>36</v>
      </c>
      <c r="J254" s="14">
        <f>Cereal[[#This Row],[N° BOLSAS]]-Cereal[[#This Row],[N° SACOS]]*Cereal[[#This Row],[CAP. SACOS]]</f>
        <v>20</v>
      </c>
      <c r="K254" s="16">
        <v>46167</v>
      </c>
      <c r="L254" s="16">
        <v>46167</v>
      </c>
      <c r="M254" s="16">
        <v>46167</v>
      </c>
      <c r="N254" s="16" t="s">
        <v>108</v>
      </c>
    </row>
    <row r="255" spans="1:14" hidden="1" x14ac:dyDescent="0.25">
      <c r="A255" s="14" t="s">
        <v>14</v>
      </c>
      <c r="B255" s="14" t="s">
        <v>107</v>
      </c>
      <c r="C255" s="15" t="s">
        <v>23</v>
      </c>
      <c r="D255" s="16">
        <v>46198</v>
      </c>
      <c r="E255" s="17">
        <v>1100</v>
      </c>
      <c r="F255" s="18">
        <v>1.5201</v>
      </c>
      <c r="G255" s="19">
        <f>Cereal[[#This Row],[N° BOLSAS]]*Cereal[[#This Row],[KG BOLSA]]</f>
        <v>1672.11</v>
      </c>
      <c r="H255" s="37">
        <v>30</v>
      </c>
      <c r="I255" s="14">
        <f>ROUNDDOWN(Cereal[[#This Row],[N° BOLSAS]]/Cereal[[#This Row],[CAP. SACOS]],0)</f>
        <v>36</v>
      </c>
      <c r="J255" s="14">
        <f>Cereal[[#This Row],[N° BOLSAS]]-Cereal[[#This Row],[N° SACOS]]*Cereal[[#This Row],[CAP. SACOS]]</f>
        <v>20</v>
      </c>
      <c r="K255" s="16">
        <v>46198</v>
      </c>
      <c r="L255" s="16">
        <v>46198</v>
      </c>
      <c r="M255" s="16">
        <v>46198</v>
      </c>
      <c r="N255" s="16" t="s">
        <v>108</v>
      </c>
    </row>
    <row r="256" spans="1:14" hidden="1" x14ac:dyDescent="0.25">
      <c r="A256" s="14" t="s">
        <v>14</v>
      </c>
      <c r="B256" s="14" t="s">
        <v>107</v>
      </c>
      <c r="C256" s="15" t="s">
        <v>24</v>
      </c>
      <c r="D256" s="16">
        <v>46227</v>
      </c>
      <c r="E256" s="17">
        <v>1100</v>
      </c>
      <c r="F256" s="18">
        <v>1.5201</v>
      </c>
      <c r="G256" s="19">
        <f>Cereal[[#This Row],[N° BOLSAS]]*Cereal[[#This Row],[KG BOLSA]]</f>
        <v>1672.11</v>
      </c>
      <c r="H256" s="37">
        <v>30</v>
      </c>
      <c r="I256" s="14">
        <f>ROUNDDOWN(Cereal[[#This Row],[N° BOLSAS]]/Cereal[[#This Row],[CAP. SACOS]],0)</f>
        <v>36</v>
      </c>
      <c r="J256" s="14">
        <f>Cereal[[#This Row],[N° BOLSAS]]-Cereal[[#This Row],[N° SACOS]]*Cereal[[#This Row],[CAP. SACOS]]</f>
        <v>20</v>
      </c>
      <c r="K256" s="16">
        <v>46227</v>
      </c>
      <c r="L256" s="16">
        <v>46227</v>
      </c>
      <c r="M256" s="16">
        <v>46230</v>
      </c>
      <c r="N256" s="16" t="s">
        <v>108</v>
      </c>
    </row>
    <row r="257" spans="1:14" hidden="1" x14ac:dyDescent="0.25">
      <c r="A257" s="14" t="s">
        <v>14</v>
      </c>
      <c r="B257" s="14" t="s">
        <v>107</v>
      </c>
      <c r="C257" s="15" t="s">
        <v>25</v>
      </c>
      <c r="D257" s="16">
        <v>46258</v>
      </c>
      <c r="E257" s="17">
        <v>1100</v>
      </c>
      <c r="F257" s="18">
        <v>1.5201</v>
      </c>
      <c r="G257" s="19">
        <f>Cereal[[#This Row],[N° BOLSAS]]*Cereal[[#This Row],[KG BOLSA]]</f>
        <v>1672.11</v>
      </c>
      <c r="H257" s="37">
        <v>30</v>
      </c>
      <c r="I257" s="14">
        <f>ROUNDDOWN(Cereal[[#This Row],[N° BOLSAS]]/Cereal[[#This Row],[CAP. SACOS]],0)</f>
        <v>36</v>
      </c>
      <c r="J257" s="14">
        <f>Cereal[[#This Row],[N° BOLSAS]]-Cereal[[#This Row],[N° SACOS]]*Cereal[[#This Row],[CAP. SACOS]]</f>
        <v>20</v>
      </c>
      <c r="K257" s="16">
        <v>46254</v>
      </c>
      <c r="L257" s="16">
        <v>46254</v>
      </c>
      <c r="M257" s="16">
        <v>46266</v>
      </c>
      <c r="N257" s="16" t="s">
        <v>108</v>
      </c>
    </row>
    <row r="258" spans="1:14" hidden="1" x14ac:dyDescent="0.25">
      <c r="A258" s="14" t="s">
        <v>14</v>
      </c>
      <c r="B258" s="14" t="s">
        <v>107</v>
      </c>
      <c r="C258" s="15" t="s">
        <v>26</v>
      </c>
      <c r="D258" s="16">
        <v>46290</v>
      </c>
      <c r="E258" s="17">
        <v>1100</v>
      </c>
      <c r="F258" s="18">
        <v>1.5201</v>
      </c>
      <c r="G258" s="19">
        <f>Cereal[[#This Row],[N° BOLSAS]]*Cereal[[#This Row],[KG BOLSA]]</f>
        <v>1672.11</v>
      </c>
      <c r="H258" s="37">
        <v>30</v>
      </c>
      <c r="I258" s="14">
        <f>ROUNDDOWN(Cereal[[#This Row],[N° BOLSAS]]/Cereal[[#This Row],[CAP. SACOS]],0)</f>
        <v>36</v>
      </c>
      <c r="J258" s="14">
        <f>Cereal[[#This Row],[N° BOLSAS]]-Cereal[[#This Row],[N° SACOS]]*Cereal[[#This Row],[CAP. SACOS]]</f>
        <v>20</v>
      </c>
      <c r="K258" s="16">
        <v>46294</v>
      </c>
      <c r="L258" s="16">
        <v>46294</v>
      </c>
      <c r="M258" s="16">
        <v>46294</v>
      </c>
      <c r="N258" s="16" t="s">
        <v>108</v>
      </c>
    </row>
    <row r="259" spans="1:14" hidden="1" x14ac:dyDescent="0.25">
      <c r="A259" s="14" t="s">
        <v>14</v>
      </c>
      <c r="B259" s="14" t="s">
        <v>107</v>
      </c>
      <c r="C259" s="15" t="s">
        <v>27</v>
      </c>
      <c r="D259" s="16">
        <v>46318</v>
      </c>
      <c r="E259" s="17">
        <v>1100</v>
      </c>
      <c r="F259" s="18">
        <v>1.5201</v>
      </c>
      <c r="G259" s="19">
        <f>Cereal[[#This Row],[N° BOLSAS]]*Cereal[[#This Row],[KG BOLSA]]</f>
        <v>1672.11</v>
      </c>
      <c r="H259" s="37">
        <v>30</v>
      </c>
      <c r="I259" s="14">
        <f>ROUNDDOWN(Cereal[[#This Row],[N° BOLSAS]]/Cereal[[#This Row],[CAP. SACOS]],0)</f>
        <v>36</v>
      </c>
      <c r="J259" s="14">
        <f>Cereal[[#This Row],[N° BOLSAS]]-Cereal[[#This Row],[N° SACOS]]*Cereal[[#This Row],[CAP. SACOS]]</f>
        <v>20</v>
      </c>
      <c r="K259" s="16"/>
      <c r="L259" s="16"/>
      <c r="M259" s="16"/>
      <c r="N259" s="16" t="s">
        <v>108</v>
      </c>
    </row>
    <row r="260" spans="1:14" hidden="1" x14ac:dyDescent="0.25">
      <c r="A260" s="14" t="s">
        <v>14</v>
      </c>
      <c r="B260" s="14" t="s">
        <v>107</v>
      </c>
      <c r="C260" s="15" t="s">
        <v>28</v>
      </c>
      <c r="D260" s="16">
        <v>46351</v>
      </c>
      <c r="E260" s="17">
        <v>1100</v>
      </c>
      <c r="F260" s="18">
        <v>1.5201</v>
      </c>
      <c r="G260" s="19">
        <f>Cereal[[#This Row],[N° BOLSAS]]*Cereal[[#This Row],[KG BOLSA]]</f>
        <v>1672.11</v>
      </c>
      <c r="H260" s="37">
        <v>30</v>
      </c>
      <c r="I260" s="14">
        <f>ROUNDDOWN(Cereal[[#This Row],[N° BOLSAS]]/Cereal[[#This Row],[CAP. SACOS]],0)</f>
        <v>36</v>
      </c>
      <c r="J260" s="14">
        <f>Cereal[[#This Row],[N° BOLSAS]]-Cereal[[#This Row],[N° SACOS]]*Cereal[[#This Row],[CAP. SACOS]]</f>
        <v>20</v>
      </c>
      <c r="K260" s="16"/>
      <c r="L260" s="16"/>
      <c r="M260" s="16"/>
      <c r="N260" s="16" t="s">
        <v>108</v>
      </c>
    </row>
    <row r="261" spans="1:14" ht="13.5" hidden="1" customHeight="1" x14ac:dyDescent="0.25">
      <c r="A261" s="14" t="s">
        <v>14</v>
      </c>
      <c r="B261" s="14" t="s">
        <v>109</v>
      </c>
      <c r="C261" s="15" t="s">
        <v>16</v>
      </c>
      <c r="D261" s="16">
        <v>46108</v>
      </c>
      <c r="E261" s="17">
        <v>1496.22</v>
      </c>
      <c r="F261" s="18">
        <v>1</v>
      </c>
      <c r="G261" s="19">
        <f>Cereal[[#This Row],[N° BOLSAS]]*Cereal[[#This Row],[KG BOLSA]]</f>
        <v>1496.22</v>
      </c>
      <c r="H261" s="37">
        <v>40</v>
      </c>
      <c r="I261" s="14">
        <f>ROUNDDOWN(Cereal[[#This Row],[N° BOLSAS]]/Cereal[[#This Row],[CAP. SACOS]],0)</f>
        <v>37</v>
      </c>
      <c r="J261" s="14">
        <f>Cereal[[#This Row],[N° BOLSAS]]-Cereal[[#This Row],[N° SACOS]]*Cereal[[#This Row],[CAP. SACOS]]</f>
        <v>16.220000000000027</v>
      </c>
      <c r="K261" s="16">
        <v>46089</v>
      </c>
      <c r="L261" s="16">
        <v>46089</v>
      </c>
      <c r="M261" s="16">
        <v>46096</v>
      </c>
      <c r="N261" s="16" t="s">
        <v>110</v>
      </c>
    </row>
    <row r="262" spans="1:14" hidden="1" x14ac:dyDescent="0.25">
      <c r="A262" s="14" t="s">
        <v>14</v>
      </c>
      <c r="B262" s="14" t="s">
        <v>109</v>
      </c>
      <c r="C262" s="15" t="s">
        <v>18</v>
      </c>
      <c r="D262" s="16">
        <v>46108</v>
      </c>
      <c r="E262" s="17">
        <v>1496.22</v>
      </c>
      <c r="F262" s="18">
        <v>1</v>
      </c>
      <c r="G262" s="19">
        <f>Cereal[[#This Row],[N° BOLSAS]]*Cereal[[#This Row],[KG BOLSA]]</f>
        <v>1496.22</v>
      </c>
      <c r="H262" s="37">
        <v>40</v>
      </c>
      <c r="I262" s="14">
        <f>ROUNDDOWN(Cereal[[#This Row],[N° BOLSAS]]/Cereal[[#This Row],[CAP. SACOS]],0)</f>
        <v>37</v>
      </c>
      <c r="J262" s="14">
        <f>Cereal[[#This Row],[N° BOLSAS]]-Cereal[[#This Row],[N° SACOS]]*Cereal[[#This Row],[CAP. SACOS]]</f>
        <v>16.220000000000027</v>
      </c>
      <c r="K262" s="16">
        <v>46089</v>
      </c>
      <c r="L262" s="16">
        <v>46089</v>
      </c>
      <c r="M262" s="16">
        <v>46096</v>
      </c>
      <c r="N262" s="16" t="s">
        <v>110</v>
      </c>
    </row>
    <row r="263" spans="1:14" hidden="1" x14ac:dyDescent="0.25">
      <c r="A263" s="14" t="s">
        <v>14</v>
      </c>
      <c r="B263" s="14" t="s">
        <v>109</v>
      </c>
      <c r="C263" s="15" t="s">
        <v>19</v>
      </c>
      <c r="D263" s="16">
        <v>46108</v>
      </c>
      <c r="E263" s="17">
        <v>1496.22</v>
      </c>
      <c r="F263" s="18">
        <v>1</v>
      </c>
      <c r="G263" s="19">
        <f>Cereal[[#This Row],[N° BOLSAS]]*Cereal[[#This Row],[KG BOLSA]]</f>
        <v>1496.22</v>
      </c>
      <c r="H263" s="37">
        <v>40</v>
      </c>
      <c r="I263" s="14">
        <f>ROUNDDOWN(Cereal[[#This Row],[N° BOLSAS]]/Cereal[[#This Row],[CAP. SACOS]],0)</f>
        <v>37</v>
      </c>
      <c r="J263" s="14">
        <f>Cereal[[#This Row],[N° BOLSAS]]-Cereal[[#This Row],[N° SACOS]]*Cereal[[#This Row],[CAP. SACOS]]</f>
        <v>16.220000000000027</v>
      </c>
      <c r="K263" s="16">
        <v>46089</v>
      </c>
      <c r="L263" s="16">
        <v>46089</v>
      </c>
      <c r="M263" s="16">
        <v>46096</v>
      </c>
      <c r="N263" s="16" t="s">
        <v>110</v>
      </c>
    </row>
    <row r="264" spans="1:14" hidden="1" x14ac:dyDescent="0.25">
      <c r="A264" s="14" t="s">
        <v>14</v>
      </c>
      <c r="B264" s="14" t="s">
        <v>109</v>
      </c>
      <c r="C264" s="15" t="s">
        <v>20</v>
      </c>
      <c r="D264" s="16">
        <v>46108</v>
      </c>
      <c r="E264" s="17">
        <v>1496.22</v>
      </c>
      <c r="F264" s="18">
        <v>1</v>
      </c>
      <c r="G264" s="19">
        <f>Cereal[[#This Row],[N° BOLSAS]]*Cereal[[#This Row],[KG BOLSA]]</f>
        <v>1496.22</v>
      </c>
      <c r="H264" s="37">
        <v>40</v>
      </c>
      <c r="I264" s="14">
        <f>ROUNDDOWN(Cereal[[#This Row],[N° BOLSAS]]/Cereal[[#This Row],[CAP. SACOS]],0)</f>
        <v>37</v>
      </c>
      <c r="J264" s="14">
        <f>Cereal[[#This Row],[N° BOLSAS]]-Cereal[[#This Row],[N° SACOS]]*Cereal[[#This Row],[CAP. SACOS]]</f>
        <v>16.220000000000027</v>
      </c>
      <c r="K264" s="16">
        <v>46089</v>
      </c>
      <c r="L264" s="16">
        <v>46089</v>
      </c>
      <c r="M264" s="16">
        <v>46096</v>
      </c>
      <c r="N264" s="16" t="s">
        <v>110</v>
      </c>
    </row>
    <row r="265" spans="1:14" hidden="1" x14ac:dyDescent="0.25">
      <c r="A265" s="14" t="s">
        <v>14</v>
      </c>
      <c r="B265" s="14" t="s">
        <v>109</v>
      </c>
      <c r="C265" s="15" t="s">
        <v>21</v>
      </c>
      <c r="D265" s="16">
        <v>46142</v>
      </c>
      <c r="E265" s="17">
        <v>1496.22</v>
      </c>
      <c r="F265" s="18">
        <v>1</v>
      </c>
      <c r="G265" s="19">
        <f>Cereal[[#This Row],[N° BOLSAS]]*Cereal[[#This Row],[KG BOLSA]]</f>
        <v>1496.22</v>
      </c>
      <c r="H265" s="37">
        <v>40</v>
      </c>
      <c r="I265" s="14">
        <f>ROUNDDOWN(Cereal[[#This Row],[N° BOLSAS]]/Cereal[[#This Row],[CAP. SACOS]],0)</f>
        <v>37</v>
      </c>
      <c r="J265" s="14">
        <f>Cereal[[#This Row],[N° BOLSAS]]-Cereal[[#This Row],[N° SACOS]]*Cereal[[#This Row],[CAP. SACOS]]</f>
        <v>16.220000000000027</v>
      </c>
      <c r="K265" s="16">
        <v>46146</v>
      </c>
      <c r="L265" s="16">
        <v>46146</v>
      </c>
      <c r="M265" s="16">
        <v>46148</v>
      </c>
      <c r="N265" s="16" t="s">
        <v>110</v>
      </c>
    </row>
    <row r="266" spans="1:14" hidden="1" x14ac:dyDescent="0.25">
      <c r="A266" s="14" t="s">
        <v>14</v>
      </c>
      <c r="B266" s="14" t="s">
        <v>109</v>
      </c>
      <c r="C266" s="15" t="s">
        <v>22</v>
      </c>
      <c r="D266" s="16">
        <v>46142</v>
      </c>
      <c r="E266" s="17">
        <v>1496.22</v>
      </c>
      <c r="F266" s="18">
        <v>1</v>
      </c>
      <c r="G266" s="19">
        <f>Cereal[[#This Row],[N° BOLSAS]]*Cereal[[#This Row],[KG BOLSA]]</f>
        <v>1496.22</v>
      </c>
      <c r="H266" s="37">
        <v>40</v>
      </c>
      <c r="I266" s="14">
        <f>ROUNDDOWN(Cereal[[#This Row],[N° BOLSAS]]/Cereal[[#This Row],[CAP. SACOS]],0)</f>
        <v>37</v>
      </c>
      <c r="J266" s="14">
        <f>Cereal[[#This Row],[N° BOLSAS]]-Cereal[[#This Row],[N° SACOS]]*Cereal[[#This Row],[CAP. SACOS]]</f>
        <v>16.220000000000027</v>
      </c>
      <c r="K266" s="16">
        <v>46146</v>
      </c>
      <c r="L266" s="16">
        <v>46146</v>
      </c>
      <c r="M266" s="16">
        <v>46148</v>
      </c>
      <c r="N266" s="16" t="s">
        <v>110</v>
      </c>
    </row>
    <row r="267" spans="1:14" hidden="1" x14ac:dyDescent="0.25">
      <c r="A267" s="14" t="s">
        <v>14</v>
      </c>
      <c r="B267" s="14" t="s">
        <v>109</v>
      </c>
      <c r="C267" s="15" t="s">
        <v>23</v>
      </c>
      <c r="D267" s="16">
        <v>46203</v>
      </c>
      <c r="E267" s="17">
        <v>1496.22</v>
      </c>
      <c r="F267" s="18">
        <v>1</v>
      </c>
      <c r="G267" s="19">
        <f>Cereal[[#This Row],[N° BOLSAS]]*Cereal[[#This Row],[KG BOLSA]]</f>
        <v>1496.22</v>
      </c>
      <c r="H267" s="37">
        <v>40</v>
      </c>
      <c r="I267" s="14">
        <f>ROUNDDOWN(Cereal[[#This Row],[N° BOLSAS]]/Cereal[[#This Row],[CAP. SACOS]],0)</f>
        <v>37</v>
      </c>
      <c r="J267" s="14">
        <f>Cereal[[#This Row],[N° BOLSAS]]-Cereal[[#This Row],[N° SACOS]]*Cereal[[#This Row],[CAP. SACOS]]</f>
        <v>16.220000000000027</v>
      </c>
      <c r="K267" s="16">
        <v>46188</v>
      </c>
      <c r="L267" s="16">
        <v>46188</v>
      </c>
      <c r="M267" s="16">
        <v>46194</v>
      </c>
      <c r="N267" s="16" t="s">
        <v>110</v>
      </c>
    </row>
    <row r="268" spans="1:14" hidden="1" x14ac:dyDescent="0.25">
      <c r="A268" s="14" t="s">
        <v>14</v>
      </c>
      <c r="B268" s="14" t="s">
        <v>109</v>
      </c>
      <c r="C268" s="15" t="s">
        <v>24</v>
      </c>
      <c r="D268" s="16">
        <v>46203</v>
      </c>
      <c r="E268" s="17">
        <v>1496.22</v>
      </c>
      <c r="F268" s="18">
        <v>1</v>
      </c>
      <c r="G268" s="19">
        <f>Cereal[[#This Row],[N° BOLSAS]]*Cereal[[#This Row],[KG BOLSA]]</f>
        <v>1496.22</v>
      </c>
      <c r="H268" s="37">
        <v>40</v>
      </c>
      <c r="I268" s="14">
        <f>ROUNDDOWN(Cereal[[#This Row],[N° BOLSAS]]/Cereal[[#This Row],[CAP. SACOS]],0)</f>
        <v>37</v>
      </c>
      <c r="J268" s="14">
        <f>Cereal[[#This Row],[N° BOLSAS]]-Cereal[[#This Row],[N° SACOS]]*Cereal[[#This Row],[CAP. SACOS]]</f>
        <v>16.220000000000027</v>
      </c>
      <c r="K268" s="16">
        <v>46188</v>
      </c>
      <c r="L268" s="16">
        <v>46188</v>
      </c>
      <c r="M268" s="16">
        <v>46194</v>
      </c>
      <c r="N268" s="16" t="s">
        <v>110</v>
      </c>
    </row>
    <row r="269" spans="1:14" hidden="1" x14ac:dyDescent="0.25">
      <c r="A269" s="14" t="s">
        <v>14</v>
      </c>
      <c r="B269" s="14" t="s">
        <v>109</v>
      </c>
      <c r="C269" s="15" t="s">
        <v>25</v>
      </c>
      <c r="D269" s="16">
        <v>46262</v>
      </c>
      <c r="E269" s="17">
        <v>1496.22</v>
      </c>
      <c r="F269" s="18">
        <v>1</v>
      </c>
      <c r="G269" s="19">
        <f>Cereal[[#This Row],[N° BOLSAS]]*Cereal[[#This Row],[KG BOLSA]]</f>
        <v>1496.22</v>
      </c>
      <c r="H269" s="37">
        <v>40</v>
      </c>
      <c r="I269" s="14">
        <f>ROUNDDOWN(Cereal[[#This Row],[N° BOLSAS]]/Cereal[[#This Row],[CAP. SACOS]],0)</f>
        <v>37</v>
      </c>
      <c r="J269" s="14">
        <f>Cereal[[#This Row],[N° BOLSAS]]-Cereal[[#This Row],[N° SACOS]]*Cereal[[#This Row],[CAP. SACOS]]</f>
        <v>16.220000000000027</v>
      </c>
      <c r="K269" s="16">
        <v>46246</v>
      </c>
      <c r="L269" s="16">
        <v>46246</v>
      </c>
      <c r="M269" s="16">
        <v>46246</v>
      </c>
      <c r="N269" s="16" t="s">
        <v>110</v>
      </c>
    </row>
    <row r="270" spans="1:14" hidden="1" x14ac:dyDescent="0.25">
      <c r="A270" s="14" t="s">
        <v>14</v>
      </c>
      <c r="B270" s="14" t="s">
        <v>109</v>
      </c>
      <c r="C270" s="15" t="s">
        <v>26</v>
      </c>
      <c r="D270" s="16">
        <v>46262</v>
      </c>
      <c r="E270" s="17">
        <v>1496.22</v>
      </c>
      <c r="F270" s="18">
        <v>1</v>
      </c>
      <c r="G270" s="19">
        <f>Cereal[[#This Row],[N° BOLSAS]]*Cereal[[#This Row],[KG BOLSA]]</f>
        <v>1496.22</v>
      </c>
      <c r="H270" s="37">
        <v>40</v>
      </c>
      <c r="I270" s="14">
        <f>ROUNDDOWN(Cereal[[#This Row],[N° BOLSAS]]/Cereal[[#This Row],[CAP. SACOS]],0)</f>
        <v>37</v>
      </c>
      <c r="J270" s="14">
        <f>Cereal[[#This Row],[N° BOLSAS]]-Cereal[[#This Row],[N° SACOS]]*Cereal[[#This Row],[CAP. SACOS]]</f>
        <v>16.220000000000027</v>
      </c>
      <c r="K270" s="16">
        <v>46246</v>
      </c>
      <c r="L270" s="16">
        <v>46246</v>
      </c>
      <c r="M270" s="16">
        <v>46246</v>
      </c>
      <c r="N270" s="16" t="s">
        <v>110</v>
      </c>
    </row>
    <row r="271" spans="1:14" hidden="1" x14ac:dyDescent="0.25">
      <c r="A271" s="14" t="s">
        <v>14</v>
      </c>
      <c r="B271" s="14" t="s">
        <v>109</v>
      </c>
      <c r="C271" s="15" t="s">
        <v>27</v>
      </c>
      <c r="D271" s="16">
        <v>46325</v>
      </c>
      <c r="E271" s="17">
        <v>1496.22</v>
      </c>
      <c r="F271" s="18">
        <v>1</v>
      </c>
      <c r="G271" s="19">
        <f>Cereal[[#This Row],[N° BOLSAS]]*Cereal[[#This Row],[KG BOLSA]]</f>
        <v>1496.22</v>
      </c>
      <c r="H271" s="37">
        <v>40</v>
      </c>
      <c r="I271" s="14">
        <f>ROUNDDOWN(Cereal[[#This Row],[N° BOLSAS]]/Cereal[[#This Row],[CAP. SACOS]],0)</f>
        <v>37</v>
      </c>
      <c r="J271" s="14">
        <f>Cereal[[#This Row],[N° BOLSAS]]-Cereal[[#This Row],[N° SACOS]]*Cereal[[#This Row],[CAP. SACOS]]</f>
        <v>16.220000000000027</v>
      </c>
      <c r="K271" s="16"/>
      <c r="L271" s="16"/>
      <c r="M271" s="16"/>
      <c r="N271" s="16" t="s">
        <v>110</v>
      </c>
    </row>
    <row r="272" spans="1:14" hidden="1" x14ac:dyDescent="0.25">
      <c r="A272" s="14" t="s">
        <v>14</v>
      </c>
      <c r="B272" s="14" t="s">
        <v>109</v>
      </c>
      <c r="C272" s="15" t="s">
        <v>28</v>
      </c>
      <c r="D272" s="16">
        <v>46325</v>
      </c>
      <c r="E272" s="17">
        <v>1496.22</v>
      </c>
      <c r="F272" s="18">
        <v>1</v>
      </c>
      <c r="G272" s="19">
        <f>Cereal[[#This Row],[N° BOLSAS]]*Cereal[[#This Row],[KG BOLSA]]</f>
        <v>1496.22</v>
      </c>
      <c r="H272" s="37">
        <v>40</v>
      </c>
      <c r="I272" s="14">
        <f>ROUNDDOWN(Cereal[[#This Row],[N° BOLSAS]]/Cereal[[#This Row],[CAP. SACOS]],0)</f>
        <v>37</v>
      </c>
      <c r="J272" s="14">
        <f>Cereal[[#This Row],[N° BOLSAS]]-Cereal[[#This Row],[N° SACOS]]*Cereal[[#This Row],[CAP. SACOS]]</f>
        <v>16.220000000000027</v>
      </c>
      <c r="K272" s="16"/>
      <c r="L272" s="16"/>
      <c r="M272" s="16"/>
      <c r="N272" s="16" t="s">
        <v>110</v>
      </c>
    </row>
    <row r="273" spans="1:14" ht="22.5" hidden="1" x14ac:dyDescent="0.25">
      <c r="A273" s="14" t="s">
        <v>14</v>
      </c>
      <c r="B273" s="14" t="s">
        <v>111</v>
      </c>
      <c r="C273" s="15" t="s">
        <v>35</v>
      </c>
      <c r="D273" s="16">
        <v>46058</v>
      </c>
      <c r="E273" s="17">
        <v>1212</v>
      </c>
      <c r="F273" s="18">
        <v>0.91283000000000003</v>
      </c>
      <c r="G273" s="19">
        <f>Cereal[[#This Row],[N° BOLSAS]]*Cereal[[#This Row],[KG BOLSA]]</f>
        <v>1106.34996</v>
      </c>
      <c r="H273" s="37">
        <v>45</v>
      </c>
      <c r="I273" s="14">
        <f>ROUNDDOWN(Cereal[[#This Row],[N° BOLSAS]]/Cereal[[#This Row],[CAP. SACOS]],0)</f>
        <v>26</v>
      </c>
      <c r="J273" s="14">
        <f>Cereal[[#This Row],[N° BOLSAS]]-Cereal[[#This Row],[N° SACOS]]*Cereal[[#This Row],[CAP. SACOS]]</f>
        <v>42</v>
      </c>
      <c r="K273" s="16">
        <v>46071</v>
      </c>
      <c r="L273" s="16">
        <v>46071</v>
      </c>
      <c r="M273" s="16">
        <v>46072</v>
      </c>
      <c r="N273" s="16" t="s">
        <v>112</v>
      </c>
    </row>
    <row r="274" spans="1:14" hidden="1" x14ac:dyDescent="0.25">
      <c r="A274" s="14" t="s">
        <v>14</v>
      </c>
      <c r="B274" s="14" t="s">
        <v>111</v>
      </c>
      <c r="C274" s="15" t="s">
        <v>37</v>
      </c>
      <c r="D274" s="16">
        <v>46112</v>
      </c>
      <c r="E274" s="17">
        <v>1212</v>
      </c>
      <c r="F274" s="18">
        <v>0.91283000000000003</v>
      </c>
      <c r="G274" s="19">
        <f>Cereal[[#This Row],[N° BOLSAS]]*Cereal[[#This Row],[KG BOLSA]]</f>
        <v>1106.34996</v>
      </c>
      <c r="H274" s="37">
        <v>45</v>
      </c>
      <c r="I274" s="14">
        <f>ROUNDDOWN(Cereal[[#This Row],[N° BOLSAS]]/Cereal[[#This Row],[CAP. SACOS]],0)</f>
        <v>26</v>
      </c>
      <c r="J274" s="14">
        <f>Cereal[[#This Row],[N° BOLSAS]]-Cereal[[#This Row],[N° SACOS]]*Cereal[[#This Row],[CAP. SACOS]]</f>
        <v>42</v>
      </c>
      <c r="K274" s="16">
        <v>46117</v>
      </c>
      <c r="L274" s="16">
        <v>46117</v>
      </c>
      <c r="M274" s="16">
        <v>46117</v>
      </c>
      <c r="N274" s="16" t="s">
        <v>112</v>
      </c>
    </row>
    <row r="275" spans="1:14" ht="22.5" hidden="1" x14ac:dyDescent="0.25">
      <c r="A275" s="14" t="s">
        <v>14</v>
      </c>
      <c r="B275" s="14" t="s">
        <v>111</v>
      </c>
      <c r="C275" s="15" t="s">
        <v>38</v>
      </c>
      <c r="D275" s="16">
        <v>46203</v>
      </c>
      <c r="E275" s="17">
        <v>1212</v>
      </c>
      <c r="F275" s="18">
        <v>0.91283000000000003</v>
      </c>
      <c r="G275" s="19">
        <f>Cereal[[#This Row],[N° BOLSAS]]*Cereal[[#This Row],[KG BOLSA]]</f>
        <v>1106.34996</v>
      </c>
      <c r="H275" s="37">
        <v>45</v>
      </c>
      <c r="I275" s="14">
        <f>ROUNDDOWN(Cereal[[#This Row],[N° BOLSAS]]/Cereal[[#This Row],[CAP. SACOS]],0)</f>
        <v>26</v>
      </c>
      <c r="J275" s="14">
        <f>Cereal[[#This Row],[N° BOLSAS]]-Cereal[[#This Row],[N° SACOS]]*Cereal[[#This Row],[CAP. SACOS]]</f>
        <v>42</v>
      </c>
      <c r="K275" s="16">
        <v>46205</v>
      </c>
      <c r="L275" s="16">
        <v>46205</v>
      </c>
      <c r="M275" s="16">
        <v>46205</v>
      </c>
      <c r="N275" s="16" t="s">
        <v>112</v>
      </c>
    </row>
    <row r="276" spans="1:14" hidden="1" x14ac:dyDescent="0.25">
      <c r="A276" s="14" t="s">
        <v>14</v>
      </c>
      <c r="B276" s="14" t="s">
        <v>111</v>
      </c>
      <c r="C276" s="15" t="s">
        <v>30</v>
      </c>
      <c r="D276" s="16">
        <v>46275</v>
      </c>
      <c r="E276" s="17">
        <v>404</v>
      </c>
      <c r="F276" s="18">
        <v>1.2225999999999999</v>
      </c>
      <c r="G276" s="19">
        <f>Cereal[[#This Row],[N° BOLSAS]]*Cereal[[#This Row],[KG BOLSA]]</f>
        <v>493.93039999999996</v>
      </c>
      <c r="H276" s="37">
        <v>35</v>
      </c>
      <c r="I276" s="14">
        <f>ROUNDDOWN(Cereal[[#This Row],[N° BOLSAS]]/Cereal[[#This Row],[CAP. SACOS]],0)</f>
        <v>11</v>
      </c>
      <c r="J276" s="14">
        <f>Cereal[[#This Row],[N° BOLSAS]]-Cereal[[#This Row],[N° SACOS]]*Cereal[[#This Row],[CAP. SACOS]]</f>
        <v>19</v>
      </c>
      <c r="K276" s="16"/>
      <c r="L276" s="16"/>
      <c r="M276" s="16"/>
      <c r="N276" s="16" t="s">
        <v>112</v>
      </c>
    </row>
    <row r="277" spans="1:14" ht="33.75" hidden="1" x14ac:dyDescent="0.25">
      <c r="A277" s="14" t="s">
        <v>14</v>
      </c>
      <c r="B277" s="14" t="s">
        <v>111</v>
      </c>
      <c r="C277" s="15" t="s">
        <v>39</v>
      </c>
      <c r="D277" s="16">
        <v>46295</v>
      </c>
      <c r="E277" s="17">
        <v>1212</v>
      </c>
      <c r="F277" s="18">
        <v>0.91283000000000003</v>
      </c>
      <c r="G277" s="19">
        <f>Cereal[[#This Row],[N° BOLSAS]]*Cereal[[#This Row],[KG BOLSA]]</f>
        <v>1106.34996</v>
      </c>
      <c r="H277" s="37">
        <v>45</v>
      </c>
      <c r="I277" s="14">
        <f>ROUNDDOWN(Cereal[[#This Row],[N° BOLSAS]]/Cereal[[#This Row],[CAP. SACOS]],0)</f>
        <v>26</v>
      </c>
      <c r="J277" s="14">
        <f>Cereal[[#This Row],[N° BOLSAS]]-Cereal[[#This Row],[N° SACOS]]*Cereal[[#This Row],[CAP. SACOS]]</f>
        <v>42</v>
      </c>
      <c r="K277" s="16"/>
      <c r="L277" s="16"/>
      <c r="M277" s="16"/>
      <c r="N277" s="16" t="s">
        <v>112</v>
      </c>
    </row>
    <row r="278" spans="1:14" ht="22.5" hidden="1" x14ac:dyDescent="0.25">
      <c r="A278" s="14" t="s">
        <v>113</v>
      </c>
      <c r="B278" s="14" t="s">
        <v>114</v>
      </c>
      <c r="C278" s="15" t="s">
        <v>35</v>
      </c>
      <c r="D278" s="16">
        <v>46011</v>
      </c>
      <c r="E278" s="17">
        <v>1977</v>
      </c>
      <c r="F278" s="18">
        <v>1.7111700000000001</v>
      </c>
      <c r="G278" s="19">
        <f>Cereal[[#This Row],[N° BOLSAS]]*Cereal[[#This Row],[KG BOLSA]]</f>
        <v>3382.9830900000002</v>
      </c>
      <c r="H278" s="37">
        <v>25</v>
      </c>
      <c r="I278" s="14">
        <f>ROUNDDOWN(Cereal[[#This Row],[N° BOLSAS]]/Cereal[[#This Row],[CAP. SACOS]],0)</f>
        <v>79</v>
      </c>
      <c r="J278" s="14">
        <f>Cereal[[#This Row],[N° BOLSAS]]-Cereal[[#This Row],[N° SACOS]]*Cereal[[#This Row],[CAP. SACOS]]</f>
        <v>2</v>
      </c>
      <c r="K278" s="16">
        <v>46008</v>
      </c>
      <c r="L278" s="16">
        <v>46008</v>
      </c>
      <c r="M278" s="16">
        <v>46036</v>
      </c>
      <c r="N278" s="16" t="s">
        <v>115</v>
      </c>
    </row>
    <row r="279" spans="1:14" hidden="1" x14ac:dyDescent="0.25">
      <c r="A279" s="14" t="s">
        <v>113</v>
      </c>
      <c r="B279" s="14" t="s">
        <v>114</v>
      </c>
      <c r="C279" s="15" t="s">
        <v>37</v>
      </c>
      <c r="D279" s="16">
        <v>46112</v>
      </c>
      <c r="E279" s="17">
        <v>1977</v>
      </c>
      <c r="F279" s="18">
        <v>1.7111700000000001</v>
      </c>
      <c r="G279" s="19">
        <f>Cereal[[#This Row],[N° BOLSAS]]*Cereal[[#This Row],[KG BOLSA]]</f>
        <v>3382.9830900000002</v>
      </c>
      <c r="H279" s="37">
        <v>25</v>
      </c>
      <c r="I279" s="14">
        <f>ROUNDDOWN(Cereal[[#This Row],[N° BOLSAS]]/Cereal[[#This Row],[CAP. SACOS]],0)</f>
        <v>79</v>
      </c>
      <c r="J279" s="14">
        <f>Cereal[[#This Row],[N° BOLSAS]]-Cereal[[#This Row],[N° SACOS]]*Cereal[[#This Row],[CAP. SACOS]]</f>
        <v>2</v>
      </c>
      <c r="K279" s="16">
        <v>46110</v>
      </c>
      <c r="L279" s="16">
        <v>46110</v>
      </c>
      <c r="M279" s="16">
        <v>46110</v>
      </c>
      <c r="N279" s="16" t="s">
        <v>115</v>
      </c>
    </row>
    <row r="280" spans="1:14" ht="22.5" hidden="1" x14ac:dyDescent="0.25">
      <c r="A280" s="14" t="s">
        <v>113</v>
      </c>
      <c r="B280" s="14" t="s">
        <v>114</v>
      </c>
      <c r="C280" s="15" t="s">
        <v>38</v>
      </c>
      <c r="D280" s="16">
        <v>46203</v>
      </c>
      <c r="E280" s="17">
        <v>1977</v>
      </c>
      <c r="F280" s="18">
        <v>1.7111700000000001</v>
      </c>
      <c r="G280" s="19">
        <f>Cereal[[#This Row],[N° BOLSAS]]*Cereal[[#This Row],[KG BOLSA]]</f>
        <v>3382.9830900000002</v>
      </c>
      <c r="H280" s="37">
        <v>25</v>
      </c>
      <c r="I280" s="14">
        <f>ROUNDDOWN(Cereal[[#This Row],[N° BOLSAS]]/Cereal[[#This Row],[CAP. SACOS]],0)</f>
        <v>79</v>
      </c>
      <c r="J280" s="14">
        <f>Cereal[[#This Row],[N° BOLSAS]]-Cereal[[#This Row],[N° SACOS]]*Cereal[[#This Row],[CAP. SACOS]]</f>
        <v>2</v>
      </c>
      <c r="K280" s="16">
        <v>46205</v>
      </c>
      <c r="L280" s="16">
        <v>46205</v>
      </c>
      <c r="M280" s="16">
        <v>46205</v>
      </c>
      <c r="N280" s="16" t="s">
        <v>115</v>
      </c>
    </row>
    <row r="281" spans="1:14" hidden="1" x14ac:dyDescent="0.25">
      <c r="A281" s="14" t="s">
        <v>113</v>
      </c>
      <c r="B281" s="14" t="s">
        <v>114</v>
      </c>
      <c r="C281" s="15" t="s">
        <v>30</v>
      </c>
      <c r="D281" s="16">
        <v>46234</v>
      </c>
      <c r="E281" s="17">
        <v>759</v>
      </c>
      <c r="F281" s="18">
        <v>1.7111700000000001</v>
      </c>
      <c r="G281" s="19">
        <f>Cereal[[#This Row],[N° BOLSAS]]*Cereal[[#This Row],[KG BOLSA]]</f>
        <v>1298.7780300000002</v>
      </c>
      <c r="H281" s="37">
        <v>25</v>
      </c>
      <c r="I281" s="14">
        <f>ROUNDDOWN(Cereal[[#This Row],[N° BOLSAS]]/Cereal[[#This Row],[CAP. SACOS]],0)</f>
        <v>30</v>
      </c>
      <c r="J281" s="14">
        <f>Cereal[[#This Row],[N° BOLSAS]]-Cereal[[#This Row],[N° SACOS]]*Cereal[[#This Row],[CAP. SACOS]]</f>
        <v>9</v>
      </c>
      <c r="K281" s="16">
        <v>46236</v>
      </c>
      <c r="L281" s="16">
        <v>46236</v>
      </c>
      <c r="M281" s="16">
        <v>46237</v>
      </c>
      <c r="N281" s="16" t="s">
        <v>115</v>
      </c>
    </row>
    <row r="282" spans="1:14" ht="33.75" hidden="1" x14ac:dyDescent="0.25">
      <c r="A282" s="14" t="s">
        <v>113</v>
      </c>
      <c r="B282" s="14" t="s">
        <v>114</v>
      </c>
      <c r="C282" s="15" t="s">
        <v>39</v>
      </c>
      <c r="D282" s="16">
        <v>46295</v>
      </c>
      <c r="E282" s="17">
        <v>1977</v>
      </c>
      <c r="F282" s="18">
        <v>1.7111700000000001</v>
      </c>
      <c r="G282" s="19">
        <f>Cereal[[#This Row],[N° BOLSAS]]*Cereal[[#This Row],[KG BOLSA]]</f>
        <v>3382.9830900000002</v>
      </c>
      <c r="H282" s="37">
        <v>25</v>
      </c>
      <c r="I282" s="14">
        <f>ROUNDDOWN(Cereal[[#This Row],[N° BOLSAS]]/Cereal[[#This Row],[CAP. SACOS]],0)</f>
        <v>79</v>
      </c>
      <c r="J282" s="14">
        <f>Cereal[[#This Row],[N° BOLSAS]]-Cereal[[#This Row],[N° SACOS]]*Cereal[[#This Row],[CAP. SACOS]]</f>
        <v>2</v>
      </c>
      <c r="K282" s="16"/>
      <c r="L282" s="16"/>
      <c r="M282" s="16"/>
      <c r="N282" s="16" t="s">
        <v>115</v>
      </c>
    </row>
    <row r="283" spans="1:14" hidden="1" x14ac:dyDescent="0.25">
      <c r="A283" s="14" t="s">
        <v>14</v>
      </c>
      <c r="B283" s="14" t="s">
        <v>116</v>
      </c>
      <c r="C283" s="15" t="s">
        <v>16</v>
      </c>
      <c r="D283" s="16">
        <v>46051</v>
      </c>
      <c r="E283" s="17">
        <v>1128</v>
      </c>
      <c r="F283" s="18">
        <v>1.70333</v>
      </c>
      <c r="G283" s="19">
        <f>Cereal[[#This Row],[N° BOLSAS]]*Cereal[[#This Row],[KG BOLSA]]</f>
        <v>1921.3562400000001</v>
      </c>
      <c r="H283" s="37">
        <v>22</v>
      </c>
      <c r="I283" s="14">
        <f>ROUNDDOWN(Cereal[[#This Row],[N° BOLSAS]]/Cereal[[#This Row],[CAP. SACOS]],0)</f>
        <v>51</v>
      </c>
      <c r="J283" s="14">
        <f>Cereal[[#This Row],[N° BOLSAS]]-Cereal[[#This Row],[N° SACOS]]*Cereal[[#This Row],[CAP. SACOS]]</f>
        <v>6</v>
      </c>
      <c r="K283" s="16">
        <v>46027</v>
      </c>
      <c r="L283" s="16">
        <v>46027</v>
      </c>
      <c r="M283" s="16">
        <v>46028</v>
      </c>
      <c r="N283" s="16" t="s">
        <v>117</v>
      </c>
    </row>
    <row r="284" spans="1:14" hidden="1" x14ac:dyDescent="0.25">
      <c r="A284" s="14" t="s">
        <v>14</v>
      </c>
      <c r="B284" s="14" t="s">
        <v>116</v>
      </c>
      <c r="C284" s="15" t="s">
        <v>18</v>
      </c>
      <c r="D284" s="16">
        <v>46051</v>
      </c>
      <c r="E284" s="17">
        <v>1128</v>
      </c>
      <c r="F284" s="18">
        <v>1.70333</v>
      </c>
      <c r="G284" s="19">
        <f>Cereal[[#This Row],[N° BOLSAS]]*Cereal[[#This Row],[KG BOLSA]]</f>
        <v>1921.3562400000001</v>
      </c>
      <c r="H284" s="37">
        <v>22</v>
      </c>
      <c r="I284" s="14">
        <f>ROUNDDOWN(Cereal[[#This Row],[N° BOLSAS]]/Cereal[[#This Row],[CAP. SACOS]],0)</f>
        <v>51</v>
      </c>
      <c r="J284" s="14">
        <f>Cereal[[#This Row],[N° BOLSAS]]-Cereal[[#This Row],[N° SACOS]]*Cereal[[#This Row],[CAP. SACOS]]</f>
        <v>6</v>
      </c>
      <c r="K284" s="16">
        <v>46050</v>
      </c>
      <c r="L284" s="16">
        <v>46050</v>
      </c>
      <c r="M284" s="16">
        <v>46051</v>
      </c>
      <c r="N284" s="16" t="s">
        <v>117</v>
      </c>
    </row>
    <row r="285" spans="1:14" hidden="1" x14ac:dyDescent="0.25">
      <c r="A285" s="14" t="s">
        <v>14</v>
      </c>
      <c r="B285" s="14" t="s">
        <v>116</v>
      </c>
      <c r="C285" s="15" t="s">
        <v>19</v>
      </c>
      <c r="D285" s="16">
        <v>46078</v>
      </c>
      <c r="E285" s="17">
        <v>1128</v>
      </c>
      <c r="F285" s="18">
        <v>1.70333</v>
      </c>
      <c r="G285" s="19">
        <f>Cereal[[#This Row],[N° BOLSAS]]*Cereal[[#This Row],[KG BOLSA]]</f>
        <v>1921.3562400000001</v>
      </c>
      <c r="H285" s="37">
        <v>22</v>
      </c>
      <c r="I285" s="14">
        <f>ROUNDDOWN(Cereal[[#This Row],[N° BOLSAS]]/Cereal[[#This Row],[CAP. SACOS]],0)</f>
        <v>51</v>
      </c>
      <c r="J285" s="14">
        <f>Cereal[[#This Row],[N° BOLSAS]]-Cereal[[#This Row],[N° SACOS]]*Cereal[[#This Row],[CAP. SACOS]]</f>
        <v>6</v>
      </c>
      <c r="K285" s="16">
        <v>46077</v>
      </c>
      <c r="L285" s="16">
        <v>46077</v>
      </c>
      <c r="M285" s="16">
        <v>46078</v>
      </c>
      <c r="N285" s="16" t="s">
        <v>117</v>
      </c>
    </row>
    <row r="286" spans="1:14" hidden="1" x14ac:dyDescent="0.25">
      <c r="A286" s="14" t="s">
        <v>14</v>
      </c>
      <c r="B286" s="14" t="s">
        <v>116</v>
      </c>
      <c r="C286" s="15" t="s">
        <v>20</v>
      </c>
      <c r="D286" s="16">
        <v>46111</v>
      </c>
      <c r="E286" s="17">
        <v>1128</v>
      </c>
      <c r="F286" s="18">
        <v>1.70333</v>
      </c>
      <c r="G286" s="19">
        <f>Cereal[[#This Row],[N° BOLSAS]]*Cereal[[#This Row],[KG BOLSA]]</f>
        <v>1921.3562400000001</v>
      </c>
      <c r="H286" s="37">
        <v>22</v>
      </c>
      <c r="I286" s="14">
        <f>ROUNDDOWN(Cereal[[#This Row],[N° BOLSAS]]/Cereal[[#This Row],[CAP. SACOS]],0)</f>
        <v>51</v>
      </c>
      <c r="J286" s="14">
        <f>Cereal[[#This Row],[N° BOLSAS]]-Cereal[[#This Row],[N° SACOS]]*Cereal[[#This Row],[CAP. SACOS]]</f>
        <v>6</v>
      </c>
      <c r="K286" s="16">
        <v>46105</v>
      </c>
      <c r="L286" s="16">
        <v>46105</v>
      </c>
      <c r="M286" s="16">
        <v>46105</v>
      </c>
      <c r="N286" s="16" t="s">
        <v>117</v>
      </c>
    </row>
    <row r="287" spans="1:14" hidden="1" x14ac:dyDescent="0.25">
      <c r="A287" s="14" t="s">
        <v>14</v>
      </c>
      <c r="B287" s="14" t="s">
        <v>116</v>
      </c>
      <c r="C287" s="15" t="s">
        <v>21</v>
      </c>
      <c r="D287" s="16">
        <v>46140</v>
      </c>
      <c r="E287" s="17">
        <v>1128</v>
      </c>
      <c r="F287" s="18">
        <v>1.70333</v>
      </c>
      <c r="G287" s="19">
        <f>Cereal[[#This Row],[N° BOLSAS]]*Cereal[[#This Row],[KG BOLSA]]</f>
        <v>1921.3562400000001</v>
      </c>
      <c r="H287" s="37">
        <v>22</v>
      </c>
      <c r="I287" s="14">
        <f>ROUNDDOWN(Cereal[[#This Row],[N° BOLSAS]]/Cereal[[#This Row],[CAP. SACOS]],0)</f>
        <v>51</v>
      </c>
      <c r="J287" s="14">
        <f>Cereal[[#This Row],[N° BOLSAS]]-Cereal[[#This Row],[N° SACOS]]*Cereal[[#This Row],[CAP. SACOS]]</f>
        <v>6</v>
      </c>
      <c r="K287" s="16">
        <v>46137</v>
      </c>
      <c r="L287" s="16">
        <v>46137</v>
      </c>
      <c r="M287" s="16">
        <v>46137</v>
      </c>
      <c r="N287" s="16" t="s">
        <v>117</v>
      </c>
    </row>
    <row r="288" spans="1:14" hidden="1" x14ac:dyDescent="0.25">
      <c r="A288" s="14" t="s">
        <v>14</v>
      </c>
      <c r="B288" s="14" t="s">
        <v>116</v>
      </c>
      <c r="C288" s="15" t="s">
        <v>22</v>
      </c>
      <c r="D288" s="16">
        <v>46170</v>
      </c>
      <c r="E288" s="17">
        <v>1128</v>
      </c>
      <c r="F288" s="18">
        <v>1.70333</v>
      </c>
      <c r="G288" s="19">
        <f>Cereal[[#This Row],[N° BOLSAS]]*Cereal[[#This Row],[KG BOLSA]]</f>
        <v>1921.3562400000001</v>
      </c>
      <c r="H288" s="37">
        <v>22</v>
      </c>
      <c r="I288" s="14">
        <f>ROUNDDOWN(Cereal[[#This Row],[N° BOLSAS]]/Cereal[[#This Row],[CAP. SACOS]],0)</f>
        <v>51</v>
      </c>
      <c r="J288" s="14">
        <f>Cereal[[#This Row],[N° BOLSAS]]-Cereal[[#This Row],[N° SACOS]]*Cereal[[#This Row],[CAP. SACOS]]</f>
        <v>6</v>
      </c>
      <c r="K288" s="16">
        <v>46163</v>
      </c>
      <c r="L288" s="16">
        <v>46163</v>
      </c>
      <c r="M288" s="16">
        <v>46167</v>
      </c>
      <c r="N288" s="16" t="s">
        <v>117</v>
      </c>
    </row>
    <row r="289" spans="1:14" hidden="1" x14ac:dyDescent="0.25">
      <c r="A289" s="14" t="s">
        <v>14</v>
      </c>
      <c r="B289" s="14" t="s">
        <v>116</v>
      </c>
      <c r="C289" s="15" t="s">
        <v>23</v>
      </c>
      <c r="D289" s="16">
        <v>46199</v>
      </c>
      <c r="E289" s="17">
        <v>1128</v>
      </c>
      <c r="F289" s="18">
        <v>1.70333</v>
      </c>
      <c r="G289" s="19">
        <f>Cereal[[#This Row],[N° BOLSAS]]*Cereal[[#This Row],[KG BOLSA]]</f>
        <v>1921.3562400000001</v>
      </c>
      <c r="H289" s="37">
        <v>22</v>
      </c>
      <c r="I289" s="14">
        <f>ROUNDDOWN(Cereal[[#This Row],[N° BOLSAS]]/Cereal[[#This Row],[CAP. SACOS]],0)</f>
        <v>51</v>
      </c>
      <c r="J289" s="14">
        <f>Cereal[[#This Row],[N° BOLSAS]]-Cereal[[#This Row],[N° SACOS]]*Cereal[[#This Row],[CAP. SACOS]]</f>
        <v>6</v>
      </c>
      <c r="K289" s="16">
        <v>46200</v>
      </c>
      <c r="L289" s="16">
        <v>46200</v>
      </c>
      <c r="M289" s="16">
        <v>46201</v>
      </c>
      <c r="N289" s="16" t="s">
        <v>117</v>
      </c>
    </row>
    <row r="290" spans="1:14" hidden="1" x14ac:dyDescent="0.25">
      <c r="A290" s="14" t="s">
        <v>14</v>
      </c>
      <c r="B290" s="14" t="s">
        <v>116</v>
      </c>
      <c r="C290" s="15" t="s">
        <v>24</v>
      </c>
      <c r="D290" s="16">
        <v>46227</v>
      </c>
      <c r="E290" s="17">
        <v>1128</v>
      </c>
      <c r="F290" s="18">
        <v>1.70333</v>
      </c>
      <c r="G290" s="19">
        <f>Cereal[[#This Row],[N° BOLSAS]]*Cereal[[#This Row],[KG BOLSA]]</f>
        <v>1921.3562400000001</v>
      </c>
      <c r="H290" s="37">
        <v>22</v>
      </c>
      <c r="I290" s="14">
        <f>ROUNDDOWN(Cereal[[#This Row],[N° BOLSAS]]/Cereal[[#This Row],[CAP. SACOS]],0)</f>
        <v>51</v>
      </c>
      <c r="J290" s="14">
        <f>Cereal[[#This Row],[N° BOLSAS]]-Cereal[[#This Row],[N° SACOS]]*Cereal[[#This Row],[CAP. SACOS]]</f>
        <v>6</v>
      </c>
      <c r="K290" s="16">
        <v>46233</v>
      </c>
      <c r="L290" s="16">
        <v>46233</v>
      </c>
      <c r="M290" s="16">
        <v>46233</v>
      </c>
      <c r="N290" s="16" t="s">
        <v>117</v>
      </c>
    </row>
    <row r="291" spans="1:14" hidden="1" x14ac:dyDescent="0.25">
      <c r="A291" s="14" t="s">
        <v>14</v>
      </c>
      <c r="B291" s="14" t="s">
        <v>116</v>
      </c>
      <c r="C291" s="15" t="s">
        <v>30</v>
      </c>
      <c r="D291" s="16">
        <v>46261</v>
      </c>
      <c r="E291" s="17">
        <v>2256</v>
      </c>
      <c r="F291" s="18">
        <v>1.2378100000000001</v>
      </c>
      <c r="G291" s="19">
        <f>Cereal[[#This Row],[N° BOLSAS]]*Cereal[[#This Row],[KG BOLSA]]</f>
        <v>2792.4993600000003</v>
      </c>
      <c r="H291" s="37">
        <v>30</v>
      </c>
      <c r="I291" s="14">
        <f>ROUNDDOWN(Cereal[[#This Row],[N° BOLSAS]]/Cereal[[#This Row],[CAP. SACOS]],0)</f>
        <v>75</v>
      </c>
      <c r="J291" s="37">
        <f>Cereal[[#This Row],[N° BOLSAS]]-Cereal[[#This Row],[N° SACOS]]*Cereal[[#This Row],[CAP. SACOS]]</f>
        <v>6</v>
      </c>
      <c r="K291" s="16">
        <v>46261</v>
      </c>
      <c r="L291" s="16">
        <v>46261</v>
      </c>
      <c r="M291" s="16">
        <v>46261</v>
      </c>
      <c r="N291" s="16" t="s">
        <v>117</v>
      </c>
    </row>
    <row r="292" spans="1:14" hidden="1" x14ac:dyDescent="0.25">
      <c r="A292" s="14" t="s">
        <v>14</v>
      </c>
      <c r="B292" s="14" t="s">
        <v>116</v>
      </c>
      <c r="C292" s="15" t="s">
        <v>25</v>
      </c>
      <c r="D292" s="16">
        <v>46261</v>
      </c>
      <c r="E292" s="17">
        <v>1128</v>
      </c>
      <c r="F292" s="18">
        <v>1.70333</v>
      </c>
      <c r="G292" s="19">
        <f>Cereal[[#This Row],[N° BOLSAS]]*Cereal[[#This Row],[KG BOLSA]]</f>
        <v>1921.3562400000001</v>
      </c>
      <c r="H292" s="37">
        <v>22</v>
      </c>
      <c r="I292" s="14">
        <f>ROUNDDOWN(Cereal[[#This Row],[N° BOLSAS]]/Cereal[[#This Row],[CAP. SACOS]],0)</f>
        <v>51</v>
      </c>
      <c r="J292" s="14">
        <f>Cereal[[#This Row],[N° BOLSAS]]-Cereal[[#This Row],[N° SACOS]]*Cereal[[#This Row],[CAP. SACOS]]</f>
        <v>6</v>
      </c>
      <c r="K292" s="16">
        <v>46261</v>
      </c>
      <c r="L292" s="16">
        <v>46261</v>
      </c>
      <c r="M292" s="16">
        <v>46261</v>
      </c>
      <c r="N292" s="16" t="s">
        <v>117</v>
      </c>
    </row>
    <row r="293" spans="1:14" hidden="1" x14ac:dyDescent="0.25">
      <c r="A293" s="14" t="s">
        <v>14</v>
      </c>
      <c r="B293" s="14" t="s">
        <v>116</v>
      </c>
      <c r="C293" s="15" t="s">
        <v>26</v>
      </c>
      <c r="D293" s="16">
        <v>46293</v>
      </c>
      <c r="E293" s="17">
        <v>1128</v>
      </c>
      <c r="F293" s="18">
        <v>1.70333</v>
      </c>
      <c r="G293" s="19">
        <f>Cereal[[#This Row],[N° BOLSAS]]*Cereal[[#This Row],[KG BOLSA]]</f>
        <v>1921.3562400000001</v>
      </c>
      <c r="H293" s="37">
        <v>22</v>
      </c>
      <c r="I293" s="14">
        <f>ROUNDDOWN(Cereal[[#This Row],[N° BOLSAS]]/Cereal[[#This Row],[CAP. SACOS]],0)</f>
        <v>51</v>
      </c>
      <c r="J293" s="14">
        <f>Cereal[[#This Row],[N° BOLSAS]]-Cereal[[#This Row],[N° SACOS]]*Cereal[[#This Row],[CAP. SACOS]]</f>
        <v>6</v>
      </c>
      <c r="K293" s="16">
        <v>46293</v>
      </c>
      <c r="L293" s="16">
        <v>46293</v>
      </c>
      <c r="M293" s="16">
        <v>46293</v>
      </c>
      <c r="N293" s="16" t="s">
        <v>117</v>
      </c>
    </row>
    <row r="294" spans="1:14" hidden="1" x14ac:dyDescent="0.25">
      <c r="A294" s="14" t="s">
        <v>14</v>
      </c>
      <c r="B294" s="14" t="s">
        <v>116</v>
      </c>
      <c r="C294" s="15" t="s">
        <v>27</v>
      </c>
      <c r="D294" s="16">
        <v>46324</v>
      </c>
      <c r="E294" s="17">
        <v>1128</v>
      </c>
      <c r="F294" s="18">
        <v>1.70333</v>
      </c>
      <c r="G294" s="19">
        <f>Cereal[[#This Row],[N° BOLSAS]]*Cereal[[#This Row],[KG BOLSA]]</f>
        <v>1921.3562400000001</v>
      </c>
      <c r="H294" s="37">
        <v>22</v>
      </c>
      <c r="I294" s="14">
        <f>ROUNDDOWN(Cereal[[#This Row],[N° BOLSAS]]/Cereal[[#This Row],[CAP. SACOS]],0)</f>
        <v>51</v>
      </c>
      <c r="J294" s="14">
        <f>Cereal[[#This Row],[N° BOLSAS]]-Cereal[[#This Row],[N° SACOS]]*Cereal[[#This Row],[CAP. SACOS]]</f>
        <v>6</v>
      </c>
      <c r="K294" s="16"/>
      <c r="L294" s="16"/>
      <c r="M294" s="16"/>
      <c r="N294" s="16" t="s">
        <v>117</v>
      </c>
    </row>
    <row r="295" spans="1:14" hidden="1" x14ac:dyDescent="0.25">
      <c r="A295" s="14" t="s">
        <v>14</v>
      </c>
      <c r="B295" s="14" t="s">
        <v>116</v>
      </c>
      <c r="C295" s="15" t="s">
        <v>28</v>
      </c>
      <c r="D295" s="16">
        <v>46353</v>
      </c>
      <c r="E295" s="17">
        <v>1128</v>
      </c>
      <c r="F295" s="18">
        <v>1.70333</v>
      </c>
      <c r="G295" s="19">
        <f>Cereal[[#This Row],[N° BOLSAS]]*Cereal[[#This Row],[KG BOLSA]]</f>
        <v>1921.3562400000001</v>
      </c>
      <c r="H295" s="37">
        <v>22</v>
      </c>
      <c r="I295" s="14">
        <f>ROUNDDOWN(Cereal[[#This Row],[N° BOLSAS]]/Cereal[[#This Row],[CAP. SACOS]],0)</f>
        <v>51</v>
      </c>
      <c r="J295" s="14">
        <f>Cereal[[#This Row],[N° BOLSAS]]-Cereal[[#This Row],[N° SACOS]]*Cereal[[#This Row],[CAP. SACOS]]</f>
        <v>6</v>
      </c>
      <c r="K295" s="16"/>
      <c r="L295" s="16"/>
      <c r="M295" s="16"/>
      <c r="N295" s="16" t="s">
        <v>117</v>
      </c>
    </row>
    <row r="296" spans="1:14" hidden="1" x14ac:dyDescent="0.25">
      <c r="A296" s="14" t="s">
        <v>100</v>
      </c>
      <c r="B296" s="14" t="s">
        <v>118</v>
      </c>
      <c r="C296" s="15" t="s">
        <v>30</v>
      </c>
      <c r="D296" s="16">
        <v>46096</v>
      </c>
      <c r="E296" s="17">
        <v>790</v>
      </c>
      <c r="F296" s="18">
        <v>1</v>
      </c>
      <c r="G296" s="19">
        <f>Cereal[[#This Row],[N° BOLSAS]]*Cereal[[#This Row],[KG BOLSA]]</f>
        <v>790</v>
      </c>
      <c r="H296" s="37">
        <v>40</v>
      </c>
      <c r="I296" s="14">
        <f>ROUNDDOWN(Cereal[[#This Row],[N° BOLSAS]]/Cereal[[#This Row],[CAP. SACOS]],0)</f>
        <v>19</v>
      </c>
      <c r="J296" s="14">
        <f>Cereal[[#This Row],[N° BOLSAS]]-Cereal[[#This Row],[N° SACOS]]*Cereal[[#This Row],[CAP. SACOS]]</f>
        <v>30</v>
      </c>
      <c r="K296" s="16">
        <v>46090</v>
      </c>
      <c r="L296" s="16">
        <v>46090</v>
      </c>
      <c r="M296" s="16">
        <v>46091</v>
      </c>
      <c r="N296" s="16" t="s">
        <v>119</v>
      </c>
    </row>
    <row r="297" spans="1:14" hidden="1" x14ac:dyDescent="0.25">
      <c r="A297" s="14" t="s">
        <v>100</v>
      </c>
      <c r="B297" s="14" t="s">
        <v>118</v>
      </c>
      <c r="C297" s="15" t="s">
        <v>30</v>
      </c>
      <c r="D297" s="16">
        <v>46122</v>
      </c>
      <c r="E297" s="17">
        <v>800</v>
      </c>
      <c r="F297" s="18">
        <v>1</v>
      </c>
      <c r="G297" s="19">
        <f>Cereal[[#This Row],[N° BOLSAS]]*Cereal[[#This Row],[KG BOLSA]]</f>
        <v>800</v>
      </c>
      <c r="H297" s="37">
        <v>40</v>
      </c>
      <c r="I297" s="14">
        <f>ROUNDDOWN(Cereal[[#This Row],[N° BOLSAS]]/Cereal[[#This Row],[CAP. SACOS]],0)</f>
        <v>20</v>
      </c>
      <c r="J297" s="14">
        <f>Cereal[[#This Row],[N° BOLSAS]]-Cereal[[#This Row],[N° SACOS]]*Cereal[[#This Row],[CAP. SACOS]]</f>
        <v>0</v>
      </c>
      <c r="K297" s="16">
        <v>46120</v>
      </c>
      <c r="L297" s="16">
        <v>46120</v>
      </c>
      <c r="M297" s="16">
        <v>46120</v>
      </c>
      <c r="N297" s="16" t="s">
        <v>119</v>
      </c>
    </row>
    <row r="298" spans="1:14" hidden="1" x14ac:dyDescent="0.25">
      <c r="A298" s="14" t="s">
        <v>100</v>
      </c>
      <c r="B298" s="14" t="s">
        <v>118</v>
      </c>
      <c r="C298" s="15" t="s">
        <v>30</v>
      </c>
      <c r="D298" s="16">
        <v>46188</v>
      </c>
      <c r="E298" s="17">
        <v>810</v>
      </c>
      <c r="F298" s="18">
        <v>1</v>
      </c>
      <c r="G298" s="19">
        <f>Cereal[[#This Row],[N° BOLSAS]]*Cereal[[#This Row],[KG BOLSA]]</f>
        <v>810</v>
      </c>
      <c r="H298" s="37">
        <v>40</v>
      </c>
      <c r="I298" s="14">
        <f>ROUNDDOWN(Cereal[[#This Row],[N° BOLSAS]]/Cereal[[#This Row],[CAP. SACOS]],0)</f>
        <v>20</v>
      </c>
      <c r="J298" s="14">
        <f>Cereal[[#This Row],[N° BOLSAS]]-Cereal[[#This Row],[N° SACOS]]*Cereal[[#This Row],[CAP. SACOS]]</f>
        <v>10</v>
      </c>
      <c r="K298" s="16">
        <v>46206</v>
      </c>
      <c r="L298" s="16">
        <v>46206</v>
      </c>
      <c r="M298" s="16">
        <v>46210</v>
      </c>
      <c r="N298" s="16" t="s">
        <v>119</v>
      </c>
    </row>
    <row r="299" spans="1:14" hidden="1" x14ac:dyDescent="0.25">
      <c r="A299" s="14" t="s">
        <v>14</v>
      </c>
      <c r="B299" s="14" t="s">
        <v>120</v>
      </c>
      <c r="C299" s="15" t="s">
        <v>121</v>
      </c>
      <c r="D299" s="16">
        <v>46037</v>
      </c>
      <c r="E299" s="17">
        <f>1215*2</f>
        <v>2430</v>
      </c>
      <c r="F299" s="18">
        <v>1.5649999999999999</v>
      </c>
      <c r="G299" s="19">
        <f>Cereal[[#This Row],[N° BOLSAS]]*Cereal[[#This Row],[KG BOLSA]]</f>
        <v>3802.95</v>
      </c>
      <c r="H299" s="37">
        <v>30</v>
      </c>
      <c r="I299" s="14">
        <f>ROUNDDOWN(Cereal[[#This Row],[N° BOLSAS]]/Cereal[[#This Row],[CAP. SACOS]],0)</f>
        <v>81</v>
      </c>
      <c r="J299" s="14">
        <f>Cereal[[#This Row],[N° BOLSAS]]-Cereal[[#This Row],[N° SACOS]]*Cereal[[#This Row],[CAP. SACOS]]</f>
        <v>0</v>
      </c>
      <c r="K299" s="16">
        <v>46032</v>
      </c>
      <c r="L299" s="16">
        <v>46032</v>
      </c>
      <c r="M299" s="16">
        <v>46033</v>
      </c>
      <c r="N299" s="16" t="s">
        <v>108</v>
      </c>
    </row>
    <row r="300" spans="1:14" hidden="1" x14ac:dyDescent="0.25">
      <c r="A300" s="14" t="s">
        <v>14</v>
      </c>
      <c r="B300" s="14" t="s">
        <v>120</v>
      </c>
      <c r="C300" s="15" t="s">
        <v>122</v>
      </c>
      <c r="D300" s="16">
        <v>46073</v>
      </c>
      <c r="E300" s="17">
        <f>1215*2</f>
        <v>2430</v>
      </c>
      <c r="F300" s="18">
        <v>1.5649999999999999</v>
      </c>
      <c r="G300" s="19">
        <f>Cereal[[#This Row],[N° BOLSAS]]*Cereal[[#This Row],[KG BOLSA]]</f>
        <v>3802.95</v>
      </c>
      <c r="H300" s="37">
        <v>30</v>
      </c>
      <c r="I300" s="14">
        <f>ROUNDDOWN(Cereal[[#This Row],[N° BOLSAS]]/Cereal[[#This Row],[CAP. SACOS]],0)</f>
        <v>81</v>
      </c>
      <c r="J300" s="14">
        <f>Cereal[[#This Row],[N° BOLSAS]]-Cereal[[#This Row],[N° SACOS]]*Cereal[[#This Row],[CAP. SACOS]]</f>
        <v>0</v>
      </c>
      <c r="K300" s="16">
        <v>46063</v>
      </c>
      <c r="L300" s="16">
        <v>46063</v>
      </c>
      <c r="M300" s="16">
        <v>46063</v>
      </c>
      <c r="N300" s="16" t="s">
        <v>108</v>
      </c>
    </row>
    <row r="301" spans="1:14" hidden="1" x14ac:dyDescent="0.25">
      <c r="A301" s="14" t="s">
        <v>14</v>
      </c>
      <c r="B301" s="14" t="s">
        <v>120</v>
      </c>
      <c r="C301" s="15" t="s">
        <v>43</v>
      </c>
      <c r="D301" s="16">
        <v>46133</v>
      </c>
      <c r="E301" s="17">
        <f>1215*2</f>
        <v>2430</v>
      </c>
      <c r="F301" s="18">
        <v>1.5649999999999999</v>
      </c>
      <c r="G301" s="19">
        <f>Cereal[[#This Row],[N° BOLSAS]]*Cereal[[#This Row],[KG BOLSA]]</f>
        <v>3802.95</v>
      </c>
      <c r="H301" s="37">
        <v>30</v>
      </c>
      <c r="I301" s="14">
        <f>ROUNDDOWN(Cereal[[#This Row],[N° BOLSAS]]/Cereal[[#This Row],[CAP. SACOS]],0)</f>
        <v>81</v>
      </c>
      <c r="J301" s="14">
        <f>Cereal[[#This Row],[N° BOLSAS]]-Cereal[[#This Row],[N° SACOS]]*Cereal[[#This Row],[CAP. SACOS]]</f>
        <v>0</v>
      </c>
      <c r="K301" s="16">
        <v>46123</v>
      </c>
      <c r="L301" s="16">
        <v>46123</v>
      </c>
      <c r="M301" s="16">
        <v>46135</v>
      </c>
      <c r="N301" s="16" t="s">
        <v>108</v>
      </c>
    </row>
    <row r="302" spans="1:14" hidden="1" x14ac:dyDescent="0.25">
      <c r="A302" s="14" t="s">
        <v>14</v>
      </c>
      <c r="B302" s="14" t="s">
        <v>120</v>
      </c>
      <c r="C302" s="15" t="s">
        <v>30</v>
      </c>
      <c r="D302" s="16">
        <v>46194</v>
      </c>
      <c r="E302" s="17">
        <v>2427</v>
      </c>
      <c r="F302" s="18">
        <v>0.9113</v>
      </c>
      <c r="G302" s="19">
        <f>Cereal[[#This Row],[N° BOLSAS]]*Cereal[[#This Row],[KG BOLSA]]</f>
        <v>2211.7251000000001</v>
      </c>
      <c r="H302" s="37">
        <v>45</v>
      </c>
      <c r="I302" s="14">
        <f>ROUNDDOWN(Cereal[[#This Row],[N° BOLSAS]]/Cereal[[#This Row],[CAP. SACOS]],0)</f>
        <v>53</v>
      </c>
      <c r="J302" s="14">
        <f>Cereal[[#This Row],[N° BOLSAS]]-Cereal[[#This Row],[N° SACOS]]*Cereal[[#This Row],[CAP. SACOS]]</f>
        <v>42</v>
      </c>
      <c r="K302" s="16">
        <v>46243</v>
      </c>
      <c r="L302" s="16">
        <v>46243</v>
      </c>
      <c r="M302" s="16">
        <v>46244</v>
      </c>
      <c r="N302" s="16" t="s">
        <v>108</v>
      </c>
    </row>
    <row r="303" spans="1:14" hidden="1" x14ac:dyDescent="0.25">
      <c r="A303" s="14" t="s">
        <v>14</v>
      </c>
      <c r="B303" s="14" t="s">
        <v>120</v>
      </c>
      <c r="C303" s="15" t="s">
        <v>44</v>
      </c>
      <c r="D303" s="16">
        <v>46196</v>
      </c>
      <c r="E303" s="17">
        <f>1215*2</f>
        <v>2430</v>
      </c>
      <c r="F303" s="18">
        <v>1.5649999999999999</v>
      </c>
      <c r="G303" s="19">
        <f>Cereal[[#This Row],[N° BOLSAS]]*Cereal[[#This Row],[KG BOLSA]]</f>
        <v>3802.95</v>
      </c>
      <c r="H303" s="37">
        <v>30</v>
      </c>
      <c r="I303" s="14">
        <f>ROUNDDOWN(Cereal[[#This Row],[N° BOLSAS]]/Cereal[[#This Row],[CAP. SACOS]],0)</f>
        <v>81</v>
      </c>
      <c r="J303" s="14">
        <f>Cereal[[#This Row],[N° BOLSAS]]-Cereal[[#This Row],[N° SACOS]]*Cereal[[#This Row],[CAP. SACOS]]</f>
        <v>0</v>
      </c>
      <c r="K303" s="16">
        <v>46168</v>
      </c>
      <c r="L303" s="16">
        <v>46168</v>
      </c>
      <c r="M303" s="16">
        <v>46187</v>
      </c>
      <c r="N303" s="16" t="s">
        <v>108</v>
      </c>
    </row>
    <row r="304" spans="1:14" ht="22.5" hidden="1" x14ac:dyDescent="0.25">
      <c r="A304" s="14" t="s">
        <v>14</v>
      </c>
      <c r="B304" s="14" t="s">
        <v>120</v>
      </c>
      <c r="C304" s="15" t="s">
        <v>45</v>
      </c>
      <c r="D304" s="16">
        <v>46252</v>
      </c>
      <c r="E304" s="17">
        <f>1215*2</f>
        <v>2430</v>
      </c>
      <c r="F304" s="18">
        <v>1.5649999999999999</v>
      </c>
      <c r="G304" s="19">
        <f>Cereal[[#This Row],[N° BOLSAS]]*Cereal[[#This Row],[KG BOLSA]]</f>
        <v>3802.95</v>
      </c>
      <c r="H304" s="37">
        <v>30</v>
      </c>
      <c r="I304" s="14">
        <f>ROUNDDOWN(Cereal[[#This Row],[N° BOLSAS]]/Cereal[[#This Row],[CAP. SACOS]],0)</f>
        <v>81</v>
      </c>
      <c r="J304" s="14">
        <f>Cereal[[#This Row],[N° BOLSAS]]-Cereal[[#This Row],[N° SACOS]]*Cereal[[#This Row],[CAP. SACOS]]</f>
        <v>0</v>
      </c>
      <c r="K304" s="16">
        <v>46241</v>
      </c>
      <c r="L304" s="16">
        <v>46241</v>
      </c>
      <c r="M304" s="16">
        <v>46244</v>
      </c>
      <c r="N304" s="16" t="s">
        <v>108</v>
      </c>
    </row>
    <row r="305" spans="1:14" ht="22.5" hidden="1" x14ac:dyDescent="0.25">
      <c r="A305" s="14" t="s">
        <v>14</v>
      </c>
      <c r="B305" s="14" t="s">
        <v>120</v>
      </c>
      <c r="C305" s="15" t="s">
        <v>46</v>
      </c>
      <c r="D305" s="16">
        <v>46316</v>
      </c>
      <c r="E305" s="17">
        <f>1215*2</f>
        <v>2430</v>
      </c>
      <c r="F305" s="18">
        <v>1.5649999999999999</v>
      </c>
      <c r="G305" s="19">
        <f>Cereal[[#This Row],[N° BOLSAS]]*Cereal[[#This Row],[KG BOLSA]]</f>
        <v>3802.95</v>
      </c>
      <c r="H305" s="37">
        <v>30</v>
      </c>
      <c r="I305" s="14">
        <f>ROUNDDOWN(Cereal[[#This Row],[N° BOLSAS]]/Cereal[[#This Row],[CAP. SACOS]],0)</f>
        <v>81</v>
      </c>
      <c r="J305" s="14">
        <f>Cereal[[#This Row],[N° BOLSAS]]-Cereal[[#This Row],[N° SACOS]]*Cereal[[#This Row],[CAP. SACOS]]</f>
        <v>0</v>
      </c>
      <c r="K305" s="16"/>
      <c r="L305" s="16"/>
      <c r="M305" s="16"/>
      <c r="N305" s="16" t="s">
        <v>108</v>
      </c>
    </row>
    <row r="306" spans="1:14" hidden="1" x14ac:dyDescent="0.25">
      <c r="A306" s="14" t="s">
        <v>14</v>
      </c>
      <c r="B306" s="14" t="s">
        <v>123</v>
      </c>
      <c r="C306" s="15" t="s">
        <v>121</v>
      </c>
      <c r="D306" s="16">
        <v>46041</v>
      </c>
      <c r="E306" s="17">
        <v>1256</v>
      </c>
      <c r="F306" s="18">
        <v>0.8</v>
      </c>
      <c r="G306" s="19">
        <f>Cereal[[#This Row],[N° BOLSAS]]*Cereal[[#This Row],[KG BOLSA]]</f>
        <v>1004.8000000000001</v>
      </c>
      <c r="H306" s="37">
        <v>50</v>
      </c>
      <c r="I306" s="14">
        <f>ROUNDDOWN(Cereal[[#This Row],[N° BOLSAS]]/Cereal[[#This Row],[CAP. SACOS]],0)</f>
        <v>25</v>
      </c>
      <c r="J306" s="14">
        <f>Cereal[[#This Row],[N° BOLSAS]]-Cereal[[#This Row],[N° SACOS]]*Cereal[[#This Row],[CAP. SACOS]]</f>
        <v>6</v>
      </c>
      <c r="K306" s="16">
        <v>46028</v>
      </c>
      <c r="L306" s="16">
        <v>46028</v>
      </c>
      <c r="M306" s="16">
        <v>46028</v>
      </c>
      <c r="N306" s="16" t="s">
        <v>124</v>
      </c>
    </row>
    <row r="307" spans="1:14" hidden="1" x14ac:dyDescent="0.25">
      <c r="A307" s="14" t="s">
        <v>14</v>
      </c>
      <c r="B307" s="14" t="s">
        <v>123</v>
      </c>
      <c r="C307" s="15" t="s">
        <v>122</v>
      </c>
      <c r="D307" s="16">
        <v>46041</v>
      </c>
      <c r="E307" s="17">
        <v>1256</v>
      </c>
      <c r="F307" s="18">
        <v>0.8</v>
      </c>
      <c r="G307" s="19">
        <f>Cereal[[#This Row],[N° BOLSAS]]*Cereal[[#This Row],[KG BOLSA]]</f>
        <v>1004.8000000000001</v>
      </c>
      <c r="H307" s="37">
        <v>50</v>
      </c>
      <c r="I307" s="14">
        <f>ROUNDDOWN(Cereal[[#This Row],[N° BOLSAS]]/Cereal[[#This Row],[CAP. SACOS]],0)</f>
        <v>25</v>
      </c>
      <c r="J307" s="14">
        <f>Cereal[[#This Row],[N° BOLSAS]]-Cereal[[#This Row],[N° SACOS]]*Cereal[[#This Row],[CAP. SACOS]]</f>
        <v>6</v>
      </c>
      <c r="K307" s="16">
        <v>46084</v>
      </c>
      <c r="L307" s="16">
        <v>46084</v>
      </c>
      <c r="M307" s="16">
        <v>46084</v>
      </c>
      <c r="N307" s="16" t="s">
        <v>124</v>
      </c>
    </row>
    <row r="308" spans="1:14" hidden="1" x14ac:dyDescent="0.25">
      <c r="A308" s="14" t="s">
        <v>14</v>
      </c>
      <c r="B308" s="14" t="s">
        <v>123</v>
      </c>
      <c r="C308" s="15" t="s">
        <v>43</v>
      </c>
      <c r="D308" s="16">
        <v>46086</v>
      </c>
      <c r="E308" s="17">
        <v>1256</v>
      </c>
      <c r="F308" s="18">
        <v>0.8</v>
      </c>
      <c r="G308" s="19">
        <f>Cereal[[#This Row],[N° BOLSAS]]*Cereal[[#This Row],[KG BOLSA]]</f>
        <v>1004.8000000000001</v>
      </c>
      <c r="H308" s="37">
        <v>50</v>
      </c>
      <c r="I308" s="14">
        <f>ROUNDDOWN(Cereal[[#This Row],[N° BOLSAS]]/Cereal[[#This Row],[CAP. SACOS]],0)</f>
        <v>25</v>
      </c>
      <c r="J308" s="14">
        <f>Cereal[[#This Row],[N° BOLSAS]]-Cereal[[#This Row],[N° SACOS]]*Cereal[[#This Row],[CAP. SACOS]]</f>
        <v>6</v>
      </c>
      <c r="K308" s="16">
        <v>46134</v>
      </c>
      <c r="L308" s="16">
        <v>46134</v>
      </c>
      <c r="M308" s="16">
        <v>46135</v>
      </c>
      <c r="N308" s="16" t="s">
        <v>124</v>
      </c>
    </row>
    <row r="309" spans="1:14" hidden="1" x14ac:dyDescent="0.25">
      <c r="A309" s="14" t="s">
        <v>14</v>
      </c>
      <c r="B309" s="14" t="s">
        <v>123</v>
      </c>
      <c r="C309" s="15" t="s">
        <v>44</v>
      </c>
      <c r="D309" s="16">
        <v>46203</v>
      </c>
      <c r="E309" s="17">
        <v>1256</v>
      </c>
      <c r="F309" s="18">
        <v>0.8</v>
      </c>
      <c r="G309" s="19">
        <f>Cereal[[#This Row],[N° BOLSAS]]*Cereal[[#This Row],[KG BOLSA]]</f>
        <v>1004.8000000000001</v>
      </c>
      <c r="H309" s="37">
        <v>50</v>
      </c>
      <c r="I309" s="14">
        <f>ROUNDDOWN(Cereal[[#This Row],[N° BOLSAS]]/Cereal[[#This Row],[CAP. SACOS]],0)</f>
        <v>25</v>
      </c>
      <c r="J309" s="14">
        <f>Cereal[[#This Row],[N° BOLSAS]]-Cereal[[#This Row],[N° SACOS]]*Cereal[[#This Row],[CAP. SACOS]]</f>
        <v>6</v>
      </c>
      <c r="K309" s="16">
        <v>46197</v>
      </c>
      <c r="L309" s="16">
        <v>46197</v>
      </c>
      <c r="M309" s="16">
        <v>46198</v>
      </c>
      <c r="N309" s="16" t="s">
        <v>124</v>
      </c>
    </row>
    <row r="310" spans="1:14" ht="22.5" hidden="1" x14ac:dyDescent="0.25">
      <c r="A310" s="14" t="s">
        <v>14</v>
      </c>
      <c r="B310" s="14" t="s">
        <v>123</v>
      </c>
      <c r="C310" s="15" t="s">
        <v>45</v>
      </c>
      <c r="D310" s="16">
        <v>46264</v>
      </c>
      <c r="E310" s="17">
        <v>1256</v>
      </c>
      <c r="F310" s="18">
        <v>0.8</v>
      </c>
      <c r="G310" s="19">
        <f>Cereal[[#This Row],[N° BOLSAS]]*Cereal[[#This Row],[KG BOLSA]]</f>
        <v>1004.8000000000001</v>
      </c>
      <c r="H310" s="37">
        <v>50</v>
      </c>
      <c r="I310" s="14">
        <f>ROUNDDOWN(Cereal[[#This Row],[N° BOLSAS]]/Cereal[[#This Row],[CAP. SACOS]],0)</f>
        <v>25</v>
      </c>
      <c r="J310" s="14">
        <f>Cereal[[#This Row],[N° BOLSAS]]-Cereal[[#This Row],[N° SACOS]]*Cereal[[#This Row],[CAP. SACOS]]</f>
        <v>6</v>
      </c>
      <c r="K310" s="16">
        <v>46257</v>
      </c>
      <c r="L310" s="16">
        <v>46257</v>
      </c>
      <c r="M310" s="16">
        <v>46257</v>
      </c>
      <c r="N310" s="16" t="s">
        <v>124</v>
      </c>
    </row>
    <row r="311" spans="1:14" ht="22.5" hidden="1" x14ac:dyDescent="0.25">
      <c r="A311" s="14" t="s">
        <v>14</v>
      </c>
      <c r="B311" s="14" t="s">
        <v>123</v>
      </c>
      <c r="C311" s="15" t="s">
        <v>46</v>
      </c>
      <c r="D311" s="16">
        <v>46268</v>
      </c>
      <c r="E311" s="17">
        <v>1256</v>
      </c>
      <c r="F311" s="18">
        <v>0.8</v>
      </c>
      <c r="G311" s="19">
        <f>Cereal[[#This Row],[N° BOLSAS]]*Cereal[[#This Row],[KG BOLSA]]</f>
        <v>1004.8000000000001</v>
      </c>
      <c r="H311" s="37">
        <v>50</v>
      </c>
      <c r="I311" s="14">
        <f>ROUNDDOWN(Cereal[[#This Row],[N° BOLSAS]]/Cereal[[#This Row],[CAP. SACOS]],0)</f>
        <v>25</v>
      </c>
      <c r="J311" s="14">
        <f>Cereal[[#This Row],[N° BOLSAS]]-Cereal[[#This Row],[N° SACOS]]*Cereal[[#This Row],[CAP. SACOS]]</f>
        <v>6</v>
      </c>
      <c r="K311" s="16"/>
      <c r="L311" s="16"/>
      <c r="M311" s="16"/>
      <c r="N311" s="16" t="s">
        <v>124</v>
      </c>
    </row>
    <row r="312" spans="1:14" hidden="1" x14ac:dyDescent="0.25">
      <c r="A312" s="14" t="s">
        <v>14</v>
      </c>
      <c r="B312" s="14" t="s">
        <v>125</v>
      </c>
      <c r="C312" s="15" t="s">
        <v>30</v>
      </c>
      <c r="D312" s="16">
        <v>46050</v>
      </c>
      <c r="E312" s="17">
        <v>875</v>
      </c>
      <c r="F312" s="18">
        <v>1</v>
      </c>
      <c r="G312" s="19">
        <f>Cereal[[#This Row],[N° BOLSAS]]*Cereal[[#This Row],[KG BOLSA]]</f>
        <v>875</v>
      </c>
      <c r="H312" s="37">
        <v>40</v>
      </c>
      <c r="I312" s="14">
        <f>ROUNDDOWN(Cereal[[#This Row],[N° BOLSAS]]/Cereal[[#This Row],[CAP. SACOS]],0)</f>
        <v>21</v>
      </c>
      <c r="J312" s="14">
        <f>Cereal[[#This Row],[N° BOLSAS]]-Cereal[[#This Row],[N° SACOS]]*Cereal[[#This Row],[CAP. SACOS]]</f>
        <v>35</v>
      </c>
      <c r="K312" s="16">
        <v>46052</v>
      </c>
      <c r="L312" s="16">
        <v>46052</v>
      </c>
      <c r="M312" s="16">
        <v>46054</v>
      </c>
      <c r="N312" s="16" t="s">
        <v>126</v>
      </c>
    </row>
    <row r="313" spans="1:14" hidden="1" x14ac:dyDescent="0.25">
      <c r="A313" s="14" t="s">
        <v>14</v>
      </c>
      <c r="B313" s="14" t="s">
        <v>125</v>
      </c>
      <c r="C313" s="15" t="s">
        <v>30</v>
      </c>
      <c r="D313" s="16">
        <v>46203</v>
      </c>
      <c r="E313" s="17">
        <v>875</v>
      </c>
      <c r="F313" s="18">
        <v>1</v>
      </c>
      <c r="G313" s="19">
        <f>Cereal[[#This Row],[N° BOLSAS]]*Cereal[[#This Row],[KG BOLSA]]</f>
        <v>875</v>
      </c>
      <c r="H313" s="37">
        <v>40</v>
      </c>
      <c r="I313" s="14">
        <f>ROUNDDOWN(Cereal[[#This Row],[N° BOLSAS]]/Cereal[[#This Row],[CAP. SACOS]],0)</f>
        <v>21</v>
      </c>
      <c r="J313" s="14">
        <f>Cereal[[#This Row],[N° BOLSAS]]-Cereal[[#This Row],[N° SACOS]]*Cereal[[#This Row],[CAP. SACOS]]</f>
        <v>35</v>
      </c>
      <c r="K313" s="16">
        <v>46198</v>
      </c>
      <c r="L313" s="16">
        <v>46198</v>
      </c>
      <c r="M313" s="16">
        <v>46198</v>
      </c>
      <c r="N313" s="16" t="s">
        <v>126</v>
      </c>
    </row>
    <row r="314" spans="1:14" hidden="1" x14ac:dyDescent="0.25">
      <c r="A314" s="14" t="s">
        <v>14</v>
      </c>
      <c r="B314" s="14" t="s">
        <v>125</v>
      </c>
      <c r="C314" s="15" t="s">
        <v>30</v>
      </c>
      <c r="D314" s="16">
        <v>46295</v>
      </c>
      <c r="E314" s="17">
        <v>875</v>
      </c>
      <c r="F314" s="18">
        <v>1.5</v>
      </c>
      <c r="G314" s="19">
        <f>Cereal[[#This Row],[N° BOLSAS]]*Cereal[[#This Row],[KG BOLSA]]</f>
        <v>1312.5</v>
      </c>
      <c r="H314" s="37">
        <v>30</v>
      </c>
      <c r="I314" s="14">
        <f>ROUNDDOWN(Cereal[[#This Row],[N° BOLSAS]]/Cereal[[#This Row],[CAP. SACOS]],0)</f>
        <v>29</v>
      </c>
      <c r="J314" s="14">
        <f>Cereal[[#This Row],[N° BOLSAS]]-Cereal[[#This Row],[N° SACOS]]*Cereal[[#This Row],[CAP. SACOS]]</f>
        <v>5</v>
      </c>
      <c r="K314" s="16"/>
      <c r="L314" s="16"/>
      <c r="M314" s="16"/>
      <c r="N314" s="16" t="s">
        <v>126</v>
      </c>
    </row>
    <row r="315" spans="1:14" hidden="1" x14ac:dyDescent="0.25">
      <c r="A315" s="14" t="s">
        <v>14</v>
      </c>
      <c r="B315" s="14" t="s">
        <v>127</v>
      </c>
      <c r="C315" s="15" t="s">
        <v>16</v>
      </c>
      <c r="D315" s="16">
        <v>46022</v>
      </c>
      <c r="E315" s="17">
        <v>1048</v>
      </c>
      <c r="F315" s="18">
        <v>1.7622</v>
      </c>
      <c r="G315" s="19">
        <f>Cereal[[#This Row],[N° BOLSAS]]*Cereal[[#This Row],[KG BOLSA]]</f>
        <v>1846.7855999999999</v>
      </c>
      <c r="H315" s="37">
        <v>25</v>
      </c>
      <c r="I315" s="14">
        <f>ROUNDDOWN(Cereal[[#This Row],[N° BOLSAS]]/Cereal[[#This Row],[CAP. SACOS]],0)</f>
        <v>41</v>
      </c>
      <c r="J315" s="14">
        <f>Cereal[[#This Row],[N° BOLSAS]]-Cereal[[#This Row],[N° SACOS]]*Cereal[[#This Row],[CAP. SACOS]]</f>
        <v>23</v>
      </c>
      <c r="K315" s="16">
        <v>46025</v>
      </c>
      <c r="L315" s="16">
        <v>46025</v>
      </c>
      <c r="M315" s="16">
        <v>46061</v>
      </c>
      <c r="N315" s="16" t="s">
        <v>128</v>
      </c>
    </row>
    <row r="316" spans="1:14" hidden="1" x14ac:dyDescent="0.25">
      <c r="A316" s="14" t="s">
        <v>14</v>
      </c>
      <c r="B316" s="14" t="s">
        <v>127</v>
      </c>
      <c r="C316" s="15" t="s">
        <v>18</v>
      </c>
      <c r="D316" s="16">
        <v>46022</v>
      </c>
      <c r="E316" s="17">
        <v>1048</v>
      </c>
      <c r="F316" s="18">
        <v>1.7622</v>
      </c>
      <c r="G316" s="19">
        <f>Cereal[[#This Row],[N° BOLSAS]]*Cereal[[#This Row],[KG BOLSA]]</f>
        <v>1846.7855999999999</v>
      </c>
      <c r="H316" s="37">
        <v>25</v>
      </c>
      <c r="I316" s="14">
        <f>ROUNDDOWN(Cereal[[#This Row],[N° BOLSAS]]/Cereal[[#This Row],[CAP. SACOS]],0)</f>
        <v>41</v>
      </c>
      <c r="J316" s="14">
        <f>Cereal[[#This Row],[N° BOLSAS]]-Cereal[[#This Row],[N° SACOS]]*Cereal[[#This Row],[CAP. SACOS]]</f>
        <v>23</v>
      </c>
      <c r="K316" s="16">
        <v>46025</v>
      </c>
      <c r="L316" s="16">
        <v>46025</v>
      </c>
      <c r="M316" s="16">
        <v>46061</v>
      </c>
      <c r="N316" s="16" t="s">
        <v>128</v>
      </c>
    </row>
    <row r="317" spans="1:14" hidden="1" x14ac:dyDescent="0.25">
      <c r="A317" s="14" t="s">
        <v>14</v>
      </c>
      <c r="B317" s="14" t="s">
        <v>127</v>
      </c>
      <c r="C317" s="15" t="s">
        <v>19</v>
      </c>
      <c r="D317" s="16">
        <v>46022</v>
      </c>
      <c r="E317" s="17">
        <v>1048</v>
      </c>
      <c r="F317" s="18">
        <v>1.7622</v>
      </c>
      <c r="G317" s="19">
        <f>Cereal[[#This Row],[N° BOLSAS]]*Cereal[[#This Row],[KG BOLSA]]</f>
        <v>1846.7855999999999</v>
      </c>
      <c r="H317" s="37">
        <v>25</v>
      </c>
      <c r="I317" s="14">
        <f>ROUNDDOWN(Cereal[[#This Row],[N° BOLSAS]]/Cereal[[#This Row],[CAP. SACOS]],0)</f>
        <v>41</v>
      </c>
      <c r="J317" s="14">
        <f>Cereal[[#This Row],[N° BOLSAS]]-Cereal[[#This Row],[N° SACOS]]*Cereal[[#This Row],[CAP. SACOS]]</f>
        <v>23</v>
      </c>
      <c r="K317" s="16">
        <v>46025</v>
      </c>
      <c r="L317" s="16">
        <v>46025</v>
      </c>
      <c r="M317" s="16">
        <v>46061</v>
      </c>
      <c r="N317" s="16" t="s">
        <v>128</v>
      </c>
    </row>
    <row r="318" spans="1:14" hidden="1" x14ac:dyDescent="0.25">
      <c r="A318" s="14" t="s">
        <v>14</v>
      </c>
      <c r="B318" s="14" t="s">
        <v>127</v>
      </c>
      <c r="C318" s="15" t="s">
        <v>20</v>
      </c>
      <c r="D318" s="16">
        <v>46134</v>
      </c>
      <c r="E318" s="17">
        <v>1048</v>
      </c>
      <c r="F318" s="18">
        <v>1.7622</v>
      </c>
      <c r="G318" s="19">
        <f>Cereal[[#This Row],[N° BOLSAS]]*Cereal[[#This Row],[KG BOLSA]]</f>
        <v>1846.7855999999999</v>
      </c>
      <c r="H318" s="37">
        <v>25</v>
      </c>
      <c r="I318" s="14">
        <f>ROUNDDOWN(Cereal[[#This Row],[N° BOLSAS]]/Cereal[[#This Row],[CAP. SACOS]],0)</f>
        <v>41</v>
      </c>
      <c r="J318" s="14">
        <f>Cereal[[#This Row],[N° BOLSAS]]-Cereal[[#This Row],[N° SACOS]]*Cereal[[#This Row],[CAP. SACOS]]</f>
        <v>23</v>
      </c>
      <c r="K318" s="16">
        <v>46156</v>
      </c>
      <c r="L318" s="16">
        <v>46156</v>
      </c>
      <c r="M318" s="16">
        <v>46156</v>
      </c>
      <c r="N318" s="16" t="s">
        <v>128</v>
      </c>
    </row>
    <row r="319" spans="1:14" hidden="1" x14ac:dyDescent="0.25">
      <c r="A319" s="14" t="s">
        <v>14</v>
      </c>
      <c r="B319" s="14" t="s">
        <v>127</v>
      </c>
      <c r="C319" s="15" t="s">
        <v>21</v>
      </c>
      <c r="D319" s="16">
        <v>46134</v>
      </c>
      <c r="E319" s="17">
        <v>1048</v>
      </c>
      <c r="F319" s="18">
        <v>1.7622</v>
      </c>
      <c r="G319" s="19">
        <f>Cereal[[#This Row],[N° BOLSAS]]*Cereal[[#This Row],[KG BOLSA]]</f>
        <v>1846.7855999999999</v>
      </c>
      <c r="H319" s="37">
        <v>25</v>
      </c>
      <c r="I319" s="14">
        <f>ROUNDDOWN(Cereal[[#This Row],[N° BOLSAS]]/Cereal[[#This Row],[CAP. SACOS]],0)</f>
        <v>41</v>
      </c>
      <c r="J319" s="14">
        <f>Cereal[[#This Row],[N° BOLSAS]]-Cereal[[#This Row],[N° SACOS]]*Cereal[[#This Row],[CAP. SACOS]]</f>
        <v>23</v>
      </c>
      <c r="K319" s="16">
        <v>46156</v>
      </c>
      <c r="L319" s="16">
        <v>46156</v>
      </c>
      <c r="M319" s="16">
        <v>46156</v>
      </c>
      <c r="N319" s="16" t="s">
        <v>128</v>
      </c>
    </row>
    <row r="320" spans="1:14" hidden="1" x14ac:dyDescent="0.25">
      <c r="A320" s="14" t="s">
        <v>14</v>
      </c>
      <c r="B320" s="14" t="s">
        <v>127</v>
      </c>
      <c r="C320" s="15" t="s">
        <v>22</v>
      </c>
      <c r="D320" s="16">
        <v>46134</v>
      </c>
      <c r="E320" s="17">
        <v>1048</v>
      </c>
      <c r="F320" s="18">
        <v>1.7622</v>
      </c>
      <c r="G320" s="19">
        <f>Cereal[[#This Row],[N° BOLSAS]]*Cereal[[#This Row],[KG BOLSA]]</f>
        <v>1846.7855999999999</v>
      </c>
      <c r="H320" s="37">
        <v>25</v>
      </c>
      <c r="I320" s="14">
        <f>ROUNDDOWN(Cereal[[#This Row],[N° BOLSAS]]/Cereal[[#This Row],[CAP. SACOS]],0)</f>
        <v>41</v>
      </c>
      <c r="J320" s="14">
        <f>Cereal[[#This Row],[N° BOLSAS]]-Cereal[[#This Row],[N° SACOS]]*Cereal[[#This Row],[CAP. SACOS]]</f>
        <v>23</v>
      </c>
      <c r="K320" s="16">
        <v>46156</v>
      </c>
      <c r="L320" s="16">
        <v>46156</v>
      </c>
      <c r="M320" s="16">
        <v>46156</v>
      </c>
      <c r="N320" s="16" t="s">
        <v>128</v>
      </c>
    </row>
    <row r="321" spans="1:14" hidden="1" x14ac:dyDescent="0.25">
      <c r="A321" s="14" t="s">
        <v>14</v>
      </c>
      <c r="B321" s="14" t="s">
        <v>127</v>
      </c>
      <c r="C321" s="15" t="s">
        <v>30</v>
      </c>
      <c r="D321" s="16">
        <v>46258</v>
      </c>
      <c r="E321" s="17">
        <v>2096</v>
      </c>
      <c r="F321" s="18">
        <v>1.5386</v>
      </c>
      <c r="G321" s="19">
        <f>Cereal[[#This Row],[N° BOLSAS]]*Cereal[[#This Row],[KG BOLSA]]</f>
        <v>3224.9056</v>
      </c>
      <c r="H321" s="37">
        <v>30</v>
      </c>
      <c r="I321" s="14">
        <f>ROUNDDOWN(Cereal[[#This Row],[N° BOLSAS]]/Cereal[[#This Row],[CAP. SACOS]],0)</f>
        <v>69</v>
      </c>
      <c r="J321" s="14">
        <f>Cereal[[#This Row],[N° BOLSAS]]-Cereal[[#This Row],[N° SACOS]]*Cereal[[#This Row],[CAP. SACOS]]</f>
        <v>26</v>
      </c>
      <c r="K321" s="16">
        <v>46257</v>
      </c>
      <c r="L321" s="16">
        <v>46257</v>
      </c>
      <c r="M321" s="16">
        <v>46257</v>
      </c>
      <c r="N321" s="16"/>
    </row>
    <row r="322" spans="1:14" hidden="1" x14ac:dyDescent="0.25">
      <c r="A322" s="14" t="s">
        <v>14</v>
      </c>
      <c r="B322" s="14" t="s">
        <v>127</v>
      </c>
      <c r="C322" s="15" t="s">
        <v>23</v>
      </c>
      <c r="D322" s="16">
        <v>46258</v>
      </c>
      <c r="E322" s="17">
        <v>1048</v>
      </c>
      <c r="F322" s="18">
        <v>1.7622</v>
      </c>
      <c r="G322" s="19">
        <f>Cereal[[#This Row],[N° BOLSAS]]*Cereal[[#This Row],[KG BOLSA]]</f>
        <v>1846.7855999999999</v>
      </c>
      <c r="H322" s="37">
        <v>25</v>
      </c>
      <c r="I322" s="14">
        <f>ROUNDDOWN(Cereal[[#This Row],[N° BOLSAS]]/Cereal[[#This Row],[CAP. SACOS]],0)</f>
        <v>41</v>
      </c>
      <c r="J322" s="14">
        <f>Cereal[[#This Row],[N° BOLSAS]]-Cereal[[#This Row],[N° SACOS]]*Cereal[[#This Row],[CAP. SACOS]]</f>
        <v>23</v>
      </c>
      <c r="K322" s="16">
        <v>46257</v>
      </c>
      <c r="L322" s="16">
        <v>46257</v>
      </c>
      <c r="M322" s="16">
        <v>46257</v>
      </c>
      <c r="N322" s="16" t="s">
        <v>128</v>
      </c>
    </row>
    <row r="323" spans="1:14" hidden="1" x14ac:dyDescent="0.25">
      <c r="A323" s="14" t="s">
        <v>14</v>
      </c>
      <c r="B323" s="14" t="s">
        <v>127</v>
      </c>
      <c r="C323" s="15" t="s">
        <v>24</v>
      </c>
      <c r="D323" s="16">
        <v>46258</v>
      </c>
      <c r="E323" s="17">
        <v>1048</v>
      </c>
      <c r="F323" s="18">
        <v>1.7622</v>
      </c>
      <c r="G323" s="19">
        <f>Cereal[[#This Row],[N° BOLSAS]]*Cereal[[#This Row],[KG BOLSA]]</f>
        <v>1846.7855999999999</v>
      </c>
      <c r="H323" s="37">
        <v>25</v>
      </c>
      <c r="I323" s="14">
        <f>ROUNDDOWN(Cereal[[#This Row],[N° BOLSAS]]/Cereal[[#This Row],[CAP. SACOS]],0)</f>
        <v>41</v>
      </c>
      <c r="J323" s="14">
        <f>Cereal[[#This Row],[N° BOLSAS]]-Cereal[[#This Row],[N° SACOS]]*Cereal[[#This Row],[CAP. SACOS]]</f>
        <v>23</v>
      </c>
      <c r="K323" s="16">
        <v>46257</v>
      </c>
      <c r="L323" s="16">
        <v>46257</v>
      </c>
      <c r="M323" s="16">
        <v>46257</v>
      </c>
      <c r="N323" s="16" t="s">
        <v>128</v>
      </c>
    </row>
    <row r="324" spans="1:14" hidden="1" x14ac:dyDescent="0.25">
      <c r="A324" s="14" t="s">
        <v>14</v>
      </c>
      <c r="B324" s="14" t="s">
        <v>127</v>
      </c>
      <c r="C324" s="15" t="s">
        <v>25</v>
      </c>
      <c r="D324" s="16">
        <v>46258</v>
      </c>
      <c r="E324" s="17">
        <v>1048</v>
      </c>
      <c r="F324" s="18">
        <v>1.7622</v>
      </c>
      <c r="G324" s="19">
        <f>Cereal[[#This Row],[N° BOLSAS]]*Cereal[[#This Row],[KG BOLSA]]</f>
        <v>1846.7855999999999</v>
      </c>
      <c r="H324" s="37">
        <v>25</v>
      </c>
      <c r="I324" s="14">
        <f>ROUNDDOWN(Cereal[[#This Row],[N° BOLSAS]]/Cereal[[#This Row],[CAP. SACOS]],0)</f>
        <v>41</v>
      </c>
      <c r="J324" s="14">
        <f>Cereal[[#This Row],[N° BOLSAS]]-Cereal[[#This Row],[N° SACOS]]*Cereal[[#This Row],[CAP. SACOS]]</f>
        <v>23</v>
      </c>
      <c r="K324" s="16">
        <v>46257</v>
      </c>
      <c r="L324" s="16">
        <v>46257</v>
      </c>
      <c r="M324" s="16">
        <v>46257</v>
      </c>
      <c r="N324" s="16" t="s">
        <v>128</v>
      </c>
    </row>
    <row r="325" spans="1:14" hidden="1" x14ac:dyDescent="0.25">
      <c r="A325" s="14" t="s">
        <v>14</v>
      </c>
      <c r="B325" s="14" t="s">
        <v>127</v>
      </c>
      <c r="C325" s="15" t="s">
        <v>26</v>
      </c>
      <c r="D325" s="16">
        <v>46349</v>
      </c>
      <c r="E325" s="17">
        <v>1048</v>
      </c>
      <c r="F325" s="18">
        <v>1.7622</v>
      </c>
      <c r="G325" s="19">
        <f>Cereal[[#This Row],[N° BOLSAS]]*Cereal[[#This Row],[KG BOLSA]]</f>
        <v>1846.7855999999999</v>
      </c>
      <c r="H325" s="37">
        <v>25</v>
      </c>
      <c r="I325" s="14">
        <f>ROUNDDOWN(Cereal[[#This Row],[N° BOLSAS]]/Cereal[[#This Row],[CAP. SACOS]],0)</f>
        <v>41</v>
      </c>
      <c r="J325" s="14">
        <f>Cereal[[#This Row],[N° BOLSAS]]-Cereal[[#This Row],[N° SACOS]]*Cereal[[#This Row],[CAP. SACOS]]</f>
        <v>23</v>
      </c>
      <c r="K325" s="16"/>
      <c r="L325" s="16"/>
      <c r="M325" s="16"/>
      <c r="N325" s="16" t="s">
        <v>128</v>
      </c>
    </row>
    <row r="326" spans="1:14" hidden="1" x14ac:dyDescent="0.25">
      <c r="A326" s="14" t="s">
        <v>14</v>
      </c>
      <c r="B326" s="14" t="s">
        <v>127</v>
      </c>
      <c r="C326" s="15" t="s">
        <v>27</v>
      </c>
      <c r="D326" s="16">
        <v>46349</v>
      </c>
      <c r="E326" s="17">
        <v>1048</v>
      </c>
      <c r="F326" s="18">
        <v>1.7622</v>
      </c>
      <c r="G326" s="19">
        <f>Cereal[[#This Row],[N° BOLSAS]]*Cereal[[#This Row],[KG BOLSA]]</f>
        <v>1846.7855999999999</v>
      </c>
      <c r="H326" s="37">
        <v>25</v>
      </c>
      <c r="I326" s="14">
        <f>ROUNDDOWN(Cereal[[#This Row],[N° BOLSAS]]/Cereal[[#This Row],[CAP. SACOS]],0)</f>
        <v>41</v>
      </c>
      <c r="J326" s="14">
        <f>Cereal[[#This Row],[N° BOLSAS]]-Cereal[[#This Row],[N° SACOS]]*Cereal[[#This Row],[CAP. SACOS]]</f>
        <v>23</v>
      </c>
      <c r="K326" s="16"/>
      <c r="L326" s="16"/>
      <c r="M326" s="16"/>
      <c r="N326" s="16" t="s">
        <v>128</v>
      </c>
    </row>
    <row r="327" spans="1:14" hidden="1" x14ac:dyDescent="0.25">
      <c r="A327" s="14" t="s">
        <v>14</v>
      </c>
      <c r="B327" s="14" t="s">
        <v>127</v>
      </c>
      <c r="C327" s="15" t="s">
        <v>28</v>
      </c>
      <c r="D327" s="16">
        <v>46349</v>
      </c>
      <c r="E327" s="17">
        <v>1048</v>
      </c>
      <c r="F327" s="18">
        <v>1.7622</v>
      </c>
      <c r="G327" s="19">
        <f>Cereal[[#This Row],[N° BOLSAS]]*Cereal[[#This Row],[KG BOLSA]]</f>
        <v>1846.7855999999999</v>
      </c>
      <c r="H327" s="37">
        <v>25</v>
      </c>
      <c r="I327" s="14">
        <f>ROUNDDOWN(Cereal[[#This Row],[N° BOLSAS]]/Cereal[[#This Row],[CAP. SACOS]],0)</f>
        <v>41</v>
      </c>
      <c r="J327" s="14">
        <f>Cereal[[#This Row],[N° BOLSAS]]-Cereal[[#This Row],[N° SACOS]]*Cereal[[#This Row],[CAP. SACOS]]</f>
        <v>23</v>
      </c>
      <c r="K327" s="16"/>
      <c r="L327" s="16"/>
      <c r="M327" s="16"/>
      <c r="N327" s="16" t="s">
        <v>128</v>
      </c>
    </row>
    <row r="328" spans="1:14" ht="22.5" hidden="1" x14ac:dyDescent="0.25">
      <c r="A328" s="14" t="s">
        <v>14</v>
      </c>
      <c r="B328" s="14" t="s">
        <v>129</v>
      </c>
      <c r="C328" s="15" t="s">
        <v>41</v>
      </c>
      <c r="D328" s="16">
        <v>46037</v>
      </c>
      <c r="E328" s="17">
        <v>2760</v>
      </c>
      <c r="F328" s="18">
        <v>1.2</v>
      </c>
      <c r="G328" s="19">
        <f>Cereal[[#This Row],[N° BOLSAS]]*Cereal[[#This Row],[KG BOLSA]]</f>
        <v>3312</v>
      </c>
      <c r="H328" s="37">
        <v>35</v>
      </c>
      <c r="I328" s="14">
        <f>ROUNDDOWN(Cereal[[#This Row],[N° BOLSAS]]/Cereal[[#This Row],[CAP. SACOS]],0)</f>
        <v>78</v>
      </c>
      <c r="J328" s="14">
        <f>Cereal[[#This Row],[N° BOLSAS]]-Cereal[[#This Row],[N° SACOS]]*Cereal[[#This Row],[CAP. SACOS]]</f>
        <v>30</v>
      </c>
      <c r="K328" s="16">
        <v>46055</v>
      </c>
      <c r="L328" s="16">
        <v>46055</v>
      </c>
      <c r="M328" s="16">
        <v>46055</v>
      </c>
      <c r="N328" s="16" t="s">
        <v>130</v>
      </c>
    </row>
    <row r="329" spans="1:14" ht="22.5" hidden="1" x14ac:dyDescent="0.25">
      <c r="A329" s="14" t="s">
        <v>14</v>
      </c>
      <c r="B329" s="14" t="s">
        <v>129</v>
      </c>
      <c r="C329" s="15" t="s">
        <v>131</v>
      </c>
      <c r="D329" s="16">
        <v>46127</v>
      </c>
      <c r="E329" s="17">
        <v>2760</v>
      </c>
      <c r="F329" s="18">
        <v>1.2</v>
      </c>
      <c r="G329" s="19">
        <f>Cereal[[#This Row],[N° BOLSAS]]*Cereal[[#This Row],[KG BOLSA]]</f>
        <v>3312</v>
      </c>
      <c r="H329" s="37">
        <v>35</v>
      </c>
      <c r="I329" s="14">
        <f>ROUNDDOWN(Cereal[[#This Row],[N° BOLSAS]]/Cereal[[#This Row],[CAP. SACOS]],0)</f>
        <v>78</v>
      </c>
      <c r="J329" s="14">
        <f>Cereal[[#This Row],[N° BOLSAS]]-Cereal[[#This Row],[N° SACOS]]*Cereal[[#This Row],[CAP. SACOS]]</f>
        <v>30</v>
      </c>
      <c r="K329" s="16">
        <v>46133</v>
      </c>
      <c r="L329" s="16">
        <v>46133</v>
      </c>
      <c r="M329" s="16">
        <v>46147</v>
      </c>
      <c r="N329" s="16" t="s">
        <v>130</v>
      </c>
    </row>
    <row r="330" spans="1:14" ht="45" hidden="1" x14ac:dyDescent="0.25">
      <c r="A330" s="14" t="s">
        <v>14</v>
      </c>
      <c r="B330" s="14" t="s">
        <v>129</v>
      </c>
      <c r="C330" s="15" t="s">
        <v>132</v>
      </c>
      <c r="D330" s="16">
        <v>46249</v>
      </c>
      <c r="E330" s="17">
        <v>2760</v>
      </c>
      <c r="F330" s="18">
        <v>1.2</v>
      </c>
      <c r="G330" s="19">
        <f>Cereal[[#This Row],[N° BOLSAS]]*Cereal[[#This Row],[KG BOLSA]]</f>
        <v>3312</v>
      </c>
      <c r="H330" s="37">
        <v>35</v>
      </c>
      <c r="I330" s="14">
        <f>ROUNDDOWN(Cereal[[#This Row],[N° BOLSAS]]/Cereal[[#This Row],[CAP. SACOS]],0)</f>
        <v>78</v>
      </c>
      <c r="J330" s="14">
        <f>Cereal[[#This Row],[N° BOLSAS]]-Cereal[[#This Row],[N° SACOS]]*Cereal[[#This Row],[CAP. SACOS]]</f>
        <v>30</v>
      </c>
      <c r="K330" s="16">
        <v>46259</v>
      </c>
      <c r="L330" s="16">
        <v>46259</v>
      </c>
      <c r="M330" s="16">
        <v>46259</v>
      </c>
      <c r="N330" s="16" t="s">
        <v>130</v>
      </c>
    </row>
    <row r="331" spans="1:14" ht="22.5" x14ac:dyDescent="0.25">
      <c r="A331" s="14" t="s">
        <v>14</v>
      </c>
      <c r="B331" s="14" t="s">
        <v>133</v>
      </c>
      <c r="C331" s="15" t="s">
        <v>35</v>
      </c>
      <c r="D331" s="16">
        <v>46052</v>
      </c>
      <c r="E331" s="17">
        <v>12501</v>
      </c>
      <c r="F331" s="18">
        <v>1.68</v>
      </c>
      <c r="G331" s="19">
        <f>Cereal[[#This Row],[N° BOLSAS]]*Cereal[[#This Row],[KG BOLSA]]</f>
        <v>21001.68</v>
      </c>
      <c r="H331" s="37">
        <v>25</v>
      </c>
      <c r="I331" s="14">
        <f>ROUNDDOWN(Cereal[[#This Row],[N° BOLSAS]]/Cereal[[#This Row],[CAP. SACOS]],0)</f>
        <v>500</v>
      </c>
      <c r="J331" s="14">
        <f>Cereal[[#This Row],[N° BOLSAS]]-Cereal[[#This Row],[N° SACOS]]*Cereal[[#This Row],[CAP. SACOS]]</f>
        <v>1</v>
      </c>
      <c r="K331" s="16">
        <v>46052</v>
      </c>
      <c r="L331" s="16">
        <v>46052</v>
      </c>
      <c r="M331" s="16">
        <v>46082</v>
      </c>
      <c r="N331" s="16" t="s">
        <v>134</v>
      </c>
    </row>
    <row r="332" spans="1:14" x14ac:dyDescent="0.25">
      <c r="A332" s="14" t="s">
        <v>14</v>
      </c>
      <c r="B332" s="14" t="s">
        <v>133</v>
      </c>
      <c r="C332" s="15" t="s">
        <v>37</v>
      </c>
      <c r="D332" s="16">
        <v>46111</v>
      </c>
      <c r="E332" s="17">
        <v>12501</v>
      </c>
      <c r="F332" s="18">
        <v>1.68</v>
      </c>
      <c r="G332" s="19">
        <f>Cereal[[#This Row],[N° BOLSAS]]*Cereal[[#This Row],[KG BOLSA]]</f>
        <v>21001.68</v>
      </c>
      <c r="H332" s="37">
        <v>25</v>
      </c>
      <c r="I332" s="14">
        <f>ROUNDDOWN(Cereal[[#This Row],[N° BOLSAS]]/Cereal[[#This Row],[CAP. SACOS]],0)</f>
        <v>500</v>
      </c>
      <c r="J332" s="14">
        <f>Cereal[[#This Row],[N° BOLSAS]]-Cereal[[#This Row],[N° SACOS]]*Cereal[[#This Row],[CAP. SACOS]]</f>
        <v>1</v>
      </c>
      <c r="K332" s="16">
        <v>46110</v>
      </c>
      <c r="L332" s="16">
        <v>46110</v>
      </c>
      <c r="M332" s="16">
        <v>46111</v>
      </c>
      <c r="N332" s="16" t="s">
        <v>134</v>
      </c>
    </row>
    <row r="333" spans="1:14" ht="22.5" x14ac:dyDescent="0.25">
      <c r="A333" s="14" t="s">
        <v>14</v>
      </c>
      <c r="B333" s="14" t="s">
        <v>133</v>
      </c>
      <c r="C333" s="15" t="s">
        <v>38</v>
      </c>
      <c r="D333" s="16">
        <v>46202</v>
      </c>
      <c r="E333" s="17">
        <v>12501</v>
      </c>
      <c r="F333" s="18">
        <v>1.68</v>
      </c>
      <c r="G333" s="19">
        <f>Cereal[[#This Row],[N° BOLSAS]]*Cereal[[#This Row],[KG BOLSA]]</f>
        <v>21001.68</v>
      </c>
      <c r="H333" s="37">
        <v>25</v>
      </c>
      <c r="I333" s="14">
        <f>ROUNDDOWN(Cereal[[#This Row],[N° BOLSAS]]/Cereal[[#This Row],[CAP. SACOS]],0)</f>
        <v>500</v>
      </c>
      <c r="J333" s="14">
        <f>Cereal[[#This Row],[N° BOLSAS]]-Cereal[[#This Row],[N° SACOS]]*Cereal[[#This Row],[CAP. SACOS]]</f>
        <v>1</v>
      </c>
      <c r="K333" s="16">
        <v>46170</v>
      </c>
      <c r="L333" s="16">
        <v>46170</v>
      </c>
      <c r="M333" s="16">
        <v>46202</v>
      </c>
      <c r="N333" s="16" t="s">
        <v>134</v>
      </c>
    </row>
    <row r="334" spans="1:14" x14ac:dyDescent="0.25">
      <c r="A334" s="14" t="s">
        <v>14</v>
      </c>
      <c r="B334" s="14" t="s">
        <v>133</v>
      </c>
      <c r="C334" s="15" t="s">
        <v>30</v>
      </c>
      <c r="D334" s="16">
        <v>46264</v>
      </c>
      <c r="E334" s="17">
        <v>33338</v>
      </c>
      <c r="F334" s="18">
        <v>1.0007999999999999</v>
      </c>
      <c r="G334" s="19">
        <f>Cereal[[#This Row],[N° BOLSAS]]*Cereal[[#This Row],[KG BOLSA]]</f>
        <v>33364.670399999995</v>
      </c>
      <c r="H334" s="37">
        <v>40</v>
      </c>
      <c r="I334" s="14">
        <f>ROUNDDOWN(Cereal[[#This Row],[N° BOLSAS]]/Cereal[[#This Row],[CAP. SACOS]],0)</f>
        <v>833</v>
      </c>
      <c r="J334" s="14">
        <f>Cereal[[#This Row],[N° BOLSAS]]-Cereal[[#This Row],[N° SACOS]]*Cereal[[#This Row],[CAP. SACOS]]</f>
        <v>18</v>
      </c>
      <c r="K334" s="16">
        <v>46269</v>
      </c>
      <c r="L334" s="16">
        <v>46269</v>
      </c>
      <c r="M334" s="16">
        <v>46274</v>
      </c>
      <c r="N334" s="16" t="s">
        <v>134</v>
      </c>
    </row>
    <row r="335" spans="1:14" ht="33.75" x14ac:dyDescent="0.25">
      <c r="A335" s="14" t="s">
        <v>14</v>
      </c>
      <c r="B335" s="14" t="s">
        <v>133</v>
      </c>
      <c r="C335" s="15" t="s">
        <v>39</v>
      </c>
      <c r="D335" s="16">
        <v>46293</v>
      </c>
      <c r="E335" s="17">
        <v>12501</v>
      </c>
      <c r="F335" s="18">
        <v>1.68</v>
      </c>
      <c r="G335" s="19">
        <f>Cereal[[#This Row],[N° BOLSAS]]*Cereal[[#This Row],[KG BOLSA]]</f>
        <v>21001.68</v>
      </c>
      <c r="H335" s="37">
        <v>25</v>
      </c>
      <c r="I335" s="14">
        <f>ROUNDDOWN(Cereal[[#This Row],[N° BOLSAS]]/Cereal[[#This Row],[CAP. SACOS]],0)</f>
        <v>500</v>
      </c>
      <c r="J335" s="14">
        <f>Cereal[[#This Row],[N° BOLSAS]]-Cereal[[#This Row],[N° SACOS]]*Cereal[[#This Row],[CAP. SACOS]]</f>
        <v>1</v>
      </c>
      <c r="K335" s="16">
        <v>46292</v>
      </c>
      <c r="L335" s="16">
        <v>46292</v>
      </c>
      <c r="M335" s="16">
        <v>46292</v>
      </c>
      <c r="N335" s="16" t="s">
        <v>134</v>
      </c>
    </row>
    <row r="336" spans="1:14" hidden="1" x14ac:dyDescent="0.25">
      <c r="A336" s="14" t="s">
        <v>14</v>
      </c>
      <c r="B336" s="14" t="s">
        <v>135</v>
      </c>
      <c r="C336" s="15" t="s">
        <v>30</v>
      </c>
      <c r="D336" s="16">
        <v>46083</v>
      </c>
      <c r="E336" s="17">
        <v>120</v>
      </c>
      <c r="F336" s="18">
        <v>1</v>
      </c>
      <c r="G336" s="19">
        <f>Cereal[[#This Row],[N° BOLSAS]]*Cereal[[#This Row],[KG BOLSA]]</f>
        <v>120</v>
      </c>
      <c r="H336" s="37">
        <v>40</v>
      </c>
      <c r="I336" s="14">
        <f>ROUNDDOWN(Cereal[[#This Row],[N° BOLSAS]]/Cereal[[#This Row],[CAP. SACOS]],0)</f>
        <v>3</v>
      </c>
      <c r="J336" s="14">
        <f>Cereal[[#This Row],[N° BOLSAS]]-Cereal[[#This Row],[N° SACOS]]*Cereal[[#This Row],[CAP. SACOS]]</f>
        <v>0</v>
      </c>
      <c r="K336" s="16">
        <v>46082</v>
      </c>
      <c r="L336" s="16">
        <v>46082</v>
      </c>
      <c r="M336" s="16">
        <v>46082</v>
      </c>
      <c r="N336" s="16"/>
    </row>
    <row r="337" spans="1:14" hidden="1" x14ac:dyDescent="0.25">
      <c r="A337" s="14" t="s">
        <v>14</v>
      </c>
      <c r="B337" s="14" t="s">
        <v>136</v>
      </c>
      <c r="C337" s="15" t="s">
        <v>30</v>
      </c>
      <c r="D337" s="16">
        <v>46083</v>
      </c>
      <c r="E337" s="17">
        <v>336</v>
      </c>
      <c r="F337" s="18">
        <v>1</v>
      </c>
      <c r="G337" s="19">
        <f>Cereal[[#This Row],[N° BOLSAS]]*Cereal[[#This Row],[KG BOLSA]]</f>
        <v>336</v>
      </c>
      <c r="H337" s="37">
        <v>40</v>
      </c>
      <c r="I337" s="14">
        <f>ROUNDDOWN(Cereal[[#This Row],[N° BOLSAS]]/Cereal[[#This Row],[CAP. SACOS]],0)</f>
        <v>8</v>
      </c>
      <c r="J337" s="14">
        <f>Cereal[[#This Row],[N° BOLSAS]]-Cereal[[#This Row],[N° SACOS]]*Cereal[[#This Row],[CAP. SACOS]]</f>
        <v>16</v>
      </c>
      <c r="K337" s="16">
        <v>46082</v>
      </c>
      <c r="L337" s="16">
        <v>46082</v>
      </c>
      <c r="M337" s="16">
        <v>46082</v>
      </c>
      <c r="N337" s="16"/>
    </row>
    <row r="338" spans="1:14" hidden="1" x14ac:dyDescent="0.25">
      <c r="A338" s="14" t="s">
        <v>14</v>
      </c>
      <c r="B338" s="14" t="s">
        <v>137</v>
      </c>
      <c r="C338" s="15" t="s">
        <v>30</v>
      </c>
      <c r="D338" s="16">
        <v>46083</v>
      </c>
      <c r="E338" s="17">
        <v>1039</v>
      </c>
      <c r="F338" s="18">
        <v>1</v>
      </c>
      <c r="G338" s="19">
        <f>Cereal[[#This Row],[N° BOLSAS]]*Cereal[[#This Row],[KG BOLSA]]</f>
        <v>1039</v>
      </c>
      <c r="H338" s="37">
        <v>40</v>
      </c>
      <c r="I338" s="14">
        <f>ROUNDDOWN(Cereal[[#This Row],[N° BOLSAS]]/Cereal[[#This Row],[CAP. SACOS]],0)</f>
        <v>25</v>
      </c>
      <c r="J338" s="14">
        <f>Cereal[[#This Row],[N° BOLSAS]]-Cereal[[#This Row],[N° SACOS]]*Cereal[[#This Row],[CAP. SACOS]]</f>
        <v>39</v>
      </c>
      <c r="K338" s="16">
        <v>46082</v>
      </c>
      <c r="L338" s="16">
        <v>46082</v>
      </c>
      <c r="M338" s="16">
        <v>46082</v>
      </c>
      <c r="N338" s="16"/>
    </row>
    <row r="339" spans="1:14" hidden="1" x14ac:dyDescent="0.25">
      <c r="A339" s="14" t="s">
        <v>14</v>
      </c>
      <c r="B339" s="14" t="s">
        <v>138</v>
      </c>
      <c r="C339" s="15" t="s">
        <v>30</v>
      </c>
      <c r="D339" s="16">
        <v>46083</v>
      </c>
      <c r="E339" s="17">
        <v>180</v>
      </c>
      <c r="F339" s="18">
        <v>1</v>
      </c>
      <c r="G339" s="19">
        <f>Cereal[[#This Row],[N° BOLSAS]]*Cereal[[#This Row],[KG BOLSA]]</f>
        <v>180</v>
      </c>
      <c r="H339" s="37">
        <v>40</v>
      </c>
      <c r="I339" s="14">
        <f>ROUNDDOWN(Cereal[[#This Row],[N° BOLSAS]]/Cereal[[#This Row],[CAP. SACOS]],0)</f>
        <v>4</v>
      </c>
      <c r="J339" s="14">
        <f>Cereal[[#This Row],[N° BOLSAS]]-Cereal[[#This Row],[N° SACOS]]*Cereal[[#This Row],[CAP. SACOS]]</f>
        <v>20</v>
      </c>
      <c r="K339" s="16">
        <v>46082</v>
      </c>
      <c r="L339" s="16">
        <v>46082</v>
      </c>
      <c r="M339" s="16">
        <v>46082</v>
      </c>
      <c r="N339" s="16"/>
    </row>
    <row r="340" spans="1:14" hidden="1" x14ac:dyDescent="0.25">
      <c r="A340" s="14" t="s">
        <v>14</v>
      </c>
      <c r="B340" s="14" t="s">
        <v>139</v>
      </c>
      <c r="C340" s="15" t="s">
        <v>30</v>
      </c>
      <c r="D340" s="16">
        <v>46083</v>
      </c>
      <c r="E340" s="17">
        <v>790</v>
      </c>
      <c r="F340" s="18">
        <v>1</v>
      </c>
      <c r="G340" s="19">
        <f>Cereal[[#This Row],[N° BOLSAS]]*Cereal[[#This Row],[KG BOLSA]]</f>
        <v>790</v>
      </c>
      <c r="H340" s="37">
        <v>40</v>
      </c>
      <c r="I340" s="14">
        <f>ROUNDDOWN(Cereal[[#This Row],[N° BOLSAS]]/Cereal[[#This Row],[CAP. SACOS]],0)</f>
        <v>19</v>
      </c>
      <c r="J340" s="14">
        <f>Cereal[[#This Row],[N° BOLSAS]]-Cereal[[#This Row],[N° SACOS]]*Cereal[[#This Row],[CAP. SACOS]]</f>
        <v>30</v>
      </c>
      <c r="K340" s="16">
        <v>46082</v>
      </c>
      <c r="L340" s="16">
        <v>46082</v>
      </c>
      <c r="M340" s="16">
        <v>46082</v>
      </c>
      <c r="N340" s="16"/>
    </row>
    <row r="341" spans="1:14" hidden="1" x14ac:dyDescent="0.25">
      <c r="A341" s="14" t="s">
        <v>14</v>
      </c>
      <c r="B341" s="14" t="s">
        <v>140</v>
      </c>
      <c r="C341" s="15" t="s">
        <v>30</v>
      </c>
      <c r="D341" s="16">
        <v>46083</v>
      </c>
      <c r="E341" s="17">
        <v>476</v>
      </c>
      <c r="F341" s="18">
        <v>1</v>
      </c>
      <c r="G341" s="19">
        <f>Cereal[[#This Row],[N° BOLSAS]]*Cereal[[#This Row],[KG BOLSA]]</f>
        <v>476</v>
      </c>
      <c r="H341" s="37">
        <v>40</v>
      </c>
      <c r="I341" s="14">
        <f>ROUNDDOWN(Cereal[[#This Row],[N° BOLSAS]]/Cereal[[#This Row],[CAP. SACOS]],0)</f>
        <v>11</v>
      </c>
      <c r="J341" s="14">
        <f>Cereal[[#This Row],[N° BOLSAS]]-Cereal[[#This Row],[N° SACOS]]*Cereal[[#This Row],[CAP. SACOS]]</f>
        <v>36</v>
      </c>
      <c r="K341" s="16">
        <v>46082</v>
      </c>
      <c r="L341" s="16">
        <v>46082</v>
      </c>
      <c r="M341" s="16">
        <v>46082</v>
      </c>
      <c r="N341" s="16"/>
    </row>
    <row r="342" spans="1:14" hidden="1" x14ac:dyDescent="0.25">
      <c r="A342" s="14" t="s">
        <v>14</v>
      </c>
      <c r="B342" s="14" t="s">
        <v>141</v>
      </c>
      <c r="C342" s="15" t="s">
        <v>18</v>
      </c>
      <c r="D342" s="16">
        <v>46051</v>
      </c>
      <c r="E342" s="17">
        <v>2240</v>
      </c>
      <c r="F342" s="18">
        <v>0.94479999999999997</v>
      </c>
      <c r="G342" s="19">
        <f>Cereal[[#This Row],[N° BOLSAS]]*Cereal[[#This Row],[KG BOLSA]]</f>
        <v>2116.3519999999999</v>
      </c>
      <c r="H342" s="37">
        <v>40</v>
      </c>
      <c r="I342" s="14">
        <f>ROUNDDOWN(Cereal[[#This Row],[N° BOLSAS]]/Cereal[[#This Row],[CAP. SACOS]],0)</f>
        <v>56</v>
      </c>
      <c r="J342" s="14">
        <f>Cereal[[#This Row],[N° BOLSAS]]-Cereal[[#This Row],[N° SACOS]]*Cereal[[#This Row],[CAP. SACOS]]</f>
        <v>0</v>
      </c>
      <c r="K342" s="16">
        <v>46043</v>
      </c>
      <c r="L342" s="16">
        <v>46043</v>
      </c>
      <c r="M342" s="16">
        <v>46057</v>
      </c>
      <c r="N342" s="16" t="s">
        <v>142</v>
      </c>
    </row>
    <row r="343" spans="1:14" hidden="1" x14ac:dyDescent="0.25">
      <c r="A343" s="14" t="s">
        <v>14</v>
      </c>
      <c r="B343" s="14" t="s">
        <v>141</v>
      </c>
      <c r="C343" s="15" t="s">
        <v>19</v>
      </c>
      <c r="D343" s="16">
        <v>46080</v>
      </c>
      <c r="E343" s="17">
        <v>2800</v>
      </c>
      <c r="F343" s="18">
        <v>0.94479999999999997</v>
      </c>
      <c r="G343" s="19">
        <f>Cereal[[#This Row],[N° BOLSAS]]*Cereal[[#This Row],[KG BOLSA]]</f>
        <v>2645.44</v>
      </c>
      <c r="H343" s="37">
        <v>40</v>
      </c>
      <c r="I343" s="14">
        <f>ROUNDDOWN(Cereal[[#This Row],[N° BOLSAS]]/Cereal[[#This Row],[CAP. SACOS]],0)</f>
        <v>70</v>
      </c>
      <c r="J343" s="14">
        <f>Cereal[[#This Row],[N° BOLSAS]]-Cereal[[#This Row],[N° SACOS]]*Cereal[[#This Row],[CAP. SACOS]]</f>
        <v>0</v>
      </c>
      <c r="K343" s="16">
        <v>46079</v>
      </c>
      <c r="L343" s="16">
        <v>46079</v>
      </c>
      <c r="M343" s="16">
        <v>46083</v>
      </c>
      <c r="N343" s="16" t="s">
        <v>142</v>
      </c>
    </row>
    <row r="344" spans="1:14" hidden="1" x14ac:dyDescent="0.25">
      <c r="A344" s="14" t="s">
        <v>14</v>
      </c>
      <c r="B344" s="14" t="s">
        <v>141</v>
      </c>
      <c r="C344" s="15" t="s">
        <v>20</v>
      </c>
      <c r="D344" s="16">
        <v>46108</v>
      </c>
      <c r="E344" s="17">
        <v>2800</v>
      </c>
      <c r="F344" s="18">
        <v>0.94479999999999997</v>
      </c>
      <c r="G344" s="19">
        <f>Cereal[[#This Row],[N° BOLSAS]]*Cereal[[#This Row],[KG BOLSA]]</f>
        <v>2645.44</v>
      </c>
      <c r="H344" s="37">
        <v>40</v>
      </c>
      <c r="I344" s="14">
        <f>ROUNDDOWN(Cereal[[#This Row],[N° BOLSAS]]/Cereal[[#This Row],[CAP. SACOS]],0)</f>
        <v>70</v>
      </c>
      <c r="J344" s="14">
        <f>Cereal[[#This Row],[N° BOLSAS]]-Cereal[[#This Row],[N° SACOS]]*Cereal[[#This Row],[CAP. SACOS]]</f>
        <v>0</v>
      </c>
      <c r="K344" s="16">
        <v>46109</v>
      </c>
      <c r="L344" s="16">
        <v>46109</v>
      </c>
      <c r="M344" s="16">
        <v>46111</v>
      </c>
      <c r="N344" s="16" t="s">
        <v>142</v>
      </c>
    </row>
    <row r="345" spans="1:14" hidden="1" x14ac:dyDescent="0.25">
      <c r="A345" s="14" t="s">
        <v>14</v>
      </c>
      <c r="B345" s="14" t="s">
        <v>141</v>
      </c>
      <c r="C345" s="15" t="s">
        <v>21</v>
      </c>
      <c r="D345" s="16">
        <v>46140</v>
      </c>
      <c r="E345" s="17">
        <v>2800</v>
      </c>
      <c r="F345" s="18">
        <v>0.94479999999999997</v>
      </c>
      <c r="G345" s="19">
        <f>Cereal[[#This Row],[N° BOLSAS]]*Cereal[[#This Row],[KG BOLSA]]</f>
        <v>2645.44</v>
      </c>
      <c r="H345" s="37">
        <v>40</v>
      </c>
      <c r="I345" s="14">
        <f>ROUNDDOWN(Cereal[[#This Row],[N° BOLSAS]]/Cereal[[#This Row],[CAP. SACOS]],0)</f>
        <v>70</v>
      </c>
      <c r="J345" s="14">
        <f>Cereal[[#This Row],[N° BOLSAS]]-Cereal[[#This Row],[N° SACOS]]*Cereal[[#This Row],[CAP. SACOS]]</f>
        <v>0</v>
      </c>
      <c r="K345" s="16">
        <v>46140</v>
      </c>
      <c r="L345" s="16">
        <v>46140</v>
      </c>
      <c r="M345" s="16">
        <v>46141</v>
      </c>
      <c r="N345" s="16" t="s">
        <v>142</v>
      </c>
    </row>
    <row r="346" spans="1:14" hidden="1" x14ac:dyDescent="0.25">
      <c r="A346" s="14" t="s">
        <v>14</v>
      </c>
      <c r="B346" s="14" t="s">
        <v>141</v>
      </c>
      <c r="C346" s="15" t="s">
        <v>22</v>
      </c>
      <c r="D346" s="16">
        <v>46171</v>
      </c>
      <c r="E346" s="17">
        <v>2800</v>
      </c>
      <c r="F346" s="18">
        <v>0.94479999999999997</v>
      </c>
      <c r="G346" s="19">
        <f>Cereal[[#This Row],[N° BOLSAS]]*Cereal[[#This Row],[KG BOLSA]]</f>
        <v>2645.44</v>
      </c>
      <c r="H346" s="37">
        <v>40</v>
      </c>
      <c r="I346" s="14">
        <f>ROUNDDOWN(Cereal[[#This Row],[N° BOLSAS]]/Cereal[[#This Row],[CAP. SACOS]],0)</f>
        <v>70</v>
      </c>
      <c r="J346" s="14">
        <f>Cereal[[#This Row],[N° BOLSAS]]-Cereal[[#This Row],[N° SACOS]]*Cereal[[#This Row],[CAP. SACOS]]</f>
        <v>0</v>
      </c>
      <c r="K346" s="16">
        <v>46163</v>
      </c>
      <c r="L346" s="16">
        <v>46163</v>
      </c>
      <c r="M346" s="16">
        <v>46167</v>
      </c>
      <c r="N346" s="16" t="s">
        <v>142</v>
      </c>
    </row>
    <row r="347" spans="1:14" hidden="1" x14ac:dyDescent="0.25">
      <c r="A347" s="14" t="s">
        <v>14</v>
      </c>
      <c r="B347" s="14" t="s">
        <v>141</v>
      </c>
      <c r="C347" s="15" t="s">
        <v>23</v>
      </c>
      <c r="D347" s="16">
        <v>46199</v>
      </c>
      <c r="E347" s="17">
        <v>2800</v>
      </c>
      <c r="F347" s="18">
        <v>0.94479999999999997</v>
      </c>
      <c r="G347" s="19">
        <f>Cereal[[#This Row],[N° BOLSAS]]*Cereal[[#This Row],[KG BOLSA]]</f>
        <v>2645.44</v>
      </c>
      <c r="H347" s="37">
        <v>40</v>
      </c>
      <c r="I347" s="14">
        <f>ROUNDDOWN(Cereal[[#This Row],[N° BOLSAS]]/Cereal[[#This Row],[CAP. SACOS]],0)</f>
        <v>70</v>
      </c>
      <c r="J347" s="14">
        <f>Cereal[[#This Row],[N° BOLSAS]]-Cereal[[#This Row],[N° SACOS]]*Cereal[[#This Row],[CAP. SACOS]]</f>
        <v>0</v>
      </c>
      <c r="K347" s="16">
        <v>46199</v>
      </c>
      <c r="L347" s="16">
        <v>46199</v>
      </c>
      <c r="M347" s="16">
        <v>46199</v>
      </c>
      <c r="N347" s="16" t="s">
        <v>142</v>
      </c>
    </row>
    <row r="348" spans="1:14" hidden="1" x14ac:dyDescent="0.25">
      <c r="A348" s="14" t="s">
        <v>14</v>
      </c>
      <c r="B348" s="14" t="s">
        <v>141</v>
      </c>
      <c r="C348" s="15" t="s">
        <v>24</v>
      </c>
      <c r="D348" s="16">
        <v>46227</v>
      </c>
      <c r="E348" s="17">
        <v>2800</v>
      </c>
      <c r="F348" s="18">
        <v>0.94479999999999997</v>
      </c>
      <c r="G348" s="19">
        <f>Cereal[[#This Row],[N° BOLSAS]]*Cereal[[#This Row],[KG BOLSA]]</f>
        <v>2645.44</v>
      </c>
      <c r="H348" s="37">
        <v>40</v>
      </c>
      <c r="I348" s="14">
        <f>ROUNDDOWN(Cereal[[#This Row],[N° BOLSAS]]/Cereal[[#This Row],[CAP. SACOS]],0)</f>
        <v>70</v>
      </c>
      <c r="J348" s="14">
        <f>Cereal[[#This Row],[N° BOLSAS]]-Cereal[[#This Row],[N° SACOS]]*Cereal[[#This Row],[CAP. SACOS]]</f>
        <v>0</v>
      </c>
      <c r="K348" s="16">
        <v>46227</v>
      </c>
      <c r="L348" s="16">
        <v>46227</v>
      </c>
      <c r="M348" s="16">
        <v>46230</v>
      </c>
      <c r="N348" s="16" t="s">
        <v>142</v>
      </c>
    </row>
    <row r="349" spans="1:14" hidden="1" x14ac:dyDescent="0.25">
      <c r="A349" s="14" t="s">
        <v>14</v>
      </c>
      <c r="B349" s="14" t="s">
        <v>141</v>
      </c>
      <c r="C349" s="15" t="s">
        <v>25</v>
      </c>
      <c r="D349" s="16">
        <v>46262</v>
      </c>
      <c r="E349" s="17">
        <v>2800</v>
      </c>
      <c r="F349" s="18">
        <v>0.94479999999999997</v>
      </c>
      <c r="G349" s="19">
        <f>Cereal[[#This Row],[N° BOLSAS]]*Cereal[[#This Row],[KG BOLSA]]</f>
        <v>2645.44</v>
      </c>
      <c r="H349" s="37">
        <v>40</v>
      </c>
      <c r="I349" s="14">
        <f>ROUNDDOWN(Cereal[[#This Row],[N° BOLSAS]]/Cereal[[#This Row],[CAP. SACOS]],0)</f>
        <v>70</v>
      </c>
      <c r="J349" s="14">
        <f>Cereal[[#This Row],[N° BOLSAS]]-Cereal[[#This Row],[N° SACOS]]*Cereal[[#This Row],[CAP. SACOS]]</f>
        <v>0</v>
      </c>
      <c r="K349" s="16">
        <v>46263</v>
      </c>
      <c r="L349" s="16">
        <v>46263</v>
      </c>
      <c r="M349" s="16">
        <v>46266</v>
      </c>
      <c r="N349" s="16" t="s">
        <v>142</v>
      </c>
    </row>
    <row r="350" spans="1:14" hidden="1" x14ac:dyDescent="0.25">
      <c r="A350" s="14" t="s">
        <v>14</v>
      </c>
      <c r="B350" s="14" t="s">
        <v>141</v>
      </c>
      <c r="C350" s="15" t="s">
        <v>30</v>
      </c>
      <c r="D350" s="16">
        <v>46288</v>
      </c>
      <c r="E350" s="17">
        <v>4480</v>
      </c>
      <c r="F350" s="18">
        <v>0.83499999999999996</v>
      </c>
      <c r="G350" s="19">
        <f>Cereal[[#This Row],[N° BOLSAS]]*Cereal[[#This Row],[KG BOLSA]]</f>
        <v>3740.7999999999997</v>
      </c>
      <c r="H350" s="37">
        <v>40</v>
      </c>
      <c r="I350" s="14">
        <f>ROUNDDOWN(Cereal[[#This Row],[N° BOLSAS]]/Cereal[[#This Row],[CAP. SACOS]],0)</f>
        <v>112</v>
      </c>
      <c r="J350" s="14">
        <f>Cereal[[#This Row],[N° BOLSAS]]-Cereal[[#This Row],[N° SACOS]]*Cereal[[#This Row],[CAP. SACOS]]</f>
        <v>0</v>
      </c>
      <c r="K350" s="16">
        <v>46294</v>
      </c>
      <c r="L350" s="16"/>
      <c r="M350" s="16"/>
      <c r="N350" s="16" t="s">
        <v>142</v>
      </c>
    </row>
    <row r="351" spans="1:14" hidden="1" x14ac:dyDescent="0.25">
      <c r="A351" s="14" t="s">
        <v>14</v>
      </c>
      <c r="B351" s="14" t="s">
        <v>141</v>
      </c>
      <c r="C351" s="15" t="s">
        <v>26</v>
      </c>
      <c r="D351" s="16">
        <v>46294</v>
      </c>
      <c r="E351" s="17">
        <v>2800</v>
      </c>
      <c r="F351" s="18">
        <v>0.94479999999999997</v>
      </c>
      <c r="G351" s="19">
        <f>Cereal[[#This Row],[N° BOLSAS]]*Cereal[[#This Row],[KG BOLSA]]</f>
        <v>2645.44</v>
      </c>
      <c r="H351" s="37">
        <v>40</v>
      </c>
      <c r="I351" s="14">
        <f>ROUNDDOWN(Cereal[[#This Row],[N° BOLSAS]]/Cereal[[#This Row],[CAP. SACOS]],0)</f>
        <v>70</v>
      </c>
      <c r="J351" s="14">
        <f>Cereal[[#This Row],[N° BOLSAS]]-Cereal[[#This Row],[N° SACOS]]*Cereal[[#This Row],[CAP. SACOS]]</f>
        <v>0</v>
      </c>
      <c r="K351" s="16"/>
      <c r="L351" s="16"/>
      <c r="M351" s="16"/>
      <c r="N351" s="16" t="s">
        <v>142</v>
      </c>
    </row>
    <row r="352" spans="1:14" hidden="1" x14ac:dyDescent="0.25">
      <c r="A352" s="14" t="s">
        <v>14</v>
      </c>
      <c r="B352" s="14" t="s">
        <v>141</v>
      </c>
      <c r="C352" s="15" t="s">
        <v>27</v>
      </c>
      <c r="D352" s="16">
        <v>46324</v>
      </c>
      <c r="E352" s="17">
        <v>2800</v>
      </c>
      <c r="F352" s="18">
        <v>0.94479999999999997</v>
      </c>
      <c r="G352" s="19">
        <f>Cereal[[#This Row],[N° BOLSAS]]*Cereal[[#This Row],[KG BOLSA]]</f>
        <v>2645.44</v>
      </c>
      <c r="H352" s="37">
        <v>40</v>
      </c>
      <c r="I352" s="14">
        <f>ROUNDDOWN(Cereal[[#This Row],[N° BOLSAS]]/Cereal[[#This Row],[CAP. SACOS]],0)</f>
        <v>70</v>
      </c>
      <c r="J352" s="14">
        <f>Cereal[[#This Row],[N° BOLSAS]]-Cereal[[#This Row],[N° SACOS]]*Cereal[[#This Row],[CAP. SACOS]]</f>
        <v>0</v>
      </c>
      <c r="K352" s="16"/>
      <c r="L352" s="16"/>
      <c r="M352" s="16"/>
      <c r="N352" s="16" t="s">
        <v>142</v>
      </c>
    </row>
    <row r="353" spans="1:14" hidden="1" x14ac:dyDescent="0.25">
      <c r="A353" s="14" t="s">
        <v>14</v>
      </c>
      <c r="B353" s="14" t="s">
        <v>141</v>
      </c>
      <c r="C353" s="15" t="s">
        <v>28</v>
      </c>
      <c r="D353" s="16">
        <v>46353</v>
      </c>
      <c r="E353" s="17">
        <v>2800</v>
      </c>
      <c r="F353" s="18">
        <v>0.94479999999999997</v>
      </c>
      <c r="G353" s="19">
        <f>Cereal[[#This Row],[N° BOLSAS]]*Cereal[[#This Row],[KG BOLSA]]</f>
        <v>2645.44</v>
      </c>
      <c r="H353" s="37">
        <v>40</v>
      </c>
      <c r="I353" s="14">
        <f>ROUNDDOWN(Cereal[[#This Row],[N° BOLSAS]]/Cereal[[#This Row],[CAP. SACOS]],0)</f>
        <v>70</v>
      </c>
      <c r="J353" s="14">
        <f>Cereal[[#This Row],[N° BOLSAS]]-Cereal[[#This Row],[N° SACOS]]*Cereal[[#This Row],[CAP. SACOS]]</f>
        <v>0</v>
      </c>
      <c r="K353" s="16"/>
      <c r="L353" s="16"/>
      <c r="M353" s="16"/>
      <c r="N353" s="16" t="s">
        <v>142</v>
      </c>
    </row>
    <row r="354" spans="1:14" hidden="1" x14ac:dyDescent="0.25">
      <c r="A354" s="14" t="s">
        <v>100</v>
      </c>
      <c r="B354" s="14" t="s">
        <v>143</v>
      </c>
      <c r="C354" s="15" t="s">
        <v>30</v>
      </c>
      <c r="D354" s="16">
        <v>46096</v>
      </c>
      <c r="E354" s="17">
        <v>1056</v>
      </c>
      <c r="F354" s="18">
        <v>1</v>
      </c>
      <c r="G354" s="19">
        <f>Cereal[[#This Row],[N° BOLSAS]]*Cereal[[#This Row],[KG BOLSA]]</f>
        <v>1056</v>
      </c>
      <c r="H354" s="37">
        <v>40</v>
      </c>
      <c r="I354" s="14">
        <f>ROUNDDOWN(Cereal[[#This Row],[N° BOLSAS]]/Cereal[[#This Row],[CAP. SACOS]],0)</f>
        <v>26</v>
      </c>
      <c r="J354" s="14">
        <f>Cereal[[#This Row],[N° BOLSAS]]-Cereal[[#This Row],[N° SACOS]]*Cereal[[#This Row],[CAP. SACOS]]</f>
        <v>16</v>
      </c>
      <c r="K354" s="16">
        <v>46090</v>
      </c>
      <c r="L354" s="16">
        <v>46090</v>
      </c>
      <c r="M354" s="16">
        <v>46091</v>
      </c>
      <c r="N354" s="16" t="s">
        <v>144</v>
      </c>
    </row>
    <row r="355" spans="1:14" hidden="1" x14ac:dyDescent="0.25">
      <c r="A355" s="14" t="s">
        <v>100</v>
      </c>
      <c r="B355" s="14" t="s">
        <v>143</v>
      </c>
      <c r="C355" s="15" t="s">
        <v>30</v>
      </c>
      <c r="D355" s="16">
        <v>46188</v>
      </c>
      <c r="E355" s="17">
        <v>1065</v>
      </c>
      <c r="F355" s="18">
        <v>1</v>
      </c>
      <c r="G355" s="19">
        <f>Cereal[[#This Row],[N° BOLSAS]]*Cereal[[#This Row],[KG BOLSA]]</f>
        <v>1065</v>
      </c>
      <c r="H355" s="37">
        <v>40</v>
      </c>
      <c r="I355" s="14">
        <f>ROUNDDOWN(Cereal[[#This Row],[N° BOLSAS]]/Cereal[[#This Row],[CAP. SACOS]],0)</f>
        <v>26</v>
      </c>
      <c r="J355" s="14">
        <f>Cereal[[#This Row],[N° BOLSAS]]-Cereal[[#This Row],[N° SACOS]]*Cereal[[#This Row],[CAP. SACOS]]</f>
        <v>25</v>
      </c>
      <c r="K355" s="16">
        <v>46206</v>
      </c>
      <c r="L355" s="16">
        <v>46206</v>
      </c>
      <c r="M355" s="16">
        <v>46206</v>
      </c>
      <c r="N355" s="16" t="s">
        <v>144</v>
      </c>
    </row>
    <row r="356" spans="1:14" hidden="1" x14ac:dyDescent="0.25">
      <c r="A356" s="14" t="s">
        <v>100</v>
      </c>
      <c r="B356" s="14" t="s">
        <v>143</v>
      </c>
      <c r="C356" s="15" t="s">
        <v>30</v>
      </c>
      <c r="D356" s="16">
        <v>46274</v>
      </c>
      <c r="E356" s="17">
        <v>1065</v>
      </c>
      <c r="F356" s="18">
        <v>1</v>
      </c>
      <c r="G356" s="19">
        <f>Cereal[[#This Row],[N° BOLSAS]]*Cereal[[#This Row],[KG BOLSA]]</f>
        <v>1065</v>
      </c>
      <c r="H356" s="37">
        <v>40</v>
      </c>
      <c r="I356" s="14">
        <f>ROUNDDOWN(Cereal[[#This Row],[N° BOLSAS]]/Cereal[[#This Row],[CAP. SACOS]],0)</f>
        <v>26</v>
      </c>
      <c r="J356" s="14">
        <f>Cereal[[#This Row],[N° BOLSAS]]-Cereal[[#This Row],[N° SACOS]]*Cereal[[#This Row],[CAP. SACOS]]</f>
        <v>25</v>
      </c>
      <c r="K356" s="16"/>
      <c r="L356" s="16"/>
      <c r="M356" s="16"/>
      <c r="N356" s="16" t="s">
        <v>144</v>
      </c>
    </row>
    <row r="357" spans="1:14" hidden="1" x14ac:dyDescent="0.25">
      <c r="A357" s="14" t="s">
        <v>14</v>
      </c>
      <c r="B357" s="14" t="s">
        <v>145</v>
      </c>
      <c r="C357" s="15" t="s">
        <v>121</v>
      </c>
      <c r="D357" s="16">
        <v>46022</v>
      </c>
      <c r="E357" s="17">
        <v>1962</v>
      </c>
      <c r="F357" s="18">
        <v>1.65</v>
      </c>
      <c r="G357" s="19">
        <f>Cereal[[#This Row],[N° BOLSAS]]*Cereal[[#This Row],[KG BOLSA]]</f>
        <v>3237.2999999999997</v>
      </c>
      <c r="H357" s="37">
        <v>25</v>
      </c>
      <c r="I357" s="14">
        <f>ROUNDDOWN(Cereal[[#This Row],[N° BOLSAS]]/Cereal[[#This Row],[CAP. SACOS]],0)</f>
        <v>78</v>
      </c>
      <c r="J357" s="14">
        <f>Cereal[[#This Row],[N° BOLSAS]]-Cereal[[#This Row],[N° SACOS]]*Cereal[[#This Row],[CAP. SACOS]]</f>
        <v>12</v>
      </c>
      <c r="K357" s="16">
        <v>46002</v>
      </c>
      <c r="L357" s="16">
        <v>46002</v>
      </c>
      <c r="M357" s="16">
        <v>46009</v>
      </c>
      <c r="N357" s="16" t="s">
        <v>146</v>
      </c>
    </row>
    <row r="358" spans="1:14" hidden="1" x14ac:dyDescent="0.25">
      <c r="A358" s="14" t="s">
        <v>14</v>
      </c>
      <c r="B358" s="14" t="s">
        <v>145</v>
      </c>
      <c r="C358" s="15" t="s">
        <v>122</v>
      </c>
      <c r="D358" s="16">
        <v>46080</v>
      </c>
      <c r="E358" s="17">
        <v>1962</v>
      </c>
      <c r="F358" s="18">
        <v>1.65</v>
      </c>
      <c r="G358" s="19">
        <f>Cereal[[#This Row],[N° BOLSAS]]*Cereal[[#This Row],[KG BOLSA]]</f>
        <v>3237.2999999999997</v>
      </c>
      <c r="H358" s="37">
        <v>25</v>
      </c>
      <c r="I358" s="14">
        <f>ROUNDDOWN(Cereal[[#This Row],[N° BOLSAS]]/Cereal[[#This Row],[CAP. SACOS]],0)</f>
        <v>78</v>
      </c>
      <c r="J358" s="14">
        <f>Cereal[[#This Row],[N° BOLSAS]]-Cereal[[#This Row],[N° SACOS]]*Cereal[[#This Row],[CAP. SACOS]]</f>
        <v>12</v>
      </c>
      <c r="K358" s="16">
        <v>46071</v>
      </c>
      <c r="L358" s="16">
        <v>46071</v>
      </c>
      <c r="M358" s="16">
        <v>46075</v>
      </c>
      <c r="N358" s="16" t="s">
        <v>146</v>
      </c>
    </row>
    <row r="359" spans="1:14" hidden="1" x14ac:dyDescent="0.25">
      <c r="A359" s="14" t="s">
        <v>14</v>
      </c>
      <c r="B359" s="14" t="s">
        <v>145</v>
      </c>
      <c r="C359" s="15" t="s">
        <v>43</v>
      </c>
      <c r="D359" s="16">
        <v>46135</v>
      </c>
      <c r="E359" s="17">
        <v>1962</v>
      </c>
      <c r="F359" s="18">
        <v>1.65</v>
      </c>
      <c r="G359" s="19">
        <f>Cereal[[#This Row],[N° BOLSAS]]*Cereal[[#This Row],[KG BOLSA]]</f>
        <v>3237.2999999999997</v>
      </c>
      <c r="H359" s="37">
        <v>25</v>
      </c>
      <c r="I359" s="14">
        <f>ROUNDDOWN(Cereal[[#This Row],[N° BOLSAS]]/Cereal[[#This Row],[CAP. SACOS]],0)</f>
        <v>78</v>
      </c>
      <c r="J359" s="14">
        <f>Cereal[[#This Row],[N° BOLSAS]]-Cereal[[#This Row],[N° SACOS]]*Cereal[[#This Row],[CAP. SACOS]]</f>
        <v>12</v>
      </c>
      <c r="K359" s="16">
        <v>46127</v>
      </c>
      <c r="L359" s="16">
        <v>46127</v>
      </c>
      <c r="M359" s="16">
        <v>46131</v>
      </c>
      <c r="N359" s="16" t="s">
        <v>146</v>
      </c>
    </row>
    <row r="360" spans="1:14" hidden="1" x14ac:dyDescent="0.25">
      <c r="A360" s="14" t="s">
        <v>14</v>
      </c>
      <c r="B360" s="14" t="s">
        <v>145</v>
      </c>
      <c r="C360" s="15" t="s">
        <v>44</v>
      </c>
      <c r="D360" s="16">
        <v>46201</v>
      </c>
      <c r="E360" s="17">
        <v>1962</v>
      </c>
      <c r="F360" s="18">
        <v>1.65</v>
      </c>
      <c r="G360" s="19">
        <f>Cereal[[#This Row],[N° BOLSAS]]*Cereal[[#This Row],[KG BOLSA]]</f>
        <v>3237.2999999999997</v>
      </c>
      <c r="H360" s="37">
        <v>25</v>
      </c>
      <c r="I360" s="14">
        <f>ROUNDDOWN(Cereal[[#This Row],[N° BOLSAS]]/Cereal[[#This Row],[CAP. SACOS]],0)</f>
        <v>78</v>
      </c>
      <c r="J360" s="14">
        <f>Cereal[[#This Row],[N° BOLSAS]]-Cereal[[#This Row],[N° SACOS]]*Cereal[[#This Row],[CAP. SACOS]]</f>
        <v>12</v>
      </c>
      <c r="K360" s="16">
        <v>46188</v>
      </c>
      <c r="L360" s="16">
        <v>46188</v>
      </c>
      <c r="M360" s="16">
        <v>46191</v>
      </c>
      <c r="N360" s="16" t="s">
        <v>146</v>
      </c>
    </row>
    <row r="361" spans="1:14" hidden="1" x14ac:dyDescent="0.25">
      <c r="A361" s="14" t="s">
        <v>14</v>
      </c>
      <c r="B361" s="14" t="s">
        <v>145</v>
      </c>
      <c r="C361" s="15" t="s">
        <v>30</v>
      </c>
      <c r="D361" s="16">
        <v>46217</v>
      </c>
      <c r="E361" s="17">
        <v>981</v>
      </c>
      <c r="F361" s="18">
        <v>1.6079918</v>
      </c>
      <c r="G361" s="19">
        <f>Cereal[[#This Row],[N° BOLSAS]]*Cereal[[#This Row],[KG BOLSA]]</f>
        <v>1577.4399558</v>
      </c>
      <c r="H361" s="37">
        <v>25</v>
      </c>
      <c r="I361" s="14">
        <f>ROUNDDOWN(Cereal[[#This Row],[N° BOLSAS]]/Cereal[[#This Row],[CAP. SACOS]],0)</f>
        <v>39</v>
      </c>
      <c r="J361" s="14">
        <f>Cereal[[#This Row],[N° BOLSAS]]-Cereal[[#This Row],[N° SACOS]]*Cereal[[#This Row],[CAP. SACOS]]</f>
        <v>6</v>
      </c>
      <c r="K361" s="16">
        <v>46248</v>
      </c>
      <c r="L361" s="16">
        <v>46248</v>
      </c>
      <c r="M361" s="16">
        <v>46250</v>
      </c>
      <c r="N361" s="16" t="s">
        <v>146</v>
      </c>
    </row>
    <row r="362" spans="1:14" ht="22.5" hidden="1" x14ac:dyDescent="0.25">
      <c r="A362" s="14" t="s">
        <v>14</v>
      </c>
      <c r="B362" s="14" t="s">
        <v>145</v>
      </c>
      <c r="C362" s="15" t="s">
        <v>45</v>
      </c>
      <c r="D362" s="16">
        <v>46260</v>
      </c>
      <c r="E362" s="17">
        <v>1962</v>
      </c>
      <c r="F362" s="18">
        <v>1.65</v>
      </c>
      <c r="G362" s="19">
        <f>Cereal[[#This Row],[N° BOLSAS]]*Cereal[[#This Row],[KG BOLSA]]</f>
        <v>3237.2999999999997</v>
      </c>
      <c r="H362" s="37">
        <v>25</v>
      </c>
      <c r="I362" s="14">
        <f>ROUNDDOWN(Cereal[[#This Row],[N° BOLSAS]]/Cereal[[#This Row],[CAP. SACOS]],0)</f>
        <v>78</v>
      </c>
      <c r="J362" s="14">
        <f>Cereal[[#This Row],[N° BOLSAS]]-Cereal[[#This Row],[N° SACOS]]*Cereal[[#This Row],[CAP. SACOS]]</f>
        <v>12</v>
      </c>
      <c r="K362" s="16">
        <v>46248</v>
      </c>
      <c r="L362" s="16">
        <v>46248</v>
      </c>
      <c r="M362" s="16">
        <v>46250</v>
      </c>
      <c r="N362" s="16" t="s">
        <v>146</v>
      </c>
    </row>
    <row r="363" spans="1:14" ht="22.5" hidden="1" x14ac:dyDescent="0.25">
      <c r="A363" s="14" t="s">
        <v>14</v>
      </c>
      <c r="B363" s="14" t="s">
        <v>145</v>
      </c>
      <c r="C363" s="15" t="s">
        <v>46</v>
      </c>
      <c r="D363" s="16">
        <v>46323</v>
      </c>
      <c r="E363" s="17">
        <v>1962</v>
      </c>
      <c r="F363" s="18">
        <v>1.65</v>
      </c>
      <c r="G363" s="19">
        <f>Cereal[[#This Row],[N° BOLSAS]]*Cereal[[#This Row],[KG BOLSA]]</f>
        <v>3237.2999999999997</v>
      </c>
      <c r="H363" s="37">
        <v>25</v>
      </c>
      <c r="I363" s="14">
        <f>ROUNDDOWN(Cereal[[#This Row],[N° BOLSAS]]/Cereal[[#This Row],[CAP. SACOS]],0)</f>
        <v>78</v>
      </c>
      <c r="J363" s="14">
        <f>Cereal[[#This Row],[N° BOLSAS]]-Cereal[[#This Row],[N° SACOS]]*Cereal[[#This Row],[CAP. SACOS]]</f>
        <v>12</v>
      </c>
      <c r="K363" s="16"/>
      <c r="L363" s="16"/>
      <c r="M363" s="16"/>
      <c r="N363" s="16" t="s">
        <v>146</v>
      </c>
    </row>
    <row r="364" spans="1:14" hidden="1" x14ac:dyDescent="0.25">
      <c r="A364" s="14" t="s">
        <v>14</v>
      </c>
      <c r="B364" s="14" t="s">
        <v>147</v>
      </c>
      <c r="C364" s="15" t="s">
        <v>16</v>
      </c>
      <c r="D364" s="16">
        <v>46006</v>
      </c>
      <c r="E364" s="17">
        <v>1200</v>
      </c>
      <c r="F364" s="18">
        <v>0.72354399999999996</v>
      </c>
      <c r="G364" s="19">
        <f>Cereal[[#This Row],[N° BOLSAS]]*Cereal[[#This Row],[KG BOLSA]]</f>
        <v>868.25279999999998</v>
      </c>
      <c r="H364" s="37">
        <v>60</v>
      </c>
      <c r="I364" s="14">
        <f>ROUNDDOWN(Cereal[[#This Row],[N° BOLSAS]]/Cereal[[#This Row],[CAP. SACOS]],0)</f>
        <v>20</v>
      </c>
      <c r="J364" s="14">
        <f>Cereal[[#This Row],[N° BOLSAS]]-Cereal[[#This Row],[N° SACOS]]*Cereal[[#This Row],[CAP. SACOS]]</f>
        <v>0</v>
      </c>
      <c r="K364" s="16">
        <v>46004</v>
      </c>
      <c r="L364" s="16">
        <v>46004</v>
      </c>
      <c r="M364" s="16">
        <v>46020</v>
      </c>
      <c r="N364" s="16" t="s">
        <v>148</v>
      </c>
    </row>
    <row r="365" spans="1:14" hidden="1" x14ac:dyDescent="0.25">
      <c r="A365" s="14" t="s">
        <v>14</v>
      </c>
      <c r="B365" s="14" t="s">
        <v>147</v>
      </c>
      <c r="C365" s="15" t="s">
        <v>18</v>
      </c>
      <c r="D365" s="16">
        <v>46052</v>
      </c>
      <c r="E365" s="17">
        <v>1200</v>
      </c>
      <c r="F365" s="18">
        <v>0.72354399999999996</v>
      </c>
      <c r="G365" s="19">
        <f>Cereal[[#This Row],[N° BOLSAS]]*Cereal[[#This Row],[KG BOLSA]]</f>
        <v>868.25279999999998</v>
      </c>
      <c r="H365" s="37">
        <v>60</v>
      </c>
      <c r="I365" s="14">
        <f>ROUNDDOWN(Cereal[[#This Row],[N° BOLSAS]]/Cereal[[#This Row],[CAP. SACOS]],0)</f>
        <v>20</v>
      </c>
      <c r="J365" s="14">
        <f>Cereal[[#This Row],[N° BOLSAS]]-Cereal[[#This Row],[N° SACOS]]*Cereal[[#This Row],[CAP. SACOS]]</f>
        <v>0</v>
      </c>
      <c r="K365" s="16">
        <v>46046</v>
      </c>
      <c r="L365" s="16">
        <v>46046</v>
      </c>
      <c r="M365" s="16">
        <v>46048</v>
      </c>
      <c r="N365" s="16" t="s">
        <v>148</v>
      </c>
    </row>
    <row r="366" spans="1:14" hidden="1" x14ac:dyDescent="0.25">
      <c r="A366" s="14" t="s">
        <v>14</v>
      </c>
      <c r="B366" s="14" t="s">
        <v>147</v>
      </c>
      <c r="C366" s="15" t="s">
        <v>19</v>
      </c>
      <c r="D366" s="16">
        <v>46081</v>
      </c>
      <c r="E366" s="17">
        <v>1200</v>
      </c>
      <c r="F366" s="18">
        <v>0.72354399999999996</v>
      </c>
      <c r="G366" s="19">
        <f>Cereal[[#This Row],[N° BOLSAS]]*Cereal[[#This Row],[KG BOLSA]]</f>
        <v>868.25279999999998</v>
      </c>
      <c r="H366" s="37">
        <v>60</v>
      </c>
      <c r="I366" s="14">
        <f>ROUNDDOWN(Cereal[[#This Row],[N° BOLSAS]]/Cereal[[#This Row],[CAP. SACOS]],0)</f>
        <v>20</v>
      </c>
      <c r="J366" s="14">
        <f>Cereal[[#This Row],[N° BOLSAS]]-Cereal[[#This Row],[N° SACOS]]*Cereal[[#This Row],[CAP. SACOS]]</f>
        <v>0</v>
      </c>
      <c r="K366" s="16">
        <v>46073</v>
      </c>
      <c r="L366" s="16">
        <v>46073</v>
      </c>
      <c r="M366" s="16">
        <v>46076</v>
      </c>
      <c r="N366" s="16" t="s">
        <v>148</v>
      </c>
    </row>
    <row r="367" spans="1:14" hidden="1" x14ac:dyDescent="0.25">
      <c r="A367" s="14" t="s">
        <v>14</v>
      </c>
      <c r="B367" s="14" t="s">
        <v>147</v>
      </c>
      <c r="C367" s="15" t="s">
        <v>20</v>
      </c>
      <c r="D367" s="16">
        <v>46112</v>
      </c>
      <c r="E367" s="17">
        <v>1200</v>
      </c>
      <c r="F367" s="18">
        <v>0.72354399999999996</v>
      </c>
      <c r="G367" s="19">
        <f>Cereal[[#This Row],[N° BOLSAS]]*Cereal[[#This Row],[KG BOLSA]]</f>
        <v>868.25279999999998</v>
      </c>
      <c r="H367" s="37">
        <v>60</v>
      </c>
      <c r="I367" s="14">
        <f>ROUNDDOWN(Cereal[[#This Row],[N° BOLSAS]]/Cereal[[#This Row],[CAP. SACOS]],0)</f>
        <v>20</v>
      </c>
      <c r="J367" s="14">
        <f>Cereal[[#This Row],[N° BOLSAS]]-Cereal[[#This Row],[N° SACOS]]*Cereal[[#This Row],[CAP. SACOS]]</f>
        <v>0</v>
      </c>
      <c r="K367" s="16">
        <v>46104</v>
      </c>
      <c r="L367" s="16">
        <v>46104</v>
      </c>
      <c r="M367" s="16">
        <v>46104</v>
      </c>
      <c r="N367" s="16" t="s">
        <v>148</v>
      </c>
    </row>
    <row r="368" spans="1:14" hidden="1" x14ac:dyDescent="0.25">
      <c r="A368" s="14" t="s">
        <v>14</v>
      </c>
      <c r="B368" s="14" t="s">
        <v>147</v>
      </c>
      <c r="C368" s="15" t="s">
        <v>21</v>
      </c>
      <c r="D368" s="16">
        <v>46142</v>
      </c>
      <c r="E368" s="17">
        <v>1200</v>
      </c>
      <c r="F368" s="18">
        <v>0.72354399999999996</v>
      </c>
      <c r="G368" s="19">
        <f>Cereal[[#This Row],[N° BOLSAS]]*Cereal[[#This Row],[KG BOLSA]]</f>
        <v>868.25279999999998</v>
      </c>
      <c r="H368" s="37">
        <v>60</v>
      </c>
      <c r="I368" s="14">
        <f>ROUNDDOWN(Cereal[[#This Row],[N° BOLSAS]]/Cereal[[#This Row],[CAP. SACOS]],0)</f>
        <v>20</v>
      </c>
      <c r="J368" s="14">
        <f>Cereal[[#This Row],[N° BOLSAS]]-Cereal[[#This Row],[N° SACOS]]*Cereal[[#This Row],[CAP. SACOS]]</f>
        <v>0</v>
      </c>
      <c r="K368" s="16">
        <v>46134</v>
      </c>
      <c r="L368" s="16">
        <v>46134</v>
      </c>
      <c r="M368" s="16">
        <v>46136</v>
      </c>
      <c r="N368" s="16" t="s">
        <v>148</v>
      </c>
    </row>
    <row r="369" spans="1:14" hidden="1" x14ac:dyDescent="0.25">
      <c r="A369" s="14" t="s">
        <v>14</v>
      </c>
      <c r="B369" s="14" t="s">
        <v>147</v>
      </c>
      <c r="C369" s="15" t="s">
        <v>22</v>
      </c>
      <c r="D369" s="16">
        <v>46172</v>
      </c>
      <c r="E369" s="17">
        <v>1200</v>
      </c>
      <c r="F369" s="18">
        <v>0.72354399999999996</v>
      </c>
      <c r="G369" s="19">
        <f>Cereal[[#This Row],[N° BOLSAS]]*Cereal[[#This Row],[KG BOLSA]]</f>
        <v>868.25279999999998</v>
      </c>
      <c r="H369" s="37">
        <v>60</v>
      </c>
      <c r="I369" s="14">
        <f>ROUNDDOWN(Cereal[[#This Row],[N° BOLSAS]]/Cereal[[#This Row],[CAP. SACOS]],0)</f>
        <v>20</v>
      </c>
      <c r="J369" s="14">
        <f>Cereal[[#This Row],[N° BOLSAS]]-Cereal[[#This Row],[N° SACOS]]*Cereal[[#This Row],[CAP. SACOS]]</f>
        <v>0</v>
      </c>
      <c r="K369" s="16">
        <v>46163</v>
      </c>
      <c r="L369" s="16">
        <v>46163</v>
      </c>
      <c r="M369" s="16">
        <v>46167</v>
      </c>
      <c r="N369" s="16" t="s">
        <v>148</v>
      </c>
    </row>
    <row r="370" spans="1:14" hidden="1" x14ac:dyDescent="0.25">
      <c r="A370" s="14" t="s">
        <v>14</v>
      </c>
      <c r="B370" s="14" t="s">
        <v>147</v>
      </c>
      <c r="C370" s="15" t="s">
        <v>23</v>
      </c>
      <c r="D370" s="16">
        <v>46203</v>
      </c>
      <c r="E370" s="17">
        <v>1200</v>
      </c>
      <c r="F370" s="18">
        <v>0.72354399999999996</v>
      </c>
      <c r="G370" s="19">
        <f>Cereal[[#This Row],[N° BOLSAS]]*Cereal[[#This Row],[KG BOLSA]]</f>
        <v>868.25279999999998</v>
      </c>
      <c r="H370" s="37">
        <v>60</v>
      </c>
      <c r="I370" s="14">
        <f>ROUNDDOWN(Cereal[[#This Row],[N° BOLSAS]]/Cereal[[#This Row],[CAP. SACOS]],0)</f>
        <v>20</v>
      </c>
      <c r="J370" s="14">
        <f>Cereal[[#This Row],[N° BOLSAS]]-Cereal[[#This Row],[N° SACOS]]*Cereal[[#This Row],[CAP. SACOS]]</f>
        <v>0</v>
      </c>
      <c r="K370" s="16">
        <v>46196</v>
      </c>
      <c r="L370" s="16">
        <v>46196</v>
      </c>
      <c r="M370" s="16">
        <v>46196</v>
      </c>
      <c r="N370" s="16" t="s">
        <v>148</v>
      </c>
    </row>
    <row r="371" spans="1:14" hidden="1" x14ac:dyDescent="0.25">
      <c r="A371" s="14" t="s">
        <v>14</v>
      </c>
      <c r="B371" s="14" t="s">
        <v>147</v>
      </c>
      <c r="C371" s="15" t="s">
        <v>30</v>
      </c>
      <c r="D371" s="16">
        <v>46208</v>
      </c>
      <c r="E371" s="17">
        <v>2320</v>
      </c>
      <c r="F371" s="18">
        <v>0.72354399999999996</v>
      </c>
      <c r="G371" s="19">
        <f>Cereal[[#This Row],[N° BOLSAS]]*Cereal[[#This Row],[KG BOLSA]]</f>
        <v>1678.6220799999999</v>
      </c>
      <c r="H371" s="37">
        <v>60</v>
      </c>
      <c r="I371" s="14">
        <f>ROUNDDOWN(Cereal[[#This Row],[N° BOLSAS]]/Cereal[[#This Row],[CAP. SACOS]],0)</f>
        <v>38</v>
      </c>
      <c r="J371" s="14">
        <f>Cereal[[#This Row],[N° BOLSAS]]-Cereal[[#This Row],[N° SACOS]]*Cereal[[#This Row],[CAP. SACOS]]</f>
        <v>40</v>
      </c>
      <c r="K371" s="16">
        <v>46208</v>
      </c>
      <c r="L371" s="16">
        <v>46208</v>
      </c>
      <c r="M371" s="16">
        <v>46208</v>
      </c>
      <c r="N371" s="16" t="s">
        <v>148</v>
      </c>
    </row>
    <row r="372" spans="1:14" hidden="1" x14ac:dyDescent="0.25">
      <c r="A372" s="14" t="s">
        <v>14</v>
      </c>
      <c r="B372" s="14" t="s">
        <v>147</v>
      </c>
      <c r="C372" s="15" t="s">
        <v>24</v>
      </c>
      <c r="D372" s="16">
        <v>46233</v>
      </c>
      <c r="E372" s="17">
        <v>1200</v>
      </c>
      <c r="F372" s="18">
        <v>0.72354399999999996</v>
      </c>
      <c r="G372" s="19">
        <f>Cereal[[#This Row],[N° BOLSAS]]*Cereal[[#This Row],[KG BOLSA]]</f>
        <v>868.25279999999998</v>
      </c>
      <c r="H372" s="37">
        <v>60</v>
      </c>
      <c r="I372" s="14">
        <f>ROUNDDOWN(Cereal[[#This Row],[N° BOLSAS]]/Cereal[[#This Row],[CAP. SACOS]],0)</f>
        <v>20</v>
      </c>
      <c r="J372" s="14">
        <f>Cereal[[#This Row],[N° BOLSAS]]-Cereal[[#This Row],[N° SACOS]]*Cereal[[#This Row],[CAP. SACOS]]</f>
        <v>0</v>
      </c>
      <c r="K372" s="16">
        <v>46224</v>
      </c>
      <c r="L372" s="16">
        <v>46224</v>
      </c>
      <c r="M372" s="16">
        <v>46225</v>
      </c>
      <c r="N372" s="16" t="s">
        <v>148</v>
      </c>
    </row>
    <row r="373" spans="1:14" hidden="1" x14ac:dyDescent="0.25">
      <c r="A373" s="14" t="s">
        <v>14</v>
      </c>
      <c r="B373" s="14" t="s">
        <v>147</v>
      </c>
      <c r="C373" s="15" t="s">
        <v>25</v>
      </c>
      <c r="D373" s="16">
        <v>46264</v>
      </c>
      <c r="E373" s="17">
        <v>1200</v>
      </c>
      <c r="F373" s="18">
        <v>0.72354399999999996</v>
      </c>
      <c r="G373" s="19">
        <f>Cereal[[#This Row],[N° BOLSAS]]*Cereal[[#This Row],[KG BOLSA]]</f>
        <v>868.25279999999998</v>
      </c>
      <c r="H373" s="37">
        <v>60</v>
      </c>
      <c r="I373" s="14">
        <f>ROUNDDOWN(Cereal[[#This Row],[N° BOLSAS]]/Cereal[[#This Row],[CAP. SACOS]],0)</f>
        <v>20</v>
      </c>
      <c r="J373" s="14">
        <f>Cereal[[#This Row],[N° BOLSAS]]-Cereal[[#This Row],[N° SACOS]]*Cereal[[#This Row],[CAP. SACOS]]</f>
        <v>0</v>
      </c>
      <c r="K373" s="16">
        <v>46258</v>
      </c>
      <c r="L373" s="16">
        <v>46258</v>
      </c>
      <c r="M373" s="16">
        <v>46258</v>
      </c>
      <c r="N373" s="16" t="s">
        <v>148</v>
      </c>
    </row>
    <row r="374" spans="1:14" hidden="1" x14ac:dyDescent="0.25">
      <c r="A374" s="14" t="s">
        <v>14</v>
      </c>
      <c r="B374" s="14" t="s">
        <v>147</v>
      </c>
      <c r="C374" s="15" t="s">
        <v>26</v>
      </c>
      <c r="D374" s="16">
        <v>46295</v>
      </c>
      <c r="E374" s="17">
        <v>1200</v>
      </c>
      <c r="F374" s="18">
        <v>0.72354399999999996</v>
      </c>
      <c r="G374" s="19">
        <f>Cereal[[#This Row],[N° BOLSAS]]*Cereal[[#This Row],[KG BOLSA]]</f>
        <v>868.25279999999998</v>
      </c>
      <c r="H374" s="37">
        <v>60</v>
      </c>
      <c r="I374" s="14">
        <f>ROUNDDOWN(Cereal[[#This Row],[N° BOLSAS]]/Cereal[[#This Row],[CAP. SACOS]],0)</f>
        <v>20</v>
      </c>
      <c r="J374" s="14">
        <f>Cereal[[#This Row],[N° BOLSAS]]-Cereal[[#This Row],[N° SACOS]]*Cereal[[#This Row],[CAP. SACOS]]</f>
        <v>0</v>
      </c>
      <c r="K374" s="16">
        <v>46293</v>
      </c>
      <c r="L374" s="16">
        <v>46293</v>
      </c>
      <c r="M374" s="16">
        <v>46294</v>
      </c>
      <c r="N374" s="16" t="s">
        <v>148</v>
      </c>
    </row>
    <row r="375" spans="1:14" hidden="1" x14ac:dyDescent="0.25">
      <c r="A375" s="14" t="s">
        <v>14</v>
      </c>
      <c r="B375" s="14" t="s">
        <v>147</v>
      </c>
      <c r="C375" s="15" t="s">
        <v>27</v>
      </c>
      <c r="D375" s="16">
        <v>46325</v>
      </c>
      <c r="E375" s="17">
        <v>1200</v>
      </c>
      <c r="F375" s="18">
        <v>0.72354399999999996</v>
      </c>
      <c r="G375" s="19">
        <f>Cereal[[#This Row],[N° BOLSAS]]*Cereal[[#This Row],[KG BOLSA]]</f>
        <v>868.25279999999998</v>
      </c>
      <c r="H375" s="37">
        <v>60</v>
      </c>
      <c r="I375" s="14">
        <f>ROUNDDOWN(Cereal[[#This Row],[N° BOLSAS]]/Cereal[[#This Row],[CAP. SACOS]],0)</f>
        <v>20</v>
      </c>
      <c r="J375" s="14">
        <f>Cereal[[#This Row],[N° BOLSAS]]-Cereal[[#This Row],[N° SACOS]]*Cereal[[#This Row],[CAP. SACOS]]</f>
        <v>0</v>
      </c>
      <c r="K375" s="16"/>
      <c r="L375" s="16"/>
      <c r="M375" s="16"/>
      <c r="N375" s="16" t="s">
        <v>148</v>
      </c>
    </row>
    <row r="376" spans="1:14" hidden="1" x14ac:dyDescent="0.25">
      <c r="A376" s="14" t="s">
        <v>14</v>
      </c>
      <c r="B376" s="14" t="s">
        <v>147</v>
      </c>
      <c r="C376" s="15" t="s">
        <v>28</v>
      </c>
      <c r="D376" s="16">
        <v>46356</v>
      </c>
      <c r="E376" s="17">
        <v>1200</v>
      </c>
      <c r="F376" s="18">
        <v>0.72354399999999996</v>
      </c>
      <c r="G376" s="19">
        <f>Cereal[[#This Row],[N° BOLSAS]]*Cereal[[#This Row],[KG BOLSA]]</f>
        <v>868.25279999999998</v>
      </c>
      <c r="H376" s="37">
        <v>60</v>
      </c>
      <c r="I376" s="14">
        <f>ROUNDDOWN(Cereal[[#This Row],[N° BOLSAS]]/Cereal[[#This Row],[CAP. SACOS]],0)</f>
        <v>20</v>
      </c>
      <c r="J376" s="14">
        <f>Cereal[[#This Row],[N° BOLSAS]]-Cereal[[#This Row],[N° SACOS]]*Cereal[[#This Row],[CAP. SACOS]]</f>
        <v>0</v>
      </c>
      <c r="K376" s="16"/>
      <c r="L376" s="16"/>
      <c r="M376" s="16"/>
      <c r="N376" s="16" t="s">
        <v>148</v>
      </c>
    </row>
    <row r="377" spans="1:14" hidden="1" x14ac:dyDescent="0.25">
      <c r="A377" s="14" t="s">
        <v>14</v>
      </c>
      <c r="B377" s="14" t="s">
        <v>149</v>
      </c>
      <c r="C377" s="15" t="s">
        <v>16</v>
      </c>
      <c r="D377" s="16">
        <v>46034</v>
      </c>
      <c r="E377" s="17">
        <v>1433</v>
      </c>
      <c r="F377" s="18">
        <v>1</v>
      </c>
      <c r="G377" s="19">
        <f>Cereal[[#This Row],[N° BOLSAS]]*Cereal[[#This Row],[KG BOLSA]]</f>
        <v>1433</v>
      </c>
      <c r="H377" s="37">
        <v>40</v>
      </c>
      <c r="I377" s="14">
        <f>ROUNDDOWN(Cereal[[#This Row],[N° BOLSAS]]/Cereal[[#This Row],[CAP. SACOS]],0)</f>
        <v>35</v>
      </c>
      <c r="J377" s="14">
        <f>Cereal[[#This Row],[N° BOLSAS]]-Cereal[[#This Row],[N° SACOS]]*Cereal[[#This Row],[CAP. SACOS]]</f>
        <v>33</v>
      </c>
      <c r="K377" s="16">
        <v>46027</v>
      </c>
      <c r="L377" s="16">
        <v>46027</v>
      </c>
      <c r="M377" s="16">
        <v>46028</v>
      </c>
      <c r="N377" s="16" t="s">
        <v>150</v>
      </c>
    </row>
    <row r="378" spans="1:14" hidden="1" x14ac:dyDescent="0.25">
      <c r="A378" s="14" t="s">
        <v>14</v>
      </c>
      <c r="B378" s="14" t="s">
        <v>149</v>
      </c>
      <c r="C378" s="15" t="s">
        <v>18</v>
      </c>
      <c r="D378" s="16">
        <v>46034</v>
      </c>
      <c r="E378" s="17">
        <v>1433</v>
      </c>
      <c r="F378" s="18">
        <v>1</v>
      </c>
      <c r="G378" s="19">
        <f>Cereal[[#This Row],[N° BOLSAS]]*Cereal[[#This Row],[KG BOLSA]]</f>
        <v>1433</v>
      </c>
      <c r="H378" s="37">
        <v>40</v>
      </c>
      <c r="I378" s="14">
        <f>ROUNDDOWN(Cereal[[#This Row],[N° BOLSAS]]/Cereal[[#This Row],[CAP. SACOS]],0)</f>
        <v>35</v>
      </c>
      <c r="J378" s="14">
        <f>Cereal[[#This Row],[N° BOLSAS]]-Cereal[[#This Row],[N° SACOS]]*Cereal[[#This Row],[CAP. SACOS]]</f>
        <v>33</v>
      </c>
      <c r="K378" s="16">
        <v>46027</v>
      </c>
      <c r="L378" s="16">
        <v>46027</v>
      </c>
      <c r="M378" s="16">
        <v>46028</v>
      </c>
      <c r="N378" s="16" t="s">
        <v>150</v>
      </c>
    </row>
    <row r="379" spans="1:14" hidden="1" x14ac:dyDescent="0.25">
      <c r="A379" s="14" t="s">
        <v>14</v>
      </c>
      <c r="B379" s="14" t="s">
        <v>149</v>
      </c>
      <c r="C379" s="15" t="s">
        <v>19</v>
      </c>
      <c r="D379" s="16">
        <v>46065</v>
      </c>
      <c r="E379" s="17">
        <v>1433</v>
      </c>
      <c r="F379" s="18">
        <v>1</v>
      </c>
      <c r="G379" s="19">
        <f>Cereal[[#This Row],[N° BOLSAS]]*Cereal[[#This Row],[KG BOLSA]]</f>
        <v>1433</v>
      </c>
      <c r="H379" s="37">
        <v>40</v>
      </c>
      <c r="I379" s="14">
        <f>ROUNDDOWN(Cereal[[#This Row],[N° BOLSAS]]/Cereal[[#This Row],[CAP. SACOS]],0)</f>
        <v>35</v>
      </c>
      <c r="J379" s="14">
        <f>Cereal[[#This Row],[N° BOLSAS]]-Cereal[[#This Row],[N° SACOS]]*Cereal[[#This Row],[CAP. SACOS]]</f>
        <v>33</v>
      </c>
      <c r="K379" s="16">
        <v>46091</v>
      </c>
      <c r="L379" s="16">
        <v>46091</v>
      </c>
      <c r="M379" s="16">
        <v>46091</v>
      </c>
      <c r="N379" s="16" t="s">
        <v>150</v>
      </c>
    </row>
    <row r="380" spans="1:14" hidden="1" x14ac:dyDescent="0.25">
      <c r="A380" s="14" t="s">
        <v>14</v>
      </c>
      <c r="B380" s="14" t="s">
        <v>149</v>
      </c>
      <c r="C380" s="15" t="s">
        <v>20</v>
      </c>
      <c r="D380" s="16">
        <v>46093</v>
      </c>
      <c r="E380" s="17">
        <v>1433</v>
      </c>
      <c r="F380" s="18">
        <v>1</v>
      </c>
      <c r="G380" s="19">
        <f>Cereal[[#This Row],[N° BOLSAS]]*Cereal[[#This Row],[KG BOLSA]]</f>
        <v>1433</v>
      </c>
      <c r="H380" s="37">
        <v>40</v>
      </c>
      <c r="I380" s="14">
        <f>ROUNDDOWN(Cereal[[#This Row],[N° BOLSAS]]/Cereal[[#This Row],[CAP. SACOS]],0)</f>
        <v>35</v>
      </c>
      <c r="J380" s="14">
        <f>Cereal[[#This Row],[N° BOLSAS]]-Cereal[[#This Row],[N° SACOS]]*Cereal[[#This Row],[CAP. SACOS]]</f>
        <v>33</v>
      </c>
      <c r="K380" s="16">
        <v>46091</v>
      </c>
      <c r="L380" s="16">
        <v>46091</v>
      </c>
      <c r="M380" s="16">
        <v>46091</v>
      </c>
      <c r="N380" s="16" t="s">
        <v>150</v>
      </c>
    </row>
    <row r="381" spans="1:14" hidden="1" x14ac:dyDescent="0.25">
      <c r="A381" s="14" t="s">
        <v>14</v>
      </c>
      <c r="B381" s="14" t="s">
        <v>149</v>
      </c>
      <c r="C381" s="15" t="s">
        <v>21</v>
      </c>
      <c r="D381" s="16">
        <v>46155</v>
      </c>
      <c r="E381" s="17">
        <v>1433</v>
      </c>
      <c r="F381" s="18">
        <v>1</v>
      </c>
      <c r="G381" s="19">
        <f>Cereal[[#This Row],[N° BOLSAS]]*Cereal[[#This Row],[KG BOLSA]]</f>
        <v>1433</v>
      </c>
      <c r="H381" s="37">
        <v>40</v>
      </c>
      <c r="I381" s="14">
        <f>ROUNDDOWN(Cereal[[#This Row],[N° BOLSAS]]/Cereal[[#This Row],[CAP. SACOS]],0)</f>
        <v>35</v>
      </c>
      <c r="J381" s="14">
        <f>Cereal[[#This Row],[N° BOLSAS]]-Cereal[[#This Row],[N° SACOS]]*Cereal[[#This Row],[CAP. SACOS]]</f>
        <v>33</v>
      </c>
      <c r="K381" s="16">
        <v>46146</v>
      </c>
      <c r="L381" s="16">
        <v>46146</v>
      </c>
      <c r="M381" s="16">
        <v>46146</v>
      </c>
      <c r="N381" s="16" t="s">
        <v>150</v>
      </c>
    </row>
    <row r="382" spans="1:14" hidden="1" x14ac:dyDescent="0.25">
      <c r="A382" s="14" t="s">
        <v>14</v>
      </c>
      <c r="B382" s="14" t="s">
        <v>149</v>
      </c>
      <c r="C382" s="15" t="s">
        <v>22</v>
      </c>
      <c r="D382" s="16">
        <v>46155</v>
      </c>
      <c r="E382" s="17">
        <v>1433</v>
      </c>
      <c r="F382" s="18">
        <v>1</v>
      </c>
      <c r="G382" s="19">
        <f>Cereal[[#This Row],[N° BOLSAS]]*Cereal[[#This Row],[KG BOLSA]]</f>
        <v>1433</v>
      </c>
      <c r="H382" s="37">
        <v>40</v>
      </c>
      <c r="I382" s="14">
        <f>ROUNDDOWN(Cereal[[#This Row],[N° BOLSAS]]/Cereal[[#This Row],[CAP. SACOS]],0)</f>
        <v>35</v>
      </c>
      <c r="J382" s="14">
        <f>Cereal[[#This Row],[N° BOLSAS]]-Cereal[[#This Row],[N° SACOS]]*Cereal[[#This Row],[CAP. SACOS]]</f>
        <v>33</v>
      </c>
      <c r="K382" s="16">
        <v>46146</v>
      </c>
      <c r="L382" s="16">
        <v>46146</v>
      </c>
      <c r="M382" s="16">
        <v>46146</v>
      </c>
      <c r="N382" s="16" t="s">
        <v>150</v>
      </c>
    </row>
    <row r="383" spans="1:14" hidden="1" x14ac:dyDescent="0.25">
      <c r="A383" s="14" t="s">
        <v>14</v>
      </c>
      <c r="B383" s="14" t="s">
        <v>149</v>
      </c>
      <c r="C383" s="15" t="s">
        <v>44</v>
      </c>
      <c r="D383" s="16">
        <v>46216</v>
      </c>
      <c r="E383" s="17">
        <v>1166</v>
      </c>
      <c r="F383" s="18">
        <v>1</v>
      </c>
      <c r="G383" s="19">
        <f>Cereal[[#This Row],[N° BOLSAS]]*Cereal[[#This Row],[KG BOLSA]]</f>
        <v>1166</v>
      </c>
      <c r="H383" s="37">
        <v>40</v>
      </c>
      <c r="I383" s="14">
        <f>ROUNDDOWN(Cereal[[#This Row],[N° BOLSAS]]/Cereal[[#This Row],[CAP. SACOS]],0)</f>
        <v>29</v>
      </c>
      <c r="J383" s="14">
        <f>Cereal[[#This Row],[N° BOLSAS]]-Cereal[[#This Row],[N° SACOS]]*Cereal[[#This Row],[CAP. SACOS]]</f>
        <v>6</v>
      </c>
      <c r="K383" s="16">
        <v>46216</v>
      </c>
      <c r="L383" s="16">
        <v>46216</v>
      </c>
      <c r="M383" s="16">
        <v>46217</v>
      </c>
      <c r="N383" s="16" t="s">
        <v>150</v>
      </c>
    </row>
    <row r="384" spans="1:14" hidden="1" x14ac:dyDescent="0.25">
      <c r="A384" s="14" t="s">
        <v>14</v>
      </c>
      <c r="B384" s="14" t="s">
        <v>149</v>
      </c>
      <c r="C384" s="15" t="s">
        <v>25</v>
      </c>
      <c r="D384" s="16">
        <v>46280</v>
      </c>
      <c r="E384" s="17">
        <v>1433</v>
      </c>
      <c r="F384" s="18">
        <v>1</v>
      </c>
      <c r="G384" s="19">
        <f>Cereal[[#This Row],[N° BOLSAS]]*Cereal[[#This Row],[KG BOLSA]]</f>
        <v>1433</v>
      </c>
      <c r="H384" s="37">
        <v>40</v>
      </c>
      <c r="I384" s="14">
        <f>ROUNDDOWN(Cereal[[#This Row],[N° BOLSAS]]/Cereal[[#This Row],[CAP. SACOS]],0)</f>
        <v>35</v>
      </c>
      <c r="J384" s="14">
        <f>Cereal[[#This Row],[N° BOLSAS]]-Cereal[[#This Row],[N° SACOS]]*Cereal[[#This Row],[CAP. SACOS]]</f>
        <v>33</v>
      </c>
      <c r="K384" s="16">
        <v>46272</v>
      </c>
      <c r="L384" s="16">
        <v>46272</v>
      </c>
      <c r="M384" s="16">
        <v>46273</v>
      </c>
      <c r="N384" s="16" t="s">
        <v>150</v>
      </c>
    </row>
    <row r="385" spans="1:14" hidden="1" x14ac:dyDescent="0.25">
      <c r="A385" s="14" t="s">
        <v>14</v>
      </c>
      <c r="B385" s="14" t="s">
        <v>149</v>
      </c>
      <c r="C385" s="15" t="s">
        <v>26</v>
      </c>
      <c r="D385" s="16">
        <v>46280</v>
      </c>
      <c r="E385" s="17">
        <v>1433</v>
      </c>
      <c r="F385" s="18">
        <v>1</v>
      </c>
      <c r="G385" s="19">
        <f>Cereal[[#This Row],[N° BOLSAS]]*Cereal[[#This Row],[KG BOLSA]]</f>
        <v>1433</v>
      </c>
      <c r="H385" s="37">
        <v>40</v>
      </c>
      <c r="I385" s="14">
        <f>ROUNDDOWN(Cereal[[#This Row],[N° BOLSAS]]/Cereal[[#This Row],[CAP. SACOS]],0)</f>
        <v>35</v>
      </c>
      <c r="J385" s="14">
        <f>Cereal[[#This Row],[N° BOLSAS]]-Cereal[[#This Row],[N° SACOS]]*Cereal[[#This Row],[CAP. SACOS]]</f>
        <v>33</v>
      </c>
      <c r="K385" s="16">
        <v>46272</v>
      </c>
      <c r="L385" s="16">
        <v>46272</v>
      </c>
      <c r="M385" s="16">
        <v>46273</v>
      </c>
      <c r="N385" s="16" t="s">
        <v>150</v>
      </c>
    </row>
    <row r="386" spans="1:14" hidden="1" x14ac:dyDescent="0.25">
      <c r="A386" s="14" t="s">
        <v>14</v>
      </c>
      <c r="B386" s="14" t="s">
        <v>149</v>
      </c>
      <c r="C386" s="15" t="s">
        <v>27</v>
      </c>
      <c r="D386" s="16">
        <v>46298</v>
      </c>
      <c r="E386" s="17">
        <v>1433</v>
      </c>
      <c r="F386" s="18">
        <v>1</v>
      </c>
      <c r="G386" s="19">
        <f>Cereal[[#This Row],[N° BOLSAS]]*Cereal[[#This Row],[KG BOLSA]]</f>
        <v>1433</v>
      </c>
      <c r="H386" s="37">
        <v>40</v>
      </c>
      <c r="I386" s="14">
        <f>ROUNDDOWN(Cereal[[#This Row],[N° BOLSAS]]/Cereal[[#This Row],[CAP. SACOS]],0)</f>
        <v>35</v>
      </c>
      <c r="J386" s="14">
        <f>Cereal[[#This Row],[N° BOLSAS]]-Cereal[[#This Row],[N° SACOS]]*Cereal[[#This Row],[CAP. SACOS]]</f>
        <v>33</v>
      </c>
      <c r="K386" s="16"/>
      <c r="L386" s="16"/>
      <c r="M386" s="16"/>
      <c r="N386" s="16" t="s">
        <v>150</v>
      </c>
    </row>
    <row r="387" spans="1:14" hidden="1" x14ac:dyDescent="0.25">
      <c r="A387" s="14" t="s">
        <v>14</v>
      </c>
      <c r="B387" s="14" t="s">
        <v>149</v>
      </c>
      <c r="C387" s="15" t="s">
        <v>28</v>
      </c>
      <c r="D387" s="16">
        <v>46329</v>
      </c>
      <c r="E387" s="17">
        <v>1433</v>
      </c>
      <c r="F387" s="18">
        <v>1</v>
      </c>
      <c r="G387" s="19">
        <f>Cereal[[#This Row],[N° BOLSAS]]*Cereal[[#This Row],[KG BOLSA]]</f>
        <v>1433</v>
      </c>
      <c r="H387" s="37">
        <v>40</v>
      </c>
      <c r="I387" s="14">
        <f>ROUNDDOWN(Cereal[[#This Row],[N° BOLSAS]]/Cereal[[#This Row],[CAP. SACOS]],0)</f>
        <v>35</v>
      </c>
      <c r="J387" s="14">
        <f>Cereal[[#This Row],[N° BOLSAS]]-Cereal[[#This Row],[N° SACOS]]*Cereal[[#This Row],[CAP. SACOS]]</f>
        <v>33</v>
      </c>
      <c r="K387" s="16"/>
      <c r="L387" s="16"/>
      <c r="M387" s="16"/>
      <c r="N387" s="16" t="s">
        <v>150</v>
      </c>
    </row>
    <row r="388" spans="1:14" ht="22.5" hidden="1" x14ac:dyDescent="0.25">
      <c r="A388" s="14" t="s">
        <v>14</v>
      </c>
      <c r="B388" s="14" t="s">
        <v>151</v>
      </c>
      <c r="C388" s="15" t="s">
        <v>35</v>
      </c>
      <c r="D388" s="16">
        <v>46037</v>
      </c>
      <c r="E388" s="17">
        <v>6999</v>
      </c>
      <c r="F388" s="18">
        <v>1.68706</v>
      </c>
      <c r="G388" s="19">
        <f>Cereal[[#This Row],[N° BOLSAS]]*Cereal[[#This Row],[KG BOLSA]]</f>
        <v>11807.73294</v>
      </c>
      <c r="H388" s="37">
        <v>25</v>
      </c>
      <c r="I388" s="14">
        <f>ROUNDDOWN(Cereal[[#This Row],[N° BOLSAS]]/Cereal[[#This Row],[CAP. SACOS]],0)</f>
        <v>279</v>
      </c>
      <c r="J388" s="14">
        <f>Cereal[[#This Row],[N° BOLSAS]]-Cereal[[#This Row],[N° SACOS]]*Cereal[[#This Row],[CAP. SACOS]]</f>
        <v>24</v>
      </c>
      <c r="K388" s="16">
        <v>46047</v>
      </c>
      <c r="L388" s="16">
        <v>46047</v>
      </c>
      <c r="M388" s="16">
        <v>46058</v>
      </c>
      <c r="N388" s="16" t="s">
        <v>152</v>
      </c>
    </row>
    <row r="389" spans="1:14" hidden="1" x14ac:dyDescent="0.25">
      <c r="A389" s="14" t="s">
        <v>14</v>
      </c>
      <c r="B389" s="14" t="s">
        <v>151</v>
      </c>
      <c r="C389" s="15" t="s">
        <v>37</v>
      </c>
      <c r="D389" s="16">
        <v>46096</v>
      </c>
      <c r="E389" s="17">
        <v>6999</v>
      </c>
      <c r="F389" s="18">
        <v>1.68706</v>
      </c>
      <c r="G389" s="19">
        <f>Cereal[[#This Row],[N° BOLSAS]]*Cereal[[#This Row],[KG BOLSA]]</f>
        <v>11807.73294</v>
      </c>
      <c r="H389" s="37">
        <v>25</v>
      </c>
      <c r="I389" s="14">
        <f>ROUNDDOWN(Cereal[[#This Row],[N° BOLSAS]]/Cereal[[#This Row],[CAP. SACOS]],0)</f>
        <v>279</v>
      </c>
      <c r="J389" s="14">
        <f>Cereal[[#This Row],[N° BOLSAS]]-Cereal[[#This Row],[N° SACOS]]*Cereal[[#This Row],[CAP. SACOS]]</f>
        <v>24</v>
      </c>
      <c r="K389" s="16">
        <v>46102</v>
      </c>
      <c r="L389" s="16">
        <v>46102</v>
      </c>
      <c r="M389" s="16">
        <v>46104</v>
      </c>
      <c r="N389" s="16" t="s">
        <v>152</v>
      </c>
    </row>
    <row r="390" spans="1:14" ht="22.5" hidden="1" x14ac:dyDescent="0.25">
      <c r="A390" s="14" t="s">
        <v>14</v>
      </c>
      <c r="B390" s="14" t="s">
        <v>151</v>
      </c>
      <c r="C390" s="15" t="s">
        <v>38</v>
      </c>
      <c r="D390" s="16">
        <v>46188</v>
      </c>
      <c r="E390" s="17">
        <v>6999</v>
      </c>
      <c r="F390" s="18">
        <v>1.68706</v>
      </c>
      <c r="G390" s="19">
        <f>Cereal[[#This Row],[N° BOLSAS]]*Cereal[[#This Row],[KG BOLSA]]</f>
        <v>11807.73294</v>
      </c>
      <c r="H390" s="37">
        <v>25</v>
      </c>
      <c r="I390" s="14">
        <f>ROUNDDOWN(Cereal[[#This Row],[N° BOLSAS]]/Cereal[[#This Row],[CAP. SACOS]],0)</f>
        <v>279</v>
      </c>
      <c r="J390" s="14">
        <f>Cereal[[#This Row],[N° BOLSAS]]-Cereal[[#This Row],[N° SACOS]]*Cereal[[#This Row],[CAP. SACOS]]</f>
        <v>24</v>
      </c>
      <c r="K390" s="16">
        <v>46185</v>
      </c>
      <c r="L390" s="16">
        <v>46185</v>
      </c>
      <c r="M390" s="16">
        <v>46190</v>
      </c>
      <c r="N390" s="16" t="s">
        <v>152</v>
      </c>
    </row>
    <row r="391" spans="1:14" hidden="1" x14ac:dyDescent="0.25">
      <c r="A391" s="14" t="s">
        <v>14</v>
      </c>
      <c r="B391" s="14" t="s">
        <v>151</v>
      </c>
      <c r="C391" s="15" t="s">
        <v>30</v>
      </c>
      <c r="D391" s="16">
        <v>46285</v>
      </c>
      <c r="E391" s="17">
        <v>2333</v>
      </c>
      <c r="F391" s="18">
        <v>1.397</v>
      </c>
      <c r="G391" s="19">
        <f>Cereal[[#This Row],[N° BOLSAS]]*Cereal[[#This Row],[KG BOLSA]]</f>
        <v>3259.201</v>
      </c>
      <c r="H391" s="37">
        <v>30</v>
      </c>
      <c r="I391" s="14">
        <f>ROUNDDOWN(Cereal[[#This Row],[N° BOLSAS]]/Cereal[[#This Row],[CAP. SACOS]],0)</f>
        <v>77</v>
      </c>
      <c r="J391" s="14">
        <f>Cereal[[#This Row],[N° BOLSAS]]-Cereal[[#This Row],[N° SACOS]]*Cereal[[#This Row],[CAP. SACOS]]</f>
        <v>23</v>
      </c>
      <c r="K391" s="16">
        <v>46285</v>
      </c>
      <c r="L391" s="16">
        <v>46285</v>
      </c>
      <c r="M391" s="16">
        <v>46285</v>
      </c>
      <c r="N391" s="16" t="s">
        <v>152</v>
      </c>
    </row>
    <row r="392" spans="1:14" ht="33.75" hidden="1" x14ac:dyDescent="0.25">
      <c r="A392" s="14" t="s">
        <v>14</v>
      </c>
      <c r="B392" s="14" t="s">
        <v>151</v>
      </c>
      <c r="C392" s="15" t="s">
        <v>39</v>
      </c>
      <c r="D392" s="16">
        <v>46280</v>
      </c>
      <c r="E392" s="17">
        <v>6999</v>
      </c>
      <c r="F392" s="18">
        <v>1.68706</v>
      </c>
      <c r="G392" s="19">
        <f>Cereal[[#This Row],[N° BOLSAS]]*Cereal[[#This Row],[KG BOLSA]]</f>
        <v>11807.73294</v>
      </c>
      <c r="H392" s="37">
        <v>25</v>
      </c>
      <c r="I392" s="14">
        <f>ROUNDDOWN(Cereal[[#This Row],[N° BOLSAS]]/Cereal[[#This Row],[CAP. SACOS]],0)</f>
        <v>279</v>
      </c>
      <c r="J392" s="14">
        <f>Cereal[[#This Row],[N° BOLSAS]]-Cereal[[#This Row],[N° SACOS]]*Cereal[[#This Row],[CAP. SACOS]]</f>
        <v>24</v>
      </c>
      <c r="K392" s="16">
        <v>46285</v>
      </c>
      <c r="L392" s="16">
        <v>46285</v>
      </c>
      <c r="M392" s="16">
        <v>46285</v>
      </c>
      <c r="N392" s="16" t="s">
        <v>152</v>
      </c>
    </row>
    <row r="393" spans="1:14" hidden="1" x14ac:dyDescent="0.25">
      <c r="A393" s="14" t="s">
        <v>14</v>
      </c>
      <c r="B393" s="14" t="s">
        <v>153</v>
      </c>
      <c r="C393" s="15" t="s">
        <v>16</v>
      </c>
      <c r="D393" s="16">
        <v>46022</v>
      </c>
      <c r="E393" s="17">
        <v>3490</v>
      </c>
      <c r="F393" s="18">
        <v>1.32</v>
      </c>
      <c r="G393" s="19">
        <f>Cereal[[#This Row],[N° BOLSAS]]*Cereal[[#This Row],[KG BOLSA]]</f>
        <v>4606.8</v>
      </c>
      <c r="H393" s="37">
        <v>35</v>
      </c>
      <c r="I393" s="14">
        <f>ROUNDDOWN(Cereal[[#This Row],[N° BOLSAS]]/Cereal[[#This Row],[CAP. SACOS]],0)</f>
        <v>99</v>
      </c>
      <c r="J393" s="14">
        <f>Cereal[[#This Row],[N° BOLSAS]]-Cereal[[#This Row],[N° SACOS]]*Cereal[[#This Row],[CAP. SACOS]]</f>
        <v>25</v>
      </c>
      <c r="K393" s="16">
        <v>45995</v>
      </c>
      <c r="L393" s="16">
        <v>45995</v>
      </c>
      <c r="M393" s="16">
        <v>46001</v>
      </c>
      <c r="N393" s="16" t="s">
        <v>154</v>
      </c>
    </row>
    <row r="394" spans="1:14" hidden="1" x14ac:dyDescent="0.25">
      <c r="A394" s="14" t="s">
        <v>14</v>
      </c>
      <c r="B394" s="14" t="s">
        <v>153</v>
      </c>
      <c r="C394" s="15" t="s">
        <v>18</v>
      </c>
      <c r="D394" s="16">
        <v>46045</v>
      </c>
      <c r="E394" s="17">
        <v>3490</v>
      </c>
      <c r="F394" s="18">
        <v>1.32</v>
      </c>
      <c r="G394" s="19">
        <f>Cereal[[#This Row],[N° BOLSAS]]*Cereal[[#This Row],[KG BOLSA]]</f>
        <v>4606.8</v>
      </c>
      <c r="H394" s="37">
        <v>35</v>
      </c>
      <c r="I394" s="14">
        <f>ROUNDDOWN(Cereal[[#This Row],[N° BOLSAS]]/Cereal[[#This Row],[CAP. SACOS]],0)</f>
        <v>99</v>
      </c>
      <c r="J394" s="14">
        <f>Cereal[[#This Row],[N° BOLSAS]]-Cereal[[#This Row],[N° SACOS]]*Cereal[[#This Row],[CAP. SACOS]]</f>
        <v>25</v>
      </c>
      <c r="K394" s="16">
        <v>46037</v>
      </c>
      <c r="L394" s="16">
        <v>46037</v>
      </c>
      <c r="M394" s="16">
        <v>46044</v>
      </c>
      <c r="N394" s="16" t="s">
        <v>154</v>
      </c>
    </row>
    <row r="395" spans="1:14" hidden="1" x14ac:dyDescent="0.25">
      <c r="A395" s="14" t="s">
        <v>14</v>
      </c>
      <c r="B395" s="14" t="s">
        <v>153</v>
      </c>
      <c r="C395" s="15" t="s">
        <v>19</v>
      </c>
      <c r="D395" s="16">
        <v>46073</v>
      </c>
      <c r="E395" s="17">
        <v>3490</v>
      </c>
      <c r="F395" s="18">
        <v>1.32</v>
      </c>
      <c r="G395" s="19">
        <f>Cereal[[#This Row],[N° BOLSAS]]*Cereal[[#This Row],[KG BOLSA]]</f>
        <v>4606.8</v>
      </c>
      <c r="H395" s="37">
        <v>35</v>
      </c>
      <c r="I395" s="14">
        <f>ROUNDDOWN(Cereal[[#This Row],[N° BOLSAS]]/Cereal[[#This Row],[CAP. SACOS]],0)</f>
        <v>99</v>
      </c>
      <c r="J395" s="14">
        <f>Cereal[[#This Row],[N° BOLSAS]]-Cereal[[#This Row],[N° SACOS]]*Cereal[[#This Row],[CAP. SACOS]]</f>
        <v>25</v>
      </c>
      <c r="K395" s="16">
        <v>46065</v>
      </c>
      <c r="L395" s="16">
        <v>46065</v>
      </c>
      <c r="M395" s="16">
        <v>46068</v>
      </c>
      <c r="N395" s="16" t="s">
        <v>154</v>
      </c>
    </row>
    <row r="396" spans="1:14" hidden="1" x14ac:dyDescent="0.25">
      <c r="A396" s="14" t="s">
        <v>14</v>
      </c>
      <c r="B396" s="14" t="s">
        <v>153</v>
      </c>
      <c r="C396" s="15" t="s">
        <v>20</v>
      </c>
      <c r="D396" s="16">
        <v>46106</v>
      </c>
      <c r="E396" s="17">
        <v>3490</v>
      </c>
      <c r="F396" s="18">
        <v>1.32</v>
      </c>
      <c r="G396" s="19">
        <f>Cereal[[#This Row],[N° BOLSAS]]*Cereal[[#This Row],[KG BOLSA]]</f>
        <v>4606.8</v>
      </c>
      <c r="H396" s="37">
        <v>35</v>
      </c>
      <c r="I396" s="14">
        <f>ROUNDDOWN(Cereal[[#This Row],[N° BOLSAS]]/Cereal[[#This Row],[CAP. SACOS]],0)</f>
        <v>99</v>
      </c>
      <c r="J396" s="14">
        <f>Cereal[[#This Row],[N° BOLSAS]]-Cereal[[#This Row],[N° SACOS]]*Cereal[[#This Row],[CAP. SACOS]]</f>
        <v>25</v>
      </c>
      <c r="K396" s="16">
        <v>46101</v>
      </c>
      <c r="L396" s="16">
        <v>46101</v>
      </c>
      <c r="M396" s="16">
        <v>46104</v>
      </c>
      <c r="N396" s="16" t="s">
        <v>154</v>
      </c>
    </row>
    <row r="397" spans="1:14" hidden="1" x14ac:dyDescent="0.25">
      <c r="A397" s="14" t="s">
        <v>14</v>
      </c>
      <c r="B397" s="14" t="s">
        <v>153</v>
      </c>
      <c r="C397" s="15" t="s">
        <v>21</v>
      </c>
      <c r="D397" s="16">
        <v>46135</v>
      </c>
      <c r="E397" s="17">
        <v>3490</v>
      </c>
      <c r="F397" s="18">
        <v>1.32</v>
      </c>
      <c r="G397" s="19">
        <f>Cereal[[#This Row],[N° BOLSAS]]*Cereal[[#This Row],[KG BOLSA]]</f>
        <v>4606.8</v>
      </c>
      <c r="H397" s="37">
        <v>35</v>
      </c>
      <c r="I397" s="14">
        <f>ROUNDDOWN(Cereal[[#This Row],[N° BOLSAS]]/Cereal[[#This Row],[CAP. SACOS]],0)</f>
        <v>99</v>
      </c>
      <c r="J397" s="14">
        <f>Cereal[[#This Row],[N° BOLSAS]]-Cereal[[#This Row],[N° SACOS]]*Cereal[[#This Row],[CAP. SACOS]]</f>
        <v>25</v>
      </c>
      <c r="K397" s="16">
        <v>46134</v>
      </c>
      <c r="L397" s="16">
        <v>46134</v>
      </c>
      <c r="M397" s="16">
        <v>46135</v>
      </c>
      <c r="N397" s="16" t="s">
        <v>154</v>
      </c>
    </row>
    <row r="398" spans="1:14" hidden="1" x14ac:dyDescent="0.25">
      <c r="A398" s="14" t="s">
        <v>14</v>
      </c>
      <c r="B398" s="14" t="s">
        <v>153</v>
      </c>
      <c r="C398" s="15" t="s">
        <v>22</v>
      </c>
      <c r="D398" s="16">
        <v>46164</v>
      </c>
      <c r="E398" s="17">
        <v>3490</v>
      </c>
      <c r="F398" s="18">
        <v>1.32</v>
      </c>
      <c r="G398" s="19">
        <f>Cereal[[#This Row],[N° BOLSAS]]*Cereal[[#This Row],[KG BOLSA]]</f>
        <v>4606.8</v>
      </c>
      <c r="H398" s="37">
        <v>35</v>
      </c>
      <c r="I398" s="14">
        <f>ROUNDDOWN(Cereal[[#This Row],[N° BOLSAS]]/Cereal[[#This Row],[CAP. SACOS]],0)</f>
        <v>99</v>
      </c>
      <c r="J398" s="14">
        <f>Cereal[[#This Row],[N° BOLSAS]]-Cereal[[#This Row],[N° SACOS]]*Cereal[[#This Row],[CAP. SACOS]]</f>
        <v>25</v>
      </c>
      <c r="K398" s="16">
        <v>46158</v>
      </c>
      <c r="L398" s="16">
        <v>46158</v>
      </c>
      <c r="M398" s="16">
        <v>46159</v>
      </c>
      <c r="N398" s="16" t="s">
        <v>154</v>
      </c>
    </row>
    <row r="399" spans="1:14" hidden="1" x14ac:dyDescent="0.25">
      <c r="A399" s="14" t="s">
        <v>14</v>
      </c>
      <c r="B399" s="14" t="s">
        <v>153</v>
      </c>
      <c r="C399" s="15" t="s">
        <v>23</v>
      </c>
      <c r="D399" s="16">
        <v>46196</v>
      </c>
      <c r="E399" s="17">
        <v>3490</v>
      </c>
      <c r="F399" s="18">
        <v>1.32</v>
      </c>
      <c r="G399" s="19">
        <f>Cereal[[#This Row],[N° BOLSAS]]*Cereal[[#This Row],[KG BOLSA]]</f>
        <v>4606.8</v>
      </c>
      <c r="H399" s="37">
        <v>35</v>
      </c>
      <c r="I399" s="14">
        <f>ROUNDDOWN(Cereal[[#This Row],[N° BOLSAS]]/Cereal[[#This Row],[CAP. SACOS]],0)</f>
        <v>99</v>
      </c>
      <c r="J399" s="14">
        <f>Cereal[[#This Row],[N° BOLSAS]]-Cereal[[#This Row],[N° SACOS]]*Cereal[[#This Row],[CAP. SACOS]]</f>
        <v>25</v>
      </c>
      <c r="K399" s="16">
        <v>46188</v>
      </c>
      <c r="L399" s="16">
        <v>46188</v>
      </c>
      <c r="M399" s="16">
        <v>46195</v>
      </c>
      <c r="N399" s="16" t="s">
        <v>154</v>
      </c>
    </row>
    <row r="400" spans="1:14" hidden="1" x14ac:dyDescent="0.25">
      <c r="A400" s="14" t="s">
        <v>14</v>
      </c>
      <c r="B400" s="14" t="s">
        <v>153</v>
      </c>
      <c r="C400" s="15" t="s">
        <v>24</v>
      </c>
      <c r="D400" s="16">
        <v>46227</v>
      </c>
      <c r="E400" s="17">
        <v>3490</v>
      </c>
      <c r="F400" s="18">
        <v>1.32</v>
      </c>
      <c r="G400" s="19">
        <f>Cereal[[#This Row],[N° BOLSAS]]*Cereal[[#This Row],[KG BOLSA]]</f>
        <v>4606.8</v>
      </c>
      <c r="H400" s="37">
        <v>35</v>
      </c>
      <c r="I400" s="14">
        <f>ROUNDDOWN(Cereal[[#This Row],[N° BOLSAS]]/Cereal[[#This Row],[CAP. SACOS]],0)</f>
        <v>99</v>
      </c>
      <c r="J400" s="14">
        <f>Cereal[[#This Row],[N° BOLSAS]]-Cereal[[#This Row],[N° SACOS]]*Cereal[[#This Row],[CAP. SACOS]]</f>
        <v>25</v>
      </c>
      <c r="K400" s="16">
        <v>46226</v>
      </c>
      <c r="L400" s="16">
        <v>46226</v>
      </c>
      <c r="M400" s="16">
        <v>46226</v>
      </c>
      <c r="N400" s="16" t="s">
        <v>154</v>
      </c>
    </row>
    <row r="401" spans="1:14" hidden="1" x14ac:dyDescent="0.25">
      <c r="A401" s="14" t="s">
        <v>14</v>
      </c>
      <c r="B401" s="14" t="s">
        <v>153</v>
      </c>
      <c r="C401" s="15" t="s">
        <v>25</v>
      </c>
      <c r="D401" s="16">
        <v>46258</v>
      </c>
      <c r="E401" s="17">
        <v>3490</v>
      </c>
      <c r="F401" s="18">
        <v>1.32</v>
      </c>
      <c r="G401" s="19">
        <f>Cereal[[#This Row],[N° BOLSAS]]*Cereal[[#This Row],[KG BOLSA]]</f>
        <v>4606.8</v>
      </c>
      <c r="H401" s="37">
        <v>35</v>
      </c>
      <c r="I401" s="14">
        <f>ROUNDDOWN(Cereal[[#This Row],[N° BOLSAS]]/Cereal[[#This Row],[CAP. SACOS]],0)</f>
        <v>99</v>
      </c>
      <c r="J401" s="14">
        <f>Cereal[[#This Row],[N° BOLSAS]]-Cereal[[#This Row],[N° SACOS]]*Cereal[[#This Row],[CAP. SACOS]]</f>
        <v>25</v>
      </c>
      <c r="K401" s="16">
        <v>46244</v>
      </c>
      <c r="L401" s="16">
        <v>46244</v>
      </c>
      <c r="M401" s="16">
        <v>46254</v>
      </c>
      <c r="N401" s="16" t="s">
        <v>154</v>
      </c>
    </row>
    <row r="402" spans="1:14" hidden="1" x14ac:dyDescent="0.25">
      <c r="A402" s="14" t="s">
        <v>14</v>
      </c>
      <c r="B402" s="14" t="s">
        <v>153</v>
      </c>
      <c r="C402" s="15" t="s">
        <v>30</v>
      </c>
      <c r="D402" s="16">
        <v>46259</v>
      </c>
      <c r="E402" s="17">
        <v>3480</v>
      </c>
      <c r="F402" s="18">
        <v>1.06</v>
      </c>
      <c r="G402" s="19">
        <f>Cereal[[#This Row],[N° BOLSAS]]*Cereal[[#This Row],[KG BOLSA]]</f>
        <v>3688.8</v>
      </c>
      <c r="H402" s="37">
        <v>40</v>
      </c>
      <c r="I402" s="14">
        <f>ROUNDDOWN(Cereal[[#This Row],[N° BOLSAS]]/Cereal[[#This Row],[CAP. SACOS]],0)</f>
        <v>87</v>
      </c>
      <c r="J402" s="14">
        <f>Cereal[[#This Row],[N° BOLSAS]]-Cereal[[#This Row],[N° SACOS]]*Cereal[[#This Row],[CAP. SACOS]]</f>
        <v>0</v>
      </c>
      <c r="K402" s="16">
        <v>46254</v>
      </c>
      <c r="L402" s="16">
        <v>46254</v>
      </c>
      <c r="M402" s="16">
        <v>46254</v>
      </c>
      <c r="N402" s="16" t="s">
        <v>154</v>
      </c>
    </row>
    <row r="403" spans="1:14" hidden="1" x14ac:dyDescent="0.25">
      <c r="A403" s="14" t="s">
        <v>14</v>
      </c>
      <c r="B403" s="14" t="s">
        <v>153</v>
      </c>
      <c r="C403" s="15" t="s">
        <v>26</v>
      </c>
      <c r="D403" s="16">
        <v>46290</v>
      </c>
      <c r="E403" s="17">
        <v>3490</v>
      </c>
      <c r="F403" s="18">
        <v>1.32</v>
      </c>
      <c r="G403" s="19">
        <f>Cereal[[#This Row],[N° BOLSAS]]*Cereal[[#This Row],[KG BOLSA]]</f>
        <v>4606.8</v>
      </c>
      <c r="H403" s="37">
        <v>35</v>
      </c>
      <c r="I403" s="14">
        <f>ROUNDDOWN(Cereal[[#This Row],[N° BOLSAS]]/Cereal[[#This Row],[CAP. SACOS]],0)</f>
        <v>99</v>
      </c>
      <c r="J403" s="14">
        <f>Cereal[[#This Row],[N° BOLSAS]]-Cereal[[#This Row],[N° SACOS]]*Cereal[[#This Row],[CAP. SACOS]]</f>
        <v>25</v>
      </c>
      <c r="K403" s="16">
        <v>46289</v>
      </c>
      <c r="L403" s="16">
        <v>46289</v>
      </c>
      <c r="M403" s="16">
        <v>46289</v>
      </c>
      <c r="N403" s="16" t="s">
        <v>154</v>
      </c>
    </row>
    <row r="404" spans="1:14" hidden="1" x14ac:dyDescent="0.25">
      <c r="A404" s="14" t="s">
        <v>14</v>
      </c>
      <c r="B404" s="14" t="s">
        <v>153</v>
      </c>
      <c r="C404" s="15" t="s">
        <v>27</v>
      </c>
      <c r="D404" s="16">
        <v>46318</v>
      </c>
      <c r="E404" s="17">
        <v>3490</v>
      </c>
      <c r="F404" s="18">
        <v>1.32</v>
      </c>
      <c r="G404" s="19">
        <f>Cereal[[#This Row],[N° BOLSAS]]*Cereal[[#This Row],[KG BOLSA]]</f>
        <v>4606.8</v>
      </c>
      <c r="H404" s="37">
        <v>35</v>
      </c>
      <c r="I404" s="14">
        <f>ROUNDDOWN(Cereal[[#This Row],[N° BOLSAS]]/Cereal[[#This Row],[CAP. SACOS]],0)</f>
        <v>99</v>
      </c>
      <c r="J404" s="14">
        <f>Cereal[[#This Row],[N° BOLSAS]]-Cereal[[#This Row],[N° SACOS]]*Cereal[[#This Row],[CAP. SACOS]]</f>
        <v>25</v>
      </c>
      <c r="K404" s="16"/>
      <c r="L404" s="16"/>
      <c r="M404" s="16"/>
      <c r="N404" s="16" t="s">
        <v>154</v>
      </c>
    </row>
    <row r="405" spans="1:14" hidden="1" x14ac:dyDescent="0.25">
      <c r="A405" s="14" t="s">
        <v>14</v>
      </c>
      <c r="B405" s="14" t="s">
        <v>153</v>
      </c>
      <c r="C405" s="15" t="s">
        <v>28</v>
      </c>
      <c r="D405" s="16">
        <v>46349</v>
      </c>
      <c r="E405" s="17">
        <v>3490</v>
      </c>
      <c r="F405" s="18">
        <v>1.32</v>
      </c>
      <c r="G405" s="19">
        <f>Cereal[[#This Row],[N° BOLSAS]]*Cereal[[#This Row],[KG BOLSA]]</f>
        <v>4606.8</v>
      </c>
      <c r="H405" s="37">
        <v>35</v>
      </c>
      <c r="I405" s="14">
        <f>ROUNDDOWN(Cereal[[#This Row],[N° BOLSAS]]/Cereal[[#This Row],[CAP. SACOS]],0)</f>
        <v>99</v>
      </c>
      <c r="J405" s="14">
        <f>Cereal[[#This Row],[N° BOLSAS]]-Cereal[[#This Row],[N° SACOS]]*Cereal[[#This Row],[CAP. SACOS]]</f>
        <v>25</v>
      </c>
      <c r="K405" s="16"/>
      <c r="L405" s="16"/>
      <c r="M405" s="16"/>
      <c r="N405" s="16" t="s">
        <v>154</v>
      </c>
    </row>
    <row r="406" spans="1:14" hidden="1" x14ac:dyDescent="0.25">
      <c r="A406" s="14" t="s">
        <v>14</v>
      </c>
      <c r="B406" s="14" t="s">
        <v>155</v>
      </c>
      <c r="C406" s="15" t="s">
        <v>121</v>
      </c>
      <c r="D406" s="16">
        <v>46045</v>
      </c>
      <c r="E406" s="17">
        <v>1712</v>
      </c>
      <c r="F406" s="18">
        <v>1.4112</v>
      </c>
      <c r="G406" s="19">
        <f>Cereal[[#This Row],[N° BOLSAS]]*Cereal[[#This Row],[KG BOLSA]]</f>
        <v>2415.9744000000001</v>
      </c>
      <c r="H406" s="37">
        <v>30</v>
      </c>
      <c r="I406" s="14">
        <f>ROUNDDOWN(Cereal[[#This Row],[N° BOLSAS]]/Cereal[[#This Row],[CAP. SACOS]],0)</f>
        <v>57</v>
      </c>
      <c r="J406" s="14">
        <f>Cereal[[#This Row],[N° BOLSAS]]-Cereal[[#This Row],[N° SACOS]]*Cereal[[#This Row],[CAP. SACOS]]</f>
        <v>2</v>
      </c>
      <c r="K406" s="16">
        <v>46048</v>
      </c>
      <c r="L406" s="16">
        <v>46048</v>
      </c>
      <c r="M406" s="16">
        <v>46049</v>
      </c>
      <c r="N406" s="16" t="s">
        <v>156</v>
      </c>
    </row>
    <row r="407" spans="1:14" hidden="1" x14ac:dyDescent="0.25">
      <c r="A407" s="14" t="s">
        <v>14</v>
      </c>
      <c r="B407" s="14" t="s">
        <v>155</v>
      </c>
      <c r="C407" s="15" t="s">
        <v>122</v>
      </c>
      <c r="D407" s="16">
        <v>46072</v>
      </c>
      <c r="E407" s="17">
        <v>1712</v>
      </c>
      <c r="F407" s="18">
        <v>1.4112</v>
      </c>
      <c r="G407" s="19">
        <f>Cereal[[#This Row],[N° BOLSAS]]*Cereal[[#This Row],[KG BOLSA]]</f>
        <v>2415.9744000000001</v>
      </c>
      <c r="H407" s="37">
        <v>30</v>
      </c>
      <c r="I407" s="14">
        <f>ROUNDDOWN(Cereal[[#This Row],[N° BOLSAS]]/Cereal[[#This Row],[CAP. SACOS]],0)</f>
        <v>57</v>
      </c>
      <c r="J407" s="14">
        <f>Cereal[[#This Row],[N° BOLSAS]]-Cereal[[#This Row],[N° SACOS]]*Cereal[[#This Row],[CAP. SACOS]]</f>
        <v>2</v>
      </c>
      <c r="K407" s="16">
        <v>46064</v>
      </c>
      <c r="L407" s="16">
        <v>46064</v>
      </c>
      <c r="M407" s="16">
        <v>46065</v>
      </c>
      <c r="N407" s="16" t="s">
        <v>156</v>
      </c>
    </row>
    <row r="408" spans="1:14" hidden="1" x14ac:dyDescent="0.25">
      <c r="A408" s="14" t="s">
        <v>14</v>
      </c>
      <c r="B408" s="14" t="s">
        <v>155</v>
      </c>
      <c r="C408" s="15" t="s">
        <v>43</v>
      </c>
      <c r="D408" s="16">
        <v>46135</v>
      </c>
      <c r="E408" s="17">
        <v>1712</v>
      </c>
      <c r="F408" s="18">
        <v>1.4112</v>
      </c>
      <c r="G408" s="19">
        <f>Cereal[[#This Row],[N° BOLSAS]]*Cereal[[#This Row],[KG BOLSA]]</f>
        <v>2415.9744000000001</v>
      </c>
      <c r="H408" s="37">
        <v>30</v>
      </c>
      <c r="I408" s="14">
        <f>ROUNDDOWN(Cereal[[#This Row],[N° BOLSAS]]/Cereal[[#This Row],[CAP. SACOS]],0)</f>
        <v>57</v>
      </c>
      <c r="J408" s="14">
        <f>Cereal[[#This Row],[N° BOLSAS]]-Cereal[[#This Row],[N° SACOS]]*Cereal[[#This Row],[CAP. SACOS]]</f>
        <v>2</v>
      </c>
      <c r="K408" s="16">
        <v>46131</v>
      </c>
      <c r="L408" s="16">
        <v>46131</v>
      </c>
      <c r="M408" s="16">
        <v>46138</v>
      </c>
      <c r="N408" s="16" t="s">
        <v>156</v>
      </c>
    </row>
    <row r="409" spans="1:14" hidden="1" x14ac:dyDescent="0.25">
      <c r="A409" s="14" t="s">
        <v>14</v>
      </c>
      <c r="B409" s="14" t="s">
        <v>155</v>
      </c>
      <c r="C409" s="15" t="s">
        <v>44</v>
      </c>
      <c r="D409" s="16">
        <v>46197</v>
      </c>
      <c r="E409" s="17">
        <v>1712</v>
      </c>
      <c r="F409" s="18">
        <v>1.4112</v>
      </c>
      <c r="G409" s="19">
        <f>Cereal[[#This Row],[N° BOLSAS]]*Cereal[[#This Row],[KG BOLSA]]</f>
        <v>2415.9744000000001</v>
      </c>
      <c r="H409" s="37">
        <v>30</v>
      </c>
      <c r="I409" s="14">
        <f>ROUNDDOWN(Cereal[[#This Row],[N° BOLSAS]]/Cereal[[#This Row],[CAP. SACOS]],0)</f>
        <v>57</v>
      </c>
      <c r="J409" s="14">
        <f>Cereal[[#This Row],[N° BOLSAS]]-Cereal[[#This Row],[N° SACOS]]*Cereal[[#This Row],[CAP. SACOS]]</f>
        <v>2</v>
      </c>
      <c r="K409" s="16">
        <v>46191</v>
      </c>
      <c r="L409" s="16">
        <v>46191</v>
      </c>
      <c r="M409" s="16">
        <v>46194</v>
      </c>
      <c r="N409" s="16" t="s">
        <v>156</v>
      </c>
    </row>
    <row r="410" spans="1:14" ht="22.5" hidden="1" x14ac:dyDescent="0.25">
      <c r="A410" s="14" t="s">
        <v>14</v>
      </c>
      <c r="B410" s="14" t="s">
        <v>155</v>
      </c>
      <c r="C410" s="15" t="s">
        <v>45</v>
      </c>
      <c r="D410" s="16">
        <v>46260</v>
      </c>
      <c r="E410" s="17">
        <v>1712</v>
      </c>
      <c r="F410" s="18">
        <v>1.4112</v>
      </c>
      <c r="G410" s="19">
        <f>Cereal[[#This Row],[N° BOLSAS]]*Cereal[[#This Row],[KG BOLSA]]</f>
        <v>2415.9744000000001</v>
      </c>
      <c r="H410" s="37">
        <v>30</v>
      </c>
      <c r="I410" s="14">
        <f>ROUNDDOWN(Cereal[[#This Row],[N° BOLSAS]]/Cereal[[#This Row],[CAP. SACOS]],0)</f>
        <v>57</v>
      </c>
      <c r="J410" s="14">
        <f>Cereal[[#This Row],[N° BOLSAS]]-Cereal[[#This Row],[N° SACOS]]*Cereal[[#This Row],[CAP. SACOS]]</f>
        <v>2</v>
      </c>
      <c r="K410" s="16">
        <v>46241</v>
      </c>
      <c r="L410" s="16">
        <v>46241</v>
      </c>
      <c r="M410" s="16">
        <v>46254</v>
      </c>
      <c r="N410" s="16" t="s">
        <v>156</v>
      </c>
    </row>
    <row r="411" spans="1:14" hidden="1" x14ac:dyDescent="0.25">
      <c r="A411" s="14" t="s">
        <v>14</v>
      </c>
      <c r="B411" s="14" t="s">
        <v>155</v>
      </c>
      <c r="C411" s="15" t="s">
        <v>30</v>
      </c>
      <c r="D411" s="16">
        <v>46286</v>
      </c>
      <c r="E411" s="17">
        <v>856</v>
      </c>
      <c r="F411" s="18">
        <v>0.66366999999999998</v>
      </c>
      <c r="G411" s="19">
        <f>Cereal[[#This Row],[N° BOLSAS]]*Cereal[[#This Row],[KG BOLSA]]</f>
        <v>568.10151999999994</v>
      </c>
      <c r="H411" s="37">
        <v>60</v>
      </c>
      <c r="I411" s="14">
        <f>ROUNDDOWN(Cereal[[#This Row],[N° BOLSAS]]/Cereal[[#This Row],[CAP. SACOS]],0)</f>
        <v>14</v>
      </c>
      <c r="J411" s="14">
        <f>Cereal[[#This Row],[N° BOLSAS]]-Cereal[[#This Row],[N° SACOS]]*Cereal[[#This Row],[CAP. SACOS]]</f>
        <v>16</v>
      </c>
      <c r="K411" s="16"/>
      <c r="L411" s="16"/>
      <c r="M411" s="16"/>
      <c r="N411" s="16" t="s">
        <v>156</v>
      </c>
    </row>
    <row r="412" spans="1:14" ht="22.5" hidden="1" x14ac:dyDescent="0.25">
      <c r="A412" s="14" t="s">
        <v>14</v>
      </c>
      <c r="B412" s="14" t="s">
        <v>155</v>
      </c>
      <c r="C412" s="15" t="s">
        <v>46</v>
      </c>
      <c r="D412" s="16">
        <v>46316</v>
      </c>
      <c r="E412" s="17">
        <v>1712</v>
      </c>
      <c r="F412" s="18">
        <v>1.4112</v>
      </c>
      <c r="G412" s="19">
        <f>Cereal[[#This Row],[N° BOLSAS]]*Cereal[[#This Row],[KG BOLSA]]</f>
        <v>2415.9744000000001</v>
      </c>
      <c r="H412" s="37">
        <v>30</v>
      </c>
      <c r="I412" s="14">
        <f>ROUNDDOWN(Cereal[[#This Row],[N° BOLSAS]]/Cereal[[#This Row],[CAP. SACOS]],0)</f>
        <v>57</v>
      </c>
      <c r="J412" s="14">
        <f>Cereal[[#This Row],[N° BOLSAS]]-Cereal[[#This Row],[N° SACOS]]*Cereal[[#This Row],[CAP. SACOS]]</f>
        <v>2</v>
      </c>
      <c r="K412" s="16"/>
      <c r="L412" s="16"/>
      <c r="M412" s="16"/>
      <c r="N412" s="16" t="s">
        <v>156</v>
      </c>
    </row>
    <row r="413" spans="1:14" hidden="1" x14ac:dyDescent="0.25">
      <c r="A413" s="14" t="s">
        <v>100</v>
      </c>
      <c r="B413" s="14" t="s">
        <v>157</v>
      </c>
      <c r="C413" s="15" t="s">
        <v>30</v>
      </c>
      <c r="D413" s="16">
        <v>46120</v>
      </c>
      <c r="E413" s="17">
        <v>125</v>
      </c>
      <c r="F413" s="18">
        <v>1</v>
      </c>
      <c r="G413" s="19">
        <f>Cereal[[#This Row],[N° BOLSAS]]*Cereal[[#This Row],[KG BOLSA]]</f>
        <v>125</v>
      </c>
      <c r="H413" s="37">
        <v>40</v>
      </c>
      <c r="I413" s="14">
        <f>ROUNDDOWN(Cereal[[#This Row],[N° BOLSAS]]/Cereal[[#This Row],[CAP. SACOS]],0)</f>
        <v>3</v>
      </c>
      <c r="J413" s="14">
        <f>Cereal[[#This Row],[N° BOLSAS]]-Cereal[[#This Row],[N° SACOS]]*Cereal[[#This Row],[CAP. SACOS]]</f>
        <v>5</v>
      </c>
      <c r="K413" s="16">
        <v>46120</v>
      </c>
      <c r="L413" s="16">
        <v>46120</v>
      </c>
      <c r="M413" s="16">
        <v>46120</v>
      </c>
      <c r="N413" s="16" t="s">
        <v>158</v>
      </c>
    </row>
    <row r="414" spans="1:14" hidden="1" x14ac:dyDescent="0.25">
      <c r="A414" s="14" t="s">
        <v>100</v>
      </c>
      <c r="B414" s="14" t="s">
        <v>157</v>
      </c>
      <c r="C414" s="15" t="s">
        <v>30</v>
      </c>
      <c r="D414" s="16">
        <v>46274</v>
      </c>
      <c r="E414" s="17">
        <v>130</v>
      </c>
      <c r="F414" s="18">
        <v>1</v>
      </c>
      <c r="G414" s="19">
        <f>Cereal[[#This Row],[N° BOLSAS]]*Cereal[[#This Row],[KG BOLSA]]</f>
        <v>130</v>
      </c>
      <c r="H414" s="37">
        <v>40</v>
      </c>
      <c r="I414" s="14">
        <f>ROUNDDOWN(Cereal[[#This Row],[N° BOLSAS]]/Cereal[[#This Row],[CAP. SACOS]],0)</f>
        <v>3</v>
      </c>
      <c r="J414" s="14">
        <f>Cereal[[#This Row],[N° BOLSAS]]-Cereal[[#This Row],[N° SACOS]]*Cereal[[#This Row],[CAP. SACOS]]</f>
        <v>10</v>
      </c>
      <c r="K414" s="16"/>
      <c r="L414" s="16"/>
      <c r="M414" s="16"/>
      <c r="N414" s="16" t="s">
        <v>158</v>
      </c>
    </row>
    <row r="415" spans="1:14" hidden="1" x14ac:dyDescent="0.25">
      <c r="A415" s="14" t="s">
        <v>14</v>
      </c>
      <c r="B415" s="14" t="s">
        <v>159</v>
      </c>
      <c r="C415" s="15" t="s">
        <v>16</v>
      </c>
      <c r="D415" s="16">
        <v>46006</v>
      </c>
      <c r="E415" s="17">
        <v>888</v>
      </c>
      <c r="F415" s="18">
        <v>1</v>
      </c>
      <c r="G415" s="19">
        <f>Cereal[[#This Row],[N° BOLSAS]]*Cereal[[#This Row],[KG BOLSA]]</f>
        <v>888</v>
      </c>
      <c r="H415" s="37">
        <v>40</v>
      </c>
      <c r="I415" s="14">
        <f>ROUNDDOWN(Cereal[[#This Row],[N° BOLSAS]]/Cereal[[#This Row],[CAP. SACOS]],0)</f>
        <v>22</v>
      </c>
      <c r="J415" s="14">
        <f>Cereal[[#This Row],[N° BOLSAS]]-Cereal[[#This Row],[N° SACOS]]*Cereal[[#This Row],[CAP. SACOS]]</f>
        <v>8</v>
      </c>
      <c r="K415" s="16">
        <v>46007</v>
      </c>
      <c r="L415" s="16">
        <v>46007</v>
      </c>
      <c r="M415" s="16">
        <v>46026</v>
      </c>
      <c r="N415" s="16" t="s">
        <v>160</v>
      </c>
    </row>
    <row r="416" spans="1:14" hidden="1" x14ac:dyDescent="0.25">
      <c r="A416" s="14" t="s">
        <v>14</v>
      </c>
      <c r="B416" s="14" t="s">
        <v>159</v>
      </c>
      <c r="C416" s="15" t="s">
        <v>18</v>
      </c>
      <c r="D416" s="16">
        <v>46006</v>
      </c>
      <c r="E416" s="17">
        <v>888</v>
      </c>
      <c r="F416" s="18">
        <v>1</v>
      </c>
      <c r="G416" s="19">
        <f>Cereal[[#This Row],[N° BOLSAS]]*Cereal[[#This Row],[KG BOLSA]]</f>
        <v>888</v>
      </c>
      <c r="H416" s="37">
        <v>40</v>
      </c>
      <c r="I416" s="14">
        <f>ROUNDDOWN(Cereal[[#This Row],[N° BOLSAS]]/Cereal[[#This Row],[CAP. SACOS]],0)</f>
        <v>22</v>
      </c>
      <c r="J416" s="14">
        <f>Cereal[[#This Row],[N° BOLSAS]]-Cereal[[#This Row],[N° SACOS]]*Cereal[[#This Row],[CAP. SACOS]]</f>
        <v>8</v>
      </c>
      <c r="K416" s="16">
        <v>46007</v>
      </c>
      <c r="L416" s="16">
        <v>46007</v>
      </c>
      <c r="M416" s="16">
        <v>46026</v>
      </c>
      <c r="N416" s="16" t="s">
        <v>160</v>
      </c>
    </row>
    <row r="417" spans="1:14" hidden="1" x14ac:dyDescent="0.25">
      <c r="A417" s="14" t="s">
        <v>14</v>
      </c>
      <c r="B417" s="14" t="s">
        <v>159</v>
      </c>
      <c r="C417" s="15" t="s">
        <v>19</v>
      </c>
      <c r="D417" s="16">
        <v>46006</v>
      </c>
      <c r="E417" s="17">
        <v>888</v>
      </c>
      <c r="F417" s="18">
        <v>1</v>
      </c>
      <c r="G417" s="19">
        <f>Cereal[[#This Row],[N° BOLSAS]]*Cereal[[#This Row],[KG BOLSA]]</f>
        <v>888</v>
      </c>
      <c r="H417" s="37">
        <v>40</v>
      </c>
      <c r="I417" s="14">
        <f>ROUNDDOWN(Cereal[[#This Row],[N° BOLSAS]]/Cereal[[#This Row],[CAP. SACOS]],0)</f>
        <v>22</v>
      </c>
      <c r="J417" s="14">
        <f>Cereal[[#This Row],[N° BOLSAS]]-Cereal[[#This Row],[N° SACOS]]*Cereal[[#This Row],[CAP. SACOS]]</f>
        <v>8</v>
      </c>
      <c r="K417" s="16">
        <v>46007</v>
      </c>
      <c r="L417" s="16">
        <v>46007</v>
      </c>
      <c r="M417" s="16">
        <v>46026</v>
      </c>
      <c r="N417" s="16" t="s">
        <v>160</v>
      </c>
    </row>
    <row r="418" spans="1:14" hidden="1" x14ac:dyDescent="0.25">
      <c r="A418" s="14" t="s">
        <v>14</v>
      </c>
      <c r="B418" s="14" t="s">
        <v>159</v>
      </c>
      <c r="C418" s="15" t="s">
        <v>20</v>
      </c>
      <c r="D418" s="16">
        <v>46096</v>
      </c>
      <c r="E418" s="17">
        <v>888</v>
      </c>
      <c r="F418" s="18">
        <v>1</v>
      </c>
      <c r="G418" s="19">
        <f>Cereal[[#This Row],[N° BOLSAS]]*Cereal[[#This Row],[KG BOLSA]]</f>
        <v>888</v>
      </c>
      <c r="H418" s="37">
        <v>40</v>
      </c>
      <c r="I418" s="14">
        <f>ROUNDDOWN(Cereal[[#This Row],[N° BOLSAS]]/Cereal[[#This Row],[CAP. SACOS]],0)</f>
        <v>22</v>
      </c>
      <c r="J418" s="14">
        <f>Cereal[[#This Row],[N° BOLSAS]]-Cereal[[#This Row],[N° SACOS]]*Cereal[[#This Row],[CAP. SACOS]]</f>
        <v>8</v>
      </c>
      <c r="K418" s="16">
        <v>46116</v>
      </c>
      <c r="L418" s="16">
        <v>46116</v>
      </c>
      <c r="M418" s="16">
        <v>46117</v>
      </c>
      <c r="N418" s="16" t="s">
        <v>160</v>
      </c>
    </row>
    <row r="419" spans="1:14" hidden="1" x14ac:dyDescent="0.25">
      <c r="A419" s="14" t="s">
        <v>14</v>
      </c>
      <c r="B419" s="14" t="s">
        <v>159</v>
      </c>
      <c r="C419" s="15" t="s">
        <v>21</v>
      </c>
      <c r="D419" s="16">
        <v>46096</v>
      </c>
      <c r="E419" s="17">
        <v>888</v>
      </c>
      <c r="F419" s="18">
        <v>1</v>
      </c>
      <c r="G419" s="19">
        <f>Cereal[[#This Row],[N° BOLSAS]]*Cereal[[#This Row],[KG BOLSA]]</f>
        <v>888</v>
      </c>
      <c r="H419" s="37">
        <v>40</v>
      </c>
      <c r="I419" s="14">
        <f>ROUNDDOWN(Cereal[[#This Row],[N° BOLSAS]]/Cereal[[#This Row],[CAP. SACOS]],0)</f>
        <v>22</v>
      </c>
      <c r="J419" s="14">
        <f>Cereal[[#This Row],[N° BOLSAS]]-Cereal[[#This Row],[N° SACOS]]*Cereal[[#This Row],[CAP. SACOS]]</f>
        <v>8</v>
      </c>
      <c r="K419" s="16">
        <v>46116</v>
      </c>
      <c r="L419" s="16">
        <v>46116</v>
      </c>
      <c r="M419" s="16">
        <v>46117</v>
      </c>
      <c r="N419" s="16" t="s">
        <v>160</v>
      </c>
    </row>
    <row r="420" spans="1:14" hidden="1" x14ac:dyDescent="0.25">
      <c r="A420" s="14" t="s">
        <v>14</v>
      </c>
      <c r="B420" s="14" t="s">
        <v>159</v>
      </c>
      <c r="C420" s="15" t="s">
        <v>22</v>
      </c>
      <c r="D420" s="16">
        <v>46096</v>
      </c>
      <c r="E420" s="17">
        <v>888</v>
      </c>
      <c r="F420" s="18">
        <v>1</v>
      </c>
      <c r="G420" s="19">
        <f>Cereal[[#This Row],[N° BOLSAS]]*Cereal[[#This Row],[KG BOLSA]]</f>
        <v>888</v>
      </c>
      <c r="H420" s="37">
        <v>40</v>
      </c>
      <c r="I420" s="14">
        <f>ROUNDDOWN(Cereal[[#This Row],[N° BOLSAS]]/Cereal[[#This Row],[CAP. SACOS]],0)</f>
        <v>22</v>
      </c>
      <c r="J420" s="14">
        <f>Cereal[[#This Row],[N° BOLSAS]]-Cereal[[#This Row],[N° SACOS]]*Cereal[[#This Row],[CAP. SACOS]]</f>
        <v>8</v>
      </c>
      <c r="K420" s="16">
        <v>46116</v>
      </c>
      <c r="L420" s="16">
        <v>46116</v>
      </c>
      <c r="M420" s="16">
        <v>46117</v>
      </c>
      <c r="N420" s="16" t="s">
        <v>160</v>
      </c>
    </row>
    <row r="421" spans="1:14" hidden="1" x14ac:dyDescent="0.25">
      <c r="A421" s="14" t="s">
        <v>14</v>
      </c>
      <c r="B421" s="14" t="s">
        <v>159</v>
      </c>
      <c r="C421" s="15" t="s">
        <v>23</v>
      </c>
      <c r="D421" s="16">
        <v>46188</v>
      </c>
      <c r="E421" s="17">
        <v>888</v>
      </c>
      <c r="F421" s="18">
        <v>1</v>
      </c>
      <c r="G421" s="19">
        <f>Cereal[[#This Row],[N° BOLSAS]]*Cereal[[#This Row],[KG BOLSA]]</f>
        <v>888</v>
      </c>
      <c r="H421" s="37">
        <v>40</v>
      </c>
      <c r="I421" s="14">
        <f>ROUNDDOWN(Cereal[[#This Row],[N° BOLSAS]]/Cereal[[#This Row],[CAP. SACOS]],0)</f>
        <v>22</v>
      </c>
      <c r="J421" s="14">
        <f>Cereal[[#This Row],[N° BOLSAS]]-Cereal[[#This Row],[N° SACOS]]*Cereal[[#This Row],[CAP. SACOS]]</f>
        <v>8</v>
      </c>
      <c r="K421" s="16">
        <v>46195</v>
      </c>
      <c r="L421" s="16">
        <v>46195</v>
      </c>
      <c r="M421" s="16">
        <v>46208</v>
      </c>
      <c r="N421" s="16" t="s">
        <v>160</v>
      </c>
    </row>
    <row r="422" spans="1:14" hidden="1" x14ac:dyDescent="0.25">
      <c r="A422" s="14" t="s">
        <v>14</v>
      </c>
      <c r="B422" s="14" t="s">
        <v>159</v>
      </c>
      <c r="C422" s="15" t="s">
        <v>24</v>
      </c>
      <c r="D422" s="16">
        <v>46188</v>
      </c>
      <c r="E422" s="17">
        <v>888</v>
      </c>
      <c r="F422" s="18">
        <v>1</v>
      </c>
      <c r="G422" s="19">
        <f>Cereal[[#This Row],[N° BOLSAS]]*Cereal[[#This Row],[KG BOLSA]]</f>
        <v>888</v>
      </c>
      <c r="H422" s="37">
        <v>40</v>
      </c>
      <c r="I422" s="14">
        <f>ROUNDDOWN(Cereal[[#This Row],[N° BOLSAS]]/Cereal[[#This Row],[CAP. SACOS]],0)</f>
        <v>22</v>
      </c>
      <c r="J422" s="14">
        <f>Cereal[[#This Row],[N° BOLSAS]]-Cereal[[#This Row],[N° SACOS]]*Cereal[[#This Row],[CAP. SACOS]]</f>
        <v>8</v>
      </c>
      <c r="K422" s="16">
        <v>46195</v>
      </c>
      <c r="L422" s="16">
        <v>46195</v>
      </c>
      <c r="M422" s="16">
        <v>46208</v>
      </c>
      <c r="N422" s="16" t="s">
        <v>160</v>
      </c>
    </row>
    <row r="423" spans="1:14" hidden="1" x14ac:dyDescent="0.25">
      <c r="A423" s="14" t="s">
        <v>14</v>
      </c>
      <c r="B423" s="14" t="s">
        <v>159</v>
      </c>
      <c r="C423" s="15" t="s">
        <v>25</v>
      </c>
      <c r="D423" s="16">
        <v>46188</v>
      </c>
      <c r="E423" s="17">
        <v>888</v>
      </c>
      <c r="F423" s="18">
        <v>1</v>
      </c>
      <c r="G423" s="19">
        <f>Cereal[[#This Row],[N° BOLSAS]]*Cereal[[#This Row],[KG BOLSA]]</f>
        <v>888</v>
      </c>
      <c r="H423" s="37">
        <v>40</v>
      </c>
      <c r="I423" s="14">
        <f>ROUNDDOWN(Cereal[[#This Row],[N° BOLSAS]]/Cereal[[#This Row],[CAP. SACOS]],0)</f>
        <v>22</v>
      </c>
      <c r="J423" s="14">
        <f>Cereal[[#This Row],[N° BOLSAS]]-Cereal[[#This Row],[N° SACOS]]*Cereal[[#This Row],[CAP. SACOS]]</f>
        <v>8</v>
      </c>
      <c r="K423" s="16">
        <v>46195</v>
      </c>
      <c r="L423" s="16">
        <v>46195</v>
      </c>
      <c r="M423" s="16">
        <v>46208</v>
      </c>
      <c r="N423" s="16" t="s">
        <v>160</v>
      </c>
    </row>
    <row r="424" spans="1:14" hidden="1" x14ac:dyDescent="0.25">
      <c r="A424" s="14" t="s">
        <v>14</v>
      </c>
      <c r="B424" s="14" t="s">
        <v>159</v>
      </c>
      <c r="C424" s="15" t="s">
        <v>30</v>
      </c>
      <c r="D424" s="16">
        <v>46188</v>
      </c>
      <c r="E424" s="17">
        <v>4013</v>
      </c>
      <c r="F424" s="18">
        <v>1</v>
      </c>
      <c r="G424" s="19">
        <f>Cereal[[#This Row],[N° BOLSAS]]*Cereal[[#This Row],[KG BOLSA]]</f>
        <v>4013</v>
      </c>
      <c r="H424" s="37">
        <v>40</v>
      </c>
      <c r="I424" s="14">
        <f>ROUNDDOWN(Cereal[[#This Row],[N° BOLSAS]]/Cereal[[#This Row],[CAP. SACOS]],0)</f>
        <v>100</v>
      </c>
      <c r="J424" s="14">
        <f>Cereal[[#This Row],[N° BOLSAS]]-Cereal[[#This Row],[N° SACOS]]*Cereal[[#This Row],[CAP. SACOS]]</f>
        <v>13</v>
      </c>
      <c r="K424" s="16">
        <v>46195</v>
      </c>
      <c r="L424" s="16">
        <v>46195</v>
      </c>
      <c r="M424" s="16">
        <v>46208</v>
      </c>
      <c r="N424" s="16" t="s">
        <v>160</v>
      </c>
    </row>
    <row r="425" spans="1:14" hidden="1" x14ac:dyDescent="0.25">
      <c r="A425" s="14" t="s">
        <v>14</v>
      </c>
      <c r="B425" s="14" t="s">
        <v>159</v>
      </c>
      <c r="C425" s="15" t="s">
        <v>26</v>
      </c>
      <c r="D425" s="16">
        <v>46280</v>
      </c>
      <c r="E425" s="17">
        <v>888</v>
      </c>
      <c r="F425" s="18">
        <v>1</v>
      </c>
      <c r="G425" s="19">
        <f>Cereal[[#This Row],[N° BOLSAS]]*Cereal[[#This Row],[KG BOLSA]]</f>
        <v>888</v>
      </c>
      <c r="H425" s="37">
        <v>40</v>
      </c>
      <c r="I425" s="14">
        <f>ROUNDDOWN(Cereal[[#This Row],[N° BOLSAS]]/Cereal[[#This Row],[CAP. SACOS]],0)</f>
        <v>22</v>
      </c>
      <c r="J425" s="14">
        <f>Cereal[[#This Row],[N° BOLSAS]]-Cereal[[#This Row],[N° SACOS]]*Cereal[[#This Row],[CAP. SACOS]]</f>
        <v>8</v>
      </c>
      <c r="K425" s="16">
        <v>46286</v>
      </c>
      <c r="L425" s="16">
        <v>46286</v>
      </c>
      <c r="M425" s="16">
        <v>46286</v>
      </c>
      <c r="N425" s="16" t="s">
        <v>160</v>
      </c>
    </row>
    <row r="426" spans="1:14" hidden="1" x14ac:dyDescent="0.25">
      <c r="A426" s="14" t="s">
        <v>14</v>
      </c>
      <c r="B426" s="14" t="s">
        <v>159</v>
      </c>
      <c r="C426" s="15" t="s">
        <v>27</v>
      </c>
      <c r="D426" s="16">
        <v>46280</v>
      </c>
      <c r="E426" s="17">
        <v>888</v>
      </c>
      <c r="F426" s="18">
        <v>1</v>
      </c>
      <c r="G426" s="19">
        <f>Cereal[[#This Row],[N° BOLSAS]]*Cereal[[#This Row],[KG BOLSA]]</f>
        <v>888</v>
      </c>
      <c r="H426" s="37">
        <v>40</v>
      </c>
      <c r="I426" s="14">
        <f>ROUNDDOWN(Cereal[[#This Row],[N° BOLSAS]]/Cereal[[#This Row],[CAP. SACOS]],0)</f>
        <v>22</v>
      </c>
      <c r="J426" s="14">
        <f>Cereal[[#This Row],[N° BOLSAS]]-Cereal[[#This Row],[N° SACOS]]*Cereal[[#This Row],[CAP. SACOS]]</f>
        <v>8</v>
      </c>
      <c r="K426" s="16">
        <v>46286</v>
      </c>
      <c r="L426" s="16">
        <v>46286</v>
      </c>
      <c r="M426" s="16">
        <v>46286</v>
      </c>
      <c r="N426" s="16" t="s">
        <v>160</v>
      </c>
    </row>
    <row r="427" spans="1:14" hidden="1" x14ac:dyDescent="0.25">
      <c r="A427" s="14" t="s">
        <v>14</v>
      </c>
      <c r="B427" s="14" t="s">
        <v>159</v>
      </c>
      <c r="C427" s="15" t="s">
        <v>28</v>
      </c>
      <c r="D427" s="16">
        <v>46280</v>
      </c>
      <c r="E427" s="17">
        <v>888</v>
      </c>
      <c r="F427" s="18">
        <v>1</v>
      </c>
      <c r="G427" s="19">
        <f>Cereal[[#This Row],[N° BOLSAS]]*Cereal[[#This Row],[KG BOLSA]]</f>
        <v>888</v>
      </c>
      <c r="H427" s="37">
        <v>40</v>
      </c>
      <c r="I427" s="14">
        <f>ROUNDDOWN(Cereal[[#This Row],[N° BOLSAS]]/Cereal[[#This Row],[CAP. SACOS]],0)</f>
        <v>22</v>
      </c>
      <c r="J427" s="14">
        <f>Cereal[[#This Row],[N° BOLSAS]]-Cereal[[#This Row],[N° SACOS]]*Cereal[[#This Row],[CAP. SACOS]]</f>
        <v>8</v>
      </c>
      <c r="K427" s="16">
        <v>46286</v>
      </c>
      <c r="L427" s="16">
        <v>46286</v>
      </c>
      <c r="M427" s="16">
        <v>46286</v>
      </c>
      <c r="N427" s="16" t="s">
        <v>160</v>
      </c>
    </row>
    <row r="428" spans="1:14" hidden="1" x14ac:dyDescent="0.25">
      <c r="A428" s="14" t="s">
        <v>14</v>
      </c>
      <c r="B428" s="14" t="s">
        <v>161</v>
      </c>
      <c r="C428" s="15" t="s">
        <v>121</v>
      </c>
      <c r="D428" s="16">
        <v>46037</v>
      </c>
      <c r="E428" s="17">
        <f>2059*2</f>
        <v>4118</v>
      </c>
      <c r="F428" s="18">
        <v>1.35</v>
      </c>
      <c r="G428" s="19">
        <f>Cereal[[#This Row],[N° BOLSAS]]*Cereal[[#This Row],[KG BOLSA]]</f>
        <v>5559.3</v>
      </c>
      <c r="H428" s="37">
        <v>30</v>
      </c>
      <c r="I428" s="14">
        <f>ROUNDDOWN(Cereal[[#This Row],[N° BOLSAS]]/Cereal[[#This Row],[CAP. SACOS]],0)</f>
        <v>137</v>
      </c>
      <c r="J428" s="14">
        <f>Cereal[[#This Row],[N° BOLSAS]]-Cereal[[#This Row],[N° SACOS]]*Cereal[[#This Row],[CAP. SACOS]]</f>
        <v>8</v>
      </c>
      <c r="K428" s="16">
        <v>46081</v>
      </c>
      <c r="L428" s="16">
        <v>46081</v>
      </c>
      <c r="M428" s="16">
        <v>46089</v>
      </c>
      <c r="N428" s="16" t="s">
        <v>162</v>
      </c>
    </row>
    <row r="429" spans="1:14" hidden="1" x14ac:dyDescent="0.25">
      <c r="A429" s="14" t="s">
        <v>14</v>
      </c>
      <c r="B429" s="14" t="s">
        <v>161</v>
      </c>
      <c r="C429" s="15" t="s">
        <v>122</v>
      </c>
      <c r="D429" s="16">
        <v>46068</v>
      </c>
      <c r="E429" s="17">
        <v>4118</v>
      </c>
      <c r="F429" s="18">
        <v>1.35</v>
      </c>
      <c r="G429" s="19">
        <f>Cereal[[#This Row],[N° BOLSAS]]*Cereal[[#This Row],[KG BOLSA]]</f>
        <v>5559.3</v>
      </c>
      <c r="H429" s="37">
        <v>30</v>
      </c>
      <c r="I429" s="14">
        <f>ROUNDDOWN(Cereal[[#This Row],[N° BOLSAS]]/Cereal[[#This Row],[CAP. SACOS]],0)</f>
        <v>137</v>
      </c>
      <c r="J429" s="14">
        <f>Cereal[[#This Row],[N° BOLSAS]]-Cereal[[#This Row],[N° SACOS]]*Cereal[[#This Row],[CAP. SACOS]]</f>
        <v>8</v>
      </c>
      <c r="K429" s="16">
        <v>46081</v>
      </c>
      <c r="L429" s="16">
        <v>46081</v>
      </c>
      <c r="M429" s="16">
        <v>46089</v>
      </c>
      <c r="N429" s="16" t="s">
        <v>162</v>
      </c>
    </row>
    <row r="430" spans="1:14" hidden="1" x14ac:dyDescent="0.25">
      <c r="A430" s="14" t="s">
        <v>14</v>
      </c>
      <c r="B430" s="14" t="s">
        <v>161</v>
      </c>
      <c r="C430" s="15" t="s">
        <v>43</v>
      </c>
      <c r="D430" s="16">
        <v>46127</v>
      </c>
      <c r="E430" s="17">
        <v>4118</v>
      </c>
      <c r="F430" s="18">
        <v>1.35</v>
      </c>
      <c r="G430" s="19">
        <f>Cereal[[#This Row],[N° BOLSAS]]*Cereal[[#This Row],[KG BOLSA]]</f>
        <v>5559.3</v>
      </c>
      <c r="H430" s="37">
        <v>30</v>
      </c>
      <c r="I430" s="14">
        <f>ROUNDDOWN(Cereal[[#This Row],[N° BOLSAS]]/Cereal[[#This Row],[CAP. SACOS]],0)</f>
        <v>137</v>
      </c>
      <c r="J430" s="14">
        <f>Cereal[[#This Row],[N° BOLSAS]]-Cereal[[#This Row],[N° SACOS]]*Cereal[[#This Row],[CAP. SACOS]]</f>
        <v>8</v>
      </c>
      <c r="K430" s="16">
        <v>46166</v>
      </c>
      <c r="L430" s="16">
        <v>46166</v>
      </c>
      <c r="M430" s="16">
        <v>46166</v>
      </c>
      <c r="N430" s="16" t="s">
        <v>162</v>
      </c>
    </row>
    <row r="431" spans="1:14" hidden="1" x14ac:dyDescent="0.25">
      <c r="A431" s="14" t="s">
        <v>14</v>
      </c>
      <c r="B431" s="14" t="s">
        <v>161</v>
      </c>
      <c r="C431" s="15" t="s">
        <v>44</v>
      </c>
      <c r="D431" s="16">
        <v>46188</v>
      </c>
      <c r="E431" s="17">
        <v>4118</v>
      </c>
      <c r="F431" s="18">
        <v>1.35</v>
      </c>
      <c r="G431" s="19">
        <f>Cereal[[#This Row],[N° BOLSAS]]*Cereal[[#This Row],[KG BOLSA]]</f>
        <v>5559.3</v>
      </c>
      <c r="H431" s="37">
        <v>30</v>
      </c>
      <c r="I431" s="14">
        <f>ROUNDDOWN(Cereal[[#This Row],[N° BOLSAS]]/Cereal[[#This Row],[CAP. SACOS]],0)</f>
        <v>137</v>
      </c>
      <c r="J431" s="14">
        <f>Cereal[[#This Row],[N° BOLSAS]]-Cereal[[#This Row],[N° SACOS]]*Cereal[[#This Row],[CAP. SACOS]]</f>
        <v>8</v>
      </c>
      <c r="K431" s="16">
        <v>46177</v>
      </c>
      <c r="L431" s="16">
        <v>46177</v>
      </c>
      <c r="M431" s="16">
        <v>46181</v>
      </c>
      <c r="N431" s="16" t="s">
        <v>162</v>
      </c>
    </row>
    <row r="432" spans="1:14" ht="22.5" hidden="1" x14ac:dyDescent="0.25">
      <c r="A432" s="14" t="s">
        <v>14</v>
      </c>
      <c r="B432" s="14" t="s">
        <v>161</v>
      </c>
      <c r="C432" s="15" t="s">
        <v>45</v>
      </c>
      <c r="D432" s="16">
        <v>46249</v>
      </c>
      <c r="E432" s="17">
        <v>4118</v>
      </c>
      <c r="F432" s="18">
        <v>1.35</v>
      </c>
      <c r="G432" s="19">
        <f>Cereal[[#This Row],[N° BOLSAS]]*Cereal[[#This Row],[KG BOLSA]]</f>
        <v>5559.3</v>
      </c>
      <c r="H432" s="37">
        <v>30</v>
      </c>
      <c r="I432" s="14">
        <f>ROUNDDOWN(Cereal[[#This Row],[N° BOLSAS]]/Cereal[[#This Row],[CAP. SACOS]],0)</f>
        <v>137</v>
      </c>
      <c r="J432" s="14">
        <f>Cereal[[#This Row],[N° BOLSAS]]-Cereal[[#This Row],[N° SACOS]]*Cereal[[#This Row],[CAP. SACOS]]</f>
        <v>8</v>
      </c>
      <c r="K432" s="16">
        <v>46241</v>
      </c>
      <c r="L432" s="16">
        <v>46241</v>
      </c>
      <c r="M432" s="16">
        <v>46243</v>
      </c>
      <c r="N432" s="16" t="s">
        <v>162</v>
      </c>
    </row>
    <row r="433" spans="1:14" ht="22.5" hidden="1" x14ac:dyDescent="0.25">
      <c r="A433" s="14" t="s">
        <v>14</v>
      </c>
      <c r="B433" s="14" t="s">
        <v>161</v>
      </c>
      <c r="C433" s="15" t="s">
        <v>46</v>
      </c>
      <c r="D433" s="16">
        <v>46310</v>
      </c>
      <c r="E433" s="17">
        <v>4118</v>
      </c>
      <c r="F433" s="18">
        <v>1.35</v>
      </c>
      <c r="G433" s="19">
        <f>Cereal[[#This Row],[N° BOLSAS]]*Cereal[[#This Row],[KG BOLSA]]</f>
        <v>5559.3</v>
      </c>
      <c r="H433" s="37">
        <v>30</v>
      </c>
      <c r="I433" s="14">
        <f>ROUNDDOWN(Cereal[[#This Row],[N° BOLSAS]]/Cereal[[#This Row],[CAP. SACOS]],0)</f>
        <v>137</v>
      </c>
      <c r="J433" s="14">
        <f>Cereal[[#This Row],[N° BOLSAS]]-Cereal[[#This Row],[N° SACOS]]*Cereal[[#This Row],[CAP. SACOS]]</f>
        <v>8</v>
      </c>
      <c r="K433" s="16"/>
      <c r="L433" s="16"/>
      <c r="M433" s="16"/>
      <c r="N433" s="16" t="s">
        <v>162</v>
      </c>
    </row>
    <row r="434" spans="1:14" ht="22.5" hidden="1" x14ac:dyDescent="0.25">
      <c r="A434" s="14" t="s">
        <v>14</v>
      </c>
      <c r="B434" s="14" t="s">
        <v>30</v>
      </c>
      <c r="C434" s="15" t="s">
        <v>46</v>
      </c>
      <c r="D434" s="16">
        <v>46286</v>
      </c>
      <c r="E434" s="17">
        <v>5</v>
      </c>
      <c r="F434" s="18">
        <v>1.35</v>
      </c>
      <c r="G434" s="19">
        <f>Cereal[[#This Row],[N° BOLSAS]]*Cereal[[#This Row],[KG BOLSA]]</f>
        <v>6.75</v>
      </c>
      <c r="H434" s="37">
        <v>30</v>
      </c>
      <c r="I434" s="14">
        <f>ROUNDDOWN(Cereal[[#This Row],[N° BOLSAS]]/Cereal[[#This Row],[CAP. SACOS]],0)</f>
        <v>0</v>
      </c>
      <c r="J434" s="14">
        <f>Cereal[[#This Row],[N° BOLSAS]]-Cereal[[#This Row],[N° SACOS]]*Cereal[[#This Row],[CAP. SACOS]]</f>
        <v>5</v>
      </c>
      <c r="K434" s="16"/>
      <c r="L434" s="16"/>
      <c r="M434" s="16"/>
      <c r="N434" s="16" t="s">
        <v>162</v>
      </c>
    </row>
    <row r="435" spans="1:14" hidden="1" x14ac:dyDescent="0.25">
      <c r="A435" s="14" t="s">
        <v>14</v>
      </c>
      <c r="B435" s="14" t="s">
        <v>163</v>
      </c>
      <c r="C435" s="15" t="s">
        <v>16</v>
      </c>
      <c r="D435" s="16">
        <v>46027</v>
      </c>
      <c r="E435" s="17">
        <v>792</v>
      </c>
      <c r="F435" s="18">
        <v>1.7397</v>
      </c>
      <c r="G435" s="19">
        <f>Cereal[[#This Row],[N° BOLSAS]]*Cereal[[#This Row],[KG BOLSA]]</f>
        <v>1377.8424</v>
      </c>
      <c r="H435" s="37">
        <v>25</v>
      </c>
      <c r="I435" s="14">
        <f>ROUNDDOWN(Cereal[[#This Row],[N° BOLSAS]]/Cereal[[#This Row],[CAP. SACOS]],0)</f>
        <v>31</v>
      </c>
      <c r="J435" s="14">
        <f>Cereal[[#This Row],[N° BOLSAS]]-Cereal[[#This Row],[N° SACOS]]*Cereal[[#This Row],[CAP. SACOS]]</f>
        <v>17</v>
      </c>
      <c r="K435" s="16">
        <v>46020</v>
      </c>
      <c r="L435" s="16">
        <v>46020</v>
      </c>
      <c r="M435" s="16">
        <v>46021</v>
      </c>
      <c r="N435" s="16" t="s">
        <v>164</v>
      </c>
    </row>
    <row r="436" spans="1:14" hidden="1" x14ac:dyDescent="0.25">
      <c r="A436" s="14" t="s">
        <v>14</v>
      </c>
      <c r="B436" s="14" t="s">
        <v>163</v>
      </c>
      <c r="C436" s="15" t="s">
        <v>18</v>
      </c>
      <c r="D436" s="16">
        <v>46042</v>
      </c>
      <c r="E436" s="17">
        <v>792</v>
      </c>
      <c r="F436" s="18">
        <v>1.7397</v>
      </c>
      <c r="G436" s="19">
        <f>Cereal[[#This Row],[N° BOLSAS]]*Cereal[[#This Row],[KG BOLSA]]</f>
        <v>1377.8424</v>
      </c>
      <c r="H436" s="37">
        <v>25</v>
      </c>
      <c r="I436" s="14">
        <f>ROUNDDOWN(Cereal[[#This Row],[N° BOLSAS]]/Cereal[[#This Row],[CAP. SACOS]],0)</f>
        <v>31</v>
      </c>
      <c r="J436" s="14">
        <f>Cereal[[#This Row],[N° BOLSAS]]-Cereal[[#This Row],[N° SACOS]]*Cereal[[#This Row],[CAP. SACOS]]</f>
        <v>17</v>
      </c>
      <c r="K436" s="16">
        <v>46039</v>
      </c>
      <c r="L436" s="16">
        <v>46039</v>
      </c>
      <c r="M436" s="16">
        <v>46042</v>
      </c>
      <c r="N436" s="16" t="s">
        <v>164</v>
      </c>
    </row>
    <row r="437" spans="1:14" hidden="1" x14ac:dyDescent="0.25">
      <c r="A437" s="14" t="s">
        <v>14</v>
      </c>
      <c r="B437" s="14" t="s">
        <v>163</v>
      </c>
      <c r="C437" s="15" t="s">
        <v>19</v>
      </c>
      <c r="D437" s="16">
        <v>46073</v>
      </c>
      <c r="E437" s="17">
        <v>792</v>
      </c>
      <c r="F437" s="18">
        <v>1.7397</v>
      </c>
      <c r="G437" s="19">
        <f>Cereal[[#This Row],[N° BOLSAS]]*Cereal[[#This Row],[KG BOLSA]]</f>
        <v>1377.8424</v>
      </c>
      <c r="H437" s="37">
        <v>25</v>
      </c>
      <c r="I437" s="14">
        <f>ROUNDDOWN(Cereal[[#This Row],[N° BOLSAS]]/Cereal[[#This Row],[CAP. SACOS]],0)</f>
        <v>31</v>
      </c>
      <c r="J437" s="14">
        <f>Cereal[[#This Row],[N° BOLSAS]]-Cereal[[#This Row],[N° SACOS]]*Cereal[[#This Row],[CAP. SACOS]]</f>
        <v>17</v>
      </c>
      <c r="K437" s="16">
        <v>46069</v>
      </c>
      <c r="L437" s="16">
        <v>46069</v>
      </c>
      <c r="M437" s="16">
        <v>46072</v>
      </c>
      <c r="N437" s="16" t="s">
        <v>164</v>
      </c>
    </row>
    <row r="438" spans="1:14" hidden="1" x14ac:dyDescent="0.25">
      <c r="A438" s="14" t="s">
        <v>14</v>
      </c>
      <c r="B438" s="14" t="s">
        <v>163</v>
      </c>
      <c r="C438" s="15" t="s">
        <v>20</v>
      </c>
      <c r="D438" s="16">
        <v>46104</v>
      </c>
      <c r="E438" s="17">
        <v>792</v>
      </c>
      <c r="F438" s="18">
        <v>1.7397</v>
      </c>
      <c r="G438" s="19">
        <f>Cereal[[#This Row],[N° BOLSAS]]*Cereal[[#This Row],[KG BOLSA]]</f>
        <v>1377.8424</v>
      </c>
      <c r="H438" s="37">
        <v>25</v>
      </c>
      <c r="I438" s="14">
        <f>ROUNDDOWN(Cereal[[#This Row],[N° BOLSAS]]/Cereal[[#This Row],[CAP. SACOS]],0)</f>
        <v>31</v>
      </c>
      <c r="J438" s="14">
        <f>Cereal[[#This Row],[N° BOLSAS]]-Cereal[[#This Row],[N° SACOS]]*Cereal[[#This Row],[CAP. SACOS]]</f>
        <v>17</v>
      </c>
      <c r="K438" s="16">
        <v>46100</v>
      </c>
      <c r="L438" s="16">
        <v>46100</v>
      </c>
      <c r="M438" s="16">
        <v>46101</v>
      </c>
      <c r="N438" s="16" t="s">
        <v>164</v>
      </c>
    </row>
    <row r="439" spans="1:14" hidden="1" x14ac:dyDescent="0.25">
      <c r="A439" s="14" t="s">
        <v>14</v>
      </c>
      <c r="B439" s="14" t="s">
        <v>163</v>
      </c>
      <c r="C439" s="15" t="s">
        <v>21</v>
      </c>
      <c r="D439" s="16">
        <v>46134</v>
      </c>
      <c r="E439" s="17">
        <v>792</v>
      </c>
      <c r="F439" s="18">
        <v>1.7397</v>
      </c>
      <c r="G439" s="19">
        <f>Cereal[[#This Row],[N° BOLSAS]]*Cereal[[#This Row],[KG BOLSA]]</f>
        <v>1377.8424</v>
      </c>
      <c r="H439" s="37">
        <v>25</v>
      </c>
      <c r="I439" s="14">
        <f>ROUNDDOWN(Cereal[[#This Row],[N° BOLSAS]]/Cereal[[#This Row],[CAP. SACOS]],0)</f>
        <v>31</v>
      </c>
      <c r="J439" s="14">
        <f>Cereal[[#This Row],[N° BOLSAS]]-Cereal[[#This Row],[N° SACOS]]*Cereal[[#This Row],[CAP. SACOS]]</f>
        <v>17</v>
      </c>
      <c r="K439" s="16">
        <v>46131</v>
      </c>
      <c r="L439" s="16">
        <v>46131</v>
      </c>
      <c r="M439" s="16">
        <v>46132</v>
      </c>
      <c r="N439" s="16" t="s">
        <v>164</v>
      </c>
    </row>
    <row r="440" spans="1:14" hidden="1" x14ac:dyDescent="0.25">
      <c r="A440" s="14" t="s">
        <v>14</v>
      </c>
      <c r="B440" s="14" t="s">
        <v>163</v>
      </c>
      <c r="C440" s="15" t="s">
        <v>22</v>
      </c>
      <c r="D440" s="16">
        <v>46163</v>
      </c>
      <c r="E440" s="17">
        <v>792</v>
      </c>
      <c r="F440" s="18">
        <v>1.7397</v>
      </c>
      <c r="G440" s="19">
        <f>Cereal[[#This Row],[N° BOLSAS]]*Cereal[[#This Row],[KG BOLSA]]</f>
        <v>1377.8424</v>
      </c>
      <c r="H440" s="37">
        <v>25</v>
      </c>
      <c r="I440" s="14">
        <f>ROUNDDOWN(Cereal[[#This Row],[N° BOLSAS]]/Cereal[[#This Row],[CAP. SACOS]],0)</f>
        <v>31</v>
      </c>
      <c r="J440" s="14">
        <f>Cereal[[#This Row],[N° BOLSAS]]-Cereal[[#This Row],[N° SACOS]]*Cereal[[#This Row],[CAP. SACOS]]</f>
        <v>17</v>
      </c>
      <c r="K440" s="16">
        <v>46158</v>
      </c>
      <c r="L440" s="16">
        <v>46158</v>
      </c>
      <c r="M440" s="16">
        <v>46163</v>
      </c>
      <c r="N440" s="16" t="s">
        <v>164</v>
      </c>
    </row>
    <row r="441" spans="1:14" hidden="1" x14ac:dyDescent="0.25">
      <c r="A441" s="14" t="s">
        <v>14</v>
      </c>
      <c r="B441" s="14" t="s">
        <v>163</v>
      </c>
      <c r="C441" s="15" t="s">
        <v>23</v>
      </c>
      <c r="D441" s="16">
        <v>46195</v>
      </c>
      <c r="E441" s="17">
        <v>792</v>
      </c>
      <c r="F441" s="18">
        <v>1.7397</v>
      </c>
      <c r="G441" s="19">
        <f>Cereal[[#This Row],[N° BOLSAS]]*Cereal[[#This Row],[KG BOLSA]]</f>
        <v>1377.8424</v>
      </c>
      <c r="H441" s="37">
        <v>25</v>
      </c>
      <c r="I441" s="14">
        <f>ROUNDDOWN(Cereal[[#This Row],[N° BOLSAS]]/Cereal[[#This Row],[CAP. SACOS]],0)</f>
        <v>31</v>
      </c>
      <c r="J441" s="14">
        <f>Cereal[[#This Row],[N° BOLSAS]]-Cereal[[#This Row],[N° SACOS]]*Cereal[[#This Row],[CAP. SACOS]]</f>
        <v>17</v>
      </c>
      <c r="K441" s="16">
        <v>46196</v>
      </c>
      <c r="L441" s="16">
        <v>46196</v>
      </c>
      <c r="M441" s="16">
        <v>46196</v>
      </c>
      <c r="N441" s="16" t="s">
        <v>164</v>
      </c>
    </row>
    <row r="442" spans="1:14" hidden="1" x14ac:dyDescent="0.25">
      <c r="A442" s="14" t="s">
        <v>14</v>
      </c>
      <c r="B442" s="14" t="s">
        <v>163</v>
      </c>
      <c r="C442" s="15" t="s">
        <v>165</v>
      </c>
      <c r="D442" s="16">
        <v>46224</v>
      </c>
      <c r="E442" s="17">
        <v>1593.29</v>
      </c>
      <c r="F442" s="18">
        <v>1.7397</v>
      </c>
      <c r="G442" s="19">
        <f>Cereal[[#This Row],[N° BOLSAS]]*Cereal[[#This Row],[KG BOLSA]]</f>
        <v>2771.8466130000002</v>
      </c>
      <c r="H442" s="37">
        <v>25</v>
      </c>
      <c r="I442" s="14">
        <f>ROUNDDOWN(Cereal[[#This Row],[N° BOLSAS]]/Cereal[[#This Row],[CAP. SACOS]],0)</f>
        <v>63</v>
      </c>
      <c r="J442" s="14">
        <f>Cereal[[#This Row],[N° BOLSAS]]-Cereal[[#This Row],[N° SACOS]]*Cereal[[#This Row],[CAP. SACOS]]</f>
        <v>18.289999999999964</v>
      </c>
      <c r="K442" s="16">
        <v>46212</v>
      </c>
      <c r="L442" s="16">
        <v>46212</v>
      </c>
      <c r="M442" s="16">
        <v>46213</v>
      </c>
      <c r="N442" s="16" t="s">
        <v>164</v>
      </c>
    </row>
    <row r="443" spans="1:14" hidden="1" x14ac:dyDescent="0.25">
      <c r="A443" s="14" t="s">
        <v>14</v>
      </c>
      <c r="B443" s="14" t="s">
        <v>163</v>
      </c>
      <c r="C443" s="15" t="s">
        <v>24</v>
      </c>
      <c r="D443" s="16">
        <v>46224</v>
      </c>
      <c r="E443" s="17">
        <v>792</v>
      </c>
      <c r="F443" s="18">
        <v>1.7397</v>
      </c>
      <c r="G443" s="19">
        <f>Cereal[[#This Row],[N° BOLSAS]]*Cereal[[#This Row],[KG BOLSA]]</f>
        <v>1377.8424</v>
      </c>
      <c r="H443" s="37">
        <v>25</v>
      </c>
      <c r="I443" s="14">
        <f>ROUNDDOWN(Cereal[[#This Row],[N° BOLSAS]]/Cereal[[#This Row],[CAP. SACOS]],0)</f>
        <v>31</v>
      </c>
      <c r="J443" s="14">
        <f>Cereal[[#This Row],[N° BOLSAS]]-Cereal[[#This Row],[N° SACOS]]*Cereal[[#This Row],[CAP. SACOS]]</f>
        <v>17</v>
      </c>
      <c r="K443" s="16">
        <v>46212</v>
      </c>
      <c r="L443" s="16">
        <v>46212</v>
      </c>
      <c r="M443" s="16">
        <v>46213</v>
      </c>
      <c r="N443" s="16" t="s">
        <v>164</v>
      </c>
    </row>
    <row r="444" spans="1:14" hidden="1" x14ac:dyDescent="0.25">
      <c r="A444" s="14" t="s">
        <v>14</v>
      </c>
      <c r="B444" s="14" t="s">
        <v>163</v>
      </c>
      <c r="C444" s="15" t="s">
        <v>25</v>
      </c>
      <c r="D444" s="16">
        <v>46255</v>
      </c>
      <c r="E444" s="17">
        <v>792</v>
      </c>
      <c r="F444" s="18">
        <v>1.7397</v>
      </c>
      <c r="G444" s="19">
        <f>Cereal[[#This Row],[N° BOLSAS]]*Cereal[[#This Row],[KG BOLSA]]</f>
        <v>1377.8424</v>
      </c>
      <c r="H444" s="37">
        <v>25</v>
      </c>
      <c r="I444" s="14">
        <f>ROUNDDOWN(Cereal[[#This Row],[N° BOLSAS]]/Cereal[[#This Row],[CAP. SACOS]],0)</f>
        <v>31</v>
      </c>
      <c r="J444" s="14">
        <f>Cereal[[#This Row],[N° BOLSAS]]-Cereal[[#This Row],[N° SACOS]]*Cereal[[#This Row],[CAP. SACOS]]</f>
        <v>17</v>
      </c>
      <c r="K444" s="16">
        <v>46252</v>
      </c>
      <c r="L444" s="16">
        <v>46252</v>
      </c>
      <c r="M444" s="16">
        <v>46253</v>
      </c>
      <c r="N444" s="16" t="s">
        <v>164</v>
      </c>
    </row>
    <row r="445" spans="1:14" hidden="1" x14ac:dyDescent="0.25">
      <c r="A445" s="14" t="s">
        <v>14</v>
      </c>
      <c r="B445" s="14" t="s">
        <v>163</v>
      </c>
      <c r="C445" s="15" t="s">
        <v>26</v>
      </c>
      <c r="D445" s="16">
        <v>46286</v>
      </c>
      <c r="E445" s="17">
        <v>792</v>
      </c>
      <c r="F445" s="18">
        <v>1.7397</v>
      </c>
      <c r="G445" s="19">
        <f>Cereal[[#This Row],[N° BOLSAS]]*Cereal[[#This Row],[KG BOLSA]]</f>
        <v>1377.8424</v>
      </c>
      <c r="H445" s="37">
        <v>25</v>
      </c>
      <c r="I445" s="14">
        <f>ROUNDDOWN(Cereal[[#This Row],[N° BOLSAS]]/Cereal[[#This Row],[CAP. SACOS]],0)</f>
        <v>31</v>
      </c>
      <c r="J445" s="14">
        <f>Cereal[[#This Row],[N° BOLSAS]]-Cereal[[#This Row],[N° SACOS]]*Cereal[[#This Row],[CAP. SACOS]]</f>
        <v>17</v>
      </c>
      <c r="K445" s="16">
        <v>46286</v>
      </c>
      <c r="L445" s="16">
        <v>46286</v>
      </c>
      <c r="M445" s="16">
        <v>46286</v>
      </c>
      <c r="N445" s="16" t="s">
        <v>164</v>
      </c>
    </row>
    <row r="446" spans="1:14" hidden="1" x14ac:dyDescent="0.25">
      <c r="A446" s="14" t="s">
        <v>14</v>
      </c>
      <c r="B446" s="14" t="s">
        <v>163</v>
      </c>
      <c r="C446" s="15" t="s">
        <v>27</v>
      </c>
      <c r="D446" s="16">
        <v>46316</v>
      </c>
      <c r="E446" s="17">
        <v>792</v>
      </c>
      <c r="F446" s="18">
        <v>1.7397</v>
      </c>
      <c r="G446" s="19">
        <f>Cereal[[#This Row],[N° BOLSAS]]*Cereal[[#This Row],[KG BOLSA]]</f>
        <v>1377.8424</v>
      </c>
      <c r="H446" s="37">
        <v>25</v>
      </c>
      <c r="I446" s="14">
        <f>ROUNDDOWN(Cereal[[#This Row],[N° BOLSAS]]/Cereal[[#This Row],[CAP. SACOS]],0)</f>
        <v>31</v>
      </c>
      <c r="J446" s="14">
        <f>Cereal[[#This Row],[N° BOLSAS]]-Cereal[[#This Row],[N° SACOS]]*Cereal[[#This Row],[CAP. SACOS]]</f>
        <v>17</v>
      </c>
      <c r="K446" s="16"/>
      <c r="L446" s="16"/>
      <c r="M446" s="16"/>
      <c r="N446" s="16" t="s">
        <v>164</v>
      </c>
    </row>
    <row r="447" spans="1:14" hidden="1" x14ac:dyDescent="0.25">
      <c r="A447" s="14" t="s">
        <v>14</v>
      </c>
      <c r="B447" s="14" t="s">
        <v>163</v>
      </c>
      <c r="C447" s="15" t="s">
        <v>28</v>
      </c>
      <c r="D447" s="16">
        <v>46349</v>
      </c>
      <c r="E447" s="17">
        <v>792</v>
      </c>
      <c r="F447" s="18">
        <v>1.7397</v>
      </c>
      <c r="G447" s="19">
        <f>Cereal[[#This Row],[N° BOLSAS]]*Cereal[[#This Row],[KG BOLSA]]</f>
        <v>1377.8424</v>
      </c>
      <c r="H447" s="37">
        <v>25</v>
      </c>
      <c r="I447" s="14">
        <f>ROUNDDOWN(Cereal[[#This Row],[N° BOLSAS]]/Cereal[[#This Row],[CAP. SACOS]],0)</f>
        <v>31</v>
      </c>
      <c r="J447" s="14">
        <f>Cereal[[#This Row],[N° BOLSAS]]-Cereal[[#This Row],[N° SACOS]]*Cereal[[#This Row],[CAP. SACOS]]</f>
        <v>17</v>
      </c>
      <c r="K447" s="16"/>
      <c r="L447" s="16"/>
      <c r="M447" s="16"/>
      <c r="N447" s="16" t="s">
        <v>164</v>
      </c>
    </row>
    <row r="448" spans="1:14" hidden="1" x14ac:dyDescent="0.25">
      <c r="A448" s="14" t="s">
        <v>14</v>
      </c>
      <c r="B448" s="14" t="s">
        <v>166</v>
      </c>
      <c r="C448" s="15" t="s">
        <v>19</v>
      </c>
      <c r="D448" s="16">
        <v>46081</v>
      </c>
      <c r="E448" s="17">
        <v>792</v>
      </c>
      <c r="F448" s="18">
        <v>0.75</v>
      </c>
      <c r="G448" s="19">
        <f>Cereal[[#This Row],[N° BOLSAS]]*Cereal[[#This Row],[KG BOLSA]]</f>
        <v>594</v>
      </c>
      <c r="H448" s="37">
        <v>60</v>
      </c>
      <c r="I448" s="14">
        <f>ROUNDDOWN(Cereal[[#This Row],[N° BOLSAS]]/Cereal[[#This Row],[CAP. SACOS]],0)</f>
        <v>13</v>
      </c>
      <c r="J448" s="14">
        <f>Cereal[[#This Row],[N° BOLSAS]]-Cereal[[#This Row],[N° SACOS]]*Cereal[[#This Row],[CAP. SACOS]]</f>
        <v>12</v>
      </c>
      <c r="K448" s="16">
        <v>46071</v>
      </c>
      <c r="L448" s="16">
        <v>46071</v>
      </c>
      <c r="M448" s="16">
        <v>46072</v>
      </c>
      <c r="N448" s="16" t="s">
        <v>167</v>
      </c>
    </row>
    <row r="449" spans="1:14" hidden="1" x14ac:dyDescent="0.25">
      <c r="A449" s="14" t="s">
        <v>14</v>
      </c>
      <c r="B449" s="14" t="s">
        <v>166</v>
      </c>
      <c r="C449" s="15" t="s">
        <v>20</v>
      </c>
      <c r="D449" s="16">
        <v>46104</v>
      </c>
      <c r="E449" s="17">
        <v>792</v>
      </c>
      <c r="F449" s="18">
        <v>0.75</v>
      </c>
      <c r="G449" s="19">
        <f>Cereal[[#This Row],[N° BOLSAS]]*Cereal[[#This Row],[KG BOLSA]]</f>
        <v>594</v>
      </c>
      <c r="H449" s="37">
        <v>60</v>
      </c>
      <c r="I449" s="14">
        <f>ROUNDDOWN(Cereal[[#This Row],[N° BOLSAS]]/Cereal[[#This Row],[CAP. SACOS]],0)</f>
        <v>13</v>
      </c>
      <c r="J449" s="14">
        <f>Cereal[[#This Row],[N° BOLSAS]]-Cereal[[#This Row],[N° SACOS]]*Cereal[[#This Row],[CAP. SACOS]]</f>
        <v>12</v>
      </c>
      <c r="K449" s="16">
        <v>46100</v>
      </c>
      <c r="L449" s="16">
        <v>46100</v>
      </c>
      <c r="M449" s="16">
        <v>46101</v>
      </c>
      <c r="N449" s="16" t="s">
        <v>167</v>
      </c>
    </row>
    <row r="450" spans="1:14" hidden="1" x14ac:dyDescent="0.25">
      <c r="A450" s="14" t="s">
        <v>14</v>
      </c>
      <c r="B450" s="14" t="s">
        <v>166</v>
      </c>
      <c r="C450" s="15" t="s">
        <v>21</v>
      </c>
      <c r="D450" s="16">
        <v>46134</v>
      </c>
      <c r="E450" s="17">
        <v>792</v>
      </c>
      <c r="F450" s="18">
        <v>0.75</v>
      </c>
      <c r="G450" s="19">
        <f>Cereal[[#This Row],[N° BOLSAS]]*Cereal[[#This Row],[KG BOLSA]]</f>
        <v>594</v>
      </c>
      <c r="H450" s="37">
        <v>50</v>
      </c>
      <c r="I450" s="14">
        <f>ROUNDDOWN(Cereal[[#This Row],[N° BOLSAS]]/Cereal[[#This Row],[CAP. SACOS]],0)</f>
        <v>15</v>
      </c>
      <c r="J450" s="14">
        <f>Cereal[[#This Row],[N° BOLSAS]]-Cereal[[#This Row],[N° SACOS]]*Cereal[[#This Row],[CAP. SACOS]]</f>
        <v>42</v>
      </c>
      <c r="K450" s="16">
        <v>46128</v>
      </c>
      <c r="L450" s="16">
        <v>46128</v>
      </c>
      <c r="M450" s="16">
        <v>46132</v>
      </c>
      <c r="N450" s="16" t="s">
        <v>167</v>
      </c>
    </row>
    <row r="451" spans="1:14" hidden="1" x14ac:dyDescent="0.25">
      <c r="A451" s="14" t="s">
        <v>14</v>
      </c>
      <c r="B451" s="14" t="s">
        <v>166</v>
      </c>
      <c r="C451" s="15" t="s">
        <v>22</v>
      </c>
      <c r="D451" s="16">
        <v>46163</v>
      </c>
      <c r="E451" s="17">
        <v>792</v>
      </c>
      <c r="F451" s="18">
        <v>0.75</v>
      </c>
      <c r="G451" s="19">
        <f>Cereal[[#This Row],[N° BOLSAS]]*Cereal[[#This Row],[KG BOLSA]]</f>
        <v>594</v>
      </c>
      <c r="H451" s="37">
        <v>50</v>
      </c>
      <c r="I451" s="14">
        <f>ROUNDDOWN(Cereal[[#This Row],[N° BOLSAS]]/Cereal[[#This Row],[CAP. SACOS]],0)</f>
        <v>15</v>
      </c>
      <c r="J451" s="14">
        <f>Cereal[[#This Row],[N° BOLSAS]]-Cereal[[#This Row],[N° SACOS]]*Cereal[[#This Row],[CAP. SACOS]]</f>
        <v>42</v>
      </c>
      <c r="K451" s="16">
        <v>46163</v>
      </c>
      <c r="L451" s="16">
        <v>46163</v>
      </c>
      <c r="M451" s="16">
        <v>46163</v>
      </c>
      <c r="N451" s="16" t="s">
        <v>167</v>
      </c>
    </row>
    <row r="452" spans="1:14" hidden="1" x14ac:dyDescent="0.25">
      <c r="A452" s="14" t="s">
        <v>14</v>
      </c>
      <c r="B452" s="14" t="s">
        <v>166</v>
      </c>
      <c r="C452" s="15" t="s">
        <v>23</v>
      </c>
      <c r="D452" s="16">
        <v>46195</v>
      </c>
      <c r="E452" s="17">
        <v>792</v>
      </c>
      <c r="F452" s="18">
        <v>0.75</v>
      </c>
      <c r="G452" s="19">
        <f>Cereal[[#This Row],[N° BOLSAS]]*Cereal[[#This Row],[KG BOLSA]]</f>
        <v>594</v>
      </c>
      <c r="H452" s="37">
        <v>50</v>
      </c>
      <c r="I452" s="14">
        <f>ROUNDDOWN(Cereal[[#This Row],[N° BOLSAS]]/Cereal[[#This Row],[CAP. SACOS]],0)</f>
        <v>15</v>
      </c>
      <c r="J452" s="14">
        <f>Cereal[[#This Row],[N° BOLSAS]]-Cereal[[#This Row],[N° SACOS]]*Cereal[[#This Row],[CAP. SACOS]]</f>
        <v>42</v>
      </c>
      <c r="K452" s="16">
        <v>46196</v>
      </c>
      <c r="L452" s="16">
        <v>46196</v>
      </c>
      <c r="M452" s="16">
        <v>46196</v>
      </c>
      <c r="N452" s="16" t="s">
        <v>167</v>
      </c>
    </row>
    <row r="453" spans="1:14" hidden="1" x14ac:dyDescent="0.25">
      <c r="A453" s="14" t="s">
        <v>14</v>
      </c>
      <c r="B453" s="14" t="s">
        <v>166</v>
      </c>
      <c r="C453" s="15" t="s">
        <v>24</v>
      </c>
      <c r="D453" s="16">
        <v>46224</v>
      </c>
      <c r="E453" s="17">
        <v>792</v>
      </c>
      <c r="F453" s="18">
        <v>0.75</v>
      </c>
      <c r="G453" s="19">
        <f>Cereal[[#This Row],[N° BOLSAS]]*Cereal[[#This Row],[KG BOLSA]]</f>
        <v>594</v>
      </c>
      <c r="H453" s="37">
        <v>60</v>
      </c>
      <c r="I453" s="14">
        <f>ROUNDDOWN(Cereal[[#This Row],[N° BOLSAS]]/Cereal[[#This Row],[CAP. SACOS]],0)</f>
        <v>13</v>
      </c>
      <c r="J453" s="14">
        <f>Cereal[[#This Row],[N° BOLSAS]]-Cereal[[#This Row],[N° SACOS]]*Cereal[[#This Row],[CAP. SACOS]]</f>
        <v>12</v>
      </c>
      <c r="K453" s="16">
        <v>46212</v>
      </c>
      <c r="L453" s="16">
        <v>46212</v>
      </c>
      <c r="M453" s="16">
        <v>46213</v>
      </c>
      <c r="N453" s="16" t="s">
        <v>167</v>
      </c>
    </row>
    <row r="454" spans="1:14" hidden="1" x14ac:dyDescent="0.25">
      <c r="A454" s="14" t="s">
        <v>14</v>
      </c>
      <c r="B454" s="14" t="s">
        <v>166</v>
      </c>
      <c r="C454" s="15" t="s">
        <v>25</v>
      </c>
      <c r="D454" s="16">
        <v>46255</v>
      </c>
      <c r="E454" s="17">
        <v>792</v>
      </c>
      <c r="F454" s="18">
        <v>0.75</v>
      </c>
      <c r="G454" s="19">
        <f>Cereal[[#This Row],[N° BOLSAS]]*Cereal[[#This Row],[KG BOLSA]]</f>
        <v>594</v>
      </c>
      <c r="H454" s="37">
        <v>60</v>
      </c>
      <c r="I454" s="14">
        <f>ROUNDDOWN(Cereal[[#This Row],[N° BOLSAS]]/Cereal[[#This Row],[CAP. SACOS]],0)</f>
        <v>13</v>
      </c>
      <c r="J454" s="14">
        <f>Cereal[[#This Row],[N° BOLSAS]]-Cereal[[#This Row],[N° SACOS]]*Cereal[[#This Row],[CAP. SACOS]]</f>
        <v>12</v>
      </c>
      <c r="K454" s="16">
        <v>46246</v>
      </c>
      <c r="L454" s="16">
        <v>46246</v>
      </c>
      <c r="M454" s="16">
        <v>46253</v>
      </c>
      <c r="N454" s="16" t="s">
        <v>167</v>
      </c>
    </row>
    <row r="455" spans="1:14" hidden="1" x14ac:dyDescent="0.25">
      <c r="A455" s="14" t="s">
        <v>14</v>
      </c>
      <c r="B455" s="14" t="s">
        <v>166</v>
      </c>
      <c r="C455" s="15" t="s">
        <v>26</v>
      </c>
      <c r="D455" s="16">
        <v>46286</v>
      </c>
      <c r="E455" s="17">
        <v>792</v>
      </c>
      <c r="F455" s="18">
        <v>0.75</v>
      </c>
      <c r="G455" s="19">
        <f>Cereal[[#This Row],[N° BOLSAS]]*Cereal[[#This Row],[KG BOLSA]]</f>
        <v>594</v>
      </c>
      <c r="H455" s="37">
        <v>60</v>
      </c>
      <c r="I455" s="14">
        <f>ROUNDDOWN(Cereal[[#This Row],[N° BOLSAS]]/Cereal[[#This Row],[CAP. SACOS]],0)</f>
        <v>13</v>
      </c>
      <c r="J455" s="14">
        <f>Cereal[[#This Row],[N° BOLSAS]]-Cereal[[#This Row],[N° SACOS]]*Cereal[[#This Row],[CAP. SACOS]]</f>
        <v>12</v>
      </c>
      <c r="K455" s="16">
        <v>46286</v>
      </c>
      <c r="L455" s="16">
        <v>46286</v>
      </c>
      <c r="M455" s="16">
        <v>46286</v>
      </c>
      <c r="N455" s="16" t="s">
        <v>167</v>
      </c>
    </row>
    <row r="456" spans="1:14" hidden="1" x14ac:dyDescent="0.25">
      <c r="A456" s="14" t="s">
        <v>14</v>
      </c>
      <c r="B456" s="14" t="s">
        <v>166</v>
      </c>
      <c r="C456" s="15" t="s">
        <v>27</v>
      </c>
      <c r="D456" s="16">
        <v>46316</v>
      </c>
      <c r="E456" s="17">
        <v>792</v>
      </c>
      <c r="F456" s="18">
        <v>0.75</v>
      </c>
      <c r="G456" s="19">
        <f>Cereal[[#This Row],[N° BOLSAS]]*Cereal[[#This Row],[KG BOLSA]]</f>
        <v>594</v>
      </c>
      <c r="H456" s="37">
        <v>60</v>
      </c>
      <c r="I456" s="14">
        <f>ROUNDDOWN(Cereal[[#This Row],[N° BOLSAS]]/Cereal[[#This Row],[CAP. SACOS]],0)</f>
        <v>13</v>
      </c>
      <c r="J456" s="14">
        <f>Cereal[[#This Row],[N° BOLSAS]]-Cereal[[#This Row],[N° SACOS]]*Cereal[[#This Row],[CAP. SACOS]]</f>
        <v>12</v>
      </c>
      <c r="K456" s="16"/>
      <c r="L456" s="16"/>
      <c r="M456" s="16"/>
      <c r="N456" s="16" t="s">
        <v>167</v>
      </c>
    </row>
    <row r="457" spans="1:14" hidden="1" x14ac:dyDescent="0.25">
      <c r="A457" s="14" t="s">
        <v>14</v>
      </c>
      <c r="B457" s="14" t="s">
        <v>166</v>
      </c>
      <c r="C457" s="15" t="s">
        <v>28</v>
      </c>
      <c r="D457" s="16">
        <v>46349</v>
      </c>
      <c r="E457" s="17">
        <v>792</v>
      </c>
      <c r="F457" s="18">
        <v>0.75</v>
      </c>
      <c r="G457" s="19">
        <f>Cereal[[#This Row],[N° BOLSAS]]*Cereal[[#This Row],[KG BOLSA]]</f>
        <v>594</v>
      </c>
      <c r="H457" s="37">
        <v>60</v>
      </c>
      <c r="I457" s="14">
        <f>ROUNDDOWN(Cereal[[#This Row],[N° BOLSAS]]/Cereal[[#This Row],[CAP. SACOS]],0)</f>
        <v>13</v>
      </c>
      <c r="J457" s="14">
        <f>Cereal[[#This Row],[N° BOLSAS]]-Cereal[[#This Row],[N° SACOS]]*Cereal[[#This Row],[CAP. SACOS]]</f>
        <v>12</v>
      </c>
      <c r="K457" s="16"/>
      <c r="L457" s="16"/>
      <c r="M457" s="16"/>
      <c r="N457" s="16" t="s">
        <v>167</v>
      </c>
    </row>
    <row r="458" spans="1:14" hidden="1" x14ac:dyDescent="0.25">
      <c r="A458" s="14" t="s">
        <v>58</v>
      </c>
      <c r="B458" s="14" t="s">
        <v>168</v>
      </c>
      <c r="C458" s="15" t="s">
        <v>20</v>
      </c>
      <c r="D458" s="16">
        <v>46150</v>
      </c>
      <c r="E458" s="17">
        <v>620</v>
      </c>
      <c r="F458" s="18">
        <v>1.0565</v>
      </c>
      <c r="G458" s="19">
        <f>Cereal[[#This Row],[N° BOLSAS]]*Cereal[[#This Row],[KG BOLSA]]</f>
        <v>655.03</v>
      </c>
      <c r="H458" s="37">
        <v>40</v>
      </c>
      <c r="I458" s="14">
        <f>ROUNDDOWN(Cereal[[#This Row],[N° BOLSAS]]/Cereal[[#This Row],[CAP. SACOS]],0)</f>
        <v>15</v>
      </c>
      <c r="J458" s="14">
        <f>Cereal[[#This Row],[N° BOLSAS]]-Cereal[[#This Row],[N° SACOS]]*Cereal[[#This Row],[CAP. SACOS]]</f>
        <v>20</v>
      </c>
      <c r="K458" s="16">
        <v>46153</v>
      </c>
      <c r="L458" s="16">
        <v>46153</v>
      </c>
      <c r="M458" s="16">
        <v>46163</v>
      </c>
      <c r="N458" s="16" t="s">
        <v>169</v>
      </c>
    </row>
    <row r="459" spans="1:14" hidden="1" x14ac:dyDescent="0.25">
      <c r="A459" s="14" t="s">
        <v>58</v>
      </c>
      <c r="B459" s="14" t="s">
        <v>168</v>
      </c>
      <c r="C459" s="15" t="s">
        <v>21</v>
      </c>
      <c r="D459" s="16">
        <v>46150</v>
      </c>
      <c r="E459" s="17">
        <v>620</v>
      </c>
      <c r="F459" s="18">
        <v>1.0565</v>
      </c>
      <c r="G459" s="19">
        <f>Cereal[[#This Row],[N° BOLSAS]]*Cereal[[#This Row],[KG BOLSA]]</f>
        <v>655.03</v>
      </c>
      <c r="H459" s="37">
        <v>40</v>
      </c>
      <c r="I459" s="14">
        <f>ROUNDDOWN(Cereal[[#This Row],[N° BOLSAS]]/Cereal[[#This Row],[CAP. SACOS]],0)</f>
        <v>15</v>
      </c>
      <c r="J459" s="14">
        <f>Cereal[[#This Row],[N° BOLSAS]]-Cereal[[#This Row],[N° SACOS]]*Cereal[[#This Row],[CAP. SACOS]]</f>
        <v>20</v>
      </c>
      <c r="K459" s="16">
        <v>46153</v>
      </c>
      <c r="L459" s="16">
        <v>46153</v>
      </c>
      <c r="M459" s="16">
        <v>46163</v>
      </c>
      <c r="N459" s="16" t="s">
        <v>169</v>
      </c>
    </row>
    <row r="460" spans="1:14" hidden="1" x14ac:dyDescent="0.25">
      <c r="A460" s="14" t="s">
        <v>58</v>
      </c>
      <c r="B460" s="14" t="s">
        <v>168</v>
      </c>
      <c r="C460" s="15" t="s">
        <v>22</v>
      </c>
      <c r="D460" s="16">
        <v>46164</v>
      </c>
      <c r="E460" s="17">
        <v>620</v>
      </c>
      <c r="F460" s="18">
        <v>1.0565</v>
      </c>
      <c r="G460" s="19">
        <f>Cereal[[#This Row],[N° BOLSAS]]*Cereal[[#This Row],[KG BOLSA]]</f>
        <v>655.03</v>
      </c>
      <c r="H460" s="37">
        <v>40</v>
      </c>
      <c r="I460" s="14">
        <f>ROUNDDOWN(Cereal[[#This Row],[N° BOLSAS]]/Cereal[[#This Row],[CAP. SACOS]],0)</f>
        <v>15</v>
      </c>
      <c r="J460" s="14">
        <f>Cereal[[#This Row],[N° BOLSAS]]-Cereal[[#This Row],[N° SACOS]]*Cereal[[#This Row],[CAP. SACOS]]</f>
        <v>20</v>
      </c>
      <c r="K460" s="16">
        <v>46153</v>
      </c>
      <c r="L460" s="16">
        <v>46153</v>
      </c>
      <c r="M460" s="16">
        <v>46163</v>
      </c>
      <c r="N460" s="16" t="s">
        <v>169</v>
      </c>
    </row>
    <row r="461" spans="1:14" hidden="1" x14ac:dyDescent="0.25">
      <c r="A461" s="14" t="s">
        <v>58</v>
      </c>
      <c r="B461" s="14" t="s">
        <v>168</v>
      </c>
      <c r="C461" s="15" t="s">
        <v>23</v>
      </c>
      <c r="D461" s="16">
        <v>46197</v>
      </c>
      <c r="E461" s="17">
        <v>620</v>
      </c>
      <c r="F461" s="18">
        <v>1.0565</v>
      </c>
      <c r="G461" s="19">
        <f>Cereal[[#This Row],[N° BOLSAS]]*Cereal[[#This Row],[KG BOLSA]]</f>
        <v>655.03</v>
      </c>
      <c r="H461" s="37">
        <v>40</v>
      </c>
      <c r="I461" s="14">
        <f>ROUNDDOWN(Cereal[[#This Row],[N° BOLSAS]]/Cereal[[#This Row],[CAP. SACOS]],0)</f>
        <v>15</v>
      </c>
      <c r="J461" s="14">
        <f>Cereal[[#This Row],[N° BOLSAS]]-Cereal[[#This Row],[N° SACOS]]*Cereal[[#This Row],[CAP. SACOS]]</f>
        <v>20</v>
      </c>
      <c r="K461" s="16">
        <v>46189</v>
      </c>
      <c r="L461" s="16">
        <v>46189</v>
      </c>
      <c r="M461" s="16">
        <v>46199</v>
      </c>
      <c r="N461" s="16" t="s">
        <v>169</v>
      </c>
    </row>
    <row r="462" spans="1:14" hidden="1" x14ac:dyDescent="0.25">
      <c r="A462" s="14" t="s">
        <v>58</v>
      </c>
      <c r="B462" s="14" t="s">
        <v>168</v>
      </c>
      <c r="C462" s="15" t="s">
        <v>24</v>
      </c>
      <c r="D462" s="16">
        <v>46197</v>
      </c>
      <c r="E462" s="17">
        <v>620</v>
      </c>
      <c r="F462" s="18">
        <v>1.0565</v>
      </c>
      <c r="G462" s="19">
        <f>Cereal[[#This Row],[N° BOLSAS]]*Cereal[[#This Row],[KG BOLSA]]</f>
        <v>655.03</v>
      </c>
      <c r="H462" s="37">
        <v>40</v>
      </c>
      <c r="I462" s="14">
        <f>ROUNDDOWN(Cereal[[#This Row],[N° BOLSAS]]/Cereal[[#This Row],[CAP. SACOS]],0)</f>
        <v>15</v>
      </c>
      <c r="J462" s="14">
        <f>Cereal[[#This Row],[N° BOLSAS]]-Cereal[[#This Row],[N° SACOS]]*Cereal[[#This Row],[CAP. SACOS]]</f>
        <v>20</v>
      </c>
      <c r="K462" s="16">
        <v>46189</v>
      </c>
      <c r="L462" s="16">
        <v>46189</v>
      </c>
      <c r="M462" s="16">
        <v>46199</v>
      </c>
      <c r="N462" s="16" t="s">
        <v>169</v>
      </c>
    </row>
    <row r="463" spans="1:14" hidden="1" x14ac:dyDescent="0.25">
      <c r="A463" s="14" t="s">
        <v>58</v>
      </c>
      <c r="B463" s="14" t="s">
        <v>168</v>
      </c>
      <c r="C463" s="15" t="s">
        <v>25</v>
      </c>
      <c r="D463" s="16">
        <v>46197</v>
      </c>
      <c r="E463" s="17">
        <v>620</v>
      </c>
      <c r="F463" s="18">
        <v>1.0565</v>
      </c>
      <c r="G463" s="19">
        <f>Cereal[[#This Row],[N° BOLSAS]]*Cereal[[#This Row],[KG BOLSA]]</f>
        <v>655.03</v>
      </c>
      <c r="H463" s="37">
        <v>40</v>
      </c>
      <c r="I463" s="14">
        <f>ROUNDDOWN(Cereal[[#This Row],[N° BOLSAS]]/Cereal[[#This Row],[CAP. SACOS]],0)</f>
        <v>15</v>
      </c>
      <c r="J463" s="14">
        <f>Cereal[[#This Row],[N° BOLSAS]]-Cereal[[#This Row],[N° SACOS]]*Cereal[[#This Row],[CAP. SACOS]]</f>
        <v>20</v>
      </c>
      <c r="K463" s="16">
        <v>46189</v>
      </c>
      <c r="L463" s="16">
        <v>46189</v>
      </c>
      <c r="M463" s="16">
        <v>46199</v>
      </c>
      <c r="N463" s="16" t="s">
        <v>169</v>
      </c>
    </row>
    <row r="464" spans="1:14" hidden="1" x14ac:dyDescent="0.25">
      <c r="A464" s="14" t="s">
        <v>58</v>
      </c>
      <c r="B464" s="14" t="s">
        <v>168</v>
      </c>
      <c r="C464" s="15" t="s">
        <v>30</v>
      </c>
      <c r="D464" s="16">
        <v>46223</v>
      </c>
      <c r="E464" s="17">
        <v>602</v>
      </c>
      <c r="F464" s="18">
        <v>1.0565</v>
      </c>
      <c r="G464" s="19">
        <f>Cereal[[#This Row],[N° BOLSAS]]*Cereal[[#This Row],[KG BOLSA]]</f>
        <v>636.01300000000003</v>
      </c>
      <c r="H464" s="37">
        <v>40</v>
      </c>
      <c r="I464" s="14">
        <f>ROUNDDOWN(Cereal[[#This Row],[N° BOLSAS]]/Cereal[[#This Row],[CAP. SACOS]],0)</f>
        <v>15</v>
      </c>
      <c r="J464" s="14">
        <f>Cereal[[#This Row],[N° BOLSAS]]-Cereal[[#This Row],[N° SACOS]]*Cereal[[#This Row],[CAP. SACOS]]</f>
        <v>2</v>
      </c>
      <c r="K464" s="16">
        <v>46234</v>
      </c>
      <c r="L464" s="16">
        <v>46234</v>
      </c>
      <c r="M464" s="16">
        <v>46240</v>
      </c>
      <c r="N464" s="16" t="s">
        <v>169</v>
      </c>
    </row>
    <row r="465" spans="1:14" hidden="1" x14ac:dyDescent="0.25">
      <c r="A465" s="14" t="s">
        <v>58</v>
      </c>
      <c r="B465" s="14" t="s">
        <v>168</v>
      </c>
      <c r="C465" s="15" t="s">
        <v>26</v>
      </c>
      <c r="D465" s="16">
        <v>46289</v>
      </c>
      <c r="E465" s="17">
        <v>620</v>
      </c>
      <c r="F465" s="18">
        <v>1.0565</v>
      </c>
      <c r="G465" s="19">
        <f>Cereal[[#This Row],[N° BOLSAS]]*Cereal[[#This Row],[KG BOLSA]]</f>
        <v>655.03</v>
      </c>
      <c r="H465" s="37">
        <v>40</v>
      </c>
      <c r="I465" s="14">
        <f>ROUNDDOWN(Cereal[[#This Row],[N° BOLSAS]]/Cereal[[#This Row],[CAP. SACOS]],0)</f>
        <v>15</v>
      </c>
      <c r="J465" s="14">
        <f>Cereal[[#This Row],[N° BOLSAS]]-Cereal[[#This Row],[N° SACOS]]*Cereal[[#This Row],[CAP. SACOS]]</f>
        <v>20</v>
      </c>
      <c r="K465" s="16">
        <v>46281</v>
      </c>
      <c r="L465" s="16">
        <v>46281</v>
      </c>
      <c r="M465" s="16"/>
      <c r="N465" s="16" t="s">
        <v>169</v>
      </c>
    </row>
    <row r="466" spans="1:14" hidden="1" x14ac:dyDescent="0.25">
      <c r="A466" s="14" t="s">
        <v>58</v>
      </c>
      <c r="B466" s="14" t="s">
        <v>168</v>
      </c>
      <c r="C466" s="15" t="s">
        <v>27</v>
      </c>
      <c r="D466" s="16">
        <v>46289</v>
      </c>
      <c r="E466" s="17">
        <v>620</v>
      </c>
      <c r="F466" s="18">
        <v>1.0565</v>
      </c>
      <c r="G466" s="19">
        <f>Cereal[[#This Row],[N° BOLSAS]]*Cereal[[#This Row],[KG BOLSA]]</f>
        <v>655.03</v>
      </c>
      <c r="H466" s="37">
        <v>40</v>
      </c>
      <c r="I466" s="14">
        <f>ROUNDDOWN(Cereal[[#This Row],[N° BOLSAS]]/Cereal[[#This Row],[CAP. SACOS]],0)</f>
        <v>15</v>
      </c>
      <c r="J466" s="14">
        <f>Cereal[[#This Row],[N° BOLSAS]]-Cereal[[#This Row],[N° SACOS]]*Cereal[[#This Row],[CAP. SACOS]]</f>
        <v>20</v>
      </c>
      <c r="K466" s="16">
        <v>46281</v>
      </c>
      <c r="L466" s="16">
        <v>46281</v>
      </c>
      <c r="M466" s="16"/>
      <c r="N466" s="16" t="s">
        <v>169</v>
      </c>
    </row>
    <row r="467" spans="1:14" hidden="1" x14ac:dyDescent="0.25">
      <c r="A467" s="14" t="s">
        <v>58</v>
      </c>
      <c r="B467" s="14" t="s">
        <v>168</v>
      </c>
      <c r="C467" s="15" t="s">
        <v>28</v>
      </c>
      <c r="D467" s="16">
        <v>46289</v>
      </c>
      <c r="E467" s="17">
        <v>620</v>
      </c>
      <c r="F467" s="18">
        <v>1.0565</v>
      </c>
      <c r="G467" s="19">
        <f>Cereal[[#This Row],[N° BOLSAS]]*Cereal[[#This Row],[KG BOLSA]]</f>
        <v>655.03</v>
      </c>
      <c r="H467" s="37">
        <v>40</v>
      </c>
      <c r="I467" s="14">
        <f>ROUNDDOWN(Cereal[[#This Row],[N° BOLSAS]]/Cereal[[#This Row],[CAP. SACOS]],0)</f>
        <v>15</v>
      </c>
      <c r="J467" s="14">
        <f>Cereal[[#This Row],[N° BOLSAS]]-Cereal[[#This Row],[N° SACOS]]*Cereal[[#This Row],[CAP. SACOS]]</f>
        <v>20</v>
      </c>
      <c r="K467" s="16"/>
      <c r="L467" s="16"/>
      <c r="M467" s="16"/>
      <c r="N467" s="16" t="s">
        <v>169</v>
      </c>
    </row>
    <row r="468" spans="1:14" hidden="1" x14ac:dyDescent="0.25">
      <c r="A468" s="14" t="s">
        <v>14</v>
      </c>
      <c r="B468" s="14" t="s">
        <v>170</v>
      </c>
      <c r="C468" s="15" t="s">
        <v>121</v>
      </c>
      <c r="D468" s="16">
        <v>46025</v>
      </c>
      <c r="E468" s="17">
        <v>961.5</v>
      </c>
      <c r="F468" s="18">
        <v>1</v>
      </c>
      <c r="G468" s="19">
        <f>Cereal[[#This Row],[N° BOLSAS]]*Cereal[[#This Row],[KG BOLSA]]</f>
        <v>961.5</v>
      </c>
      <c r="H468" s="37">
        <v>50</v>
      </c>
      <c r="I468" s="14">
        <f>ROUNDDOWN(Cereal[[#This Row],[N° BOLSAS]]/Cereal[[#This Row],[CAP. SACOS]],0)</f>
        <v>19</v>
      </c>
      <c r="J468" s="14">
        <f>Cereal[[#This Row],[N° BOLSAS]]-Cereal[[#This Row],[N° SACOS]]*Cereal[[#This Row],[CAP. SACOS]]</f>
        <v>11.5</v>
      </c>
      <c r="K468" s="16">
        <v>46057</v>
      </c>
      <c r="L468" s="16">
        <v>46057</v>
      </c>
      <c r="M468" s="16">
        <v>46062</v>
      </c>
      <c r="N468" s="16" t="s">
        <v>171</v>
      </c>
    </row>
    <row r="469" spans="1:14" hidden="1" x14ac:dyDescent="0.25">
      <c r="A469" s="14" t="s">
        <v>14</v>
      </c>
      <c r="B469" s="14" t="s">
        <v>170</v>
      </c>
      <c r="C469" s="15" t="s">
        <v>122</v>
      </c>
      <c r="D469" s="16">
        <v>46076</v>
      </c>
      <c r="E469" s="17">
        <v>961.5</v>
      </c>
      <c r="F469" s="18">
        <v>1</v>
      </c>
      <c r="G469" s="19">
        <f>Cereal[[#This Row],[N° BOLSAS]]*Cereal[[#This Row],[KG BOLSA]]</f>
        <v>961.5</v>
      </c>
      <c r="H469" s="37">
        <v>50</v>
      </c>
      <c r="I469" s="14">
        <f>ROUNDDOWN(Cereal[[#This Row],[N° BOLSAS]]/Cereal[[#This Row],[CAP. SACOS]],0)</f>
        <v>19</v>
      </c>
      <c r="J469" s="14">
        <f>Cereal[[#This Row],[N° BOLSAS]]-Cereal[[#This Row],[N° SACOS]]*Cereal[[#This Row],[CAP. SACOS]]</f>
        <v>11.5</v>
      </c>
      <c r="K469" s="16">
        <v>46072</v>
      </c>
      <c r="L469" s="16">
        <v>46072</v>
      </c>
      <c r="M469" s="16">
        <v>46075</v>
      </c>
      <c r="N469" s="16" t="s">
        <v>171</v>
      </c>
    </row>
    <row r="470" spans="1:14" hidden="1" x14ac:dyDescent="0.25">
      <c r="A470" s="14" t="s">
        <v>14</v>
      </c>
      <c r="B470" s="14" t="s">
        <v>170</v>
      </c>
      <c r="C470" s="15" t="s">
        <v>43</v>
      </c>
      <c r="D470" s="16">
        <v>46135</v>
      </c>
      <c r="E470" s="17">
        <v>961.5</v>
      </c>
      <c r="F470" s="18">
        <v>1</v>
      </c>
      <c r="G470" s="19">
        <f>Cereal[[#This Row],[N° BOLSAS]]*Cereal[[#This Row],[KG BOLSA]]</f>
        <v>961.5</v>
      </c>
      <c r="H470" s="37">
        <v>50</v>
      </c>
      <c r="I470" s="14">
        <f>ROUNDDOWN(Cereal[[#This Row],[N° BOLSAS]]/Cereal[[#This Row],[CAP. SACOS]],0)</f>
        <v>19</v>
      </c>
      <c r="J470" s="14">
        <f>Cereal[[#This Row],[N° BOLSAS]]-Cereal[[#This Row],[N° SACOS]]*Cereal[[#This Row],[CAP. SACOS]]</f>
        <v>11.5</v>
      </c>
      <c r="K470" s="16">
        <v>46131</v>
      </c>
      <c r="L470" s="16">
        <v>46131</v>
      </c>
      <c r="M470" s="16">
        <v>46131</v>
      </c>
      <c r="N470" s="16" t="s">
        <v>171</v>
      </c>
    </row>
    <row r="471" spans="1:14" hidden="1" x14ac:dyDescent="0.25">
      <c r="A471" s="14" t="s">
        <v>14</v>
      </c>
      <c r="B471" s="14" t="s">
        <v>170</v>
      </c>
      <c r="C471" s="15" t="s">
        <v>44</v>
      </c>
      <c r="D471" s="16">
        <v>46195</v>
      </c>
      <c r="E471" s="17">
        <v>961.5</v>
      </c>
      <c r="F471" s="18">
        <v>1</v>
      </c>
      <c r="G471" s="19">
        <f>Cereal[[#This Row],[N° BOLSAS]]*Cereal[[#This Row],[KG BOLSA]]</f>
        <v>961.5</v>
      </c>
      <c r="H471" s="37">
        <v>50</v>
      </c>
      <c r="I471" s="14">
        <f>ROUNDDOWN(Cereal[[#This Row],[N° BOLSAS]]/Cereal[[#This Row],[CAP. SACOS]],0)</f>
        <v>19</v>
      </c>
      <c r="J471" s="14">
        <f>Cereal[[#This Row],[N° BOLSAS]]-Cereal[[#This Row],[N° SACOS]]*Cereal[[#This Row],[CAP. SACOS]]</f>
        <v>11.5</v>
      </c>
      <c r="K471" s="16">
        <v>46191</v>
      </c>
      <c r="L471" s="16">
        <v>46191</v>
      </c>
      <c r="M471" s="16">
        <v>46191</v>
      </c>
      <c r="N471" s="16" t="s">
        <v>171</v>
      </c>
    </row>
    <row r="472" spans="1:14" hidden="1" x14ac:dyDescent="0.25">
      <c r="A472" s="14" t="s">
        <v>14</v>
      </c>
      <c r="B472" s="14" t="s">
        <v>170</v>
      </c>
      <c r="C472" s="15" t="s">
        <v>30</v>
      </c>
      <c r="D472" s="16">
        <v>46258</v>
      </c>
      <c r="E472" s="17">
        <v>425</v>
      </c>
      <c r="F472" s="18">
        <v>1</v>
      </c>
      <c r="G472" s="19">
        <f>Cereal[[#This Row],[N° BOLSAS]]*Cereal[[#This Row],[KG BOLSA]]</f>
        <v>425</v>
      </c>
      <c r="H472" s="37">
        <v>50</v>
      </c>
      <c r="I472" s="14">
        <f>ROUNDDOWN(Cereal[[#This Row],[N° BOLSAS]]/Cereal[[#This Row],[CAP. SACOS]],0)</f>
        <v>8</v>
      </c>
      <c r="J472" s="14">
        <f>Cereal[[#This Row],[N° BOLSAS]]-Cereal[[#This Row],[N° SACOS]]*Cereal[[#This Row],[CAP. SACOS]]</f>
        <v>25</v>
      </c>
      <c r="K472" s="16">
        <v>46249</v>
      </c>
      <c r="L472" s="16">
        <v>46249</v>
      </c>
      <c r="M472" s="16">
        <v>46250</v>
      </c>
      <c r="N472" s="16" t="s">
        <v>171</v>
      </c>
    </row>
    <row r="473" spans="1:14" ht="22.5" hidden="1" x14ac:dyDescent="0.25">
      <c r="A473" s="14" t="s">
        <v>14</v>
      </c>
      <c r="B473" s="14" t="s">
        <v>170</v>
      </c>
      <c r="C473" s="15" t="s">
        <v>45</v>
      </c>
      <c r="D473" s="16">
        <v>46258</v>
      </c>
      <c r="E473" s="17">
        <v>961.5</v>
      </c>
      <c r="F473" s="18">
        <v>1</v>
      </c>
      <c r="G473" s="19">
        <f>Cereal[[#This Row],[N° BOLSAS]]*Cereal[[#This Row],[KG BOLSA]]</f>
        <v>961.5</v>
      </c>
      <c r="H473" s="37">
        <v>50</v>
      </c>
      <c r="I473" s="14">
        <f>ROUNDDOWN(Cereal[[#This Row],[N° BOLSAS]]/Cereal[[#This Row],[CAP. SACOS]],0)</f>
        <v>19</v>
      </c>
      <c r="J473" s="14">
        <f>Cereal[[#This Row],[N° BOLSAS]]-Cereal[[#This Row],[N° SACOS]]*Cereal[[#This Row],[CAP. SACOS]]</f>
        <v>11.5</v>
      </c>
      <c r="K473" s="16">
        <v>46249</v>
      </c>
      <c r="L473" s="16">
        <v>46249</v>
      </c>
      <c r="M473" s="16">
        <v>46250</v>
      </c>
      <c r="N473" s="16" t="s">
        <v>171</v>
      </c>
    </row>
    <row r="474" spans="1:14" ht="22.5" hidden="1" x14ac:dyDescent="0.25">
      <c r="A474" s="14" t="s">
        <v>14</v>
      </c>
      <c r="B474" s="14" t="s">
        <v>170</v>
      </c>
      <c r="C474" s="15" t="s">
        <v>46</v>
      </c>
      <c r="D474" s="16">
        <v>46315</v>
      </c>
      <c r="E474" s="17">
        <v>961.5</v>
      </c>
      <c r="F474" s="18">
        <v>1</v>
      </c>
      <c r="G474" s="19">
        <f>Cereal[[#This Row],[N° BOLSAS]]*Cereal[[#This Row],[KG BOLSA]]</f>
        <v>961.5</v>
      </c>
      <c r="H474" s="37">
        <v>50</v>
      </c>
      <c r="I474" s="14">
        <f>ROUNDDOWN(Cereal[[#This Row],[N° BOLSAS]]/Cereal[[#This Row],[CAP. SACOS]],0)</f>
        <v>19</v>
      </c>
      <c r="J474" s="14">
        <f>Cereal[[#This Row],[N° BOLSAS]]-Cereal[[#This Row],[N° SACOS]]*Cereal[[#This Row],[CAP. SACOS]]</f>
        <v>11.5</v>
      </c>
      <c r="K474" s="16"/>
      <c r="L474" s="16"/>
      <c r="M474" s="16"/>
      <c r="N474" s="16" t="s">
        <v>171</v>
      </c>
    </row>
    <row r="475" spans="1:14" hidden="1" x14ac:dyDescent="0.25">
      <c r="A475" s="14" t="s">
        <v>14</v>
      </c>
      <c r="B475" s="14" t="s">
        <v>172</v>
      </c>
      <c r="C475" s="15" t="s">
        <v>30</v>
      </c>
      <c r="D475" s="16">
        <v>46036</v>
      </c>
      <c r="E475" s="17">
        <v>3000</v>
      </c>
      <c r="F475" s="18">
        <v>1</v>
      </c>
      <c r="G475" s="19">
        <f>Cereal[[#This Row],[N° BOLSAS]]*Cereal[[#This Row],[KG BOLSA]]</f>
        <v>3000</v>
      </c>
      <c r="H475" s="37">
        <v>40</v>
      </c>
      <c r="I475" s="14">
        <f>ROUNDDOWN(Cereal[[#This Row],[N° BOLSAS]]/Cereal[[#This Row],[CAP. SACOS]],0)</f>
        <v>75</v>
      </c>
      <c r="J475" s="14">
        <f>Cereal[[#This Row],[N° BOLSAS]]-Cereal[[#This Row],[N° SACOS]]*Cereal[[#This Row],[CAP. SACOS]]</f>
        <v>0</v>
      </c>
      <c r="K475" s="16">
        <v>46057</v>
      </c>
      <c r="L475" s="16">
        <v>46057</v>
      </c>
      <c r="M475" s="16">
        <v>46058</v>
      </c>
      <c r="N475" s="16" t="s">
        <v>173</v>
      </c>
    </row>
    <row r="476" spans="1:14" hidden="1" x14ac:dyDescent="0.25">
      <c r="A476" s="14" t="s">
        <v>14</v>
      </c>
      <c r="B476" s="14" t="s">
        <v>172</v>
      </c>
      <c r="C476" s="15" t="s">
        <v>30</v>
      </c>
      <c r="D476" s="16">
        <v>46037</v>
      </c>
      <c r="E476" s="17">
        <v>1000</v>
      </c>
      <c r="F476" s="18">
        <v>1</v>
      </c>
      <c r="G476" s="19">
        <f>Cereal[[#This Row],[N° BOLSAS]]*Cereal[[#This Row],[KG BOLSA]]</f>
        <v>1000</v>
      </c>
      <c r="H476" s="37">
        <v>40</v>
      </c>
      <c r="I476" s="14">
        <f>ROUNDDOWN(Cereal[[#This Row],[N° BOLSAS]]/Cereal[[#This Row],[CAP. SACOS]],0)</f>
        <v>25</v>
      </c>
      <c r="J476" s="14">
        <f>Cereal[[#This Row],[N° BOLSAS]]-Cereal[[#This Row],[N° SACOS]]*Cereal[[#This Row],[CAP. SACOS]]</f>
        <v>0</v>
      </c>
      <c r="K476" s="16">
        <v>46051</v>
      </c>
      <c r="L476" s="16">
        <v>46051</v>
      </c>
      <c r="M476" s="16">
        <v>46058</v>
      </c>
      <c r="N476" s="16" t="s">
        <v>173</v>
      </c>
    </row>
    <row r="477" spans="1:14" hidden="1" x14ac:dyDescent="0.25">
      <c r="A477" s="14" t="s">
        <v>14</v>
      </c>
      <c r="B477" s="14" t="s">
        <v>172</v>
      </c>
      <c r="C477" s="15" t="s">
        <v>174</v>
      </c>
      <c r="D477" s="16">
        <v>46157</v>
      </c>
      <c r="E477" s="17">
        <v>3170</v>
      </c>
      <c r="F477" s="18">
        <v>1</v>
      </c>
      <c r="G477" s="19">
        <f>Cereal[[#This Row],[N° BOLSAS]]*Cereal[[#This Row],[KG BOLSA]]</f>
        <v>3170</v>
      </c>
      <c r="H477" s="37">
        <v>40</v>
      </c>
      <c r="I477" s="14">
        <f>ROUNDDOWN(Cereal[[#This Row],[N° BOLSAS]]/Cereal[[#This Row],[CAP. SACOS]],0)</f>
        <v>79</v>
      </c>
      <c r="J477" s="14">
        <f>Cereal[[#This Row],[N° BOLSAS]]-Cereal[[#This Row],[N° SACOS]]*Cereal[[#This Row],[CAP. SACOS]]</f>
        <v>10</v>
      </c>
      <c r="K477" s="16">
        <v>46156</v>
      </c>
      <c r="L477" s="16">
        <v>46156</v>
      </c>
      <c r="M477" s="16">
        <v>46160</v>
      </c>
      <c r="N477" s="16" t="s">
        <v>175</v>
      </c>
    </row>
    <row r="478" spans="1:14" hidden="1" x14ac:dyDescent="0.25">
      <c r="A478" s="14" t="s">
        <v>14</v>
      </c>
      <c r="B478" s="14" t="s">
        <v>172</v>
      </c>
      <c r="C478" s="15" t="s">
        <v>176</v>
      </c>
      <c r="D478" s="16">
        <v>46157</v>
      </c>
      <c r="E478" s="17">
        <v>740</v>
      </c>
      <c r="F478" s="18">
        <v>1</v>
      </c>
      <c r="G478" s="19">
        <f>Cereal[[#This Row],[N° BOLSAS]]*Cereal[[#This Row],[KG BOLSA]]</f>
        <v>740</v>
      </c>
      <c r="H478" s="37">
        <v>40</v>
      </c>
      <c r="I478" s="14">
        <f>ROUNDDOWN(Cereal[[#This Row],[N° BOLSAS]]/Cereal[[#This Row],[CAP. SACOS]],0)</f>
        <v>18</v>
      </c>
      <c r="J478" s="14">
        <f>Cereal[[#This Row],[N° BOLSAS]]-Cereal[[#This Row],[N° SACOS]]*Cereal[[#This Row],[CAP. SACOS]]</f>
        <v>20</v>
      </c>
      <c r="K478" s="16">
        <v>46159</v>
      </c>
      <c r="L478" s="16">
        <v>46159</v>
      </c>
      <c r="M478" s="16">
        <v>46160</v>
      </c>
      <c r="N478" s="16" t="s">
        <v>177</v>
      </c>
    </row>
    <row r="479" spans="1:14" hidden="1" x14ac:dyDescent="0.25">
      <c r="A479" s="14" t="s">
        <v>14</v>
      </c>
      <c r="B479" s="14" t="s">
        <v>172</v>
      </c>
      <c r="C479" s="15" t="s">
        <v>178</v>
      </c>
      <c r="D479" s="16">
        <v>46188</v>
      </c>
      <c r="E479" s="17">
        <v>772</v>
      </c>
      <c r="F479" s="18">
        <v>1</v>
      </c>
      <c r="G479" s="19">
        <f>Cereal[[#This Row],[N° BOLSAS]]*Cereal[[#This Row],[KG BOLSA]]</f>
        <v>772</v>
      </c>
      <c r="H479" s="37">
        <v>40</v>
      </c>
      <c r="I479" s="14">
        <f>ROUNDDOWN(Cereal[[#This Row],[N° BOLSAS]]/Cereal[[#This Row],[CAP. SACOS]],0)</f>
        <v>19</v>
      </c>
      <c r="J479" s="14">
        <f>Cereal[[#This Row],[N° BOLSAS]]-Cereal[[#This Row],[N° SACOS]]*Cereal[[#This Row],[CAP. SACOS]]</f>
        <v>12</v>
      </c>
      <c r="K479" s="16">
        <v>46191</v>
      </c>
      <c r="L479" s="16">
        <v>46191</v>
      </c>
      <c r="M479" s="16">
        <v>46191</v>
      </c>
      <c r="N479" s="16" t="s">
        <v>177</v>
      </c>
    </row>
    <row r="480" spans="1:14" hidden="1" x14ac:dyDescent="0.25">
      <c r="A480" s="14" t="s">
        <v>14</v>
      </c>
      <c r="B480" s="14" t="s">
        <v>172</v>
      </c>
      <c r="C480" s="15" t="s">
        <v>179</v>
      </c>
      <c r="D480" s="16">
        <v>46230</v>
      </c>
      <c r="E480" s="17">
        <v>3204</v>
      </c>
      <c r="F480" s="18">
        <v>1</v>
      </c>
      <c r="G480" s="19">
        <f>Cereal[[#This Row],[N° BOLSAS]]*Cereal[[#This Row],[KG BOLSA]]</f>
        <v>3204</v>
      </c>
      <c r="H480" s="37">
        <v>40</v>
      </c>
      <c r="I480" s="14">
        <f>ROUNDDOWN(Cereal[[#This Row],[N° BOLSAS]]/Cereal[[#This Row],[CAP. SACOS]],0)</f>
        <v>80</v>
      </c>
      <c r="J480" s="14">
        <f>Cereal[[#This Row],[N° BOLSAS]]-Cereal[[#This Row],[N° SACOS]]*Cereal[[#This Row],[CAP. SACOS]]</f>
        <v>4</v>
      </c>
      <c r="K480" s="16">
        <v>46230</v>
      </c>
      <c r="L480" s="16">
        <v>46230</v>
      </c>
      <c r="M480" s="16">
        <v>46238</v>
      </c>
      <c r="N480" s="16" t="s">
        <v>175</v>
      </c>
    </row>
    <row r="481" spans="1:14" hidden="1" x14ac:dyDescent="0.25">
      <c r="A481" s="14" t="s">
        <v>14</v>
      </c>
      <c r="B481" s="14" t="s">
        <v>180</v>
      </c>
      <c r="C481" s="15" t="s">
        <v>179</v>
      </c>
      <c r="D481" s="16">
        <v>46230</v>
      </c>
      <c r="E481" s="17">
        <v>283</v>
      </c>
      <c r="F481" s="18">
        <v>1</v>
      </c>
      <c r="G481" s="19">
        <f>Cereal[[#This Row],[N° BOLSAS]]*Cereal[[#This Row],[KG BOLSA]]</f>
        <v>283</v>
      </c>
      <c r="H481" s="37">
        <v>40</v>
      </c>
      <c r="I481" s="14">
        <f>ROUNDDOWN(Cereal[[#This Row],[N° BOLSAS]]/Cereal[[#This Row],[CAP. SACOS]],0)</f>
        <v>7</v>
      </c>
      <c r="J481" s="14">
        <f>Cereal[[#This Row],[N° BOLSAS]]-Cereal[[#This Row],[N° SACOS]]*Cereal[[#This Row],[CAP. SACOS]]</f>
        <v>3</v>
      </c>
      <c r="K481" s="16">
        <v>46230</v>
      </c>
      <c r="L481" s="16">
        <v>46230</v>
      </c>
      <c r="M481" s="16">
        <v>46238</v>
      </c>
      <c r="N481" s="16" t="s">
        <v>177</v>
      </c>
    </row>
    <row r="482" spans="1:14" hidden="1" x14ac:dyDescent="0.25">
      <c r="A482" s="14" t="s">
        <v>14</v>
      </c>
      <c r="B482" s="14" t="s">
        <v>181</v>
      </c>
      <c r="C482" s="15" t="s">
        <v>30</v>
      </c>
      <c r="D482" s="16">
        <v>46127</v>
      </c>
      <c r="E482" s="17">
        <v>228</v>
      </c>
      <c r="F482" s="18">
        <v>1</v>
      </c>
      <c r="G482" s="19">
        <f>Cereal[[#This Row],[N° BOLSAS]]*Cereal[[#This Row],[KG BOLSA]]</f>
        <v>228</v>
      </c>
      <c r="H482" s="37">
        <v>40</v>
      </c>
      <c r="I482" s="14">
        <f>ROUNDDOWN(Cereal[[#This Row],[N° BOLSAS]]/Cereal[[#This Row],[CAP. SACOS]],0)</f>
        <v>5</v>
      </c>
      <c r="J482" s="14">
        <f>Cereal[[#This Row],[N° BOLSAS]]-Cereal[[#This Row],[N° SACOS]]*Cereal[[#This Row],[CAP. SACOS]]</f>
        <v>28</v>
      </c>
      <c r="K482" s="16">
        <v>46124</v>
      </c>
      <c r="L482" s="16">
        <v>46124</v>
      </c>
      <c r="M482" s="16">
        <v>46124</v>
      </c>
      <c r="N482" s="16"/>
    </row>
    <row r="483" spans="1:14" hidden="1" x14ac:dyDescent="0.25">
      <c r="A483" s="14" t="s">
        <v>14</v>
      </c>
      <c r="B483" s="14" t="s">
        <v>181</v>
      </c>
      <c r="C483" s="15" t="s">
        <v>178</v>
      </c>
      <c r="D483" s="16">
        <v>46188</v>
      </c>
      <c r="E483" s="17">
        <v>228</v>
      </c>
      <c r="F483" s="18">
        <v>1</v>
      </c>
      <c r="G483" s="19">
        <f>Cereal[[#This Row],[N° BOLSAS]]*Cereal[[#This Row],[KG BOLSA]]</f>
        <v>228</v>
      </c>
      <c r="H483" s="37">
        <v>40</v>
      </c>
      <c r="I483" s="14">
        <f>ROUNDDOWN(Cereal[[#This Row],[N° BOLSAS]]/Cereal[[#This Row],[CAP. SACOS]],0)</f>
        <v>5</v>
      </c>
      <c r="J483" s="14">
        <f>Cereal[[#This Row],[N° BOLSAS]]-Cereal[[#This Row],[N° SACOS]]*Cereal[[#This Row],[CAP. SACOS]]</f>
        <v>28</v>
      </c>
      <c r="K483" s="16">
        <v>46191</v>
      </c>
      <c r="L483" s="16">
        <v>46191</v>
      </c>
      <c r="M483" s="16">
        <v>46191</v>
      </c>
      <c r="N483" s="16" t="s">
        <v>182</v>
      </c>
    </row>
    <row r="484" spans="1:14" hidden="1" x14ac:dyDescent="0.25">
      <c r="A484" s="14" t="s">
        <v>14</v>
      </c>
      <c r="B484" s="14" t="s">
        <v>183</v>
      </c>
      <c r="C484" s="15" t="s">
        <v>30</v>
      </c>
      <c r="D484" s="16">
        <v>46112</v>
      </c>
      <c r="E484" s="17">
        <v>997.5</v>
      </c>
      <c r="F484" s="18">
        <v>1</v>
      </c>
      <c r="G484" s="19">
        <f>Cereal[[#This Row],[N° BOLSAS]]*Cereal[[#This Row],[KG BOLSA]]</f>
        <v>997.5</v>
      </c>
      <c r="H484" s="37">
        <v>40</v>
      </c>
      <c r="I484" s="14">
        <f>ROUNDDOWN(Cereal[[#This Row],[N° BOLSAS]]/Cereal[[#This Row],[CAP. SACOS]],0)</f>
        <v>24</v>
      </c>
      <c r="J484" s="14">
        <f>Cereal[[#This Row],[N° BOLSAS]]-Cereal[[#This Row],[N° SACOS]]*Cereal[[#This Row],[CAP. SACOS]]</f>
        <v>37.5</v>
      </c>
      <c r="K484" s="16">
        <v>46117</v>
      </c>
      <c r="L484" s="16">
        <v>46117</v>
      </c>
      <c r="M484" s="16">
        <v>46117</v>
      </c>
      <c r="N484" s="16" t="s">
        <v>184</v>
      </c>
    </row>
    <row r="485" spans="1:14" ht="22.5" hidden="1" x14ac:dyDescent="0.25">
      <c r="A485" s="14" t="s">
        <v>14</v>
      </c>
      <c r="B485" s="14" t="s">
        <v>183</v>
      </c>
      <c r="C485" s="15" t="s">
        <v>38</v>
      </c>
      <c r="D485" s="16">
        <v>46203</v>
      </c>
      <c r="E485" s="17">
        <v>498.75</v>
      </c>
      <c r="F485" s="18">
        <v>1</v>
      </c>
      <c r="G485" s="19">
        <f>Cereal[[#This Row],[N° BOLSAS]]*Cereal[[#This Row],[KG BOLSA]]</f>
        <v>498.75</v>
      </c>
      <c r="H485" s="37">
        <v>40</v>
      </c>
      <c r="I485" s="14">
        <f>ROUNDDOWN(Cereal[[#This Row],[N° BOLSAS]]/Cereal[[#This Row],[CAP. SACOS]],0)</f>
        <v>12</v>
      </c>
      <c r="J485" s="14">
        <f>Cereal[[#This Row],[N° BOLSAS]]-Cereal[[#This Row],[N° SACOS]]*Cereal[[#This Row],[CAP. SACOS]]</f>
        <v>18.75</v>
      </c>
      <c r="K485" s="16">
        <v>46203</v>
      </c>
      <c r="L485" s="16">
        <v>46203</v>
      </c>
      <c r="M485" s="16">
        <v>46209</v>
      </c>
      <c r="N485" s="16" t="s">
        <v>184</v>
      </c>
    </row>
    <row r="486" spans="1:14" ht="33.75" hidden="1" x14ac:dyDescent="0.25">
      <c r="A486" s="14" t="s">
        <v>14</v>
      </c>
      <c r="B486" s="14" t="s">
        <v>183</v>
      </c>
      <c r="C486" s="15" t="s">
        <v>39</v>
      </c>
      <c r="D486" s="16">
        <v>46295</v>
      </c>
      <c r="E486" s="17">
        <v>498.75</v>
      </c>
      <c r="F486" s="18">
        <v>1</v>
      </c>
      <c r="G486" s="19">
        <f>Cereal[[#This Row],[N° BOLSAS]]*Cereal[[#This Row],[KG BOLSA]]</f>
        <v>498.75</v>
      </c>
      <c r="H486" s="37">
        <v>40</v>
      </c>
      <c r="I486" s="14">
        <f>ROUNDDOWN(Cereal[[#This Row],[N° BOLSAS]]/Cereal[[#This Row],[CAP. SACOS]],0)</f>
        <v>12</v>
      </c>
      <c r="J486" s="14">
        <f>Cereal[[#This Row],[N° BOLSAS]]-Cereal[[#This Row],[N° SACOS]]*Cereal[[#This Row],[CAP. SACOS]]</f>
        <v>18.75</v>
      </c>
      <c r="K486" s="16"/>
      <c r="L486" s="16"/>
      <c r="M486" s="16"/>
      <c r="N486" s="16" t="s">
        <v>184</v>
      </c>
    </row>
    <row r="487" spans="1:14" hidden="1" x14ac:dyDescent="0.25">
      <c r="A487" s="14" t="s">
        <v>113</v>
      </c>
      <c r="B487" s="14" t="s">
        <v>183</v>
      </c>
      <c r="C487" s="15" t="s">
        <v>30</v>
      </c>
      <c r="D487" s="16">
        <v>46287</v>
      </c>
      <c r="E487" s="17">
        <v>280</v>
      </c>
      <c r="F487" s="18">
        <v>1</v>
      </c>
      <c r="G487" s="19">
        <f>Cereal[[#This Row],[N° BOLSAS]]*Cereal[[#This Row],[KG BOLSA]]</f>
        <v>280</v>
      </c>
      <c r="H487" s="37">
        <v>40</v>
      </c>
      <c r="I487" s="14">
        <f>ROUNDDOWN(Cereal[[#This Row],[N° BOLSAS]]/Cereal[[#This Row],[CAP. SACOS]],0)</f>
        <v>7</v>
      </c>
      <c r="J487" s="14">
        <f>Cereal[[#This Row],[N° BOLSAS]]-Cereal[[#This Row],[N° SACOS]]*Cereal[[#This Row],[CAP. SACOS]]</f>
        <v>0</v>
      </c>
      <c r="K487" s="16"/>
      <c r="L487" s="16"/>
      <c r="M487" s="16"/>
      <c r="N487" s="16" t="s">
        <v>184</v>
      </c>
    </row>
    <row r="488" spans="1:14" hidden="1" x14ac:dyDescent="0.25">
      <c r="A488" s="14" t="s">
        <v>14</v>
      </c>
      <c r="B488" s="14" t="s">
        <v>185</v>
      </c>
      <c r="C488" s="15" t="s">
        <v>16</v>
      </c>
      <c r="D488" s="16">
        <v>46006</v>
      </c>
      <c r="E488" s="17">
        <v>4100</v>
      </c>
      <c r="F488" s="18">
        <v>0.93</v>
      </c>
      <c r="G488" s="19">
        <f>Cereal[[#This Row],[N° BOLSAS]]*Cereal[[#This Row],[KG BOLSA]]</f>
        <v>3813</v>
      </c>
      <c r="H488" s="37">
        <v>45</v>
      </c>
      <c r="I488" s="14">
        <f>ROUNDDOWN(Cereal[[#This Row],[N° BOLSAS]]/Cereal[[#This Row],[CAP. SACOS]],0)</f>
        <v>91</v>
      </c>
      <c r="J488" s="14">
        <f>Cereal[[#This Row],[N° BOLSAS]]-Cereal[[#This Row],[N° SACOS]]*Cereal[[#This Row],[CAP. SACOS]]</f>
        <v>5</v>
      </c>
      <c r="K488" s="16">
        <v>46007</v>
      </c>
      <c r="L488" s="16">
        <v>46007</v>
      </c>
      <c r="M488" s="16">
        <v>46009</v>
      </c>
      <c r="N488" s="16" t="s">
        <v>186</v>
      </c>
    </row>
    <row r="489" spans="1:14" hidden="1" x14ac:dyDescent="0.25">
      <c r="A489" s="14" t="s">
        <v>14</v>
      </c>
      <c r="B489" s="14" t="s">
        <v>185</v>
      </c>
      <c r="C489" s="15" t="s">
        <v>18</v>
      </c>
      <c r="D489" s="16">
        <v>46037</v>
      </c>
      <c r="E489" s="17">
        <v>4100</v>
      </c>
      <c r="F489" s="18">
        <v>0.84</v>
      </c>
      <c r="G489" s="19">
        <f>Cereal[[#This Row],[N° BOLSAS]]*Cereal[[#This Row],[KG BOLSA]]</f>
        <v>3444</v>
      </c>
      <c r="H489" s="37">
        <v>45</v>
      </c>
      <c r="I489" s="14">
        <f>ROUNDDOWN(Cereal[[#This Row],[N° BOLSAS]]/Cereal[[#This Row],[CAP. SACOS]],0)</f>
        <v>91</v>
      </c>
      <c r="J489" s="14">
        <f>Cereal[[#This Row],[N° BOLSAS]]-Cereal[[#This Row],[N° SACOS]]*Cereal[[#This Row],[CAP. SACOS]]</f>
        <v>5</v>
      </c>
      <c r="K489" s="16">
        <v>46034</v>
      </c>
      <c r="L489" s="16">
        <v>46034</v>
      </c>
      <c r="M489" s="16">
        <v>46034</v>
      </c>
      <c r="N489" s="16" t="s">
        <v>186</v>
      </c>
    </row>
    <row r="490" spans="1:14" hidden="1" x14ac:dyDescent="0.25">
      <c r="A490" s="14" t="s">
        <v>14</v>
      </c>
      <c r="B490" s="14" t="s">
        <v>185</v>
      </c>
      <c r="C490" s="15" t="s">
        <v>19</v>
      </c>
      <c r="D490" s="16">
        <v>46068</v>
      </c>
      <c r="E490" s="17">
        <v>4100</v>
      </c>
      <c r="F490" s="18">
        <v>0.93</v>
      </c>
      <c r="G490" s="19">
        <f>Cereal[[#This Row],[N° BOLSAS]]*Cereal[[#This Row],[KG BOLSA]]</f>
        <v>3813</v>
      </c>
      <c r="H490" s="37">
        <v>45</v>
      </c>
      <c r="I490" s="14">
        <f>ROUNDDOWN(Cereal[[#This Row],[N° BOLSAS]]/Cereal[[#This Row],[CAP. SACOS]],0)</f>
        <v>91</v>
      </c>
      <c r="J490" s="14">
        <f>Cereal[[#This Row],[N° BOLSAS]]-Cereal[[#This Row],[N° SACOS]]*Cereal[[#This Row],[CAP. SACOS]]</f>
        <v>5</v>
      </c>
      <c r="K490" s="16">
        <v>46070</v>
      </c>
      <c r="L490" s="16">
        <v>46070</v>
      </c>
      <c r="M490" s="16">
        <v>46071</v>
      </c>
      <c r="N490" s="16" t="s">
        <v>186</v>
      </c>
    </row>
    <row r="491" spans="1:14" hidden="1" x14ac:dyDescent="0.25">
      <c r="A491" s="14" t="s">
        <v>14</v>
      </c>
      <c r="B491" s="14" t="s">
        <v>185</v>
      </c>
      <c r="C491" s="15" t="s">
        <v>20</v>
      </c>
      <c r="D491" s="16">
        <v>46096</v>
      </c>
      <c r="E491" s="17">
        <v>4100</v>
      </c>
      <c r="F491" s="18">
        <v>0.9</v>
      </c>
      <c r="G491" s="19">
        <f>Cereal[[#This Row],[N° BOLSAS]]*Cereal[[#This Row],[KG BOLSA]]</f>
        <v>3690</v>
      </c>
      <c r="H491" s="37">
        <v>45</v>
      </c>
      <c r="I491" s="14">
        <f>ROUNDDOWN(Cereal[[#This Row],[N° BOLSAS]]/Cereal[[#This Row],[CAP. SACOS]],0)</f>
        <v>91</v>
      </c>
      <c r="J491" s="14">
        <f>Cereal[[#This Row],[N° BOLSAS]]-Cereal[[#This Row],[N° SACOS]]*Cereal[[#This Row],[CAP. SACOS]]</f>
        <v>5</v>
      </c>
      <c r="K491" s="16">
        <v>46095</v>
      </c>
      <c r="L491" s="16">
        <v>46095</v>
      </c>
      <c r="M491" s="16">
        <v>46096</v>
      </c>
      <c r="N491" s="16" t="s">
        <v>186</v>
      </c>
    </row>
    <row r="492" spans="1:14" hidden="1" x14ac:dyDescent="0.25">
      <c r="A492" s="14" t="s">
        <v>14</v>
      </c>
      <c r="B492" s="14" t="s">
        <v>185</v>
      </c>
      <c r="C492" s="15" t="s">
        <v>21</v>
      </c>
      <c r="D492" s="16">
        <v>46127</v>
      </c>
      <c r="E492" s="17">
        <v>4100</v>
      </c>
      <c r="F492" s="18">
        <v>0.93</v>
      </c>
      <c r="G492" s="19">
        <f>Cereal[[#This Row],[N° BOLSAS]]*Cereal[[#This Row],[KG BOLSA]]</f>
        <v>3813</v>
      </c>
      <c r="H492" s="37">
        <v>45</v>
      </c>
      <c r="I492" s="14">
        <f>ROUNDDOWN(Cereal[[#This Row],[N° BOLSAS]]/Cereal[[#This Row],[CAP. SACOS]],0)</f>
        <v>91</v>
      </c>
      <c r="J492" s="14">
        <f>Cereal[[#This Row],[N° BOLSAS]]-Cereal[[#This Row],[N° SACOS]]*Cereal[[#This Row],[CAP. SACOS]]</f>
        <v>5</v>
      </c>
      <c r="K492" s="16">
        <v>46131</v>
      </c>
      <c r="L492" s="16">
        <v>46131</v>
      </c>
      <c r="M492" s="16">
        <v>46131</v>
      </c>
      <c r="N492" s="16" t="s">
        <v>186</v>
      </c>
    </row>
    <row r="493" spans="1:14" hidden="1" x14ac:dyDescent="0.25">
      <c r="A493" s="14" t="s">
        <v>14</v>
      </c>
      <c r="B493" s="14" t="s">
        <v>185</v>
      </c>
      <c r="C493" s="15" t="s">
        <v>22</v>
      </c>
      <c r="D493" s="16">
        <v>46157</v>
      </c>
      <c r="E493" s="17">
        <v>4100</v>
      </c>
      <c r="F493" s="18">
        <v>0.9</v>
      </c>
      <c r="G493" s="19">
        <f>Cereal[[#This Row],[N° BOLSAS]]*Cereal[[#This Row],[KG BOLSA]]</f>
        <v>3690</v>
      </c>
      <c r="H493" s="37">
        <v>45</v>
      </c>
      <c r="I493" s="14">
        <f>ROUNDDOWN(Cereal[[#This Row],[N° BOLSAS]]/Cereal[[#This Row],[CAP. SACOS]],0)</f>
        <v>91</v>
      </c>
      <c r="J493" s="14">
        <f>Cereal[[#This Row],[N° BOLSAS]]-Cereal[[#This Row],[N° SACOS]]*Cereal[[#This Row],[CAP. SACOS]]</f>
        <v>5</v>
      </c>
      <c r="K493" s="16">
        <v>46155</v>
      </c>
      <c r="L493" s="16">
        <v>46155</v>
      </c>
      <c r="M493" s="16">
        <v>46155</v>
      </c>
      <c r="N493" s="16" t="s">
        <v>186</v>
      </c>
    </row>
    <row r="494" spans="1:14" hidden="1" x14ac:dyDescent="0.25">
      <c r="A494" s="14" t="s">
        <v>14</v>
      </c>
      <c r="B494" s="14" t="s">
        <v>185</v>
      </c>
      <c r="C494" s="15" t="s">
        <v>23</v>
      </c>
      <c r="D494" s="16">
        <v>46188</v>
      </c>
      <c r="E494" s="17">
        <v>4100</v>
      </c>
      <c r="F494" s="18">
        <v>0.93</v>
      </c>
      <c r="G494" s="19">
        <f>Cereal[[#This Row],[N° BOLSAS]]*Cereal[[#This Row],[KG BOLSA]]</f>
        <v>3813</v>
      </c>
      <c r="H494" s="37">
        <v>45</v>
      </c>
      <c r="I494" s="14">
        <f>ROUNDDOWN(Cereal[[#This Row],[N° BOLSAS]]/Cereal[[#This Row],[CAP. SACOS]],0)</f>
        <v>91</v>
      </c>
      <c r="J494" s="14">
        <f>Cereal[[#This Row],[N° BOLSAS]]-Cereal[[#This Row],[N° SACOS]]*Cereal[[#This Row],[CAP. SACOS]]</f>
        <v>5</v>
      </c>
      <c r="K494" s="16">
        <v>46188</v>
      </c>
      <c r="L494" s="16">
        <v>46188</v>
      </c>
      <c r="M494" s="16">
        <v>46197</v>
      </c>
      <c r="N494" s="16" t="s">
        <v>186</v>
      </c>
    </row>
    <row r="495" spans="1:14" hidden="1" x14ac:dyDescent="0.25">
      <c r="A495" s="14" t="s">
        <v>14</v>
      </c>
      <c r="B495" s="14" t="s">
        <v>185</v>
      </c>
      <c r="C495" s="15" t="s">
        <v>187</v>
      </c>
      <c r="D495" s="16">
        <v>46188</v>
      </c>
      <c r="E495" s="17">
        <v>4100</v>
      </c>
      <c r="F495" s="18">
        <v>1.2695819500000001</v>
      </c>
      <c r="G495" s="19">
        <f>Cereal[[#This Row],[N° BOLSAS]]*Cereal[[#This Row],[KG BOLSA]]</f>
        <v>5205.2859950000002</v>
      </c>
      <c r="H495" s="37">
        <v>30</v>
      </c>
      <c r="I495" s="14">
        <f>ROUNDDOWN(Cereal[[#This Row],[N° BOLSAS]]/Cereal[[#This Row],[CAP. SACOS]],0)</f>
        <v>136</v>
      </c>
      <c r="J495" s="14">
        <f>Cereal[[#This Row],[N° BOLSAS]]-Cereal[[#This Row],[N° SACOS]]*Cereal[[#This Row],[CAP. SACOS]]</f>
        <v>20</v>
      </c>
      <c r="K495" s="16">
        <v>46202</v>
      </c>
      <c r="L495" s="16">
        <v>46202</v>
      </c>
      <c r="M495" s="16">
        <v>46202</v>
      </c>
      <c r="N495" s="16" t="s">
        <v>186</v>
      </c>
    </row>
    <row r="496" spans="1:14" hidden="1" x14ac:dyDescent="0.25">
      <c r="A496" s="14" t="s">
        <v>14</v>
      </c>
      <c r="B496" s="14" t="s">
        <v>185</v>
      </c>
      <c r="C496" s="15" t="s">
        <v>24</v>
      </c>
      <c r="D496" s="16">
        <v>46218</v>
      </c>
      <c r="E496" s="17">
        <v>4100</v>
      </c>
      <c r="F496" s="18">
        <v>0.93</v>
      </c>
      <c r="G496" s="19">
        <f>Cereal[[#This Row],[N° BOLSAS]]*Cereal[[#This Row],[KG BOLSA]]</f>
        <v>3813</v>
      </c>
      <c r="H496" s="37">
        <v>45</v>
      </c>
      <c r="I496" s="14">
        <f>ROUNDDOWN(Cereal[[#This Row],[N° BOLSAS]]/Cereal[[#This Row],[CAP. SACOS]],0)</f>
        <v>91</v>
      </c>
      <c r="J496" s="14">
        <f>Cereal[[#This Row],[N° BOLSAS]]-Cereal[[#This Row],[N° SACOS]]*Cereal[[#This Row],[CAP. SACOS]]</f>
        <v>5</v>
      </c>
      <c r="K496" s="16">
        <v>46221</v>
      </c>
      <c r="L496" s="16">
        <v>46221</v>
      </c>
      <c r="M496" s="16">
        <v>46223</v>
      </c>
      <c r="N496" s="16" t="s">
        <v>186</v>
      </c>
    </row>
    <row r="497" spans="1:14" hidden="1" x14ac:dyDescent="0.25">
      <c r="A497" s="14" t="s">
        <v>14</v>
      </c>
      <c r="B497" s="14" t="s">
        <v>185</v>
      </c>
      <c r="C497" s="15" t="s">
        <v>25</v>
      </c>
      <c r="D497" s="16">
        <v>46249</v>
      </c>
      <c r="E497" s="17">
        <v>4100</v>
      </c>
      <c r="F497" s="18">
        <v>0.9</v>
      </c>
      <c r="G497" s="19">
        <f>Cereal[[#This Row],[N° BOLSAS]]*Cereal[[#This Row],[KG BOLSA]]</f>
        <v>3690</v>
      </c>
      <c r="H497" s="37">
        <v>45</v>
      </c>
      <c r="I497" s="14">
        <f>ROUNDDOWN(Cereal[[#This Row],[N° BOLSAS]]/Cereal[[#This Row],[CAP. SACOS]],0)</f>
        <v>91</v>
      </c>
      <c r="J497" s="14">
        <f>Cereal[[#This Row],[N° BOLSAS]]-Cereal[[#This Row],[N° SACOS]]*Cereal[[#This Row],[CAP. SACOS]]</f>
        <v>5</v>
      </c>
      <c r="K497" s="16">
        <v>46247</v>
      </c>
      <c r="L497" s="16">
        <v>46247</v>
      </c>
      <c r="M497" s="16">
        <v>46253</v>
      </c>
      <c r="N497" s="16" t="s">
        <v>186</v>
      </c>
    </row>
    <row r="498" spans="1:14" hidden="1" x14ac:dyDescent="0.25">
      <c r="A498" s="14" t="s">
        <v>14</v>
      </c>
      <c r="B498" s="14" t="s">
        <v>185</v>
      </c>
      <c r="C498" s="15" t="s">
        <v>26</v>
      </c>
      <c r="D498" s="16">
        <v>46280</v>
      </c>
      <c r="E498" s="17">
        <v>4100</v>
      </c>
      <c r="F498" s="18">
        <v>0.93</v>
      </c>
      <c r="G498" s="19">
        <f>Cereal[[#This Row],[N° BOLSAS]]*Cereal[[#This Row],[KG BOLSA]]</f>
        <v>3813</v>
      </c>
      <c r="H498" s="37">
        <v>45</v>
      </c>
      <c r="I498" s="14">
        <f>ROUNDDOWN(Cereal[[#This Row],[N° BOLSAS]]/Cereal[[#This Row],[CAP. SACOS]],0)</f>
        <v>91</v>
      </c>
      <c r="J498" s="14">
        <f>Cereal[[#This Row],[N° BOLSAS]]-Cereal[[#This Row],[N° SACOS]]*Cereal[[#This Row],[CAP. SACOS]]</f>
        <v>5</v>
      </c>
      <c r="K498" s="16">
        <v>46285</v>
      </c>
      <c r="L498" s="16">
        <v>46285</v>
      </c>
      <c r="M498" s="16">
        <v>46285</v>
      </c>
      <c r="N498" s="16" t="s">
        <v>186</v>
      </c>
    </row>
    <row r="499" spans="1:14" hidden="1" x14ac:dyDescent="0.25">
      <c r="A499" s="14" t="s">
        <v>14</v>
      </c>
      <c r="B499" s="14" t="s">
        <v>185</v>
      </c>
      <c r="C499" s="15" t="s">
        <v>27</v>
      </c>
      <c r="D499" s="16">
        <v>46310</v>
      </c>
      <c r="E499" s="17">
        <v>4100</v>
      </c>
      <c r="F499" s="18">
        <v>0.9</v>
      </c>
      <c r="G499" s="19">
        <f>Cereal[[#This Row],[N° BOLSAS]]*Cereal[[#This Row],[KG BOLSA]]</f>
        <v>3690</v>
      </c>
      <c r="H499" s="37">
        <v>45</v>
      </c>
      <c r="I499" s="14">
        <f>ROUNDDOWN(Cereal[[#This Row],[N° BOLSAS]]/Cereal[[#This Row],[CAP. SACOS]],0)</f>
        <v>91</v>
      </c>
      <c r="J499" s="14">
        <f>Cereal[[#This Row],[N° BOLSAS]]-Cereal[[#This Row],[N° SACOS]]*Cereal[[#This Row],[CAP. SACOS]]</f>
        <v>5</v>
      </c>
      <c r="K499" s="16"/>
      <c r="L499" s="16"/>
      <c r="M499" s="16"/>
      <c r="N499" s="16" t="s">
        <v>186</v>
      </c>
    </row>
    <row r="500" spans="1:14" hidden="1" x14ac:dyDescent="0.25">
      <c r="A500" s="14" t="s">
        <v>14</v>
      </c>
      <c r="B500" s="14" t="s">
        <v>185</v>
      </c>
      <c r="C500" s="15" t="s">
        <v>28</v>
      </c>
      <c r="D500" s="16">
        <v>46341</v>
      </c>
      <c r="E500" s="17">
        <v>4100</v>
      </c>
      <c r="F500" s="18">
        <v>0.93</v>
      </c>
      <c r="G500" s="19">
        <f>Cereal[[#This Row],[N° BOLSAS]]*Cereal[[#This Row],[KG BOLSA]]</f>
        <v>3813</v>
      </c>
      <c r="H500" s="37">
        <v>45</v>
      </c>
      <c r="I500" s="14">
        <f>ROUNDDOWN(Cereal[[#This Row],[N° BOLSAS]]/Cereal[[#This Row],[CAP. SACOS]],0)</f>
        <v>91</v>
      </c>
      <c r="J500" s="14">
        <f>Cereal[[#This Row],[N° BOLSAS]]-Cereal[[#This Row],[N° SACOS]]*Cereal[[#This Row],[CAP. SACOS]]</f>
        <v>5</v>
      </c>
      <c r="K500" s="16"/>
      <c r="L500" s="16"/>
      <c r="M500" s="16"/>
      <c r="N500" s="16" t="s">
        <v>186</v>
      </c>
    </row>
    <row r="501" spans="1:14" hidden="1" x14ac:dyDescent="0.25">
      <c r="A501" s="14" t="s">
        <v>14</v>
      </c>
      <c r="B501" s="14" t="s">
        <v>188</v>
      </c>
      <c r="C501" s="15" t="s">
        <v>16</v>
      </c>
      <c r="D501" s="16">
        <v>46048</v>
      </c>
      <c r="E501" s="17">
        <v>589</v>
      </c>
      <c r="F501" s="18">
        <v>1.4295599999999999</v>
      </c>
      <c r="G501" s="19">
        <f>Cereal[[#This Row],[N° BOLSAS]]*Cereal[[#This Row],[KG BOLSA]]</f>
        <v>842.01083999999992</v>
      </c>
      <c r="H501" s="37">
        <v>30</v>
      </c>
      <c r="I501" s="14">
        <f>ROUNDDOWN(Cereal[[#This Row],[N° BOLSAS]]/Cereal[[#This Row],[CAP. SACOS]],0)</f>
        <v>19</v>
      </c>
      <c r="J501" s="14">
        <f>Cereal[[#This Row],[N° BOLSAS]]-Cereal[[#This Row],[N° SACOS]]*Cereal[[#This Row],[CAP. SACOS]]</f>
        <v>19</v>
      </c>
      <c r="K501" s="16">
        <v>46034</v>
      </c>
      <c r="L501" s="16">
        <v>46034</v>
      </c>
      <c r="M501" s="16">
        <v>46041</v>
      </c>
      <c r="N501" s="16" t="s">
        <v>189</v>
      </c>
    </row>
    <row r="502" spans="1:14" hidden="1" x14ac:dyDescent="0.25">
      <c r="A502" s="14" t="s">
        <v>14</v>
      </c>
      <c r="B502" s="14" t="s">
        <v>188</v>
      </c>
      <c r="C502" s="15" t="s">
        <v>18</v>
      </c>
      <c r="D502" s="16">
        <v>46048</v>
      </c>
      <c r="E502" s="17">
        <v>532</v>
      </c>
      <c r="F502" s="18">
        <v>1.4295599999999999</v>
      </c>
      <c r="G502" s="19">
        <f>Cereal[[#This Row],[N° BOLSAS]]*Cereal[[#This Row],[KG BOLSA]]</f>
        <v>760.52591999999993</v>
      </c>
      <c r="H502" s="37">
        <v>30</v>
      </c>
      <c r="I502" s="14">
        <f>ROUNDDOWN(Cereal[[#This Row],[N° BOLSAS]]/Cereal[[#This Row],[CAP. SACOS]],0)</f>
        <v>17</v>
      </c>
      <c r="J502" s="14">
        <f>Cereal[[#This Row],[N° BOLSAS]]-Cereal[[#This Row],[N° SACOS]]*Cereal[[#This Row],[CAP. SACOS]]</f>
        <v>22</v>
      </c>
      <c r="K502" s="16">
        <v>46034</v>
      </c>
      <c r="L502" s="16">
        <v>46034</v>
      </c>
      <c r="M502" s="16">
        <v>46041</v>
      </c>
      <c r="N502" s="16" t="s">
        <v>189</v>
      </c>
    </row>
    <row r="503" spans="1:14" hidden="1" x14ac:dyDescent="0.25">
      <c r="A503" s="14" t="s">
        <v>14</v>
      </c>
      <c r="B503" s="14" t="s">
        <v>188</v>
      </c>
      <c r="C503" s="15" t="s">
        <v>19</v>
      </c>
      <c r="D503" s="16">
        <v>46076</v>
      </c>
      <c r="E503" s="17">
        <v>589</v>
      </c>
      <c r="F503" s="18">
        <v>1.4295599999999999</v>
      </c>
      <c r="G503" s="19">
        <f>Cereal[[#This Row],[N° BOLSAS]]*Cereal[[#This Row],[KG BOLSA]]</f>
        <v>842.01083999999992</v>
      </c>
      <c r="H503" s="37">
        <v>30</v>
      </c>
      <c r="I503" s="14">
        <f>ROUNDDOWN(Cereal[[#This Row],[N° BOLSAS]]/Cereal[[#This Row],[CAP. SACOS]],0)</f>
        <v>19</v>
      </c>
      <c r="J503" s="14">
        <f>Cereal[[#This Row],[N° BOLSAS]]-Cereal[[#This Row],[N° SACOS]]*Cereal[[#This Row],[CAP. SACOS]]</f>
        <v>19</v>
      </c>
      <c r="K503" s="16">
        <v>46072</v>
      </c>
      <c r="L503" s="16">
        <v>46072</v>
      </c>
      <c r="M503" s="16">
        <v>46075</v>
      </c>
      <c r="N503" s="16" t="s">
        <v>189</v>
      </c>
    </row>
    <row r="504" spans="1:14" hidden="1" x14ac:dyDescent="0.25">
      <c r="A504" s="14" t="s">
        <v>14</v>
      </c>
      <c r="B504" s="14" t="s">
        <v>188</v>
      </c>
      <c r="C504" s="15" t="s">
        <v>20</v>
      </c>
      <c r="D504" s="16">
        <v>46076</v>
      </c>
      <c r="E504" s="17">
        <v>570</v>
      </c>
      <c r="F504" s="18">
        <v>1.4295599999999999</v>
      </c>
      <c r="G504" s="19">
        <f>Cereal[[#This Row],[N° BOLSAS]]*Cereal[[#This Row],[KG BOLSA]]</f>
        <v>814.8492</v>
      </c>
      <c r="H504" s="37">
        <v>30</v>
      </c>
      <c r="I504" s="14">
        <f>ROUNDDOWN(Cereal[[#This Row],[N° BOLSAS]]/Cereal[[#This Row],[CAP. SACOS]],0)</f>
        <v>19</v>
      </c>
      <c r="J504" s="14">
        <f>Cereal[[#This Row],[N° BOLSAS]]-Cereal[[#This Row],[N° SACOS]]*Cereal[[#This Row],[CAP. SACOS]]</f>
        <v>0</v>
      </c>
      <c r="K504" s="16">
        <v>46072</v>
      </c>
      <c r="L504" s="16">
        <v>46072</v>
      </c>
      <c r="M504" s="16">
        <v>46075</v>
      </c>
      <c r="N504" s="16" t="s">
        <v>189</v>
      </c>
    </row>
    <row r="505" spans="1:14" hidden="1" x14ac:dyDescent="0.25">
      <c r="A505" s="14" t="s">
        <v>14</v>
      </c>
      <c r="B505" s="14" t="s">
        <v>188</v>
      </c>
      <c r="C505" s="15" t="s">
        <v>21</v>
      </c>
      <c r="D505" s="16">
        <v>46139</v>
      </c>
      <c r="E505" s="17">
        <v>589</v>
      </c>
      <c r="F505" s="18">
        <v>1.4295599999999999</v>
      </c>
      <c r="G505" s="19">
        <f>Cereal[[#This Row],[N° BOLSAS]]*Cereal[[#This Row],[KG BOLSA]]</f>
        <v>842.01083999999992</v>
      </c>
      <c r="H505" s="37">
        <v>30</v>
      </c>
      <c r="I505" s="14">
        <f>ROUNDDOWN(Cereal[[#This Row],[N° BOLSAS]]/Cereal[[#This Row],[CAP. SACOS]],0)</f>
        <v>19</v>
      </c>
      <c r="J505" s="14">
        <f>Cereal[[#This Row],[N° BOLSAS]]-Cereal[[#This Row],[N° SACOS]]*Cereal[[#This Row],[CAP. SACOS]]</f>
        <v>19</v>
      </c>
      <c r="K505" s="16">
        <v>46140</v>
      </c>
      <c r="L505" s="16">
        <v>46140</v>
      </c>
      <c r="M505" s="16">
        <v>46140</v>
      </c>
      <c r="N505" s="16" t="s">
        <v>189</v>
      </c>
    </row>
    <row r="506" spans="1:14" hidden="1" x14ac:dyDescent="0.25">
      <c r="A506" s="14" t="s">
        <v>14</v>
      </c>
      <c r="B506" s="14" t="s">
        <v>188</v>
      </c>
      <c r="C506" s="15" t="s">
        <v>22</v>
      </c>
      <c r="D506" s="16">
        <v>46139</v>
      </c>
      <c r="E506" s="17">
        <v>570</v>
      </c>
      <c r="F506" s="18">
        <v>1.4295599999999999</v>
      </c>
      <c r="G506" s="19">
        <f>Cereal[[#This Row],[N° BOLSAS]]*Cereal[[#This Row],[KG BOLSA]]</f>
        <v>814.8492</v>
      </c>
      <c r="H506" s="37">
        <v>30</v>
      </c>
      <c r="I506" s="14">
        <f>ROUNDDOWN(Cereal[[#This Row],[N° BOLSAS]]/Cereal[[#This Row],[CAP. SACOS]],0)</f>
        <v>19</v>
      </c>
      <c r="J506" s="14">
        <f>Cereal[[#This Row],[N° BOLSAS]]-Cereal[[#This Row],[N° SACOS]]*Cereal[[#This Row],[CAP. SACOS]]</f>
        <v>0</v>
      </c>
      <c r="K506" s="16">
        <v>46140</v>
      </c>
      <c r="L506" s="16">
        <v>46140</v>
      </c>
      <c r="M506" s="16">
        <v>46140</v>
      </c>
      <c r="N506" s="16" t="s">
        <v>189</v>
      </c>
    </row>
    <row r="507" spans="1:14" hidden="1" x14ac:dyDescent="0.25">
      <c r="A507" s="14" t="s">
        <v>14</v>
      </c>
      <c r="B507" s="14" t="s">
        <v>188</v>
      </c>
      <c r="C507" s="15" t="s">
        <v>23</v>
      </c>
      <c r="D507" s="16">
        <v>46195</v>
      </c>
      <c r="E507" s="17">
        <v>589</v>
      </c>
      <c r="F507" s="18">
        <v>1.4295599999999999</v>
      </c>
      <c r="G507" s="19">
        <f>Cereal[[#This Row],[N° BOLSAS]]*Cereal[[#This Row],[KG BOLSA]]</f>
        <v>842.01083999999992</v>
      </c>
      <c r="H507" s="37">
        <v>30</v>
      </c>
      <c r="I507" s="14">
        <f>ROUNDDOWN(Cereal[[#This Row],[N° BOLSAS]]/Cereal[[#This Row],[CAP. SACOS]],0)</f>
        <v>19</v>
      </c>
      <c r="J507" s="14">
        <f>Cereal[[#This Row],[N° BOLSAS]]-Cereal[[#This Row],[N° SACOS]]*Cereal[[#This Row],[CAP. SACOS]]</f>
        <v>19</v>
      </c>
      <c r="K507" s="16">
        <v>46189</v>
      </c>
      <c r="L507" s="16">
        <v>46189</v>
      </c>
      <c r="M507" s="16">
        <v>46191</v>
      </c>
      <c r="N507" s="16" t="s">
        <v>189</v>
      </c>
    </row>
    <row r="508" spans="1:14" hidden="1" x14ac:dyDescent="0.25">
      <c r="A508" s="14" t="s">
        <v>14</v>
      </c>
      <c r="B508" s="14" t="s">
        <v>188</v>
      </c>
      <c r="C508" s="15" t="s">
        <v>24</v>
      </c>
      <c r="D508" s="16">
        <v>46195</v>
      </c>
      <c r="E508" s="17">
        <v>589</v>
      </c>
      <c r="F508" s="18">
        <v>1.4295599999999999</v>
      </c>
      <c r="G508" s="19">
        <f>Cereal[[#This Row],[N° BOLSAS]]*Cereal[[#This Row],[KG BOLSA]]</f>
        <v>842.01083999999992</v>
      </c>
      <c r="H508" s="37">
        <v>30</v>
      </c>
      <c r="I508" s="14">
        <f>ROUNDDOWN(Cereal[[#This Row],[N° BOLSAS]]/Cereal[[#This Row],[CAP. SACOS]],0)</f>
        <v>19</v>
      </c>
      <c r="J508" s="14">
        <f>Cereal[[#This Row],[N° BOLSAS]]-Cereal[[#This Row],[N° SACOS]]*Cereal[[#This Row],[CAP. SACOS]]</f>
        <v>19</v>
      </c>
      <c r="K508" s="16">
        <v>46189</v>
      </c>
      <c r="L508" s="16">
        <v>46189</v>
      </c>
      <c r="M508" s="16">
        <v>46191</v>
      </c>
      <c r="N508" s="16" t="s">
        <v>189</v>
      </c>
    </row>
    <row r="509" spans="1:14" hidden="1" x14ac:dyDescent="0.25">
      <c r="A509" s="14" t="s">
        <v>14</v>
      </c>
      <c r="B509" s="14" t="s">
        <v>188</v>
      </c>
      <c r="C509" s="15" t="s">
        <v>25</v>
      </c>
      <c r="D509" s="16">
        <v>46258</v>
      </c>
      <c r="E509" s="17">
        <v>570</v>
      </c>
      <c r="F509" s="18">
        <v>1.4295599999999999</v>
      </c>
      <c r="G509" s="19">
        <f>Cereal[[#This Row],[N° BOLSAS]]*Cereal[[#This Row],[KG BOLSA]]</f>
        <v>814.8492</v>
      </c>
      <c r="H509" s="37">
        <v>30</v>
      </c>
      <c r="I509" s="14">
        <f>ROUNDDOWN(Cereal[[#This Row],[N° BOLSAS]]/Cereal[[#This Row],[CAP. SACOS]],0)</f>
        <v>19</v>
      </c>
      <c r="J509" s="14">
        <f>Cereal[[#This Row],[N° BOLSAS]]-Cereal[[#This Row],[N° SACOS]]*Cereal[[#This Row],[CAP. SACOS]]</f>
        <v>0</v>
      </c>
      <c r="K509" s="16">
        <v>46247</v>
      </c>
      <c r="L509" s="16">
        <v>46247</v>
      </c>
      <c r="M509" s="16">
        <v>46271</v>
      </c>
      <c r="N509" s="16" t="s">
        <v>189</v>
      </c>
    </row>
    <row r="510" spans="1:14" hidden="1" x14ac:dyDescent="0.25">
      <c r="A510" s="14" t="s">
        <v>14</v>
      </c>
      <c r="B510" s="14" t="s">
        <v>188</v>
      </c>
      <c r="C510" s="15" t="s">
        <v>26</v>
      </c>
      <c r="D510" s="16">
        <v>46258</v>
      </c>
      <c r="E510" s="17">
        <v>589</v>
      </c>
      <c r="F510" s="18">
        <v>1.4295599999999999</v>
      </c>
      <c r="G510" s="19">
        <f>Cereal[[#This Row],[N° BOLSAS]]*Cereal[[#This Row],[KG BOLSA]]</f>
        <v>842.01083999999992</v>
      </c>
      <c r="H510" s="37">
        <v>30</v>
      </c>
      <c r="I510" s="14">
        <f>ROUNDDOWN(Cereal[[#This Row],[N° BOLSAS]]/Cereal[[#This Row],[CAP. SACOS]],0)</f>
        <v>19</v>
      </c>
      <c r="J510" s="14">
        <f>Cereal[[#This Row],[N° BOLSAS]]-Cereal[[#This Row],[N° SACOS]]*Cereal[[#This Row],[CAP. SACOS]]</f>
        <v>19</v>
      </c>
      <c r="K510" s="16">
        <v>46247</v>
      </c>
      <c r="L510" s="16">
        <v>46247</v>
      </c>
      <c r="M510" s="16">
        <v>46271</v>
      </c>
      <c r="N510" s="16" t="s">
        <v>189</v>
      </c>
    </row>
    <row r="511" spans="1:14" hidden="1" x14ac:dyDescent="0.25">
      <c r="A511" s="14" t="s">
        <v>14</v>
      </c>
      <c r="B511" s="14" t="s">
        <v>188</v>
      </c>
      <c r="C511" s="15" t="s">
        <v>30</v>
      </c>
      <c r="D511" s="16">
        <v>46260</v>
      </c>
      <c r="E511" s="17">
        <v>570</v>
      </c>
      <c r="F511" s="18">
        <v>0.92037718999999996</v>
      </c>
      <c r="G511" s="19">
        <f>Cereal[[#This Row],[N° BOLSAS]]*Cereal[[#This Row],[KG BOLSA]]</f>
        <v>524.61499830000002</v>
      </c>
      <c r="H511" s="37">
        <v>40</v>
      </c>
      <c r="I511" s="14">
        <f>ROUNDDOWN(Cereal[[#This Row],[N° BOLSAS]]/Cereal[[#This Row],[CAP. SACOS]],0)</f>
        <v>14</v>
      </c>
      <c r="J511" s="14">
        <f>Cereal[[#This Row],[N° BOLSAS]]-Cereal[[#This Row],[N° SACOS]]*Cereal[[#This Row],[CAP. SACOS]]</f>
        <v>10</v>
      </c>
      <c r="K511" s="16">
        <v>46270</v>
      </c>
      <c r="L511" s="16">
        <v>46270</v>
      </c>
      <c r="M511" s="16">
        <v>46271</v>
      </c>
      <c r="N511" s="16" t="s">
        <v>189</v>
      </c>
    </row>
    <row r="512" spans="1:14" hidden="1" x14ac:dyDescent="0.25">
      <c r="A512" s="14" t="s">
        <v>14</v>
      </c>
      <c r="B512" s="14" t="s">
        <v>188</v>
      </c>
      <c r="C512" s="15" t="s">
        <v>27</v>
      </c>
      <c r="D512" s="16">
        <v>46321</v>
      </c>
      <c r="E512" s="17">
        <v>570</v>
      </c>
      <c r="F512" s="18">
        <v>1.4295599999999999</v>
      </c>
      <c r="G512" s="19">
        <f>Cereal[[#This Row],[N° BOLSAS]]*Cereal[[#This Row],[KG BOLSA]]</f>
        <v>814.8492</v>
      </c>
      <c r="H512" s="37">
        <v>30</v>
      </c>
      <c r="I512" s="14">
        <f>ROUNDDOWN(Cereal[[#This Row],[N° BOLSAS]]/Cereal[[#This Row],[CAP. SACOS]],0)</f>
        <v>19</v>
      </c>
      <c r="J512" s="14">
        <f>Cereal[[#This Row],[N° BOLSAS]]-Cereal[[#This Row],[N° SACOS]]*Cereal[[#This Row],[CAP. SACOS]]</f>
        <v>0</v>
      </c>
      <c r="K512" s="16"/>
      <c r="L512" s="16"/>
      <c r="M512" s="16"/>
      <c r="N512" s="16" t="s">
        <v>189</v>
      </c>
    </row>
    <row r="513" spans="1:14" hidden="1" x14ac:dyDescent="0.25">
      <c r="A513" s="14" t="s">
        <v>14</v>
      </c>
      <c r="B513" s="14" t="s">
        <v>188</v>
      </c>
      <c r="C513" s="15" t="s">
        <v>28</v>
      </c>
      <c r="D513" s="16">
        <v>46321</v>
      </c>
      <c r="E513" s="17">
        <v>589</v>
      </c>
      <c r="F513" s="18">
        <v>1.4295599999999999</v>
      </c>
      <c r="G513" s="19">
        <f>Cereal[[#This Row],[N° BOLSAS]]*Cereal[[#This Row],[KG BOLSA]]</f>
        <v>842.01083999999992</v>
      </c>
      <c r="H513" s="37">
        <v>30</v>
      </c>
      <c r="I513" s="14">
        <f>ROUNDDOWN(Cereal[[#This Row],[N° BOLSAS]]/Cereal[[#This Row],[CAP. SACOS]],0)</f>
        <v>19</v>
      </c>
      <c r="J513" s="14">
        <f>Cereal[[#This Row],[N° BOLSAS]]-Cereal[[#This Row],[N° SACOS]]*Cereal[[#This Row],[CAP. SACOS]]</f>
        <v>19</v>
      </c>
      <c r="K513" s="16"/>
      <c r="L513" s="16"/>
      <c r="M513" s="16"/>
      <c r="N513" s="16" t="s">
        <v>189</v>
      </c>
    </row>
    <row r="514" spans="1:14" hidden="1" x14ac:dyDescent="0.25">
      <c r="A514" s="14" t="s">
        <v>14</v>
      </c>
      <c r="B514" s="14" t="s">
        <v>190</v>
      </c>
      <c r="C514" s="15" t="s">
        <v>30</v>
      </c>
      <c r="D514" s="16">
        <v>46223</v>
      </c>
      <c r="E514" s="17">
        <v>2350</v>
      </c>
      <c r="F514" s="18">
        <v>1.83</v>
      </c>
      <c r="G514" s="19">
        <f>Cereal[[#This Row],[N° BOLSAS]]*Cereal[[#This Row],[KG BOLSA]]</f>
        <v>4300.5</v>
      </c>
      <c r="H514" s="37">
        <v>25</v>
      </c>
      <c r="I514" s="14">
        <f>ROUNDDOWN(Cereal[[#This Row],[N° BOLSAS]]/Cereal[[#This Row],[CAP. SACOS]],0)</f>
        <v>94</v>
      </c>
      <c r="J514" s="14">
        <f>Cereal[[#This Row],[N° BOLSAS]]-Cereal[[#This Row],[N° SACOS]]*Cereal[[#This Row],[CAP. SACOS]]</f>
        <v>0</v>
      </c>
      <c r="K514" s="16">
        <v>46223</v>
      </c>
      <c r="L514" s="16">
        <v>46223</v>
      </c>
      <c r="M514" s="16">
        <v>46223</v>
      </c>
      <c r="N514" s="16" t="s">
        <v>191</v>
      </c>
    </row>
    <row r="515" spans="1:14" hidden="1" x14ac:dyDescent="0.25">
      <c r="A515" s="14" t="s">
        <v>58</v>
      </c>
      <c r="B515" s="14" t="s">
        <v>192</v>
      </c>
      <c r="C515" s="15" t="s">
        <v>16</v>
      </c>
      <c r="D515" s="16">
        <v>46010</v>
      </c>
      <c r="E515" s="17">
        <v>1432</v>
      </c>
      <c r="F515" s="18">
        <v>1</v>
      </c>
      <c r="G515" s="19">
        <f>Cereal[[#This Row],[N° BOLSAS]]*Cereal[[#This Row],[KG BOLSA]]</f>
        <v>1432</v>
      </c>
      <c r="H515" s="37">
        <v>50</v>
      </c>
      <c r="I515" s="14">
        <f>ROUNDDOWN(Cereal[[#This Row],[N° BOLSAS]]/Cereal[[#This Row],[CAP. SACOS]],0)</f>
        <v>28</v>
      </c>
      <c r="J515" s="14">
        <f>Cereal[[#This Row],[N° BOLSAS]]-Cereal[[#This Row],[N° SACOS]]*Cereal[[#This Row],[CAP. SACOS]]</f>
        <v>32</v>
      </c>
      <c r="K515" s="16">
        <v>46002</v>
      </c>
      <c r="L515" s="16">
        <v>46002</v>
      </c>
      <c r="M515" s="16">
        <v>46008</v>
      </c>
      <c r="N515" s="14" t="s">
        <v>85</v>
      </c>
    </row>
    <row r="516" spans="1:14" hidden="1" x14ac:dyDescent="0.25">
      <c r="A516" s="14" t="s">
        <v>58</v>
      </c>
      <c r="B516" s="14" t="s">
        <v>192</v>
      </c>
      <c r="C516" s="15" t="s">
        <v>18</v>
      </c>
      <c r="D516" s="16">
        <v>46042</v>
      </c>
      <c r="E516" s="17">
        <v>1294</v>
      </c>
      <c r="F516" s="18">
        <v>1</v>
      </c>
      <c r="G516" s="19">
        <f>Cereal[[#This Row],[N° BOLSAS]]*Cereal[[#This Row],[KG BOLSA]]</f>
        <v>1294</v>
      </c>
      <c r="H516" s="37">
        <v>50</v>
      </c>
      <c r="I516" s="14">
        <f>ROUNDDOWN(Cereal[[#This Row],[N° BOLSAS]]/Cereal[[#This Row],[CAP. SACOS]],0)</f>
        <v>25</v>
      </c>
      <c r="J516" s="14">
        <f>Cereal[[#This Row],[N° BOLSAS]]-Cereal[[#This Row],[N° SACOS]]*Cereal[[#This Row],[CAP. SACOS]]</f>
        <v>44</v>
      </c>
      <c r="K516" s="16">
        <v>46026</v>
      </c>
      <c r="L516" s="16">
        <v>46026</v>
      </c>
      <c r="M516" s="16">
        <v>46032</v>
      </c>
      <c r="N516" s="14" t="s">
        <v>85</v>
      </c>
    </row>
    <row r="517" spans="1:14" hidden="1" x14ac:dyDescent="0.25">
      <c r="A517" s="14" t="s">
        <v>58</v>
      </c>
      <c r="B517" s="14" t="s">
        <v>192</v>
      </c>
      <c r="C517" s="15" t="s">
        <v>19</v>
      </c>
      <c r="D517" s="16">
        <v>46072</v>
      </c>
      <c r="E517" s="17">
        <v>1432</v>
      </c>
      <c r="F517" s="18">
        <v>1</v>
      </c>
      <c r="G517" s="19">
        <f>Cereal[[#This Row],[N° BOLSAS]]*Cereal[[#This Row],[KG BOLSA]]</f>
        <v>1432</v>
      </c>
      <c r="H517" s="37">
        <v>50</v>
      </c>
      <c r="I517" s="14">
        <f>ROUNDDOWN(Cereal[[#This Row],[N° BOLSAS]]/Cereal[[#This Row],[CAP. SACOS]],0)</f>
        <v>28</v>
      </c>
      <c r="J517" s="14">
        <f>Cereal[[#This Row],[N° BOLSAS]]-Cereal[[#This Row],[N° SACOS]]*Cereal[[#This Row],[CAP. SACOS]]</f>
        <v>32</v>
      </c>
      <c r="K517" s="16">
        <v>46058</v>
      </c>
      <c r="L517" s="16">
        <v>46058</v>
      </c>
      <c r="M517" s="16">
        <v>46063</v>
      </c>
      <c r="N517" s="14" t="s">
        <v>85</v>
      </c>
    </row>
    <row r="518" spans="1:14" hidden="1" x14ac:dyDescent="0.25">
      <c r="A518" s="14" t="s">
        <v>58</v>
      </c>
      <c r="B518" s="14" t="s">
        <v>192</v>
      </c>
      <c r="C518" s="15" t="s">
        <v>20</v>
      </c>
      <c r="D518" s="16">
        <v>46101</v>
      </c>
      <c r="E518" s="17">
        <v>1386</v>
      </c>
      <c r="F518" s="18">
        <v>1</v>
      </c>
      <c r="G518" s="19">
        <f>Cereal[[#This Row],[N° BOLSAS]]*Cereal[[#This Row],[KG BOLSA]]</f>
        <v>1386</v>
      </c>
      <c r="H518" s="37">
        <v>50</v>
      </c>
      <c r="I518" s="14">
        <f>ROUNDDOWN(Cereal[[#This Row],[N° BOLSAS]]/Cereal[[#This Row],[CAP. SACOS]],0)</f>
        <v>27</v>
      </c>
      <c r="J518" s="14">
        <f>Cereal[[#This Row],[N° BOLSAS]]-Cereal[[#This Row],[N° SACOS]]*Cereal[[#This Row],[CAP. SACOS]]</f>
        <v>36</v>
      </c>
      <c r="K518" s="16">
        <v>46086</v>
      </c>
      <c r="L518" s="16">
        <v>46086</v>
      </c>
      <c r="M518" s="16">
        <v>46087</v>
      </c>
      <c r="N518" s="14" t="s">
        <v>85</v>
      </c>
    </row>
    <row r="519" spans="1:14" hidden="1" x14ac:dyDescent="0.25">
      <c r="A519" s="14" t="s">
        <v>58</v>
      </c>
      <c r="B519" s="14" t="s">
        <v>192</v>
      </c>
      <c r="C519" s="15" t="s">
        <v>21</v>
      </c>
      <c r="D519" s="16">
        <v>46132</v>
      </c>
      <c r="E519" s="17">
        <v>1432</v>
      </c>
      <c r="F519" s="18">
        <v>1</v>
      </c>
      <c r="G519" s="19">
        <f>Cereal[[#This Row],[N° BOLSAS]]*Cereal[[#This Row],[KG BOLSA]]</f>
        <v>1432</v>
      </c>
      <c r="H519" s="37">
        <v>50</v>
      </c>
      <c r="I519" s="14">
        <f>ROUNDDOWN(Cereal[[#This Row],[N° BOLSAS]]/Cereal[[#This Row],[CAP. SACOS]],0)</f>
        <v>28</v>
      </c>
      <c r="J519" s="14">
        <f>Cereal[[#This Row],[N° BOLSAS]]-Cereal[[#This Row],[N° SACOS]]*Cereal[[#This Row],[CAP. SACOS]]</f>
        <v>32</v>
      </c>
      <c r="K519" s="16">
        <v>46119</v>
      </c>
      <c r="L519" s="16">
        <v>46119</v>
      </c>
      <c r="M519" s="16">
        <v>46121</v>
      </c>
      <c r="N519" s="14" t="s">
        <v>85</v>
      </c>
    </row>
    <row r="520" spans="1:14" hidden="1" x14ac:dyDescent="0.25">
      <c r="A520" s="14" t="s">
        <v>58</v>
      </c>
      <c r="B520" s="14" t="s">
        <v>192</v>
      </c>
      <c r="C520" s="15" t="s">
        <v>22</v>
      </c>
      <c r="D520" s="16">
        <v>46164</v>
      </c>
      <c r="E520" s="17">
        <v>1386</v>
      </c>
      <c r="F520" s="18">
        <v>1</v>
      </c>
      <c r="G520" s="19">
        <f>Cereal[[#This Row],[N° BOLSAS]]*Cereal[[#This Row],[KG BOLSA]]</f>
        <v>1386</v>
      </c>
      <c r="H520" s="37">
        <v>50</v>
      </c>
      <c r="I520" s="14">
        <f>ROUNDDOWN(Cereal[[#This Row],[N° BOLSAS]]/Cereal[[#This Row],[CAP. SACOS]],0)</f>
        <v>27</v>
      </c>
      <c r="J520" s="14">
        <f>Cereal[[#This Row],[N° BOLSAS]]-Cereal[[#This Row],[N° SACOS]]*Cereal[[#This Row],[CAP. SACOS]]</f>
        <v>36</v>
      </c>
      <c r="K520" s="16">
        <v>46147</v>
      </c>
      <c r="L520" s="16">
        <v>46147</v>
      </c>
      <c r="M520" s="16">
        <v>46147</v>
      </c>
      <c r="N520" s="14" t="s">
        <v>85</v>
      </c>
    </row>
    <row r="521" spans="1:14" hidden="1" x14ac:dyDescent="0.25">
      <c r="A521" s="14" t="s">
        <v>58</v>
      </c>
      <c r="B521" s="14" t="s">
        <v>192</v>
      </c>
      <c r="C521" s="15" t="s">
        <v>23</v>
      </c>
      <c r="D521" s="16">
        <v>46192</v>
      </c>
      <c r="E521" s="17">
        <v>1432</v>
      </c>
      <c r="F521" s="18">
        <v>1</v>
      </c>
      <c r="G521" s="19">
        <f>Cereal[[#This Row],[N° BOLSAS]]*Cereal[[#This Row],[KG BOLSA]]</f>
        <v>1432</v>
      </c>
      <c r="H521" s="37">
        <v>50</v>
      </c>
      <c r="I521" s="14">
        <f>ROUNDDOWN(Cereal[[#This Row],[N° BOLSAS]]/Cereal[[#This Row],[CAP. SACOS]],0)</f>
        <v>28</v>
      </c>
      <c r="J521" s="14">
        <f>Cereal[[#This Row],[N° BOLSAS]]-Cereal[[#This Row],[N° SACOS]]*Cereal[[#This Row],[CAP. SACOS]]</f>
        <v>32</v>
      </c>
      <c r="K521" s="16">
        <v>46168</v>
      </c>
      <c r="L521" s="16">
        <v>46168</v>
      </c>
      <c r="M521" s="16">
        <v>46178</v>
      </c>
      <c r="N521" s="14" t="s">
        <v>85</v>
      </c>
    </row>
    <row r="522" spans="1:14" hidden="1" x14ac:dyDescent="0.25">
      <c r="A522" s="14" t="s">
        <v>58</v>
      </c>
      <c r="B522" s="14" t="s">
        <v>192</v>
      </c>
      <c r="C522" s="15" t="s">
        <v>24</v>
      </c>
      <c r="D522" s="16">
        <v>46224</v>
      </c>
      <c r="E522" s="17">
        <v>1432</v>
      </c>
      <c r="F522" s="18">
        <v>1</v>
      </c>
      <c r="G522" s="19">
        <f>Cereal[[#This Row],[N° BOLSAS]]*Cereal[[#This Row],[KG BOLSA]]</f>
        <v>1432</v>
      </c>
      <c r="H522" s="37">
        <v>50</v>
      </c>
      <c r="I522" s="14">
        <f>ROUNDDOWN(Cereal[[#This Row],[N° BOLSAS]]/Cereal[[#This Row],[CAP. SACOS]],0)</f>
        <v>28</v>
      </c>
      <c r="J522" s="14">
        <f>Cereal[[#This Row],[N° BOLSAS]]-Cereal[[#This Row],[N° SACOS]]*Cereal[[#This Row],[CAP. SACOS]]</f>
        <v>32</v>
      </c>
      <c r="K522" s="16">
        <v>46212</v>
      </c>
      <c r="L522" s="16">
        <v>46212</v>
      </c>
      <c r="M522" s="16">
        <v>46214</v>
      </c>
      <c r="N522" s="14" t="s">
        <v>85</v>
      </c>
    </row>
    <row r="523" spans="1:14" hidden="1" x14ac:dyDescent="0.25">
      <c r="A523" s="14" t="s">
        <v>58</v>
      </c>
      <c r="B523" s="14" t="s">
        <v>192</v>
      </c>
      <c r="C523" s="15" t="s">
        <v>30</v>
      </c>
      <c r="D523" s="16">
        <v>46224</v>
      </c>
      <c r="E523" s="17">
        <v>1044.4000000000001</v>
      </c>
      <c r="F523" s="18">
        <v>1</v>
      </c>
      <c r="G523" s="19">
        <f>Cereal[[#This Row],[N° BOLSAS]]*Cereal[[#This Row],[KG BOLSA]]</f>
        <v>1044.4000000000001</v>
      </c>
      <c r="H523" s="37">
        <v>50</v>
      </c>
      <c r="I523" s="14">
        <f>ROUNDDOWN(Cereal[[#This Row],[N° BOLSAS]]/Cereal[[#This Row],[CAP. SACOS]],0)</f>
        <v>20</v>
      </c>
      <c r="J523" s="14">
        <f>Cereal[[#This Row],[N° BOLSAS]]-Cereal[[#This Row],[N° SACOS]]*Cereal[[#This Row],[CAP. SACOS]]</f>
        <v>44.400000000000091</v>
      </c>
      <c r="K523" s="16">
        <v>46222</v>
      </c>
      <c r="L523" s="16">
        <v>46222</v>
      </c>
      <c r="M523" s="16">
        <v>46222</v>
      </c>
      <c r="N523" s="14" t="s">
        <v>85</v>
      </c>
    </row>
    <row r="524" spans="1:14" hidden="1" x14ac:dyDescent="0.25">
      <c r="A524" s="14" t="s">
        <v>58</v>
      </c>
      <c r="B524" s="14" t="s">
        <v>192</v>
      </c>
      <c r="C524" s="15" t="s">
        <v>25</v>
      </c>
      <c r="D524" s="16">
        <v>46253</v>
      </c>
      <c r="E524" s="17">
        <v>1386</v>
      </c>
      <c r="F524" s="18">
        <v>1</v>
      </c>
      <c r="G524" s="19">
        <f>Cereal[[#This Row],[N° BOLSAS]]*Cereal[[#This Row],[KG BOLSA]]</f>
        <v>1386</v>
      </c>
      <c r="H524" s="37">
        <v>50</v>
      </c>
      <c r="I524" s="14">
        <f>ROUNDDOWN(Cereal[[#This Row],[N° BOLSAS]]/Cereal[[#This Row],[CAP. SACOS]],0)</f>
        <v>27</v>
      </c>
      <c r="J524" s="14">
        <f>Cereal[[#This Row],[N° BOLSAS]]-Cereal[[#This Row],[N° SACOS]]*Cereal[[#This Row],[CAP. SACOS]]</f>
        <v>36</v>
      </c>
      <c r="K524" s="16">
        <v>46234</v>
      </c>
      <c r="L524" s="16">
        <v>46234</v>
      </c>
      <c r="M524" s="16">
        <v>46234</v>
      </c>
      <c r="N524" s="14" t="s">
        <v>85</v>
      </c>
    </row>
    <row r="525" spans="1:14" hidden="1" x14ac:dyDescent="0.25">
      <c r="A525" s="14" t="s">
        <v>58</v>
      </c>
      <c r="B525" s="14" t="s">
        <v>192</v>
      </c>
      <c r="C525" s="15" t="s">
        <v>26</v>
      </c>
      <c r="D525" s="16">
        <v>46284</v>
      </c>
      <c r="E525" s="17">
        <v>1432</v>
      </c>
      <c r="F525" s="18">
        <v>1</v>
      </c>
      <c r="G525" s="19">
        <f>Cereal[[#This Row],[N° BOLSAS]]*Cereal[[#This Row],[KG BOLSA]]</f>
        <v>1432</v>
      </c>
      <c r="H525" s="37">
        <v>50</v>
      </c>
      <c r="I525" s="14">
        <f>ROUNDDOWN(Cereal[[#This Row],[N° BOLSAS]]/Cereal[[#This Row],[CAP. SACOS]],0)</f>
        <v>28</v>
      </c>
      <c r="J525" s="14">
        <f>Cereal[[#This Row],[N° BOLSAS]]-Cereal[[#This Row],[N° SACOS]]*Cereal[[#This Row],[CAP. SACOS]]</f>
        <v>32</v>
      </c>
      <c r="K525" s="16">
        <v>46267</v>
      </c>
      <c r="L525" s="16">
        <v>46267</v>
      </c>
      <c r="M525" s="16">
        <v>46273</v>
      </c>
      <c r="N525" s="14" t="s">
        <v>85</v>
      </c>
    </row>
    <row r="526" spans="1:14" hidden="1" x14ac:dyDescent="0.25">
      <c r="A526" s="14" t="s">
        <v>58</v>
      </c>
      <c r="B526" s="14" t="s">
        <v>192</v>
      </c>
      <c r="C526" s="15" t="s">
        <v>27</v>
      </c>
      <c r="D526" s="16">
        <v>46316</v>
      </c>
      <c r="E526" s="17">
        <v>1386</v>
      </c>
      <c r="F526" s="18">
        <v>1</v>
      </c>
      <c r="G526" s="19">
        <f>Cereal[[#This Row],[N° BOLSAS]]*Cereal[[#This Row],[KG BOLSA]]</f>
        <v>1386</v>
      </c>
      <c r="H526" s="37">
        <v>50</v>
      </c>
      <c r="I526" s="14">
        <f>ROUNDDOWN(Cereal[[#This Row],[N° BOLSAS]]/Cereal[[#This Row],[CAP. SACOS]],0)</f>
        <v>27</v>
      </c>
      <c r="J526" s="14">
        <f>Cereal[[#This Row],[N° BOLSAS]]-Cereal[[#This Row],[N° SACOS]]*Cereal[[#This Row],[CAP. SACOS]]</f>
        <v>36</v>
      </c>
      <c r="K526" s="16"/>
      <c r="L526" s="16"/>
      <c r="M526" s="16"/>
      <c r="N526" s="14" t="s">
        <v>85</v>
      </c>
    </row>
    <row r="527" spans="1:14" hidden="1" x14ac:dyDescent="0.25">
      <c r="A527" s="14" t="s">
        <v>58</v>
      </c>
      <c r="B527" s="14" t="s">
        <v>192</v>
      </c>
      <c r="C527" s="15" t="s">
        <v>28</v>
      </c>
      <c r="D527" s="16">
        <v>46346</v>
      </c>
      <c r="E527" s="17">
        <v>1432</v>
      </c>
      <c r="F527" s="18">
        <v>1</v>
      </c>
      <c r="G527" s="19">
        <f>Cereal[[#This Row],[N° BOLSAS]]*Cereal[[#This Row],[KG BOLSA]]</f>
        <v>1432</v>
      </c>
      <c r="H527" s="37">
        <v>50</v>
      </c>
      <c r="I527" s="14">
        <f>ROUNDDOWN(Cereal[[#This Row],[N° BOLSAS]]/Cereal[[#This Row],[CAP. SACOS]],0)</f>
        <v>28</v>
      </c>
      <c r="J527" s="14">
        <f>Cereal[[#This Row],[N° BOLSAS]]-Cereal[[#This Row],[N° SACOS]]*Cereal[[#This Row],[CAP. SACOS]]</f>
        <v>32</v>
      </c>
      <c r="K527" s="16"/>
      <c r="L527" s="16"/>
      <c r="M527" s="16"/>
      <c r="N527" s="14" t="s">
        <v>85</v>
      </c>
    </row>
    <row r="528" spans="1:14" hidden="1" x14ac:dyDescent="0.25">
      <c r="A528" s="14" t="s">
        <v>193</v>
      </c>
      <c r="B528" s="14" t="s">
        <v>194</v>
      </c>
      <c r="C528" s="88" t="s">
        <v>195</v>
      </c>
      <c r="D528" s="16">
        <v>46013</v>
      </c>
      <c r="E528" s="17">
        <v>6182</v>
      </c>
      <c r="F528" s="18">
        <v>1</v>
      </c>
      <c r="G528" s="19">
        <f>Cereal[[#This Row],[N° BOLSAS]]*Cereal[[#This Row],[KG BOLSA]]</f>
        <v>6182</v>
      </c>
      <c r="H528" s="37">
        <v>30</v>
      </c>
      <c r="I528" s="14">
        <f>ROUNDDOWN(Cereal[[#This Row],[N° BOLSAS]]/Cereal[[#This Row],[CAP. SACOS]],0)</f>
        <v>206</v>
      </c>
      <c r="J528" s="14">
        <f>Cereal[[#This Row],[N° BOLSAS]]-Cereal[[#This Row],[N° SACOS]]*Cereal[[#This Row],[CAP. SACOS]]</f>
        <v>2</v>
      </c>
      <c r="K528" s="16">
        <v>46012</v>
      </c>
      <c r="L528" s="16">
        <v>46012</v>
      </c>
      <c r="M528" s="16">
        <v>46013</v>
      </c>
      <c r="N528" s="16" t="s">
        <v>196</v>
      </c>
    </row>
    <row r="529" spans="1:14" hidden="1" x14ac:dyDescent="0.25">
      <c r="A529" s="14" t="s">
        <v>193</v>
      </c>
      <c r="B529" s="14" t="s">
        <v>194</v>
      </c>
      <c r="C529" s="15" t="s">
        <v>16</v>
      </c>
      <c r="D529" s="16">
        <v>46048</v>
      </c>
      <c r="E529" s="17">
        <v>5584</v>
      </c>
      <c r="F529" s="18">
        <v>1</v>
      </c>
      <c r="G529" s="19">
        <f>Cereal[[#This Row],[N° BOLSAS]]*Cereal[[#This Row],[KG BOLSA]]</f>
        <v>5584</v>
      </c>
      <c r="H529" s="37">
        <v>30</v>
      </c>
      <c r="I529" s="14">
        <f>ROUNDDOWN(Cereal[[#This Row],[N° BOLSAS]]/Cereal[[#This Row],[CAP. SACOS]],0)</f>
        <v>186</v>
      </c>
      <c r="J529" s="14">
        <f>Cereal[[#This Row],[N° BOLSAS]]-Cereal[[#This Row],[N° SACOS]]*Cereal[[#This Row],[CAP. SACOS]]</f>
        <v>4</v>
      </c>
      <c r="K529" s="16">
        <v>46042</v>
      </c>
      <c r="L529" s="16">
        <v>46042</v>
      </c>
      <c r="M529" s="16">
        <v>46048</v>
      </c>
      <c r="N529" s="16" t="s">
        <v>196</v>
      </c>
    </row>
    <row r="530" spans="1:14" hidden="1" x14ac:dyDescent="0.25">
      <c r="A530" s="14" t="s">
        <v>193</v>
      </c>
      <c r="B530" s="14" t="s">
        <v>194</v>
      </c>
      <c r="C530" s="15" t="s">
        <v>18</v>
      </c>
      <c r="D530" s="16">
        <v>46076</v>
      </c>
      <c r="E530" s="17">
        <v>6182</v>
      </c>
      <c r="F530" s="18">
        <v>1</v>
      </c>
      <c r="G530" s="19">
        <f>Cereal[[#This Row],[N° BOLSAS]]*Cereal[[#This Row],[KG BOLSA]]</f>
        <v>6182</v>
      </c>
      <c r="H530" s="37">
        <v>30</v>
      </c>
      <c r="I530" s="14">
        <f>ROUNDDOWN(Cereal[[#This Row],[N° BOLSAS]]/Cereal[[#This Row],[CAP. SACOS]],0)</f>
        <v>206</v>
      </c>
      <c r="J530" s="14">
        <f>Cereal[[#This Row],[N° BOLSAS]]-Cereal[[#This Row],[N° SACOS]]*Cereal[[#This Row],[CAP. SACOS]]</f>
        <v>2</v>
      </c>
      <c r="K530" s="16">
        <v>46073</v>
      </c>
      <c r="L530" s="16">
        <v>46073</v>
      </c>
      <c r="M530" s="16">
        <v>46076</v>
      </c>
      <c r="N530" s="16" t="s">
        <v>196</v>
      </c>
    </row>
    <row r="531" spans="1:14" hidden="1" x14ac:dyDescent="0.25">
      <c r="A531" s="14" t="s">
        <v>14</v>
      </c>
      <c r="B531" s="14" t="s">
        <v>194</v>
      </c>
      <c r="C531" s="15" t="s">
        <v>20</v>
      </c>
      <c r="D531" s="16">
        <v>46105</v>
      </c>
      <c r="E531" s="17">
        <v>5983</v>
      </c>
      <c r="F531" s="18">
        <v>1</v>
      </c>
      <c r="G531" s="19">
        <f>Cereal[[#This Row],[N° BOLSAS]]*Cereal[[#This Row],[KG BOLSA]]</f>
        <v>5983</v>
      </c>
      <c r="H531" s="37">
        <v>30</v>
      </c>
      <c r="I531" s="14">
        <f>ROUNDDOWN(Cereal[[#This Row],[N° BOLSAS]]/Cereal[[#This Row],[CAP. SACOS]],0)</f>
        <v>199</v>
      </c>
      <c r="J531" s="14">
        <f>Cereal[[#This Row],[N° BOLSAS]]-Cereal[[#This Row],[N° SACOS]]*Cereal[[#This Row],[CAP. SACOS]]</f>
        <v>13</v>
      </c>
      <c r="K531" s="16">
        <v>46106</v>
      </c>
      <c r="L531" s="16">
        <v>46106</v>
      </c>
      <c r="M531" s="16">
        <v>46106</v>
      </c>
      <c r="N531" s="42" t="s">
        <v>197</v>
      </c>
    </row>
    <row r="532" spans="1:14" hidden="1" x14ac:dyDescent="0.25">
      <c r="A532" s="14" t="s">
        <v>14</v>
      </c>
      <c r="B532" s="14" t="s">
        <v>194</v>
      </c>
      <c r="C532" s="15" t="s">
        <v>21</v>
      </c>
      <c r="D532" s="16">
        <v>46136</v>
      </c>
      <c r="E532" s="17">
        <v>6182</v>
      </c>
      <c r="F532" s="18">
        <v>1</v>
      </c>
      <c r="G532" s="19">
        <f>Cereal[[#This Row],[N° BOLSAS]]*Cereal[[#This Row],[KG BOLSA]]</f>
        <v>6182</v>
      </c>
      <c r="H532" s="37">
        <v>30</v>
      </c>
      <c r="I532" s="14">
        <f>ROUNDDOWN(Cereal[[#This Row],[N° BOLSAS]]/Cereal[[#This Row],[CAP. SACOS]],0)</f>
        <v>206</v>
      </c>
      <c r="J532" s="14">
        <f>Cereal[[#This Row],[N° BOLSAS]]-Cereal[[#This Row],[N° SACOS]]*Cereal[[#This Row],[CAP. SACOS]]</f>
        <v>2</v>
      </c>
      <c r="K532" s="16">
        <v>46125</v>
      </c>
      <c r="L532" s="16">
        <v>46125</v>
      </c>
      <c r="M532" s="16">
        <v>46136</v>
      </c>
      <c r="N532" s="42" t="s">
        <v>197</v>
      </c>
    </row>
    <row r="533" spans="1:14" hidden="1" x14ac:dyDescent="0.25">
      <c r="A533" s="14" t="s">
        <v>14</v>
      </c>
      <c r="B533" s="14" t="s">
        <v>194</v>
      </c>
      <c r="C533" s="15" t="s">
        <v>22</v>
      </c>
      <c r="D533" s="16">
        <v>46167</v>
      </c>
      <c r="E533" s="17">
        <v>5983</v>
      </c>
      <c r="F533" s="18">
        <v>1</v>
      </c>
      <c r="G533" s="19">
        <f>Cereal[[#This Row],[N° BOLSAS]]*Cereal[[#This Row],[KG BOLSA]]</f>
        <v>5983</v>
      </c>
      <c r="H533" s="37">
        <v>30</v>
      </c>
      <c r="I533" s="14">
        <f>ROUNDDOWN(Cereal[[#This Row],[N° BOLSAS]]/Cereal[[#This Row],[CAP. SACOS]],0)</f>
        <v>199</v>
      </c>
      <c r="J533" s="14">
        <f>Cereal[[#This Row],[N° BOLSAS]]-Cereal[[#This Row],[N° SACOS]]*Cereal[[#This Row],[CAP. SACOS]]</f>
        <v>13</v>
      </c>
      <c r="K533" s="16">
        <v>46164</v>
      </c>
      <c r="L533" s="16">
        <v>46164</v>
      </c>
      <c r="M533" s="16">
        <v>46167</v>
      </c>
      <c r="N533" s="42" t="s">
        <v>197</v>
      </c>
    </row>
    <row r="534" spans="1:14" hidden="1" x14ac:dyDescent="0.25">
      <c r="A534" s="14" t="s">
        <v>14</v>
      </c>
      <c r="B534" s="14" t="s">
        <v>194</v>
      </c>
      <c r="C534" s="15" t="s">
        <v>23</v>
      </c>
      <c r="D534" s="16">
        <v>46197</v>
      </c>
      <c r="E534" s="17">
        <v>6182</v>
      </c>
      <c r="F534" s="18">
        <v>1</v>
      </c>
      <c r="G534" s="19">
        <f>Cereal[[#This Row],[N° BOLSAS]]*Cereal[[#This Row],[KG BOLSA]]</f>
        <v>6182</v>
      </c>
      <c r="H534" s="37">
        <v>30</v>
      </c>
      <c r="I534" s="14">
        <f>ROUNDDOWN(Cereal[[#This Row],[N° BOLSAS]]/Cereal[[#This Row],[CAP. SACOS]],0)</f>
        <v>206</v>
      </c>
      <c r="J534" s="14">
        <f>Cereal[[#This Row],[N° BOLSAS]]-Cereal[[#This Row],[N° SACOS]]*Cereal[[#This Row],[CAP. SACOS]]</f>
        <v>2</v>
      </c>
      <c r="K534" s="16">
        <v>46197</v>
      </c>
      <c r="L534" s="16">
        <v>46197</v>
      </c>
      <c r="M534" s="16">
        <v>46197</v>
      </c>
      <c r="N534" s="42" t="s">
        <v>197</v>
      </c>
    </row>
    <row r="535" spans="1:14" hidden="1" x14ac:dyDescent="0.25">
      <c r="A535" s="14" t="s">
        <v>14</v>
      </c>
      <c r="B535" s="14" t="s">
        <v>194</v>
      </c>
      <c r="C535" s="15" t="s">
        <v>24</v>
      </c>
      <c r="D535" s="16">
        <v>46224</v>
      </c>
      <c r="E535" s="17">
        <v>6182</v>
      </c>
      <c r="F535" s="18">
        <v>1</v>
      </c>
      <c r="G535" s="19">
        <f>Cereal[[#This Row],[N° BOLSAS]]*Cereal[[#This Row],[KG BOLSA]]</f>
        <v>6182</v>
      </c>
      <c r="H535" s="37">
        <v>30</v>
      </c>
      <c r="I535" s="14">
        <f>ROUNDDOWN(Cereal[[#This Row],[N° BOLSAS]]/Cereal[[#This Row],[CAP. SACOS]],0)</f>
        <v>206</v>
      </c>
      <c r="J535" s="14">
        <f>Cereal[[#This Row],[N° BOLSAS]]-Cereal[[#This Row],[N° SACOS]]*Cereal[[#This Row],[CAP. SACOS]]</f>
        <v>2</v>
      </c>
      <c r="K535" s="16">
        <v>46223</v>
      </c>
      <c r="L535" s="16">
        <v>46223</v>
      </c>
      <c r="M535" s="16">
        <v>46224</v>
      </c>
      <c r="N535" s="42" t="s">
        <v>197</v>
      </c>
    </row>
    <row r="536" spans="1:14" hidden="1" x14ac:dyDescent="0.25">
      <c r="A536" s="14" t="s">
        <v>14</v>
      </c>
      <c r="B536" s="14" t="s">
        <v>194</v>
      </c>
      <c r="C536" s="15" t="s">
        <v>25</v>
      </c>
      <c r="D536" s="16">
        <v>46258</v>
      </c>
      <c r="E536" s="17">
        <v>5983</v>
      </c>
      <c r="F536" s="18">
        <v>1</v>
      </c>
      <c r="G536" s="19">
        <f>Cereal[[#This Row],[N° BOLSAS]]*Cereal[[#This Row],[KG BOLSA]]</f>
        <v>5983</v>
      </c>
      <c r="H536" s="37">
        <v>30</v>
      </c>
      <c r="I536" s="14">
        <f>ROUNDDOWN(Cereal[[#This Row],[N° BOLSAS]]/Cereal[[#This Row],[CAP. SACOS]],0)</f>
        <v>199</v>
      </c>
      <c r="J536" s="14">
        <f>Cereal[[#This Row],[N° BOLSAS]]-Cereal[[#This Row],[N° SACOS]]*Cereal[[#This Row],[CAP. SACOS]]</f>
        <v>13</v>
      </c>
      <c r="K536" s="16">
        <v>46239</v>
      </c>
      <c r="L536" s="16">
        <v>46239</v>
      </c>
      <c r="M536" s="16">
        <v>46258</v>
      </c>
      <c r="N536" s="42" t="s">
        <v>197</v>
      </c>
    </row>
    <row r="537" spans="1:14" hidden="1" x14ac:dyDescent="0.25">
      <c r="A537" s="14" t="s">
        <v>14</v>
      </c>
      <c r="B537" s="14" t="s">
        <v>194</v>
      </c>
      <c r="C537" s="15" t="s">
        <v>26</v>
      </c>
      <c r="D537" s="16">
        <v>46290</v>
      </c>
      <c r="E537" s="17">
        <v>6182</v>
      </c>
      <c r="F537" s="18">
        <v>1</v>
      </c>
      <c r="G537" s="19">
        <f>Cereal[[#This Row],[N° BOLSAS]]*Cereal[[#This Row],[KG BOLSA]]</f>
        <v>6182</v>
      </c>
      <c r="H537" s="37">
        <v>30</v>
      </c>
      <c r="I537" s="14">
        <f>ROUNDDOWN(Cereal[[#This Row],[N° BOLSAS]]/Cereal[[#This Row],[CAP. SACOS]],0)</f>
        <v>206</v>
      </c>
      <c r="J537" s="14">
        <f>Cereal[[#This Row],[N° BOLSAS]]-Cereal[[#This Row],[N° SACOS]]*Cereal[[#This Row],[CAP. SACOS]]</f>
        <v>2</v>
      </c>
      <c r="K537" s="16">
        <v>46290</v>
      </c>
      <c r="L537" s="16">
        <v>46290</v>
      </c>
      <c r="M537" s="16">
        <v>46290</v>
      </c>
      <c r="N537" s="42" t="s">
        <v>197</v>
      </c>
    </row>
    <row r="538" spans="1:14" hidden="1" x14ac:dyDescent="0.25">
      <c r="A538" s="14" t="s">
        <v>14</v>
      </c>
      <c r="B538" s="14" t="s">
        <v>194</v>
      </c>
      <c r="C538" s="15" t="s">
        <v>27</v>
      </c>
      <c r="D538" s="16">
        <v>46321</v>
      </c>
      <c r="E538" s="17">
        <v>5983</v>
      </c>
      <c r="F538" s="18">
        <v>1</v>
      </c>
      <c r="G538" s="19">
        <f>Cereal[[#This Row],[N° BOLSAS]]*Cereal[[#This Row],[KG BOLSA]]</f>
        <v>5983</v>
      </c>
      <c r="H538" s="37">
        <v>30</v>
      </c>
      <c r="I538" s="14">
        <f>ROUNDDOWN(Cereal[[#This Row],[N° BOLSAS]]/Cereal[[#This Row],[CAP. SACOS]],0)</f>
        <v>199</v>
      </c>
      <c r="J538" s="14">
        <f>Cereal[[#This Row],[N° BOLSAS]]-Cereal[[#This Row],[N° SACOS]]*Cereal[[#This Row],[CAP. SACOS]]</f>
        <v>13</v>
      </c>
      <c r="K538" s="16"/>
      <c r="L538" s="16"/>
      <c r="M538" s="16"/>
      <c r="N538" s="42" t="s">
        <v>197</v>
      </c>
    </row>
    <row r="539" spans="1:14" hidden="1" x14ac:dyDescent="0.25">
      <c r="A539" s="14" t="s">
        <v>14</v>
      </c>
      <c r="B539" s="14" t="s">
        <v>194</v>
      </c>
      <c r="C539" s="15" t="s">
        <v>28</v>
      </c>
      <c r="D539" s="16">
        <v>46350</v>
      </c>
      <c r="E539" s="17">
        <v>6182</v>
      </c>
      <c r="F539" s="18">
        <v>1</v>
      </c>
      <c r="G539" s="19">
        <f>Cereal[[#This Row],[N° BOLSAS]]*Cereal[[#This Row],[KG BOLSA]]</f>
        <v>6182</v>
      </c>
      <c r="H539" s="37">
        <v>30</v>
      </c>
      <c r="I539" s="14">
        <f>ROUNDDOWN(Cereal[[#This Row],[N° BOLSAS]]/Cereal[[#This Row],[CAP. SACOS]],0)</f>
        <v>206</v>
      </c>
      <c r="J539" s="14">
        <f>Cereal[[#This Row],[N° BOLSAS]]-Cereal[[#This Row],[N° SACOS]]*Cereal[[#This Row],[CAP. SACOS]]</f>
        <v>2</v>
      </c>
      <c r="K539" s="16"/>
      <c r="L539" s="16"/>
      <c r="M539" s="16"/>
      <c r="N539" s="42" t="s">
        <v>197</v>
      </c>
    </row>
    <row r="540" spans="1:14" hidden="1" x14ac:dyDescent="0.25">
      <c r="A540" s="14" t="s">
        <v>198</v>
      </c>
      <c r="B540" s="14" t="s">
        <v>199</v>
      </c>
      <c r="C540" s="15" t="s">
        <v>30</v>
      </c>
      <c r="D540" s="16">
        <v>46063</v>
      </c>
      <c r="E540" s="17">
        <v>990</v>
      </c>
      <c r="F540" s="18">
        <v>0.78203999999999996</v>
      </c>
      <c r="G540" s="19">
        <f>Cereal[[#This Row],[N° BOLSAS]]*Cereal[[#This Row],[KG BOLSA]]</f>
        <v>774.21960000000001</v>
      </c>
      <c r="H540" s="37">
        <v>50</v>
      </c>
      <c r="I540" s="14">
        <f>ROUNDDOWN(Cereal[[#This Row],[N° BOLSAS]]/Cereal[[#This Row],[CAP. SACOS]],0)</f>
        <v>19</v>
      </c>
      <c r="J540" s="14">
        <f>Cereal[[#This Row],[N° BOLSAS]]-Cereal[[#This Row],[N° SACOS]]*Cereal[[#This Row],[CAP. SACOS]]</f>
        <v>40</v>
      </c>
      <c r="K540" s="16">
        <v>46058</v>
      </c>
      <c r="L540" s="16">
        <v>46058</v>
      </c>
      <c r="M540" s="16">
        <v>46058</v>
      </c>
      <c r="N540" s="16" t="s">
        <v>200</v>
      </c>
    </row>
    <row r="541" spans="1:14" hidden="1" x14ac:dyDescent="0.25">
      <c r="A541" s="14" t="s">
        <v>14</v>
      </c>
      <c r="B541" s="14" t="s">
        <v>199</v>
      </c>
      <c r="C541" s="15" t="s">
        <v>37</v>
      </c>
      <c r="D541" s="16">
        <v>46096</v>
      </c>
      <c r="E541" s="17">
        <v>990</v>
      </c>
      <c r="F541" s="18">
        <v>0.78203999999999996</v>
      </c>
      <c r="G541" s="19">
        <f>Cereal[[#This Row],[N° BOLSAS]]*Cereal[[#This Row],[KG BOLSA]]</f>
        <v>774.21960000000001</v>
      </c>
      <c r="H541" s="37">
        <v>50</v>
      </c>
      <c r="I541" s="14">
        <f>ROUNDDOWN(Cereal[[#This Row],[N° BOLSAS]]/Cereal[[#This Row],[CAP. SACOS]],0)</f>
        <v>19</v>
      </c>
      <c r="J541" s="14">
        <f>Cereal[[#This Row],[N° BOLSAS]]-Cereal[[#This Row],[N° SACOS]]*Cereal[[#This Row],[CAP. SACOS]]</f>
        <v>40</v>
      </c>
      <c r="K541" s="16">
        <v>46091</v>
      </c>
      <c r="L541" s="16">
        <v>46091</v>
      </c>
      <c r="M541" s="16">
        <v>46091</v>
      </c>
      <c r="N541" s="16" t="s">
        <v>200</v>
      </c>
    </row>
    <row r="542" spans="1:14" ht="22.5" hidden="1" x14ac:dyDescent="0.25">
      <c r="A542" s="14" t="s">
        <v>14</v>
      </c>
      <c r="B542" s="14" t="s">
        <v>199</v>
      </c>
      <c r="C542" s="15" t="s">
        <v>38</v>
      </c>
      <c r="D542" s="16">
        <v>46188</v>
      </c>
      <c r="E542" s="17">
        <v>990</v>
      </c>
      <c r="F542" s="18">
        <v>0.78203999999999996</v>
      </c>
      <c r="G542" s="19">
        <f>Cereal[[#This Row],[N° BOLSAS]]*Cereal[[#This Row],[KG BOLSA]]</f>
        <v>774.21960000000001</v>
      </c>
      <c r="H542" s="37">
        <v>50</v>
      </c>
      <c r="I542" s="14">
        <f>ROUNDDOWN(Cereal[[#This Row],[N° BOLSAS]]/Cereal[[#This Row],[CAP. SACOS]],0)</f>
        <v>19</v>
      </c>
      <c r="J542" s="14">
        <f>Cereal[[#This Row],[N° BOLSAS]]-Cereal[[#This Row],[N° SACOS]]*Cereal[[#This Row],[CAP. SACOS]]</f>
        <v>40</v>
      </c>
      <c r="K542" s="16">
        <v>46205</v>
      </c>
      <c r="L542" s="16">
        <v>46205</v>
      </c>
      <c r="M542" s="16">
        <v>46205</v>
      </c>
      <c r="N542" s="16" t="s">
        <v>200</v>
      </c>
    </row>
    <row r="543" spans="1:14" ht="33.75" hidden="1" x14ac:dyDescent="0.25">
      <c r="A543" s="14" t="s">
        <v>14</v>
      </c>
      <c r="B543" s="14" t="s">
        <v>199</v>
      </c>
      <c r="C543" s="15" t="s">
        <v>39</v>
      </c>
      <c r="D543" s="16">
        <v>46280</v>
      </c>
      <c r="E543" s="17">
        <v>1000</v>
      </c>
      <c r="F543" s="18">
        <v>0.78203999999999996</v>
      </c>
      <c r="G543" s="19">
        <f>Cereal[[#This Row],[N° BOLSAS]]*Cereal[[#This Row],[KG BOLSA]]</f>
        <v>782.04</v>
      </c>
      <c r="H543" s="37">
        <v>50</v>
      </c>
      <c r="I543" s="14">
        <f>ROUNDDOWN(Cereal[[#This Row],[N° BOLSAS]]/Cereal[[#This Row],[CAP. SACOS]],0)</f>
        <v>20</v>
      </c>
      <c r="J543" s="14">
        <f>Cereal[[#This Row],[N° BOLSAS]]-Cereal[[#This Row],[N° SACOS]]*Cereal[[#This Row],[CAP. SACOS]]</f>
        <v>0</v>
      </c>
      <c r="K543" s="16">
        <v>46275</v>
      </c>
      <c r="L543" s="16">
        <v>46275</v>
      </c>
      <c r="M543" s="16">
        <v>46275</v>
      </c>
      <c r="N543" s="16" t="s">
        <v>200</v>
      </c>
    </row>
    <row r="544" spans="1:14" hidden="1" x14ac:dyDescent="0.25">
      <c r="A544" s="14" t="s">
        <v>14</v>
      </c>
      <c r="B544" s="14" t="s">
        <v>201</v>
      </c>
      <c r="C544" s="15" t="s">
        <v>16</v>
      </c>
      <c r="D544" s="16">
        <v>46022</v>
      </c>
      <c r="E544" s="17">
        <v>565</v>
      </c>
      <c r="F544" s="18">
        <v>1.50702</v>
      </c>
      <c r="G544" s="19">
        <f>Cereal[[#This Row],[N° BOLSAS]]*Cereal[[#This Row],[KG BOLSA]]</f>
        <v>851.46630000000005</v>
      </c>
      <c r="H544" s="37">
        <v>28</v>
      </c>
      <c r="I544" s="14">
        <f>ROUNDDOWN(Cereal[[#This Row],[N° BOLSAS]]/Cereal[[#This Row],[CAP. SACOS]],0)</f>
        <v>20</v>
      </c>
      <c r="J544" s="14">
        <f>Cereal[[#This Row],[N° BOLSAS]]-Cereal[[#This Row],[N° SACOS]]*Cereal[[#This Row],[CAP. SACOS]]</f>
        <v>5</v>
      </c>
      <c r="K544" s="16">
        <v>45997</v>
      </c>
      <c r="L544" s="16">
        <v>45997</v>
      </c>
      <c r="M544" s="16">
        <v>46009</v>
      </c>
      <c r="N544" s="16" t="s">
        <v>202</v>
      </c>
    </row>
    <row r="545" spans="1:14" hidden="1" x14ac:dyDescent="0.25">
      <c r="A545" s="14" t="s">
        <v>14</v>
      </c>
      <c r="B545" s="14" t="s">
        <v>201</v>
      </c>
      <c r="C545" s="15" t="s">
        <v>18</v>
      </c>
      <c r="D545" s="16">
        <v>46049</v>
      </c>
      <c r="E545" s="17">
        <v>565</v>
      </c>
      <c r="F545" s="18">
        <v>1.50702</v>
      </c>
      <c r="G545" s="19">
        <f>Cereal[[#This Row],[N° BOLSAS]]*Cereal[[#This Row],[KG BOLSA]]</f>
        <v>851.46630000000005</v>
      </c>
      <c r="H545" s="37">
        <v>28</v>
      </c>
      <c r="I545" s="14">
        <f>ROUNDDOWN(Cereal[[#This Row],[N° BOLSAS]]/Cereal[[#This Row],[CAP. SACOS]],0)</f>
        <v>20</v>
      </c>
      <c r="J545" s="14">
        <f>Cereal[[#This Row],[N° BOLSAS]]-Cereal[[#This Row],[N° SACOS]]*Cereal[[#This Row],[CAP. SACOS]]</f>
        <v>5</v>
      </c>
      <c r="K545" s="16">
        <v>46032</v>
      </c>
      <c r="L545" s="16">
        <v>46032</v>
      </c>
      <c r="M545" s="16">
        <v>46034</v>
      </c>
      <c r="N545" s="16" t="s">
        <v>202</v>
      </c>
    </row>
    <row r="546" spans="1:14" hidden="1" x14ac:dyDescent="0.25">
      <c r="A546" s="14" t="s">
        <v>14</v>
      </c>
      <c r="B546" s="14" t="s">
        <v>201</v>
      </c>
      <c r="C546" s="15" t="s">
        <v>19</v>
      </c>
      <c r="D546" s="16">
        <v>46077</v>
      </c>
      <c r="E546" s="17">
        <v>565</v>
      </c>
      <c r="F546" s="18">
        <v>1.50702</v>
      </c>
      <c r="G546" s="19">
        <f>Cereal[[#This Row],[N° BOLSAS]]*Cereal[[#This Row],[KG BOLSA]]</f>
        <v>851.46630000000005</v>
      </c>
      <c r="H546" s="37">
        <v>28</v>
      </c>
      <c r="I546" s="14">
        <f>ROUNDDOWN(Cereal[[#This Row],[N° BOLSAS]]/Cereal[[#This Row],[CAP. SACOS]],0)</f>
        <v>20</v>
      </c>
      <c r="J546" s="14">
        <f>Cereal[[#This Row],[N° BOLSAS]]-Cereal[[#This Row],[N° SACOS]]*Cereal[[#This Row],[CAP. SACOS]]</f>
        <v>5</v>
      </c>
      <c r="K546" s="16">
        <v>46068</v>
      </c>
      <c r="L546" s="16">
        <v>46068</v>
      </c>
      <c r="M546" s="16">
        <v>46068</v>
      </c>
      <c r="N546" s="16" t="s">
        <v>202</v>
      </c>
    </row>
    <row r="547" spans="1:14" hidden="1" x14ac:dyDescent="0.25">
      <c r="A547" s="14" t="s">
        <v>14</v>
      </c>
      <c r="B547" s="14" t="s">
        <v>201</v>
      </c>
      <c r="C547" s="15" t="s">
        <v>20</v>
      </c>
      <c r="D547" s="16">
        <v>46105</v>
      </c>
      <c r="E547" s="17">
        <v>565</v>
      </c>
      <c r="F547" s="18">
        <v>1.50702</v>
      </c>
      <c r="G547" s="19">
        <f>Cereal[[#This Row],[N° BOLSAS]]*Cereal[[#This Row],[KG BOLSA]]</f>
        <v>851.46630000000005</v>
      </c>
      <c r="H547" s="37">
        <v>28</v>
      </c>
      <c r="I547" s="14">
        <f>ROUNDDOWN(Cereal[[#This Row],[N° BOLSAS]]/Cereal[[#This Row],[CAP. SACOS]],0)</f>
        <v>20</v>
      </c>
      <c r="J547" s="14">
        <f>Cereal[[#This Row],[N° BOLSAS]]-Cereal[[#This Row],[N° SACOS]]*Cereal[[#This Row],[CAP. SACOS]]</f>
        <v>5</v>
      </c>
      <c r="K547" s="16">
        <v>46094</v>
      </c>
      <c r="L547" s="16">
        <v>46094</v>
      </c>
      <c r="M547" s="16">
        <v>46096</v>
      </c>
      <c r="N547" s="16" t="s">
        <v>202</v>
      </c>
    </row>
    <row r="548" spans="1:14" hidden="1" x14ac:dyDescent="0.25">
      <c r="A548" s="14" t="s">
        <v>14</v>
      </c>
      <c r="B548" s="14" t="s">
        <v>201</v>
      </c>
      <c r="C548" s="15" t="s">
        <v>21</v>
      </c>
      <c r="D548" s="16">
        <v>46140</v>
      </c>
      <c r="E548" s="17">
        <v>565</v>
      </c>
      <c r="F548" s="18">
        <v>1.50702</v>
      </c>
      <c r="G548" s="19">
        <f>Cereal[[#This Row],[N° BOLSAS]]*Cereal[[#This Row],[KG BOLSA]]</f>
        <v>851.46630000000005</v>
      </c>
      <c r="H548" s="37">
        <v>28</v>
      </c>
      <c r="I548" s="14">
        <f>ROUNDDOWN(Cereal[[#This Row],[N° BOLSAS]]/Cereal[[#This Row],[CAP. SACOS]],0)</f>
        <v>20</v>
      </c>
      <c r="J548" s="14">
        <f>Cereal[[#This Row],[N° BOLSAS]]-Cereal[[#This Row],[N° SACOS]]*Cereal[[#This Row],[CAP. SACOS]]</f>
        <v>5</v>
      </c>
      <c r="K548" s="16">
        <v>46136</v>
      </c>
      <c r="L548" s="16">
        <v>46136</v>
      </c>
      <c r="M548" s="16">
        <v>46140</v>
      </c>
      <c r="N548" s="16" t="s">
        <v>202</v>
      </c>
    </row>
    <row r="549" spans="1:14" hidden="1" x14ac:dyDescent="0.25">
      <c r="A549" s="14" t="s">
        <v>14</v>
      </c>
      <c r="B549" s="14" t="s">
        <v>201</v>
      </c>
      <c r="C549" s="15" t="s">
        <v>22</v>
      </c>
      <c r="D549" s="16">
        <v>46168</v>
      </c>
      <c r="E549" s="17">
        <v>565</v>
      </c>
      <c r="F549" s="18">
        <v>1.50702</v>
      </c>
      <c r="G549" s="19">
        <f>Cereal[[#This Row],[N° BOLSAS]]*Cereal[[#This Row],[KG BOLSA]]</f>
        <v>851.46630000000005</v>
      </c>
      <c r="H549" s="37">
        <v>28</v>
      </c>
      <c r="I549" s="14">
        <f>ROUNDDOWN(Cereal[[#This Row],[N° BOLSAS]]/Cereal[[#This Row],[CAP. SACOS]],0)</f>
        <v>20</v>
      </c>
      <c r="J549" s="14">
        <f>Cereal[[#This Row],[N° BOLSAS]]-Cereal[[#This Row],[N° SACOS]]*Cereal[[#This Row],[CAP. SACOS]]</f>
        <v>5</v>
      </c>
      <c r="K549" s="16">
        <v>46155</v>
      </c>
      <c r="L549" s="16">
        <v>46155</v>
      </c>
      <c r="M549" s="16">
        <v>46155</v>
      </c>
      <c r="N549" s="16" t="s">
        <v>202</v>
      </c>
    </row>
    <row r="550" spans="1:14" hidden="1" x14ac:dyDescent="0.25">
      <c r="A550" s="14" t="s">
        <v>14</v>
      </c>
      <c r="B550" s="14" t="s">
        <v>201</v>
      </c>
      <c r="C550" s="15" t="s">
        <v>23</v>
      </c>
      <c r="D550" s="16">
        <v>46196</v>
      </c>
      <c r="E550" s="17">
        <v>565</v>
      </c>
      <c r="F550" s="18">
        <v>1.50702</v>
      </c>
      <c r="G550" s="19">
        <f>Cereal[[#This Row],[N° BOLSAS]]*Cereal[[#This Row],[KG BOLSA]]</f>
        <v>851.46630000000005</v>
      </c>
      <c r="H550" s="37">
        <v>28</v>
      </c>
      <c r="I550" s="14">
        <f>ROUNDDOWN(Cereal[[#This Row],[N° BOLSAS]]/Cereal[[#This Row],[CAP. SACOS]],0)</f>
        <v>20</v>
      </c>
      <c r="J550" s="14">
        <f>Cereal[[#This Row],[N° BOLSAS]]-Cereal[[#This Row],[N° SACOS]]*Cereal[[#This Row],[CAP. SACOS]]</f>
        <v>5</v>
      </c>
      <c r="K550" s="16">
        <v>46179</v>
      </c>
      <c r="L550" s="16">
        <v>46179</v>
      </c>
      <c r="M550" s="16">
        <v>46179</v>
      </c>
      <c r="N550" s="16" t="s">
        <v>202</v>
      </c>
    </row>
    <row r="551" spans="1:14" hidden="1" x14ac:dyDescent="0.25">
      <c r="A551" s="14" t="s">
        <v>14</v>
      </c>
      <c r="B551" s="14" t="s">
        <v>201</v>
      </c>
      <c r="C551" s="15" t="s">
        <v>30</v>
      </c>
      <c r="D551" s="16">
        <v>46224</v>
      </c>
      <c r="E551" s="17">
        <v>553.70000000000005</v>
      </c>
      <c r="F551" s="18">
        <v>1</v>
      </c>
      <c r="G551" s="19">
        <f>Cereal[[#This Row],[N° BOLSAS]]*Cereal[[#This Row],[KG BOLSA]]</f>
        <v>553.70000000000005</v>
      </c>
      <c r="H551" s="37">
        <v>40</v>
      </c>
      <c r="I551" s="14">
        <f>ROUNDDOWN(Cereal[[#This Row],[N° BOLSAS]]/Cereal[[#This Row],[CAP. SACOS]],0)</f>
        <v>13</v>
      </c>
      <c r="J551" s="14">
        <f>Cereal[[#This Row],[N° BOLSAS]]-Cereal[[#This Row],[N° SACOS]]*Cereal[[#This Row],[CAP. SACOS]]</f>
        <v>33.700000000000045</v>
      </c>
      <c r="K551" s="16">
        <v>46223</v>
      </c>
      <c r="L551" s="16">
        <v>46223</v>
      </c>
      <c r="M551" s="16">
        <v>46223</v>
      </c>
      <c r="N551" s="16" t="s">
        <v>202</v>
      </c>
    </row>
    <row r="552" spans="1:14" hidden="1" x14ac:dyDescent="0.25">
      <c r="A552" s="14" t="s">
        <v>14</v>
      </c>
      <c r="B552" s="14" t="s">
        <v>201</v>
      </c>
      <c r="C552" s="15" t="s">
        <v>24</v>
      </c>
      <c r="D552" s="16">
        <v>46224</v>
      </c>
      <c r="E552" s="17">
        <v>565</v>
      </c>
      <c r="F552" s="18">
        <v>1.50702</v>
      </c>
      <c r="G552" s="19">
        <f>Cereal[[#This Row],[N° BOLSAS]]*Cereal[[#This Row],[KG BOLSA]]</f>
        <v>851.46630000000005</v>
      </c>
      <c r="H552" s="37">
        <v>28</v>
      </c>
      <c r="I552" s="14">
        <f>ROUNDDOWN(Cereal[[#This Row],[N° BOLSAS]]/Cereal[[#This Row],[CAP. SACOS]],0)</f>
        <v>20</v>
      </c>
      <c r="J552" s="14">
        <f>Cereal[[#This Row],[N° BOLSAS]]-Cereal[[#This Row],[N° SACOS]]*Cereal[[#This Row],[CAP. SACOS]]</f>
        <v>5</v>
      </c>
      <c r="K552" s="16">
        <v>46223</v>
      </c>
      <c r="L552" s="16">
        <v>46223</v>
      </c>
      <c r="M552" s="16">
        <v>46223</v>
      </c>
      <c r="N552" s="16" t="s">
        <v>202</v>
      </c>
    </row>
    <row r="553" spans="1:14" hidden="1" x14ac:dyDescent="0.25">
      <c r="A553" s="14" t="s">
        <v>14</v>
      </c>
      <c r="B553" s="14" t="s">
        <v>201</v>
      </c>
      <c r="C553" s="15" t="s">
        <v>25</v>
      </c>
      <c r="D553" s="16">
        <v>46259</v>
      </c>
      <c r="E553" s="17">
        <v>565</v>
      </c>
      <c r="F553" s="18">
        <v>1.50702</v>
      </c>
      <c r="G553" s="19">
        <f>Cereal[[#This Row],[N° BOLSAS]]*Cereal[[#This Row],[KG BOLSA]]</f>
        <v>851.46630000000005</v>
      </c>
      <c r="H553" s="37">
        <v>28</v>
      </c>
      <c r="I553" s="14">
        <f>ROUNDDOWN(Cereal[[#This Row],[N° BOLSAS]]/Cereal[[#This Row],[CAP. SACOS]],0)</f>
        <v>20</v>
      </c>
      <c r="J553" s="14">
        <f>Cereal[[#This Row],[N° BOLSAS]]-Cereal[[#This Row],[N° SACOS]]*Cereal[[#This Row],[CAP. SACOS]]</f>
        <v>5</v>
      </c>
      <c r="K553" s="16">
        <v>46251</v>
      </c>
      <c r="L553" s="16">
        <v>46251</v>
      </c>
      <c r="M553" s="16">
        <v>46251</v>
      </c>
      <c r="N553" s="16" t="s">
        <v>202</v>
      </c>
    </row>
    <row r="554" spans="1:14" hidden="1" x14ac:dyDescent="0.25">
      <c r="A554" s="14" t="s">
        <v>14</v>
      </c>
      <c r="B554" s="14" t="s">
        <v>201</v>
      </c>
      <c r="C554" s="15" t="s">
        <v>26</v>
      </c>
      <c r="D554" s="16">
        <v>46287</v>
      </c>
      <c r="E554" s="17">
        <v>565</v>
      </c>
      <c r="F554" s="18">
        <v>1.50702</v>
      </c>
      <c r="G554" s="19">
        <f>Cereal[[#This Row],[N° BOLSAS]]*Cereal[[#This Row],[KG BOLSA]]</f>
        <v>851.46630000000005</v>
      </c>
      <c r="H554" s="37">
        <v>28</v>
      </c>
      <c r="I554" s="14">
        <f>ROUNDDOWN(Cereal[[#This Row],[N° BOLSAS]]/Cereal[[#This Row],[CAP. SACOS]],0)</f>
        <v>20</v>
      </c>
      <c r="J554" s="14">
        <f>Cereal[[#This Row],[N° BOLSAS]]-Cereal[[#This Row],[N° SACOS]]*Cereal[[#This Row],[CAP. SACOS]]</f>
        <v>5</v>
      </c>
      <c r="K554" s="16">
        <v>46285</v>
      </c>
      <c r="L554" s="16">
        <v>46285</v>
      </c>
      <c r="M554" s="16">
        <v>46285</v>
      </c>
      <c r="N554" s="16" t="s">
        <v>202</v>
      </c>
    </row>
    <row r="555" spans="1:14" hidden="1" x14ac:dyDescent="0.25">
      <c r="A555" s="14" t="s">
        <v>14</v>
      </c>
      <c r="B555" s="14" t="s">
        <v>201</v>
      </c>
      <c r="C555" s="15" t="s">
        <v>27</v>
      </c>
      <c r="D555" s="16">
        <v>46322</v>
      </c>
      <c r="E555" s="17">
        <v>565</v>
      </c>
      <c r="F555" s="18">
        <v>1.50702</v>
      </c>
      <c r="G555" s="19">
        <f>Cereal[[#This Row],[N° BOLSAS]]*Cereal[[#This Row],[KG BOLSA]]</f>
        <v>851.46630000000005</v>
      </c>
      <c r="H555" s="37">
        <v>28</v>
      </c>
      <c r="I555" s="14">
        <f>ROUNDDOWN(Cereal[[#This Row],[N° BOLSAS]]/Cereal[[#This Row],[CAP. SACOS]],0)</f>
        <v>20</v>
      </c>
      <c r="J555" s="14">
        <f>Cereal[[#This Row],[N° BOLSAS]]-Cereal[[#This Row],[N° SACOS]]*Cereal[[#This Row],[CAP. SACOS]]</f>
        <v>5</v>
      </c>
      <c r="K555" s="16"/>
      <c r="L555" s="16"/>
      <c r="M555" s="16"/>
      <c r="N555" s="16" t="s">
        <v>202</v>
      </c>
    </row>
    <row r="556" spans="1:14" hidden="1" x14ac:dyDescent="0.25">
      <c r="A556" s="14" t="s">
        <v>14</v>
      </c>
      <c r="B556" s="14" t="s">
        <v>201</v>
      </c>
      <c r="C556" s="15" t="s">
        <v>28</v>
      </c>
      <c r="D556" s="16">
        <v>46350</v>
      </c>
      <c r="E556" s="17">
        <v>565</v>
      </c>
      <c r="F556" s="18">
        <v>1.50702</v>
      </c>
      <c r="G556" s="19">
        <f>Cereal[[#This Row],[N° BOLSAS]]*Cereal[[#This Row],[KG BOLSA]]</f>
        <v>851.46630000000005</v>
      </c>
      <c r="H556" s="37">
        <v>28</v>
      </c>
      <c r="I556" s="14">
        <f>ROUNDDOWN(Cereal[[#This Row],[N° BOLSAS]]/Cereal[[#This Row],[CAP. SACOS]],0)</f>
        <v>20</v>
      </c>
      <c r="J556" s="14">
        <f>Cereal[[#This Row],[N° BOLSAS]]-Cereal[[#This Row],[N° SACOS]]*Cereal[[#This Row],[CAP. SACOS]]</f>
        <v>5</v>
      </c>
      <c r="K556" s="16"/>
      <c r="L556" s="16"/>
      <c r="M556" s="16"/>
      <c r="N556" s="16" t="s">
        <v>202</v>
      </c>
    </row>
    <row r="557" spans="1:14" hidden="1" x14ac:dyDescent="0.25">
      <c r="A557" s="14" t="s">
        <v>58</v>
      </c>
      <c r="B557" s="14" t="s">
        <v>203</v>
      </c>
      <c r="C557" s="15" t="s">
        <v>16</v>
      </c>
      <c r="D557" s="16">
        <v>46037</v>
      </c>
      <c r="E557" s="17">
        <v>1321.23</v>
      </c>
      <c r="F557" s="18">
        <v>0.73</v>
      </c>
      <c r="G557" s="19">
        <f>Cereal[[#This Row],[N° BOLSAS]]*Cereal[[#This Row],[KG BOLSA]]</f>
        <v>964.49789999999996</v>
      </c>
      <c r="H557" s="37">
        <v>60</v>
      </c>
      <c r="I557" s="14">
        <f>ROUNDDOWN(Cereal[[#This Row],[N° BOLSAS]]/Cereal[[#This Row],[CAP. SACOS]],0)</f>
        <v>22</v>
      </c>
      <c r="J557" s="14">
        <f>Cereal[[#This Row],[N° BOLSAS]]-Cereal[[#This Row],[N° SACOS]]*Cereal[[#This Row],[CAP. SACOS]]</f>
        <v>1.2300000000000182</v>
      </c>
      <c r="K557" s="16">
        <v>46031</v>
      </c>
      <c r="L557" s="16">
        <v>46031</v>
      </c>
      <c r="M557" s="16">
        <v>46033</v>
      </c>
      <c r="N557" s="16" t="s">
        <v>204</v>
      </c>
    </row>
    <row r="558" spans="1:14" hidden="1" x14ac:dyDescent="0.25">
      <c r="A558" s="14" t="s">
        <v>58</v>
      </c>
      <c r="B558" s="14" t="s">
        <v>203</v>
      </c>
      <c r="C558" s="15" t="s">
        <v>18</v>
      </c>
      <c r="D558" s="16">
        <v>46037</v>
      </c>
      <c r="E558" s="17">
        <v>1321.23</v>
      </c>
      <c r="F558" s="18">
        <v>0.73</v>
      </c>
      <c r="G558" s="19">
        <f>Cereal[[#This Row],[N° BOLSAS]]*Cereal[[#This Row],[KG BOLSA]]</f>
        <v>964.49789999999996</v>
      </c>
      <c r="H558" s="37">
        <v>60</v>
      </c>
      <c r="I558" s="14">
        <f>ROUNDDOWN(Cereal[[#This Row],[N° BOLSAS]]/Cereal[[#This Row],[CAP. SACOS]],0)</f>
        <v>22</v>
      </c>
      <c r="J558" s="14">
        <f>Cereal[[#This Row],[N° BOLSAS]]-Cereal[[#This Row],[N° SACOS]]*Cereal[[#This Row],[CAP. SACOS]]</f>
        <v>1.2300000000000182</v>
      </c>
      <c r="K558" s="16">
        <v>46031</v>
      </c>
      <c r="L558" s="16">
        <v>46031</v>
      </c>
      <c r="M558" s="16">
        <v>46033</v>
      </c>
      <c r="N558" s="16" t="s">
        <v>204</v>
      </c>
    </row>
    <row r="559" spans="1:14" hidden="1" x14ac:dyDescent="0.25">
      <c r="A559" s="14" t="s">
        <v>58</v>
      </c>
      <c r="B559" s="14" t="s">
        <v>203</v>
      </c>
      <c r="C559" s="15" t="s">
        <v>19</v>
      </c>
      <c r="D559" s="16">
        <v>46068</v>
      </c>
      <c r="E559" s="17">
        <v>919</v>
      </c>
      <c r="F559" s="18">
        <v>1.0495000000000001</v>
      </c>
      <c r="G559" s="19">
        <f>Cereal[[#This Row],[N° BOLSAS]]*Cereal[[#This Row],[KG BOLSA]]</f>
        <v>964.49050000000011</v>
      </c>
      <c r="H559" s="37">
        <v>40</v>
      </c>
      <c r="I559" s="14">
        <f>ROUNDDOWN(Cereal[[#This Row],[N° BOLSAS]]/Cereal[[#This Row],[CAP. SACOS]],0)</f>
        <v>22</v>
      </c>
      <c r="J559" s="14">
        <f>Cereal[[#This Row],[N° BOLSAS]]-Cereal[[#This Row],[N° SACOS]]*Cereal[[#This Row],[CAP. SACOS]]</f>
        <v>39</v>
      </c>
      <c r="K559" s="16">
        <v>46063</v>
      </c>
      <c r="L559" s="16">
        <v>46063</v>
      </c>
      <c r="M559" s="16">
        <v>46065</v>
      </c>
      <c r="N559" s="16" t="s">
        <v>204</v>
      </c>
    </row>
    <row r="560" spans="1:14" hidden="1" x14ac:dyDescent="0.25">
      <c r="A560" s="14" t="s">
        <v>58</v>
      </c>
      <c r="B560" s="14" t="s">
        <v>203</v>
      </c>
      <c r="C560" s="15" t="s">
        <v>20</v>
      </c>
      <c r="D560" s="16">
        <v>46068</v>
      </c>
      <c r="E560" s="17">
        <v>919</v>
      </c>
      <c r="F560" s="18">
        <v>1.0495000000000001</v>
      </c>
      <c r="G560" s="19">
        <f>Cereal[[#This Row],[N° BOLSAS]]*Cereal[[#This Row],[KG BOLSA]]</f>
        <v>964.49050000000011</v>
      </c>
      <c r="H560" s="37">
        <v>40</v>
      </c>
      <c r="I560" s="14">
        <f>ROUNDDOWN(Cereal[[#This Row],[N° BOLSAS]]/Cereal[[#This Row],[CAP. SACOS]],0)</f>
        <v>22</v>
      </c>
      <c r="J560" s="14">
        <f>Cereal[[#This Row],[N° BOLSAS]]-Cereal[[#This Row],[N° SACOS]]*Cereal[[#This Row],[CAP. SACOS]]</f>
        <v>39</v>
      </c>
      <c r="K560" s="16">
        <v>46063</v>
      </c>
      <c r="L560" s="16">
        <v>46063</v>
      </c>
      <c r="M560" s="16">
        <v>46065</v>
      </c>
      <c r="N560" s="16" t="s">
        <v>204</v>
      </c>
    </row>
    <row r="561" spans="1:14" hidden="1" x14ac:dyDescent="0.25">
      <c r="A561" s="14" t="s">
        <v>58</v>
      </c>
      <c r="B561" s="14" t="s">
        <v>203</v>
      </c>
      <c r="C561" s="15" t="s">
        <v>21</v>
      </c>
      <c r="D561" s="16">
        <v>46127</v>
      </c>
      <c r="E561" s="17">
        <v>919</v>
      </c>
      <c r="F561" s="18">
        <v>1.0495000000000001</v>
      </c>
      <c r="G561" s="19">
        <f>Cereal[[#This Row],[N° BOLSAS]]*Cereal[[#This Row],[KG BOLSA]]</f>
        <v>964.49050000000011</v>
      </c>
      <c r="H561" s="37">
        <v>40</v>
      </c>
      <c r="I561" s="14">
        <f>ROUNDDOWN(Cereal[[#This Row],[N° BOLSAS]]/Cereal[[#This Row],[CAP. SACOS]],0)</f>
        <v>22</v>
      </c>
      <c r="J561" s="14">
        <f>Cereal[[#This Row],[N° BOLSAS]]-Cereal[[#This Row],[N° SACOS]]*Cereal[[#This Row],[CAP. SACOS]]</f>
        <v>39</v>
      </c>
      <c r="K561" s="16">
        <v>46138</v>
      </c>
      <c r="L561" s="16">
        <v>46138</v>
      </c>
      <c r="M561" s="16">
        <v>46138</v>
      </c>
      <c r="N561" s="16" t="s">
        <v>204</v>
      </c>
    </row>
    <row r="562" spans="1:14" hidden="1" x14ac:dyDescent="0.25">
      <c r="A562" s="14" t="s">
        <v>58</v>
      </c>
      <c r="B562" s="14" t="s">
        <v>203</v>
      </c>
      <c r="C562" s="15" t="s">
        <v>22</v>
      </c>
      <c r="D562" s="16">
        <v>46127</v>
      </c>
      <c r="E562" s="17">
        <v>919</v>
      </c>
      <c r="F562" s="18">
        <v>1.0495000000000001</v>
      </c>
      <c r="G562" s="19">
        <f>Cereal[[#This Row],[N° BOLSAS]]*Cereal[[#This Row],[KG BOLSA]]</f>
        <v>964.49050000000011</v>
      </c>
      <c r="H562" s="37">
        <v>40</v>
      </c>
      <c r="I562" s="14">
        <f>ROUNDDOWN(Cereal[[#This Row],[N° BOLSAS]]/Cereal[[#This Row],[CAP. SACOS]],0)</f>
        <v>22</v>
      </c>
      <c r="J562" s="14">
        <f>Cereal[[#This Row],[N° BOLSAS]]-Cereal[[#This Row],[N° SACOS]]*Cereal[[#This Row],[CAP. SACOS]]</f>
        <v>39</v>
      </c>
      <c r="K562" s="16">
        <v>46138</v>
      </c>
      <c r="L562" s="16">
        <v>46138</v>
      </c>
      <c r="M562" s="16">
        <v>46138</v>
      </c>
      <c r="N562" s="16" t="s">
        <v>204</v>
      </c>
    </row>
    <row r="563" spans="1:14" hidden="1" x14ac:dyDescent="0.25">
      <c r="A563" s="14" t="s">
        <v>58</v>
      </c>
      <c r="B563" s="14" t="s">
        <v>203</v>
      </c>
      <c r="C563" s="15" t="s">
        <v>23</v>
      </c>
      <c r="D563" s="16">
        <v>46188</v>
      </c>
      <c r="E563" s="17">
        <v>919</v>
      </c>
      <c r="F563" s="18">
        <v>1.0495000000000001</v>
      </c>
      <c r="G563" s="19">
        <f>Cereal[[#This Row],[N° BOLSAS]]*Cereal[[#This Row],[KG BOLSA]]</f>
        <v>964.49050000000011</v>
      </c>
      <c r="H563" s="37">
        <v>40</v>
      </c>
      <c r="I563" s="14">
        <f>ROUNDDOWN(Cereal[[#This Row],[N° BOLSAS]]/Cereal[[#This Row],[CAP. SACOS]],0)</f>
        <v>22</v>
      </c>
      <c r="J563" s="14">
        <f>Cereal[[#This Row],[N° BOLSAS]]-Cereal[[#This Row],[N° SACOS]]*Cereal[[#This Row],[CAP. SACOS]]</f>
        <v>39</v>
      </c>
      <c r="K563" s="16">
        <v>46194</v>
      </c>
      <c r="L563" s="16">
        <v>46194</v>
      </c>
      <c r="M563" s="16">
        <v>46194</v>
      </c>
      <c r="N563" s="16" t="s">
        <v>204</v>
      </c>
    </row>
    <row r="564" spans="1:14" hidden="1" x14ac:dyDescent="0.25">
      <c r="A564" s="14" t="s">
        <v>58</v>
      </c>
      <c r="B564" s="14" t="s">
        <v>203</v>
      </c>
      <c r="C564" s="15" t="s">
        <v>24</v>
      </c>
      <c r="D564" s="16">
        <v>46188</v>
      </c>
      <c r="E564" s="17">
        <v>919</v>
      </c>
      <c r="F564" s="18">
        <v>1.0495000000000001</v>
      </c>
      <c r="G564" s="19">
        <f>Cereal[[#This Row],[N° BOLSAS]]*Cereal[[#This Row],[KG BOLSA]]</f>
        <v>964.49050000000011</v>
      </c>
      <c r="H564" s="37">
        <v>40</v>
      </c>
      <c r="I564" s="14">
        <f>ROUNDDOWN(Cereal[[#This Row],[N° BOLSAS]]/Cereal[[#This Row],[CAP. SACOS]],0)</f>
        <v>22</v>
      </c>
      <c r="J564" s="14">
        <f>Cereal[[#This Row],[N° BOLSAS]]-Cereal[[#This Row],[N° SACOS]]*Cereal[[#This Row],[CAP. SACOS]]</f>
        <v>39</v>
      </c>
      <c r="K564" s="16">
        <v>46194</v>
      </c>
      <c r="L564" s="16">
        <v>46194</v>
      </c>
      <c r="M564" s="16">
        <v>46194</v>
      </c>
      <c r="N564" s="16" t="s">
        <v>204</v>
      </c>
    </row>
    <row r="565" spans="1:14" hidden="1" x14ac:dyDescent="0.25">
      <c r="A565" s="14" t="s">
        <v>58</v>
      </c>
      <c r="B565" s="14" t="s">
        <v>203</v>
      </c>
      <c r="C565" s="15" t="s">
        <v>30</v>
      </c>
      <c r="D565" s="16">
        <v>46208</v>
      </c>
      <c r="E565" s="17">
        <v>919</v>
      </c>
      <c r="F565" s="18">
        <v>1.5760000000000001</v>
      </c>
      <c r="G565" s="19">
        <f>Cereal[[#This Row],[N° BOLSAS]]*Cereal[[#This Row],[KG BOLSA]]</f>
        <v>1448.3440000000001</v>
      </c>
      <c r="H565" s="37">
        <v>30</v>
      </c>
      <c r="I565" s="14">
        <f>ROUNDDOWN(Cereal[[#This Row],[N° BOLSAS]]/Cereal[[#This Row],[CAP. SACOS]],0)</f>
        <v>30</v>
      </c>
      <c r="J565" s="14">
        <f>Cereal[[#This Row],[N° BOLSAS]]-Cereal[[#This Row],[N° SACOS]]*Cereal[[#This Row],[CAP. SACOS]]</f>
        <v>19</v>
      </c>
      <c r="K565" s="16">
        <v>46211</v>
      </c>
      <c r="L565" s="16">
        <v>46211</v>
      </c>
      <c r="M565" s="16">
        <v>46211</v>
      </c>
      <c r="N565" s="16" t="s">
        <v>204</v>
      </c>
    </row>
    <row r="566" spans="1:14" hidden="1" x14ac:dyDescent="0.25">
      <c r="A566" s="14" t="s">
        <v>58</v>
      </c>
      <c r="B566" s="14" t="s">
        <v>203</v>
      </c>
      <c r="C566" s="15" t="s">
        <v>25</v>
      </c>
      <c r="D566" s="16">
        <v>46249</v>
      </c>
      <c r="E566" s="17">
        <v>919</v>
      </c>
      <c r="F566" s="18">
        <v>1.0495000000000001</v>
      </c>
      <c r="G566" s="19">
        <f>Cereal[[#This Row],[N° BOLSAS]]*Cereal[[#This Row],[KG BOLSA]]</f>
        <v>964.49050000000011</v>
      </c>
      <c r="H566" s="37">
        <v>40</v>
      </c>
      <c r="I566" s="14">
        <f>ROUNDDOWN(Cereal[[#This Row],[N° BOLSAS]]/Cereal[[#This Row],[CAP. SACOS]],0)</f>
        <v>22</v>
      </c>
      <c r="J566" s="14">
        <f>Cereal[[#This Row],[N° BOLSAS]]-Cereal[[#This Row],[N° SACOS]]*Cereal[[#This Row],[CAP. SACOS]]</f>
        <v>39</v>
      </c>
      <c r="K566" s="16">
        <v>46242</v>
      </c>
      <c r="L566" s="16">
        <v>46242</v>
      </c>
      <c r="M566" s="16">
        <v>46254</v>
      </c>
      <c r="N566" s="16" t="s">
        <v>204</v>
      </c>
    </row>
    <row r="567" spans="1:14" hidden="1" x14ac:dyDescent="0.25">
      <c r="A567" s="14" t="s">
        <v>58</v>
      </c>
      <c r="B567" s="14" t="s">
        <v>203</v>
      </c>
      <c r="C567" s="15" t="s">
        <v>26</v>
      </c>
      <c r="D567" s="16">
        <v>46249</v>
      </c>
      <c r="E567" s="17">
        <v>919</v>
      </c>
      <c r="F567" s="18">
        <v>1.0495000000000001</v>
      </c>
      <c r="G567" s="19">
        <f>Cereal[[#This Row],[N° BOLSAS]]*Cereal[[#This Row],[KG BOLSA]]</f>
        <v>964.49050000000011</v>
      </c>
      <c r="H567" s="37">
        <v>40</v>
      </c>
      <c r="I567" s="14">
        <f>ROUNDDOWN(Cereal[[#This Row],[N° BOLSAS]]/Cereal[[#This Row],[CAP. SACOS]],0)</f>
        <v>22</v>
      </c>
      <c r="J567" s="14">
        <f>Cereal[[#This Row],[N° BOLSAS]]-Cereal[[#This Row],[N° SACOS]]*Cereal[[#This Row],[CAP. SACOS]]</f>
        <v>39</v>
      </c>
      <c r="K567" s="16">
        <v>46242</v>
      </c>
      <c r="L567" s="16">
        <v>46242</v>
      </c>
      <c r="M567" s="16">
        <v>46254</v>
      </c>
      <c r="N567" s="16" t="s">
        <v>204</v>
      </c>
    </row>
    <row r="568" spans="1:14" hidden="1" x14ac:dyDescent="0.25">
      <c r="A568" s="14" t="s">
        <v>58</v>
      </c>
      <c r="B568" s="14" t="s">
        <v>203</v>
      </c>
      <c r="C568" s="15" t="s">
        <v>27</v>
      </c>
      <c r="D568" s="16">
        <v>46310</v>
      </c>
      <c r="E568" s="17">
        <v>919</v>
      </c>
      <c r="F568" s="18">
        <v>1.0495000000000001</v>
      </c>
      <c r="G568" s="19">
        <f>Cereal[[#This Row],[N° BOLSAS]]*Cereal[[#This Row],[KG BOLSA]]</f>
        <v>964.49050000000011</v>
      </c>
      <c r="H568" s="37">
        <v>40</v>
      </c>
      <c r="I568" s="14">
        <f>ROUNDDOWN(Cereal[[#This Row],[N° BOLSAS]]/Cereal[[#This Row],[CAP. SACOS]],0)</f>
        <v>22</v>
      </c>
      <c r="J568" s="14">
        <f>Cereal[[#This Row],[N° BOLSAS]]-Cereal[[#This Row],[N° SACOS]]*Cereal[[#This Row],[CAP. SACOS]]</f>
        <v>39</v>
      </c>
      <c r="K568" s="16"/>
      <c r="L568" s="16"/>
      <c r="M568" s="16"/>
      <c r="N568" s="16" t="s">
        <v>204</v>
      </c>
    </row>
    <row r="569" spans="1:14" hidden="1" x14ac:dyDescent="0.25">
      <c r="A569" s="14" t="s">
        <v>58</v>
      </c>
      <c r="B569" s="14" t="s">
        <v>203</v>
      </c>
      <c r="C569" s="15" t="s">
        <v>28</v>
      </c>
      <c r="D569" s="16">
        <v>46310</v>
      </c>
      <c r="E569" s="17">
        <v>919</v>
      </c>
      <c r="F569" s="18">
        <v>1.0495000000000001</v>
      </c>
      <c r="G569" s="19">
        <f>Cereal[[#This Row],[N° BOLSAS]]*Cereal[[#This Row],[KG BOLSA]]</f>
        <v>964.49050000000011</v>
      </c>
      <c r="H569" s="37">
        <v>40</v>
      </c>
      <c r="I569" s="14">
        <f>ROUNDDOWN(Cereal[[#This Row],[N° BOLSAS]]/Cereal[[#This Row],[CAP. SACOS]],0)</f>
        <v>22</v>
      </c>
      <c r="J569" s="14">
        <f>Cereal[[#This Row],[N° BOLSAS]]-Cereal[[#This Row],[N° SACOS]]*Cereal[[#This Row],[CAP. SACOS]]</f>
        <v>39</v>
      </c>
      <c r="K569" s="16"/>
      <c r="L569" s="16"/>
      <c r="M569" s="16"/>
      <c r="N569" s="16" t="s">
        <v>204</v>
      </c>
    </row>
    <row r="570" spans="1:14" hidden="1" x14ac:dyDescent="0.25">
      <c r="A570" s="14" t="s">
        <v>58</v>
      </c>
      <c r="B570" s="14" t="s">
        <v>203</v>
      </c>
      <c r="C570" s="15" t="s">
        <v>16</v>
      </c>
      <c r="D570" s="16">
        <v>46371</v>
      </c>
      <c r="E570" s="17">
        <v>919</v>
      </c>
      <c r="F570" s="18">
        <v>1.0495000000000001</v>
      </c>
      <c r="G570" s="19">
        <f>Cereal[[#This Row],[N° BOLSAS]]*Cereal[[#This Row],[KG BOLSA]]</f>
        <v>964.49050000000011</v>
      </c>
      <c r="H570" s="37">
        <v>40</v>
      </c>
      <c r="I570" s="14">
        <f>ROUNDDOWN(Cereal[[#This Row],[N° BOLSAS]]/Cereal[[#This Row],[CAP. SACOS]],0)</f>
        <v>22</v>
      </c>
      <c r="J570" s="14">
        <f>Cereal[[#This Row],[N° BOLSAS]]-Cereal[[#This Row],[N° SACOS]]*Cereal[[#This Row],[CAP. SACOS]]</f>
        <v>39</v>
      </c>
      <c r="K570" s="16"/>
      <c r="L570" s="16"/>
      <c r="M570" s="16"/>
      <c r="N570" s="16" t="s">
        <v>204</v>
      </c>
    </row>
    <row r="571" spans="1:14" hidden="1" x14ac:dyDescent="0.25">
      <c r="A571" s="14" t="s">
        <v>58</v>
      </c>
      <c r="B571" s="14" t="s">
        <v>203</v>
      </c>
      <c r="C571" s="15" t="s">
        <v>18</v>
      </c>
      <c r="D571" s="16">
        <v>46371</v>
      </c>
      <c r="E571" s="17">
        <v>919</v>
      </c>
      <c r="F571" s="18">
        <v>1.0495000000000001</v>
      </c>
      <c r="G571" s="19">
        <f>Cereal[[#This Row],[N° BOLSAS]]*Cereal[[#This Row],[KG BOLSA]]</f>
        <v>964.49050000000011</v>
      </c>
      <c r="H571" s="37">
        <v>40</v>
      </c>
      <c r="I571" s="14">
        <f>ROUNDDOWN(Cereal[[#This Row],[N° BOLSAS]]/Cereal[[#This Row],[CAP. SACOS]],0)</f>
        <v>22</v>
      </c>
      <c r="J571" s="14">
        <f>Cereal[[#This Row],[N° BOLSAS]]-Cereal[[#This Row],[N° SACOS]]*Cereal[[#This Row],[CAP. SACOS]]</f>
        <v>39</v>
      </c>
      <c r="K571" s="16"/>
      <c r="L571" s="16"/>
      <c r="M571" s="16"/>
      <c r="N571" s="16" t="s">
        <v>204</v>
      </c>
    </row>
    <row r="572" spans="1:14" ht="22.5" hidden="1" x14ac:dyDescent="0.25">
      <c r="A572" s="14" t="s">
        <v>14</v>
      </c>
      <c r="B572" s="14" t="s">
        <v>205</v>
      </c>
      <c r="C572" s="15" t="s">
        <v>35</v>
      </c>
      <c r="D572" s="16">
        <v>46090</v>
      </c>
      <c r="E572" s="17">
        <f>368.361*3</f>
        <v>1105.0830000000001</v>
      </c>
      <c r="F572" s="18">
        <v>1</v>
      </c>
      <c r="G572" s="19">
        <f>Cereal[[#This Row],[N° BOLSAS]]*Cereal[[#This Row],[KG BOLSA]]</f>
        <v>1105.0830000000001</v>
      </c>
      <c r="H572" s="37">
        <v>40</v>
      </c>
      <c r="I572" s="14">
        <f>ROUNDDOWN(Cereal[[#This Row],[N° BOLSAS]]/Cereal[[#This Row],[CAP. SACOS]],0)</f>
        <v>27</v>
      </c>
      <c r="J572" s="14">
        <f>Cereal[[#This Row],[N° BOLSAS]]-Cereal[[#This Row],[N° SACOS]]*Cereal[[#This Row],[CAP. SACOS]]</f>
        <v>25.083000000000084</v>
      </c>
      <c r="K572" s="16">
        <v>46088</v>
      </c>
      <c r="L572" s="16">
        <v>46088</v>
      </c>
      <c r="M572" s="16">
        <v>46103</v>
      </c>
      <c r="N572" s="42" t="s">
        <v>206</v>
      </c>
    </row>
    <row r="573" spans="1:14" hidden="1" x14ac:dyDescent="0.25">
      <c r="A573" s="14" t="s">
        <v>14</v>
      </c>
      <c r="B573" s="14" t="s">
        <v>205</v>
      </c>
      <c r="C573" s="15" t="s">
        <v>37</v>
      </c>
      <c r="D573" s="16">
        <v>46108</v>
      </c>
      <c r="E573" s="17">
        <f>368.361*3</f>
        <v>1105.0830000000001</v>
      </c>
      <c r="F573" s="18">
        <v>1</v>
      </c>
      <c r="G573" s="19">
        <f>Cereal[[#This Row],[N° BOLSAS]]*Cereal[[#This Row],[KG BOLSA]]</f>
        <v>1105.0830000000001</v>
      </c>
      <c r="H573" s="37">
        <v>40</v>
      </c>
      <c r="I573" s="14">
        <f>ROUNDDOWN(Cereal[[#This Row],[N° BOLSAS]]/Cereal[[#This Row],[CAP. SACOS]],0)</f>
        <v>27</v>
      </c>
      <c r="J573" s="14">
        <f>Cereal[[#This Row],[N° BOLSAS]]-Cereal[[#This Row],[N° SACOS]]*Cereal[[#This Row],[CAP. SACOS]]</f>
        <v>25.083000000000084</v>
      </c>
      <c r="K573" s="16">
        <v>46103</v>
      </c>
      <c r="L573" s="16">
        <v>46103</v>
      </c>
      <c r="M573" s="16">
        <v>46103</v>
      </c>
      <c r="N573" s="42" t="s">
        <v>206</v>
      </c>
    </row>
    <row r="574" spans="1:14" ht="22.5" hidden="1" x14ac:dyDescent="0.25">
      <c r="A574" s="14" t="s">
        <v>14</v>
      </c>
      <c r="B574" s="14" t="s">
        <v>205</v>
      </c>
      <c r="C574" s="15" t="s">
        <v>38</v>
      </c>
      <c r="D574" s="16">
        <v>46200</v>
      </c>
      <c r="E574" s="17">
        <f>368.361*3</f>
        <v>1105.0830000000001</v>
      </c>
      <c r="F574" s="18">
        <v>1</v>
      </c>
      <c r="G574" s="19">
        <f>Cereal[[#This Row],[N° BOLSAS]]*Cereal[[#This Row],[KG BOLSA]]</f>
        <v>1105.0830000000001</v>
      </c>
      <c r="H574" s="37">
        <v>40</v>
      </c>
      <c r="I574" s="14">
        <f>ROUNDDOWN(Cereal[[#This Row],[N° BOLSAS]]/Cereal[[#This Row],[CAP. SACOS]],0)</f>
        <v>27</v>
      </c>
      <c r="J574" s="14">
        <f>Cereal[[#This Row],[N° BOLSAS]]-Cereal[[#This Row],[N° SACOS]]*Cereal[[#This Row],[CAP. SACOS]]</f>
        <v>25.083000000000084</v>
      </c>
      <c r="K574" s="16">
        <v>46190</v>
      </c>
      <c r="L574" s="16">
        <v>46190</v>
      </c>
      <c r="M574" s="16">
        <v>46197</v>
      </c>
      <c r="N574" s="42" t="s">
        <v>206</v>
      </c>
    </row>
    <row r="575" spans="1:14" hidden="1" x14ac:dyDescent="0.25">
      <c r="A575" s="14" t="s">
        <v>14</v>
      </c>
      <c r="B575" s="14" t="s">
        <v>205</v>
      </c>
      <c r="C575" s="15" t="s">
        <v>30</v>
      </c>
      <c r="D575" s="16">
        <v>46200</v>
      </c>
      <c r="E575" s="17">
        <v>369.48399999999998</v>
      </c>
      <c r="F575" s="18">
        <v>1</v>
      </c>
      <c r="G575" s="19">
        <f>Cereal[[#This Row],[N° BOLSAS]]*Cereal[[#This Row],[KG BOLSA]]</f>
        <v>369.48399999999998</v>
      </c>
      <c r="H575" s="37">
        <v>40</v>
      </c>
      <c r="I575" s="14">
        <f>ROUNDDOWN(Cereal[[#This Row],[N° BOLSAS]]/Cereal[[#This Row],[CAP. SACOS]],0)</f>
        <v>9</v>
      </c>
      <c r="J575" s="14">
        <f>Cereal[[#This Row],[N° BOLSAS]]-Cereal[[#This Row],[N° SACOS]]*Cereal[[#This Row],[CAP. SACOS]]</f>
        <v>9.4839999999999804</v>
      </c>
      <c r="K575" s="16">
        <v>46195</v>
      </c>
      <c r="L575" s="16">
        <v>46195</v>
      </c>
      <c r="M575" s="16">
        <v>46197</v>
      </c>
      <c r="N575" s="42" t="s">
        <v>206</v>
      </c>
    </row>
    <row r="576" spans="1:14" ht="33.75" hidden="1" x14ac:dyDescent="0.25">
      <c r="A576" s="14" t="s">
        <v>14</v>
      </c>
      <c r="B576" s="14" t="s">
        <v>205</v>
      </c>
      <c r="C576" s="15" t="s">
        <v>39</v>
      </c>
      <c r="D576" s="16">
        <v>46292</v>
      </c>
      <c r="E576" s="17">
        <f>368.361*3</f>
        <v>1105.0830000000001</v>
      </c>
      <c r="F576" s="18">
        <v>1</v>
      </c>
      <c r="G576" s="19">
        <f>Cereal[[#This Row],[N° BOLSAS]]*Cereal[[#This Row],[KG BOLSA]]</f>
        <v>1105.0830000000001</v>
      </c>
      <c r="H576" s="37">
        <v>40</v>
      </c>
      <c r="I576" s="14">
        <f>ROUNDDOWN(Cereal[[#This Row],[N° BOLSAS]]/Cereal[[#This Row],[CAP. SACOS]],0)</f>
        <v>27</v>
      </c>
      <c r="J576" s="14">
        <f>Cereal[[#This Row],[N° BOLSAS]]-Cereal[[#This Row],[N° SACOS]]*Cereal[[#This Row],[CAP. SACOS]]</f>
        <v>25.083000000000084</v>
      </c>
      <c r="K576" s="16">
        <v>46288</v>
      </c>
      <c r="L576" s="16">
        <v>46288</v>
      </c>
      <c r="M576" s="16">
        <v>46288</v>
      </c>
      <c r="N576" s="42" t="s">
        <v>206</v>
      </c>
    </row>
    <row r="577" spans="1:14" hidden="1" x14ac:dyDescent="0.25">
      <c r="A577" s="14" t="s">
        <v>100</v>
      </c>
      <c r="B577" s="14" t="s">
        <v>207</v>
      </c>
      <c r="C577" s="15" t="s">
        <v>30</v>
      </c>
      <c r="D577" s="16">
        <v>46120</v>
      </c>
      <c r="E577" s="17">
        <v>180</v>
      </c>
      <c r="F577" s="18">
        <v>1</v>
      </c>
      <c r="G577" s="19">
        <f>Cereal[[#This Row],[N° BOLSAS]]*Cereal[[#This Row],[KG BOLSA]]</f>
        <v>180</v>
      </c>
      <c r="H577" s="37">
        <v>40</v>
      </c>
      <c r="I577" s="14">
        <f>ROUNDDOWN(Cereal[[#This Row],[N° BOLSAS]]/Cereal[[#This Row],[CAP. SACOS]],0)</f>
        <v>4</v>
      </c>
      <c r="J577" s="14">
        <f>Cereal[[#This Row],[N° BOLSAS]]-Cereal[[#This Row],[N° SACOS]]*Cereal[[#This Row],[CAP. SACOS]]</f>
        <v>20</v>
      </c>
      <c r="K577" s="16">
        <v>46120</v>
      </c>
      <c r="L577" s="16">
        <v>46120</v>
      </c>
      <c r="M577" s="16">
        <v>46120</v>
      </c>
      <c r="N577" s="16" t="s">
        <v>208</v>
      </c>
    </row>
    <row r="578" spans="1:14" hidden="1" x14ac:dyDescent="0.25">
      <c r="A578" s="14" t="s">
        <v>100</v>
      </c>
      <c r="B578" s="14" t="s">
        <v>207</v>
      </c>
      <c r="C578" s="15" t="s">
        <v>30</v>
      </c>
      <c r="D578" s="16">
        <v>46188</v>
      </c>
      <c r="E578" s="17">
        <v>180</v>
      </c>
      <c r="F578" s="18">
        <v>1</v>
      </c>
      <c r="G578" s="19">
        <f>Cereal[[#This Row],[N° BOLSAS]]*Cereal[[#This Row],[KG BOLSA]]</f>
        <v>180</v>
      </c>
      <c r="H578" s="37">
        <v>40</v>
      </c>
      <c r="I578" s="14">
        <f>ROUNDDOWN(Cereal[[#This Row],[N° BOLSAS]]/Cereal[[#This Row],[CAP. SACOS]],0)</f>
        <v>4</v>
      </c>
      <c r="J578" s="14">
        <f>Cereal[[#This Row],[N° BOLSAS]]-Cereal[[#This Row],[N° SACOS]]*Cereal[[#This Row],[CAP. SACOS]]</f>
        <v>20</v>
      </c>
      <c r="K578" s="16">
        <v>46206</v>
      </c>
      <c r="L578" s="16">
        <v>46206</v>
      </c>
      <c r="M578" s="16">
        <v>46206</v>
      </c>
      <c r="N578" s="16" t="s">
        <v>208</v>
      </c>
    </row>
    <row r="579" spans="1:14" hidden="1" x14ac:dyDescent="0.25">
      <c r="A579" s="14" t="s">
        <v>14</v>
      </c>
      <c r="B579" s="14" t="s">
        <v>209</v>
      </c>
      <c r="C579" s="15" t="s">
        <v>30</v>
      </c>
      <c r="D579" s="16">
        <v>46091</v>
      </c>
      <c r="E579" s="17">
        <v>798</v>
      </c>
      <c r="F579" s="18">
        <v>1</v>
      </c>
      <c r="G579" s="19">
        <f>Cereal[[#This Row],[N° BOLSAS]]*Cereal[[#This Row],[KG BOLSA]]</f>
        <v>798</v>
      </c>
      <c r="H579" s="37">
        <v>40</v>
      </c>
      <c r="I579" s="14">
        <f>ROUNDDOWN(Cereal[[#This Row],[N° BOLSAS]]/Cereal[[#This Row],[CAP. SACOS]],0)</f>
        <v>19</v>
      </c>
      <c r="J579" s="14">
        <f>Cereal[[#This Row],[N° BOLSAS]]-Cereal[[#This Row],[N° SACOS]]*Cereal[[#This Row],[CAP. SACOS]]</f>
        <v>38</v>
      </c>
      <c r="K579" s="16">
        <v>46091</v>
      </c>
      <c r="L579" s="16">
        <v>46091</v>
      </c>
      <c r="M579" s="16">
        <v>46091</v>
      </c>
      <c r="N579" s="16" t="s">
        <v>210</v>
      </c>
    </row>
    <row r="580" spans="1:14" hidden="1" x14ac:dyDescent="0.25">
      <c r="A580" s="14" t="s">
        <v>14</v>
      </c>
      <c r="B580" s="14" t="s">
        <v>209</v>
      </c>
      <c r="C580" s="15" t="s">
        <v>30</v>
      </c>
      <c r="D580" s="16">
        <v>46280</v>
      </c>
      <c r="E580" s="17">
        <v>797</v>
      </c>
      <c r="F580" s="18">
        <v>1</v>
      </c>
      <c r="G580" s="19">
        <f>Cereal[[#This Row],[N° BOLSAS]]*Cereal[[#This Row],[KG BOLSA]]</f>
        <v>797</v>
      </c>
      <c r="H580" s="37">
        <v>40</v>
      </c>
      <c r="I580" s="14">
        <f>ROUNDDOWN(Cereal[[#This Row],[N° BOLSAS]]/Cereal[[#This Row],[CAP. SACOS]],0)</f>
        <v>19</v>
      </c>
      <c r="J580" s="14">
        <f>Cereal[[#This Row],[N° BOLSAS]]-Cereal[[#This Row],[N° SACOS]]*Cereal[[#This Row],[CAP. SACOS]]</f>
        <v>37</v>
      </c>
      <c r="K580" s="16">
        <v>46273</v>
      </c>
      <c r="L580" s="16">
        <v>46273</v>
      </c>
      <c r="M580" s="16">
        <v>46273</v>
      </c>
      <c r="N580" s="16" t="s">
        <v>210</v>
      </c>
    </row>
    <row r="581" spans="1:14" hidden="1" x14ac:dyDescent="0.25">
      <c r="A581" s="14" t="s">
        <v>100</v>
      </c>
      <c r="B581" s="14" t="s">
        <v>211</v>
      </c>
      <c r="C581" s="15" t="s">
        <v>30</v>
      </c>
      <c r="D581" s="16">
        <v>46120</v>
      </c>
      <c r="E581" s="17">
        <v>1605</v>
      </c>
      <c r="F581" s="18">
        <v>1</v>
      </c>
      <c r="G581" s="19">
        <f>Cereal[[#This Row],[N° BOLSAS]]*Cereal[[#This Row],[KG BOLSA]]</f>
        <v>1605</v>
      </c>
      <c r="H581" s="37">
        <v>50</v>
      </c>
      <c r="I581" s="14">
        <f>ROUNDDOWN(Cereal[[#This Row],[N° BOLSAS]]/Cereal[[#This Row],[CAP. SACOS]],0)</f>
        <v>32</v>
      </c>
      <c r="J581" s="14">
        <f>Cereal[[#This Row],[N° BOLSAS]]-Cereal[[#This Row],[N° SACOS]]*Cereal[[#This Row],[CAP. SACOS]]</f>
        <v>5</v>
      </c>
      <c r="K581" s="16">
        <v>46120</v>
      </c>
      <c r="L581" s="16">
        <v>46120</v>
      </c>
      <c r="M581" s="16">
        <v>46120</v>
      </c>
      <c r="N581" s="16" t="s">
        <v>212</v>
      </c>
    </row>
    <row r="582" spans="1:14" ht="22.5" hidden="1" x14ac:dyDescent="0.25">
      <c r="A582" s="14" t="s">
        <v>14</v>
      </c>
      <c r="B582" s="14" t="s">
        <v>213</v>
      </c>
      <c r="C582" s="15" t="s">
        <v>35</v>
      </c>
      <c r="D582" s="16">
        <v>46119</v>
      </c>
      <c r="E582" s="17">
        <v>1953</v>
      </c>
      <c r="F582" s="18">
        <v>1.63686</v>
      </c>
      <c r="G582" s="19">
        <f>Cereal[[#This Row],[N° BOLSAS]]*Cereal[[#This Row],[KG BOLSA]]</f>
        <v>3196.7875800000002</v>
      </c>
      <c r="H582" s="37">
        <v>25</v>
      </c>
      <c r="I582" s="14">
        <f>ROUNDDOWN(Cereal[[#This Row],[N° BOLSAS]]/Cereal[[#This Row],[CAP. SACOS]],0)</f>
        <v>78</v>
      </c>
      <c r="J582" s="14">
        <f>Cereal[[#This Row],[N° BOLSAS]]-Cereal[[#This Row],[N° SACOS]]*Cereal[[#This Row],[CAP. SACOS]]</f>
        <v>3</v>
      </c>
      <c r="K582" s="16">
        <v>46118</v>
      </c>
      <c r="L582" s="16">
        <v>46118</v>
      </c>
      <c r="M582" s="16">
        <v>46118</v>
      </c>
      <c r="N582" s="16" t="s">
        <v>214</v>
      </c>
    </row>
    <row r="583" spans="1:14" hidden="1" x14ac:dyDescent="0.25">
      <c r="A583" s="14" t="s">
        <v>14</v>
      </c>
      <c r="B583" s="14" t="s">
        <v>213</v>
      </c>
      <c r="C583" s="15" t="s">
        <v>37</v>
      </c>
      <c r="D583" s="16">
        <v>46139</v>
      </c>
      <c r="E583" s="17">
        <v>1953</v>
      </c>
      <c r="F583" s="18">
        <v>1.63686</v>
      </c>
      <c r="G583" s="19">
        <f>Cereal[[#This Row],[N° BOLSAS]]*Cereal[[#This Row],[KG BOLSA]]</f>
        <v>3196.7875800000002</v>
      </c>
      <c r="H583" s="37">
        <v>25</v>
      </c>
      <c r="I583" s="14">
        <f>ROUNDDOWN(Cereal[[#This Row],[N° BOLSAS]]/Cereal[[#This Row],[CAP. SACOS]],0)</f>
        <v>78</v>
      </c>
      <c r="J583" s="14">
        <f>Cereal[[#This Row],[N° BOLSAS]]-Cereal[[#This Row],[N° SACOS]]*Cereal[[#This Row],[CAP. SACOS]]</f>
        <v>3</v>
      </c>
      <c r="K583" s="16">
        <v>46142</v>
      </c>
      <c r="L583" s="16">
        <v>46142</v>
      </c>
      <c r="M583" s="16">
        <v>46149</v>
      </c>
      <c r="N583" s="16" t="s">
        <v>214</v>
      </c>
    </row>
    <row r="584" spans="1:14" ht="22.5" hidden="1" x14ac:dyDescent="0.25">
      <c r="A584" s="14" t="s">
        <v>14</v>
      </c>
      <c r="B584" s="14" t="s">
        <v>213</v>
      </c>
      <c r="C584" s="15" t="s">
        <v>38</v>
      </c>
      <c r="D584" s="16">
        <v>46203</v>
      </c>
      <c r="E584" s="17">
        <v>1953</v>
      </c>
      <c r="F584" s="18">
        <v>1.63686</v>
      </c>
      <c r="G584" s="19">
        <f>Cereal[[#This Row],[N° BOLSAS]]*Cereal[[#This Row],[KG BOLSA]]</f>
        <v>3196.7875800000002</v>
      </c>
      <c r="H584" s="37">
        <v>25</v>
      </c>
      <c r="I584" s="14">
        <f>ROUNDDOWN(Cereal[[#This Row],[N° BOLSAS]]/Cereal[[#This Row],[CAP. SACOS]],0)</f>
        <v>78</v>
      </c>
      <c r="J584" s="14">
        <f>Cereal[[#This Row],[N° BOLSAS]]-Cereal[[#This Row],[N° SACOS]]*Cereal[[#This Row],[CAP. SACOS]]</f>
        <v>3</v>
      </c>
      <c r="K584" s="16">
        <v>46227</v>
      </c>
      <c r="L584" s="16">
        <v>46227</v>
      </c>
      <c r="M584" s="16">
        <v>46227</v>
      </c>
      <c r="N584" s="16" t="s">
        <v>214</v>
      </c>
    </row>
    <row r="585" spans="1:14" ht="33.75" hidden="1" x14ac:dyDescent="0.25">
      <c r="A585" s="14" t="s">
        <v>14</v>
      </c>
      <c r="B585" s="14" t="s">
        <v>213</v>
      </c>
      <c r="C585" s="15" t="s">
        <v>39</v>
      </c>
      <c r="D585" s="16">
        <v>46295</v>
      </c>
      <c r="E585" s="17">
        <v>1953</v>
      </c>
      <c r="F585" s="18">
        <v>1.63686</v>
      </c>
      <c r="G585" s="19">
        <f>Cereal[[#This Row],[N° BOLSAS]]*Cereal[[#This Row],[KG BOLSA]]</f>
        <v>3196.7875800000002</v>
      </c>
      <c r="H585" s="37">
        <v>25</v>
      </c>
      <c r="I585" s="14">
        <f>ROUNDDOWN(Cereal[[#This Row],[N° BOLSAS]]/Cereal[[#This Row],[CAP. SACOS]],0)</f>
        <v>78</v>
      </c>
      <c r="J585" s="14">
        <f>Cereal[[#This Row],[N° BOLSAS]]-Cereal[[#This Row],[N° SACOS]]*Cereal[[#This Row],[CAP. SACOS]]</f>
        <v>3</v>
      </c>
      <c r="K585" s="16"/>
      <c r="L585" s="16"/>
      <c r="M585" s="16"/>
      <c r="N585" s="16" t="s">
        <v>214</v>
      </c>
    </row>
    <row r="586" spans="1:14" hidden="1" x14ac:dyDescent="0.25">
      <c r="A586" s="14" t="s">
        <v>14</v>
      </c>
      <c r="B586" s="14" t="s">
        <v>215</v>
      </c>
      <c r="C586" s="15" t="s">
        <v>16</v>
      </c>
      <c r="D586" s="16">
        <v>46022</v>
      </c>
      <c r="E586" s="17">
        <v>3200</v>
      </c>
      <c r="F586" s="18">
        <v>0.84011000000000002</v>
      </c>
      <c r="G586" s="19">
        <f>Cereal[[#This Row],[N° BOLSAS]]*Cereal[[#This Row],[KG BOLSA]]</f>
        <v>2688.3519999999999</v>
      </c>
      <c r="H586" s="37">
        <v>50</v>
      </c>
      <c r="I586" s="14">
        <f>ROUNDDOWN(Cereal[[#This Row],[N° BOLSAS]]/Cereal[[#This Row],[CAP. SACOS]],0)</f>
        <v>64</v>
      </c>
      <c r="J586" s="14">
        <f>Cereal[[#This Row],[N° BOLSAS]]-Cereal[[#This Row],[N° SACOS]]*Cereal[[#This Row],[CAP. SACOS]]</f>
        <v>0</v>
      </c>
      <c r="K586" s="16">
        <v>46025</v>
      </c>
      <c r="L586" s="16">
        <v>46025</v>
      </c>
      <c r="M586" s="16">
        <v>46034</v>
      </c>
      <c r="N586" s="16" t="s">
        <v>216</v>
      </c>
    </row>
    <row r="587" spans="1:14" hidden="1" x14ac:dyDescent="0.25">
      <c r="A587" s="14" t="s">
        <v>14</v>
      </c>
      <c r="B587" s="14" t="s">
        <v>215</v>
      </c>
      <c r="C587" s="15" t="s">
        <v>18</v>
      </c>
      <c r="D587" s="16">
        <v>46022</v>
      </c>
      <c r="E587" s="17">
        <v>3200</v>
      </c>
      <c r="F587" s="18">
        <v>0.84011000000000002</v>
      </c>
      <c r="G587" s="19">
        <f>Cereal[[#This Row],[N° BOLSAS]]*Cereal[[#This Row],[KG BOLSA]]</f>
        <v>2688.3519999999999</v>
      </c>
      <c r="H587" s="37">
        <v>50</v>
      </c>
      <c r="I587" s="14">
        <f>ROUNDDOWN(Cereal[[#This Row],[N° BOLSAS]]/Cereal[[#This Row],[CAP. SACOS]],0)</f>
        <v>64</v>
      </c>
      <c r="J587" s="14">
        <f>Cereal[[#This Row],[N° BOLSAS]]-Cereal[[#This Row],[N° SACOS]]*Cereal[[#This Row],[CAP. SACOS]]</f>
        <v>0</v>
      </c>
      <c r="K587" s="16">
        <v>46025</v>
      </c>
      <c r="L587" s="16">
        <v>46025</v>
      </c>
      <c r="M587" s="16">
        <v>46034</v>
      </c>
      <c r="N587" s="16" t="s">
        <v>216</v>
      </c>
    </row>
    <row r="588" spans="1:14" hidden="1" x14ac:dyDescent="0.25">
      <c r="A588" s="14" t="s">
        <v>14</v>
      </c>
      <c r="B588" s="14" t="s">
        <v>215</v>
      </c>
      <c r="C588" s="15" t="s">
        <v>19</v>
      </c>
      <c r="D588" s="16">
        <v>46022</v>
      </c>
      <c r="E588" s="17">
        <v>3200</v>
      </c>
      <c r="F588" s="18">
        <v>0.84011000000000002</v>
      </c>
      <c r="G588" s="19">
        <f>Cereal[[#This Row],[N° BOLSAS]]*Cereal[[#This Row],[KG BOLSA]]</f>
        <v>2688.3519999999999</v>
      </c>
      <c r="H588" s="37">
        <v>50</v>
      </c>
      <c r="I588" s="14">
        <f>ROUNDDOWN(Cereal[[#This Row],[N° BOLSAS]]/Cereal[[#This Row],[CAP. SACOS]],0)</f>
        <v>64</v>
      </c>
      <c r="J588" s="14">
        <f>Cereal[[#This Row],[N° BOLSAS]]-Cereal[[#This Row],[N° SACOS]]*Cereal[[#This Row],[CAP. SACOS]]</f>
        <v>0</v>
      </c>
      <c r="K588" s="16">
        <v>46025</v>
      </c>
      <c r="L588" s="16">
        <v>46025</v>
      </c>
      <c r="M588" s="16">
        <v>46034</v>
      </c>
      <c r="N588" s="16" t="s">
        <v>216</v>
      </c>
    </row>
    <row r="589" spans="1:14" hidden="1" x14ac:dyDescent="0.25">
      <c r="A589" s="14" t="s">
        <v>14</v>
      </c>
      <c r="B589" s="14" t="s">
        <v>215</v>
      </c>
      <c r="C589" s="15" t="s">
        <v>20</v>
      </c>
      <c r="D589" s="16">
        <v>46102</v>
      </c>
      <c r="E589" s="17">
        <v>3200</v>
      </c>
      <c r="F589" s="18">
        <v>0.84011000000000002</v>
      </c>
      <c r="G589" s="19">
        <f>Cereal[[#This Row],[N° BOLSAS]]*Cereal[[#This Row],[KG BOLSA]]</f>
        <v>2688.3519999999999</v>
      </c>
      <c r="H589" s="37">
        <v>50</v>
      </c>
      <c r="I589" s="14">
        <f>ROUNDDOWN(Cereal[[#This Row],[N° BOLSAS]]/Cereal[[#This Row],[CAP. SACOS]],0)</f>
        <v>64</v>
      </c>
      <c r="J589" s="14">
        <f>Cereal[[#This Row],[N° BOLSAS]]-Cereal[[#This Row],[N° SACOS]]*Cereal[[#This Row],[CAP. SACOS]]</f>
        <v>0</v>
      </c>
      <c r="K589" s="16">
        <v>46093</v>
      </c>
      <c r="L589" s="16">
        <v>46093</v>
      </c>
      <c r="M589" s="16">
        <v>46096</v>
      </c>
      <c r="N589" s="16" t="s">
        <v>216</v>
      </c>
    </row>
    <row r="590" spans="1:14" hidden="1" x14ac:dyDescent="0.25">
      <c r="A590" s="14" t="s">
        <v>14</v>
      </c>
      <c r="B590" s="14" t="s">
        <v>215</v>
      </c>
      <c r="C590" s="15" t="s">
        <v>21</v>
      </c>
      <c r="D590" s="16">
        <v>46102</v>
      </c>
      <c r="E590" s="17">
        <v>3200</v>
      </c>
      <c r="F590" s="18">
        <v>0.84011000000000002</v>
      </c>
      <c r="G590" s="19">
        <f>Cereal[[#This Row],[N° BOLSAS]]*Cereal[[#This Row],[KG BOLSA]]</f>
        <v>2688.3519999999999</v>
      </c>
      <c r="H590" s="37">
        <v>50</v>
      </c>
      <c r="I590" s="14">
        <f>ROUNDDOWN(Cereal[[#This Row],[N° BOLSAS]]/Cereal[[#This Row],[CAP. SACOS]],0)</f>
        <v>64</v>
      </c>
      <c r="J590" s="14">
        <f>Cereal[[#This Row],[N° BOLSAS]]-Cereal[[#This Row],[N° SACOS]]*Cereal[[#This Row],[CAP. SACOS]]</f>
        <v>0</v>
      </c>
      <c r="K590" s="16">
        <v>46093</v>
      </c>
      <c r="L590" s="16">
        <v>46093</v>
      </c>
      <c r="M590" s="16">
        <v>46096</v>
      </c>
      <c r="N590" s="16" t="s">
        <v>216</v>
      </c>
    </row>
    <row r="591" spans="1:14" hidden="1" x14ac:dyDescent="0.25">
      <c r="A591" s="14" t="s">
        <v>14</v>
      </c>
      <c r="B591" s="14" t="s">
        <v>215</v>
      </c>
      <c r="C591" s="15" t="s">
        <v>22</v>
      </c>
      <c r="D591" s="16">
        <v>46102</v>
      </c>
      <c r="E591" s="17">
        <v>3200</v>
      </c>
      <c r="F591" s="18">
        <v>0.84011000000000002</v>
      </c>
      <c r="G591" s="19">
        <f>Cereal[[#This Row],[N° BOLSAS]]*Cereal[[#This Row],[KG BOLSA]]</f>
        <v>2688.3519999999999</v>
      </c>
      <c r="H591" s="37">
        <v>50</v>
      </c>
      <c r="I591" s="14">
        <f>ROUNDDOWN(Cereal[[#This Row],[N° BOLSAS]]/Cereal[[#This Row],[CAP. SACOS]],0)</f>
        <v>64</v>
      </c>
      <c r="J591" s="14">
        <f>Cereal[[#This Row],[N° BOLSAS]]-Cereal[[#This Row],[N° SACOS]]*Cereal[[#This Row],[CAP. SACOS]]</f>
        <v>0</v>
      </c>
      <c r="K591" s="16">
        <v>46093</v>
      </c>
      <c r="L591" s="16">
        <v>46093</v>
      </c>
      <c r="M591" s="16">
        <v>46096</v>
      </c>
      <c r="N591" s="16" t="s">
        <v>216</v>
      </c>
    </row>
    <row r="592" spans="1:14" hidden="1" x14ac:dyDescent="0.25">
      <c r="A592" s="14" t="s">
        <v>14</v>
      </c>
      <c r="B592" s="14" t="s">
        <v>215</v>
      </c>
      <c r="C592" s="15" t="s">
        <v>23</v>
      </c>
      <c r="D592" s="16">
        <v>46194</v>
      </c>
      <c r="E592" s="17">
        <v>3200</v>
      </c>
      <c r="F592" s="18">
        <v>0.84011000000000002</v>
      </c>
      <c r="G592" s="19">
        <f>Cereal[[#This Row],[N° BOLSAS]]*Cereal[[#This Row],[KG BOLSA]]</f>
        <v>2688.3519999999999</v>
      </c>
      <c r="H592" s="37">
        <v>50</v>
      </c>
      <c r="I592" s="14">
        <f>ROUNDDOWN(Cereal[[#This Row],[N° BOLSAS]]/Cereal[[#This Row],[CAP. SACOS]],0)</f>
        <v>64</v>
      </c>
      <c r="J592" s="14">
        <f>Cereal[[#This Row],[N° BOLSAS]]-Cereal[[#This Row],[N° SACOS]]*Cereal[[#This Row],[CAP. SACOS]]</f>
        <v>0</v>
      </c>
      <c r="K592" s="16">
        <v>46181</v>
      </c>
      <c r="L592" s="16">
        <v>46181</v>
      </c>
      <c r="M592" s="16">
        <v>46190</v>
      </c>
      <c r="N592" s="16" t="s">
        <v>216</v>
      </c>
    </row>
    <row r="593" spans="1:14" hidden="1" x14ac:dyDescent="0.25">
      <c r="A593" s="14" t="s">
        <v>14</v>
      </c>
      <c r="B593" s="14" t="s">
        <v>215</v>
      </c>
      <c r="C593" s="15" t="s">
        <v>24</v>
      </c>
      <c r="D593" s="16">
        <v>46194</v>
      </c>
      <c r="E593" s="17">
        <v>3200</v>
      </c>
      <c r="F593" s="18">
        <v>0.84011000000000002</v>
      </c>
      <c r="G593" s="19">
        <f>Cereal[[#This Row],[N° BOLSAS]]*Cereal[[#This Row],[KG BOLSA]]</f>
        <v>2688.3519999999999</v>
      </c>
      <c r="H593" s="37">
        <v>50</v>
      </c>
      <c r="I593" s="14">
        <f>ROUNDDOWN(Cereal[[#This Row],[N° BOLSAS]]/Cereal[[#This Row],[CAP. SACOS]],0)</f>
        <v>64</v>
      </c>
      <c r="J593" s="14">
        <f>Cereal[[#This Row],[N° BOLSAS]]-Cereal[[#This Row],[N° SACOS]]*Cereal[[#This Row],[CAP. SACOS]]</f>
        <v>0</v>
      </c>
      <c r="K593" s="16">
        <v>46181</v>
      </c>
      <c r="L593" s="16">
        <v>46181</v>
      </c>
      <c r="M593" s="16">
        <v>46190</v>
      </c>
      <c r="N593" s="16" t="s">
        <v>216</v>
      </c>
    </row>
    <row r="594" spans="1:14" hidden="1" x14ac:dyDescent="0.25">
      <c r="A594" s="14" t="s">
        <v>14</v>
      </c>
      <c r="B594" s="14" t="s">
        <v>215</v>
      </c>
      <c r="C594" s="15" t="s">
        <v>25</v>
      </c>
      <c r="D594" s="16">
        <v>46194</v>
      </c>
      <c r="E594" s="17">
        <v>3200</v>
      </c>
      <c r="F594" s="18">
        <v>0.84011000000000002</v>
      </c>
      <c r="G594" s="19">
        <f>Cereal[[#This Row],[N° BOLSAS]]*Cereal[[#This Row],[KG BOLSA]]</f>
        <v>2688.3519999999999</v>
      </c>
      <c r="H594" s="37">
        <v>50</v>
      </c>
      <c r="I594" s="14">
        <f>ROUNDDOWN(Cereal[[#This Row],[N° BOLSAS]]/Cereal[[#This Row],[CAP. SACOS]],0)</f>
        <v>64</v>
      </c>
      <c r="J594" s="14">
        <f>Cereal[[#This Row],[N° BOLSAS]]-Cereal[[#This Row],[N° SACOS]]*Cereal[[#This Row],[CAP. SACOS]]</f>
        <v>0</v>
      </c>
      <c r="K594" s="16">
        <v>46181</v>
      </c>
      <c r="L594" s="16">
        <v>46181</v>
      </c>
      <c r="M594" s="16">
        <v>46190</v>
      </c>
      <c r="N594" s="16" t="s">
        <v>216</v>
      </c>
    </row>
    <row r="595" spans="1:14" hidden="1" x14ac:dyDescent="0.25">
      <c r="A595" s="14" t="s">
        <v>14</v>
      </c>
      <c r="B595" s="14" t="s">
        <v>215</v>
      </c>
      <c r="C595" s="15" t="s">
        <v>26</v>
      </c>
      <c r="D595" s="16">
        <v>46286</v>
      </c>
      <c r="E595" s="17">
        <v>3200</v>
      </c>
      <c r="F595" s="18">
        <v>0.84011000000000002</v>
      </c>
      <c r="G595" s="19">
        <f>Cereal[[#This Row],[N° BOLSAS]]*Cereal[[#This Row],[KG BOLSA]]</f>
        <v>2688.3519999999999</v>
      </c>
      <c r="H595" s="37">
        <v>50</v>
      </c>
      <c r="I595" s="14">
        <f>ROUNDDOWN(Cereal[[#This Row],[N° BOLSAS]]/Cereal[[#This Row],[CAP. SACOS]],0)</f>
        <v>64</v>
      </c>
      <c r="J595" s="14">
        <f>Cereal[[#This Row],[N° BOLSAS]]-Cereal[[#This Row],[N° SACOS]]*Cereal[[#This Row],[CAP. SACOS]]</f>
        <v>0</v>
      </c>
      <c r="K595" s="16">
        <v>46282</v>
      </c>
      <c r="L595" s="16">
        <v>46282</v>
      </c>
      <c r="M595" s="16">
        <v>46285</v>
      </c>
      <c r="N595" s="16" t="s">
        <v>216</v>
      </c>
    </row>
    <row r="596" spans="1:14" hidden="1" x14ac:dyDescent="0.25">
      <c r="A596" s="14" t="s">
        <v>14</v>
      </c>
      <c r="B596" s="14" t="s">
        <v>215</v>
      </c>
      <c r="C596" s="15" t="s">
        <v>27</v>
      </c>
      <c r="D596" s="16">
        <v>46286</v>
      </c>
      <c r="E596" s="17">
        <v>3200</v>
      </c>
      <c r="F596" s="18">
        <v>0.84011000000000002</v>
      </c>
      <c r="G596" s="19">
        <f>Cereal[[#This Row],[N° BOLSAS]]*Cereal[[#This Row],[KG BOLSA]]</f>
        <v>2688.3519999999999</v>
      </c>
      <c r="H596" s="37">
        <v>50</v>
      </c>
      <c r="I596" s="14">
        <f>ROUNDDOWN(Cereal[[#This Row],[N° BOLSAS]]/Cereal[[#This Row],[CAP. SACOS]],0)</f>
        <v>64</v>
      </c>
      <c r="J596" s="14">
        <f>Cereal[[#This Row],[N° BOLSAS]]-Cereal[[#This Row],[N° SACOS]]*Cereal[[#This Row],[CAP. SACOS]]</f>
        <v>0</v>
      </c>
      <c r="K596" s="16"/>
      <c r="L596" s="16"/>
      <c r="M596" s="16"/>
      <c r="N596" s="16" t="s">
        <v>216</v>
      </c>
    </row>
    <row r="597" spans="1:14" hidden="1" x14ac:dyDescent="0.25">
      <c r="A597" s="14" t="s">
        <v>14</v>
      </c>
      <c r="B597" s="14" t="s">
        <v>215</v>
      </c>
      <c r="C597" s="15" t="s">
        <v>28</v>
      </c>
      <c r="D597" s="16">
        <v>46286</v>
      </c>
      <c r="E597" s="17">
        <v>3256</v>
      </c>
      <c r="F597" s="18">
        <v>0.84011000000000002</v>
      </c>
      <c r="G597" s="19">
        <f>Cereal[[#This Row],[N° BOLSAS]]*Cereal[[#This Row],[KG BOLSA]]</f>
        <v>2735.3981600000002</v>
      </c>
      <c r="H597" s="37">
        <v>50</v>
      </c>
      <c r="I597" s="14">
        <f>ROUNDDOWN(Cereal[[#This Row],[N° BOLSAS]]/Cereal[[#This Row],[CAP. SACOS]],0)</f>
        <v>65</v>
      </c>
      <c r="J597" s="14">
        <f>Cereal[[#This Row],[N° BOLSAS]]-Cereal[[#This Row],[N° SACOS]]*Cereal[[#This Row],[CAP. SACOS]]</f>
        <v>6</v>
      </c>
      <c r="K597" s="16"/>
      <c r="L597" s="16"/>
      <c r="M597" s="16"/>
      <c r="N597" s="16" t="s">
        <v>216</v>
      </c>
    </row>
    <row r="598" spans="1:14" hidden="1" x14ac:dyDescent="0.25">
      <c r="A598" s="14" t="s">
        <v>14</v>
      </c>
      <c r="B598" s="14" t="s">
        <v>217</v>
      </c>
      <c r="C598" s="15" t="s">
        <v>16</v>
      </c>
      <c r="D598" s="16">
        <v>46042</v>
      </c>
      <c r="E598" s="17">
        <v>240</v>
      </c>
      <c r="F598" s="18">
        <v>1.5175099999999999</v>
      </c>
      <c r="G598" s="19">
        <f>Cereal[[#This Row],[N° BOLSAS]]*Cereal[[#This Row],[KG BOLSA]]</f>
        <v>364.20239999999995</v>
      </c>
      <c r="H598" s="37">
        <v>30</v>
      </c>
      <c r="I598" s="14">
        <f>ROUNDDOWN(Cereal[[#This Row],[N° BOLSAS]]/Cereal[[#This Row],[CAP. SACOS]],0)</f>
        <v>8</v>
      </c>
      <c r="J598" s="14">
        <f>Cereal[[#This Row],[N° BOLSAS]]-Cereal[[#This Row],[N° SACOS]]*Cereal[[#This Row],[CAP. SACOS]]</f>
        <v>0</v>
      </c>
      <c r="K598" s="16">
        <v>46052</v>
      </c>
      <c r="L598" s="16">
        <v>46052</v>
      </c>
      <c r="M598" s="16">
        <v>46055</v>
      </c>
      <c r="N598" s="16" t="s">
        <v>218</v>
      </c>
    </row>
    <row r="599" spans="1:14" hidden="1" x14ac:dyDescent="0.25">
      <c r="A599" s="14" t="s">
        <v>14</v>
      </c>
      <c r="B599" s="14" t="s">
        <v>217</v>
      </c>
      <c r="C599" s="15" t="s">
        <v>18</v>
      </c>
      <c r="D599" s="16">
        <v>46042</v>
      </c>
      <c r="E599" s="17">
        <v>240</v>
      </c>
      <c r="F599" s="18">
        <v>1.5175099999999999</v>
      </c>
      <c r="G599" s="19">
        <f>Cereal[[#This Row],[N° BOLSAS]]*Cereal[[#This Row],[KG BOLSA]]</f>
        <v>364.20239999999995</v>
      </c>
      <c r="H599" s="37">
        <v>30</v>
      </c>
      <c r="I599" s="14">
        <f>ROUNDDOWN(Cereal[[#This Row],[N° BOLSAS]]/Cereal[[#This Row],[CAP. SACOS]],0)</f>
        <v>8</v>
      </c>
      <c r="J599" s="14">
        <f>Cereal[[#This Row],[N° BOLSAS]]-Cereal[[#This Row],[N° SACOS]]*Cereal[[#This Row],[CAP. SACOS]]</f>
        <v>0</v>
      </c>
      <c r="K599" s="16">
        <v>46052</v>
      </c>
      <c r="L599" s="16">
        <v>46052</v>
      </c>
      <c r="M599" s="16">
        <v>46055</v>
      </c>
      <c r="N599" s="16" t="s">
        <v>218</v>
      </c>
    </row>
    <row r="600" spans="1:14" hidden="1" x14ac:dyDescent="0.25">
      <c r="A600" s="14" t="s">
        <v>14</v>
      </c>
      <c r="B600" s="14" t="s">
        <v>217</v>
      </c>
      <c r="C600" s="15" t="s">
        <v>19</v>
      </c>
      <c r="D600" s="16">
        <v>46073</v>
      </c>
      <c r="E600" s="17">
        <v>240</v>
      </c>
      <c r="F600" s="18">
        <v>1.5175099999999999</v>
      </c>
      <c r="G600" s="19">
        <f>Cereal[[#This Row],[N° BOLSAS]]*Cereal[[#This Row],[KG BOLSA]]</f>
        <v>364.20239999999995</v>
      </c>
      <c r="H600" s="37">
        <v>30</v>
      </c>
      <c r="I600" s="14">
        <f>ROUNDDOWN(Cereal[[#This Row],[N° BOLSAS]]/Cereal[[#This Row],[CAP. SACOS]],0)</f>
        <v>8</v>
      </c>
      <c r="J600" s="14">
        <f>Cereal[[#This Row],[N° BOLSAS]]-Cereal[[#This Row],[N° SACOS]]*Cereal[[#This Row],[CAP. SACOS]]</f>
        <v>0</v>
      </c>
      <c r="K600" s="16">
        <v>46105</v>
      </c>
      <c r="L600" s="16">
        <v>46105</v>
      </c>
      <c r="M600" s="16">
        <v>46105</v>
      </c>
      <c r="N600" s="16" t="s">
        <v>218</v>
      </c>
    </row>
    <row r="601" spans="1:14" hidden="1" x14ac:dyDescent="0.25">
      <c r="A601" s="14" t="s">
        <v>14</v>
      </c>
      <c r="B601" s="14" t="s">
        <v>217</v>
      </c>
      <c r="C601" s="15" t="s">
        <v>20</v>
      </c>
      <c r="D601" s="16">
        <v>46101</v>
      </c>
      <c r="E601" s="17">
        <v>240</v>
      </c>
      <c r="F601" s="18">
        <v>1.5175099999999999</v>
      </c>
      <c r="G601" s="19">
        <f>Cereal[[#This Row],[N° BOLSAS]]*Cereal[[#This Row],[KG BOLSA]]</f>
        <v>364.20239999999995</v>
      </c>
      <c r="H601" s="37">
        <v>30</v>
      </c>
      <c r="I601" s="14">
        <f>ROUNDDOWN(Cereal[[#This Row],[N° BOLSAS]]/Cereal[[#This Row],[CAP. SACOS]],0)</f>
        <v>8</v>
      </c>
      <c r="J601" s="14">
        <f>Cereal[[#This Row],[N° BOLSAS]]-Cereal[[#This Row],[N° SACOS]]*Cereal[[#This Row],[CAP. SACOS]]</f>
        <v>0</v>
      </c>
      <c r="K601" s="16">
        <v>46105</v>
      </c>
      <c r="L601" s="16">
        <v>46105</v>
      </c>
      <c r="M601" s="16">
        <v>46105</v>
      </c>
      <c r="N601" s="16" t="s">
        <v>218</v>
      </c>
    </row>
    <row r="602" spans="1:14" hidden="1" x14ac:dyDescent="0.25">
      <c r="A602" s="14" t="s">
        <v>14</v>
      </c>
      <c r="B602" s="14" t="s">
        <v>217</v>
      </c>
      <c r="C602" s="15" t="s">
        <v>21</v>
      </c>
      <c r="D602" s="16">
        <v>46132</v>
      </c>
      <c r="E602" s="17">
        <v>240</v>
      </c>
      <c r="F602" s="18">
        <v>1.5175099999999999</v>
      </c>
      <c r="G602" s="19">
        <f>Cereal[[#This Row],[N° BOLSAS]]*Cereal[[#This Row],[KG BOLSA]]</f>
        <v>364.20239999999995</v>
      </c>
      <c r="H602" s="37">
        <v>30</v>
      </c>
      <c r="I602" s="14">
        <f>ROUNDDOWN(Cereal[[#This Row],[N° BOLSAS]]/Cereal[[#This Row],[CAP. SACOS]],0)</f>
        <v>8</v>
      </c>
      <c r="J602" s="14">
        <f>Cereal[[#This Row],[N° BOLSAS]]-Cereal[[#This Row],[N° SACOS]]*Cereal[[#This Row],[CAP. SACOS]]</f>
        <v>0</v>
      </c>
      <c r="K602" s="16">
        <v>46132</v>
      </c>
      <c r="L602" s="16">
        <v>46132</v>
      </c>
      <c r="M602" s="16">
        <v>46132</v>
      </c>
      <c r="N602" s="16" t="s">
        <v>218</v>
      </c>
    </row>
    <row r="603" spans="1:14" hidden="1" x14ac:dyDescent="0.25">
      <c r="A603" s="14" t="s">
        <v>14</v>
      </c>
      <c r="B603" s="14" t="s">
        <v>217</v>
      </c>
      <c r="C603" s="15" t="s">
        <v>22</v>
      </c>
      <c r="D603" s="16">
        <v>46162</v>
      </c>
      <c r="E603" s="17">
        <v>240</v>
      </c>
      <c r="F603" s="18">
        <v>1.5175099999999999</v>
      </c>
      <c r="G603" s="19">
        <f>Cereal[[#This Row],[N° BOLSAS]]*Cereal[[#This Row],[KG BOLSA]]</f>
        <v>364.20239999999995</v>
      </c>
      <c r="H603" s="37">
        <v>30</v>
      </c>
      <c r="I603" s="14">
        <f>ROUNDDOWN(Cereal[[#This Row],[N° BOLSAS]]/Cereal[[#This Row],[CAP. SACOS]],0)</f>
        <v>8</v>
      </c>
      <c r="J603" s="14">
        <f>Cereal[[#This Row],[N° BOLSAS]]-Cereal[[#This Row],[N° SACOS]]*Cereal[[#This Row],[CAP. SACOS]]</f>
        <v>0</v>
      </c>
      <c r="K603" s="16">
        <v>46153</v>
      </c>
      <c r="L603" s="16">
        <v>46153</v>
      </c>
      <c r="M603" s="16">
        <v>46162</v>
      </c>
      <c r="N603" s="16" t="s">
        <v>218</v>
      </c>
    </row>
    <row r="604" spans="1:14" hidden="1" x14ac:dyDescent="0.25">
      <c r="A604" s="14" t="s">
        <v>14</v>
      </c>
      <c r="B604" s="14" t="s">
        <v>217</v>
      </c>
      <c r="C604" s="15" t="s">
        <v>23</v>
      </c>
      <c r="D604" s="16">
        <v>46192</v>
      </c>
      <c r="E604" s="17">
        <v>240</v>
      </c>
      <c r="F604" s="18">
        <v>1.5175099999999999</v>
      </c>
      <c r="G604" s="19">
        <f>Cereal[[#This Row],[N° BOLSAS]]*Cereal[[#This Row],[KG BOLSA]]</f>
        <v>364.20239999999995</v>
      </c>
      <c r="H604" s="37">
        <v>30</v>
      </c>
      <c r="I604" s="14">
        <f>ROUNDDOWN(Cereal[[#This Row],[N° BOLSAS]]/Cereal[[#This Row],[CAP. SACOS]],0)</f>
        <v>8</v>
      </c>
      <c r="J604" s="14">
        <f>Cereal[[#This Row],[N° BOLSAS]]-Cereal[[#This Row],[N° SACOS]]*Cereal[[#This Row],[CAP. SACOS]]</f>
        <v>0</v>
      </c>
      <c r="K604" s="16">
        <v>46192</v>
      </c>
      <c r="L604" s="16">
        <v>46192</v>
      </c>
      <c r="M604" s="16">
        <v>46192</v>
      </c>
      <c r="N604" s="16" t="s">
        <v>218</v>
      </c>
    </row>
    <row r="605" spans="1:14" hidden="1" x14ac:dyDescent="0.25">
      <c r="A605" s="14" t="s">
        <v>14</v>
      </c>
      <c r="B605" s="14" t="s">
        <v>217</v>
      </c>
      <c r="C605" s="15" t="s">
        <v>24</v>
      </c>
      <c r="D605" s="16">
        <v>46223</v>
      </c>
      <c r="E605" s="17">
        <v>240</v>
      </c>
      <c r="F605" s="18">
        <v>1.5175099999999999</v>
      </c>
      <c r="G605" s="19">
        <f>Cereal[[#This Row],[N° BOLSAS]]*Cereal[[#This Row],[KG BOLSA]]</f>
        <v>364.20239999999995</v>
      </c>
      <c r="H605" s="37">
        <v>30</v>
      </c>
      <c r="I605" s="14">
        <f>ROUNDDOWN(Cereal[[#This Row],[N° BOLSAS]]/Cereal[[#This Row],[CAP. SACOS]],0)</f>
        <v>8</v>
      </c>
      <c r="J605" s="14">
        <f>Cereal[[#This Row],[N° BOLSAS]]-Cereal[[#This Row],[N° SACOS]]*Cereal[[#This Row],[CAP. SACOS]]</f>
        <v>0</v>
      </c>
      <c r="K605" s="16">
        <v>46223</v>
      </c>
      <c r="L605" s="16">
        <v>46223</v>
      </c>
      <c r="M605" s="16">
        <v>46223</v>
      </c>
      <c r="N605" s="16" t="s">
        <v>218</v>
      </c>
    </row>
    <row r="606" spans="1:14" hidden="1" x14ac:dyDescent="0.25">
      <c r="A606" s="14" t="s">
        <v>14</v>
      </c>
      <c r="B606" s="14" t="s">
        <v>217</v>
      </c>
      <c r="C606" s="15" t="s">
        <v>30</v>
      </c>
      <c r="D606" s="16">
        <v>46245</v>
      </c>
      <c r="E606" s="17">
        <v>283</v>
      </c>
      <c r="F606" s="18">
        <v>1.5175099999999999</v>
      </c>
      <c r="G606" s="19">
        <f>Cereal[[#This Row],[N° BOLSAS]]*Cereal[[#This Row],[KG BOLSA]]</f>
        <v>429.45533</v>
      </c>
      <c r="H606" s="37">
        <v>30</v>
      </c>
      <c r="I606" s="14">
        <f>ROUNDDOWN(Cereal[[#This Row],[N° BOLSAS]]/Cereal[[#This Row],[CAP. SACOS]],0)</f>
        <v>9</v>
      </c>
      <c r="J606" s="14">
        <f>Cereal[[#This Row],[N° BOLSAS]]-Cereal[[#This Row],[N° SACOS]]*Cereal[[#This Row],[CAP. SACOS]]</f>
        <v>13</v>
      </c>
      <c r="K606" s="16">
        <v>46246</v>
      </c>
      <c r="L606" s="16">
        <v>46246</v>
      </c>
      <c r="M606" s="16">
        <v>46246</v>
      </c>
      <c r="N606" s="16" t="s">
        <v>218</v>
      </c>
    </row>
    <row r="607" spans="1:14" hidden="1" x14ac:dyDescent="0.25">
      <c r="A607" s="14" t="s">
        <v>14</v>
      </c>
      <c r="B607" s="14" t="s">
        <v>217</v>
      </c>
      <c r="C607" s="15" t="s">
        <v>25</v>
      </c>
      <c r="D607" s="16">
        <v>46254</v>
      </c>
      <c r="E607" s="17">
        <v>240</v>
      </c>
      <c r="F607" s="18">
        <v>1.5175099999999999</v>
      </c>
      <c r="G607" s="19">
        <f>Cereal[[#This Row],[N° BOLSAS]]*Cereal[[#This Row],[KG BOLSA]]</f>
        <v>364.20239999999995</v>
      </c>
      <c r="H607" s="37">
        <v>30</v>
      </c>
      <c r="I607" s="14">
        <f>ROUNDDOWN(Cereal[[#This Row],[N° BOLSAS]]/Cereal[[#This Row],[CAP. SACOS]],0)</f>
        <v>8</v>
      </c>
      <c r="J607" s="14">
        <f>Cereal[[#This Row],[N° BOLSAS]]-Cereal[[#This Row],[N° SACOS]]*Cereal[[#This Row],[CAP. SACOS]]</f>
        <v>0</v>
      </c>
      <c r="K607" s="16">
        <v>46246</v>
      </c>
      <c r="L607" s="16">
        <v>46246</v>
      </c>
      <c r="M607" s="16">
        <v>46246</v>
      </c>
      <c r="N607" s="16" t="s">
        <v>218</v>
      </c>
    </row>
    <row r="608" spans="1:14" hidden="1" x14ac:dyDescent="0.25">
      <c r="A608" s="14" t="s">
        <v>14</v>
      </c>
      <c r="B608" s="14" t="s">
        <v>217</v>
      </c>
      <c r="C608" s="15" t="s">
        <v>26</v>
      </c>
      <c r="D608" s="16">
        <v>46286</v>
      </c>
      <c r="E608" s="17">
        <v>240</v>
      </c>
      <c r="F608" s="18">
        <v>1.5175099999999999</v>
      </c>
      <c r="G608" s="19">
        <f>Cereal[[#This Row],[N° BOLSAS]]*Cereal[[#This Row],[KG BOLSA]]</f>
        <v>364.20239999999995</v>
      </c>
      <c r="H608" s="37">
        <v>30</v>
      </c>
      <c r="I608" s="14">
        <f>ROUNDDOWN(Cereal[[#This Row],[N° BOLSAS]]/Cereal[[#This Row],[CAP. SACOS]],0)</f>
        <v>8</v>
      </c>
      <c r="J608" s="14">
        <f>Cereal[[#This Row],[N° BOLSAS]]-Cereal[[#This Row],[N° SACOS]]*Cereal[[#This Row],[CAP. SACOS]]</f>
        <v>0</v>
      </c>
      <c r="K608" s="16">
        <v>46282</v>
      </c>
      <c r="L608" s="16">
        <v>46282</v>
      </c>
      <c r="M608" s="16">
        <v>46283</v>
      </c>
      <c r="N608" s="16" t="s">
        <v>218</v>
      </c>
    </row>
    <row r="609" spans="1:14" hidden="1" x14ac:dyDescent="0.25">
      <c r="A609" s="14" t="s">
        <v>14</v>
      </c>
      <c r="B609" s="14" t="s">
        <v>217</v>
      </c>
      <c r="C609" s="15" t="s">
        <v>27</v>
      </c>
      <c r="D609" s="16">
        <v>46315</v>
      </c>
      <c r="E609" s="17">
        <v>240</v>
      </c>
      <c r="F609" s="18">
        <v>1.5175099999999999</v>
      </c>
      <c r="G609" s="19">
        <f>Cereal[[#This Row],[N° BOLSAS]]*Cereal[[#This Row],[KG BOLSA]]</f>
        <v>364.20239999999995</v>
      </c>
      <c r="H609" s="37">
        <v>30</v>
      </c>
      <c r="I609" s="14">
        <f>ROUNDDOWN(Cereal[[#This Row],[N° BOLSAS]]/Cereal[[#This Row],[CAP. SACOS]],0)</f>
        <v>8</v>
      </c>
      <c r="J609" s="14">
        <f>Cereal[[#This Row],[N° BOLSAS]]-Cereal[[#This Row],[N° SACOS]]*Cereal[[#This Row],[CAP. SACOS]]</f>
        <v>0</v>
      </c>
      <c r="K609" s="16"/>
      <c r="L609" s="16"/>
      <c r="M609" s="16"/>
      <c r="N609" s="16" t="s">
        <v>218</v>
      </c>
    </row>
    <row r="610" spans="1:14" hidden="1" x14ac:dyDescent="0.25">
      <c r="A610" s="14" t="s">
        <v>14</v>
      </c>
      <c r="B610" s="14" t="s">
        <v>217</v>
      </c>
      <c r="C610" s="15" t="s">
        <v>28</v>
      </c>
      <c r="D610" s="16">
        <v>46346</v>
      </c>
      <c r="E610" s="17">
        <v>240</v>
      </c>
      <c r="F610" s="18">
        <v>1.5175099999999999</v>
      </c>
      <c r="G610" s="19">
        <f>Cereal[[#This Row],[N° BOLSAS]]*Cereal[[#This Row],[KG BOLSA]]</f>
        <v>364.20239999999995</v>
      </c>
      <c r="H610" s="37">
        <v>30</v>
      </c>
      <c r="I610" s="14">
        <f>ROUNDDOWN(Cereal[[#This Row],[N° BOLSAS]]/Cereal[[#This Row],[CAP. SACOS]],0)</f>
        <v>8</v>
      </c>
      <c r="J610" s="14">
        <f>Cereal[[#This Row],[N° BOLSAS]]-Cereal[[#This Row],[N° SACOS]]*Cereal[[#This Row],[CAP. SACOS]]</f>
        <v>0</v>
      </c>
      <c r="K610" s="16"/>
      <c r="L610" s="16"/>
      <c r="M610" s="16"/>
      <c r="N610" s="16" t="s">
        <v>218</v>
      </c>
    </row>
    <row r="611" spans="1:14" hidden="1" x14ac:dyDescent="0.25">
      <c r="A611" s="14" t="s">
        <v>14</v>
      </c>
      <c r="B611" s="14" t="s">
        <v>219</v>
      </c>
      <c r="C611" s="15" t="s">
        <v>121</v>
      </c>
      <c r="D611" s="16">
        <v>46081</v>
      </c>
      <c r="E611" s="17">
        <v>850</v>
      </c>
      <c r="F611" s="18">
        <v>1</v>
      </c>
      <c r="G611" s="19">
        <f>Cereal[[#This Row],[N° BOLSAS]]*Cereal[[#This Row],[KG BOLSA]]</f>
        <v>850</v>
      </c>
      <c r="H611" s="37">
        <v>40</v>
      </c>
      <c r="I611" s="14">
        <f>ROUNDDOWN(Cereal[[#This Row],[N° BOLSAS]]/Cereal[[#This Row],[CAP. SACOS]],0)</f>
        <v>21</v>
      </c>
      <c r="J611" s="14">
        <f>Cereal[[#This Row],[N° BOLSAS]]-Cereal[[#This Row],[N° SACOS]]*Cereal[[#This Row],[CAP. SACOS]]</f>
        <v>10</v>
      </c>
      <c r="K611" s="16">
        <v>46066</v>
      </c>
      <c r="L611" s="16">
        <v>46066</v>
      </c>
      <c r="M611" s="16">
        <v>46068</v>
      </c>
      <c r="N611" s="16" t="s">
        <v>220</v>
      </c>
    </row>
    <row r="612" spans="1:14" hidden="1" x14ac:dyDescent="0.25">
      <c r="A612" s="14" t="s">
        <v>14</v>
      </c>
      <c r="B612" s="14" t="s">
        <v>219</v>
      </c>
      <c r="C612" s="15" t="s">
        <v>122</v>
      </c>
      <c r="D612" s="16">
        <v>46082</v>
      </c>
      <c r="E612" s="17">
        <v>850</v>
      </c>
      <c r="F612" s="18">
        <v>1</v>
      </c>
      <c r="G612" s="19">
        <f>Cereal[[#This Row],[N° BOLSAS]]*Cereal[[#This Row],[KG BOLSA]]</f>
        <v>850</v>
      </c>
      <c r="H612" s="37">
        <v>40</v>
      </c>
      <c r="I612" s="14">
        <f>ROUNDDOWN(Cereal[[#This Row],[N° BOLSAS]]/Cereal[[#This Row],[CAP. SACOS]],0)</f>
        <v>21</v>
      </c>
      <c r="J612" s="14">
        <f>Cereal[[#This Row],[N° BOLSAS]]-Cereal[[#This Row],[N° SACOS]]*Cereal[[#This Row],[CAP. SACOS]]</f>
        <v>10</v>
      </c>
      <c r="K612" s="16">
        <v>46086</v>
      </c>
      <c r="L612" s="16">
        <v>46086</v>
      </c>
      <c r="M612" s="16">
        <v>46098</v>
      </c>
      <c r="N612" s="16" t="s">
        <v>220</v>
      </c>
    </row>
    <row r="613" spans="1:14" hidden="1" x14ac:dyDescent="0.25">
      <c r="A613" s="14" t="s">
        <v>14</v>
      </c>
      <c r="B613" s="14" t="s">
        <v>219</v>
      </c>
      <c r="C613" s="15" t="s">
        <v>43</v>
      </c>
      <c r="D613" s="16">
        <v>46143</v>
      </c>
      <c r="E613" s="17">
        <v>850</v>
      </c>
      <c r="F613" s="18">
        <v>1</v>
      </c>
      <c r="G613" s="19">
        <f>Cereal[[#This Row],[N° BOLSAS]]*Cereal[[#This Row],[KG BOLSA]]</f>
        <v>850</v>
      </c>
      <c r="H613" s="37">
        <v>40</v>
      </c>
      <c r="I613" s="14">
        <f>ROUNDDOWN(Cereal[[#This Row],[N° BOLSAS]]/Cereal[[#This Row],[CAP. SACOS]],0)</f>
        <v>21</v>
      </c>
      <c r="J613" s="14">
        <f>Cereal[[#This Row],[N° BOLSAS]]-Cereal[[#This Row],[N° SACOS]]*Cereal[[#This Row],[CAP. SACOS]]</f>
        <v>10</v>
      </c>
      <c r="K613" s="16">
        <v>46160</v>
      </c>
      <c r="L613" s="16">
        <v>46160</v>
      </c>
      <c r="M613" s="16">
        <v>46160</v>
      </c>
      <c r="N613" s="16" t="s">
        <v>220</v>
      </c>
    </row>
    <row r="614" spans="1:14" hidden="1" x14ac:dyDescent="0.25">
      <c r="A614" s="14" t="s">
        <v>14</v>
      </c>
      <c r="B614" s="14" t="s">
        <v>219</v>
      </c>
      <c r="C614" s="15" t="s">
        <v>23</v>
      </c>
      <c r="D614" s="16">
        <v>46143</v>
      </c>
      <c r="E614" s="17">
        <v>425</v>
      </c>
      <c r="F614" s="18">
        <v>1</v>
      </c>
      <c r="G614" s="19">
        <f>Cereal[[#This Row],[N° BOLSAS]]*Cereal[[#This Row],[KG BOLSA]]</f>
        <v>425</v>
      </c>
      <c r="H614" s="37">
        <v>40</v>
      </c>
      <c r="I614" s="14">
        <f>ROUNDDOWN(Cereal[[#This Row],[N° BOLSAS]]/Cereal[[#This Row],[CAP. SACOS]],0)</f>
        <v>10</v>
      </c>
      <c r="J614" s="14">
        <f>Cereal[[#This Row],[N° BOLSAS]]-Cereal[[#This Row],[N° SACOS]]*Cereal[[#This Row],[CAP. SACOS]]</f>
        <v>25</v>
      </c>
      <c r="K614" s="16">
        <v>46160</v>
      </c>
      <c r="L614" s="16">
        <v>46160</v>
      </c>
      <c r="M614" s="16">
        <v>46160</v>
      </c>
      <c r="N614" s="16" t="s">
        <v>220</v>
      </c>
    </row>
    <row r="615" spans="1:14" hidden="1" x14ac:dyDescent="0.25">
      <c r="A615" s="14" t="s">
        <v>14</v>
      </c>
      <c r="B615" s="14" t="s">
        <v>219</v>
      </c>
      <c r="C615" s="15" t="s">
        <v>24</v>
      </c>
      <c r="D615" s="16">
        <v>46241</v>
      </c>
      <c r="E615" s="17">
        <v>425</v>
      </c>
      <c r="F615" s="18">
        <v>1</v>
      </c>
      <c r="G615" s="19">
        <f>Cereal[[#This Row],[N° BOLSAS]]*Cereal[[#This Row],[KG BOLSA]]</f>
        <v>425</v>
      </c>
      <c r="H615" s="37">
        <v>40</v>
      </c>
      <c r="I615" s="14">
        <f>ROUNDDOWN(Cereal[[#This Row],[N° BOLSAS]]/Cereal[[#This Row],[CAP. SACOS]],0)</f>
        <v>10</v>
      </c>
      <c r="J615" s="14">
        <f>Cereal[[#This Row],[N° BOLSAS]]-Cereal[[#This Row],[N° SACOS]]*Cereal[[#This Row],[CAP. SACOS]]</f>
        <v>25</v>
      </c>
      <c r="K615" s="16">
        <v>46240</v>
      </c>
      <c r="L615" s="16">
        <v>46240</v>
      </c>
      <c r="M615" s="16">
        <v>46240</v>
      </c>
      <c r="N615" s="16" t="s">
        <v>220</v>
      </c>
    </row>
    <row r="616" spans="1:14" ht="22.5" hidden="1" x14ac:dyDescent="0.25">
      <c r="A616" s="14" t="s">
        <v>14</v>
      </c>
      <c r="B616" s="14" t="s">
        <v>219</v>
      </c>
      <c r="C616" s="15" t="s">
        <v>45</v>
      </c>
      <c r="D616" s="16">
        <v>46241</v>
      </c>
      <c r="E616" s="17">
        <v>850</v>
      </c>
      <c r="F616" s="18">
        <v>1</v>
      </c>
      <c r="G616" s="19">
        <f>Cereal[[#This Row],[N° BOLSAS]]*Cereal[[#This Row],[KG BOLSA]]</f>
        <v>850</v>
      </c>
      <c r="H616" s="37">
        <v>40</v>
      </c>
      <c r="I616" s="14">
        <f>ROUNDDOWN(Cereal[[#This Row],[N° BOLSAS]]/Cereal[[#This Row],[CAP. SACOS]],0)</f>
        <v>21</v>
      </c>
      <c r="J616" s="14">
        <f>Cereal[[#This Row],[N° BOLSAS]]-Cereal[[#This Row],[N° SACOS]]*Cereal[[#This Row],[CAP. SACOS]]</f>
        <v>10</v>
      </c>
      <c r="K616" s="16">
        <v>46240</v>
      </c>
      <c r="L616" s="16">
        <v>46240</v>
      </c>
      <c r="M616" s="16">
        <v>46240</v>
      </c>
      <c r="N616" s="16" t="s">
        <v>220</v>
      </c>
    </row>
    <row r="617" spans="1:14" ht="22.5" hidden="1" x14ac:dyDescent="0.25">
      <c r="A617" s="14" t="s">
        <v>14</v>
      </c>
      <c r="B617" s="14" t="s">
        <v>219</v>
      </c>
      <c r="C617" s="15" t="s">
        <v>46</v>
      </c>
      <c r="D617" s="16">
        <v>46327</v>
      </c>
      <c r="E617" s="17">
        <v>850</v>
      </c>
      <c r="F617" s="18">
        <v>1</v>
      </c>
      <c r="G617" s="19">
        <f>Cereal[[#This Row],[N° BOLSAS]]*Cereal[[#This Row],[KG BOLSA]]</f>
        <v>850</v>
      </c>
      <c r="H617" s="37">
        <v>40</v>
      </c>
      <c r="I617" s="14">
        <f>ROUNDDOWN(Cereal[[#This Row],[N° BOLSAS]]/Cereal[[#This Row],[CAP. SACOS]],0)</f>
        <v>21</v>
      </c>
      <c r="J617" s="14">
        <f>Cereal[[#This Row],[N° BOLSAS]]-Cereal[[#This Row],[N° SACOS]]*Cereal[[#This Row],[CAP. SACOS]]</f>
        <v>10</v>
      </c>
      <c r="K617" s="16"/>
      <c r="L617" s="16"/>
      <c r="M617" s="16"/>
      <c r="N617" s="16" t="s">
        <v>220</v>
      </c>
    </row>
    <row r="618" spans="1:14" hidden="1" x14ac:dyDescent="0.25">
      <c r="A618" s="14" t="s">
        <v>14</v>
      </c>
      <c r="B618" s="14" t="s">
        <v>221</v>
      </c>
      <c r="C618" s="15" t="s">
        <v>16</v>
      </c>
      <c r="D618" s="16">
        <v>46097</v>
      </c>
      <c r="E618" s="17">
        <v>1441.0309999999999</v>
      </c>
      <c r="F618" s="18">
        <v>1</v>
      </c>
      <c r="G618" s="19">
        <f>Cereal[[#This Row],[N° BOLSAS]]*Cereal[[#This Row],[KG BOLSA]]</f>
        <v>1441.0309999999999</v>
      </c>
      <c r="H618" s="37">
        <v>50</v>
      </c>
      <c r="I618" s="14">
        <f>ROUNDDOWN(Cereal[[#This Row],[N° BOLSAS]]/Cereal[[#This Row],[CAP. SACOS]],0)</f>
        <v>28</v>
      </c>
      <c r="J618" s="14">
        <f>Cereal[[#This Row],[N° BOLSAS]]-Cereal[[#This Row],[N° SACOS]]*Cereal[[#This Row],[CAP. SACOS]]</f>
        <v>41.030999999999949</v>
      </c>
      <c r="K618" s="16">
        <v>46100</v>
      </c>
      <c r="L618" s="16">
        <v>46100</v>
      </c>
      <c r="M618" s="16">
        <v>46100</v>
      </c>
      <c r="N618" s="16" t="s">
        <v>222</v>
      </c>
    </row>
    <row r="619" spans="1:14" hidden="1" x14ac:dyDescent="0.25">
      <c r="A619" s="14" t="s">
        <v>14</v>
      </c>
      <c r="B619" s="14" t="s">
        <v>221</v>
      </c>
      <c r="C619" s="15" t="s">
        <v>18</v>
      </c>
      <c r="D619" s="16">
        <v>46097</v>
      </c>
      <c r="E619" s="17">
        <v>1441.0309999999999</v>
      </c>
      <c r="F619" s="18">
        <v>1</v>
      </c>
      <c r="G619" s="19">
        <f>Cereal[[#This Row],[N° BOLSAS]]*Cereal[[#This Row],[KG BOLSA]]</f>
        <v>1441.0309999999999</v>
      </c>
      <c r="H619" s="37">
        <v>50</v>
      </c>
      <c r="I619" s="14">
        <f>ROUNDDOWN(Cereal[[#This Row],[N° BOLSAS]]/Cereal[[#This Row],[CAP. SACOS]],0)</f>
        <v>28</v>
      </c>
      <c r="J619" s="14">
        <f>Cereal[[#This Row],[N° BOLSAS]]-Cereal[[#This Row],[N° SACOS]]*Cereal[[#This Row],[CAP. SACOS]]</f>
        <v>41.030999999999949</v>
      </c>
      <c r="K619" s="16">
        <v>46100</v>
      </c>
      <c r="L619" s="16">
        <v>46100</v>
      </c>
      <c r="M619" s="16">
        <v>46100</v>
      </c>
      <c r="N619" s="16" t="s">
        <v>222</v>
      </c>
    </row>
    <row r="620" spans="1:14" hidden="1" x14ac:dyDescent="0.25">
      <c r="A620" s="14" t="s">
        <v>14</v>
      </c>
      <c r="B620" s="14" t="s">
        <v>221</v>
      </c>
      <c r="C620" s="15" t="s">
        <v>19</v>
      </c>
      <c r="D620" s="16">
        <v>46097</v>
      </c>
      <c r="E620" s="17">
        <v>1441.0309999999999</v>
      </c>
      <c r="F620" s="18">
        <v>1</v>
      </c>
      <c r="G620" s="19">
        <f>Cereal[[#This Row],[N° BOLSAS]]*Cereal[[#This Row],[KG BOLSA]]</f>
        <v>1441.0309999999999</v>
      </c>
      <c r="H620" s="37">
        <v>50</v>
      </c>
      <c r="I620" s="14">
        <f>ROUNDDOWN(Cereal[[#This Row],[N° BOLSAS]]/Cereal[[#This Row],[CAP. SACOS]],0)</f>
        <v>28</v>
      </c>
      <c r="J620" s="14">
        <f>Cereal[[#This Row],[N° BOLSAS]]-Cereal[[#This Row],[N° SACOS]]*Cereal[[#This Row],[CAP. SACOS]]</f>
        <v>41.030999999999949</v>
      </c>
      <c r="K620" s="16">
        <v>46100</v>
      </c>
      <c r="L620" s="16">
        <v>46100</v>
      </c>
      <c r="M620" s="16">
        <v>46100</v>
      </c>
      <c r="N620" s="16" t="s">
        <v>222</v>
      </c>
    </row>
    <row r="621" spans="1:14" hidden="1" x14ac:dyDescent="0.25">
      <c r="A621" s="14" t="s">
        <v>14</v>
      </c>
      <c r="B621" s="14" t="s">
        <v>221</v>
      </c>
      <c r="C621" s="15" t="s">
        <v>20</v>
      </c>
      <c r="D621" s="16">
        <v>46097</v>
      </c>
      <c r="E621" s="17">
        <v>1441.0309999999999</v>
      </c>
      <c r="F621" s="18">
        <v>1</v>
      </c>
      <c r="G621" s="19">
        <f>Cereal[[#This Row],[N° BOLSAS]]*Cereal[[#This Row],[KG BOLSA]]</f>
        <v>1441.0309999999999</v>
      </c>
      <c r="H621" s="37">
        <v>50</v>
      </c>
      <c r="I621" s="14">
        <f>ROUNDDOWN(Cereal[[#This Row],[N° BOLSAS]]/Cereal[[#This Row],[CAP. SACOS]],0)</f>
        <v>28</v>
      </c>
      <c r="J621" s="14">
        <f>Cereal[[#This Row],[N° BOLSAS]]-Cereal[[#This Row],[N° SACOS]]*Cereal[[#This Row],[CAP. SACOS]]</f>
        <v>41.030999999999949</v>
      </c>
      <c r="K621" s="16">
        <v>46100</v>
      </c>
      <c r="L621" s="16">
        <v>46100</v>
      </c>
      <c r="M621" s="16">
        <v>46100</v>
      </c>
      <c r="N621" s="16" t="s">
        <v>222</v>
      </c>
    </row>
    <row r="622" spans="1:14" hidden="1" x14ac:dyDescent="0.25">
      <c r="A622" s="14" t="s">
        <v>14</v>
      </c>
      <c r="B622" s="14" t="s">
        <v>221</v>
      </c>
      <c r="C622" s="15" t="s">
        <v>21</v>
      </c>
      <c r="D622" s="16">
        <v>46168</v>
      </c>
      <c r="E622" s="17">
        <v>1441.0309999999999</v>
      </c>
      <c r="F622" s="18">
        <v>1</v>
      </c>
      <c r="G622" s="19">
        <f>Cereal[[#This Row],[N° BOLSAS]]*Cereal[[#This Row],[KG BOLSA]]</f>
        <v>1441.0309999999999</v>
      </c>
      <c r="H622" s="37">
        <v>50</v>
      </c>
      <c r="I622" s="14">
        <f>ROUNDDOWN(Cereal[[#This Row],[N° BOLSAS]]/Cereal[[#This Row],[CAP. SACOS]],0)</f>
        <v>28</v>
      </c>
      <c r="J622" s="14">
        <f>Cereal[[#This Row],[N° BOLSAS]]-Cereal[[#This Row],[N° SACOS]]*Cereal[[#This Row],[CAP. SACOS]]</f>
        <v>41.030999999999949</v>
      </c>
      <c r="K622" s="16">
        <v>46146</v>
      </c>
      <c r="L622" s="16">
        <v>46146</v>
      </c>
      <c r="M622" s="16">
        <v>46146</v>
      </c>
      <c r="N622" s="16" t="s">
        <v>222</v>
      </c>
    </row>
    <row r="623" spans="1:14" hidden="1" x14ac:dyDescent="0.25">
      <c r="A623" s="14" t="s">
        <v>14</v>
      </c>
      <c r="B623" s="14" t="s">
        <v>221</v>
      </c>
      <c r="C623" s="15" t="s">
        <v>22</v>
      </c>
      <c r="D623" s="16">
        <v>46168</v>
      </c>
      <c r="E623" s="17">
        <v>1441.0309999999999</v>
      </c>
      <c r="F623" s="18">
        <v>1</v>
      </c>
      <c r="G623" s="19">
        <f>Cereal[[#This Row],[N° BOLSAS]]*Cereal[[#This Row],[KG BOLSA]]</f>
        <v>1441.0309999999999</v>
      </c>
      <c r="H623" s="37">
        <v>50</v>
      </c>
      <c r="I623" s="14">
        <f>ROUNDDOWN(Cereal[[#This Row],[N° BOLSAS]]/Cereal[[#This Row],[CAP. SACOS]],0)</f>
        <v>28</v>
      </c>
      <c r="J623" s="14">
        <f>Cereal[[#This Row],[N° BOLSAS]]-Cereal[[#This Row],[N° SACOS]]*Cereal[[#This Row],[CAP. SACOS]]</f>
        <v>41.030999999999949</v>
      </c>
      <c r="K623" s="16">
        <v>46150</v>
      </c>
      <c r="L623" s="16">
        <v>46150</v>
      </c>
      <c r="M623" s="16">
        <v>46154</v>
      </c>
      <c r="N623" s="16" t="s">
        <v>222</v>
      </c>
    </row>
    <row r="624" spans="1:14" hidden="1" x14ac:dyDescent="0.25">
      <c r="A624" s="14" t="s">
        <v>14</v>
      </c>
      <c r="B624" s="14" t="s">
        <v>221</v>
      </c>
      <c r="C624" s="15" t="s">
        <v>23</v>
      </c>
      <c r="D624" s="16">
        <v>46196</v>
      </c>
      <c r="E624" s="17">
        <v>1441.0309999999999</v>
      </c>
      <c r="F624" s="18">
        <v>1</v>
      </c>
      <c r="G624" s="19">
        <f>Cereal[[#This Row],[N° BOLSAS]]*Cereal[[#This Row],[KG BOLSA]]</f>
        <v>1441.0309999999999</v>
      </c>
      <c r="H624" s="37">
        <v>50</v>
      </c>
      <c r="I624" s="14">
        <f>ROUNDDOWN(Cereal[[#This Row],[N° BOLSAS]]/Cereal[[#This Row],[CAP. SACOS]],0)</f>
        <v>28</v>
      </c>
      <c r="J624" s="14">
        <f>Cereal[[#This Row],[N° BOLSAS]]-Cereal[[#This Row],[N° SACOS]]*Cereal[[#This Row],[CAP. SACOS]]</f>
        <v>41.030999999999949</v>
      </c>
      <c r="K624" s="16">
        <v>46182</v>
      </c>
      <c r="L624" s="16">
        <v>46182</v>
      </c>
      <c r="M624" s="16">
        <v>46182</v>
      </c>
      <c r="N624" s="16" t="s">
        <v>222</v>
      </c>
    </row>
    <row r="625" spans="1:14" hidden="1" x14ac:dyDescent="0.25">
      <c r="A625" s="14" t="s">
        <v>14</v>
      </c>
      <c r="B625" s="14" t="s">
        <v>221</v>
      </c>
      <c r="C625" s="15" t="s">
        <v>24</v>
      </c>
      <c r="D625" s="16">
        <v>46227</v>
      </c>
      <c r="E625" s="17">
        <v>1441.0309999999999</v>
      </c>
      <c r="F625" s="18">
        <v>1</v>
      </c>
      <c r="G625" s="19">
        <f>Cereal[[#This Row],[N° BOLSAS]]*Cereal[[#This Row],[KG BOLSA]]</f>
        <v>1441.0309999999999</v>
      </c>
      <c r="H625" s="37">
        <v>50</v>
      </c>
      <c r="I625" s="14">
        <f>ROUNDDOWN(Cereal[[#This Row],[N° BOLSAS]]/Cereal[[#This Row],[CAP. SACOS]],0)</f>
        <v>28</v>
      </c>
      <c r="J625" s="14">
        <f>Cereal[[#This Row],[N° BOLSAS]]-Cereal[[#This Row],[N° SACOS]]*Cereal[[#This Row],[CAP. SACOS]]</f>
        <v>41.030999999999949</v>
      </c>
      <c r="K625" s="16">
        <v>46226</v>
      </c>
      <c r="L625" s="16">
        <v>46257</v>
      </c>
      <c r="M625" s="16">
        <v>46226</v>
      </c>
      <c r="N625" s="16" t="s">
        <v>222</v>
      </c>
    </row>
    <row r="626" spans="1:14" hidden="1" x14ac:dyDescent="0.25">
      <c r="A626" s="14" t="s">
        <v>14</v>
      </c>
      <c r="B626" s="14" t="s">
        <v>221</v>
      </c>
      <c r="C626" s="15" t="s">
        <v>30</v>
      </c>
      <c r="D626" s="16">
        <v>46259</v>
      </c>
      <c r="E626" s="17">
        <v>720</v>
      </c>
      <c r="F626" s="18">
        <v>1</v>
      </c>
      <c r="G626" s="19">
        <f>Cereal[[#This Row],[N° BOLSAS]]*Cereal[[#This Row],[KG BOLSA]]</f>
        <v>720</v>
      </c>
      <c r="H626" s="37">
        <v>50</v>
      </c>
      <c r="I626" s="14">
        <f>ROUNDDOWN(Cereal[[#This Row],[N° BOLSAS]]/Cereal[[#This Row],[CAP. SACOS]],0)</f>
        <v>14</v>
      </c>
      <c r="J626" s="14">
        <f>Cereal[[#This Row],[N° BOLSAS]]-Cereal[[#This Row],[N° SACOS]]*Cereal[[#This Row],[CAP. SACOS]]</f>
        <v>20</v>
      </c>
      <c r="K626" s="16">
        <v>46257</v>
      </c>
      <c r="L626" s="16">
        <v>46257</v>
      </c>
      <c r="M626" s="16">
        <v>46257</v>
      </c>
      <c r="N626" s="16" t="s">
        <v>222</v>
      </c>
    </row>
    <row r="627" spans="1:14" hidden="1" x14ac:dyDescent="0.25">
      <c r="A627" s="14" t="s">
        <v>14</v>
      </c>
      <c r="B627" s="14" t="s">
        <v>221</v>
      </c>
      <c r="C627" s="15" t="s">
        <v>25</v>
      </c>
      <c r="D627" s="16">
        <v>46260</v>
      </c>
      <c r="E627" s="17">
        <v>1441.0309999999999</v>
      </c>
      <c r="F627" s="18">
        <v>1</v>
      </c>
      <c r="G627" s="19">
        <f>Cereal[[#This Row],[N° BOLSAS]]*Cereal[[#This Row],[KG BOLSA]]</f>
        <v>1441.0309999999999</v>
      </c>
      <c r="H627" s="37">
        <v>50</v>
      </c>
      <c r="I627" s="14">
        <f>ROUNDDOWN(Cereal[[#This Row],[N° BOLSAS]]/Cereal[[#This Row],[CAP. SACOS]],0)</f>
        <v>28</v>
      </c>
      <c r="J627" s="14">
        <f>Cereal[[#This Row],[N° BOLSAS]]-Cereal[[#This Row],[N° SACOS]]*Cereal[[#This Row],[CAP. SACOS]]</f>
        <v>41.030999999999949</v>
      </c>
      <c r="K627" s="16">
        <v>46257</v>
      </c>
      <c r="L627" s="16">
        <v>46257</v>
      </c>
      <c r="M627" s="16">
        <v>46257</v>
      </c>
      <c r="N627" s="16" t="s">
        <v>222</v>
      </c>
    </row>
    <row r="628" spans="1:14" hidden="1" x14ac:dyDescent="0.25">
      <c r="A628" s="14" t="s">
        <v>14</v>
      </c>
      <c r="B628" s="14" t="s">
        <v>221</v>
      </c>
      <c r="C628" s="15" t="s">
        <v>26</v>
      </c>
      <c r="D628" s="16">
        <v>46290</v>
      </c>
      <c r="E628" s="17">
        <v>1441.0309999999999</v>
      </c>
      <c r="F628" s="18">
        <v>1</v>
      </c>
      <c r="G628" s="19">
        <f>Cereal[[#This Row],[N° BOLSAS]]*Cereal[[#This Row],[KG BOLSA]]</f>
        <v>1441.0309999999999</v>
      </c>
      <c r="H628" s="37">
        <v>50</v>
      </c>
      <c r="I628" s="14">
        <f>ROUNDDOWN(Cereal[[#This Row],[N° BOLSAS]]/Cereal[[#This Row],[CAP. SACOS]],0)</f>
        <v>28</v>
      </c>
      <c r="J628" s="14">
        <f>Cereal[[#This Row],[N° BOLSAS]]-Cereal[[#This Row],[N° SACOS]]*Cereal[[#This Row],[CAP. SACOS]]</f>
        <v>41.030999999999949</v>
      </c>
      <c r="K628" s="16"/>
      <c r="L628" s="16"/>
      <c r="M628" s="16"/>
      <c r="N628" s="16" t="s">
        <v>222</v>
      </c>
    </row>
    <row r="629" spans="1:14" hidden="1" x14ac:dyDescent="0.25">
      <c r="A629" s="14" t="s">
        <v>14</v>
      </c>
      <c r="B629" s="14" t="s">
        <v>221</v>
      </c>
      <c r="C629" s="15" t="s">
        <v>27</v>
      </c>
      <c r="D629" s="16">
        <v>46322</v>
      </c>
      <c r="E629" s="17">
        <v>1441.0309999999999</v>
      </c>
      <c r="F629" s="18">
        <v>1</v>
      </c>
      <c r="G629" s="19">
        <f>Cereal[[#This Row],[N° BOLSAS]]*Cereal[[#This Row],[KG BOLSA]]</f>
        <v>1441.0309999999999</v>
      </c>
      <c r="H629" s="37">
        <v>50</v>
      </c>
      <c r="I629" s="14">
        <f>ROUNDDOWN(Cereal[[#This Row],[N° BOLSAS]]/Cereal[[#This Row],[CAP. SACOS]],0)</f>
        <v>28</v>
      </c>
      <c r="J629" s="14">
        <f>Cereal[[#This Row],[N° BOLSAS]]-Cereal[[#This Row],[N° SACOS]]*Cereal[[#This Row],[CAP. SACOS]]</f>
        <v>41.030999999999949</v>
      </c>
      <c r="K629" s="16"/>
      <c r="L629" s="16"/>
      <c r="M629" s="16"/>
      <c r="N629" s="16" t="s">
        <v>222</v>
      </c>
    </row>
    <row r="630" spans="1:14" hidden="1" x14ac:dyDescent="0.25">
      <c r="A630" s="14" t="s">
        <v>14</v>
      </c>
      <c r="B630" s="14" t="s">
        <v>221</v>
      </c>
      <c r="C630" s="15" t="s">
        <v>28</v>
      </c>
      <c r="D630" s="16">
        <v>46351</v>
      </c>
      <c r="E630" s="17">
        <v>1441.0309999999999</v>
      </c>
      <c r="F630" s="18">
        <v>1</v>
      </c>
      <c r="G630" s="19">
        <f>Cereal[[#This Row],[N° BOLSAS]]*Cereal[[#This Row],[KG BOLSA]]</f>
        <v>1441.0309999999999</v>
      </c>
      <c r="H630" s="37">
        <v>50</v>
      </c>
      <c r="I630" s="14">
        <f>ROUNDDOWN(Cereal[[#This Row],[N° BOLSAS]]/Cereal[[#This Row],[CAP. SACOS]],0)</f>
        <v>28</v>
      </c>
      <c r="J630" s="14">
        <f>Cereal[[#This Row],[N° BOLSAS]]-Cereal[[#This Row],[N° SACOS]]*Cereal[[#This Row],[CAP. SACOS]]</f>
        <v>41.030999999999949</v>
      </c>
      <c r="K630" s="16"/>
      <c r="L630" s="16"/>
      <c r="M630" s="16"/>
      <c r="N630" s="16" t="s">
        <v>222</v>
      </c>
    </row>
    <row r="631" spans="1:14" hidden="1" x14ac:dyDescent="0.25">
      <c r="A631" s="14" t="s">
        <v>193</v>
      </c>
      <c r="B631" s="14" t="s">
        <v>223</v>
      </c>
      <c r="C631" s="15" t="s">
        <v>30</v>
      </c>
      <c r="D631" s="16">
        <v>46022</v>
      </c>
      <c r="E631" s="17">
        <v>2540</v>
      </c>
      <c r="F631" s="18">
        <v>1.5670999999999999</v>
      </c>
      <c r="G631" s="19">
        <f>Cereal[[#This Row],[N° BOLSAS]]*Cereal[[#This Row],[KG BOLSA]]</f>
        <v>3980.4339999999997</v>
      </c>
      <c r="H631" s="37">
        <v>30</v>
      </c>
      <c r="I631" s="14">
        <f>ROUNDDOWN(Cereal[[#This Row],[N° BOLSAS]]/Cereal[[#This Row],[CAP. SACOS]],0)</f>
        <v>84</v>
      </c>
      <c r="J631" s="14">
        <f>Cereal[[#This Row],[N° BOLSAS]]-Cereal[[#This Row],[N° SACOS]]*Cereal[[#This Row],[CAP. SACOS]]</f>
        <v>20</v>
      </c>
      <c r="K631" s="16">
        <v>46021</v>
      </c>
      <c r="L631" s="16">
        <v>46021</v>
      </c>
      <c r="M631" s="16">
        <v>46386</v>
      </c>
      <c r="N631" s="16" t="s">
        <v>224</v>
      </c>
    </row>
    <row r="632" spans="1:14" hidden="1" x14ac:dyDescent="0.25">
      <c r="A632" s="14" t="s">
        <v>193</v>
      </c>
      <c r="B632" s="14" t="s">
        <v>223</v>
      </c>
      <c r="C632" s="15" t="s">
        <v>30</v>
      </c>
      <c r="D632" s="16">
        <v>46042</v>
      </c>
      <c r="E632" s="17">
        <v>2540</v>
      </c>
      <c r="F632" s="18">
        <v>1.5670999999999999</v>
      </c>
      <c r="G632" s="19">
        <f>Cereal[[#This Row],[N° BOLSAS]]*Cereal[[#This Row],[KG BOLSA]]</f>
        <v>3980.4339999999997</v>
      </c>
      <c r="H632" s="37">
        <v>30</v>
      </c>
      <c r="I632" s="14">
        <f>ROUNDDOWN(Cereal[[#This Row],[N° BOLSAS]]/Cereal[[#This Row],[CAP. SACOS]],0)</f>
        <v>84</v>
      </c>
      <c r="J632" s="14">
        <f>Cereal[[#This Row],[N° BOLSAS]]-Cereal[[#This Row],[N° SACOS]]*Cereal[[#This Row],[CAP. SACOS]]</f>
        <v>20</v>
      </c>
      <c r="K632" s="16">
        <v>46032</v>
      </c>
      <c r="L632" s="16">
        <v>46032</v>
      </c>
      <c r="M632" s="16">
        <v>46034</v>
      </c>
      <c r="N632" s="16" t="s">
        <v>224</v>
      </c>
    </row>
    <row r="633" spans="1:14" hidden="1" x14ac:dyDescent="0.25">
      <c r="A633" s="14" t="s">
        <v>193</v>
      </c>
      <c r="B633" s="14" t="s">
        <v>223</v>
      </c>
      <c r="C633" s="15" t="s">
        <v>19</v>
      </c>
      <c r="D633" s="16">
        <v>46068</v>
      </c>
      <c r="E633" s="17">
        <v>2540</v>
      </c>
      <c r="F633" s="18">
        <v>1.5670999999999999</v>
      </c>
      <c r="G633" s="19">
        <f>Cereal[[#This Row],[N° BOLSAS]]*Cereal[[#This Row],[KG BOLSA]]</f>
        <v>3980.4339999999997</v>
      </c>
      <c r="H633" s="37">
        <v>30</v>
      </c>
      <c r="I633" s="14">
        <f>ROUNDDOWN(Cereal[[#This Row],[N° BOLSAS]]/Cereal[[#This Row],[CAP. SACOS]],0)</f>
        <v>84</v>
      </c>
      <c r="J633" s="14">
        <f>Cereal[[#This Row],[N° BOLSAS]]-Cereal[[#This Row],[N° SACOS]]*Cereal[[#This Row],[CAP. SACOS]]</f>
        <v>20</v>
      </c>
      <c r="K633" s="16">
        <v>46063</v>
      </c>
      <c r="L633" s="16">
        <v>46063</v>
      </c>
      <c r="M633" s="16">
        <v>46063</v>
      </c>
      <c r="N633" s="16" t="s">
        <v>224</v>
      </c>
    </row>
    <row r="634" spans="1:14" hidden="1" x14ac:dyDescent="0.25">
      <c r="A634" s="14" t="s">
        <v>193</v>
      </c>
      <c r="B634" s="14" t="s">
        <v>223</v>
      </c>
      <c r="C634" s="15" t="s">
        <v>20</v>
      </c>
      <c r="D634" s="16">
        <v>46096</v>
      </c>
      <c r="E634" s="17">
        <v>2540</v>
      </c>
      <c r="F634" s="18">
        <v>1.5670999999999999</v>
      </c>
      <c r="G634" s="19">
        <f>Cereal[[#This Row],[N° BOLSAS]]*Cereal[[#This Row],[KG BOLSA]]</f>
        <v>3980.4339999999997</v>
      </c>
      <c r="H634" s="37">
        <v>30</v>
      </c>
      <c r="I634" s="14">
        <f>ROUNDDOWN(Cereal[[#This Row],[N° BOLSAS]]/Cereal[[#This Row],[CAP. SACOS]],0)</f>
        <v>84</v>
      </c>
      <c r="J634" s="14">
        <f>Cereal[[#This Row],[N° BOLSAS]]-Cereal[[#This Row],[N° SACOS]]*Cereal[[#This Row],[CAP. SACOS]]</f>
        <v>20</v>
      </c>
      <c r="K634" s="16">
        <v>46101</v>
      </c>
      <c r="L634" s="16">
        <v>46101</v>
      </c>
      <c r="M634" s="16">
        <v>46104</v>
      </c>
      <c r="N634" s="16" t="s">
        <v>224</v>
      </c>
    </row>
    <row r="635" spans="1:14" hidden="1" x14ac:dyDescent="0.25">
      <c r="A635" s="14" t="s">
        <v>193</v>
      </c>
      <c r="B635" s="14" t="s">
        <v>223</v>
      </c>
      <c r="C635" s="15" t="s">
        <v>21</v>
      </c>
      <c r="D635" s="16">
        <v>46127</v>
      </c>
      <c r="E635" s="17">
        <v>2540</v>
      </c>
      <c r="F635" s="18">
        <v>1.5670999999999999</v>
      </c>
      <c r="G635" s="19">
        <f>Cereal[[#This Row],[N° BOLSAS]]*Cereal[[#This Row],[KG BOLSA]]</f>
        <v>3980.4339999999997</v>
      </c>
      <c r="H635" s="37">
        <v>30</v>
      </c>
      <c r="I635" s="14">
        <f>ROUNDDOWN(Cereal[[#This Row],[N° BOLSAS]]/Cereal[[#This Row],[CAP. SACOS]],0)</f>
        <v>84</v>
      </c>
      <c r="J635" s="14">
        <f>Cereal[[#This Row],[N° BOLSAS]]-Cereal[[#This Row],[N° SACOS]]*Cereal[[#This Row],[CAP. SACOS]]</f>
        <v>20</v>
      </c>
      <c r="K635" s="16">
        <v>46125</v>
      </c>
      <c r="L635" s="16">
        <v>46125</v>
      </c>
      <c r="M635" s="16">
        <v>46135</v>
      </c>
      <c r="N635" s="16" t="s">
        <v>224</v>
      </c>
    </row>
    <row r="636" spans="1:14" hidden="1" x14ac:dyDescent="0.25">
      <c r="A636" s="14" t="s">
        <v>193</v>
      </c>
      <c r="B636" s="14" t="s">
        <v>223</v>
      </c>
      <c r="C636" s="15" t="s">
        <v>22</v>
      </c>
      <c r="D636" s="16">
        <v>46157</v>
      </c>
      <c r="E636" s="17">
        <v>2540</v>
      </c>
      <c r="F636" s="18">
        <v>1.5670999999999999</v>
      </c>
      <c r="G636" s="19">
        <f>Cereal[[#This Row],[N° BOLSAS]]*Cereal[[#This Row],[KG BOLSA]]</f>
        <v>3980.4339999999997</v>
      </c>
      <c r="H636" s="37">
        <v>30</v>
      </c>
      <c r="I636" s="14">
        <f>ROUNDDOWN(Cereal[[#This Row],[N° BOLSAS]]/Cereal[[#This Row],[CAP. SACOS]],0)</f>
        <v>84</v>
      </c>
      <c r="J636" s="14">
        <f>Cereal[[#This Row],[N° BOLSAS]]-Cereal[[#This Row],[N° SACOS]]*Cereal[[#This Row],[CAP. SACOS]]</f>
        <v>20</v>
      </c>
      <c r="K636" s="16">
        <v>46154</v>
      </c>
      <c r="L636" s="16">
        <v>46154</v>
      </c>
      <c r="M636" s="16">
        <v>46159</v>
      </c>
      <c r="N636" s="16" t="s">
        <v>224</v>
      </c>
    </row>
    <row r="637" spans="1:14" hidden="1" x14ac:dyDescent="0.25">
      <c r="A637" s="14" t="s">
        <v>193</v>
      </c>
      <c r="B637" s="14" t="s">
        <v>223</v>
      </c>
      <c r="C637" s="15" t="s">
        <v>23</v>
      </c>
      <c r="D637" s="16">
        <v>46188</v>
      </c>
      <c r="E637" s="17">
        <v>2540</v>
      </c>
      <c r="F637" s="18">
        <v>1.5670999999999999</v>
      </c>
      <c r="G637" s="19">
        <f>Cereal[[#This Row],[N° BOLSAS]]*Cereal[[#This Row],[KG BOLSA]]</f>
        <v>3980.4339999999997</v>
      </c>
      <c r="H637" s="37">
        <v>30</v>
      </c>
      <c r="I637" s="14">
        <f>ROUNDDOWN(Cereal[[#This Row],[N° BOLSAS]]/Cereal[[#This Row],[CAP. SACOS]],0)</f>
        <v>84</v>
      </c>
      <c r="J637" s="14">
        <f>Cereal[[#This Row],[N° BOLSAS]]-Cereal[[#This Row],[N° SACOS]]*Cereal[[#This Row],[CAP. SACOS]]</f>
        <v>20</v>
      </c>
      <c r="K637" s="16">
        <v>46187</v>
      </c>
      <c r="L637" s="16">
        <v>46187</v>
      </c>
      <c r="M637" s="16">
        <v>46195</v>
      </c>
      <c r="N637" s="16" t="s">
        <v>224</v>
      </c>
    </row>
    <row r="638" spans="1:14" hidden="1" x14ac:dyDescent="0.25">
      <c r="A638" s="14" t="s">
        <v>193</v>
      </c>
      <c r="B638" s="14" t="s">
        <v>223</v>
      </c>
      <c r="C638" s="15" t="s">
        <v>24</v>
      </c>
      <c r="D638" s="16">
        <v>46218</v>
      </c>
      <c r="E638" s="17">
        <v>2540</v>
      </c>
      <c r="F638" s="18">
        <v>1.5670999999999999</v>
      </c>
      <c r="G638" s="19">
        <f>Cereal[[#This Row],[N° BOLSAS]]*Cereal[[#This Row],[KG BOLSA]]</f>
        <v>3980.4339999999997</v>
      </c>
      <c r="H638" s="37">
        <v>30</v>
      </c>
      <c r="I638" s="14">
        <f>ROUNDDOWN(Cereal[[#This Row],[N° BOLSAS]]/Cereal[[#This Row],[CAP. SACOS]],0)</f>
        <v>84</v>
      </c>
      <c r="J638" s="14">
        <f>Cereal[[#This Row],[N° BOLSAS]]-Cereal[[#This Row],[N° SACOS]]*Cereal[[#This Row],[CAP. SACOS]]</f>
        <v>20</v>
      </c>
      <c r="K638" s="16">
        <v>46226</v>
      </c>
      <c r="L638" s="16">
        <v>46226</v>
      </c>
      <c r="M638" s="16">
        <v>46226</v>
      </c>
      <c r="N638" s="16" t="s">
        <v>224</v>
      </c>
    </row>
    <row r="639" spans="1:14" hidden="1" x14ac:dyDescent="0.25">
      <c r="A639" s="14" t="s">
        <v>193</v>
      </c>
      <c r="B639" s="14" t="s">
        <v>223</v>
      </c>
      <c r="C639" s="15" t="s">
        <v>30</v>
      </c>
      <c r="D639" s="16">
        <v>46249</v>
      </c>
      <c r="E639" s="17">
        <v>2540</v>
      </c>
      <c r="F639" s="18">
        <v>0.65627999999999997</v>
      </c>
      <c r="G639" s="19">
        <f>Cereal[[#This Row],[N° BOLSAS]]*Cereal[[#This Row],[KG BOLSA]]</f>
        <v>1666.9512</v>
      </c>
      <c r="H639" s="37">
        <v>70</v>
      </c>
      <c r="I639" s="14">
        <f>ROUNDDOWN(Cereal[[#This Row],[N° BOLSAS]]/Cereal[[#This Row],[CAP. SACOS]],0)</f>
        <v>36</v>
      </c>
      <c r="J639" s="14">
        <f>Cereal[[#This Row],[N° BOLSAS]]-Cereal[[#This Row],[N° SACOS]]*Cereal[[#This Row],[CAP. SACOS]]</f>
        <v>20</v>
      </c>
      <c r="K639" s="16">
        <v>46254</v>
      </c>
      <c r="L639" s="16">
        <v>46254</v>
      </c>
      <c r="M639" s="16">
        <v>46257</v>
      </c>
      <c r="N639" s="16" t="s">
        <v>224</v>
      </c>
    </row>
    <row r="640" spans="1:14" hidden="1" x14ac:dyDescent="0.25">
      <c r="A640" s="14" t="s">
        <v>193</v>
      </c>
      <c r="B640" s="14" t="s">
        <v>223</v>
      </c>
      <c r="C640" s="15" t="s">
        <v>25</v>
      </c>
      <c r="D640" s="16">
        <v>46249</v>
      </c>
      <c r="E640" s="17">
        <v>2540</v>
      </c>
      <c r="F640" s="18">
        <v>1.5670999999999999</v>
      </c>
      <c r="G640" s="19">
        <f>Cereal[[#This Row],[N° BOLSAS]]*Cereal[[#This Row],[KG BOLSA]]</f>
        <v>3980.4339999999997</v>
      </c>
      <c r="H640" s="37">
        <v>30</v>
      </c>
      <c r="I640" s="14">
        <f>ROUNDDOWN(Cereal[[#This Row],[N° BOLSAS]]/Cereal[[#This Row],[CAP. SACOS]],0)</f>
        <v>84</v>
      </c>
      <c r="J640" s="14">
        <f>Cereal[[#This Row],[N° BOLSAS]]-Cereal[[#This Row],[N° SACOS]]*Cereal[[#This Row],[CAP. SACOS]]</f>
        <v>20</v>
      </c>
      <c r="K640" s="16">
        <v>46242</v>
      </c>
      <c r="L640" s="16">
        <v>46242</v>
      </c>
      <c r="M640" s="16">
        <v>46257</v>
      </c>
      <c r="N640" s="16" t="s">
        <v>224</v>
      </c>
    </row>
    <row r="641" spans="1:14" hidden="1" x14ac:dyDescent="0.25">
      <c r="A641" s="14" t="s">
        <v>193</v>
      </c>
      <c r="B641" s="14" t="s">
        <v>223</v>
      </c>
      <c r="C641" s="15" t="s">
        <v>26</v>
      </c>
      <c r="D641" s="16">
        <v>46280</v>
      </c>
      <c r="E641" s="17">
        <v>2540</v>
      </c>
      <c r="F641" s="18">
        <v>1.5670999999999999</v>
      </c>
      <c r="G641" s="19">
        <f>Cereal[[#This Row],[N° BOLSAS]]*Cereal[[#This Row],[KG BOLSA]]</f>
        <v>3980.4339999999997</v>
      </c>
      <c r="H641" s="37">
        <v>30</v>
      </c>
      <c r="I641" s="14">
        <f>ROUNDDOWN(Cereal[[#This Row],[N° BOLSAS]]/Cereal[[#This Row],[CAP. SACOS]],0)</f>
        <v>84</v>
      </c>
      <c r="J641" s="14">
        <f>Cereal[[#This Row],[N° BOLSAS]]-Cereal[[#This Row],[N° SACOS]]*Cereal[[#This Row],[CAP. SACOS]]</f>
        <v>20</v>
      </c>
      <c r="K641" s="16">
        <v>46289</v>
      </c>
      <c r="L641" s="16">
        <v>46289</v>
      </c>
      <c r="M641" s="16">
        <v>46289</v>
      </c>
      <c r="N641" s="16" t="s">
        <v>224</v>
      </c>
    </row>
    <row r="642" spans="1:14" hidden="1" x14ac:dyDescent="0.25">
      <c r="A642" s="14" t="s">
        <v>193</v>
      </c>
      <c r="B642" s="14" t="s">
        <v>223</v>
      </c>
      <c r="C642" s="15" t="s">
        <v>27</v>
      </c>
      <c r="D642" s="16">
        <v>46310</v>
      </c>
      <c r="E642" s="17">
        <v>2540</v>
      </c>
      <c r="F642" s="18">
        <v>1.5670999999999999</v>
      </c>
      <c r="G642" s="19">
        <f>Cereal[[#This Row],[N° BOLSAS]]*Cereal[[#This Row],[KG BOLSA]]</f>
        <v>3980.4339999999997</v>
      </c>
      <c r="H642" s="37">
        <v>30</v>
      </c>
      <c r="I642" s="14">
        <f>ROUNDDOWN(Cereal[[#This Row],[N° BOLSAS]]/Cereal[[#This Row],[CAP. SACOS]],0)</f>
        <v>84</v>
      </c>
      <c r="J642" s="14">
        <f>Cereal[[#This Row],[N° BOLSAS]]-Cereal[[#This Row],[N° SACOS]]*Cereal[[#This Row],[CAP. SACOS]]</f>
        <v>20</v>
      </c>
      <c r="K642" s="16"/>
      <c r="L642" s="16"/>
      <c r="M642" s="16"/>
      <c r="N642" s="16" t="s">
        <v>224</v>
      </c>
    </row>
    <row r="643" spans="1:14" hidden="1" x14ac:dyDescent="0.25">
      <c r="A643" s="14" t="s">
        <v>193</v>
      </c>
      <c r="B643" s="14" t="s">
        <v>223</v>
      </c>
      <c r="C643" s="15" t="s">
        <v>28</v>
      </c>
      <c r="D643" s="16">
        <v>46341</v>
      </c>
      <c r="E643" s="17">
        <v>2540</v>
      </c>
      <c r="F643" s="18">
        <v>1.5670999999999999</v>
      </c>
      <c r="G643" s="19">
        <f>Cereal[[#This Row],[N° BOLSAS]]*Cereal[[#This Row],[KG BOLSA]]</f>
        <v>3980.4339999999997</v>
      </c>
      <c r="H643" s="37">
        <v>30</v>
      </c>
      <c r="I643" s="14">
        <f>ROUNDDOWN(Cereal[[#This Row],[N° BOLSAS]]/Cereal[[#This Row],[CAP. SACOS]],0)</f>
        <v>84</v>
      </c>
      <c r="J643" s="14">
        <f>Cereal[[#This Row],[N° BOLSAS]]-Cereal[[#This Row],[N° SACOS]]*Cereal[[#This Row],[CAP. SACOS]]</f>
        <v>20</v>
      </c>
      <c r="K643" s="16"/>
      <c r="L643" s="16"/>
      <c r="M643" s="16"/>
      <c r="N643" s="16" t="s">
        <v>224</v>
      </c>
    </row>
    <row r="644" spans="1:14" ht="22.5" hidden="1" x14ac:dyDescent="0.25">
      <c r="A644" s="14" t="s">
        <v>14</v>
      </c>
      <c r="B644" s="14" t="s">
        <v>225</v>
      </c>
      <c r="C644" s="15" t="s">
        <v>35</v>
      </c>
      <c r="D644" s="16">
        <v>46112</v>
      </c>
      <c r="E644" s="17">
        <v>2340</v>
      </c>
      <c r="F644" s="18">
        <v>0.62063999999999997</v>
      </c>
      <c r="G644" s="19">
        <f>Cereal[[#This Row],[N° BOLSAS]]*Cereal[[#This Row],[KG BOLSA]]</f>
        <v>1452.2975999999999</v>
      </c>
      <c r="H644" s="37">
        <v>60</v>
      </c>
      <c r="I644" s="14">
        <f>ROUNDDOWN(Cereal[[#This Row],[N° BOLSAS]]/Cereal[[#This Row],[CAP. SACOS]],0)</f>
        <v>39</v>
      </c>
      <c r="J644" s="14">
        <f>Cereal[[#This Row],[N° BOLSAS]]-Cereal[[#This Row],[N° SACOS]]*Cereal[[#This Row],[CAP. SACOS]]</f>
        <v>0</v>
      </c>
      <c r="K644" s="16">
        <v>46118</v>
      </c>
      <c r="L644" s="16">
        <v>46118</v>
      </c>
      <c r="M644" s="16">
        <v>46119</v>
      </c>
      <c r="N644" s="16" t="s">
        <v>226</v>
      </c>
    </row>
    <row r="645" spans="1:14" hidden="1" x14ac:dyDescent="0.25">
      <c r="A645" s="14" t="s">
        <v>14</v>
      </c>
      <c r="B645" s="14" t="s">
        <v>227</v>
      </c>
      <c r="C645" s="15" t="s">
        <v>37</v>
      </c>
      <c r="D645" s="16">
        <v>46154</v>
      </c>
      <c r="E645" s="17">
        <v>2340</v>
      </c>
      <c r="F645" s="18">
        <v>0.62063999999999997</v>
      </c>
      <c r="G645" s="19">
        <f>Cereal[[#This Row],[N° BOLSAS]]*Cereal[[#This Row],[KG BOLSA]]</f>
        <v>1452.2975999999999</v>
      </c>
      <c r="H645" s="37">
        <v>70</v>
      </c>
      <c r="I645" s="14">
        <f>ROUNDDOWN(Cereal[[#This Row],[N° BOLSAS]]/Cereal[[#This Row],[CAP. SACOS]],0)</f>
        <v>33</v>
      </c>
      <c r="J645" s="14">
        <f>Cereal[[#This Row],[N° BOLSAS]]-Cereal[[#This Row],[N° SACOS]]*Cereal[[#This Row],[CAP. SACOS]]</f>
        <v>30</v>
      </c>
      <c r="K645" s="16">
        <v>46151</v>
      </c>
      <c r="L645" s="16">
        <v>46151</v>
      </c>
      <c r="M645" s="16">
        <v>46153</v>
      </c>
      <c r="N645" s="16" t="s">
        <v>226</v>
      </c>
    </row>
    <row r="646" spans="1:14" ht="22.5" hidden="1" x14ac:dyDescent="0.25">
      <c r="A646" s="14" t="s">
        <v>14</v>
      </c>
      <c r="B646" s="14" t="s">
        <v>227</v>
      </c>
      <c r="C646" s="15" t="s">
        <v>38</v>
      </c>
      <c r="D646" s="16">
        <v>46203</v>
      </c>
      <c r="E646" s="17">
        <v>2340</v>
      </c>
      <c r="F646" s="18">
        <v>0.62063999999999997</v>
      </c>
      <c r="G646" s="19">
        <f>Cereal[[#This Row],[N° BOLSAS]]*Cereal[[#This Row],[KG BOLSA]]</f>
        <v>1452.2975999999999</v>
      </c>
      <c r="H646" s="37">
        <v>70</v>
      </c>
      <c r="I646" s="14">
        <f>ROUNDDOWN(Cereal[[#This Row],[N° BOLSAS]]/Cereal[[#This Row],[CAP. SACOS]],0)</f>
        <v>33</v>
      </c>
      <c r="J646" s="14">
        <f>Cereal[[#This Row],[N° BOLSAS]]-Cereal[[#This Row],[N° SACOS]]*Cereal[[#This Row],[CAP. SACOS]]</f>
        <v>30</v>
      </c>
      <c r="K646" s="16">
        <v>46201</v>
      </c>
      <c r="L646" s="16">
        <v>46201</v>
      </c>
      <c r="M646" s="16">
        <v>46204</v>
      </c>
      <c r="N646" s="16" t="s">
        <v>226</v>
      </c>
    </row>
    <row r="647" spans="1:14" hidden="1" x14ac:dyDescent="0.25">
      <c r="A647" s="14" t="s">
        <v>14</v>
      </c>
      <c r="B647" s="14" t="s">
        <v>227</v>
      </c>
      <c r="C647" s="15" t="s">
        <v>30</v>
      </c>
      <c r="D647" s="16">
        <v>46203</v>
      </c>
      <c r="E647" s="17">
        <v>2372</v>
      </c>
      <c r="F647" s="18">
        <v>1</v>
      </c>
      <c r="G647" s="19">
        <f>Cereal[[#This Row],[N° BOLSAS]]*Cereal[[#This Row],[KG BOLSA]]</f>
        <v>2372</v>
      </c>
      <c r="H647" s="37">
        <v>40</v>
      </c>
      <c r="I647" s="14">
        <f>ROUNDDOWN(Cereal[[#This Row],[N° BOLSAS]]/Cereal[[#This Row],[CAP. SACOS]],0)</f>
        <v>59</v>
      </c>
      <c r="J647" s="14">
        <f>Cereal[[#This Row],[N° BOLSAS]]-Cereal[[#This Row],[N° SACOS]]*Cereal[[#This Row],[CAP. SACOS]]</f>
        <v>12</v>
      </c>
      <c r="K647" s="16">
        <v>46204</v>
      </c>
      <c r="L647" s="16">
        <v>46204</v>
      </c>
      <c r="M647" s="16">
        <v>46204</v>
      </c>
      <c r="N647" s="16" t="s">
        <v>226</v>
      </c>
    </row>
    <row r="648" spans="1:14" ht="33.75" hidden="1" x14ac:dyDescent="0.25">
      <c r="A648" s="14" t="s">
        <v>14</v>
      </c>
      <c r="B648" s="14" t="s">
        <v>227</v>
      </c>
      <c r="C648" s="15" t="s">
        <v>39</v>
      </c>
      <c r="D648" s="16">
        <v>46295</v>
      </c>
      <c r="E648" s="17">
        <v>2340</v>
      </c>
      <c r="F648" s="18">
        <v>0.62063999999999997</v>
      </c>
      <c r="G648" s="19">
        <f>Cereal[[#This Row],[N° BOLSAS]]*Cereal[[#This Row],[KG BOLSA]]</f>
        <v>1452.2975999999999</v>
      </c>
      <c r="H648" s="37">
        <v>70</v>
      </c>
      <c r="I648" s="14">
        <f>ROUNDDOWN(Cereal[[#This Row],[N° BOLSAS]]/Cereal[[#This Row],[CAP. SACOS]],0)</f>
        <v>33</v>
      </c>
      <c r="J648" s="14">
        <f>Cereal[[#This Row],[N° BOLSAS]]-Cereal[[#This Row],[N° SACOS]]*Cereal[[#This Row],[CAP. SACOS]]</f>
        <v>30</v>
      </c>
      <c r="K648" s="16">
        <v>46293</v>
      </c>
      <c r="L648" s="16">
        <v>46293</v>
      </c>
      <c r="M648" s="16"/>
      <c r="N648" s="16" t="s">
        <v>226</v>
      </c>
    </row>
    <row r="649" spans="1:14" hidden="1" x14ac:dyDescent="0.25">
      <c r="A649" s="14" t="s">
        <v>90</v>
      </c>
      <c r="B649" s="14" t="s">
        <v>228</v>
      </c>
      <c r="C649" s="15" t="s">
        <v>16</v>
      </c>
      <c r="D649" s="16">
        <v>46037</v>
      </c>
      <c r="E649" s="17">
        <v>611</v>
      </c>
      <c r="F649" s="18">
        <v>1.7250000000000001</v>
      </c>
      <c r="G649" s="19">
        <f>Cereal[[#This Row],[N° BOLSAS]]*Cereal[[#This Row],[KG BOLSA]]</f>
        <v>1053.9750000000001</v>
      </c>
      <c r="H649" s="37">
        <v>25</v>
      </c>
      <c r="I649" s="14">
        <f>ROUNDDOWN(Cereal[[#This Row],[N° BOLSAS]]/Cereal[[#This Row],[CAP. SACOS]],0)</f>
        <v>24</v>
      </c>
      <c r="J649" s="14">
        <f>Cereal[[#This Row],[N° BOLSAS]]-Cereal[[#This Row],[N° SACOS]]*Cereal[[#This Row],[CAP. SACOS]]</f>
        <v>11</v>
      </c>
      <c r="K649" s="16">
        <v>46034</v>
      </c>
      <c r="L649" s="16">
        <v>46034</v>
      </c>
      <c r="M649" s="16">
        <v>46034</v>
      </c>
      <c r="N649" s="14" t="s">
        <v>229</v>
      </c>
    </row>
    <row r="650" spans="1:14" hidden="1" x14ac:dyDescent="0.25">
      <c r="A650" s="14" t="s">
        <v>90</v>
      </c>
      <c r="B650" s="14" t="s">
        <v>228</v>
      </c>
      <c r="C650" s="15" t="s">
        <v>18</v>
      </c>
      <c r="D650" s="16">
        <v>46037</v>
      </c>
      <c r="E650" s="17">
        <v>611</v>
      </c>
      <c r="F650" s="18">
        <v>1.5580000000000001</v>
      </c>
      <c r="G650" s="19">
        <f>Cereal[[#This Row],[N° BOLSAS]]*Cereal[[#This Row],[KG BOLSA]]</f>
        <v>951.93799999999999</v>
      </c>
      <c r="H650" s="37">
        <v>25</v>
      </c>
      <c r="I650" s="14">
        <f>ROUNDDOWN(Cereal[[#This Row],[N° BOLSAS]]/Cereal[[#This Row],[CAP. SACOS]],0)</f>
        <v>24</v>
      </c>
      <c r="J650" s="14">
        <f>Cereal[[#This Row],[N° BOLSAS]]-Cereal[[#This Row],[N° SACOS]]*Cereal[[#This Row],[CAP. SACOS]]</f>
        <v>11</v>
      </c>
      <c r="K650" s="16">
        <v>46034</v>
      </c>
      <c r="L650" s="16">
        <v>46034</v>
      </c>
      <c r="M650" s="16">
        <v>46034</v>
      </c>
      <c r="N650" s="14" t="s">
        <v>229</v>
      </c>
    </row>
    <row r="651" spans="1:14" hidden="1" x14ac:dyDescent="0.25">
      <c r="A651" s="14" t="s">
        <v>90</v>
      </c>
      <c r="B651" s="14" t="s">
        <v>228</v>
      </c>
      <c r="C651" s="15" t="s">
        <v>19</v>
      </c>
      <c r="D651" s="16">
        <v>46104</v>
      </c>
      <c r="E651" s="17">
        <v>627</v>
      </c>
      <c r="F651" s="18">
        <v>1.73</v>
      </c>
      <c r="G651" s="19">
        <f>Cereal[[#This Row],[N° BOLSAS]]*Cereal[[#This Row],[KG BOLSA]]</f>
        <v>1084.71</v>
      </c>
      <c r="H651" s="37">
        <v>25</v>
      </c>
      <c r="I651" s="14">
        <f>ROUNDDOWN(Cereal[[#This Row],[N° BOLSAS]]/Cereal[[#This Row],[CAP. SACOS]],0)</f>
        <v>25</v>
      </c>
      <c r="J651" s="14">
        <f>Cereal[[#This Row],[N° BOLSAS]]-Cereal[[#This Row],[N° SACOS]]*Cereal[[#This Row],[CAP. SACOS]]</f>
        <v>2</v>
      </c>
      <c r="K651" s="16">
        <v>46104</v>
      </c>
      <c r="L651" s="16">
        <v>46104</v>
      </c>
      <c r="M651" s="16">
        <v>46104</v>
      </c>
      <c r="N651" s="16" t="s">
        <v>230</v>
      </c>
    </row>
    <row r="652" spans="1:14" hidden="1" x14ac:dyDescent="0.25">
      <c r="A652" s="14" t="s">
        <v>90</v>
      </c>
      <c r="B652" s="14" t="s">
        <v>228</v>
      </c>
      <c r="C652" s="15" t="s">
        <v>20</v>
      </c>
      <c r="D652" s="16">
        <v>46104</v>
      </c>
      <c r="E652" s="17">
        <v>627</v>
      </c>
      <c r="F652" s="18">
        <v>1.67</v>
      </c>
      <c r="G652" s="19">
        <f>Cereal[[#This Row],[N° BOLSAS]]*Cereal[[#This Row],[KG BOLSA]]</f>
        <v>1047.0899999999999</v>
      </c>
      <c r="H652" s="37">
        <v>25</v>
      </c>
      <c r="I652" s="14">
        <f>ROUNDDOWN(Cereal[[#This Row],[N° BOLSAS]]/Cereal[[#This Row],[CAP. SACOS]],0)</f>
        <v>25</v>
      </c>
      <c r="J652" s="14">
        <f>Cereal[[#This Row],[N° BOLSAS]]-Cereal[[#This Row],[N° SACOS]]*Cereal[[#This Row],[CAP. SACOS]]</f>
        <v>2</v>
      </c>
      <c r="K652" s="16">
        <v>46104</v>
      </c>
      <c r="L652" s="16">
        <v>46104</v>
      </c>
      <c r="M652" s="16">
        <v>46104</v>
      </c>
      <c r="N652" s="16" t="s">
        <v>230</v>
      </c>
    </row>
    <row r="653" spans="1:14" hidden="1" x14ac:dyDescent="0.25">
      <c r="A653" s="14" t="s">
        <v>90</v>
      </c>
      <c r="B653" s="14" t="s">
        <v>228</v>
      </c>
      <c r="C653" s="15" t="s">
        <v>21</v>
      </c>
      <c r="D653" s="16">
        <v>46135</v>
      </c>
      <c r="E653" s="17">
        <v>627</v>
      </c>
      <c r="F653" s="18">
        <v>1.73</v>
      </c>
      <c r="G653" s="19">
        <f>Cereal[[#This Row],[N° BOLSAS]]*Cereal[[#This Row],[KG BOLSA]]</f>
        <v>1084.71</v>
      </c>
      <c r="H653" s="37">
        <v>25</v>
      </c>
      <c r="I653" s="14">
        <f>ROUNDDOWN(Cereal[[#This Row],[N° BOLSAS]]/Cereal[[#This Row],[CAP. SACOS]],0)</f>
        <v>25</v>
      </c>
      <c r="J653" s="14">
        <f>Cereal[[#This Row],[N° BOLSAS]]-Cereal[[#This Row],[N° SACOS]]*Cereal[[#This Row],[CAP. SACOS]]</f>
        <v>2</v>
      </c>
      <c r="K653" s="16">
        <v>46131</v>
      </c>
      <c r="L653" s="16">
        <v>46131</v>
      </c>
      <c r="M653" s="16">
        <v>46131</v>
      </c>
      <c r="N653" s="16" t="s">
        <v>230</v>
      </c>
    </row>
    <row r="654" spans="1:14" hidden="1" x14ac:dyDescent="0.25">
      <c r="A654" s="14" t="s">
        <v>90</v>
      </c>
      <c r="B654" s="14" t="s">
        <v>228</v>
      </c>
      <c r="C654" s="15" t="s">
        <v>22</v>
      </c>
      <c r="D654" s="16">
        <v>46135</v>
      </c>
      <c r="E654" s="17">
        <v>627</v>
      </c>
      <c r="F654" s="18">
        <v>1.67</v>
      </c>
      <c r="G654" s="19">
        <f>Cereal[[#This Row],[N° BOLSAS]]*Cereal[[#This Row],[KG BOLSA]]</f>
        <v>1047.0899999999999</v>
      </c>
      <c r="H654" s="37">
        <v>25</v>
      </c>
      <c r="I654" s="14">
        <f>ROUNDDOWN(Cereal[[#This Row],[N° BOLSAS]]/Cereal[[#This Row],[CAP. SACOS]],0)</f>
        <v>25</v>
      </c>
      <c r="J654" s="14">
        <f>Cereal[[#This Row],[N° BOLSAS]]-Cereal[[#This Row],[N° SACOS]]*Cereal[[#This Row],[CAP. SACOS]]</f>
        <v>2</v>
      </c>
      <c r="K654" s="16">
        <v>46131</v>
      </c>
      <c r="L654" s="16">
        <v>46131</v>
      </c>
      <c r="M654" s="16">
        <v>46131</v>
      </c>
      <c r="N654" s="16" t="s">
        <v>230</v>
      </c>
    </row>
    <row r="655" spans="1:14" hidden="1" x14ac:dyDescent="0.25">
      <c r="A655" s="14" t="s">
        <v>90</v>
      </c>
      <c r="B655" s="14" t="s">
        <v>228</v>
      </c>
      <c r="C655" s="15" t="s">
        <v>23</v>
      </c>
      <c r="D655" s="16">
        <v>46198</v>
      </c>
      <c r="E655" s="17">
        <v>627</v>
      </c>
      <c r="F655" s="18">
        <v>1.73</v>
      </c>
      <c r="G655" s="19">
        <f>Cereal[[#This Row],[N° BOLSAS]]*Cereal[[#This Row],[KG BOLSA]]</f>
        <v>1084.71</v>
      </c>
      <c r="H655" s="37">
        <v>25</v>
      </c>
      <c r="I655" s="14">
        <f>ROUNDDOWN(Cereal[[#This Row],[N° BOLSAS]]/Cereal[[#This Row],[CAP. SACOS]],0)</f>
        <v>25</v>
      </c>
      <c r="J655" s="14">
        <f>Cereal[[#This Row],[N° BOLSAS]]-Cereal[[#This Row],[N° SACOS]]*Cereal[[#This Row],[CAP. SACOS]]</f>
        <v>2</v>
      </c>
      <c r="K655" s="16">
        <v>46179</v>
      </c>
      <c r="L655" s="16">
        <v>46179</v>
      </c>
      <c r="M655" s="16">
        <v>46179</v>
      </c>
      <c r="N655" s="16" t="s">
        <v>230</v>
      </c>
    </row>
    <row r="656" spans="1:14" hidden="1" x14ac:dyDescent="0.25">
      <c r="A656" s="14" t="s">
        <v>90</v>
      </c>
      <c r="B656" s="14" t="s">
        <v>228</v>
      </c>
      <c r="C656" s="15" t="s">
        <v>24</v>
      </c>
      <c r="D656" s="16">
        <v>46198</v>
      </c>
      <c r="E656" s="17">
        <v>627</v>
      </c>
      <c r="F656" s="18">
        <v>1.73</v>
      </c>
      <c r="G656" s="19">
        <f>Cereal[[#This Row],[N° BOLSAS]]*Cereal[[#This Row],[KG BOLSA]]</f>
        <v>1084.71</v>
      </c>
      <c r="H656" s="37">
        <v>25</v>
      </c>
      <c r="I656" s="14">
        <f>ROUNDDOWN(Cereal[[#This Row],[N° BOLSAS]]/Cereal[[#This Row],[CAP. SACOS]],0)</f>
        <v>25</v>
      </c>
      <c r="J656" s="14">
        <f>Cereal[[#This Row],[N° BOLSAS]]-Cereal[[#This Row],[N° SACOS]]*Cereal[[#This Row],[CAP. SACOS]]</f>
        <v>2</v>
      </c>
      <c r="K656" s="16">
        <v>46179</v>
      </c>
      <c r="L656" s="16">
        <v>46179</v>
      </c>
      <c r="M656" s="16">
        <v>46179</v>
      </c>
      <c r="N656" s="16" t="s">
        <v>230</v>
      </c>
    </row>
    <row r="657" spans="1:14" hidden="1" x14ac:dyDescent="0.25">
      <c r="A657" s="14" t="s">
        <v>90</v>
      </c>
      <c r="B657" s="14" t="s">
        <v>228</v>
      </c>
      <c r="C657" s="15" t="s">
        <v>30</v>
      </c>
      <c r="D657" s="16">
        <v>46208</v>
      </c>
      <c r="E657" s="17">
        <v>827</v>
      </c>
      <c r="F657" s="18">
        <v>1.73</v>
      </c>
      <c r="G657" s="19">
        <f>Cereal[[#This Row],[N° BOLSAS]]*Cereal[[#This Row],[KG BOLSA]]</f>
        <v>1430.71</v>
      </c>
      <c r="H657" s="37">
        <v>25</v>
      </c>
      <c r="I657" s="14">
        <f>ROUNDDOWN(Cereal[[#This Row],[N° BOLSAS]]/Cereal[[#This Row],[CAP. SACOS]],0)</f>
        <v>33</v>
      </c>
      <c r="J657" s="14">
        <f>Cereal[[#This Row],[N° BOLSAS]]-Cereal[[#This Row],[N° SACOS]]*Cereal[[#This Row],[CAP. SACOS]]</f>
        <v>2</v>
      </c>
      <c r="K657" s="16">
        <v>46216</v>
      </c>
      <c r="L657" s="16">
        <v>46216</v>
      </c>
      <c r="M657" s="16">
        <v>46216</v>
      </c>
      <c r="N657" s="16" t="s">
        <v>230</v>
      </c>
    </row>
    <row r="658" spans="1:14" hidden="1" x14ac:dyDescent="0.25">
      <c r="A658" s="14" t="s">
        <v>90</v>
      </c>
      <c r="B658" s="14" t="s">
        <v>228</v>
      </c>
      <c r="C658" s="15" t="s">
        <v>67</v>
      </c>
      <c r="D658" s="16">
        <v>46260</v>
      </c>
      <c r="E658" s="17">
        <v>627</v>
      </c>
      <c r="F658" s="18">
        <v>1.67</v>
      </c>
      <c r="G658" s="19">
        <f>Cereal[[#This Row],[N° BOLSAS]]*Cereal[[#This Row],[KG BOLSA]]</f>
        <v>1047.0899999999999</v>
      </c>
      <c r="H658" s="37">
        <v>25</v>
      </c>
      <c r="I658" s="14">
        <f>ROUNDDOWN(Cereal[[#This Row],[N° BOLSAS]]/Cereal[[#This Row],[CAP. SACOS]],0)</f>
        <v>25</v>
      </c>
      <c r="J658" s="14">
        <f>Cereal[[#This Row],[N° BOLSAS]]-Cereal[[#This Row],[N° SACOS]]*Cereal[[#This Row],[CAP. SACOS]]</f>
        <v>2</v>
      </c>
      <c r="K658" s="16">
        <v>46253</v>
      </c>
      <c r="L658" s="16">
        <v>46253</v>
      </c>
      <c r="M658" s="16">
        <v>46253</v>
      </c>
      <c r="N658" s="16" t="s">
        <v>230</v>
      </c>
    </row>
    <row r="659" spans="1:14" hidden="1" x14ac:dyDescent="0.25">
      <c r="A659" s="14" t="s">
        <v>90</v>
      </c>
      <c r="B659" s="14" t="s">
        <v>228</v>
      </c>
      <c r="C659" s="15" t="s">
        <v>26</v>
      </c>
      <c r="D659" s="16">
        <v>46260</v>
      </c>
      <c r="E659" s="17">
        <v>627</v>
      </c>
      <c r="F659" s="18">
        <v>1.73</v>
      </c>
      <c r="G659" s="19">
        <f>Cereal[[#This Row],[N° BOLSAS]]*Cereal[[#This Row],[KG BOLSA]]</f>
        <v>1084.71</v>
      </c>
      <c r="H659" s="37">
        <v>25</v>
      </c>
      <c r="I659" s="14">
        <f>ROUNDDOWN(Cereal[[#This Row],[N° BOLSAS]]/Cereal[[#This Row],[CAP. SACOS]],0)</f>
        <v>25</v>
      </c>
      <c r="J659" s="14">
        <f>Cereal[[#This Row],[N° BOLSAS]]-Cereal[[#This Row],[N° SACOS]]*Cereal[[#This Row],[CAP. SACOS]]</f>
        <v>2</v>
      </c>
      <c r="K659" s="16">
        <v>46253</v>
      </c>
      <c r="L659" s="16">
        <v>46253</v>
      </c>
      <c r="M659" s="16">
        <v>46253</v>
      </c>
      <c r="N659" s="16" t="s">
        <v>230</v>
      </c>
    </row>
    <row r="660" spans="1:14" hidden="1" x14ac:dyDescent="0.25">
      <c r="A660" s="14" t="s">
        <v>90</v>
      </c>
      <c r="B660" s="14" t="s">
        <v>228</v>
      </c>
      <c r="C660" s="15" t="s">
        <v>27</v>
      </c>
      <c r="D660" s="16">
        <v>46318</v>
      </c>
      <c r="E660" s="17">
        <v>627</v>
      </c>
      <c r="F660" s="18">
        <v>1.67</v>
      </c>
      <c r="G660" s="19">
        <f>Cereal[[#This Row],[N° BOLSAS]]*Cereal[[#This Row],[KG BOLSA]]</f>
        <v>1047.0899999999999</v>
      </c>
      <c r="H660" s="37">
        <v>25</v>
      </c>
      <c r="I660" s="14">
        <f>ROUNDDOWN(Cereal[[#This Row],[N° BOLSAS]]/Cereal[[#This Row],[CAP. SACOS]],0)</f>
        <v>25</v>
      </c>
      <c r="J660" s="14">
        <f>Cereal[[#This Row],[N° BOLSAS]]-Cereal[[#This Row],[N° SACOS]]*Cereal[[#This Row],[CAP. SACOS]]</f>
        <v>2</v>
      </c>
      <c r="K660" s="16"/>
      <c r="L660" s="16"/>
      <c r="M660" s="16"/>
      <c r="N660" s="16" t="s">
        <v>230</v>
      </c>
    </row>
    <row r="661" spans="1:14" hidden="1" x14ac:dyDescent="0.25">
      <c r="A661" s="14" t="s">
        <v>90</v>
      </c>
      <c r="B661" s="14" t="s">
        <v>228</v>
      </c>
      <c r="C661" s="15" t="s">
        <v>28</v>
      </c>
      <c r="D661" s="16">
        <v>46318</v>
      </c>
      <c r="E661" s="17">
        <v>636</v>
      </c>
      <c r="F661" s="18">
        <v>1.73</v>
      </c>
      <c r="G661" s="19">
        <f>Cereal[[#This Row],[N° BOLSAS]]*Cereal[[#This Row],[KG BOLSA]]</f>
        <v>1100.28</v>
      </c>
      <c r="H661" s="37">
        <v>25</v>
      </c>
      <c r="I661" s="14">
        <f>ROUNDDOWN(Cereal[[#This Row],[N° BOLSAS]]/Cereal[[#This Row],[CAP. SACOS]],0)</f>
        <v>25</v>
      </c>
      <c r="J661" s="14">
        <f>Cereal[[#This Row],[N° BOLSAS]]-Cereal[[#This Row],[N° SACOS]]*Cereal[[#This Row],[CAP. SACOS]]</f>
        <v>11</v>
      </c>
      <c r="K661" s="16"/>
      <c r="L661" s="16"/>
      <c r="M661" s="16"/>
      <c r="N661" s="16" t="s">
        <v>230</v>
      </c>
    </row>
    <row r="662" spans="1:14" hidden="1" x14ac:dyDescent="0.25">
      <c r="A662" s="14" t="s">
        <v>14</v>
      </c>
      <c r="B662" s="14" t="s">
        <v>231</v>
      </c>
      <c r="C662" s="15" t="s">
        <v>16</v>
      </c>
      <c r="D662" s="16">
        <v>46027</v>
      </c>
      <c r="E662" s="17">
        <v>1430</v>
      </c>
      <c r="F662" s="18">
        <v>1</v>
      </c>
      <c r="G662" s="19">
        <f>Cereal[[#This Row],[N° BOLSAS]]*Cereal[[#This Row],[KG BOLSA]]</f>
        <v>1430</v>
      </c>
      <c r="H662" s="37">
        <v>50</v>
      </c>
      <c r="I662" s="14">
        <f>ROUNDDOWN(Cereal[[#This Row],[N° BOLSAS]]/Cereal[[#This Row],[CAP. SACOS]],0)</f>
        <v>28</v>
      </c>
      <c r="J662" s="14">
        <f>Cereal[[#This Row],[N° BOLSAS]]-Cereal[[#This Row],[N° SACOS]]*Cereal[[#This Row],[CAP. SACOS]]</f>
        <v>30</v>
      </c>
      <c r="K662" s="16">
        <v>46026</v>
      </c>
      <c r="L662" s="16">
        <v>46026</v>
      </c>
      <c r="M662" s="16">
        <v>46032</v>
      </c>
      <c r="N662" s="16" t="s">
        <v>232</v>
      </c>
    </row>
    <row r="663" spans="1:14" hidden="1" x14ac:dyDescent="0.25">
      <c r="A663" s="14" t="s">
        <v>14</v>
      </c>
      <c r="B663" s="14" t="s">
        <v>231</v>
      </c>
      <c r="C663" s="15" t="s">
        <v>18</v>
      </c>
      <c r="D663" s="16">
        <v>46045</v>
      </c>
      <c r="E663" s="17">
        <v>1292</v>
      </c>
      <c r="F663" s="18">
        <v>1</v>
      </c>
      <c r="G663" s="19">
        <f>Cereal[[#This Row],[N° BOLSAS]]*Cereal[[#This Row],[KG BOLSA]]</f>
        <v>1292</v>
      </c>
      <c r="H663" s="37">
        <v>50</v>
      </c>
      <c r="I663" s="14">
        <f>ROUNDDOWN(Cereal[[#This Row],[N° BOLSAS]]/Cereal[[#This Row],[CAP. SACOS]],0)</f>
        <v>25</v>
      </c>
      <c r="J663" s="14">
        <f>Cereal[[#This Row],[N° BOLSAS]]-Cereal[[#This Row],[N° SACOS]]*Cereal[[#This Row],[CAP. SACOS]]</f>
        <v>42</v>
      </c>
      <c r="K663" s="16">
        <v>46039</v>
      </c>
      <c r="L663" s="16">
        <v>46039</v>
      </c>
      <c r="M663" s="16">
        <v>46041</v>
      </c>
      <c r="N663" s="16" t="s">
        <v>232</v>
      </c>
    </row>
    <row r="664" spans="1:14" hidden="1" x14ac:dyDescent="0.25">
      <c r="A664" s="14" t="s">
        <v>14</v>
      </c>
      <c r="B664" s="14" t="s">
        <v>231</v>
      </c>
      <c r="C664" s="15" t="s">
        <v>19</v>
      </c>
      <c r="D664" s="16">
        <v>46073</v>
      </c>
      <c r="E664" s="17">
        <v>1430</v>
      </c>
      <c r="F664" s="18">
        <v>1</v>
      </c>
      <c r="G664" s="19">
        <f>Cereal[[#This Row],[N° BOLSAS]]*Cereal[[#This Row],[KG BOLSA]]</f>
        <v>1430</v>
      </c>
      <c r="H664" s="37">
        <v>50</v>
      </c>
      <c r="I664" s="14">
        <f>ROUNDDOWN(Cereal[[#This Row],[N° BOLSAS]]/Cereal[[#This Row],[CAP. SACOS]],0)</f>
        <v>28</v>
      </c>
      <c r="J664" s="14">
        <f>Cereal[[#This Row],[N° BOLSAS]]-Cereal[[#This Row],[N° SACOS]]*Cereal[[#This Row],[CAP. SACOS]]</f>
        <v>30</v>
      </c>
      <c r="K664" s="16">
        <v>46063</v>
      </c>
      <c r="L664" s="16">
        <v>46063</v>
      </c>
      <c r="M664" s="16">
        <v>46063</v>
      </c>
      <c r="N664" s="16" t="s">
        <v>232</v>
      </c>
    </row>
    <row r="665" spans="1:14" hidden="1" x14ac:dyDescent="0.25">
      <c r="A665" s="14" t="s">
        <v>14</v>
      </c>
      <c r="B665" s="14" t="s">
        <v>231</v>
      </c>
      <c r="C665" s="15" t="s">
        <v>20</v>
      </c>
      <c r="D665" s="16">
        <v>46101</v>
      </c>
      <c r="E665" s="17">
        <v>1384</v>
      </c>
      <c r="F665" s="18">
        <v>1</v>
      </c>
      <c r="G665" s="19">
        <f>Cereal[[#This Row],[N° BOLSAS]]*Cereal[[#This Row],[KG BOLSA]]</f>
        <v>1384</v>
      </c>
      <c r="H665" s="37">
        <v>50</v>
      </c>
      <c r="I665" s="14">
        <f>ROUNDDOWN(Cereal[[#This Row],[N° BOLSAS]]/Cereal[[#This Row],[CAP. SACOS]],0)</f>
        <v>27</v>
      </c>
      <c r="J665" s="14">
        <f>Cereal[[#This Row],[N° BOLSAS]]-Cereal[[#This Row],[N° SACOS]]*Cereal[[#This Row],[CAP. SACOS]]</f>
        <v>34</v>
      </c>
      <c r="K665" s="16">
        <v>46086</v>
      </c>
      <c r="L665" s="16">
        <v>46086</v>
      </c>
      <c r="M665" s="16">
        <v>46092</v>
      </c>
      <c r="N665" s="16" t="s">
        <v>232</v>
      </c>
    </row>
    <row r="666" spans="1:14" hidden="1" x14ac:dyDescent="0.25">
      <c r="A666" s="14" t="s">
        <v>14</v>
      </c>
      <c r="B666" s="14" t="s">
        <v>231</v>
      </c>
      <c r="C666" s="15" t="s">
        <v>21</v>
      </c>
      <c r="D666" s="16">
        <v>46133</v>
      </c>
      <c r="E666" s="17">
        <v>1430</v>
      </c>
      <c r="F666" s="18">
        <v>1</v>
      </c>
      <c r="G666" s="19">
        <f>Cereal[[#This Row],[N° BOLSAS]]*Cereal[[#This Row],[KG BOLSA]]</f>
        <v>1430</v>
      </c>
      <c r="H666" s="37">
        <v>50</v>
      </c>
      <c r="I666" s="14">
        <f>ROUNDDOWN(Cereal[[#This Row],[N° BOLSAS]]/Cereal[[#This Row],[CAP. SACOS]],0)</f>
        <v>28</v>
      </c>
      <c r="J666" s="14">
        <f>Cereal[[#This Row],[N° BOLSAS]]-Cereal[[#This Row],[N° SACOS]]*Cereal[[#This Row],[CAP. SACOS]]</f>
        <v>30</v>
      </c>
      <c r="K666" s="16">
        <v>46121</v>
      </c>
      <c r="L666" s="16">
        <v>46121</v>
      </c>
      <c r="M666" s="16">
        <v>46121</v>
      </c>
      <c r="N666" s="16" t="s">
        <v>232</v>
      </c>
    </row>
    <row r="667" spans="1:14" hidden="1" x14ac:dyDescent="0.25">
      <c r="A667" s="14" t="s">
        <v>14</v>
      </c>
      <c r="B667" s="14" t="s">
        <v>231</v>
      </c>
      <c r="C667" s="15" t="s">
        <v>22</v>
      </c>
      <c r="D667" s="16">
        <v>46162</v>
      </c>
      <c r="E667" s="17">
        <v>1384</v>
      </c>
      <c r="F667" s="18">
        <v>1</v>
      </c>
      <c r="G667" s="19">
        <f>Cereal[[#This Row],[N° BOLSAS]]*Cereal[[#This Row],[KG BOLSA]]</f>
        <v>1384</v>
      </c>
      <c r="H667" s="37">
        <v>50</v>
      </c>
      <c r="I667" s="14">
        <f>ROUNDDOWN(Cereal[[#This Row],[N° BOLSAS]]/Cereal[[#This Row],[CAP. SACOS]],0)</f>
        <v>27</v>
      </c>
      <c r="J667" s="14">
        <f>Cereal[[#This Row],[N° BOLSAS]]-Cereal[[#This Row],[N° SACOS]]*Cereal[[#This Row],[CAP. SACOS]]</f>
        <v>34</v>
      </c>
      <c r="K667" s="16">
        <v>46151</v>
      </c>
      <c r="L667" s="16">
        <v>46151</v>
      </c>
      <c r="M667" s="16">
        <v>46162</v>
      </c>
      <c r="N667" s="16" t="s">
        <v>232</v>
      </c>
    </row>
    <row r="668" spans="1:14" hidden="1" x14ac:dyDescent="0.25">
      <c r="A668" s="14" t="s">
        <v>14</v>
      </c>
      <c r="B668" s="14" t="s">
        <v>231</v>
      </c>
      <c r="C668" s="15" t="s">
        <v>23</v>
      </c>
      <c r="D668" s="16">
        <v>46195</v>
      </c>
      <c r="E668" s="17">
        <v>1430</v>
      </c>
      <c r="F668" s="18">
        <v>1</v>
      </c>
      <c r="G668" s="19">
        <f>Cereal[[#This Row],[N° BOLSAS]]*Cereal[[#This Row],[KG BOLSA]]</f>
        <v>1430</v>
      </c>
      <c r="H668" s="37">
        <v>50</v>
      </c>
      <c r="I668" s="14">
        <f>ROUNDDOWN(Cereal[[#This Row],[N° BOLSAS]]/Cereal[[#This Row],[CAP. SACOS]],0)</f>
        <v>28</v>
      </c>
      <c r="J668" s="14">
        <f>Cereal[[#This Row],[N° BOLSAS]]-Cereal[[#This Row],[N° SACOS]]*Cereal[[#This Row],[CAP. SACOS]]</f>
        <v>30</v>
      </c>
      <c r="K668" s="16">
        <v>46168</v>
      </c>
      <c r="L668" s="16">
        <v>46168</v>
      </c>
      <c r="M668" s="16">
        <v>46178</v>
      </c>
      <c r="N668" s="16" t="s">
        <v>232</v>
      </c>
    </row>
    <row r="669" spans="1:14" hidden="1" x14ac:dyDescent="0.25">
      <c r="A669" s="14" t="s">
        <v>14</v>
      </c>
      <c r="B669" s="14" t="s">
        <v>231</v>
      </c>
      <c r="C669" s="15" t="s">
        <v>24</v>
      </c>
      <c r="D669" s="16">
        <v>46224</v>
      </c>
      <c r="E669" s="17">
        <v>1430</v>
      </c>
      <c r="F669" s="18">
        <v>1</v>
      </c>
      <c r="G669" s="19">
        <f>Cereal[[#This Row],[N° BOLSAS]]*Cereal[[#This Row],[KG BOLSA]]</f>
        <v>1430</v>
      </c>
      <c r="H669" s="37">
        <v>50</v>
      </c>
      <c r="I669" s="14">
        <f>ROUNDDOWN(Cereal[[#This Row],[N° BOLSAS]]/Cereal[[#This Row],[CAP. SACOS]],0)</f>
        <v>28</v>
      </c>
      <c r="J669" s="14">
        <f>Cereal[[#This Row],[N° BOLSAS]]-Cereal[[#This Row],[N° SACOS]]*Cereal[[#This Row],[CAP. SACOS]]</f>
        <v>30</v>
      </c>
      <c r="K669" s="16">
        <v>46214</v>
      </c>
      <c r="L669" s="16">
        <v>46214</v>
      </c>
      <c r="M669" s="16">
        <v>46214</v>
      </c>
      <c r="N669" s="16" t="s">
        <v>232</v>
      </c>
    </row>
    <row r="670" spans="1:14" hidden="1" x14ac:dyDescent="0.25">
      <c r="A670" s="14" t="s">
        <v>14</v>
      </c>
      <c r="B670" s="14" t="s">
        <v>231</v>
      </c>
      <c r="C670" s="15" t="s">
        <v>25</v>
      </c>
      <c r="D670" s="16">
        <v>46253</v>
      </c>
      <c r="E670" s="17">
        <v>1384</v>
      </c>
      <c r="F670" s="18">
        <v>1</v>
      </c>
      <c r="G670" s="19">
        <f>Cereal[[#This Row],[N° BOLSAS]]*Cereal[[#This Row],[KG BOLSA]]</f>
        <v>1384</v>
      </c>
      <c r="H670" s="37">
        <v>50</v>
      </c>
      <c r="I670" s="14">
        <f>ROUNDDOWN(Cereal[[#This Row],[N° BOLSAS]]/Cereal[[#This Row],[CAP. SACOS]],0)</f>
        <v>27</v>
      </c>
      <c r="J670" s="14">
        <f>Cereal[[#This Row],[N° BOLSAS]]-Cereal[[#This Row],[N° SACOS]]*Cereal[[#This Row],[CAP. SACOS]]</f>
        <v>34</v>
      </c>
      <c r="K670" s="16">
        <v>46234</v>
      </c>
      <c r="L670" s="16">
        <v>46234</v>
      </c>
      <c r="M670" s="16">
        <v>46234</v>
      </c>
      <c r="N670" s="16" t="s">
        <v>232</v>
      </c>
    </row>
    <row r="671" spans="1:14" hidden="1" x14ac:dyDescent="0.25">
      <c r="A671" s="14" t="s">
        <v>14</v>
      </c>
      <c r="B671" s="14" t="s">
        <v>231</v>
      </c>
      <c r="C671" s="15" t="s">
        <v>26</v>
      </c>
      <c r="D671" s="16">
        <v>46286</v>
      </c>
      <c r="E671" s="17">
        <v>1430</v>
      </c>
      <c r="F671" s="18">
        <v>1</v>
      </c>
      <c r="G671" s="19">
        <f>Cereal[[#This Row],[N° BOLSAS]]*Cereal[[#This Row],[KG BOLSA]]</f>
        <v>1430</v>
      </c>
      <c r="H671" s="37">
        <v>50</v>
      </c>
      <c r="I671" s="14">
        <f>ROUNDDOWN(Cereal[[#This Row],[N° BOLSAS]]/Cereal[[#This Row],[CAP. SACOS]],0)</f>
        <v>28</v>
      </c>
      <c r="J671" s="14">
        <f>Cereal[[#This Row],[N° BOLSAS]]-Cereal[[#This Row],[N° SACOS]]*Cereal[[#This Row],[CAP. SACOS]]</f>
        <v>30</v>
      </c>
      <c r="K671" s="16">
        <v>46273</v>
      </c>
      <c r="L671" s="16">
        <v>46273</v>
      </c>
      <c r="M671" s="16">
        <v>46273</v>
      </c>
      <c r="N671" s="16" t="s">
        <v>232</v>
      </c>
    </row>
    <row r="672" spans="1:14" hidden="1" x14ac:dyDescent="0.25">
      <c r="A672" s="14" t="s">
        <v>14</v>
      </c>
      <c r="B672" s="14" t="s">
        <v>231</v>
      </c>
      <c r="C672" s="15" t="s">
        <v>27</v>
      </c>
      <c r="D672" s="16">
        <v>46315</v>
      </c>
      <c r="E672" s="17">
        <v>1384</v>
      </c>
      <c r="F672" s="18">
        <v>1</v>
      </c>
      <c r="G672" s="19">
        <f>Cereal[[#This Row],[N° BOLSAS]]*Cereal[[#This Row],[KG BOLSA]]</f>
        <v>1384</v>
      </c>
      <c r="H672" s="37">
        <v>50</v>
      </c>
      <c r="I672" s="14">
        <f>ROUNDDOWN(Cereal[[#This Row],[N° BOLSAS]]/Cereal[[#This Row],[CAP. SACOS]],0)</f>
        <v>27</v>
      </c>
      <c r="J672" s="14">
        <f>Cereal[[#This Row],[N° BOLSAS]]-Cereal[[#This Row],[N° SACOS]]*Cereal[[#This Row],[CAP. SACOS]]</f>
        <v>34</v>
      </c>
      <c r="K672" s="16"/>
      <c r="L672" s="16"/>
      <c r="M672" s="16"/>
      <c r="N672" s="16" t="s">
        <v>232</v>
      </c>
    </row>
    <row r="673" spans="1:14" hidden="1" x14ac:dyDescent="0.25">
      <c r="A673" s="14" t="s">
        <v>14</v>
      </c>
      <c r="B673" s="14" t="s">
        <v>231</v>
      </c>
      <c r="C673" s="15" t="s">
        <v>28</v>
      </c>
      <c r="D673" s="16">
        <v>46346</v>
      </c>
      <c r="E673" s="17">
        <v>1424</v>
      </c>
      <c r="F673" s="18">
        <v>1</v>
      </c>
      <c r="G673" s="19">
        <f>Cereal[[#This Row],[N° BOLSAS]]*Cereal[[#This Row],[KG BOLSA]]</f>
        <v>1424</v>
      </c>
      <c r="H673" s="37">
        <v>50</v>
      </c>
      <c r="I673" s="14">
        <f>ROUNDDOWN(Cereal[[#This Row],[N° BOLSAS]]/Cereal[[#This Row],[CAP. SACOS]],0)</f>
        <v>28</v>
      </c>
      <c r="J673" s="14">
        <f>Cereal[[#This Row],[N° BOLSAS]]-Cereal[[#This Row],[N° SACOS]]*Cereal[[#This Row],[CAP. SACOS]]</f>
        <v>24</v>
      </c>
      <c r="K673" s="16"/>
      <c r="L673" s="16"/>
      <c r="M673" s="16"/>
      <c r="N673" s="16" t="s">
        <v>232</v>
      </c>
    </row>
    <row r="674" spans="1:14" hidden="1" x14ac:dyDescent="0.25">
      <c r="A674" s="14" t="s">
        <v>14</v>
      </c>
      <c r="B674" s="14" t="s">
        <v>233</v>
      </c>
      <c r="C674" s="15" t="s">
        <v>16</v>
      </c>
      <c r="D674" s="16">
        <v>46037</v>
      </c>
      <c r="E674" s="17">
        <v>4791</v>
      </c>
      <c r="F674" s="18">
        <v>1</v>
      </c>
      <c r="G674" s="19">
        <f>Cereal[[#This Row],[N° BOLSAS]]*Cereal[[#This Row],[KG BOLSA]]</f>
        <v>4791</v>
      </c>
      <c r="H674" s="37">
        <v>25</v>
      </c>
      <c r="I674" s="14">
        <f>ROUNDDOWN(Cereal[[#This Row],[N° BOLSAS]]/Cereal[[#This Row],[CAP. SACOS]],0)</f>
        <v>191</v>
      </c>
      <c r="J674" s="14">
        <f>Cereal[[#This Row],[N° BOLSAS]]-Cereal[[#This Row],[N° SACOS]]*Cereal[[#This Row],[CAP. SACOS]]</f>
        <v>16</v>
      </c>
      <c r="K674" s="16">
        <v>46051</v>
      </c>
      <c r="L674" s="16">
        <v>46051</v>
      </c>
      <c r="M674" s="16">
        <v>46051</v>
      </c>
      <c r="N674" s="16" t="s">
        <v>234</v>
      </c>
    </row>
    <row r="675" spans="1:14" hidden="1" x14ac:dyDescent="0.25">
      <c r="A675" s="14" t="s">
        <v>14</v>
      </c>
      <c r="B675" s="14" t="s">
        <v>233</v>
      </c>
      <c r="C675" s="15" t="s">
        <v>18</v>
      </c>
      <c r="D675" s="16">
        <v>46053</v>
      </c>
      <c r="E675" s="17">
        <v>4327</v>
      </c>
      <c r="F675" s="18">
        <v>1</v>
      </c>
      <c r="G675" s="19">
        <f>Cereal[[#This Row],[N° BOLSAS]]*Cereal[[#This Row],[KG BOLSA]]</f>
        <v>4327</v>
      </c>
      <c r="H675" s="37">
        <v>25</v>
      </c>
      <c r="I675" s="14">
        <f>ROUNDDOWN(Cereal[[#This Row],[N° BOLSAS]]/Cereal[[#This Row],[CAP. SACOS]],0)</f>
        <v>173</v>
      </c>
      <c r="J675" s="14">
        <f>Cereal[[#This Row],[N° BOLSAS]]-Cereal[[#This Row],[N° SACOS]]*Cereal[[#This Row],[CAP. SACOS]]</f>
        <v>2</v>
      </c>
      <c r="K675" s="16">
        <v>46051</v>
      </c>
      <c r="L675" s="16">
        <v>46051</v>
      </c>
      <c r="M675" s="16">
        <v>46051</v>
      </c>
      <c r="N675" s="16" t="s">
        <v>234</v>
      </c>
    </row>
    <row r="676" spans="1:14" hidden="1" x14ac:dyDescent="0.25">
      <c r="A676" s="14" t="s">
        <v>14</v>
      </c>
      <c r="B676" s="14" t="s">
        <v>233</v>
      </c>
      <c r="C676" s="15" t="s">
        <v>19</v>
      </c>
      <c r="D676" s="16">
        <v>46073</v>
      </c>
      <c r="E676" s="17">
        <v>565</v>
      </c>
      <c r="F676" s="18">
        <v>1</v>
      </c>
      <c r="G676" s="19">
        <f>Cereal[[#This Row],[N° BOLSAS]]*Cereal[[#This Row],[KG BOLSA]]</f>
        <v>565</v>
      </c>
      <c r="H676" s="37">
        <v>25</v>
      </c>
      <c r="I676" s="14">
        <f>ROUNDDOWN(Cereal[[#This Row],[N° BOLSAS]]/Cereal[[#This Row],[CAP. SACOS]],0)</f>
        <v>22</v>
      </c>
      <c r="J676" s="14">
        <f>Cereal[[#This Row],[N° BOLSAS]]-Cereal[[#This Row],[N° SACOS]]*Cereal[[#This Row],[CAP. SACOS]]</f>
        <v>15</v>
      </c>
      <c r="K676" s="16">
        <v>46063</v>
      </c>
      <c r="L676" s="16">
        <v>46063</v>
      </c>
      <c r="M676" s="16">
        <v>46068</v>
      </c>
      <c r="N676" s="16" t="s">
        <v>235</v>
      </c>
    </row>
    <row r="677" spans="1:14" hidden="1" x14ac:dyDescent="0.25">
      <c r="A677" s="14" t="s">
        <v>14</v>
      </c>
      <c r="B677" s="14" t="s">
        <v>233</v>
      </c>
      <c r="C677" s="15" t="s">
        <v>20</v>
      </c>
      <c r="D677" s="16">
        <v>46101</v>
      </c>
      <c r="E677" s="17">
        <v>4924</v>
      </c>
      <c r="F677" s="18">
        <v>1</v>
      </c>
      <c r="G677" s="19">
        <f>Cereal[[#This Row],[N° BOLSAS]]*Cereal[[#This Row],[KG BOLSA]]</f>
        <v>4924</v>
      </c>
      <c r="H677" s="37">
        <v>25</v>
      </c>
      <c r="I677" s="14">
        <f>ROUNDDOWN(Cereal[[#This Row],[N° BOLSAS]]/Cereal[[#This Row],[CAP. SACOS]],0)</f>
        <v>196</v>
      </c>
      <c r="J677" s="14">
        <f>Cereal[[#This Row],[N° BOLSAS]]-Cereal[[#This Row],[N° SACOS]]*Cereal[[#This Row],[CAP. SACOS]]</f>
        <v>24</v>
      </c>
      <c r="K677" s="16">
        <v>46087</v>
      </c>
      <c r="L677" s="16">
        <v>46087</v>
      </c>
      <c r="M677" s="16">
        <v>46087</v>
      </c>
      <c r="N677" s="16" t="s">
        <v>234</v>
      </c>
    </row>
    <row r="678" spans="1:14" hidden="1" x14ac:dyDescent="0.25">
      <c r="A678" s="14" t="s">
        <v>14</v>
      </c>
      <c r="B678" s="14" t="s">
        <v>233</v>
      </c>
      <c r="C678" s="15" t="s">
        <v>21</v>
      </c>
      <c r="D678" s="16">
        <v>46132</v>
      </c>
      <c r="E678" s="17">
        <v>5088</v>
      </c>
      <c r="F678" s="18">
        <v>1</v>
      </c>
      <c r="G678" s="19">
        <f>Cereal[[#This Row],[N° BOLSAS]]*Cereal[[#This Row],[KG BOLSA]]</f>
        <v>5088</v>
      </c>
      <c r="H678" s="37">
        <v>25</v>
      </c>
      <c r="I678" s="14">
        <f>ROUNDDOWN(Cereal[[#This Row],[N° BOLSAS]]/Cereal[[#This Row],[CAP. SACOS]],0)</f>
        <v>203</v>
      </c>
      <c r="J678" s="14">
        <f>Cereal[[#This Row],[N° BOLSAS]]-Cereal[[#This Row],[N° SACOS]]*Cereal[[#This Row],[CAP. SACOS]]</f>
        <v>13</v>
      </c>
      <c r="K678" s="16">
        <v>46116</v>
      </c>
      <c r="L678" s="16">
        <v>46116</v>
      </c>
      <c r="M678" s="16">
        <v>46116</v>
      </c>
      <c r="N678" s="16" t="s">
        <v>234</v>
      </c>
    </row>
    <row r="679" spans="1:14" hidden="1" x14ac:dyDescent="0.25">
      <c r="A679" s="14" t="s">
        <v>14</v>
      </c>
      <c r="B679" s="14" t="s">
        <v>233</v>
      </c>
      <c r="C679" s="15" t="s">
        <v>22</v>
      </c>
      <c r="D679" s="16">
        <v>46132</v>
      </c>
      <c r="E679" s="17">
        <v>4924</v>
      </c>
      <c r="F679" s="18">
        <v>1</v>
      </c>
      <c r="G679" s="19">
        <f>Cereal[[#This Row],[N° BOLSAS]]*Cereal[[#This Row],[KG BOLSA]]</f>
        <v>4924</v>
      </c>
      <c r="H679" s="37">
        <v>25</v>
      </c>
      <c r="I679" s="14">
        <f>ROUNDDOWN(Cereal[[#This Row],[N° BOLSAS]]/Cereal[[#This Row],[CAP. SACOS]],0)</f>
        <v>196</v>
      </c>
      <c r="J679" s="14">
        <f>Cereal[[#This Row],[N° BOLSAS]]-Cereal[[#This Row],[N° SACOS]]*Cereal[[#This Row],[CAP. SACOS]]</f>
        <v>24</v>
      </c>
      <c r="K679" s="16">
        <v>46142</v>
      </c>
      <c r="L679" s="16">
        <v>46142</v>
      </c>
      <c r="M679" s="16">
        <v>46142</v>
      </c>
      <c r="N679" s="16" t="s">
        <v>234</v>
      </c>
    </row>
    <row r="680" spans="1:14" hidden="1" x14ac:dyDescent="0.25">
      <c r="A680" s="14" t="s">
        <v>14</v>
      </c>
      <c r="B680" s="14" t="s">
        <v>233</v>
      </c>
      <c r="C680" s="15" t="s">
        <v>23</v>
      </c>
      <c r="D680" s="16">
        <v>46193</v>
      </c>
      <c r="E680" s="17">
        <v>5088</v>
      </c>
      <c r="F680" s="18">
        <v>1</v>
      </c>
      <c r="G680" s="19">
        <f>Cereal[[#This Row],[N° BOLSAS]]*Cereal[[#This Row],[KG BOLSA]]</f>
        <v>5088</v>
      </c>
      <c r="H680" s="37">
        <v>25</v>
      </c>
      <c r="I680" s="14">
        <f>ROUNDDOWN(Cereal[[#This Row],[N° BOLSAS]]/Cereal[[#This Row],[CAP. SACOS]],0)</f>
        <v>203</v>
      </c>
      <c r="J680" s="14">
        <f>Cereal[[#This Row],[N° BOLSAS]]-Cereal[[#This Row],[N° SACOS]]*Cereal[[#This Row],[CAP. SACOS]]</f>
        <v>13</v>
      </c>
      <c r="K680" s="16">
        <v>46142</v>
      </c>
      <c r="L680" s="16">
        <v>46142</v>
      </c>
      <c r="M680" s="16">
        <v>46142</v>
      </c>
      <c r="N680" s="16" t="s">
        <v>234</v>
      </c>
    </row>
    <row r="681" spans="1:14" hidden="1" x14ac:dyDescent="0.25">
      <c r="A681" s="14" t="s">
        <v>14</v>
      </c>
      <c r="B681" s="14" t="s">
        <v>233</v>
      </c>
      <c r="C681" s="15" t="s">
        <v>24</v>
      </c>
      <c r="D681" s="16">
        <v>46203</v>
      </c>
      <c r="E681" s="17">
        <v>5088</v>
      </c>
      <c r="F681" s="18">
        <v>1</v>
      </c>
      <c r="G681" s="19">
        <f>Cereal[[#This Row],[N° BOLSAS]]*Cereal[[#This Row],[KG BOLSA]]</f>
        <v>5088</v>
      </c>
      <c r="H681" s="37">
        <v>25</v>
      </c>
      <c r="I681" s="14">
        <f>ROUNDDOWN(Cereal[[#This Row],[N° BOLSAS]]/Cereal[[#This Row],[CAP. SACOS]],0)</f>
        <v>203</v>
      </c>
      <c r="J681" s="14">
        <f>Cereal[[#This Row],[N° BOLSAS]]-Cereal[[#This Row],[N° SACOS]]*Cereal[[#This Row],[CAP. SACOS]]</f>
        <v>13</v>
      </c>
      <c r="K681" s="16">
        <v>46204</v>
      </c>
      <c r="L681" s="16">
        <v>46204</v>
      </c>
      <c r="M681" s="16">
        <v>46206</v>
      </c>
      <c r="N681" s="16" t="s">
        <v>234</v>
      </c>
    </row>
    <row r="682" spans="1:14" hidden="1" x14ac:dyDescent="0.25">
      <c r="A682" s="14" t="s">
        <v>14</v>
      </c>
      <c r="B682" s="14" t="s">
        <v>233</v>
      </c>
      <c r="C682" s="15" t="s">
        <v>25</v>
      </c>
      <c r="D682" s="16">
        <v>46203</v>
      </c>
      <c r="E682" s="17">
        <v>4924</v>
      </c>
      <c r="F682" s="18">
        <v>1</v>
      </c>
      <c r="G682" s="19">
        <f>Cereal[[#This Row],[N° BOLSAS]]*Cereal[[#This Row],[KG BOLSA]]</f>
        <v>4924</v>
      </c>
      <c r="H682" s="37">
        <v>25</v>
      </c>
      <c r="I682" s="14">
        <f>ROUNDDOWN(Cereal[[#This Row],[N° BOLSAS]]/Cereal[[#This Row],[CAP. SACOS]],0)</f>
        <v>196</v>
      </c>
      <c r="J682" s="14">
        <f>Cereal[[#This Row],[N° BOLSAS]]-Cereal[[#This Row],[N° SACOS]]*Cereal[[#This Row],[CAP. SACOS]]</f>
        <v>24</v>
      </c>
      <c r="K682" s="16">
        <v>46204</v>
      </c>
      <c r="L682" s="16">
        <v>46204</v>
      </c>
      <c r="M682" s="16">
        <v>46206</v>
      </c>
      <c r="N682" s="16" t="s">
        <v>234</v>
      </c>
    </row>
    <row r="683" spans="1:14" hidden="1" x14ac:dyDescent="0.25">
      <c r="A683" s="14" t="s">
        <v>14</v>
      </c>
      <c r="B683" s="14" t="s">
        <v>233</v>
      </c>
      <c r="C683" s="15" t="s">
        <v>26</v>
      </c>
      <c r="D683" s="16">
        <v>46264</v>
      </c>
      <c r="E683" s="17">
        <v>5088</v>
      </c>
      <c r="F683" s="18">
        <v>1</v>
      </c>
      <c r="G683" s="19">
        <f>Cereal[[#This Row],[N° BOLSAS]]*Cereal[[#This Row],[KG BOLSA]]</f>
        <v>5088</v>
      </c>
      <c r="H683" s="37">
        <v>25</v>
      </c>
      <c r="I683" s="14">
        <f>ROUNDDOWN(Cereal[[#This Row],[N° BOLSAS]]/Cereal[[#This Row],[CAP. SACOS]],0)</f>
        <v>203</v>
      </c>
      <c r="J683" s="14">
        <f>Cereal[[#This Row],[N° BOLSAS]]-Cereal[[#This Row],[N° SACOS]]*Cereal[[#This Row],[CAP. SACOS]]</f>
        <v>13</v>
      </c>
      <c r="K683" s="16">
        <v>46262</v>
      </c>
      <c r="L683" s="16">
        <v>46262</v>
      </c>
      <c r="M683" s="16">
        <v>46263</v>
      </c>
      <c r="N683" s="16" t="s">
        <v>234</v>
      </c>
    </row>
    <row r="684" spans="1:14" hidden="1" x14ac:dyDescent="0.25">
      <c r="A684" s="14" t="s">
        <v>14</v>
      </c>
      <c r="B684" s="14" t="s">
        <v>233</v>
      </c>
      <c r="C684" s="15" t="s">
        <v>27</v>
      </c>
      <c r="D684" s="16">
        <v>46264</v>
      </c>
      <c r="E684" s="17">
        <v>4924</v>
      </c>
      <c r="F684" s="18">
        <v>1</v>
      </c>
      <c r="G684" s="19">
        <f>Cereal[[#This Row],[N° BOLSAS]]*Cereal[[#This Row],[KG BOLSA]]</f>
        <v>4924</v>
      </c>
      <c r="H684" s="37">
        <v>25</v>
      </c>
      <c r="I684" s="14">
        <f>ROUNDDOWN(Cereal[[#This Row],[N° BOLSAS]]/Cereal[[#This Row],[CAP. SACOS]],0)</f>
        <v>196</v>
      </c>
      <c r="J684" s="14">
        <f>Cereal[[#This Row],[N° BOLSAS]]-Cereal[[#This Row],[N° SACOS]]*Cereal[[#This Row],[CAP. SACOS]]</f>
        <v>24</v>
      </c>
      <c r="K684" s="16"/>
      <c r="L684" s="16"/>
      <c r="M684" s="16"/>
      <c r="N684" s="16" t="s">
        <v>234</v>
      </c>
    </row>
    <row r="685" spans="1:14" hidden="1" x14ac:dyDescent="0.25">
      <c r="A685" s="14" t="s">
        <v>14</v>
      </c>
      <c r="B685" s="14" t="s">
        <v>233</v>
      </c>
      <c r="C685" s="15" t="s">
        <v>28</v>
      </c>
      <c r="D685" s="16">
        <v>46346</v>
      </c>
      <c r="E685" s="17">
        <v>5088</v>
      </c>
      <c r="F685" s="18">
        <v>1</v>
      </c>
      <c r="G685" s="19">
        <f>Cereal[[#This Row],[N° BOLSAS]]*Cereal[[#This Row],[KG BOLSA]]</f>
        <v>5088</v>
      </c>
      <c r="H685" s="37">
        <v>25</v>
      </c>
      <c r="I685" s="14">
        <f>ROUNDDOWN(Cereal[[#This Row],[N° BOLSAS]]/Cereal[[#This Row],[CAP. SACOS]],0)</f>
        <v>203</v>
      </c>
      <c r="J685" s="14">
        <f>Cereal[[#This Row],[N° BOLSAS]]-Cereal[[#This Row],[N° SACOS]]*Cereal[[#This Row],[CAP. SACOS]]</f>
        <v>13</v>
      </c>
      <c r="K685" s="16"/>
      <c r="L685" s="16"/>
      <c r="M685" s="16"/>
      <c r="N685" s="16" t="s">
        <v>234</v>
      </c>
    </row>
    <row r="686" spans="1:14" ht="22.5" hidden="1" x14ac:dyDescent="0.25">
      <c r="A686" s="14" t="s">
        <v>14</v>
      </c>
      <c r="B686" s="14" t="s">
        <v>236</v>
      </c>
      <c r="C686" s="15" t="s">
        <v>237</v>
      </c>
      <c r="D686" s="16">
        <v>46081</v>
      </c>
      <c r="E686" s="17">
        <v>4380</v>
      </c>
      <c r="F686" s="18">
        <v>1.47</v>
      </c>
      <c r="G686" s="19">
        <f>Cereal[[#This Row],[N° BOLSAS]]*Cereal[[#This Row],[KG BOLSA]]</f>
        <v>6438.5999999999995</v>
      </c>
      <c r="H686" s="37">
        <v>30</v>
      </c>
      <c r="I686" s="14">
        <f>ROUNDDOWN(Cereal[[#This Row],[N° BOLSAS]]/Cereal[[#This Row],[CAP. SACOS]],0)</f>
        <v>146</v>
      </c>
      <c r="J686" s="14">
        <f>Cereal[[#This Row],[N° BOLSAS]]-Cereal[[#This Row],[N° SACOS]]*Cereal[[#This Row],[CAP. SACOS]]</f>
        <v>0</v>
      </c>
      <c r="K686" s="16">
        <v>46083</v>
      </c>
      <c r="L686" s="16">
        <v>46083</v>
      </c>
      <c r="M686" s="16">
        <v>46084</v>
      </c>
      <c r="N686" s="16" t="s">
        <v>238</v>
      </c>
    </row>
    <row r="687" spans="1:14" hidden="1" x14ac:dyDescent="0.25">
      <c r="A687" s="14" t="s">
        <v>14</v>
      </c>
      <c r="B687" s="14" t="s">
        <v>236</v>
      </c>
      <c r="C687" s="15" t="s">
        <v>43</v>
      </c>
      <c r="D687" s="16">
        <v>46136</v>
      </c>
      <c r="E687" s="17">
        <v>2920</v>
      </c>
      <c r="F687" s="18">
        <v>1.47</v>
      </c>
      <c r="G687" s="19">
        <f>Cereal[[#This Row],[N° BOLSAS]]*Cereal[[#This Row],[KG BOLSA]]</f>
        <v>4292.3999999999996</v>
      </c>
      <c r="H687" s="37">
        <v>30</v>
      </c>
      <c r="I687" s="14">
        <f>ROUNDDOWN(Cereal[[#This Row],[N° BOLSAS]]/Cereal[[#This Row],[CAP. SACOS]],0)</f>
        <v>97</v>
      </c>
      <c r="J687" s="14">
        <f>Cereal[[#This Row],[N° BOLSAS]]-Cereal[[#This Row],[N° SACOS]]*Cereal[[#This Row],[CAP. SACOS]]</f>
        <v>10</v>
      </c>
      <c r="K687" s="16">
        <v>46135</v>
      </c>
      <c r="L687" s="16">
        <v>46135</v>
      </c>
      <c r="M687" s="16">
        <v>46135</v>
      </c>
      <c r="N687" s="16" t="s">
        <v>238</v>
      </c>
    </row>
    <row r="688" spans="1:14" hidden="1" x14ac:dyDescent="0.25">
      <c r="A688" s="14" t="s">
        <v>14</v>
      </c>
      <c r="B688" s="14" t="s">
        <v>236</v>
      </c>
      <c r="C688" s="15" t="s">
        <v>44</v>
      </c>
      <c r="D688" s="16">
        <v>46199</v>
      </c>
      <c r="E688" s="17">
        <v>2920</v>
      </c>
      <c r="F688" s="18">
        <v>1.47</v>
      </c>
      <c r="G688" s="19">
        <f>Cereal[[#This Row],[N° BOLSAS]]*Cereal[[#This Row],[KG BOLSA]]</f>
        <v>4292.3999999999996</v>
      </c>
      <c r="H688" s="37">
        <v>30</v>
      </c>
      <c r="I688" s="14">
        <f>ROUNDDOWN(Cereal[[#This Row],[N° BOLSAS]]/Cereal[[#This Row],[CAP. SACOS]],0)</f>
        <v>97</v>
      </c>
      <c r="J688" s="14">
        <f>Cereal[[#This Row],[N° BOLSAS]]-Cereal[[#This Row],[N° SACOS]]*Cereal[[#This Row],[CAP. SACOS]]</f>
        <v>10</v>
      </c>
      <c r="K688" s="16">
        <v>46188</v>
      </c>
      <c r="L688" s="16">
        <v>46188</v>
      </c>
      <c r="M688" s="16">
        <v>46198</v>
      </c>
      <c r="N688" s="16" t="s">
        <v>238</v>
      </c>
    </row>
    <row r="689" spans="1:14" hidden="1" x14ac:dyDescent="0.25">
      <c r="A689" s="14" t="s">
        <v>14</v>
      </c>
      <c r="B689" s="14" t="s">
        <v>236</v>
      </c>
      <c r="C689" s="15" t="s">
        <v>30</v>
      </c>
      <c r="D689" s="16">
        <v>46216</v>
      </c>
      <c r="E689" s="17">
        <v>1460</v>
      </c>
      <c r="F689" s="18">
        <v>0.92</v>
      </c>
      <c r="G689" s="19">
        <f>Cereal[[#This Row],[N° BOLSAS]]*Cereal[[#This Row],[KG BOLSA]]</f>
        <v>1343.2</v>
      </c>
      <c r="H689" s="37">
        <v>45</v>
      </c>
      <c r="I689" s="14">
        <f>ROUNDDOWN(Cereal[[#This Row],[N° BOLSAS]]/Cereal[[#This Row],[CAP. SACOS]],0)</f>
        <v>32</v>
      </c>
      <c r="J689" s="14">
        <f>Cereal[[#This Row],[N° BOLSAS]]-Cereal[[#This Row],[N° SACOS]]*Cereal[[#This Row],[CAP. SACOS]]</f>
        <v>20</v>
      </c>
      <c r="K689" s="16">
        <v>46249</v>
      </c>
      <c r="L689" s="16">
        <v>46249</v>
      </c>
      <c r="M689" s="16">
        <v>46251</v>
      </c>
      <c r="N689" s="16" t="s">
        <v>238</v>
      </c>
    </row>
    <row r="690" spans="1:14" ht="22.5" hidden="1" x14ac:dyDescent="0.25">
      <c r="A690" s="14" t="s">
        <v>14</v>
      </c>
      <c r="B690" s="14" t="s">
        <v>236</v>
      </c>
      <c r="C690" s="15" t="s">
        <v>45</v>
      </c>
      <c r="D690" s="16">
        <v>46262</v>
      </c>
      <c r="E690" s="17">
        <v>2920</v>
      </c>
      <c r="F690" s="18">
        <v>1.47</v>
      </c>
      <c r="G690" s="19">
        <f>Cereal[[#This Row],[N° BOLSAS]]*Cereal[[#This Row],[KG BOLSA]]</f>
        <v>4292.3999999999996</v>
      </c>
      <c r="H690" s="37">
        <v>30</v>
      </c>
      <c r="I690" s="14">
        <f>ROUNDDOWN(Cereal[[#This Row],[N° BOLSAS]]/Cereal[[#This Row],[CAP. SACOS]],0)</f>
        <v>97</v>
      </c>
      <c r="J690" s="14">
        <f>Cereal[[#This Row],[N° BOLSAS]]-Cereal[[#This Row],[N° SACOS]]*Cereal[[#This Row],[CAP. SACOS]]</f>
        <v>10</v>
      </c>
      <c r="K690" s="16">
        <v>46249</v>
      </c>
      <c r="L690" s="16">
        <v>46249</v>
      </c>
      <c r="M690" s="16">
        <v>46251</v>
      </c>
      <c r="N690" s="16" t="s">
        <v>238</v>
      </c>
    </row>
    <row r="691" spans="1:14" ht="22.5" hidden="1" x14ac:dyDescent="0.25">
      <c r="A691" s="14" t="s">
        <v>14</v>
      </c>
      <c r="B691" s="14" t="s">
        <v>236</v>
      </c>
      <c r="C691" s="15" t="s">
        <v>46</v>
      </c>
      <c r="D691" s="16">
        <v>46325</v>
      </c>
      <c r="E691" s="17">
        <v>2920</v>
      </c>
      <c r="F691" s="18">
        <v>1.47</v>
      </c>
      <c r="G691" s="19">
        <f>Cereal[[#This Row],[N° BOLSAS]]*Cereal[[#This Row],[KG BOLSA]]</f>
        <v>4292.3999999999996</v>
      </c>
      <c r="H691" s="37">
        <v>30</v>
      </c>
      <c r="I691" s="14">
        <f>ROUNDDOWN(Cereal[[#This Row],[N° BOLSAS]]/Cereal[[#This Row],[CAP. SACOS]],0)</f>
        <v>97</v>
      </c>
      <c r="J691" s="14">
        <f>Cereal[[#This Row],[N° BOLSAS]]-Cereal[[#This Row],[N° SACOS]]*Cereal[[#This Row],[CAP. SACOS]]</f>
        <v>10</v>
      </c>
      <c r="K691" s="16"/>
      <c r="L691" s="16"/>
      <c r="M691" s="16"/>
      <c r="N691" s="16" t="s">
        <v>238</v>
      </c>
    </row>
    <row r="692" spans="1:14" hidden="1" x14ac:dyDescent="0.25">
      <c r="A692" s="14" t="s">
        <v>14</v>
      </c>
      <c r="B692" s="14" t="s">
        <v>239</v>
      </c>
      <c r="C692" s="15" t="s">
        <v>16</v>
      </c>
      <c r="D692" s="16">
        <v>46046</v>
      </c>
      <c r="E692" s="17">
        <v>1705</v>
      </c>
      <c r="F692" s="18">
        <v>1.363</v>
      </c>
      <c r="G692" s="19">
        <f>Cereal[[#This Row],[N° BOLSAS]]*Cereal[[#This Row],[KG BOLSA]]</f>
        <v>2323.915</v>
      </c>
      <c r="H692" s="37">
        <v>30</v>
      </c>
      <c r="I692" s="14">
        <f>ROUNDDOWN(Cereal[[#This Row],[N° BOLSAS]]/Cereal[[#This Row],[CAP. SACOS]],0)</f>
        <v>56</v>
      </c>
      <c r="J692" s="14">
        <f>Cereal[[#This Row],[N° BOLSAS]]-Cereal[[#This Row],[N° SACOS]]*Cereal[[#This Row],[CAP. SACOS]]</f>
        <v>25</v>
      </c>
      <c r="K692" s="16">
        <v>46039</v>
      </c>
      <c r="L692" s="16">
        <v>46039</v>
      </c>
      <c r="M692" s="16">
        <v>46041</v>
      </c>
      <c r="N692" s="16" t="s">
        <v>240</v>
      </c>
    </row>
    <row r="693" spans="1:14" hidden="1" x14ac:dyDescent="0.25">
      <c r="A693" s="14" t="s">
        <v>14</v>
      </c>
      <c r="B693" s="14" t="s">
        <v>239</v>
      </c>
      <c r="C693" s="15" t="s">
        <v>18</v>
      </c>
      <c r="D693" s="16">
        <v>46046</v>
      </c>
      <c r="E693" s="17">
        <v>1705</v>
      </c>
      <c r="F693" s="18">
        <v>1.363</v>
      </c>
      <c r="G693" s="19">
        <f>Cereal[[#This Row],[N° BOLSAS]]*Cereal[[#This Row],[KG BOLSA]]</f>
        <v>2323.915</v>
      </c>
      <c r="H693" s="37">
        <v>30</v>
      </c>
      <c r="I693" s="14">
        <f>ROUNDDOWN(Cereal[[#This Row],[N° BOLSAS]]/Cereal[[#This Row],[CAP. SACOS]],0)</f>
        <v>56</v>
      </c>
      <c r="J693" s="14">
        <f>Cereal[[#This Row],[N° BOLSAS]]-Cereal[[#This Row],[N° SACOS]]*Cereal[[#This Row],[CAP. SACOS]]</f>
        <v>25</v>
      </c>
      <c r="K693" s="16">
        <v>46039</v>
      </c>
      <c r="L693" s="16">
        <v>46039</v>
      </c>
      <c r="M693" s="16">
        <v>46041</v>
      </c>
      <c r="N693" s="16" t="s">
        <v>240</v>
      </c>
    </row>
    <row r="694" spans="1:14" hidden="1" x14ac:dyDescent="0.25">
      <c r="A694" s="14" t="s">
        <v>14</v>
      </c>
      <c r="B694" s="14" t="s">
        <v>239</v>
      </c>
      <c r="C694" s="15" t="s">
        <v>19</v>
      </c>
      <c r="D694" s="16">
        <v>46077</v>
      </c>
      <c r="E694" s="17">
        <v>1705</v>
      </c>
      <c r="F694" s="18">
        <v>1.363</v>
      </c>
      <c r="G694" s="19">
        <f>Cereal[[#This Row],[N° BOLSAS]]*Cereal[[#This Row],[KG BOLSA]]</f>
        <v>2323.915</v>
      </c>
      <c r="H694" s="37">
        <v>30</v>
      </c>
      <c r="I694" s="14">
        <f>ROUNDDOWN(Cereal[[#This Row],[N° BOLSAS]]/Cereal[[#This Row],[CAP. SACOS]],0)</f>
        <v>56</v>
      </c>
      <c r="J694" s="14">
        <f>Cereal[[#This Row],[N° BOLSAS]]-Cereal[[#This Row],[N° SACOS]]*Cereal[[#This Row],[CAP. SACOS]]</f>
        <v>25</v>
      </c>
      <c r="K694" s="16">
        <v>46070</v>
      </c>
      <c r="L694" s="16">
        <v>46070</v>
      </c>
      <c r="M694" s="16">
        <v>46071</v>
      </c>
      <c r="N694" s="16" t="s">
        <v>240</v>
      </c>
    </row>
    <row r="695" spans="1:14" hidden="1" x14ac:dyDescent="0.25">
      <c r="A695" s="14" t="s">
        <v>14</v>
      </c>
      <c r="B695" s="14" t="s">
        <v>239</v>
      </c>
      <c r="C695" s="15" t="s">
        <v>20</v>
      </c>
      <c r="D695" s="16">
        <v>46077</v>
      </c>
      <c r="E695" s="17">
        <v>1705</v>
      </c>
      <c r="F695" s="18">
        <v>1.363</v>
      </c>
      <c r="G695" s="19">
        <f>Cereal[[#This Row],[N° BOLSAS]]*Cereal[[#This Row],[KG BOLSA]]</f>
        <v>2323.915</v>
      </c>
      <c r="H695" s="37">
        <v>30</v>
      </c>
      <c r="I695" s="14">
        <f>ROUNDDOWN(Cereal[[#This Row],[N° BOLSAS]]/Cereal[[#This Row],[CAP. SACOS]],0)</f>
        <v>56</v>
      </c>
      <c r="J695" s="14">
        <f>Cereal[[#This Row],[N° BOLSAS]]-Cereal[[#This Row],[N° SACOS]]*Cereal[[#This Row],[CAP. SACOS]]</f>
        <v>25</v>
      </c>
      <c r="K695" s="16">
        <v>46070</v>
      </c>
      <c r="L695" s="16">
        <v>46070</v>
      </c>
      <c r="M695" s="16">
        <v>46071</v>
      </c>
      <c r="N695" s="16" t="s">
        <v>240</v>
      </c>
    </row>
    <row r="696" spans="1:14" hidden="1" x14ac:dyDescent="0.25">
      <c r="A696" s="14" t="s">
        <v>14</v>
      </c>
      <c r="B696" s="14" t="s">
        <v>239</v>
      </c>
      <c r="C696" s="15" t="s">
        <v>21</v>
      </c>
      <c r="D696" s="16">
        <v>46136</v>
      </c>
      <c r="E696" s="17">
        <v>1705</v>
      </c>
      <c r="F696" s="18">
        <v>1.363</v>
      </c>
      <c r="G696" s="19">
        <f>Cereal[[#This Row],[N° BOLSAS]]*Cereal[[#This Row],[KG BOLSA]]</f>
        <v>2323.915</v>
      </c>
      <c r="H696" s="37">
        <v>30</v>
      </c>
      <c r="I696" s="14">
        <f>ROUNDDOWN(Cereal[[#This Row],[N° BOLSAS]]/Cereal[[#This Row],[CAP. SACOS]],0)</f>
        <v>56</v>
      </c>
      <c r="J696" s="14">
        <f>Cereal[[#This Row],[N° BOLSAS]]-Cereal[[#This Row],[N° SACOS]]*Cereal[[#This Row],[CAP. SACOS]]</f>
        <v>25</v>
      </c>
      <c r="K696" s="16">
        <v>46129</v>
      </c>
      <c r="L696" s="16">
        <v>46129</v>
      </c>
      <c r="M696" s="16">
        <v>46131</v>
      </c>
      <c r="N696" s="16" t="s">
        <v>240</v>
      </c>
    </row>
    <row r="697" spans="1:14" hidden="1" x14ac:dyDescent="0.25">
      <c r="A697" s="14" t="s">
        <v>14</v>
      </c>
      <c r="B697" s="14" t="s">
        <v>239</v>
      </c>
      <c r="C697" s="15" t="s">
        <v>22</v>
      </c>
      <c r="D697" s="16">
        <v>46136</v>
      </c>
      <c r="E697" s="17">
        <v>1705</v>
      </c>
      <c r="F697" s="18">
        <v>1.363</v>
      </c>
      <c r="G697" s="19">
        <f>Cereal[[#This Row],[N° BOLSAS]]*Cereal[[#This Row],[KG BOLSA]]</f>
        <v>2323.915</v>
      </c>
      <c r="H697" s="37">
        <v>30</v>
      </c>
      <c r="I697" s="14">
        <f>ROUNDDOWN(Cereal[[#This Row],[N° BOLSAS]]/Cereal[[#This Row],[CAP. SACOS]],0)</f>
        <v>56</v>
      </c>
      <c r="J697" s="14">
        <f>Cereal[[#This Row],[N° BOLSAS]]-Cereal[[#This Row],[N° SACOS]]*Cereal[[#This Row],[CAP. SACOS]]</f>
        <v>25</v>
      </c>
      <c r="K697" s="16">
        <v>46129</v>
      </c>
      <c r="L697" s="16">
        <v>46129</v>
      </c>
      <c r="M697" s="16">
        <v>46131</v>
      </c>
      <c r="N697" s="16" t="s">
        <v>240</v>
      </c>
    </row>
    <row r="698" spans="1:14" hidden="1" x14ac:dyDescent="0.25">
      <c r="A698" s="14" t="s">
        <v>14</v>
      </c>
      <c r="B698" s="14" t="s">
        <v>239</v>
      </c>
      <c r="C698" s="15" t="s">
        <v>23</v>
      </c>
      <c r="D698" s="16">
        <v>46197</v>
      </c>
      <c r="E698" s="17">
        <v>1705</v>
      </c>
      <c r="F698" s="18">
        <v>1.363</v>
      </c>
      <c r="G698" s="19">
        <f>Cereal[[#This Row],[N° BOLSAS]]*Cereal[[#This Row],[KG BOLSA]]</f>
        <v>2323.915</v>
      </c>
      <c r="H698" s="37">
        <v>30</v>
      </c>
      <c r="I698" s="14">
        <f>ROUNDDOWN(Cereal[[#This Row],[N° BOLSAS]]/Cereal[[#This Row],[CAP. SACOS]],0)</f>
        <v>56</v>
      </c>
      <c r="J698" s="14">
        <f>Cereal[[#This Row],[N° BOLSAS]]-Cereal[[#This Row],[N° SACOS]]*Cereal[[#This Row],[CAP. SACOS]]</f>
        <v>25</v>
      </c>
      <c r="K698" s="16">
        <v>46182</v>
      </c>
      <c r="L698" s="16">
        <v>46182</v>
      </c>
      <c r="M698" s="16">
        <v>46182</v>
      </c>
      <c r="N698" s="16" t="s">
        <v>240</v>
      </c>
    </row>
    <row r="699" spans="1:14" hidden="1" x14ac:dyDescent="0.25">
      <c r="A699" s="14" t="s">
        <v>14</v>
      </c>
      <c r="B699" s="14" t="s">
        <v>239</v>
      </c>
      <c r="C699" s="15" t="s">
        <v>24</v>
      </c>
      <c r="D699" s="16">
        <v>46197</v>
      </c>
      <c r="E699" s="17">
        <v>1705</v>
      </c>
      <c r="F699" s="18">
        <v>1.363</v>
      </c>
      <c r="G699" s="19">
        <f>Cereal[[#This Row],[N° BOLSAS]]*Cereal[[#This Row],[KG BOLSA]]</f>
        <v>2323.915</v>
      </c>
      <c r="H699" s="37">
        <v>30</v>
      </c>
      <c r="I699" s="14">
        <f>ROUNDDOWN(Cereal[[#This Row],[N° BOLSAS]]/Cereal[[#This Row],[CAP. SACOS]],0)</f>
        <v>56</v>
      </c>
      <c r="J699" s="14">
        <f>Cereal[[#This Row],[N° BOLSAS]]-Cereal[[#This Row],[N° SACOS]]*Cereal[[#This Row],[CAP. SACOS]]</f>
        <v>25</v>
      </c>
      <c r="K699" s="16">
        <v>46182</v>
      </c>
      <c r="L699" s="16">
        <v>46182</v>
      </c>
      <c r="M699" s="16">
        <v>46182</v>
      </c>
      <c r="N699" s="16" t="s">
        <v>240</v>
      </c>
    </row>
    <row r="700" spans="1:14" hidden="1" x14ac:dyDescent="0.25">
      <c r="A700" s="14" t="s">
        <v>14</v>
      </c>
      <c r="B700" s="14" t="s">
        <v>239</v>
      </c>
      <c r="C700" s="15" t="s">
        <v>30</v>
      </c>
      <c r="D700" s="16">
        <v>46220</v>
      </c>
      <c r="E700" s="17">
        <v>4122</v>
      </c>
      <c r="F700" s="18">
        <v>1.363</v>
      </c>
      <c r="G700" s="19">
        <f>Cereal[[#This Row],[N° BOLSAS]]*Cereal[[#This Row],[KG BOLSA]]</f>
        <v>5618.2860000000001</v>
      </c>
      <c r="H700" s="37">
        <v>30</v>
      </c>
      <c r="I700" s="14">
        <f>ROUNDDOWN(Cereal[[#This Row],[N° BOLSAS]]/Cereal[[#This Row],[CAP. SACOS]],0)</f>
        <v>137</v>
      </c>
      <c r="J700" s="14">
        <f>Cereal[[#This Row],[N° BOLSAS]]-Cereal[[#This Row],[N° SACOS]]*Cereal[[#This Row],[CAP. SACOS]]</f>
        <v>12</v>
      </c>
      <c r="K700" s="16">
        <v>46221</v>
      </c>
      <c r="L700" s="16">
        <v>46221</v>
      </c>
      <c r="M700" s="16">
        <v>46223</v>
      </c>
      <c r="N700" s="16" t="s">
        <v>240</v>
      </c>
    </row>
    <row r="701" spans="1:14" hidden="1" x14ac:dyDescent="0.25">
      <c r="A701" s="14" t="s">
        <v>14</v>
      </c>
      <c r="B701" s="14" t="s">
        <v>239</v>
      </c>
      <c r="C701" s="15" t="s">
        <v>25</v>
      </c>
      <c r="D701" s="16">
        <v>46258</v>
      </c>
      <c r="E701" s="17">
        <v>1705</v>
      </c>
      <c r="F701" s="18">
        <v>1.363</v>
      </c>
      <c r="G701" s="19">
        <f>Cereal[[#This Row],[N° BOLSAS]]*Cereal[[#This Row],[KG BOLSA]]</f>
        <v>2323.915</v>
      </c>
      <c r="H701" s="37">
        <v>30</v>
      </c>
      <c r="I701" s="14">
        <f>ROUNDDOWN(Cereal[[#This Row],[N° BOLSAS]]/Cereal[[#This Row],[CAP. SACOS]],0)</f>
        <v>56</v>
      </c>
      <c r="J701" s="14">
        <f>Cereal[[#This Row],[N° BOLSAS]]-Cereal[[#This Row],[N° SACOS]]*Cereal[[#This Row],[CAP. SACOS]]</f>
        <v>25</v>
      </c>
      <c r="K701" s="16">
        <v>46248</v>
      </c>
      <c r="L701" s="16">
        <v>46248</v>
      </c>
      <c r="M701" s="16">
        <v>46253</v>
      </c>
      <c r="N701" s="16" t="s">
        <v>240</v>
      </c>
    </row>
    <row r="702" spans="1:14" hidden="1" x14ac:dyDescent="0.25">
      <c r="A702" s="14" t="s">
        <v>14</v>
      </c>
      <c r="B702" s="14" t="s">
        <v>239</v>
      </c>
      <c r="C702" s="15" t="s">
        <v>26</v>
      </c>
      <c r="D702" s="16">
        <v>46258</v>
      </c>
      <c r="E702" s="17">
        <v>1705</v>
      </c>
      <c r="F702" s="18">
        <v>1.363</v>
      </c>
      <c r="G702" s="19">
        <f>Cereal[[#This Row],[N° BOLSAS]]*Cereal[[#This Row],[KG BOLSA]]</f>
        <v>2323.915</v>
      </c>
      <c r="H702" s="37">
        <v>30</v>
      </c>
      <c r="I702" s="14">
        <f>ROUNDDOWN(Cereal[[#This Row],[N° BOLSAS]]/Cereal[[#This Row],[CAP. SACOS]],0)</f>
        <v>56</v>
      </c>
      <c r="J702" s="14">
        <f>Cereal[[#This Row],[N° BOLSAS]]-Cereal[[#This Row],[N° SACOS]]*Cereal[[#This Row],[CAP. SACOS]]</f>
        <v>25</v>
      </c>
      <c r="K702" s="16">
        <v>46248</v>
      </c>
      <c r="L702" s="16">
        <v>46248</v>
      </c>
      <c r="M702" s="16">
        <v>46253</v>
      </c>
      <c r="N702" s="16" t="s">
        <v>240</v>
      </c>
    </row>
    <row r="703" spans="1:14" hidden="1" x14ac:dyDescent="0.25">
      <c r="A703" s="14" t="s">
        <v>14</v>
      </c>
      <c r="B703" s="14" t="s">
        <v>239</v>
      </c>
      <c r="C703" s="15" t="s">
        <v>27</v>
      </c>
      <c r="D703" s="16">
        <v>46319</v>
      </c>
      <c r="E703" s="17">
        <v>1705</v>
      </c>
      <c r="F703" s="18">
        <v>1.363</v>
      </c>
      <c r="G703" s="19">
        <f>Cereal[[#This Row],[N° BOLSAS]]*Cereal[[#This Row],[KG BOLSA]]</f>
        <v>2323.915</v>
      </c>
      <c r="H703" s="37">
        <v>30</v>
      </c>
      <c r="I703" s="14">
        <f>ROUNDDOWN(Cereal[[#This Row],[N° BOLSAS]]/Cereal[[#This Row],[CAP. SACOS]],0)</f>
        <v>56</v>
      </c>
      <c r="J703" s="14">
        <f>Cereal[[#This Row],[N° BOLSAS]]-Cereal[[#This Row],[N° SACOS]]*Cereal[[#This Row],[CAP. SACOS]]</f>
        <v>25</v>
      </c>
      <c r="K703" s="16"/>
      <c r="L703" s="16"/>
      <c r="M703" s="16"/>
      <c r="N703" s="16" t="s">
        <v>240</v>
      </c>
    </row>
    <row r="704" spans="1:14" hidden="1" x14ac:dyDescent="0.25">
      <c r="A704" s="14" t="s">
        <v>14</v>
      </c>
      <c r="B704" s="14" t="s">
        <v>239</v>
      </c>
      <c r="C704" s="15" t="s">
        <v>28</v>
      </c>
      <c r="D704" s="16">
        <v>46319</v>
      </c>
      <c r="E704" s="17">
        <v>1705</v>
      </c>
      <c r="F704" s="18">
        <v>1.363</v>
      </c>
      <c r="G704" s="19">
        <f>Cereal[[#This Row],[N° BOLSAS]]*Cereal[[#This Row],[KG BOLSA]]</f>
        <v>2323.915</v>
      </c>
      <c r="H704" s="37">
        <v>30</v>
      </c>
      <c r="I704" s="14">
        <f>ROUNDDOWN(Cereal[[#This Row],[N° BOLSAS]]/Cereal[[#This Row],[CAP. SACOS]],0)</f>
        <v>56</v>
      </c>
      <c r="J704" s="14">
        <f>Cereal[[#This Row],[N° BOLSAS]]-Cereal[[#This Row],[N° SACOS]]*Cereal[[#This Row],[CAP. SACOS]]</f>
        <v>25</v>
      </c>
      <c r="K704" s="16"/>
      <c r="L704" s="16"/>
      <c r="M704" s="16"/>
      <c r="N704" s="16" t="s">
        <v>240</v>
      </c>
    </row>
    <row r="705" spans="1:14" hidden="1" x14ac:dyDescent="0.25">
      <c r="A705" s="14" t="s">
        <v>14</v>
      </c>
      <c r="B705" s="14" t="s">
        <v>241</v>
      </c>
      <c r="C705" s="15" t="s">
        <v>121</v>
      </c>
      <c r="D705" s="16">
        <v>46091</v>
      </c>
      <c r="E705" s="17">
        <v>596</v>
      </c>
      <c r="F705" s="18">
        <v>1</v>
      </c>
      <c r="G705" s="19">
        <f>Cereal[[#This Row],[N° BOLSAS]]*Cereal[[#This Row],[KG BOLSA]]</f>
        <v>596</v>
      </c>
      <c r="H705" s="37">
        <v>40</v>
      </c>
      <c r="I705" s="14">
        <f>ROUNDDOWN(Cereal[[#This Row],[N° BOLSAS]]/Cereal[[#This Row],[CAP. SACOS]],0)</f>
        <v>14</v>
      </c>
      <c r="J705" s="14">
        <f>Cereal[[#This Row],[N° BOLSAS]]-Cereal[[#This Row],[N° SACOS]]*Cereal[[#This Row],[CAP. SACOS]]</f>
        <v>36</v>
      </c>
      <c r="K705" s="16">
        <v>46091</v>
      </c>
      <c r="L705" s="16">
        <v>46091</v>
      </c>
      <c r="M705" s="16">
        <v>46091</v>
      </c>
      <c r="N705" s="16" t="s">
        <v>242</v>
      </c>
    </row>
    <row r="706" spans="1:14" hidden="1" x14ac:dyDescent="0.25">
      <c r="A706" s="14" t="s">
        <v>14</v>
      </c>
      <c r="B706" s="14" t="s">
        <v>241</v>
      </c>
      <c r="C706" s="15" t="s">
        <v>19</v>
      </c>
      <c r="D706" s="16">
        <v>46091</v>
      </c>
      <c r="E706" s="17">
        <v>298</v>
      </c>
      <c r="F706" s="18">
        <v>1</v>
      </c>
      <c r="G706" s="19">
        <f>Cereal[[#This Row],[N° BOLSAS]]*Cereal[[#This Row],[KG BOLSA]]</f>
        <v>298</v>
      </c>
      <c r="H706" s="37">
        <v>40</v>
      </c>
      <c r="I706" s="14">
        <f>ROUNDDOWN(Cereal[[#This Row],[N° BOLSAS]]/Cereal[[#This Row],[CAP. SACOS]],0)</f>
        <v>7</v>
      </c>
      <c r="J706" s="14">
        <f>Cereal[[#This Row],[N° BOLSAS]]-Cereal[[#This Row],[N° SACOS]]*Cereal[[#This Row],[CAP. SACOS]]</f>
        <v>18</v>
      </c>
      <c r="K706" s="16">
        <v>46091</v>
      </c>
      <c r="L706" s="16">
        <v>46091</v>
      </c>
      <c r="M706" s="16">
        <v>46091</v>
      </c>
      <c r="N706" s="16" t="s">
        <v>242</v>
      </c>
    </row>
    <row r="707" spans="1:14" hidden="1" x14ac:dyDescent="0.25">
      <c r="A707" s="14" t="s">
        <v>14</v>
      </c>
      <c r="B707" s="14" t="s">
        <v>241</v>
      </c>
      <c r="C707" s="15" t="s">
        <v>20</v>
      </c>
      <c r="D707" s="16">
        <v>46091</v>
      </c>
      <c r="E707" s="17">
        <v>298</v>
      </c>
      <c r="F707" s="18">
        <v>1</v>
      </c>
      <c r="G707" s="19">
        <f>Cereal[[#This Row],[N° BOLSAS]]*Cereal[[#This Row],[KG BOLSA]]</f>
        <v>298</v>
      </c>
      <c r="H707" s="37">
        <v>40</v>
      </c>
      <c r="I707" s="14">
        <f>ROUNDDOWN(Cereal[[#This Row],[N° BOLSAS]]/Cereal[[#This Row],[CAP. SACOS]],0)</f>
        <v>7</v>
      </c>
      <c r="J707" s="14">
        <f>Cereal[[#This Row],[N° BOLSAS]]-Cereal[[#This Row],[N° SACOS]]*Cereal[[#This Row],[CAP. SACOS]]</f>
        <v>18</v>
      </c>
      <c r="K707" s="16">
        <v>46091</v>
      </c>
      <c r="L707" s="16">
        <v>46091</v>
      </c>
      <c r="M707" s="16">
        <v>46091</v>
      </c>
      <c r="N707" s="16" t="s">
        <v>242</v>
      </c>
    </row>
    <row r="708" spans="1:14" hidden="1" x14ac:dyDescent="0.25">
      <c r="A708" s="14" t="s">
        <v>14</v>
      </c>
      <c r="B708" s="14" t="s">
        <v>241</v>
      </c>
      <c r="C708" s="15" t="s">
        <v>21</v>
      </c>
      <c r="D708" s="16">
        <v>46142</v>
      </c>
      <c r="E708" s="17">
        <v>298</v>
      </c>
      <c r="F708" s="18">
        <v>1</v>
      </c>
      <c r="G708" s="19">
        <f>Cereal[[#This Row],[N° BOLSAS]]*Cereal[[#This Row],[KG BOLSA]]</f>
        <v>298</v>
      </c>
      <c r="H708" s="37">
        <v>40</v>
      </c>
      <c r="I708" s="14">
        <f>ROUNDDOWN(Cereal[[#This Row],[N° BOLSAS]]/Cereal[[#This Row],[CAP. SACOS]],0)</f>
        <v>7</v>
      </c>
      <c r="J708" s="14">
        <f>Cereal[[#This Row],[N° BOLSAS]]-Cereal[[#This Row],[N° SACOS]]*Cereal[[#This Row],[CAP. SACOS]]</f>
        <v>18</v>
      </c>
      <c r="K708" s="16">
        <v>46147</v>
      </c>
      <c r="L708" s="16">
        <v>46147</v>
      </c>
      <c r="M708" s="16">
        <v>46152</v>
      </c>
      <c r="N708" s="16" t="s">
        <v>242</v>
      </c>
    </row>
    <row r="709" spans="1:14" hidden="1" x14ac:dyDescent="0.25">
      <c r="A709" s="14" t="s">
        <v>14</v>
      </c>
      <c r="B709" s="14" t="s">
        <v>241</v>
      </c>
      <c r="C709" s="15" t="s">
        <v>22</v>
      </c>
      <c r="D709" s="16">
        <v>46142</v>
      </c>
      <c r="E709" s="17">
        <v>298</v>
      </c>
      <c r="F709" s="18">
        <v>1</v>
      </c>
      <c r="G709" s="19">
        <f>Cereal[[#This Row],[N° BOLSAS]]*Cereal[[#This Row],[KG BOLSA]]</f>
        <v>298</v>
      </c>
      <c r="H709" s="37">
        <v>40</v>
      </c>
      <c r="I709" s="14">
        <f>ROUNDDOWN(Cereal[[#This Row],[N° BOLSAS]]/Cereal[[#This Row],[CAP. SACOS]],0)</f>
        <v>7</v>
      </c>
      <c r="J709" s="14">
        <f>Cereal[[#This Row],[N° BOLSAS]]-Cereal[[#This Row],[N° SACOS]]*Cereal[[#This Row],[CAP. SACOS]]</f>
        <v>18</v>
      </c>
      <c r="K709" s="16">
        <v>46147</v>
      </c>
      <c r="L709" s="16">
        <v>46147</v>
      </c>
      <c r="M709" s="16">
        <v>46152</v>
      </c>
      <c r="N709" s="16" t="s">
        <v>242</v>
      </c>
    </row>
    <row r="710" spans="1:14" hidden="1" x14ac:dyDescent="0.25">
      <c r="A710" s="14" t="s">
        <v>14</v>
      </c>
      <c r="B710" s="14" t="s">
        <v>241</v>
      </c>
      <c r="C710" s="15" t="s">
        <v>23</v>
      </c>
      <c r="D710" s="16">
        <v>46203</v>
      </c>
      <c r="E710" s="17">
        <v>298</v>
      </c>
      <c r="F710" s="18">
        <v>1</v>
      </c>
      <c r="G710" s="19">
        <f>Cereal[[#This Row],[N° BOLSAS]]*Cereal[[#This Row],[KG BOLSA]]</f>
        <v>298</v>
      </c>
      <c r="H710" s="37">
        <v>40</v>
      </c>
      <c r="I710" s="14">
        <f>ROUNDDOWN(Cereal[[#This Row],[N° BOLSAS]]/Cereal[[#This Row],[CAP. SACOS]],0)</f>
        <v>7</v>
      </c>
      <c r="J710" s="14">
        <f>Cereal[[#This Row],[N° BOLSAS]]-Cereal[[#This Row],[N° SACOS]]*Cereal[[#This Row],[CAP. SACOS]]</f>
        <v>18</v>
      </c>
      <c r="K710" s="16">
        <v>46205</v>
      </c>
      <c r="L710" s="16">
        <v>46205</v>
      </c>
      <c r="M710" s="16">
        <v>46205</v>
      </c>
      <c r="N710" s="16" t="s">
        <v>242</v>
      </c>
    </row>
    <row r="711" spans="1:14" hidden="1" x14ac:dyDescent="0.25">
      <c r="A711" s="14" t="s">
        <v>14</v>
      </c>
      <c r="B711" s="14" t="s">
        <v>241</v>
      </c>
      <c r="C711" s="15" t="s">
        <v>24</v>
      </c>
      <c r="D711" s="16">
        <v>46203</v>
      </c>
      <c r="E711" s="17">
        <v>298</v>
      </c>
      <c r="F711" s="18">
        <v>1</v>
      </c>
      <c r="G711" s="19">
        <f>Cereal[[#This Row],[N° BOLSAS]]*Cereal[[#This Row],[KG BOLSA]]</f>
        <v>298</v>
      </c>
      <c r="H711" s="37">
        <v>40</v>
      </c>
      <c r="I711" s="14">
        <f>ROUNDDOWN(Cereal[[#This Row],[N° BOLSAS]]/Cereal[[#This Row],[CAP. SACOS]],0)</f>
        <v>7</v>
      </c>
      <c r="J711" s="14">
        <f>Cereal[[#This Row],[N° BOLSAS]]-Cereal[[#This Row],[N° SACOS]]*Cereal[[#This Row],[CAP. SACOS]]</f>
        <v>18</v>
      </c>
      <c r="K711" s="16">
        <v>46205</v>
      </c>
      <c r="L711" s="16">
        <v>46205</v>
      </c>
      <c r="M711" s="16">
        <v>46205</v>
      </c>
      <c r="N711" s="16" t="s">
        <v>242</v>
      </c>
    </row>
    <row r="712" spans="1:14" hidden="1" x14ac:dyDescent="0.25">
      <c r="A712" s="14" t="s">
        <v>14</v>
      </c>
      <c r="B712" s="14" t="s">
        <v>241</v>
      </c>
      <c r="C712" s="15" t="s">
        <v>25</v>
      </c>
      <c r="D712" s="16">
        <v>46265</v>
      </c>
      <c r="E712" s="17">
        <v>298</v>
      </c>
      <c r="F712" s="18">
        <v>1</v>
      </c>
      <c r="G712" s="19">
        <f>Cereal[[#This Row],[N° BOLSAS]]*Cereal[[#This Row],[KG BOLSA]]</f>
        <v>298</v>
      </c>
      <c r="H712" s="37">
        <v>40</v>
      </c>
      <c r="I712" s="14">
        <f>ROUNDDOWN(Cereal[[#This Row],[N° BOLSAS]]/Cereal[[#This Row],[CAP. SACOS]],0)</f>
        <v>7</v>
      </c>
      <c r="J712" s="14">
        <f>Cereal[[#This Row],[N° BOLSAS]]-Cereal[[#This Row],[N° SACOS]]*Cereal[[#This Row],[CAP. SACOS]]</f>
        <v>18</v>
      </c>
      <c r="K712" s="16">
        <v>46275</v>
      </c>
      <c r="L712" s="16">
        <v>46275</v>
      </c>
      <c r="M712" s="16">
        <v>46275</v>
      </c>
      <c r="N712" s="16" t="s">
        <v>242</v>
      </c>
    </row>
    <row r="713" spans="1:14" hidden="1" x14ac:dyDescent="0.25">
      <c r="A713" s="14" t="s">
        <v>14</v>
      </c>
      <c r="B713" s="14" t="s">
        <v>241</v>
      </c>
      <c r="C713" s="15" t="s">
        <v>26</v>
      </c>
      <c r="D713" s="16">
        <v>46265</v>
      </c>
      <c r="E713" s="17">
        <v>298</v>
      </c>
      <c r="F713" s="18">
        <v>1</v>
      </c>
      <c r="G713" s="19">
        <f>Cereal[[#This Row],[N° BOLSAS]]*Cereal[[#This Row],[KG BOLSA]]</f>
        <v>298</v>
      </c>
      <c r="H713" s="37">
        <v>40</v>
      </c>
      <c r="I713" s="14">
        <f>ROUNDDOWN(Cereal[[#This Row],[N° BOLSAS]]/Cereal[[#This Row],[CAP. SACOS]],0)</f>
        <v>7</v>
      </c>
      <c r="J713" s="14">
        <f>Cereal[[#This Row],[N° BOLSAS]]-Cereal[[#This Row],[N° SACOS]]*Cereal[[#This Row],[CAP. SACOS]]</f>
        <v>18</v>
      </c>
      <c r="K713" s="16">
        <v>46275</v>
      </c>
      <c r="L713" s="16">
        <v>46275</v>
      </c>
      <c r="M713" s="16">
        <v>46275</v>
      </c>
      <c r="N713" s="16" t="s">
        <v>242</v>
      </c>
    </row>
    <row r="714" spans="1:14" hidden="1" x14ac:dyDescent="0.25">
      <c r="A714" s="14" t="s">
        <v>14</v>
      </c>
      <c r="B714" s="14" t="s">
        <v>241</v>
      </c>
      <c r="C714" s="15" t="s">
        <v>27</v>
      </c>
      <c r="D714" s="16">
        <v>46326</v>
      </c>
      <c r="E714" s="17">
        <v>298</v>
      </c>
      <c r="F714" s="18">
        <v>1</v>
      </c>
      <c r="G714" s="19">
        <f>Cereal[[#This Row],[N° BOLSAS]]*Cereal[[#This Row],[KG BOLSA]]</f>
        <v>298</v>
      </c>
      <c r="H714" s="37">
        <v>40</v>
      </c>
      <c r="I714" s="14">
        <f>ROUNDDOWN(Cereal[[#This Row],[N° BOLSAS]]/Cereal[[#This Row],[CAP. SACOS]],0)</f>
        <v>7</v>
      </c>
      <c r="J714" s="14">
        <f>Cereal[[#This Row],[N° BOLSAS]]-Cereal[[#This Row],[N° SACOS]]*Cereal[[#This Row],[CAP. SACOS]]</f>
        <v>18</v>
      </c>
      <c r="K714" s="16"/>
      <c r="L714" s="16"/>
      <c r="M714" s="16"/>
      <c r="N714" s="16" t="s">
        <v>242</v>
      </c>
    </row>
    <row r="715" spans="1:14" hidden="1" x14ac:dyDescent="0.25">
      <c r="A715" s="14" t="s">
        <v>14</v>
      </c>
      <c r="B715" s="14" t="s">
        <v>241</v>
      </c>
      <c r="C715" s="15" t="s">
        <v>28</v>
      </c>
      <c r="D715" s="16">
        <v>46326</v>
      </c>
      <c r="E715" s="17">
        <v>298</v>
      </c>
      <c r="F715" s="18">
        <v>1</v>
      </c>
      <c r="G715" s="19">
        <f>Cereal[[#This Row],[N° BOLSAS]]*Cereal[[#This Row],[KG BOLSA]]</f>
        <v>298</v>
      </c>
      <c r="H715" s="37">
        <v>40</v>
      </c>
      <c r="I715" s="14">
        <f>ROUNDDOWN(Cereal[[#This Row],[N° BOLSAS]]/Cereal[[#This Row],[CAP. SACOS]],0)</f>
        <v>7</v>
      </c>
      <c r="J715" s="14">
        <f>Cereal[[#This Row],[N° BOLSAS]]-Cereal[[#This Row],[N° SACOS]]*Cereal[[#This Row],[CAP. SACOS]]</f>
        <v>18</v>
      </c>
      <c r="K715" s="16"/>
      <c r="L715" s="16"/>
      <c r="M715" s="16"/>
      <c r="N715" s="16" t="s">
        <v>242</v>
      </c>
    </row>
    <row r="716" spans="1:14" hidden="1" x14ac:dyDescent="0.25">
      <c r="A716" s="14" t="s">
        <v>14</v>
      </c>
      <c r="B716" s="14" t="s">
        <v>243</v>
      </c>
      <c r="C716" s="15" t="s">
        <v>16</v>
      </c>
      <c r="D716" s="16">
        <v>46042</v>
      </c>
      <c r="E716" s="17">
        <v>2684</v>
      </c>
      <c r="F716" s="18">
        <v>1.302</v>
      </c>
      <c r="G716" s="19">
        <f>Cereal[[#This Row],[N° BOLSAS]]*Cereal[[#This Row],[KG BOLSA]]</f>
        <v>3494.5680000000002</v>
      </c>
      <c r="H716" s="37">
        <v>35</v>
      </c>
      <c r="I716" s="14">
        <f>ROUNDDOWN(Cereal[[#This Row],[N° BOLSAS]]/Cereal[[#This Row],[CAP. SACOS]],0)</f>
        <v>76</v>
      </c>
      <c r="J716" s="14">
        <f>Cereal[[#This Row],[N° BOLSAS]]-Cereal[[#This Row],[N° SACOS]]*Cereal[[#This Row],[CAP. SACOS]]</f>
        <v>24</v>
      </c>
      <c r="K716" s="16">
        <v>46036</v>
      </c>
      <c r="L716" s="16">
        <v>46036</v>
      </c>
      <c r="M716" s="16">
        <v>46041</v>
      </c>
      <c r="N716" s="16" t="s">
        <v>244</v>
      </c>
    </row>
    <row r="717" spans="1:14" hidden="1" x14ac:dyDescent="0.25">
      <c r="A717" s="14" t="s">
        <v>14</v>
      </c>
      <c r="B717" s="14" t="s">
        <v>243</v>
      </c>
      <c r="C717" s="15" t="s">
        <v>18</v>
      </c>
      <c r="D717" s="16">
        <v>46042</v>
      </c>
      <c r="E717" s="17">
        <v>2685</v>
      </c>
      <c r="F717" s="18">
        <v>1.1759999999999999</v>
      </c>
      <c r="G717" s="19">
        <f>Cereal[[#This Row],[N° BOLSAS]]*Cereal[[#This Row],[KG BOLSA]]</f>
        <v>3157.56</v>
      </c>
      <c r="H717" s="37">
        <v>35</v>
      </c>
      <c r="I717" s="14">
        <f>ROUNDDOWN(Cereal[[#This Row],[N° BOLSAS]]/Cereal[[#This Row],[CAP. SACOS]],0)</f>
        <v>76</v>
      </c>
      <c r="J717" s="14">
        <f>Cereal[[#This Row],[N° BOLSAS]]-Cereal[[#This Row],[N° SACOS]]*Cereal[[#This Row],[CAP. SACOS]]</f>
        <v>25</v>
      </c>
      <c r="K717" s="16">
        <v>46036</v>
      </c>
      <c r="L717" s="16">
        <v>46036</v>
      </c>
      <c r="M717" s="16">
        <v>46041</v>
      </c>
      <c r="N717" s="16" t="s">
        <v>244</v>
      </c>
    </row>
    <row r="718" spans="1:14" hidden="1" x14ac:dyDescent="0.25">
      <c r="A718" s="14" t="s">
        <v>14</v>
      </c>
      <c r="B718" s="14" t="s">
        <v>243</v>
      </c>
      <c r="C718" s="15" t="s">
        <v>19</v>
      </c>
      <c r="D718" s="16">
        <v>46073</v>
      </c>
      <c r="E718" s="17">
        <v>2678</v>
      </c>
      <c r="F718" s="18">
        <v>1.302</v>
      </c>
      <c r="G718" s="19">
        <f>Cereal[[#This Row],[N° BOLSAS]]*Cereal[[#This Row],[KG BOLSA]]</f>
        <v>3486.7560000000003</v>
      </c>
      <c r="H718" s="37">
        <v>35</v>
      </c>
      <c r="I718" s="14">
        <f>ROUNDDOWN(Cereal[[#This Row],[N° BOLSAS]]/Cereal[[#This Row],[CAP. SACOS]],0)</f>
        <v>76</v>
      </c>
      <c r="J718" s="14">
        <f>Cereal[[#This Row],[N° BOLSAS]]-Cereal[[#This Row],[N° SACOS]]*Cereal[[#This Row],[CAP. SACOS]]</f>
        <v>18</v>
      </c>
      <c r="K718" s="16">
        <v>46058</v>
      </c>
      <c r="L718" s="16">
        <v>46058</v>
      </c>
      <c r="M718" s="16">
        <v>46063</v>
      </c>
      <c r="N718" s="16" t="s">
        <v>244</v>
      </c>
    </row>
    <row r="719" spans="1:14" hidden="1" x14ac:dyDescent="0.25">
      <c r="A719" s="14" t="s">
        <v>14</v>
      </c>
      <c r="B719" s="14" t="s">
        <v>243</v>
      </c>
      <c r="C719" s="15" t="s">
        <v>20</v>
      </c>
      <c r="D719" s="16">
        <v>46101</v>
      </c>
      <c r="E719" s="17">
        <v>2678</v>
      </c>
      <c r="F719" s="18">
        <v>1.26</v>
      </c>
      <c r="G719" s="19">
        <f>Cereal[[#This Row],[N° BOLSAS]]*Cereal[[#This Row],[KG BOLSA]]</f>
        <v>3374.28</v>
      </c>
      <c r="H719" s="37">
        <v>35</v>
      </c>
      <c r="I719" s="14">
        <f>ROUNDDOWN(Cereal[[#This Row],[N° BOLSAS]]/Cereal[[#This Row],[CAP. SACOS]],0)</f>
        <v>76</v>
      </c>
      <c r="J719" s="14">
        <f>Cereal[[#This Row],[N° BOLSAS]]-Cereal[[#This Row],[N° SACOS]]*Cereal[[#This Row],[CAP. SACOS]]</f>
        <v>18</v>
      </c>
      <c r="K719" s="16">
        <v>46088</v>
      </c>
      <c r="L719" s="16">
        <v>46088</v>
      </c>
      <c r="M719" s="16">
        <v>46092</v>
      </c>
      <c r="N719" s="16" t="s">
        <v>244</v>
      </c>
    </row>
    <row r="720" spans="1:14" hidden="1" x14ac:dyDescent="0.25">
      <c r="A720" s="14" t="s">
        <v>14</v>
      </c>
      <c r="B720" s="14" t="s">
        <v>243</v>
      </c>
      <c r="C720" s="15" t="s">
        <v>21</v>
      </c>
      <c r="D720" s="16">
        <v>46132</v>
      </c>
      <c r="E720" s="17">
        <v>2678</v>
      </c>
      <c r="F720" s="18">
        <v>1.302</v>
      </c>
      <c r="G720" s="19">
        <f>Cereal[[#This Row],[N° BOLSAS]]*Cereal[[#This Row],[KG BOLSA]]</f>
        <v>3486.7560000000003</v>
      </c>
      <c r="H720" s="37">
        <v>35</v>
      </c>
      <c r="I720" s="14">
        <f>ROUNDDOWN(Cereal[[#This Row],[N° BOLSAS]]/Cereal[[#This Row],[CAP. SACOS]],0)</f>
        <v>76</v>
      </c>
      <c r="J720" s="14">
        <f>Cereal[[#This Row],[N° BOLSAS]]-Cereal[[#This Row],[N° SACOS]]*Cereal[[#This Row],[CAP. SACOS]]</f>
        <v>18</v>
      </c>
      <c r="K720" s="16">
        <v>46120</v>
      </c>
      <c r="L720" s="16">
        <v>46120</v>
      </c>
      <c r="M720" s="16">
        <v>46121</v>
      </c>
      <c r="N720" s="16" t="s">
        <v>244</v>
      </c>
    </row>
    <row r="721" spans="1:14" hidden="1" x14ac:dyDescent="0.25">
      <c r="A721" s="14" t="s">
        <v>14</v>
      </c>
      <c r="B721" s="14" t="s">
        <v>243</v>
      </c>
      <c r="C721" s="15" t="s">
        <v>22</v>
      </c>
      <c r="D721" s="16">
        <v>46163</v>
      </c>
      <c r="E721" s="17">
        <v>2678</v>
      </c>
      <c r="F721" s="18">
        <v>1.26</v>
      </c>
      <c r="G721" s="19">
        <f>Cereal[[#This Row],[N° BOLSAS]]*Cereal[[#This Row],[KG BOLSA]]</f>
        <v>3374.28</v>
      </c>
      <c r="H721" s="37">
        <v>35</v>
      </c>
      <c r="I721" s="14">
        <f>ROUNDDOWN(Cereal[[#This Row],[N° BOLSAS]]/Cereal[[#This Row],[CAP. SACOS]],0)</f>
        <v>76</v>
      </c>
      <c r="J721" s="14">
        <f>Cereal[[#This Row],[N° BOLSAS]]-Cereal[[#This Row],[N° SACOS]]*Cereal[[#This Row],[CAP. SACOS]]</f>
        <v>18</v>
      </c>
      <c r="K721" s="16">
        <v>46150</v>
      </c>
      <c r="L721" s="16">
        <v>46150</v>
      </c>
      <c r="M721" s="16">
        <v>46162</v>
      </c>
      <c r="N721" s="16" t="s">
        <v>244</v>
      </c>
    </row>
    <row r="722" spans="1:14" hidden="1" x14ac:dyDescent="0.25">
      <c r="A722" s="14" t="s">
        <v>14</v>
      </c>
      <c r="B722" s="14" t="s">
        <v>243</v>
      </c>
      <c r="C722" s="15" t="s">
        <v>23</v>
      </c>
      <c r="D722" s="16">
        <v>46195</v>
      </c>
      <c r="E722" s="17">
        <v>2678</v>
      </c>
      <c r="F722" s="18">
        <v>1.302</v>
      </c>
      <c r="G722" s="19">
        <f>Cereal[[#This Row],[N° BOLSAS]]*Cereal[[#This Row],[KG BOLSA]]</f>
        <v>3486.7560000000003</v>
      </c>
      <c r="H722" s="37">
        <v>35</v>
      </c>
      <c r="I722" s="14">
        <f>ROUNDDOWN(Cereal[[#This Row],[N° BOLSAS]]/Cereal[[#This Row],[CAP. SACOS]],0)</f>
        <v>76</v>
      </c>
      <c r="J722" s="14">
        <f>Cereal[[#This Row],[N° BOLSAS]]-Cereal[[#This Row],[N° SACOS]]*Cereal[[#This Row],[CAP. SACOS]]</f>
        <v>18</v>
      </c>
      <c r="K722" s="16">
        <v>46175</v>
      </c>
      <c r="L722" s="16">
        <v>46175</v>
      </c>
      <c r="M722" s="16">
        <v>46192</v>
      </c>
      <c r="N722" s="16" t="s">
        <v>244</v>
      </c>
    </row>
    <row r="723" spans="1:14" hidden="1" x14ac:dyDescent="0.25">
      <c r="A723" s="14" t="s">
        <v>14</v>
      </c>
      <c r="B723" s="14" t="s">
        <v>243</v>
      </c>
      <c r="C723" s="15" t="s">
        <v>30</v>
      </c>
      <c r="D723" s="16">
        <v>46223</v>
      </c>
      <c r="E723" s="17">
        <v>2581</v>
      </c>
      <c r="F723" s="18">
        <v>1.302</v>
      </c>
      <c r="G723" s="19">
        <f>Cereal[[#This Row],[N° BOLSAS]]*Cereal[[#This Row],[KG BOLSA]]</f>
        <v>3360.462</v>
      </c>
      <c r="H723" s="37">
        <v>35</v>
      </c>
      <c r="I723" s="14">
        <f>ROUNDDOWN(Cereal[[#This Row],[N° BOLSAS]]/Cereal[[#This Row],[CAP. SACOS]],0)</f>
        <v>73</v>
      </c>
      <c r="J723" s="14">
        <f>Cereal[[#This Row],[N° BOLSAS]]-Cereal[[#This Row],[N° SACOS]]*Cereal[[#This Row],[CAP. SACOS]]</f>
        <v>26</v>
      </c>
      <c r="K723" s="16">
        <v>46219</v>
      </c>
      <c r="L723" s="16">
        <v>46219</v>
      </c>
      <c r="M723" s="16">
        <v>46222</v>
      </c>
      <c r="N723" s="16" t="s">
        <v>244</v>
      </c>
    </row>
    <row r="724" spans="1:14" hidden="1" x14ac:dyDescent="0.25">
      <c r="A724" s="14" t="s">
        <v>14</v>
      </c>
      <c r="B724" s="14" t="s">
        <v>243</v>
      </c>
      <c r="C724" s="15" t="s">
        <v>24</v>
      </c>
      <c r="D724" s="16">
        <v>46223</v>
      </c>
      <c r="E724" s="17">
        <v>2678</v>
      </c>
      <c r="F724" s="18">
        <v>1.302</v>
      </c>
      <c r="G724" s="19">
        <f>Cereal[[#This Row],[N° BOLSAS]]*Cereal[[#This Row],[KG BOLSA]]</f>
        <v>3486.7560000000003</v>
      </c>
      <c r="H724" s="37">
        <v>35</v>
      </c>
      <c r="I724" s="14">
        <f>ROUNDDOWN(Cereal[[#This Row],[N° BOLSAS]]/Cereal[[#This Row],[CAP. SACOS]],0)</f>
        <v>76</v>
      </c>
      <c r="J724" s="14">
        <f>Cereal[[#This Row],[N° BOLSAS]]-Cereal[[#This Row],[N° SACOS]]*Cereal[[#This Row],[CAP. SACOS]]</f>
        <v>18</v>
      </c>
      <c r="K724" s="16">
        <v>46219</v>
      </c>
      <c r="L724" s="16">
        <v>46219</v>
      </c>
      <c r="M724" s="16">
        <v>46222</v>
      </c>
      <c r="N724" s="16" t="s">
        <v>244</v>
      </c>
    </row>
    <row r="725" spans="1:14" hidden="1" x14ac:dyDescent="0.25">
      <c r="A725" s="14" t="s">
        <v>14</v>
      </c>
      <c r="B725" s="14" t="s">
        <v>243</v>
      </c>
      <c r="C725" s="15" t="s">
        <v>25</v>
      </c>
      <c r="D725" s="16">
        <v>46255</v>
      </c>
      <c r="E725" s="17">
        <v>2678</v>
      </c>
      <c r="F725" s="18">
        <v>1.26</v>
      </c>
      <c r="G725" s="19">
        <f>Cereal[[#This Row],[N° BOLSAS]]*Cereal[[#This Row],[KG BOLSA]]</f>
        <v>3374.28</v>
      </c>
      <c r="H725" s="37">
        <v>35</v>
      </c>
      <c r="I725" s="14">
        <f>ROUNDDOWN(Cereal[[#This Row],[N° BOLSAS]]/Cereal[[#This Row],[CAP. SACOS]],0)</f>
        <v>76</v>
      </c>
      <c r="J725" s="14">
        <f>Cereal[[#This Row],[N° BOLSAS]]-Cereal[[#This Row],[N° SACOS]]*Cereal[[#This Row],[CAP. SACOS]]</f>
        <v>18</v>
      </c>
      <c r="K725" s="16">
        <v>46234</v>
      </c>
      <c r="L725" s="16">
        <v>46234</v>
      </c>
      <c r="M725" s="16">
        <v>46252</v>
      </c>
      <c r="N725" s="16" t="s">
        <v>244</v>
      </c>
    </row>
    <row r="726" spans="1:14" hidden="1" x14ac:dyDescent="0.25">
      <c r="A726" s="14" t="s">
        <v>14</v>
      </c>
      <c r="B726" s="14" t="s">
        <v>243</v>
      </c>
      <c r="C726" s="15" t="s">
        <v>26</v>
      </c>
      <c r="D726" s="16">
        <v>46286</v>
      </c>
      <c r="E726" s="17">
        <v>2678</v>
      </c>
      <c r="F726" s="18">
        <v>1.302</v>
      </c>
      <c r="G726" s="19">
        <f>Cereal[[#This Row],[N° BOLSAS]]*Cereal[[#This Row],[KG BOLSA]]</f>
        <v>3486.7560000000003</v>
      </c>
      <c r="H726" s="37">
        <v>35</v>
      </c>
      <c r="I726" s="14">
        <f>ROUNDDOWN(Cereal[[#This Row],[N° BOLSAS]]/Cereal[[#This Row],[CAP. SACOS]],0)</f>
        <v>76</v>
      </c>
      <c r="J726" s="14">
        <f>Cereal[[#This Row],[N° BOLSAS]]-Cereal[[#This Row],[N° SACOS]]*Cereal[[#This Row],[CAP. SACOS]]</f>
        <v>18</v>
      </c>
      <c r="K726" s="16">
        <v>46276</v>
      </c>
      <c r="L726" s="16">
        <v>46276</v>
      </c>
      <c r="M726" s="16">
        <v>46276</v>
      </c>
      <c r="N726" s="16" t="s">
        <v>244</v>
      </c>
    </row>
    <row r="727" spans="1:14" hidden="1" x14ac:dyDescent="0.25">
      <c r="A727" s="14" t="s">
        <v>14</v>
      </c>
      <c r="B727" s="14" t="s">
        <v>243</v>
      </c>
      <c r="C727" s="15" t="s">
        <v>27</v>
      </c>
      <c r="D727" s="16">
        <v>46315</v>
      </c>
      <c r="E727" s="17">
        <v>2678</v>
      </c>
      <c r="F727" s="18">
        <v>1.26</v>
      </c>
      <c r="G727" s="19">
        <f>Cereal[[#This Row],[N° BOLSAS]]*Cereal[[#This Row],[KG BOLSA]]</f>
        <v>3374.28</v>
      </c>
      <c r="H727" s="37">
        <v>35</v>
      </c>
      <c r="I727" s="14">
        <f>ROUNDDOWN(Cereal[[#This Row],[N° BOLSAS]]/Cereal[[#This Row],[CAP. SACOS]],0)</f>
        <v>76</v>
      </c>
      <c r="J727" s="14">
        <f>Cereal[[#This Row],[N° BOLSAS]]-Cereal[[#This Row],[N° SACOS]]*Cereal[[#This Row],[CAP. SACOS]]</f>
        <v>18</v>
      </c>
      <c r="K727" s="16"/>
      <c r="L727" s="16"/>
      <c r="M727" s="16"/>
      <c r="N727" s="16" t="s">
        <v>244</v>
      </c>
    </row>
    <row r="728" spans="1:14" hidden="1" x14ac:dyDescent="0.25">
      <c r="A728" s="14" t="s">
        <v>14</v>
      </c>
      <c r="B728" s="14" t="s">
        <v>243</v>
      </c>
      <c r="C728" s="15" t="s">
        <v>28</v>
      </c>
      <c r="D728" s="16">
        <v>46346</v>
      </c>
      <c r="E728" s="17">
        <v>2678</v>
      </c>
      <c r="F728" s="18">
        <v>1.302</v>
      </c>
      <c r="G728" s="19">
        <f>Cereal[[#This Row],[N° BOLSAS]]*Cereal[[#This Row],[KG BOLSA]]</f>
        <v>3486.7560000000003</v>
      </c>
      <c r="H728" s="37">
        <v>35</v>
      </c>
      <c r="I728" s="14">
        <f>ROUNDDOWN(Cereal[[#This Row],[N° BOLSAS]]/Cereal[[#This Row],[CAP. SACOS]],0)</f>
        <v>76</v>
      </c>
      <c r="J728" s="14">
        <f>Cereal[[#This Row],[N° BOLSAS]]-Cereal[[#This Row],[N° SACOS]]*Cereal[[#This Row],[CAP. SACOS]]</f>
        <v>18</v>
      </c>
      <c r="K728" s="16"/>
      <c r="L728" s="16"/>
      <c r="M728" s="16"/>
      <c r="N728" s="16" t="s">
        <v>244</v>
      </c>
    </row>
    <row r="729" spans="1:14" hidden="1" x14ac:dyDescent="0.25">
      <c r="A729" s="14" t="s">
        <v>14</v>
      </c>
      <c r="B729" s="14" t="s">
        <v>245</v>
      </c>
      <c r="C729" s="15" t="s">
        <v>30</v>
      </c>
      <c r="D729" s="16">
        <v>46053</v>
      </c>
      <c r="E729" s="17">
        <v>752</v>
      </c>
      <c r="F729" s="18">
        <v>1.0846119999999999</v>
      </c>
      <c r="G729" s="19">
        <f>Cereal[[#This Row],[N° BOLSAS]]*Cereal[[#This Row],[KG BOLSA]]</f>
        <v>815.62822399999993</v>
      </c>
      <c r="H729" s="37">
        <v>40</v>
      </c>
      <c r="I729" s="14">
        <f>ROUNDDOWN(Cereal[[#This Row],[N° BOLSAS]]/Cereal[[#This Row],[CAP. SACOS]],0)</f>
        <v>18</v>
      </c>
      <c r="J729" s="14">
        <f>Cereal[[#This Row],[N° BOLSAS]]-Cereal[[#This Row],[N° SACOS]]*Cereal[[#This Row],[CAP. SACOS]]</f>
        <v>32</v>
      </c>
      <c r="K729" s="16">
        <v>46053</v>
      </c>
      <c r="L729" s="16">
        <v>46053</v>
      </c>
      <c r="M729" s="16">
        <v>46054</v>
      </c>
      <c r="N729" s="16" t="s">
        <v>246</v>
      </c>
    </row>
    <row r="730" spans="1:14" hidden="1" x14ac:dyDescent="0.25">
      <c r="A730" s="14" t="s">
        <v>14</v>
      </c>
      <c r="B730" s="14" t="s">
        <v>245</v>
      </c>
      <c r="C730" s="15" t="s">
        <v>20</v>
      </c>
      <c r="D730" s="16">
        <v>46128</v>
      </c>
      <c r="E730" s="17">
        <v>221</v>
      </c>
      <c r="F730" s="18">
        <v>1.2300629999999999</v>
      </c>
      <c r="G730" s="19">
        <f>Cereal[[#This Row],[N° BOLSAS]]*Cereal[[#This Row],[KG BOLSA]]</f>
        <v>271.84392299999996</v>
      </c>
      <c r="H730" s="37">
        <v>35</v>
      </c>
      <c r="I730" s="14">
        <f>ROUNDDOWN(Cereal[[#This Row],[N° BOLSAS]]/Cereal[[#This Row],[CAP. SACOS]],0)</f>
        <v>6</v>
      </c>
      <c r="J730" s="14">
        <f>Cereal[[#This Row],[N° BOLSAS]]-Cereal[[#This Row],[N° SACOS]]*Cereal[[#This Row],[CAP. SACOS]]</f>
        <v>11</v>
      </c>
      <c r="K730" s="16">
        <v>46128</v>
      </c>
      <c r="L730" s="16">
        <v>46128</v>
      </c>
      <c r="M730" s="16">
        <v>46128</v>
      </c>
      <c r="N730" s="16" t="s">
        <v>246</v>
      </c>
    </row>
    <row r="731" spans="1:14" hidden="1" x14ac:dyDescent="0.25">
      <c r="A731" s="14" t="s">
        <v>14</v>
      </c>
      <c r="B731" s="14" t="s">
        <v>245</v>
      </c>
      <c r="C731" s="15" t="s">
        <v>21</v>
      </c>
      <c r="D731" s="16">
        <v>46128</v>
      </c>
      <c r="E731" s="17">
        <v>221</v>
      </c>
      <c r="F731" s="18">
        <v>1.2300629999999999</v>
      </c>
      <c r="G731" s="19">
        <f>Cereal[[#This Row],[N° BOLSAS]]*Cereal[[#This Row],[KG BOLSA]]</f>
        <v>271.84392299999996</v>
      </c>
      <c r="H731" s="37">
        <v>35</v>
      </c>
      <c r="I731" s="14">
        <f>ROUNDDOWN(Cereal[[#This Row],[N° BOLSAS]]/Cereal[[#This Row],[CAP. SACOS]],0)</f>
        <v>6</v>
      </c>
      <c r="J731" s="14">
        <f>Cereal[[#This Row],[N° BOLSAS]]-Cereal[[#This Row],[N° SACOS]]*Cereal[[#This Row],[CAP. SACOS]]</f>
        <v>11</v>
      </c>
      <c r="K731" s="16">
        <v>46128</v>
      </c>
      <c r="L731" s="16">
        <v>46128</v>
      </c>
      <c r="M731" s="16">
        <v>46128</v>
      </c>
      <c r="N731" s="16" t="s">
        <v>246</v>
      </c>
    </row>
    <row r="732" spans="1:14" hidden="1" x14ac:dyDescent="0.25">
      <c r="A732" s="14" t="s">
        <v>14</v>
      </c>
      <c r="B732" s="14" t="s">
        <v>245</v>
      </c>
      <c r="C732" s="15" t="s">
        <v>22</v>
      </c>
      <c r="D732" s="16">
        <v>46128</v>
      </c>
      <c r="E732" s="17">
        <v>221</v>
      </c>
      <c r="F732" s="18">
        <v>1.2300629999999999</v>
      </c>
      <c r="G732" s="19">
        <f>Cereal[[#This Row],[N° BOLSAS]]*Cereal[[#This Row],[KG BOLSA]]</f>
        <v>271.84392299999996</v>
      </c>
      <c r="H732" s="37">
        <v>35</v>
      </c>
      <c r="I732" s="14">
        <f>ROUNDDOWN(Cereal[[#This Row],[N° BOLSAS]]/Cereal[[#This Row],[CAP. SACOS]],0)</f>
        <v>6</v>
      </c>
      <c r="J732" s="14">
        <f>Cereal[[#This Row],[N° BOLSAS]]-Cereal[[#This Row],[N° SACOS]]*Cereal[[#This Row],[CAP. SACOS]]</f>
        <v>11</v>
      </c>
      <c r="K732" s="16">
        <v>46128</v>
      </c>
      <c r="L732" s="16">
        <v>46128</v>
      </c>
      <c r="M732" s="16">
        <v>46128</v>
      </c>
      <c r="N732" s="16" t="s">
        <v>246</v>
      </c>
    </row>
    <row r="733" spans="1:14" hidden="1" x14ac:dyDescent="0.25">
      <c r="A733" s="14" t="s">
        <v>14</v>
      </c>
      <c r="B733" s="14" t="s">
        <v>245</v>
      </c>
      <c r="C733" s="15" t="s">
        <v>23</v>
      </c>
      <c r="D733" s="16">
        <v>46189</v>
      </c>
      <c r="E733" s="17">
        <v>221</v>
      </c>
      <c r="F733" s="18">
        <v>1.2300629999999999</v>
      </c>
      <c r="G733" s="19">
        <f>Cereal[[#This Row],[N° BOLSAS]]*Cereal[[#This Row],[KG BOLSA]]</f>
        <v>271.84392299999996</v>
      </c>
      <c r="H733" s="37">
        <v>35</v>
      </c>
      <c r="I733" s="14">
        <f>ROUNDDOWN(Cereal[[#This Row],[N° BOLSAS]]/Cereal[[#This Row],[CAP. SACOS]],0)</f>
        <v>6</v>
      </c>
      <c r="J733" s="14">
        <f>Cereal[[#This Row],[N° BOLSAS]]-Cereal[[#This Row],[N° SACOS]]*Cereal[[#This Row],[CAP. SACOS]]</f>
        <v>11</v>
      </c>
      <c r="K733" s="16">
        <v>46198</v>
      </c>
      <c r="L733" s="16">
        <v>46198</v>
      </c>
      <c r="M733" s="16">
        <v>46198</v>
      </c>
      <c r="N733" s="16" t="s">
        <v>246</v>
      </c>
    </row>
    <row r="734" spans="1:14" hidden="1" x14ac:dyDescent="0.25">
      <c r="A734" s="14" t="s">
        <v>14</v>
      </c>
      <c r="B734" s="14" t="s">
        <v>245</v>
      </c>
      <c r="C734" s="15" t="s">
        <v>24</v>
      </c>
      <c r="D734" s="16">
        <v>46189</v>
      </c>
      <c r="E734" s="17">
        <v>221</v>
      </c>
      <c r="F734" s="18">
        <v>1.2300629999999999</v>
      </c>
      <c r="G734" s="19">
        <f>Cereal[[#This Row],[N° BOLSAS]]*Cereal[[#This Row],[KG BOLSA]]</f>
        <v>271.84392299999996</v>
      </c>
      <c r="H734" s="37">
        <v>35</v>
      </c>
      <c r="I734" s="14">
        <f>ROUNDDOWN(Cereal[[#This Row],[N° BOLSAS]]/Cereal[[#This Row],[CAP. SACOS]],0)</f>
        <v>6</v>
      </c>
      <c r="J734" s="14">
        <f>Cereal[[#This Row],[N° BOLSAS]]-Cereal[[#This Row],[N° SACOS]]*Cereal[[#This Row],[CAP. SACOS]]</f>
        <v>11</v>
      </c>
      <c r="K734" s="16">
        <v>46198</v>
      </c>
      <c r="L734" s="16">
        <v>46198</v>
      </c>
      <c r="M734" s="16">
        <v>46198</v>
      </c>
      <c r="N734" s="16" t="s">
        <v>246</v>
      </c>
    </row>
    <row r="735" spans="1:14" hidden="1" x14ac:dyDescent="0.25">
      <c r="A735" s="14" t="s">
        <v>14</v>
      </c>
      <c r="B735" s="14" t="s">
        <v>245</v>
      </c>
      <c r="C735" s="15" t="s">
        <v>67</v>
      </c>
      <c r="D735" s="16">
        <v>46189</v>
      </c>
      <c r="E735" s="17">
        <v>221</v>
      </c>
      <c r="F735" s="18">
        <v>1.2300629999999999</v>
      </c>
      <c r="G735" s="19">
        <f>Cereal[[#This Row],[N° BOLSAS]]*Cereal[[#This Row],[KG BOLSA]]</f>
        <v>271.84392299999996</v>
      </c>
      <c r="H735" s="37">
        <v>35</v>
      </c>
      <c r="I735" s="14">
        <f>ROUNDDOWN(Cereal[[#This Row],[N° BOLSAS]]/Cereal[[#This Row],[CAP. SACOS]],0)</f>
        <v>6</v>
      </c>
      <c r="J735" s="14">
        <f>Cereal[[#This Row],[N° BOLSAS]]-Cereal[[#This Row],[N° SACOS]]*Cereal[[#This Row],[CAP. SACOS]]</f>
        <v>11</v>
      </c>
      <c r="K735" s="16">
        <v>46198</v>
      </c>
      <c r="L735" s="16">
        <v>46198</v>
      </c>
      <c r="M735" s="16">
        <v>46198</v>
      </c>
      <c r="N735" s="16" t="s">
        <v>246</v>
      </c>
    </row>
    <row r="736" spans="1:14" hidden="1" x14ac:dyDescent="0.25">
      <c r="A736" s="14" t="s">
        <v>14</v>
      </c>
      <c r="B736" s="14" t="s">
        <v>245</v>
      </c>
      <c r="C736" s="15" t="s">
        <v>30</v>
      </c>
      <c r="D736" s="16">
        <v>46260</v>
      </c>
      <c r="E736" s="17">
        <v>220</v>
      </c>
      <c r="F736" s="18">
        <v>0.59762000000000004</v>
      </c>
      <c r="G736" s="19">
        <f>Cereal[[#This Row],[N° BOLSAS]]*Cereal[[#This Row],[KG BOLSA]]</f>
        <v>131.47640000000001</v>
      </c>
      <c r="H736" s="37">
        <v>70</v>
      </c>
      <c r="I736" s="14">
        <f>ROUNDDOWN(Cereal[[#This Row],[N° BOLSAS]]/Cereal[[#This Row],[CAP. SACOS]],0)</f>
        <v>3</v>
      </c>
      <c r="J736" s="14">
        <f>Cereal[[#This Row],[N° BOLSAS]]-Cereal[[#This Row],[N° SACOS]]*Cereal[[#This Row],[CAP. SACOS]]</f>
        <v>10</v>
      </c>
      <c r="K736" s="16"/>
      <c r="L736" s="16"/>
      <c r="M736" s="16"/>
      <c r="N736" s="16" t="s">
        <v>246</v>
      </c>
    </row>
    <row r="737" spans="1:14" hidden="1" x14ac:dyDescent="0.25">
      <c r="A737" s="14" t="s">
        <v>14</v>
      </c>
      <c r="B737" s="14" t="s">
        <v>245</v>
      </c>
      <c r="C737" s="15" t="s">
        <v>26</v>
      </c>
      <c r="D737" s="16">
        <v>46281</v>
      </c>
      <c r="E737" s="17">
        <v>221</v>
      </c>
      <c r="F737" s="18">
        <v>1.2345680000000001</v>
      </c>
      <c r="G737" s="19">
        <f>Cereal[[#This Row],[N° BOLSAS]]*Cereal[[#This Row],[KG BOLSA]]</f>
        <v>272.83952800000003</v>
      </c>
      <c r="H737" s="37">
        <v>35</v>
      </c>
      <c r="I737" s="14">
        <f>ROUNDDOWN(Cereal[[#This Row],[N° BOLSAS]]/Cereal[[#This Row],[CAP. SACOS]],0)</f>
        <v>6</v>
      </c>
      <c r="J737" s="14">
        <f>Cereal[[#This Row],[N° BOLSAS]]-Cereal[[#This Row],[N° SACOS]]*Cereal[[#This Row],[CAP. SACOS]]</f>
        <v>11</v>
      </c>
      <c r="K737" s="16">
        <v>46293</v>
      </c>
      <c r="L737" s="16">
        <v>46293</v>
      </c>
      <c r="M737" s="16">
        <v>46293</v>
      </c>
      <c r="N737" s="16" t="s">
        <v>246</v>
      </c>
    </row>
    <row r="738" spans="1:14" hidden="1" x14ac:dyDescent="0.25">
      <c r="A738" s="14" t="s">
        <v>14</v>
      </c>
      <c r="B738" s="14" t="s">
        <v>245</v>
      </c>
      <c r="C738" s="15" t="s">
        <v>27</v>
      </c>
      <c r="D738" s="16">
        <v>46281</v>
      </c>
      <c r="E738" s="17">
        <v>221</v>
      </c>
      <c r="F738" s="18">
        <v>1.2345680000000001</v>
      </c>
      <c r="G738" s="19">
        <f>Cereal[[#This Row],[N° BOLSAS]]*Cereal[[#This Row],[KG BOLSA]]</f>
        <v>272.83952800000003</v>
      </c>
      <c r="H738" s="37">
        <v>35</v>
      </c>
      <c r="I738" s="14">
        <f>ROUNDDOWN(Cereal[[#This Row],[N° BOLSAS]]/Cereal[[#This Row],[CAP. SACOS]],0)</f>
        <v>6</v>
      </c>
      <c r="J738" s="14">
        <f>Cereal[[#This Row],[N° BOLSAS]]-Cereal[[#This Row],[N° SACOS]]*Cereal[[#This Row],[CAP. SACOS]]</f>
        <v>11</v>
      </c>
      <c r="K738" s="16">
        <v>46293</v>
      </c>
      <c r="L738" s="16">
        <v>46293</v>
      </c>
      <c r="M738" s="16">
        <v>46293</v>
      </c>
      <c r="N738" s="16" t="s">
        <v>246</v>
      </c>
    </row>
    <row r="739" spans="1:14" hidden="1" x14ac:dyDescent="0.25">
      <c r="A739" s="14" t="s">
        <v>14</v>
      </c>
      <c r="B739" s="14" t="s">
        <v>245</v>
      </c>
      <c r="C739" s="15" t="s">
        <v>28</v>
      </c>
      <c r="D739" s="16">
        <v>46281</v>
      </c>
      <c r="E739" s="17">
        <v>221</v>
      </c>
      <c r="F739" s="18">
        <v>1.2345680000000001</v>
      </c>
      <c r="G739" s="19">
        <f>Cereal[[#This Row],[N° BOLSAS]]*Cereal[[#This Row],[KG BOLSA]]</f>
        <v>272.83952800000003</v>
      </c>
      <c r="H739" s="37">
        <v>35</v>
      </c>
      <c r="I739" s="14">
        <f>ROUNDDOWN(Cereal[[#This Row],[N° BOLSAS]]/Cereal[[#This Row],[CAP. SACOS]],0)</f>
        <v>6</v>
      </c>
      <c r="J739" s="14">
        <f>Cereal[[#This Row],[N° BOLSAS]]-Cereal[[#This Row],[N° SACOS]]*Cereal[[#This Row],[CAP. SACOS]]</f>
        <v>11</v>
      </c>
      <c r="K739" s="16">
        <v>46293</v>
      </c>
      <c r="L739" s="16">
        <v>46293</v>
      </c>
      <c r="M739" s="16">
        <v>46293</v>
      </c>
      <c r="N739" s="16" t="s">
        <v>246</v>
      </c>
    </row>
    <row r="740" spans="1:14" hidden="1" x14ac:dyDescent="0.25">
      <c r="A740" s="14" t="s">
        <v>14</v>
      </c>
      <c r="B740" s="14" t="s">
        <v>247</v>
      </c>
      <c r="C740" s="15" t="s">
        <v>16</v>
      </c>
      <c r="D740" s="16">
        <v>46022</v>
      </c>
      <c r="E740" s="17">
        <v>5788</v>
      </c>
      <c r="F740" s="18">
        <v>1</v>
      </c>
      <c r="G740" s="19">
        <f>Cereal[[#This Row],[N° BOLSAS]]*Cereal[[#This Row],[KG BOLSA]]</f>
        <v>5788</v>
      </c>
      <c r="H740" s="37">
        <v>40</v>
      </c>
      <c r="I740" s="14">
        <f>ROUNDDOWN(Cereal[[#This Row],[N° BOLSAS]]/Cereal[[#This Row],[CAP. SACOS]],0)</f>
        <v>144</v>
      </c>
      <c r="J740" s="14">
        <f>Cereal[[#This Row],[N° BOLSAS]]-Cereal[[#This Row],[N° SACOS]]*Cereal[[#This Row],[CAP. SACOS]]</f>
        <v>28</v>
      </c>
      <c r="K740" s="16">
        <v>46018</v>
      </c>
      <c r="L740" s="16">
        <v>46018</v>
      </c>
      <c r="M740" s="16">
        <v>46048</v>
      </c>
      <c r="N740" s="16" t="s">
        <v>248</v>
      </c>
    </row>
    <row r="741" spans="1:14" hidden="1" x14ac:dyDescent="0.25">
      <c r="A741" s="14" t="s">
        <v>14</v>
      </c>
      <c r="B741" s="14" t="s">
        <v>247</v>
      </c>
      <c r="C741" s="15" t="s">
        <v>18</v>
      </c>
      <c r="D741" s="16">
        <v>46036</v>
      </c>
      <c r="E741" s="17">
        <v>5200</v>
      </c>
      <c r="F741" s="18">
        <v>1</v>
      </c>
      <c r="G741" s="19">
        <f>Cereal[[#This Row],[N° BOLSAS]]*Cereal[[#This Row],[KG BOLSA]]</f>
        <v>5200</v>
      </c>
      <c r="H741" s="37">
        <v>40</v>
      </c>
      <c r="I741" s="14">
        <f>ROUNDDOWN(Cereal[[#This Row],[N° BOLSAS]]/Cereal[[#This Row],[CAP. SACOS]],0)</f>
        <v>130</v>
      </c>
      <c r="J741" s="14">
        <f>Cereal[[#This Row],[N° BOLSAS]]-Cereal[[#This Row],[N° SACOS]]*Cereal[[#This Row],[CAP. SACOS]]</f>
        <v>0</v>
      </c>
      <c r="K741" s="16">
        <v>46039</v>
      </c>
      <c r="L741" s="16">
        <v>46039</v>
      </c>
      <c r="M741" s="16">
        <v>46048</v>
      </c>
      <c r="N741" s="16" t="s">
        <v>248</v>
      </c>
    </row>
    <row r="742" spans="1:14" hidden="1" x14ac:dyDescent="0.25">
      <c r="A742" s="14" t="s">
        <v>14</v>
      </c>
      <c r="B742" s="14" t="s">
        <v>247</v>
      </c>
      <c r="C742" s="15" t="s">
        <v>19</v>
      </c>
      <c r="D742" s="16">
        <v>46064</v>
      </c>
      <c r="E742" s="17">
        <v>5788</v>
      </c>
      <c r="F742" s="18">
        <v>1</v>
      </c>
      <c r="G742" s="19">
        <f>Cereal[[#This Row],[N° BOLSAS]]*Cereal[[#This Row],[KG BOLSA]]</f>
        <v>5788</v>
      </c>
      <c r="H742" s="37">
        <v>40</v>
      </c>
      <c r="I742" s="14">
        <f>ROUNDDOWN(Cereal[[#This Row],[N° BOLSAS]]/Cereal[[#This Row],[CAP. SACOS]],0)</f>
        <v>144</v>
      </c>
      <c r="J742" s="14">
        <f>Cereal[[#This Row],[N° BOLSAS]]-Cereal[[#This Row],[N° SACOS]]*Cereal[[#This Row],[CAP. SACOS]]</f>
        <v>28</v>
      </c>
      <c r="K742" s="16">
        <v>46065</v>
      </c>
      <c r="L742" s="16">
        <v>46065</v>
      </c>
      <c r="M742" s="16">
        <v>46065</v>
      </c>
      <c r="N742" s="16" t="s">
        <v>248</v>
      </c>
    </row>
    <row r="743" spans="1:14" hidden="1" x14ac:dyDescent="0.25">
      <c r="A743" s="14" t="s">
        <v>14</v>
      </c>
      <c r="B743" s="14" t="s">
        <v>247</v>
      </c>
      <c r="C743" s="15" t="s">
        <v>20</v>
      </c>
      <c r="D743" s="16">
        <v>46091</v>
      </c>
      <c r="E743" s="17">
        <v>5559</v>
      </c>
      <c r="F743" s="18">
        <v>1</v>
      </c>
      <c r="G743" s="19">
        <f>Cereal[[#This Row],[N° BOLSAS]]*Cereal[[#This Row],[KG BOLSA]]</f>
        <v>5559</v>
      </c>
      <c r="H743" s="37">
        <v>40</v>
      </c>
      <c r="I743" s="14">
        <f>ROUNDDOWN(Cereal[[#This Row],[N° BOLSAS]]/Cereal[[#This Row],[CAP. SACOS]],0)</f>
        <v>138</v>
      </c>
      <c r="J743" s="14">
        <f>Cereal[[#This Row],[N° BOLSAS]]-Cereal[[#This Row],[N° SACOS]]*Cereal[[#This Row],[CAP. SACOS]]</f>
        <v>39</v>
      </c>
      <c r="K743" s="16">
        <v>46093</v>
      </c>
      <c r="L743" s="16">
        <v>46093</v>
      </c>
      <c r="M743" s="16">
        <v>46093</v>
      </c>
      <c r="N743" s="16" t="s">
        <v>248</v>
      </c>
    </row>
    <row r="744" spans="1:14" hidden="1" x14ac:dyDescent="0.25">
      <c r="A744" s="14" t="s">
        <v>14</v>
      </c>
      <c r="B744" s="14" t="s">
        <v>247</v>
      </c>
      <c r="C744" s="15" t="s">
        <v>21</v>
      </c>
      <c r="D744" s="16">
        <v>46127</v>
      </c>
      <c r="E744" s="17">
        <v>5788</v>
      </c>
      <c r="F744" s="18">
        <v>1</v>
      </c>
      <c r="G744" s="19">
        <f>Cereal[[#This Row],[N° BOLSAS]]*Cereal[[#This Row],[KG BOLSA]]</f>
        <v>5788</v>
      </c>
      <c r="H744" s="37">
        <v>40</v>
      </c>
      <c r="I744" s="14">
        <f>ROUNDDOWN(Cereal[[#This Row],[N° BOLSAS]]/Cereal[[#This Row],[CAP. SACOS]],0)</f>
        <v>144</v>
      </c>
      <c r="J744" s="14">
        <f>Cereal[[#This Row],[N° BOLSAS]]-Cereal[[#This Row],[N° SACOS]]*Cereal[[#This Row],[CAP. SACOS]]</f>
        <v>28</v>
      </c>
      <c r="K744" s="16">
        <v>46121</v>
      </c>
      <c r="L744" s="16">
        <v>46121</v>
      </c>
      <c r="M744" s="16">
        <v>46125</v>
      </c>
      <c r="N744" s="16" t="s">
        <v>248</v>
      </c>
    </row>
    <row r="745" spans="1:14" hidden="1" x14ac:dyDescent="0.25">
      <c r="A745" s="14" t="s">
        <v>14</v>
      </c>
      <c r="B745" s="14" t="s">
        <v>247</v>
      </c>
      <c r="C745" s="15" t="s">
        <v>22</v>
      </c>
      <c r="D745" s="16">
        <v>46155</v>
      </c>
      <c r="E745" s="17">
        <v>5559</v>
      </c>
      <c r="F745" s="18">
        <v>1</v>
      </c>
      <c r="G745" s="19">
        <f>Cereal[[#This Row],[N° BOLSAS]]*Cereal[[#This Row],[KG BOLSA]]</f>
        <v>5559</v>
      </c>
      <c r="H745" s="37">
        <v>40</v>
      </c>
      <c r="I745" s="14">
        <f>ROUNDDOWN(Cereal[[#This Row],[N° BOLSAS]]/Cereal[[#This Row],[CAP. SACOS]],0)</f>
        <v>138</v>
      </c>
      <c r="J745" s="14">
        <f>Cereal[[#This Row],[N° BOLSAS]]-Cereal[[#This Row],[N° SACOS]]*Cereal[[#This Row],[CAP. SACOS]]</f>
        <v>39</v>
      </c>
      <c r="K745" s="16">
        <v>46154</v>
      </c>
      <c r="L745" s="16">
        <v>46154</v>
      </c>
      <c r="M745" s="16">
        <v>46154</v>
      </c>
      <c r="N745" s="16" t="s">
        <v>248</v>
      </c>
    </row>
    <row r="746" spans="1:14" hidden="1" x14ac:dyDescent="0.25">
      <c r="A746" s="14" t="s">
        <v>14</v>
      </c>
      <c r="B746" s="14" t="s">
        <v>247</v>
      </c>
      <c r="C746" s="15" t="s">
        <v>23</v>
      </c>
      <c r="D746" s="16">
        <v>46189</v>
      </c>
      <c r="E746" s="17">
        <v>5788</v>
      </c>
      <c r="F746" s="18">
        <v>1</v>
      </c>
      <c r="G746" s="19">
        <f>Cereal[[#This Row],[N° BOLSAS]]*Cereal[[#This Row],[KG BOLSA]]</f>
        <v>5788</v>
      </c>
      <c r="H746" s="37">
        <v>40</v>
      </c>
      <c r="I746" s="14">
        <f>ROUNDDOWN(Cereal[[#This Row],[N° BOLSAS]]/Cereal[[#This Row],[CAP. SACOS]],0)</f>
        <v>144</v>
      </c>
      <c r="J746" s="14">
        <f>Cereal[[#This Row],[N° BOLSAS]]-Cereal[[#This Row],[N° SACOS]]*Cereal[[#This Row],[CAP. SACOS]]</f>
        <v>28</v>
      </c>
      <c r="K746" s="16">
        <v>46174</v>
      </c>
      <c r="L746" s="16">
        <v>46174</v>
      </c>
      <c r="M746" s="16">
        <v>46182</v>
      </c>
      <c r="N746" s="16" t="s">
        <v>248</v>
      </c>
    </row>
    <row r="747" spans="1:14" hidden="1" x14ac:dyDescent="0.25">
      <c r="A747" s="14" t="s">
        <v>14</v>
      </c>
      <c r="B747" s="14" t="s">
        <v>247</v>
      </c>
      <c r="C747" s="15" t="s">
        <v>24</v>
      </c>
      <c r="D747" s="16">
        <v>46218</v>
      </c>
      <c r="E747" s="17">
        <v>5788</v>
      </c>
      <c r="F747" s="18">
        <v>1</v>
      </c>
      <c r="G747" s="19">
        <f>Cereal[[#This Row],[N° BOLSAS]]*Cereal[[#This Row],[KG BOLSA]]</f>
        <v>5788</v>
      </c>
      <c r="H747" s="37">
        <v>40</v>
      </c>
      <c r="I747" s="14">
        <f>ROUNDDOWN(Cereal[[#This Row],[N° BOLSAS]]/Cereal[[#This Row],[CAP. SACOS]],0)</f>
        <v>144</v>
      </c>
      <c r="J747" s="14">
        <f>Cereal[[#This Row],[N° BOLSAS]]-Cereal[[#This Row],[N° SACOS]]*Cereal[[#This Row],[CAP. SACOS]]</f>
        <v>28</v>
      </c>
      <c r="K747" s="16">
        <v>46216</v>
      </c>
      <c r="L747" s="16">
        <v>46216</v>
      </c>
      <c r="M747" s="16">
        <v>46216</v>
      </c>
      <c r="N747" s="16" t="s">
        <v>248</v>
      </c>
    </row>
    <row r="748" spans="1:14" hidden="1" x14ac:dyDescent="0.25">
      <c r="A748" s="14" t="s">
        <v>14</v>
      </c>
      <c r="B748" s="14" t="s">
        <v>247</v>
      </c>
      <c r="C748" s="15" t="s">
        <v>25</v>
      </c>
      <c r="D748" s="16">
        <v>46246</v>
      </c>
      <c r="E748" s="17">
        <v>5559</v>
      </c>
      <c r="F748" s="18">
        <v>1</v>
      </c>
      <c r="G748" s="19">
        <f>Cereal[[#This Row],[N° BOLSAS]]*Cereal[[#This Row],[KG BOLSA]]</f>
        <v>5559</v>
      </c>
      <c r="H748" s="37">
        <v>40</v>
      </c>
      <c r="I748" s="14">
        <f>ROUNDDOWN(Cereal[[#This Row],[N° BOLSAS]]/Cereal[[#This Row],[CAP. SACOS]],0)</f>
        <v>138</v>
      </c>
      <c r="J748" s="14">
        <f>Cereal[[#This Row],[N° BOLSAS]]-Cereal[[#This Row],[N° SACOS]]*Cereal[[#This Row],[CAP. SACOS]]</f>
        <v>39</v>
      </c>
      <c r="K748" s="16">
        <v>46238</v>
      </c>
      <c r="L748" s="16">
        <v>46238</v>
      </c>
      <c r="M748" s="16">
        <v>46245</v>
      </c>
      <c r="N748" s="16" t="s">
        <v>248</v>
      </c>
    </row>
    <row r="749" spans="1:14" hidden="1" x14ac:dyDescent="0.25">
      <c r="A749" s="14" t="s">
        <v>14</v>
      </c>
      <c r="B749" s="14" t="s">
        <v>247</v>
      </c>
      <c r="C749" s="15" t="s">
        <v>26</v>
      </c>
      <c r="D749" s="16">
        <v>46281</v>
      </c>
      <c r="E749" s="17">
        <v>5788</v>
      </c>
      <c r="F749" s="18">
        <v>1</v>
      </c>
      <c r="G749" s="19">
        <f>Cereal[[#This Row],[N° BOLSAS]]*Cereal[[#This Row],[KG BOLSA]]</f>
        <v>5788</v>
      </c>
      <c r="H749" s="37">
        <v>40</v>
      </c>
      <c r="I749" s="14">
        <f>ROUNDDOWN(Cereal[[#This Row],[N° BOLSAS]]/Cereal[[#This Row],[CAP. SACOS]],0)</f>
        <v>144</v>
      </c>
      <c r="J749" s="14">
        <f>Cereal[[#This Row],[N° BOLSAS]]-Cereal[[#This Row],[N° SACOS]]*Cereal[[#This Row],[CAP. SACOS]]</f>
        <v>28</v>
      </c>
      <c r="K749" s="16">
        <v>46275</v>
      </c>
      <c r="L749" s="16">
        <v>46275</v>
      </c>
      <c r="M749" s="16">
        <v>46278</v>
      </c>
      <c r="N749" s="16" t="s">
        <v>248</v>
      </c>
    </row>
    <row r="750" spans="1:14" hidden="1" x14ac:dyDescent="0.25">
      <c r="A750" s="14" t="s">
        <v>14</v>
      </c>
      <c r="B750" s="14" t="s">
        <v>247</v>
      </c>
      <c r="C750" s="15" t="s">
        <v>27</v>
      </c>
      <c r="D750" s="16">
        <v>46309</v>
      </c>
      <c r="E750" s="17">
        <v>5559</v>
      </c>
      <c r="F750" s="18">
        <v>1</v>
      </c>
      <c r="G750" s="19">
        <f>Cereal[[#This Row],[N° BOLSAS]]*Cereal[[#This Row],[KG BOLSA]]</f>
        <v>5559</v>
      </c>
      <c r="H750" s="37">
        <v>40</v>
      </c>
      <c r="I750" s="14">
        <f>ROUNDDOWN(Cereal[[#This Row],[N° BOLSAS]]/Cereal[[#This Row],[CAP. SACOS]],0)</f>
        <v>138</v>
      </c>
      <c r="J750" s="14">
        <f>Cereal[[#This Row],[N° BOLSAS]]-Cereal[[#This Row],[N° SACOS]]*Cereal[[#This Row],[CAP. SACOS]]</f>
        <v>39</v>
      </c>
      <c r="K750" s="16"/>
      <c r="L750" s="16"/>
      <c r="M750" s="16"/>
      <c r="N750" s="16" t="s">
        <v>248</v>
      </c>
    </row>
    <row r="751" spans="1:14" hidden="1" x14ac:dyDescent="0.25">
      <c r="A751" s="14" t="s">
        <v>14</v>
      </c>
      <c r="B751" s="14" t="s">
        <v>247</v>
      </c>
      <c r="C751" s="15" t="s">
        <v>28</v>
      </c>
      <c r="D751" s="16">
        <v>46337</v>
      </c>
      <c r="E751" s="17">
        <v>5794</v>
      </c>
      <c r="F751" s="18">
        <v>1</v>
      </c>
      <c r="G751" s="19">
        <f>Cereal[[#This Row],[N° BOLSAS]]*Cereal[[#This Row],[KG BOLSA]]</f>
        <v>5794</v>
      </c>
      <c r="H751" s="37">
        <v>40</v>
      </c>
      <c r="I751" s="14">
        <f>ROUNDDOWN(Cereal[[#This Row],[N° BOLSAS]]/Cereal[[#This Row],[CAP. SACOS]],0)</f>
        <v>144</v>
      </c>
      <c r="J751" s="14">
        <f>Cereal[[#This Row],[N° BOLSAS]]-Cereal[[#This Row],[N° SACOS]]*Cereal[[#This Row],[CAP. SACOS]]</f>
        <v>34</v>
      </c>
      <c r="K751" s="16"/>
      <c r="L751" s="16"/>
      <c r="M751" s="16"/>
      <c r="N751" s="16" t="s">
        <v>248</v>
      </c>
    </row>
    <row r="752" spans="1:14" hidden="1" x14ac:dyDescent="0.25">
      <c r="A752" s="14" t="s">
        <v>14</v>
      </c>
      <c r="B752" s="14" t="s">
        <v>249</v>
      </c>
      <c r="C752" s="15" t="s">
        <v>250</v>
      </c>
      <c r="D752" s="16">
        <v>46182</v>
      </c>
      <c r="E752" s="17">
        <v>952.57</v>
      </c>
      <c r="F752" s="18">
        <v>1</v>
      </c>
      <c r="G752" s="19">
        <f>Cereal[[#This Row],[N° BOLSAS]]*Cereal[[#This Row],[KG BOLSA]]</f>
        <v>952.57</v>
      </c>
      <c r="H752" s="37">
        <v>40</v>
      </c>
      <c r="I752" s="14">
        <f>ROUNDDOWN(Cereal[[#This Row],[N° BOLSAS]]/Cereal[[#This Row],[CAP. SACOS]],0)</f>
        <v>23</v>
      </c>
      <c r="J752" s="14">
        <f>Cereal[[#This Row],[N° BOLSAS]]-Cereal[[#This Row],[N° SACOS]]*Cereal[[#This Row],[CAP. SACOS]]</f>
        <v>32.57000000000005</v>
      </c>
      <c r="K752" s="16">
        <v>46177</v>
      </c>
      <c r="L752" s="16">
        <v>46177</v>
      </c>
      <c r="M752" s="16">
        <v>46177</v>
      </c>
      <c r="N752" s="16" t="s">
        <v>251</v>
      </c>
    </row>
    <row r="753" spans="1:14" hidden="1" x14ac:dyDescent="0.25">
      <c r="A753" s="14" t="s">
        <v>14</v>
      </c>
      <c r="B753" s="14" t="s">
        <v>249</v>
      </c>
      <c r="C753" s="15" t="s">
        <v>252</v>
      </c>
      <c r="D753" s="16">
        <v>46182</v>
      </c>
      <c r="E753" s="17">
        <v>921.84</v>
      </c>
      <c r="F753" s="18">
        <v>1</v>
      </c>
      <c r="G753" s="19">
        <f>Cereal[[#This Row],[N° BOLSAS]]*Cereal[[#This Row],[KG BOLSA]]</f>
        <v>921.84</v>
      </c>
      <c r="H753" s="37">
        <v>40</v>
      </c>
      <c r="I753" s="14">
        <f>ROUNDDOWN(Cereal[[#This Row],[N° BOLSAS]]/Cereal[[#This Row],[CAP. SACOS]],0)</f>
        <v>23</v>
      </c>
      <c r="J753" s="14">
        <f>Cereal[[#This Row],[N° BOLSAS]]-Cereal[[#This Row],[N° SACOS]]*Cereal[[#This Row],[CAP. SACOS]]</f>
        <v>1.8400000000000318</v>
      </c>
      <c r="K753" s="16">
        <v>46177</v>
      </c>
      <c r="L753" s="16">
        <v>46177</v>
      </c>
      <c r="M753" s="16">
        <v>46177</v>
      </c>
      <c r="N753" s="16" t="s">
        <v>251</v>
      </c>
    </row>
    <row r="754" spans="1:14" hidden="1" x14ac:dyDescent="0.25">
      <c r="A754" s="14" t="s">
        <v>14</v>
      </c>
      <c r="B754" s="14" t="s">
        <v>249</v>
      </c>
      <c r="C754" s="15" t="s">
        <v>30</v>
      </c>
      <c r="D754" s="16">
        <v>46182</v>
      </c>
      <c r="E754" s="17">
        <v>239.2</v>
      </c>
      <c r="F754" s="18">
        <v>1</v>
      </c>
      <c r="G754" s="19">
        <f>Cereal[[#This Row],[N° BOLSAS]]*Cereal[[#This Row],[KG BOLSA]]</f>
        <v>239.2</v>
      </c>
      <c r="H754" s="37">
        <v>40</v>
      </c>
      <c r="I754" s="14">
        <f>ROUNDDOWN(Cereal[[#This Row],[N° BOLSAS]]/Cereal[[#This Row],[CAP. SACOS]],0)</f>
        <v>5</v>
      </c>
      <c r="J754" s="14">
        <f>Cereal[[#This Row],[N° BOLSAS]]-Cereal[[#This Row],[N° SACOS]]*Cereal[[#This Row],[CAP. SACOS]]</f>
        <v>39.199999999999989</v>
      </c>
      <c r="K754" s="16">
        <v>46177</v>
      </c>
      <c r="L754" s="16">
        <v>46177</v>
      </c>
      <c r="M754" s="16">
        <v>46177</v>
      </c>
      <c r="N754" s="16" t="s">
        <v>251</v>
      </c>
    </row>
    <row r="755" spans="1:14" hidden="1" x14ac:dyDescent="0.25">
      <c r="A755" s="14" t="s">
        <v>14</v>
      </c>
      <c r="B755" s="14" t="s">
        <v>249</v>
      </c>
      <c r="C755" s="15" t="s">
        <v>253</v>
      </c>
      <c r="D755" s="16">
        <v>46212</v>
      </c>
      <c r="E755" s="17">
        <v>952.57</v>
      </c>
      <c r="F755" s="18">
        <v>1</v>
      </c>
      <c r="G755" s="19">
        <f>Cereal[[#This Row],[N° BOLSAS]]*Cereal[[#This Row],[KG BOLSA]]</f>
        <v>952.57</v>
      </c>
      <c r="H755" s="37">
        <v>40</v>
      </c>
      <c r="I755" s="14">
        <f>ROUNDDOWN(Cereal[[#This Row],[N° BOLSAS]]/Cereal[[#This Row],[CAP. SACOS]],0)</f>
        <v>23</v>
      </c>
      <c r="J755" s="14">
        <f>Cereal[[#This Row],[N° BOLSAS]]-Cereal[[#This Row],[N° SACOS]]*Cereal[[#This Row],[CAP. SACOS]]</f>
        <v>32.57000000000005</v>
      </c>
      <c r="K755" s="16">
        <v>46234</v>
      </c>
      <c r="L755" s="16">
        <v>46234</v>
      </c>
      <c r="M755" s="16">
        <v>46234</v>
      </c>
      <c r="N755" s="16" t="s">
        <v>251</v>
      </c>
    </row>
    <row r="756" spans="1:14" hidden="1" x14ac:dyDescent="0.25">
      <c r="A756" s="14" t="s">
        <v>14</v>
      </c>
      <c r="B756" s="14" t="s">
        <v>249</v>
      </c>
      <c r="C756" s="15" t="s">
        <v>254</v>
      </c>
      <c r="D756" s="16">
        <v>46243</v>
      </c>
      <c r="E756" s="17">
        <v>952.57</v>
      </c>
      <c r="F756" s="18">
        <v>1</v>
      </c>
      <c r="G756" s="19">
        <f>Cereal[[#This Row],[N° BOLSAS]]*Cereal[[#This Row],[KG BOLSA]]</f>
        <v>952.57</v>
      </c>
      <c r="H756" s="37">
        <v>40</v>
      </c>
      <c r="I756" s="14">
        <f>ROUNDDOWN(Cereal[[#This Row],[N° BOLSAS]]/Cereal[[#This Row],[CAP. SACOS]],0)</f>
        <v>23</v>
      </c>
      <c r="J756" s="14">
        <f>Cereal[[#This Row],[N° BOLSAS]]-Cereal[[#This Row],[N° SACOS]]*Cereal[[#This Row],[CAP. SACOS]]</f>
        <v>32.57000000000005</v>
      </c>
      <c r="K756" s="16">
        <v>46234</v>
      </c>
      <c r="L756" s="16">
        <v>46234</v>
      </c>
      <c r="M756" s="16">
        <v>46234</v>
      </c>
      <c r="N756" s="16" t="s">
        <v>251</v>
      </c>
    </row>
    <row r="757" spans="1:14" hidden="1" x14ac:dyDescent="0.25">
      <c r="A757" s="14" t="s">
        <v>14</v>
      </c>
      <c r="B757" s="14" t="s">
        <v>249</v>
      </c>
      <c r="C757" s="15" t="s">
        <v>255</v>
      </c>
      <c r="D757" s="16">
        <v>46264</v>
      </c>
      <c r="E757" s="17">
        <v>921.84</v>
      </c>
      <c r="F757" s="18">
        <v>1</v>
      </c>
      <c r="G757" s="19">
        <f>Cereal[[#This Row],[N° BOLSAS]]*Cereal[[#This Row],[KG BOLSA]]</f>
        <v>921.84</v>
      </c>
      <c r="H757" s="37">
        <v>40</v>
      </c>
      <c r="I757" s="14">
        <f>ROUNDDOWN(Cereal[[#This Row],[N° BOLSAS]]/Cereal[[#This Row],[CAP. SACOS]],0)</f>
        <v>23</v>
      </c>
      <c r="J757" s="14">
        <f>Cereal[[#This Row],[N° BOLSAS]]-Cereal[[#This Row],[N° SACOS]]*Cereal[[#This Row],[CAP. SACOS]]</f>
        <v>1.8400000000000318</v>
      </c>
      <c r="K757" s="16"/>
      <c r="L757" s="16"/>
      <c r="M757" s="16"/>
      <c r="N757" s="16" t="s">
        <v>251</v>
      </c>
    </row>
    <row r="758" spans="1:14" hidden="1" x14ac:dyDescent="0.25">
      <c r="A758" s="14" t="s">
        <v>14</v>
      </c>
      <c r="B758" s="14" t="s">
        <v>249</v>
      </c>
      <c r="C758" s="15" t="s">
        <v>256</v>
      </c>
      <c r="D758" s="16">
        <v>46264</v>
      </c>
      <c r="E758" s="17">
        <v>952.57</v>
      </c>
      <c r="F758" s="18">
        <v>1</v>
      </c>
      <c r="G758" s="19">
        <f>Cereal[[#This Row],[N° BOLSAS]]*Cereal[[#This Row],[KG BOLSA]]</f>
        <v>952.57</v>
      </c>
      <c r="H758" s="37">
        <v>40</v>
      </c>
      <c r="I758" s="14">
        <f>ROUNDDOWN(Cereal[[#This Row],[N° BOLSAS]]/Cereal[[#This Row],[CAP. SACOS]],0)</f>
        <v>23</v>
      </c>
      <c r="J758" s="14">
        <f>Cereal[[#This Row],[N° BOLSAS]]-Cereal[[#This Row],[N° SACOS]]*Cereal[[#This Row],[CAP. SACOS]]</f>
        <v>32.57000000000005</v>
      </c>
      <c r="K758" s="16"/>
      <c r="L758" s="16"/>
      <c r="M758" s="16"/>
      <c r="N758" s="16" t="s">
        <v>251</v>
      </c>
    </row>
    <row r="759" spans="1:14" hidden="1" x14ac:dyDescent="0.25">
      <c r="A759" s="14" t="s">
        <v>14</v>
      </c>
      <c r="B759" s="14" t="s">
        <v>249</v>
      </c>
      <c r="C759" s="15" t="s">
        <v>257</v>
      </c>
      <c r="D759" s="16">
        <v>46335</v>
      </c>
      <c r="E759" s="17">
        <v>921.84</v>
      </c>
      <c r="F759" s="18">
        <v>1</v>
      </c>
      <c r="G759" s="19">
        <f>Cereal[[#This Row],[N° BOLSAS]]*Cereal[[#This Row],[KG BOLSA]]</f>
        <v>921.84</v>
      </c>
      <c r="H759" s="37">
        <v>40</v>
      </c>
      <c r="I759" s="14">
        <f>ROUNDDOWN(Cereal[[#This Row],[N° BOLSAS]]/Cereal[[#This Row],[CAP. SACOS]],0)</f>
        <v>23</v>
      </c>
      <c r="J759" s="14">
        <f>Cereal[[#This Row],[N° BOLSAS]]-Cereal[[#This Row],[N° SACOS]]*Cereal[[#This Row],[CAP. SACOS]]</f>
        <v>1.8400000000000318</v>
      </c>
      <c r="K759" s="16"/>
      <c r="L759" s="16"/>
      <c r="M759" s="16"/>
      <c r="N759" s="16" t="s">
        <v>251</v>
      </c>
    </row>
    <row r="760" spans="1:14" hidden="1" x14ac:dyDescent="0.25">
      <c r="A760" s="14" t="s">
        <v>14</v>
      </c>
      <c r="B760" s="14" t="s">
        <v>249</v>
      </c>
      <c r="C760" s="15" t="s">
        <v>258</v>
      </c>
      <c r="D760" s="16">
        <v>46335</v>
      </c>
      <c r="E760" s="17">
        <v>952.57</v>
      </c>
      <c r="F760" s="18">
        <v>1</v>
      </c>
      <c r="G760" s="19">
        <f>Cereal[[#This Row],[N° BOLSAS]]*Cereal[[#This Row],[KG BOLSA]]</f>
        <v>952.57</v>
      </c>
      <c r="H760" s="37">
        <v>40</v>
      </c>
      <c r="I760" s="14">
        <f>ROUNDDOWN(Cereal[[#This Row],[N° BOLSAS]]/Cereal[[#This Row],[CAP. SACOS]],0)</f>
        <v>23</v>
      </c>
      <c r="J760" s="14">
        <f>Cereal[[#This Row],[N° BOLSAS]]-Cereal[[#This Row],[N° SACOS]]*Cereal[[#This Row],[CAP. SACOS]]</f>
        <v>32.57000000000005</v>
      </c>
      <c r="K760" s="16"/>
      <c r="L760" s="16"/>
      <c r="M760" s="16"/>
      <c r="N760" s="16" t="s">
        <v>251</v>
      </c>
    </row>
    <row r="761" spans="1:14" hidden="1" x14ac:dyDescent="0.25">
      <c r="A761" s="14" t="s">
        <v>100</v>
      </c>
      <c r="B761" s="14" t="s">
        <v>259</v>
      </c>
      <c r="C761" s="15" t="s">
        <v>30</v>
      </c>
      <c r="D761" s="16">
        <v>46096</v>
      </c>
      <c r="E761" s="17">
        <v>1345</v>
      </c>
      <c r="F761" s="18">
        <v>1</v>
      </c>
      <c r="G761" s="19">
        <f>Cereal[[#This Row],[N° BOLSAS]]*Cereal[[#This Row],[KG BOLSA]]</f>
        <v>1345</v>
      </c>
      <c r="H761" s="37">
        <v>40</v>
      </c>
      <c r="I761" s="14">
        <f>ROUNDDOWN(Cereal[[#This Row],[N° BOLSAS]]/Cereal[[#This Row],[CAP. SACOS]],0)</f>
        <v>33</v>
      </c>
      <c r="J761" s="14">
        <f>Cereal[[#This Row],[N° BOLSAS]]-Cereal[[#This Row],[N° SACOS]]*Cereal[[#This Row],[CAP. SACOS]]</f>
        <v>25</v>
      </c>
      <c r="K761" s="16">
        <v>46090</v>
      </c>
      <c r="L761" s="16">
        <v>46090</v>
      </c>
      <c r="M761" s="16">
        <v>46091</v>
      </c>
      <c r="N761" s="16" t="s">
        <v>260</v>
      </c>
    </row>
    <row r="762" spans="1:14" hidden="1" x14ac:dyDescent="0.25">
      <c r="A762" s="14" t="s">
        <v>100</v>
      </c>
      <c r="B762" s="14" t="s">
        <v>259</v>
      </c>
      <c r="C762" s="15" t="s">
        <v>30</v>
      </c>
      <c r="D762" s="16">
        <v>46122</v>
      </c>
      <c r="E762" s="17">
        <v>1070</v>
      </c>
      <c r="F762" s="18">
        <v>1</v>
      </c>
      <c r="G762" s="19">
        <f>Cereal[[#This Row],[N° BOLSAS]]*Cereal[[#This Row],[KG BOLSA]]</f>
        <v>1070</v>
      </c>
      <c r="H762" s="37">
        <v>40</v>
      </c>
      <c r="I762" s="14">
        <f>ROUNDDOWN(Cereal[[#This Row],[N° BOLSAS]]/Cereal[[#This Row],[CAP. SACOS]],0)</f>
        <v>26</v>
      </c>
      <c r="J762" s="14">
        <f>Cereal[[#This Row],[N° BOLSAS]]-Cereal[[#This Row],[N° SACOS]]*Cereal[[#This Row],[CAP. SACOS]]</f>
        <v>30</v>
      </c>
      <c r="K762" s="16">
        <v>46119</v>
      </c>
      <c r="L762" s="16">
        <v>46119</v>
      </c>
      <c r="M762" s="16">
        <v>46120</v>
      </c>
      <c r="N762" s="16" t="s">
        <v>260</v>
      </c>
    </row>
    <row r="763" spans="1:14" hidden="1" x14ac:dyDescent="0.25">
      <c r="A763" s="14" t="s">
        <v>100</v>
      </c>
      <c r="B763" s="14" t="s">
        <v>259</v>
      </c>
      <c r="C763" s="15" t="s">
        <v>30</v>
      </c>
      <c r="D763" s="16">
        <v>46188</v>
      </c>
      <c r="E763" s="17">
        <v>995</v>
      </c>
      <c r="F763" s="18">
        <v>1</v>
      </c>
      <c r="G763" s="19">
        <f>Cereal[[#This Row],[N° BOLSAS]]*Cereal[[#This Row],[KG BOLSA]]</f>
        <v>995</v>
      </c>
      <c r="H763" s="37">
        <v>40</v>
      </c>
      <c r="I763" s="14">
        <f>ROUNDDOWN(Cereal[[#This Row],[N° BOLSAS]]/Cereal[[#This Row],[CAP. SACOS]],0)</f>
        <v>24</v>
      </c>
      <c r="J763" s="14">
        <f>Cereal[[#This Row],[N° BOLSAS]]-Cereal[[#This Row],[N° SACOS]]*Cereal[[#This Row],[CAP. SACOS]]</f>
        <v>35</v>
      </c>
      <c r="K763" s="16">
        <v>46206</v>
      </c>
      <c r="L763" s="16">
        <v>46206</v>
      </c>
      <c r="M763" s="16">
        <v>46206</v>
      </c>
      <c r="N763" s="16" t="s">
        <v>260</v>
      </c>
    </row>
    <row r="764" spans="1:14" hidden="1" x14ac:dyDescent="0.25">
      <c r="A764" s="14" t="s">
        <v>14</v>
      </c>
      <c r="B764" s="14" t="s">
        <v>261</v>
      </c>
      <c r="C764" s="15" t="s">
        <v>16</v>
      </c>
      <c r="D764" s="16">
        <v>46023</v>
      </c>
      <c r="E764" s="17">
        <v>1168</v>
      </c>
      <c r="F764" s="18">
        <v>1</v>
      </c>
      <c r="G764" s="19">
        <f>Cereal[[#This Row],[N° BOLSAS]]*Cereal[[#This Row],[KG BOLSA]]</f>
        <v>1168</v>
      </c>
      <c r="H764" s="37">
        <v>40</v>
      </c>
      <c r="I764" s="14">
        <f>ROUNDDOWN(Cereal[[#This Row],[N° BOLSAS]]/Cereal[[#This Row],[CAP. SACOS]],0)</f>
        <v>29</v>
      </c>
      <c r="J764" s="14">
        <f>Cereal[[#This Row],[N° BOLSAS]]-Cereal[[#This Row],[N° SACOS]]*Cereal[[#This Row],[CAP. SACOS]]</f>
        <v>8</v>
      </c>
      <c r="K764" s="16">
        <v>46028</v>
      </c>
      <c r="L764" s="16">
        <v>46028</v>
      </c>
      <c r="M764" s="16">
        <v>46028</v>
      </c>
      <c r="N764" s="16" t="s">
        <v>262</v>
      </c>
    </row>
    <row r="765" spans="1:14" hidden="1" x14ac:dyDescent="0.25">
      <c r="A765" s="14" t="s">
        <v>14</v>
      </c>
      <c r="B765" s="14" t="s">
        <v>261</v>
      </c>
      <c r="C765" s="15" t="s">
        <v>18</v>
      </c>
      <c r="D765" s="16">
        <v>46042</v>
      </c>
      <c r="E765" s="17">
        <v>1168</v>
      </c>
      <c r="F765" s="18">
        <v>1</v>
      </c>
      <c r="G765" s="19">
        <f>Cereal[[#This Row],[N° BOLSAS]]*Cereal[[#This Row],[KG BOLSA]]</f>
        <v>1168</v>
      </c>
      <c r="H765" s="37">
        <v>40</v>
      </c>
      <c r="I765" s="14">
        <f>ROUNDDOWN(Cereal[[#This Row],[N° BOLSAS]]/Cereal[[#This Row],[CAP. SACOS]],0)</f>
        <v>29</v>
      </c>
      <c r="J765" s="14">
        <f>Cereal[[#This Row],[N° BOLSAS]]-Cereal[[#This Row],[N° SACOS]]*Cereal[[#This Row],[CAP. SACOS]]</f>
        <v>8</v>
      </c>
      <c r="K765" s="16">
        <v>46028</v>
      </c>
      <c r="L765" s="16">
        <v>46028</v>
      </c>
      <c r="M765" s="16">
        <v>46028</v>
      </c>
      <c r="N765" s="16" t="s">
        <v>262</v>
      </c>
    </row>
    <row r="766" spans="1:14" hidden="1" x14ac:dyDescent="0.25">
      <c r="A766" s="14" t="s">
        <v>14</v>
      </c>
      <c r="B766" s="14" t="s">
        <v>261</v>
      </c>
      <c r="C766" s="15" t="s">
        <v>19</v>
      </c>
      <c r="D766" s="16">
        <v>46073</v>
      </c>
      <c r="E766" s="17">
        <v>1168</v>
      </c>
      <c r="F766" s="18">
        <v>1</v>
      </c>
      <c r="G766" s="19">
        <f>Cereal[[#This Row],[N° BOLSAS]]*Cereal[[#This Row],[KG BOLSA]]</f>
        <v>1168</v>
      </c>
      <c r="H766" s="37">
        <v>40</v>
      </c>
      <c r="I766" s="14">
        <f>ROUNDDOWN(Cereal[[#This Row],[N° BOLSAS]]/Cereal[[#This Row],[CAP. SACOS]],0)</f>
        <v>29</v>
      </c>
      <c r="J766" s="14">
        <f>Cereal[[#This Row],[N° BOLSAS]]-Cereal[[#This Row],[N° SACOS]]*Cereal[[#This Row],[CAP. SACOS]]</f>
        <v>8</v>
      </c>
      <c r="K766" s="16">
        <v>46093</v>
      </c>
      <c r="L766" s="16">
        <v>46093</v>
      </c>
      <c r="M766" s="16">
        <v>46100</v>
      </c>
      <c r="N766" s="16" t="s">
        <v>262</v>
      </c>
    </row>
    <row r="767" spans="1:14" hidden="1" x14ac:dyDescent="0.25">
      <c r="A767" s="14" t="s">
        <v>14</v>
      </c>
      <c r="B767" s="14" t="s">
        <v>261</v>
      </c>
      <c r="C767" s="15" t="s">
        <v>20</v>
      </c>
      <c r="D767" s="16">
        <v>46101</v>
      </c>
      <c r="E767" s="17">
        <v>1168</v>
      </c>
      <c r="F767" s="18">
        <v>1</v>
      </c>
      <c r="G767" s="19">
        <f>Cereal[[#This Row],[N° BOLSAS]]*Cereal[[#This Row],[KG BOLSA]]</f>
        <v>1168</v>
      </c>
      <c r="H767" s="37">
        <v>40</v>
      </c>
      <c r="I767" s="14">
        <f>ROUNDDOWN(Cereal[[#This Row],[N° BOLSAS]]/Cereal[[#This Row],[CAP. SACOS]],0)</f>
        <v>29</v>
      </c>
      <c r="J767" s="14">
        <f>Cereal[[#This Row],[N° BOLSAS]]-Cereal[[#This Row],[N° SACOS]]*Cereal[[#This Row],[CAP. SACOS]]</f>
        <v>8</v>
      </c>
      <c r="K767" s="16">
        <v>46093</v>
      </c>
      <c r="L767" s="16">
        <v>46093</v>
      </c>
      <c r="M767" s="16">
        <v>46100</v>
      </c>
      <c r="N767" s="16" t="s">
        <v>262</v>
      </c>
    </row>
    <row r="768" spans="1:14" hidden="1" x14ac:dyDescent="0.25">
      <c r="A768" s="14" t="s">
        <v>14</v>
      </c>
      <c r="B768" s="14" t="s">
        <v>261</v>
      </c>
      <c r="C768" s="15" t="s">
        <v>21</v>
      </c>
      <c r="D768" s="16">
        <v>46132</v>
      </c>
      <c r="E768" s="17">
        <v>1168</v>
      </c>
      <c r="F768" s="18">
        <v>1</v>
      </c>
      <c r="G768" s="19">
        <f>Cereal[[#This Row],[N° BOLSAS]]*Cereal[[#This Row],[KG BOLSA]]</f>
        <v>1168</v>
      </c>
      <c r="H768" s="37">
        <v>40</v>
      </c>
      <c r="I768" s="14">
        <f>ROUNDDOWN(Cereal[[#This Row],[N° BOLSAS]]/Cereal[[#This Row],[CAP. SACOS]],0)</f>
        <v>29</v>
      </c>
      <c r="J768" s="14">
        <f>Cereal[[#This Row],[N° BOLSAS]]-Cereal[[#This Row],[N° SACOS]]*Cereal[[#This Row],[CAP. SACOS]]</f>
        <v>8</v>
      </c>
      <c r="K768" s="16">
        <v>46133</v>
      </c>
      <c r="L768" s="16">
        <v>46133</v>
      </c>
      <c r="M768" s="16">
        <v>46135</v>
      </c>
      <c r="N768" s="16" t="s">
        <v>262</v>
      </c>
    </row>
    <row r="769" spans="1:14" hidden="1" x14ac:dyDescent="0.25">
      <c r="A769" s="14" t="s">
        <v>14</v>
      </c>
      <c r="B769" s="14" t="s">
        <v>261</v>
      </c>
      <c r="C769" s="15" t="s">
        <v>22</v>
      </c>
      <c r="D769" s="16">
        <v>46132</v>
      </c>
      <c r="E769" s="17">
        <v>1168</v>
      </c>
      <c r="F769" s="18">
        <v>1</v>
      </c>
      <c r="G769" s="19">
        <f>Cereal[[#This Row],[N° BOLSAS]]*Cereal[[#This Row],[KG BOLSA]]</f>
        <v>1168</v>
      </c>
      <c r="H769" s="37">
        <v>40</v>
      </c>
      <c r="I769" s="14">
        <f>ROUNDDOWN(Cereal[[#This Row],[N° BOLSAS]]/Cereal[[#This Row],[CAP. SACOS]],0)</f>
        <v>29</v>
      </c>
      <c r="J769" s="14">
        <f>Cereal[[#This Row],[N° BOLSAS]]-Cereal[[#This Row],[N° SACOS]]*Cereal[[#This Row],[CAP. SACOS]]</f>
        <v>8</v>
      </c>
      <c r="K769" s="16">
        <v>46133</v>
      </c>
      <c r="L769" s="16">
        <v>46133</v>
      </c>
      <c r="M769" s="16">
        <v>46135</v>
      </c>
      <c r="N769" s="16" t="s">
        <v>262</v>
      </c>
    </row>
    <row r="770" spans="1:14" hidden="1" x14ac:dyDescent="0.25">
      <c r="A770" s="14" t="s">
        <v>14</v>
      </c>
      <c r="B770" s="14" t="s">
        <v>261</v>
      </c>
      <c r="C770" s="15" t="s">
        <v>23</v>
      </c>
      <c r="D770" s="16">
        <v>46193</v>
      </c>
      <c r="E770" s="17">
        <v>1168</v>
      </c>
      <c r="F770" s="18">
        <v>1</v>
      </c>
      <c r="G770" s="19">
        <f>Cereal[[#This Row],[N° BOLSAS]]*Cereal[[#This Row],[KG BOLSA]]</f>
        <v>1168</v>
      </c>
      <c r="H770" s="37">
        <v>40</v>
      </c>
      <c r="I770" s="14">
        <f>ROUNDDOWN(Cereal[[#This Row],[N° BOLSAS]]/Cereal[[#This Row],[CAP. SACOS]],0)</f>
        <v>29</v>
      </c>
      <c r="J770" s="14">
        <f>Cereal[[#This Row],[N° BOLSAS]]-Cereal[[#This Row],[N° SACOS]]*Cereal[[#This Row],[CAP. SACOS]]</f>
        <v>8</v>
      </c>
      <c r="K770" s="16">
        <v>46179</v>
      </c>
      <c r="L770" s="16">
        <v>46179</v>
      </c>
      <c r="M770" s="16">
        <v>46181</v>
      </c>
      <c r="N770" s="16" t="s">
        <v>262</v>
      </c>
    </row>
    <row r="771" spans="1:14" hidden="1" x14ac:dyDescent="0.25">
      <c r="A771" s="14" t="s">
        <v>14</v>
      </c>
      <c r="B771" s="14" t="s">
        <v>261</v>
      </c>
      <c r="C771" s="15" t="s">
        <v>24</v>
      </c>
      <c r="D771" s="16">
        <v>46193</v>
      </c>
      <c r="E771" s="17">
        <v>1168</v>
      </c>
      <c r="F771" s="18">
        <v>1</v>
      </c>
      <c r="G771" s="19">
        <f>Cereal[[#This Row],[N° BOLSAS]]*Cereal[[#This Row],[KG BOLSA]]</f>
        <v>1168</v>
      </c>
      <c r="H771" s="37">
        <v>40</v>
      </c>
      <c r="I771" s="14">
        <f>ROUNDDOWN(Cereal[[#This Row],[N° BOLSAS]]/Cereal[[#This Row],[CAP. SACOS]],0)</f>
        <v>29</v>
      </c>
      <c r="J771" s="14">
        <f>Cereal[[#This Row],[N° BOLSAS]]-Cereal[[#This Row],[N° SACOS]]*Cereal[[#This Row],[CAP. SACOS]]</f>
        <v>8</v>
      </c>
      <c r="K771" s="16">
        <v>46179</v>
      </c>
      <c r="L771" s="16">
        <v>46179</v>
      </c>
      <c r="M771" s="16">
        <v>46181</v>
      </c>
      <c r="N771" s="16" t="s">
        <v>262</v>
      </c>
    </row>
    <row r="772" spans="1:14" hidden="1" x14ac:dyDescent="0.25">
      <c r="A772" s="14" t="s">
        <v>14</v>
      </c>
      <c r="B772" s="14" t="s">
        <v>261</v>
      </c>
      <c r="C772" s="15" t="s">
        <v>25</v>
      </c>
      <c r="D772" s="16">
        <v>46223</v>
      </c>
      <c r="E772" s="17">
        <v>1168</v>
      </c>
      <c r="F772" s="18">
        <v>1</v>
      </c>
      <c r="G772" s="19">
        <f>Cereal[[#This Row],[N° BOLSAS]]*Cereal[[#This Row],[KG BOLSA]]</f>
        <v>1168</v>
      </c>
      <c r="H772" s="37">
        <v>40</v>
      </c>
      <c r="I772" s="14">
        <f>ROUNDDOWN(Cereal[[#This Row],[N° BOLSAS]]/Cereal[[#This Row],[CAP. SACOS]],0)</f>
        <v>29</v>
      </c>
      <c r="J772" s="14">
        <f>Cereal[[#This Row],[N° BOLSAS]]-Cereal[[#This Row],[N° SACOS]]*Cereal[[#This Row],[CAP. SACOS]]</f>
        <v>8</v>
      </c>
      <c r="K772" s="16">
        <v>46242</v>
      </c>
      <c r="L772" s="16">
        <v>46242</v>
      </c>
      <c r="M772" s="16">
        <v>46243</v>
      </c>
      <c r="N772" s="16" t="s">
        <v>262</v>
      </c>
    </row>
    <row r="773" spans="1:14" hidden="1" x14ac:dyDescent="0.25">
      <c r="A773" s="14" t="s">
        <v>14</v>
      </c>
      <c r="B773" s="14" t="s">
        <v>261</v>
      </c>
      <c r="C773" s="15" t="s">
        <v>26</v>
      </c>
      <c r="D773" s="16">
        <v>46254</v>
      </c>
      <c r="E773" s="17">
        <v>1168</v>
      </c>
      <c r="F773" s="18">
        <v>1</v>
      </c>
      <c r="G773" s="19">
        <f>Cereal[[#This Row],[N° BOLSAS]]*Cereal[[#This Row],[KG BOLSA]]</f>
        <v>1168</v>
      </c>
      <c r="H773" s="37">
        <v>40</v>
      </c>
      <c r="I773" s="14">
        <f>ROUNDDOWN(Cereal[[#This Row],[N° BOLSAS]]/Cereal[[#This Row],[CAP. SACOS]],0)</f>
        <v>29</v>
      </c>
      <c r="J773" s="14">
        <f>Cereal[[#This Row],[N° BOLSAS]]-Cereal[[#This Row],[N° SACOS]]*Cereal[[#This Row],[CAP. SACOS]]</f>
        <v>8</v>
      </c>
      <c r="K773" s="16">
        <v>46242</v>
      </c>
      <c r="L773" s="16">
        <v>46242</v>
      </c>
      <c r="M773" s="16">
        <v>46243</v>
      </c>
      <c r="N773" s="16" t="s">
        <v>262</v>
      </c>
    </row>
    <row r="774" spans="1:14" hidden="1" x14ac:dyDescent="0.25">
      <c r="A774" s="14" t="s">
        <v>14</v>
      </c>
      <c r="B774" s="14" t="s">
        <v>261</v>
      </c>
      <c r="C774" s="15" t="s">
        <v>27</v>
      </c>
      <c r="D774" s="16">
        <v>46315</v>
      </c>
      <c r="E774" s="17">
        <v>1168</v>
      </c>
      <c r="F774" s="18">
        <v>1</v>
      </c>
      <c r="G774" s="19">
        <f>Cereal[[#This Row],[N° BOLSAS]]*Cereal[[#This Row],[KG BOLSA]]</f>
        <v>1168</v>
      </c>
      <c r="H774" s="37">
        <v>40</v>
      </c>
      <c r="I774" s="14">
        <f>ROUNDDOWN(Cereal[[#This Row],[N° BOLSAS]]/Cereal[[#This Row],[CAP. SACOS]],0)</f>
        <v>29</v>
      </c>
      <c r="J774" s="14">
        <f>Cereal[[#This Row],[N° BOLSAS]]-Cereal[[#This Row],[N° SACOS]]*Cereal[[#This Row],[CAP. SACOS]]</f>
        <v>8</v>
      </c>
      <c r="K774" s="16"/>
      <c r="L774" s="16"/>
      <c r="M774" s="16"/>
      <c r="N774" s="16" t="s">
        <v>262</v>
      </c>
    </row>
    <row r="775" spans="1:14" hidden="1" x14ac:dyDescent="0.25">
      <c r="A775" s="14" t="s">
        <v>14</v>
      </c>
      <c r="B775" s="14" t="s">
        <v>261</v>
      </c>
      <c r="C775" s="15" t="s">
        <v>28</v>
      </c>
      <c r="D775" s="16">
        <v>46315</v>
      </c>
      <c r="E775" s="17">
        <v>1169</v>
      </c>
      <c r="F775" s="18">
        <v>1</v>
      </c>
      <c r="G775" s="19">
        <f>Cereal[[#This Row],[N° BOLSAS]]*Cereal[[#This Row],[KG BOLSA]]</f>
        <v>1169</v>
      </c>
      <c r="H775" s="37">
        <v>40</v>
      </c>
      <c r="I775" s="14">
        <f>ROUNDDOWN(Cereal[[#This Row],[N° BOLSAS]]/Cereal[[#This Row],[CAP. SACOS]],0)</f>
        <v>29</v>
      </c>
      <c r="J775" s="14">
        <f>Cereal[[#This Row],[N° BOLSAS]]-Cereal[[#This Row],[N° SACOS]]*Cereal[[#This Row],[CAP. SACOS]]</f>
        <v>9</v>
      </c>
      <c r="K775" s="16"/>
      <c r="L775" s="16"/>
      <c r="M775" s="16"/>
      <c r="N775" s="16" t="s">
        <v>262</v>
      </c>
    </row>
    <row r="776" spans="1:14" hidden="1" x14ac:dyDescent="0.25">
      <c r="A776" s="14" t="s">
        <v>263</v>
      </c>
      <c r="B776" s="14" t="s">
        <v>264</v>
      </c>
      <c r="C776" s="15" t="s">
        <v>265</v>
      </c>
      <c r="D776" s="16">
        <v>46244</v>
      </c>
      <c r="E776" s="17">
        <v>28801</v>
      </c>
      <c r="F776" s="18">
        <v>0.26</v>
      </c>
      <c r="G776" s="19">
        <f>Cereal[[#This Row],[N° BOLSAS]]*Cereal[[#This Row],[KG BOLSA]]</f>
        <v>7488.26</v>
      </c>
      <c r="H776" s="37">
        <v>100</v>
      </c>
      <c r="I776" s="14">
        <f>ROUNDDOWN(Cereal[[#This Row],[N° BOLSAS]]/Cereal[[#This Row],[CAP. SACOS]],0)</f>
        <v>288</v>
      </c>
      <c r="J776" s="14">
        <f>Cereal[[#This Row],[N° BOLSAS]]-Cereal[[#This Row],[N° SACOS]]*Cereal[[#This Row],[CAP. SACOS]]</f>
        <v>1</v>
      </c>
      <c r="K776" s="16">
        <v>46237</v>
      </c>
      <c r="L776" s="16">
        <v>46237</v>
      </c>
      <c r="M776" s="16">
        <v>46252</v>
      </c>
      <c r="N776" s="16" t="s">
        <v>266</v>
      </c>
    </row>
    <row r="777" spans="1:14" hidden="1" x14ac:dyDescent="0.25">
      <c r="A777" s="14" t="s">
        <v>263</v>
      </c>
      <c r="B777" s="14" t="s">
        <v>264</v>
      </c>
      <c r="C777" s="15" t="s">
        <v>265</v>
      </c>
      <c r="D777" s="16">
        <v>46244</v>
      </c>
      <c r="E777" s="17">
        <v>4537</v>
      </c>
      <c r="F777" s="18">
        <v>0.26</v>
      </c>
      <c r="G777" s="19">
        <f>Cereal[[#This Row],[N° BOLSAS]]*Cereal[[#This Row],[KG BOLSA]]</f>
        <v>1179.6200000000001</v>
      </c>
      <c r="H777" s="37">
        <v>100</v>
      </c>
      <c r="I777" s="14">
        <f>ROUNDDOWN(Cereal[[#This Row],[N° BOLSAS]]/Cereal[[#This Row],[CAP. SACOS]],0)</f>
        <v>45</v>
      </c>
      <c r="J777" s="14">
        <f>Cereal[[#This Row],[N° BOLSAS]]-Cereal[[#This Row],[N° SACOS]]*Cereal[[#This Row],[CAP. SACOS]]</f>
        <v>37</v>
      </c>
      <c r="K777" s="16">
        <v>46237</v>
      </c>
      <c r="L777" s="16">
        <v>46237</v>
      </c>
      <c r="M777" s="16">
        <v>46252</v>
      </c>
      <c r="N777" s="16" t="s">
        <v>266</v>
      </c>
    </row>
    <row r="778" spans="1:14" hidden="1" x14ac:dyDescent="0.25">
      <c r="A778" s="14" t="s">
        <v>263</v>
      </c>
      <c r="B778" s="14" t="s">
        <v>264</v>
      </c>
      <c r="C778" s="15" t="s">
        <v>267</v>
      </c>
      <c r="D778" s="16">
        <v>46295</v>
      </c>
      <c r="E778" s="17">
        <v>10960</v>
      </c>
      <c r="F778" s="18">
        <v>0.26</v>
      </c>
      <c r="G778" s="19">
        <f>Cereal[[#This Row],[N° BOLSAS]]*Cereal[[#This Row],[KG BOLSA]]</f>
        <v>2849.6</v>
      </c>
      <c r="H778" s="37">
        <v>100</v>
      </c>
      <c r="I778" s="14">
        <f>ROUNDDOWN(Cereal[[#This Row],[N° BOLSAS]]/Cereal[[#This Row],[CAP. SACOS]],0)</f>
        <v>109</v>
      </c>
      <c r="J778" s="14">
        <f>Cereal[[#This Row],[N° BOLSAS]]-Cereal[[#This Row],[N° SACOS]]*Cereal[[#This Row],[CAP. SACOS]]</f>
        <v>60</v>
      </c>
      <c r="K778" s="16">
        <v>46293</v>
      </c>
      <c r="L778" s="16">
        <v>46293</v>
      </c>
      <c r="M778" s="16"/>
      <c r="N778" s="16" t="s">
        <v>268</v>
      </c>
    </row>
    <row r="779" spans="1:14" hidden="1" x14ac:dyDescent="0.25">
      <c r="A779" s="14" t="s">
        <v>269</v>
      </c>
      <c r="B779" s="14" t="s">
        <v>264</v>
      </c>
      <c r="C779" s="15" t="s">
        <v>270</v>
      </c>
      <c r="D779" s="16">
        <v>46295</v>
      </c>
      <c r="E779" s="17">
        <v>4650</v>
      </c>
      <c r="F779" s="18">
        <v>0.26</v>
      </c>
      <c r="G779" s="19">
        <f>Cereal[[#This Row],[N° BOLSAS]]*Cereal[[#This Row],[KG BOLSA]]</f>
        <v>1209</v>
      </c>
      <c r="H779" s="37">
        <v>100</v>
      </c>
      <c r="I779" s="14">
        <f>ROUNDDOWN(Cereal[[#This Row],[N° BOLSAS]]/Cereal[[#This Row],[CAP. SACOS]],0)</f>
        <v>46</v>
      </c>
      <c r="J779" s="14">
        <f>Cereal[[#This Row],[N° BOLSAS]]-Cereal[[#This Row],[N° SACOS]]*Cereal[[#This Row],[CAP. SACOS]]</f>
        <v>50</v>
      </c>
      <c r="K779" s="16"/>
      <c r="L779" s="16"/>
      <c r="M779" s="16"/>
      <c r="N779" s="16" t="s">
        <v>268</v>
      </c>
    </row>
    <row r="780" spans="1:14" hidden="1" x14ac:dyDescent="0.25">
      <c r="A780" s="14" t="s">
        <v>263</v>
      </c>
      <c r="B780" s="14" t="s">
        <v>271</v>
      </c>
      <c r="C780" s="15" t="s">
        <v>267</v>
      </c>
      <c r="D780" s="16">
        <v>46066</v>
      </c>
      <c r="E780" s="17">
        <v>20070</v>
      </c>
      <c r="F780" s="18">
        <v>0.26</v>
      </c>
      <c r="G780" s="19">
        <f>Cereal[[#This Row],[N° BOLSAS]]*Cereal[[#This Row],[KG BOLSA]]</f>
        <v>5218.2</v>
      </c>
      <c r="H780" s="37">
        <v>100</v>
      </c>
      <c r="I780" s="14">
        <f>ROUNDDOWN(Cereal[[#This Row],[N° BOLSAS]]/Cereal[[#This Row],[CAP. SACOS]],0)</f>
        <v>200</v>
      </c>
      <c r="J780" s="14">
        <f>Cereal[[#This Row],[N° BOLSAS]]-Cereal[[#This Row],[N° SACOS]]*Cereal[[#This Row],[CAP. SACOS]]</f>
        <v>70</v>
      </c>
      <c r="K780" s="16">
        <v>46059</v>
      </c>
      <c r="L780" s="16">
        <v>46059</v>
      </c>
      <c r="M780" s="16">
        <v>46063</v>
      </c>
      <c r="N780" s="16" t="s">
        <v>272</v>
      </c>
    </row>
    <row r="781" spans="1:14" hidden="1" x14ac:dyDescent="0.25">
      <c r="A781" s="14" t="s">
        <v>263</v>
      </c>
      <c r="B781" s="14" t="s">
        <v>271</v>
      </c>
      <c r="C781" s="15" t="s">
        <v>267</v>
      </c>
      <c r="D781" s="16">
        <v>46069</v>
      </c>
      <c r="E781" s="17">
        <v>4013</v>
      </c>
      <c r="F781" s="18">
        <v>0.26</v>
      </c>
      <c r="G781" s="19">
        <f>Cereal[[#This Row],[N° BOLSAS]]*Cereal[[#This Row],[KG BOLSA]]</f>
        <v>1043.3800000000001</v>
      </c>
      <c r="H781" s="37">
        <v>100</v>
      </c>
      <c r="I781" s="14">
        <f>ROUNDDOWN(Cereal[[#This Row],[N° BOLSAS]]/Cereal[[#This Row],[CAP. SACOS]],0)</f>
        <v>40</v>
      </c>
      <c r="J781" s="14">
        <f>Cereal[[#This Row],[N° BOLSAS]]-Cereal[[#This Row],[N° SACOS]]*Cereal[[#This Row],[CAP. SACOS]]</f>
        <v>13</v>
      </c>
      <c r="K781" s="16">
        <v>46079</v>
      </c>
      <c r="L781" s="16">
        <v>46079</v>
      </c>
      <c r="M781" s="16">
        <v>46079</v>
      </c>
      <c r="N781" s="16" t="s">
        <v>272</v>
      </c>
    </row>
    <row r="782" spans="1:14" hidden="1" x14ac:dyDescent="0.25">
      <c r="A782" s="14" t="s">
        <v>263</v>
      </c>
      <c r="B782" s="14" t="s">
        <v>271</v>
      </c>
      <c r="C782" s="15" t="s">
        <v>265</v>
      </c>
      <c r="D782" s="16">
        <v>46091</v>
      </c>
      <c r="E782" s="17">
        <v>4665</v>
      </c>
      <c r="F782" s="18">
        <v>0.26</v>
      </c>
      <c r="G782" s="19">
        <f>Cereal[[#This Row],[N° BOLSAS]]*Cereal[[#This Row],[KG BOLSA]]</f>
        <v>1212.9000000000001</v>
      </c>
      <c r="H782" s="37">
        <v>100</v>
      </c>
      <c r="I782" s="14">
        <f>ROUNDDOWN(Cereal[[#This Row],[N° BOLSAS]]/Cereal[[#This Row],[CAP. SACOS]],0)</f>
        <v>46</v>
      </c>
      <c r="J782" s="14">
        <f>Cereal[[#This Row],[N° BOLSAS]]-Cereal[[#This Row],[N° SACOS]]*Cereal[[#This Row],[CAP. SACOS]]</f>
        <v>65</v>
      </c>
      <c r="K782" s="16">
        <v>46088</v>
      </c>
      <c r="L782" s="16">
        <v>46088</v>
      </c>
      <c r="M782" s="16">
        <v>46091</v>
      </c>
      <c r="N782" s="16" t="s">
        <v>272</v>
      </c>
    </row>
    <row r="783" spans="1:14" hidden="1" x14ac:dyDescent="0.25">
      <c r="A783" s="14" t="s">
        <v>263</v>
      </c>
      <c r="B783" s="14" t="s">
        <v>271</v>
      </c>
      <c r="C783" s="15" t="s">
        <v>265</v>
      </c>
      <c r="D783" s="16">
        <v>46111</v>
      </c>
      <c r="E783" s="17">
        <v>4144</v>
      </c>
      <c r="F783" s="18">
        <v>0.26</v>
      </c>
      <c r="G783" s="19">
        <f>Cereal[[#This Row],[N° BOLSAS]]*Cereal[[#This Row],[KG BOLSA]]</f>
        <v>1077.44</v>
      </c>
      <c r="H783" s="37">
        <v>100</v>
      </c>
      <c r="I783" s="14">
        <f>ROUNDDOWN(Cereal[[#This Row],[N° BOLSAS]]/Cereal[[#This Row],[CAP. SACOS]],0)</f>
        <v>41</v>
      </c>
      <c r="J783" s="14">
        <f>Cereal[[#This Row],[N° BOLSAS]]-Cereal[[#This Row],[N° SACOS]]*Cereal[[#This Row],[CAP. SACOS]]</f>
        <v>44</v>
      </c>
      <c r="K783" s="16">
        <v>46099</v>
      </c>
      <c r="L783" s="16">
        <v>46099</v>
      </c>
      <c r="M783" s="16">
        <v>46099</v>
      </c>
      <c r="N783" s="16" t="s">
        <v>272</v>
      </c>
    </row>
    <row r="784" spans="1:14" hidden="1" x14ac:dyDescent="0.25">
      <c r="A784" s="14" t="s">
        <v>263</v>
      </c>
      <c r="B784" s="14" t="s">
        <v>271</v>
      </c>
      <c r="C784" s="15" t="s">
        <v>267</v>
      </c>
      <c r="D784" s="16">
        <v>46111</v>
      </c>
      <c r="E784" s="17">
        <v>5486</v>
      </c>
      <c r="F784" s="18">
        <v>0.26</v>
      </c>
      <c r="G784" s="19">
        <f>Cereal[[#This Row],[N° BOLSAS]]*Cereal[[#This Row],[KG BOLSA]]</f>
        <v>1426.3600000000001</v>
      </c>
      <c r="H784" s="37">
        <v>100</v>
      </c>
      <c r="I784" s="14">
        <f>ROUNDDOWN(Cereal[[#This Row],[N° BOLSAS]]/Cereal[[#This Row],[CAP. SACOS]],0)</f>
        <v>54</v>
      </c>
      <c r="J784" s="14">
        <f>Cereal[[#This Row],[N° BOLSAS]]-Cereal[[#This Row],[N° SACOS]]*Cereal[[#This Row],[CAP. SACOS]]</f>
        <v>86</v>
      </c>
      <c r="K784" s="16">
        <v>46108</v>
      </c>
      <c r="L784" s="16">
        <v>46108</v>
      </c>
      <c r="M784" s="16">
        <v>46109</v>
      </c>
      <c r="N784" s="16" t="s">
        <v>272</v>
      </c>
    </row>
    <row r="785" spans="1:14" hidden="1" x14ac:dyDescent="0.25">
      <c r="A785" s="14" t="s">
        <v>263</v>
      </c>
      <c r="B785" s="14" t="s">
        <v>271</v>
      </c>
      <c r="C785" s="15" t="s">
        <v>267</v>
      </c>
      <c r="D785" s="16">
        <v>46139</v>
      </c>
      <c r="E785" s="17">
        <v>5482</v>
      </c>
      <c r="F785" s="18">
        <v>0.26</v>
      </c>
      <c r="G785" s="19">
        <f>Cereal[[#This Row],[N° BOLSAS]]*Cereal[[#This Row],[KG BOLSA]]</f>
        <v>1425.32</v>
      </c>
      <c r="H785" s="37">
        <v>100</v>
      </c>
      <c r="I785" s="14">
        <f>ROUNDDOWN(Cereal[[#This Row],[N° BOLSAS]]/Cereal[[#This Row],[CAP. SACOS]],0)</f>
        <v>54</v>
      </c>
      <c r="J785" s="14">
        <f>Cereal[[#This Row],[N° BOLSAS]]-Cereal[[#This Row],[N° SACOS]]*Cereal[[#This Row],[CAP. SACOS]]</f>
        <v>82</v>
      </c>
      <c r="K785" s="16">
        <v>46132</v>
      </c>
      <c r="L785" s="16">
        <v>46132</v>
      </c>
      <c r="M785" s="16">
        <v>46136</v>
      </c>
      <c r="N785" s="16" t="s">
        <v>272</v>
      </c>
    </row>
    <row r="786" spans="1:14" hidden="1" x14ac:dyDescent="0.25">
      <c r="A786" s="14" t="s">
        <v>263</v>
      </c>
      <c r="B786" s="14" t="s">
        <v>271</v>
      </c>
      <c r="C786" s="15" t="s">
        <v>265</v>
      </c>
      <c r="D786" s="16">
        <v>46139</v>
      </c>
      <c r="E786" s="17">
        <v>4134</v>
      </c>
      <c r="F786" s="18">
        <v>0.26</v>
      </c>
      <c r="G786" s="19">
        <f>Cereal[[#This Row],[N° BOLSAS]]*Cereal[[#This Row],[KG BOLSA]]</f>
        <v>1074.8400000000001</v>
      </c>
      <c r="H786" s="37">
        <v>100</v>
      </c>
      <c r="I786" s="14">
        <f>ROUNDDOWN(Cereal[[#This Row],[N° BOLSAS]]/Cereal[[#This Row],[CAP. SACOS]],0)</f>
        <v>41</v>
      </c>
      <c r="J786" s="14">
        <f>Cereal[[#This Row],[N° BOLSAS]]-Cereal[[#This Row],[N° SACOS]]*Cereal[[#This Row],[CAP. SACOS]]</f>
        <v>34</v>
      </c>
      <c r="K786" s="16">
        <v>46151</v>
      </c>
      <c r="L786" s="16">
        <v>46151</v>
      </c>
      <c r="M786" s="16">
        <v>46167</v>
      </c>
      <c r="N786" s="16" t="s">
        <v>272</v>
      </c>
    </row>
    <row r="787" spans="1:14" hidden="1" x14ac:dyDescent="0.25">
      <c r="A787" s="14" t="s">
        <v>269</v>
      </c>
      <c r="B787" s="14" t="s">
        <v>271</v>
      </c>
      <c r="C787" s="15" t="s">
        <v>270</v>
      </c>
      <c r="D787" s="16">
        <v>46142</v>
      </c>
      <c r="E787" s="17">
        <v>9800</v>
      </c>
      <c r="F787" s="18">
        <v>0.26</v>
      </c>
      <c r="G787" s="19">
        <f>Cereal[[#This Row],[N° BOLSAS]]*Cereal[[#This Row],[KG BOLSA]]</f>
        <v>2548</v>
      </c>
      <c r="H787" s="37">
        <v>100</v>
      </c>
      <c r="I787" s="14">
        <f>ROUNDDOWN(Cereal[[#This Row],[N° BOLSAS]]/Cereal[[#This Row],[CAP. SACOS]],0)</f>
        <v>98</v>
      </c>
      <c r="J787" s="14">
        <f>Cereal[[#This Row],[N° BOLSAS]]-Cereal[[#This Row],[N° SACOS]]*Cereal[[#This Row],[CAP. SACOS]]</f>
        <v>0</v>
      </c>
      <c r="K787" s="16">
        <v>46136</v>
      </c>
      <c r="L787" s="16">
        <v>46136</v>
      </c>
      <c r="M787" s="16">
        <v>46140</v>
      </c>
      <c r="N787" s="16" t="s">
        <v>272</v>
      </c>
    </row>
    <row r="788" spans="1:14" hidden="1" x14ac:dyDescent="0.25">
      <c r="A788" s="14" t="s">
        <v>273</v>
      </c>
      <c r="B788" s="14" t="s">
        <v>271</v>
      </c>
      <c r="C788" s="15" t="s">
        <v>270</v>
      </c>
      <c r="D788" s="16">
        <v>46142</v>
      </c>
      <c r="E788" s="17">
        <v>6650</v>
      </c>
      <c r="F788" s="18">
        <v>0.26</v>
      </c>
      <c r="G788" s="19">
        <f>Cereal[[#This Row],[N° BOLSAS]]*Cereal[[#This Row],[KG BOLSA]]</f>
        <v>1729</v>
      </c>
      <c r="H788" s="37">
        <v>100</v>
      </c>
      <c r="I788" s="14">
        <f>ROUNDDOWN(Cereal[[#This Row],[N° BOLSAS]]/Cereal[[#This Row],[CAP. SACOS]],0)</f>
        <v>66</v>
      </c>
      <c r="J788" s="14">
        <f>Cereal[[#This Row],[N° BOLSAS]]-Cereal[[#This Row],[N° SACOS]]*Cereal[[#This Row],[CAP. SACOS]]</f>
        <v>50</v>
      </c>
      <c r="K788" s="16">
        <v>46142</v>
      </c>
      <c r="L788" s="16">
        <v>46142</v>
      </c>
      <c r="M788" s="16">
        <v>46148</v>
      </c>
      <c r="N788" s="16" t="s">
        <v>272</v>
      </c>
    </row>
    <row r="789" spans="1:14" hidden="1" x14ac:dyDescent="0.25">
      <c r="A789" s="14" t="s">
        <v>263</v>
      </c>
      <c r="B789" s="14" t="s">
        <v>271</v>
      </c>
      <c r="C789" s="15" t="s">
        <v>267</v>
      </c>
      <c r="D789" s="16">
        <v>46175</v>
      </c>
      <c r="E789" s="17">
        <v>3926</v>
      </c>
      <c r="F789" s="18">
        <v>0.26</v>
      </c>
      <c r="G789" s="19">
        <f>Cereal[[#This Row],[N° BOLSAS]]*Cereal[[#This Row],[KG BOLSA]]</f>
        <v>1020.76</v>
      </c>
      <c r="H789" s="37">
        <v>100</v>
      </c>
      <c r="I789" s="14">
        <f>ROUNDDOWN(Cereal[[#This Row],[N° BOLSAS]]/Cereal[[#This Row],[CAP. SACOS]],0)</f>
        <v>39</v>
      </c>
      <c r="J789" s="14">
        <f>Cereal[[#This Row],[N° BOLSAS]]-Cereal[[#This Row],[N° SACOS]]*Cereal[[#This Row],[CAP. SACOS]]</f>
        <v>26</v>
      </c>
      <c r="K789" s="16">
        <v>46185</v>
      </c>
      <c r="L789" s="16">
        <v>46185</v>
      </c>
      <c r="M789" s="16">
        <v>46192</v>
      </c>
      <c r="N789" s="16" t="s">
        <v>274</v>
      </c>
    </row>
    <row r="790" spans="1:14" hidden="1" x14ac:dyDescent="0.25">
      <c r="A790" s="14" t="s">
        <v>269</v>
      </c>
      <c r="B790" s="14" t="s">
        <v>271</v>
      </c>
      <c r="C790" s="15" t="s">
        <v>270</v>
      </c>
      <c r="D790" s="16">
        <v>46179</v>
      </c>
      <c r="E790" s="17">
        <v>9450</v>
      </c>
      <c r="F790" s="18">
        <v>0.26</v>
      </c>
      <c r="G790" s="19">
        <f>Cereal[[#This Row],[N° BOLSAS]]*Cereal[[#This Row],[KG BOLSA]]</f>
        <v>2457</v>
      </c>
      <c r="H790" s="37">
        <v>100</v>
      </c>
      <c r="I790" s="14">
        <f>ROUNDDOWN(Cereal[[#This Row],[N° BOLSAS]]/Cereal[[#This Row],[CAP. SACOS]],0)</f>
        <v>94</v>
      </c>
      <c r="J790" s="14">
        <f>Cereal[[#This Row],[N° BOLSAS]]-Cereal[[#This Row],[N° SACOS]]*Cereal[[#This Row],[CAP. SACOS]]</f>
        <v>50</v>
      </c>
      <c r="K790" s="16">
        <v>46182</v>
      </c>
      <c r="L790" s="16">
        <v>46182</v>
      </c>
      <c r="M790" s="16">
        <v>46182</v>
      </c>
      <c r="N790" s="16" t="s">
        <v>274</v>
      </c>
    </row>
    <row r="791" spans="1:14" hidden="1" x14ac:dyDescent="0.25">
      <c r="A791" s="14" t="s">
        <v>263</v>
      </c>
      <c r="B791" s="14" t="s">
        <v>271</v>
      </c>
      <c r="C791" s="15" t="s">
        <v>265</v>
      </c>
      <c r="D791" s="16">
        <v>46192</v>
      </c>
      <c r="E791" s="17">
        <v>4497</v>
      </c>
      <c r="F791" s="18">
        <v>0.26</v>
      </c>
      <c r="G791" s="19">
        <f>Cereal[[#This Row],[N° BOLSAS]]*Cereal[[#This Row],[KG BOLSA]]</f>
        <v>1169.22</v>
      </c>
      <c r="H791" s="37">
        <v>100</v>
      </c>
      <c r="I791" s="14">
        <f>ROUNDDOWN(Cereal[[#This Row],[N° BOLSAS]]/Cereal[[#This Row],[CAP. SACOS]],0)</f>
        <v>44</v>
      </c>
      <c r="J791" s="14">
        <f>Cereal[[#This Row],[N° BOLSAS]]-Cereal[[#This Row],[N° SACOS]]*Cereal[[#This Row],[CAP. SACOS]]</f>
        <v>97</v>
      </c>
      <c r="K791" s="16">
        <v>46185</v>
      </c>
      <c r="L791" s="16">
        <v>46185</v>
      </c>
      <c r="M791" s="16">
        <v>46209</v>
      </c>
      <c r="N791" s="16" t="s">
        <v>274</v>
      </c>
    </row>
    <row r="792" spans="1:14" hidden="1" x14ac:dyDescent="0.25">
      <c r="A792" s="14" t="s">
        <v>263</v>
      </c>
      <c r="B792" s="14" t="s">
        <v>271</v>
      </c>
      <c r="C792" s="15" t="s">
        <v>267</v>
      </c>
      <c r="D792" s="16">
        <v>46192</v>
      </c>
      <c r="E792" s="17">
        <v>8684</v>
      </c>
      <c r="F792" s="18">
        <v>0.26</v>
      </c>
      <c r="G792" s="19">
        <f>Cereal[[#This Row],[N° BOLSAS]]*Cereal[[#This Row],[KG BOLSA]]</f>
        <v>2257.84</v>
      </c>
      <c r="H792" s="37">
        <v>100</v>
      </c>
      <c r="I792" s="14">
        <f>ROUNDDOWN(Cereal[[#This Row],[N° BOLSAS]]/Cereal[[#This Row],[CAP. SACOS]],0)</f>
        <v>86</v>
      </c>
      <c r="J792" s="14">
        <f>Cereal[[#This Row],[N° BOLSAS]]-Cereal[[#This Row],[N° SACOS]]*Cereal[[#This Row],[CAP. SACOS]]</f>
        <v>84</v>
      </c>
      <c r="K792" s="16">
        <v>46185</v>
      </c>
      <c r="L792" s="16">
        <v>46185</v>
      </c>
      <c r="M792" s="16">
        <v>46185</v>
      </c>
      <c r="N792" s="16" t="s">
        <v>274</v>
      </c>
    </row>
    <row r="793" spans="1:14" hidden="1" x14ac:dyDescent="0.25">
      <c r="A793" s="14" t="s">
        <v>269</v>
      </c>
      <c r="B793" s="14" t="s">
        <v>271</v>
      </c>
      <c r="C793" s="15" t="s">
        <v>275</v>
      </c>
      <c r="D793" s="16">
        <v>46223</v>
      </c>
      <c r="E793" s="17">
        <v>9000</v>
      </c>
      <c r="F793" s="18">
        <v>0.26</v>
      </c>
      <c r="G793" s="19">
        <f>Cereal[[#This Row],[N° BOLSAS]]*Cereal[[#This Row],[KG BOLSA]]</f>
        <v>2340</v>
      </c>
      <c r="H793" s="37">
        <v>100</v>
      </c>
      <c r="I793" s="14">
        <f>ROUNDDOWN(Cereal[[#This Row],[N° BOLSAS]]/Cereal[[#This Row],[CAP. SACOS]],0)</f>
        <v>90</v>
      </c>
      <c r="J793" s="14">
        <f>Cereal[[#This Row],[N° BOLSAS]]-Cereal[[#This Row],[N° SACOS]]*Cereal[[#This Row],[CAP. SACOS]]</f>
        <v>0</v>
      </c>
      <c r="K793" s="16">
        <v>46228</v>
      </c>
      <c r="L793" s="16">
        <v>46228</v>
      </c>
      <c r="M793" s="16">
        <v>46232</v>
      </c>
      <c r="N793" s="16" t="s">
        <v>274</v>
      </c>
    </row>
    <row r="794" spans="1:14" hidden="1" x14ac:dyDescent="0.25">
      <c r="A794" s="14" t="s">
        <v>263</v>
      </c>
      <c r="B794" s="14" t="s">
        <v>271</v>
      </c>
      <c r="C794" s="15" t="s">
        <v>265</v>
      </c>
      <c r="D794" s="16">
        <v>46244</v>
      </c>
      <c r="E794" s="17">
        <v>8436</v>
      </c>
      <c r="F794" s="18">
        <v>0.26</v>
      </c>
      <c r="G794" s="19">
        <f>Cereal[[#This Row],[N° BOLSAS]]*Cereal[[#This Row],[KG BOLSA]]</f>
        <v>2193.36</v>
      </c>
      <c r="H794" s="37">
        <v>100</v>
      </c>
      <c r="I794" s="14">
        <f>ROUNDDOWN(Cereal[[#This Row],[N° BOLSAS]]/Cereal[[#This Row],[CAP. SACOS]],0)</f>
        <v>84</v>
      </c>
      <c r="J794" s="14">
        <f>Cereal[[#This Row],[N° BOLSAS]]-Cereal[[#This Row],[N° SACOS]]*Cereal[[#This Row],[CAP. SACOS]]</f>
        <v>36</v>
      </c>
      <c r="K794" s="16">
        <v>46239</v>
      </c>
      <c r="L794" s="16">
        <v>46239</v>
      </c>
      <c r="M794" s="16">
        <v>46252</v>
      </c>
      <c r="N794" s="16" t="s">
        <v>274</v>
      </c>
    </row>
    <row r="795" spans="1:14" hidden="1" x14ac:dyDescent="0.25">
      <c r="A795" s="14" t="s">
        <v>263</v>
      </c>
      <c r="B795" s="14" t="s">
        <v>271</v>
      </c>
      <c r="C795" s="15" t="s">
        <v>265</v>
      </c>
      <c r="D795" s="16">
        <v>46244</v>
      </c>
      <c r="E795" s="17">
        <v>4505</v>
      </c>
      <c r="F795" s="18">
        <v>0.26</v>
      </c>
      <c r="G795" s="19">
        <f>Cereal[[#This Row],[N° BOLSAS]]*Cereal[[#This Row],[KG BOLSA]]</f>
        <v>1171.3</v>
      </c>
      <c r="H795" s="37">
        <v>100</v>
      </c>
      <c r="I795" s="14">
        <f>ROUNDDOWN(Cereal[[#This Row],[N° BOLSAS]]/Cereal[[#This Row],[CAP. SACOS]],0)</f>
        <v>45</v>
      </c>
      <c r="J795" s="14">
        <f>Cereal[[#This Row],[N° BOLSAS]]-Cereal[[#This Row],[N° SACOS]]*Cereal[[#This Row],[CAP. SACOS]]</f>
        <v>5</v>
      </c>
      <c r="K795" s="16">
        <v>46239</v>
      </c>
      <c r="L795" s="16">
        <v>46239</v>
      </c>
      <c r="M795" s="16">
        <v>46252</v>
      </c>
      <c r="N795" s="16" t="s">
        <v>276</v>
      </c>
    </row>
    <row r="796" spans="1:14" hidden="1" x14ac:dyDescent="0.25">
      <c r="A796" s="14" t="s">
        <v>263</v>
      </c>
      <c r="B796" s="14" t="s">
        <v>271</v>
      </c>
      <c r="C796" s="15" t="s">
        <v>267</v>
      </c>
      <c r="D796" s="16">
        <v>46295</v>
      </c>
      <c r="E796" s="17">
        <v>10189</v>
      </c>
      <c r="F796" s="18">
        <v>0.26</v>
      </c>
      <c r="G796" s="19">
        <f>Cereal[[#This Row],[N° BOLSAS]]*Cereal[[#This Row],[KG BOLSA]]</f>
        <v>2649.14</v>
      </c>
      <c r="H796" s="37">
        <v>100</v>
      </c>
      <c r="I796" s="14">
        <f>ROUNDDOWN(Cereal[[#This Row],[N° BOLSAS]]/Cereal[[#This Row],[CAP. SACOS]],0)</f>
        <v>101</v>
      </c>
      <c r="J796" s="14">
        <f>Cereal[[#This Row],[N° BOLSAS]]-Cereal[[#This Row],[N° SACOS]]*Cereal[[#This Row],[CAP. SACOS]]</f>
        <v>89</v>
      </c>
      <c r="K796" s="16"/>
      <c r="L796" s="16"/>
      <c r="M796" s="16"/>
      <c r="N796" s="16" t="s">
        <v>276</v>
      </c>
    </row>
    <row r="797" spans="1:14" hidden="1" x14ac:dyDescent="0.25">
      <c r="A797" s="14" t="s">
        <v>263</v>
      </c>
      <c r="B797" s="14" t="s">
        <v>271</v>
      </c>
      <c r="C797" s="15" t="s">
        <v>277</v>
      </c>
      <c r="D797" s="16">
        <v>46295</v>
      </c>
      <c r="E797" s="17">
        <v>4596</v>
      </c>
      <c r="F797" s="18">
        <v>0.26</v>
      </c>
      <c r="G797" s="19">
        <f>Cereal[[#This Row],[N° BOLSAS]]*Cereal[[#This Row],[KG BOLSA]]</f>
        <v>1194.96</v>
      </c>
      <c r="H797" s="37">
        <v>100</v>
      </c>
      <c r="I797" s="14">
        <f>ROUNDDOWN(Cereal[[#This Row],[N° BOLSAS]]/Cereal[[#This Row],[CAP. SACOS]],0)</f>
        <v>45</v>
      </c>
      <c r="J797" s="14">
        <f>Cereal[[#This Row],[N° BOLSAS]]-Cereal[[#This Row],[N° SACOS]]*Cereal[[#This Row],[CAP. SACOS]]</f>
        <v>96</v>
      </c>
      <c r="K797" s="16"/>
      <c r="L797" s="16"/>
      <c r="M797" s="16"/>
      <c r="N797" s="16" t="s">
        <v>276</v>
      </c>
    </row>
    <row r="798" spans="1:14" hidden="1" x14ac:dyDescent="0.25">
      <c r="A798" s="14" t="s">
        <v>269</v>
      </c>
      <c r="B798" s="14" t="s">
        <v>271</v>
      </c>
      <c r="C798" s="15" t="s">
        <v>270</v>
      </c>
      <c r="D798" s="16">
        <v>46295</v>
      </c>
      <c r="E798" s="17">
        <v>3920</v>
      </c>
      <c r="F798" s="18">
        <v>0.26</v>
      </c>
      <c r="G798" s="19">
        <f>Cereal[[#This Row],[N° BOLSAS]]*Cereal[[#This Row],[KG BOLSA]]</f>
        <v>1019.2</v>
      </c>
      <c r="H798" s="37">
        <v>100</v>
      </c>
      <c r="I798" s="14">
        <f>ROUNDDOWN(Cereal[[#This Row],[N° BOLSAS]]/Cereal[[#This Row],[CAP. SACOS]],0)</f>
        <v>39</v>
      </c>
      <c r="J798" s="14">
        <f>Cereal[[#This Row],[N° BOLSAS]]-Cereal[[#This Row],[N° SACOS]]*Cereal[[#This Row],[CAP. SACOS]]</f>
        <v>20</v>
      </c>
      <c r="K798" s="16"/>
      <c r="L798" s="16"/>
      <c r="M798" s="16"/>
      <c r="N798" s="16" t="s">
        <v>276</v>
      </c>
    </row>
    <row r="799" spans="1:14" hidden="1" x14ac:dyDescent="0.25">
      <c r="A799" s="14" t="s">
        <v>273</v>
      </c>
      <c r="B799" s="14" t="s">
        <v>278</v>
      </c>
      <c r="C799" s="15" t="s">
        <v>270</v>
      </c>
      <c r="D799" s="16">
        <v>46042</v>
      </c>
      <c r="E799" s="17">
        <v>12460</v>
      </c>
      <c r="F799" s="18">
        <v>0.26</v>
      </c>
      <c r="G799" s="19">
        <f>Cereal[[#This Row],[N° BOLSAS]]*Cereal[[#This Row],[KG BOLSA]]</f>
        <v>3239.6</v>
      </c>
      <c r="H799" s="37">
        <v>100</v>
      </c>
      <c r="I799" s="14">
        <f>ROUNDDOWN(Cereal[[#This Row],[N° BOLSAS]]/Cereal[[#This Row],[CAP. SACOS]],0)</f>
        <v>124</v>
      </c>
      <c r="J799" s="14">
        <f>Cereal[[#This Row],[N° BOLSAS]]-Cereal[[#This Row],[N° SACOS]]*Cereal[[#This Row],[CAP. SACOS]]</f>
        <v>60</v>
      </c>
      <c r="K799" s="16">
        <v>46041</v>
      </c>
      <c r="L799" s="16">
        <v>46041</v>
      </c>
      <c r="M799" s="16">
        <v>46041</v>
      </c>
      <c r="N799" s="16" t="s">
        <v>279</v>
      </c>
    </row>
    <row r="800" spans="1:14" hidden="1" x14ac:dyDescent="0.25">
      <c r="A800" s="14" t="s">
        <v>269</v>
      </c>
      <c r="B800" s="14" t="s">
        <v>278</v>
      </c>
      <c r="C800" s="15" t="s">
        <v>270</v>
      </c>
      <c r="D800" s="16">
        <v>46052</v>
      </c>
      <c r="E800" s="17">
        <v>9900</v>
      </c>
      <c r="F800" s="18">
        <v>0.26</v>
      </c>
      <c r="G800" s="19">
        <f>Cereal[[#This Row],[N° BOLSAS]]*Cereal[[#This Row],[KG BOLSA]]</f>
        <v>2574</v>
      </c>
      <c r="H800" s="37">
        <v>100</v>
      </c>
      <c r="I800" s="14">
        <f>ROUNDDOWN(Cereal[[#This Row],[N° BOLSAS]]/Cereal[[#This Row],[CAP. SACOS]],0)</f>
        <v>99</v>
      </c>
      <c r="J800" s="14">
        <f>Cereal[[#This Row],[N° BOLSAS]]-Cereal[[#This Row],[N° SACOS]]*Cereal[[#This Row],[CAP. SACOS]]</f>
        <v>0</v>
      </c>
      <c r="K800" s="16">
        <v>46046</v>
      </c>
      <c r="L800" s="16">
        <v>46046</v>
      </c>
      <c r="M800" s="16">
        <v>46046</v>
      </c>
      <c r="N800" s="16" t="s">
        <v>279</v>
      </c>
    </row>
    <row r="801" spans="1:14" hidden="1" x14ac:dyDescent="0.25">
      <c r="A801" s="14" t="s">
        <v>280</v>
      </c>
      <c r="B801" s="14" t="s">
        <v>278</v>
      </c>
      <c r="C801" s="15" t="s">
        <v>281</v>
      </c>
      <c r="D801" s="16">
        <v>46068</v>
      </c>
      <c r="E801" s="17">
        <v>1200</v>
      </c>
      <c r="F801" s="18">
        <v>0.26</v>
      </c>
      <c r="G801" s="19">
        <f>Cereal[[#This Row],[N° BOLSAS]]*Cereal[[#This Row],[KG BOLSA]]</f>
        <v>312</v>
      </c>
      <c r="H801" s="37">
        <v>100</v>
      </c>
      <c r="I801" s="14">
        <f>ROUNDDOWN(Cereal[[#This Row],[N° BOLSAS]]/Cereal[[#This Row],[CAP. SACOS]],0)</f>
        <v>12</v>
      </c>
      <c r="J801" s="14">
        <f>Cereal[[#This Row],[N° BOLSAS]]-Cereal[[#This Row],[N° SACOS]]*Cereal[[#This Row],[CAP. SACOS]]</f>
        <v>0</v>
      </c>
      <c r="K801" s="16">
        <v>46067</v>
      </c>
      <c r="L801" s="16">
        <v>46067</v>
      </c>
      <c r="M801" s="16">
        <v>46136</v>
      </c>
      <c r="N801" s="16" t="s">
        <v>279</v>
      </c>
    </row>
    <row r="802" spans="1:14" hidden="1" x14ac:dyDescent="0.25">
      <c r="A802" s="14" t="s">
        <v>280</v>
      </c>
      <c r="B802" s="14" t="s">
        <v>278</v>
      </c>
      <c r="C802" s="15" t="s">
        <v>282</v>
      </c>
      <c r="D802" s="16">
        <v>46068</v>
      </c>
      <c r="E802" s="17">
        <v>12500</v>
      </c>
      <c r="F802" s="18">
        <v>0.26</v>
      </c>
      <c r="G802" s="19">
        <f>Cereal[[#This Row],[N° BOLSAS]]*Cereal[[#This Row],[KG BOLSA]]</f>
        <v>3250</v>
      </c>
      <c r="H802" s="37">
        <v>100</v>
      </c>
      <c r="I802" s="14">
        <f>ROUNDDOWN(Cereal[[#This Row],[N° BOLSAS]]/Cereal[[#This Row],[CAP. SACOS]],0)</f>
        <v>125</v>
      </c>
      <c r="J802" s="14">
        <f>Cereal[[#This Row],[N° BOLSAS]]-Cereal[[#This Row],[N° SACOS]]*Cereal[[#This Row],[CAP. SACOS]]</f>
        <v>0</v>
      </c>
      <c r="K802" s="16">
        <v>46067</v>
      </c>
      <c r="L802" s="16">
        <v>46067</v>
      </c>
      <c r="M802" s="16">
        <v>46081</v>
      </c>
      <c r="N802" s="16" t="s">
        <v>279</v>
      </c>
    </row>
    <row r="803" spans="1:14" hidden="1" x14ac:dyDescent="0.25">
      <c r="A803" s="14" t="s">
        <v>280</v>
      </c>
      <c r="B803" s="14" t="s">
        <v>278</v>
      </c>
      <c r="C803" s="15" t="s">
        <v>283</v>
      </c>
      <c r="D803" s="16">
        <v>46068</v>
      </c>
      <c r="E803" s="17">
        <v>1150</v>
      </c>
      <c r="F803" s="18">
        <v>0.26</v>
      </c>
      <c r="G803" s="19">
        <f>Cereal[[#This Row],[N° BOLSAS]]*Cereal[[#This Row],[KG BOLSA]]</f>
        <v>299</v>
      </c>
      <c r="H803" s="37">
        <v>100</v>
      </c>
      <c r="I803" s="14">
        <f>ROUNDDOWN(Cereal[[#This Row],[N° BOLSAS]]/Cereal[[#This Row],[CAP. SACOS]],0)</f>
        <v>11</v>
      </c>
      <c r="J803" s="14">
        <f>Cereal[[#This Row],[N° BOLSAS]]-Cereal[[#This Row],[N° SACOS]]*Cereal[[#This Row],[CAP. SACOS]]</f>
        <v>50</v>
      </c>
      <c r="K803" s="16">
        <v>46067</v>
      </c>
      <c r="L803" s="16">
        <v>46067</v>
      </c>
      <c r="M803" s="16">
        <v>46081</v>
      </c>
      <c r="N803" s="16" t="s">
        <v>279</v>
      </c>
    </row>
    <row r="804" spans="1:14" hidden="1" x14ac:dyDescent="0.25">
      <c r="A804" s="14" t="s">
        <v>273</v>
      </c>
      <c r="B804" s="14" t="s">
        <v>278</v>
      </c>
      <c r="C804" s="15" t="s">
        <v>270</v>
      </c>
      <c r="D804" s="16">
        <v>46068</v>
      </c>
      <c r="E804" s="17">
        <v>800</v>
      </c>
      <c r="F804" s="18">
        <v>0.26</v>
      </c>
      <c r="G804" s="19">
        <f>Cereal[[#This Row],[N° BOLSAS]]*Cereal[[#This Row],[KG BOLSA]]</f>
        <v>208</v>
      </c>
      <c r="H804" s="37">
        <v>100</v>
      </c>
      <c r="I804" s="14">
        <f>ROUNDDOWN(Cereal[[#This Row],[N° BOLSAS]]/Cereal[[#This Row],[CAP. SACOS]],0)</f>
        <v>8</v>
      </c>
      <c r="J804" s="14">
        <f>Cereal[[#This Row],[N° BOLSAS]]-Cereal[[#This Row],[N° SACOS]]*Cereal[[#This Row],[CAP. SACOS]]</f>
        <v>0</v>
      </c>
      <c r="K804" s="16">
        <v>46067</v>
      </c>
      <c r="L804" s="16">
        <v>46067</v>
      </c>
      <c r="M804" s="16">
        <v>46081</v>
      </c>
      <c r="N804" s="16" t="s">
        <v>284</v>
      </c>
    </row>
    <row r="805" spans="1:14" hidden="1" x14ac:dyDescent="0.25">
      <c r="A805" s="14" t="s">
        <v>263</v>
      </c>
      <c r="B805" s="14" t="s">
        <v>278</v>
      </c>
      <c r="C805" s="15" t="s">
        <v>265</v>
      </c>
      <c r="D805" s="16">
        <v>46111</v>
      </c>
      <c r="E805" s="17">
        <v>4144</v>
      </c>
      <c r="F805" s="18">
        <v>0.26</v>
      </c>
      <c r="G805" s="19">
        <f>Cereal[[#This Row],[N° BOLSAS]]*Cereal[[#This Row],[KG BOLSA]]</f>
        <v>1077.44</v>
      </c>
      <c r="H805" s="37">
        <v>100</v>
      </c>
      <c r="I805" s="14">
        <f>ROUNDDOWN(Cereal[[#This Row],[N° BOLSAS]]/Cereal[[#This Row],[CAP. SACOS]],0)</f>
        <v>41</v>
      </c>
      <c r="J805" s="14">
        <f>Cereal[[#This Row],[N° BOLSAS]]-Cereal[[#This Row],[N° SACOS]]*Cereal[[#This Row],[CAP. SACOS]]</f>
        <v>44</v>
      </c>
      <c r="K805" s="16">
        <v>46099</v>
      </c>
      <c r="L805" s="16">
        <v>46099</v>
      </c>
      <c r="M805" s="16">
        <v>46099</v>
      </c>
      <c r="N805" s="16" t="s">
        <v>279</v>
      </c>
    </row>
    <row r="806" spans="1:14" hidden="1" x14ac:dyDescent="0.25">
      <c r="A806" s="14" t="s">
        <v>263</v>
      </c>
      <c r="B806" s="14" t="s">
        <v>278</v>
      </c>
      <c r="C806" s="15" t="s">
        <v>267</v>
      </c>
      <c r="D806" s="16">
        <v>46111</v>
      </c>
      <c r="E806" s="17">
        <v>14477</v>
      </c>
      <c r="F806" s="18">
        <v>0.26</v>
      </c>
      <c r="G806" s="19">
        <f>Cereal[[#This Row],[N° BOLSAS]]*Cereal[[#This Row],[KG BOLSA]]</f>
        <v>3764.02</v>
      </c>
      <c r="H806" s="37">
        <v>100</v>
      </c>
      <c r="I806" s="14">
        <f>ROUNDDOWN(Cereal[[#This Row],[N° BOLSAS]]/Cereal[[#This Row],[CAP. SACOS]],0)</f>
        <v>144</v>
      </c>
      <c r="J806" s="14">
        <f>Cereal[[#This Row],[N° BOLSAS]]-Cereal[[#This Row],[N° SACOS]]*Cereal[[#This Row],[CAP. SACOS]]</f>
        <v>77</v>
      </c>
      <c r="K806" s="16">
        <v>46108</v>
      </c>
      <c r="L806" s="16">
        <v>46108</v>
      </c>
      <c r="M806" s="16">
        <v>46109</v>
      </c>
      <c r="N806" s="16" t="s">
        <v>284</v>
      </c>
    </row>
    <row r="807" spans="1:14" hidden="1" x14ac:dyDescent="0.25">
      <c r="A807" s="14" t="s">
        <v>263</v>
      </c>
      <c r="B807" s="14" t="s">
        <v>278</v>
      </c>
      <c r="C807" s="15" t="s">
        <v>267</v>
      </c>
      <c r="D807" s="16">
        <v>46139</v>
      </c>
      <c r="E807" s="17">
        <v>14477</v>
      </c>
      <c r="F807" s="18">
        <v>0.26</v>
      </c>
      <c r="G807" s="19">
        <f>Cereal[[#This Row],[N° BOLSAS]]*Cereal[[#This Row],[KG BOLSA]]</f>
        <v>3764.02</v>
      </c>
      <c r="H807" s="37">
        <v>100</v>
      </c>
      <c r="I807" s="14">
        <f>ROUNDDOWN(Cereal[[#This Row],[N° BOLSAS]]/Cereal[[#This Row],[CAP. SACOS]],0)</f>
        <v>144</v>
      </c>
      <c r="J807" s="14">
        <f>Cereal[[#This Row],[N° BOLSAS]]-Cereal[[#This Row],[N° SACOS]]*Cereal[[#This Row],[CAP. SACOS]]</f>
        <v>77</v>
      </c>
      <c r="K807" s="16">
        <v>46132</v>
      </c>
      <c r="L807" s="16">
        <v>46132</v>
      </c>
      <c r="M807" s="16">
        <v>46136</v>
      </c>
      <c r="N807" s="16" t="s">
        <v>284</v>
      </c>
    </row>
    <row r="808" spans="1:14" hidden="1" x14ac:dyDescent="0.25">
      <c r="A808" s="14" t="s">
        <v>263</v>
      </c>
      <c r="B808" s="14" t="s">
        <v>278</v>
      </c>
      <c r="C808" s="15" t="s">
        <v>265</v>
      </c>
      <c r="D808" s="16">
        <v>46139</v>
      </c>
      <c r="E808" s="17">
        <v>4144</v>
      </c>
      <c r="F808" s="18">
        <v>0.26</v>
      </c>
      <c r="G808" s="19">
        <f>Cereal[[#This Row],[N° BOLSAS]]*Cereal[[#This Row],[KG BOLSA]]</f>
        <v>1077.44</v>
      </c>
      <c r="H808" s="37">
        <v>100</v>
      </c>
      <c r="I808" s="14">
        <f>ROUNDDOWN(Cereal[[#This Row],[N° BOLSAS]]/Cereal[[#This Row],[CAP. SACOS]],0)</f>
        <v>41</v>
      </c>
      <c r="J808" s="14">
        <f>Cereal[[#This Row],[N° BOLSAS]]-Cereal[[#This Row],[N° SACOS]]*Cereal[[#This Row],[CAP. SACOS]]</f>
        <v>44</v>
      </c>
      <c r="K808" s="16">
        <v>46151</v>
      </c>
      <c r="L808" s="16">
        <v>46151</v>
      </c>
      <c r="M808" s="16">
        <v>46167</v>
      </c>
      <c r="N808" s="16" t="s">
        <v>284</v>
      </c>
    </row>
    <row r="809" spans="1:14" hidden="1" x14ac:dyDescent="0.25">
      <c r="A809" s="14" t="s">
        <v>269</v>
      </c>
      <c r="B809" s="14" t="s">
        <v>278</v>
      </c>
      <c r="C809" s="15" t="s">
        <v>270</v>
      </c>
      <c r="D809" s="16">
        <v>46142</v>
      </c>
      <c r="E809" s="17">
        <v>9800</v>
      </c>
      <c r="F809" s="18">
        <v>0.26</v>
      </c>
      <c r="G809" s="19">
        <f>Cereal[[#This Row],[N° BOLSAS]]*Cereal[[#This Row],[KG BOLSA]]</f>
        <v>2548</v>
      </c>
      <c r="H809" s="37">
        <v>100</v>
      </c>
      <c r="I809" s="14">
        <f>ROUNDDOWN(Cereal[[#This Row],[N° BOLSAS]]/Cereal[[#This Row],[CAP. SACOS]],0)</f>
        <v>98</v>
      </c>
      <c r="J809" s="14">
        <f>Cereal[[#This Row],[N° BOLSAS]]-Cereal[[#This Row],[N° SACOS]]*Cereal[[#This Row],[CAP. SACOS]]</f>
        <v>0</v>
      </c>
      <c r="K809" s="16">
        <v>46136</v>
      </c>
      <c r="L809" s="16">
        <v>46136</v>
      </c>
      <c r="M809" s="16">
        <v>46140</v>
      </c>
      <c r="N809" s="16" t="s">
        <v>284</v>
      </c>
    </row>
    <row r="810" spans="1:14" hidden="1" x14ac:dyDescent="0.25">
      <c r="A810" s="14" t="s">
        <v>273</v>
      </c>
      <c r="B810" s="14" t="s">
        <v>278</v>
      </c>
      <c r="C810" s="15" t="s">
        <v>270</v>
      </c>
      <c r="D810" s="16">
        <v>46142</v>
      </c>
      <c r="E810" s="17">
        <v>6650</v>
      </c>
      <c r="F810" s="18">
        <v>0.26</v>
      </c>
      <c r="G810" s="19">
        <f>Cereal[[#This Row],[N° BOLSAS]]*Cereal[[#This Row],[KG BOLSA]]</f>
        <v>1729</v>
      </c>
      <c r="H810" s="37">
        <v>100</v>
      </c>
      <c r="I810" s="14">
        <f>ROUNDDOWN(Cereal[[#This Row],[N° BOLSAS]]/Cereal[[#This Row],[CAP. SACOS]],0)</f>
        <v>66</v>
      </c>
      <c r="J810" s="14">
        <f>Cereal[[#This Row],[N° BOLSAS]]-Cereal[[#This Row],[N° SACOS]]*Cereal[[#This Row],[CAP. SACOS]]</f>
        <v>50</v>
      </c>
      <c r="K810" s="16">
        <v>46142</v>
      </c>
      <c r="L810" s="16">
        <v>46142</v>
      </c>
      <c r="M810" s="16">
        <v>46148</v>
      </c>
      <c r="N810" s="16" t="s">
        <v>279</v>
      </c>
    </row>
    <row r="811" spans="1:14" hidden="1" x14ac:dyDescent="0.25">
      <c r="A811" s="14" t="s">
        <v>269</v>
      </c>
      <c r="B811" s="14" t="s">
        <v>278</v>
      </c>
      <c r="C811" s="15" t="s">
        <v>270</v>
      </c>
      <c r="D811" s="16">
        <v>46179</v>
      </c>
      <c r="E811" s="17">
        <v>9450</v>
      </c>
      <c r="F811" s="18">
        <v>0.26</v>
      </c>
      <c r="G811" s="19">
        <f>Cereal[[#This Row],[N° BOLSAS]]*Cereal[[#This Row],[KG BOLSA]]</f>
        <v>2457</v>
      </c>
      <c r="H811" s="37">
        <v>100</v>
      </c>
      <c r="I811" s="14">
        <f>ROUNDDOWN(Cereal[[#This Row],[N° BOLSAS]]/Cereal[[#This Row],[CAP. SACOS]],0)</f>
        <v>94</v>
      </c>
      <c r="J811" s="14">
        <f>Cereal[[#This Row],[N° BOLSAS]]-Cereal[[#This Row],[N° SACOS]]*Cereal[[#This Row],[CAP. SACOS]]</f>
        <v>50</v>
      </c>
      <c r="K811" s="16">
        <v>46182</v>
      </c>
      <c r="L811" s="16">
        <v>46182</v>
      </c>
      <c r="M811" s="16">
        <v>46182</v>
      </c>
      <c r="N811" s="16" t="s">
        <v>284</v>
      </c>
    </row>
    <row r="812" spans="1:14" hidden="1" x14ac:dyDescent="0.25">
      <c r="A812" s="14" t="s">
        <v>263</v>
      </c>
      <c r="B812" s="14" t="s">
        <v>278</v>
      </c>
      <c r="C812" s="15" t="s">
        <v>265</v>
      </c>
      <c r="D812" s="16">
        <v>46192</v>
      </c>
      <c r="E812" s="17">
        <v>4282</v>
      </c>
      <c r="F812" s="18">
        <v>0.26</v>
      </c>
      <c r="G812" s="19">
        <f>Cereal[[#This Row],[N° BOLSAS]]*Cereal[[#This Row],[KG BOLSA]]</f>
        <v>1113.32</v>
      </c>
      <c r="H812" s="37">
        <v>100</v>
      </c>
      <c r="I812" s="14">
        <f>ROUNDDOWN(Cereal[[#This Row],[N° BOLSAS]]/Cereal[[#This Row],[CAP. SACOS]],0)</f>
        <v>42</v>
      </c>
      <c r="J812" s="14">
        <f>Cereal[[#This Row],[N° BOLSAS]]-Cereal[[#This Row],[N° SACOS]]*Cereal[[#This Row],[CAP. SACOS]]</f>
        <v>82</v>
      </c>
      <c r="K812" s="16">
        <v>46185</v>
      </c>
      <c r="L812" s="16">
        <v>46185</v>
      </c>
      <c r="M812" s="16">
        <v>46209</v>
      </c>
      <c r="N812" s="16" t="s">
        <v>285</v>
      </c>
    </row>
    <row r="813" spans="1:14" hidden="1" x14ac:dyDescent="0.25">
      <c r="A813" s="14" t="s">
        <v>263</v>
      </c>
      <c r="B813" s="14" t="s">
        <v>278</v>
      </c>
      <c r="C813" s="15" t="s">
        <v>267</v>
      </c>
      <c r="D813" s="16">
        <v>46192</v>
      </c>
      <c r="E813" s="17">
        <v>10109</v>
      </c>
      <c r="F813" s="18">
        <v>0.26</v>
      </c>
      <c r="G813" s="19">
        <f>Cereal[[#This Row],[N° BOLSAS]]*Cereal[[#This Row],[KG BOLSA]]</f>
        <v>2628.34</v>
      </c>
      <c r="H813" s="37">
        <v>100</v>
      </c>
      <c r="I813" s="14">
        <f>ROUNDDOWN(Cereal[[#This Row],[N° BOLSAS]]/Cereal[[#This Row],[CAP. SACOS]],0)</f>
        <v>101</v>
      </c>
      <c r="J813" s="14">
        <f>Cereal[[#This Row],[N° BOLSAS]]-Cereal[[#This Row],[N° SACOS]]*Cereal[[#This Row],[CAP. SACOS]]</f>
        <v>9</v>
      </c>
      <c r="K813" s="16">
        <v>46185</v>
      </c>
      <c r="L813" s="16">
        <v>46185</v>
      </c>
      <c r="M813" s="16">
        <v>46192</v>
      </c>
      <c r="N813" s="16" t="s">
        <v>285</v>
      </c>
    </row>
    <row r="814" spans="1:14" hidden="1" x14ac:dyDescent="0.25">
      <c r="A814" s="14" t="s">
        <v>269</v>
      </c>
      <c r="B814" s="14" t="s">
        <v>278</v>
      </c>
      <c r="C814" s="15" t="s">
        <v>275</v>
      </c>
      <c r="D814" s="16">
        <v>46223</v>
      </c>
      <c r="E814" s="17">
        <v>9276</v>
      </c>
      <c r="F814" s="18">
        <v>0.26</v>
      </c>
      <c r="G814" s="19">
        <f>Cereal[[#This Row],[N° BOLSAS]]*Cereal[[#This Row],[KG BOLSA]]</f>
        <v>2411.7600000000002</v>
      </c>
      <c r="H814" s="37">
        <v>100</v>
      </c>
      <c r="I814" s="14">
        <f>ROUNDDOWN(Cereal[[#This Row],[N° BOLSAS]]/Cereal[[#This Row],[CAP. SACOS]],0)</f>
        <v>92</v>
      </c>
      <c r="J814" s="14">
        <f>Cereal[[#This Row],[N° BOLSAS]]-Cereal[[#This Row],[N° SACOS]]*Cereal[[#This Row],[CAP. SACOS]]</f>
        <v>76</v>
      </c>
      <c r="K814" s="16">
        <v>46228</v>
      </c>
      <c r="L814" s="16">
        <v>46228</v>
      </c>
      <c r="M814" s="16">
        <v>46232</v>
      </c>
      <c r="N814" s="16" t="s">
        <v>285</v>
      </c>
    </row>
    <row r="815" spans="1:14" hidden="1" x14ac:dyDescent="0.25">
      <c r="A815" s="14" t="s">
        <v>263</v>
      </c>
      <c r="B815" s="14" t="s">
        <v>278</v>
      </c>
      <c r="C815" s="15" t="s">
        <v>265</v>
      </c>
      <c r="D815" s="16">
        <v>46244</v>
      </c>
      <c r="E815" s="17">
        <v>10048</v>
      </c>
      <c r="F815" s="18">
        <v>0.26</v>
      </c>
      <c r="G815" s="19">
        <f>Cereal[[#This Row],[N° BOLSAS]]*Cereal[[#This Row],[KG BOLSA]]</f>
        <v>2612.48</v>
      </c>
      <c r="H815" s="37">
        <v>100</v>
      </c>
      <c r="I815" s="14">
        <f>ROUNDDOWN(Cereal[[#This Row],[N° BOLSAS]]/Cereal[[#This Row],[CAP. SACOS]],0)</f>
        <v>100</v>
      </c>
      <c r="J815" s="14">
        <f>Cereal[[#This Row],[N° BOLSAS]]-Cereal[[#This Row],[N° SACOS]]*Cereal[[#This Row],[CAP. SACOS]]</f>
        <v>48</v>
      </c>
      <c r="K815" s="16">
        <v>46238</v>
      </c>
      <c r="L815" s="16">
        <v>46238</v>
      </c>
      <c r="M815" s="16">
        <v>46252</v>
      </c>
      <c r="N815" s="16" t="s">
        <v>285</v>
      </c>
    </row>
    <row r="816" spans="1:14" hidden="1" x14ac:dyDescent="0.25">
      <c r="A816" s="14" t="s">
        <v>263</v>
      </c>
      <c r="B816" s="14" t="s">
        <v>278</v>
      </c>
      <c r="C816" s="15" t="s">
        <v>265</v>
      </c>
      <c r="D816" s="16">
        <v>46244</v>
      </c>
      <c r="E816" s="17">
        <v>4285</v>
      </c>
      <c r="F816" s="18">
        <v>0.26</v>
      </c>
      <c r="G816" s="19">
        <f>Cereal[[#This Row],[N° BOLSAS]]*Cereal[[#This Row],[KG BOLSA]]</f>
        <v>1114.1000000000001</v>
      </c>
      <c r="H816" s="37">
        <v>100</v>
      </c>
      <c r="I816" s="14">
        <f>ROUNDDOWN(Cereal[[#This Row],[N° BOLSAS]]/Cereal[[#This Row],[CAP. SACOS]],0)</f>
        <v>42</v>
      </c>
      <c r="J816" s="14">
        <f>Cereal[[#This Row],[N° BOLSAS]]-Cereal[[#This Row],[N° SACOS]]*Cereal[[#This Row],[CAP. SACOS]]</f>
        <v>85</v>
      </c>
      <c r="K816" s="16">
        <v>46238</v>
      </c>
      <c r="L816" s="16">
        <v>46238</v>
      </c>
      <c r="M816" s="16">
        <v>46252</v>
      </c>
      <c r="N816" s="16" t="s">
        <v>285</v>
      </c>
    </row>
    <row r="817" spans="1:14" hidden="1" x14ac:dyDescent="0.25">
      <c r="A817" s="14" t="s">
        <v>263</v>
      </c>
      <c r="B817" s="14" t="s">
        <v>278</v>
      </c>
      <c r="C817" s="15" t="s">
        <v>267</v>
      </c>
      <c r="D817" s="16">
        <v>46295</v>
      </c>
      <c r="E817" s="17">
        <v>8043</v>
      </c>
      <c r="F817" s="18">
        <v>0.26</v>
      </c>
      <c r="G817" s="19">
        <f>Cereal[[#This Row],[N° BOLSAS]]*Cereal[[#This Row],[KG BOLSA]]</f>
        <v>2091.1800000000003</v>
      </c>
      <c r="H817" s="37">
        <v>100</v>
      </c>
      <c r="I817" s="14">
        <f>ROUNDDOWN(Cereal[[#This Row],[N° BOLSAS]]/Cereal[[#This Row],[CAP. SACOS]],0)</f>
        <v>80</v>
      </c>
      <c r="J817" s="14">
        <f>Cereal[[#This Row],[N° BOLSAS]]-Cereal[[#This Row],[N° SACOS]]*Cereal[[#This Row],[CAP. SACOS]]</f>
        <v>43</v>
      </c>
      <c r="K817" s="16"/>
      <c r="L817" s="16"/>
      <c r="M817" s="16"/>
      <c r="N817" s="16" t="s">
        <v>285</v>
      </c>
    </row>
    <row r="818" spans="1:14" hidden="1" x14ac:dyDescent="0.25">
      <c r="A818" s="14" t="s">
        <v>263</v>
      </c>
      <c r="B818" s="14" t="s">
        <v>278</v>
      </c>
      <c r="C818" s="15" t="s">
        <v>277</v>
      </c>
      <c r="D818" s="16">
        <v>46295</v>
      </c>
      <c r="E818" s="17">
        <v>6917</v>
      </c>
      <c r="F818" s="18">
        <v>0.26</v>
      </c>
      <c r="G818" s="19">
        <f>Cereal[[#This Row],[N° BOLSAS]]*Cereal[[#This Row],[KG BOLSA]]</f>
        <v>1798.42</v>
      </c>
      <c r="H818" s="37">
        <v>100</v>
      </c>
      <c r="I818" s="14">
        <f>ROUNDDOWN(Cereal[[#This Row],[N° BOLSAS]]/Cereal[[#This Row],[CAP. SACOS]],0)</f>
        <v>69</v>
      </c>
      <c r="J818" s="14">
        <f>Cereal[[#This Row],[N° BOLSAS]]-Cereal[[#This Row],[N° SACOS]]*Cereal[[#This Row],[CAP. SACOS]]</f>
        <v>17</v>
      </c>
      <c r="K818" s="16"/>
      <c r="L818" s="16"/>
      <c r="M818" s="16"/>
      <c r="N818" s="16" t="s">
        <v>285</v>
      </c>
    </row>
    <row r="819" spans="1:14" hidden="1" x14ac:dyDescent="0.25">
      <c r="A819" s="14" t="s">
        <v>14</v>
      </c>
      <c r="B819" s="14" t="s">
        <v>286</v>
      </c>
      <c r="C819" s="15" t="s">
        <v>16</v>
      </c>
      <c r="D819" s="16">
        <v>46012</v>
      </c>
      <c r="E819" s="17">
        <v>1891</v>
      </c>
      <c r="F819" s="18">
        <v>1.3560000000000001</v>
      </c>
      <c r="G819" s="19">
        <f>Cereal[[#This Row],[N° BOLSAS]]*Cereal[[#This Row],[KG BOLSA]]</f>
        <v>2564.1960000000004</v>
      </c>
      <c r="H819" s="37">
        <v>30</v>
      </c>
      <c r="I819" s="14">
        <f>ROUNDDOWN(Cereal[[#This Row],[N° BOLSAS]]/Cereal[[#This Row],[CAP. SACOS]],0)</f>
        <v>63</v>
      </c>
      <c r="J819" s="14">
        <f>Cereal[[#This Row],[N° BOLSAS]]-Cereal[[#This Row],[N° SACOS]]*Cereal[[#This Row],[CAP. SACOS]]</f>
        <v>1</v>
      </c>
      <c r="K819" s="16">
        <v>46008</v>
      </c>
      <c r="L819" s="16">
        <v>46008</v>
      </c>
      <c r="M819" s="16">
        <v>46020</v>
      </c>
      <c r="N819" s="16" t="s">
        <v>287</v>
      </c>
    </row>
    <row r="820" spans="1:14" hidden="1" x14ac:dyDescent="0.25">
      <c r="A820" s="14" t="s">
        <v>14</v>
      </c>
      <c r="B820" s="14" t="s">
        <v>286</v>
      </c>
      <c r="C820" s="15" t="s">
        <v>18</v>
      </c>
      <c r="D820" s="16">
        <v>46043</v>
      </c>
      <c r="E820" s="17">
        <v>1891</v>
      </c>
      <c r="F820" s="18">
        <v>1.3560000000000001</v>
      </c>
      <c r="G820" s="19">
        <f>Cereal[[#This Row],[N° BOLSAS]]*Cereal[[#This Row],[KG BOLSA]]</f>
        <v>2564.1960000000004</v>
      </c>
      <c r="H820" s="37">
        <v>30</v>
      </c>
      <c r="I820" s="14">
        <f>ROUNDDOWN(Cereal[[#This Row],[N° BOLSAS]]/Cereal[[#This Row],[CAP. SACOS]],0)</f>
        <v>63</v>
      </c>
      <c r="J820" s="14">
        <f>Cereal[[#This Row],[N° BOLSAS]]-Cereal[[#This Row],[N° SACOS]]*Cereal[[#This Row],[CAP. SACOS]]</f>
        <v>1</v>
      </c>
      <c r="K820" s="16">
        <v>46032</v>
      </c>
      <c r="L820" s="16">
        <v>46032</v>
      </c>
      <c r="M820" s="16">
        <v>46033</v>
      </c>
      <c r="N820" s="16" t="s">
        <v>287</v>
      </c>
    </row>
    <row r="821" spans="1:14" hidden="1" x14ac:dyDescent="0.25">
      <c r="A821" s="14" t="s">
        <v>14</v>
      </c>
      <c r="B821" s="14" t="s">
        <v>286</v>
      </c>
      <c r="C821" s="15" t="s">
        <v>19</v>
      </c>
      <c r="D821" s="16">
        <v>46074</v>
      </c>
      <c r="E821" s="17">
        <v>1891</v>
      </c>
      <c r="F821" s="18">
        <v>1.3560000000000001</v>
      </c>
      <c r="G821" s="19">
        <f>Cereal[[#This Row],[N° BOLSAS]]*Cereal[[#This Row],[KG BOLSA]]</f>
        <v>2564.1960000000004</v>
      </c>
      <c r="H821" s="37">
        <v>30</v>
      </c>
      <c r="I821" s="14">
        <f>ROUNDDOWN(Cereal[[#This Row],[N° BOLSAS]]/Cereal[[#This Row],[CAP. SACOS]],0)</f>
        <v>63</v>
      </c>
      <c r="J821" s="14">
        <f>Cereal[[#This Row],[N° BOLSAS]]-Cereal[[#This Row],[N° SACOS]]*Cereal[[#This Row],[CAP. SACOS]]</f>
        <v>1</v>
      </c>
      <c r="K821" s="16">
        <v>46064</v>
      </c>
      <c r="L821" s="16">
        <v>46064</v>
      </c>
      <c r="M821" s="16">
        <v>46065</v>
      </c>
      <c r="N821" s="16" t="s">
        <v>287</v>
      </c>
    </row>
    <row r="822" spans="1:14" hidden="1" x14ac:dyDescent="0.25">
      <c r="A822" s="14" t="s">
        <v>14</v>
      </c>
      <c r="B822" s="14" t="s">
        <v>286</v>
      </c>
      <c r="C822" s="15" t="s">
        <v>20</v>
      </c>
      <c r="D822" s="16">
        <v>46142</v>
      </c>
      <c r="E822" s="17">
        <v>1891</v>
      </c>
      <c r="F822" s="18">
        <v>1.3560000000000001</v>
      </c>
      <c r="G822" s="19">
        <f>Cereal[[#This Row],[N° BOLSAS]]*Cereal[[#This Row],[KG BOLSA]]</f>
        <v>2564.1960000000004</v>
      </c>
      <c r="H822" s="37">
        <v>30</v>
      </c>
      <c r="I822" s="14">
        <f>ROUNDDOWN(Cereal[[#This Row],[N° BOLSAS]]/Cereal[[#This Row],[CAP. SACOS]],0)</f>
        <v>63</v>
      </c>
      <c r="J822" s="14">
        <f>Cereal[[#This Row],[N° BOLSAS]]-Cereal[[#This Row],[N° SACOS]]*Cereal[[#This Row],[CAP. SACOS]]</f>
        <v>1</v>
      </c>
      <c r="K822" s="16">
        <v>46126</v>
      </c>
      <c r="L822" s="16">
        <v>46126</v>
      </c>
      <c r="M822" s="16">
        <v>46140</v>
      </c>
      <c r="N822" s="16" t="s">
        <v>287</v>
      </c>
    </row>
    <row r="823" spans="1:14" hidden="1" x14ac:dyDescent="0.25">
      <c r="A823" s="14" t="s">
        <v>14</v>
      </c>
      <c r="B823" s="14" t="s">
        <v>286</v>
      </c>
      <c r="C823" s="15" t="s">
        <v>21</v>
      </c>
      <c r="D823" s="16">
        <v>46142</v>
      </c>
      <c r="E823" s="17">
        <v>1891</v>
      </c>
      <c r="F823" s="18">
        <v>1.3560000000000001</v>
      </c>
      <c r="G823" s="19">
        <f>Cereal[[#This Row],[N° BOLSAS]]*Cereal[[#This Row],[KG BOLSA]]</f>
        <v>2564.1960000000004</v>
      </c>
      <c r="H823" s="37">
        <v>30</v>
      </c>
      <c r="I823" s="14">
        <f>ROUNDDOWN(Cereal[[#This Row],[N° BOLSAS]]/Cereal[[#This Row],[CAP. SACOS]],0)</f>
        <v>63</v>
      </c>
      <c r="J823" s="14">
        <f>Cereal[[#This Row],[N° BOLSAS]]-Cereal[[#This Row],[N° SACOS]]*Cereal[[#This Row],[CAP. SACOS]]</f>
        <v>1</v>
      </c>
      <c r="K823" s="16">
        <v>46127</v>
      </c>
      <c r="L823" s="16">
        <v>46127</v>
      </c>
      <c r="M823" s="16">
        <v>46140</v>
      </c>
      <c r="N823" s="16" t="s">
        <v>287</v>
      </c>
    </row>
    <row r="824" spans="1:14" hidden="1" x14ac:dyDescent="0.25">
      <c r="A824" s="14" t="s">
        <v>14</v>
      </c>
      <c r="B824" s="14" t="s">
        <v>286</v>
      </c>
      <c r="C824" s="15" t="s">
        <v>22</v>
      </c>
      <c r="D824" s="16">
        <v>46142</v>
      </c>
      <c r="E824" s="17">
        <v>1891</v>
      </c>
      <c r="F824" s="18">
        <v>1.3560000000000001</v>
      </c>
      <c r="G824" s="19">
        <f>Cereal[[#This Row],[N° BOLSAS]]*Cereal[[#This Row],[KG BOLSA]]</f>
        <v>2564.1960000000004</v>
      </c>
      <c r="H824" s="37">
        <v>30</v>
      </c>
      <c r="I824" s="14">
        <f>ROUNDDOWN(Cereal[[#This Row],[N° BOLSAS]]/Cereal[[#This Row],[CAP. SACOS]],0)</f>
        <v>63</v>
      </c>
      <c r="J824" s="14">
        <f>Cereal[[#This Row],[N° BOLSAS]]-Cereal[[#This Row],[N° SACOS]]*Cereal[[#This Row],[CAP. SACOS]]</f>
        <v>1</v>
      </c>
      <c r="K824" s="16">
        <v>46140</v>
      </c>
      <c r="L824" s="16">
        <v>46140</v>
      </c>
      <c r="M824" s="16">
        <v>46140</v>
      </c>
      <c r="N824" s="16" t="s">
        <v>287</v>
      </c>
    </row>
    <row r="825" spans="1:14" hidden="1" x14ac:dyDescent="0.25">
      <c r="A825" s="14" t="s">
        <v>14</v>
      </c>
      <c r="B825" s="14" t="s">
        <v>286</v>
      </c>
      <c r="C825" s="15" t="s">
        <v>23</v>
      </c>
      <c r="D825" s="16">
        <v>46194</v>
      </c>
      <c r="E825" s="17">
        <v>1891</v>
      </c>
      <c r="F825" s="18">
        <v>1.3560000000000001</v>
      </c>
      <c r="G825" s="19">
        <f>Cereal[[#This Row],[N° BOLSAS]]*Cereal[[#This Row],[KG BOLSA]]</f>
        <v>2564.1960000000004</v>
      </c>
      <c r="H825" s="37">
        <v>30</v>
      </c>
      <c r="I825" s="14">
        <f>ROUNDDOWN(Cereal[[#This Row],[N° BOLSAS]]/Cereal[[#This Row],[CAP. SACOS]],0)</f>
        <v>63</v>
      </c>
      <c r="J825" s="14">
        <f>Cereal[[#This Row],[N° BOLSAS]]-Cereal[[#This Row],[N° SACOS]]*Cereal[[#This Row],[CAP. SACOS]]</f>
        <v>1</v>
      </c>
      <c r="K825" s="16">
        <v>46218</v>
      </c>
      <c r="L825" s="16">
        <v>46218</v>
      </c>
      <c r="M825" s="16">
        <v>46226</v>
      </c>
      <c r="N825" s="16" t="s">
        <v>287</v>
      </c>
    </row>
    <row r="826" spans="1:14" hidden="1" x14ac:dyDescent="0.25">
      <c r="A826" s="14" t="s">
        <v>14</v>
      </c>
      <c r="B826" s="14" t="s">
        <v>286</v>
      </c>
      <c r="C826" s="15" t="s">
        <v>24</v>
      </c>
      <c r="D826" s="16">
        <v>46194</v>
      </c>
      <c r="E826" s="17">
        <v>1891</v>
      </c>
      <c r="F826" s="18">
        <v>1.3560000000000001</v>
      </c>
      <c r="G826" s="19">
        <f>Cereal[[#This Row],[N° BOLSAS]]*Cereal[[#This Row],[KG BOLSA]]</f>
        <v>2564.1960000000004</v>
      </c>
      <c r="H826" s="37">
        <v>30</v>
      </c>
      <c r="I826" s="14">
        <f>ROUNDDOWN(Cereal[[#This Row],[N° BOLSAS]]/Cereal[[#This Row],[CAP. SACOS]],0)</f>
        <v>63</v>
      </c>
      <c r="J826" s="14">
        <f>Cereal[[#This Row],[N° BOLSAS]]-Cereal[[#This Row],[N° SACOS]]*Cereal[[#This Row],[CAP. SACOS]]</f>
        <v>1</v>
      </c>
      <c r="K826" s="16">
        <v>46218</v>
      </c>
      <c r="L826" s="16">
        <v>46218</v>
      </c>
      <c r="M826" s="16">
        <v>46226</v>
      </c>
      <c r="N826" s="16" t="s">
        <v>287</v>
      </c>
    </row>
    <row r="827" spans="1:14" hidden="1" x14ac:dyDescent="0.25">
      <c r="A827" s="14" t="s">
        <v>14</v>
      </c>
      <c r="B827" s="14" t="s">
        <v>286</v>
      </c>
      <c r="C827" s="15" t="s">
        <v>25</v>
      </c>
      <c r="D827" s="16">
        <v>46194</v>
      </c>
      <c r="E827" s="17">
        <v>1891</v>
      </c>
      <c r="F827" s="18">
        <v>1.3560000000000001</v>
      </c>
      <c r="G827" s="19">
        <f>Cereal[[#This Row],[N° BOLSAS]]*Cereal[[#This Row],[KG BOLSA]]</f>
        <v>2564.1960000000004</v>
      </c>
      <c r="H827" s="37">
        <v>30</v>
      </c>
      <c r="I827" s="14">
        <f>ROUNDDOWN(Cereal[[#This Row],[N° BOLSAS]]/Cereal[[#This Row],[CAP. SACOS]],0)</f>
        <v>63</v>
      </c>
      <c r="J827" s="14">
        <f>Cereal[[#This Row],[N° BOLSAS]]-Cereal[[#This Row],[N° SACOS]]*Cereal[[#This Row],[CAP. SACOS]]</f>
        <v>1</v>
      </c>
      <c r="K827" s="16">
        <v>46218</v>
      </c>
      <c r="L827" s="16">
        <v>46218</v>
      </c>
      <c r="M827" s="16">
        <v>46226</v>
      </c>
      <c r="N827" s="16" t="s">
        <v>287</v>
      </c>
    </row>
    <row r="828" spans="1:14" hidden="1" x14ac:dyDescent="0.25">
      <c r="A828" s="14" t="s">
        <v>14</v>
      </c>
      <c r="B828" s="14" t="s">
        <v>286</v>
      </c>
      <c r="C828" s="15" t="s">
        <v>26</v>
      </c>
      <c r="D828" s="16">
        <v>46286</v>
      </c>
      <c r="E828" s="17">
        <v>1891</v>
      </c>
      <c r="F828" s="18">
        <v>1.3560000000000001</v>
      </c>
      <c r="G828" s="19">
        <f>Cereal[[#This Row],[N° BOLSAS]]*Cereal[[#This Row],[KG BOLSA]]</f>
        <v>2564.1960000000004</v>
      </c>
      <c r="H828" s="37">
        <v>30</v>
      </c>
      <c r="I828" s="14">
        <f>ROUNDDOWN(Cereal[[#This Row],[N° BOLSAS]]/Cereal[[#This Row],[CAP. SACOS]],0)</f>
        <v>63</v>
      </c>
      <c r="J828" s="14">
        <f>Cereal[[#This Row],[N° BOLSAS]]-Cereal[[#This Row],[N° SACOS]]*Cereal[[#This Row],[CAP. SACOS]]</f>
        <v>1</v>
      </c>
      <c r="K828" s="16"/>
      <c r="L828" s="16"/>
      <c r="M828" s="16"/>
      <c r="N828" s="16" t="s">
        <v>287</v>
      </c>
    </row>
    <row r="829" spans="1:14" hidden="1" x14ac:dyDescent="0.25">
      <c r="A829" s="14" t="s">
        <v>14</v>
      </c>
      <c r="B829" s="14" t="s">
        <v>286</v>
      </c>
      <c r="C829" s="15" t="s">
        <v>27</v>
      </c>
      <c r="D829" s="16">
        <v>46286</v>
      </c>
      <c r="E829" s="17">
        <v>1891</v>
      </c>
      <c r="F829" s="18">
        <v>1.3560000000000001</v>
      </c>
      <c r="G829" s="19">
        <f>Cereal[[#This Row],[N° BOLSAS]]*Cereal[[#This Row],[KG BOLSA]]</f>
        <v>2564.1960000000004</v>
      </c>
      <c r="H829" s="37">
        <v>30</v>
      </c>
      <c r="I829" s="14">
        <f>ROUNDDOWN(Cereal[[#This Row],[N° BOLSAS]]/Cereal[[#This Row],[CAP. SACOS]],0)</f>
        <v>63</v>
      </c>
      <c r="J829" s="14">
        <f>Cereal[[#This Row],[N° BOLSAS]]-Cereal[[#This Row],[N° SACOS]]*Cereal[[#This Row],[CAP. SACOS]]</f>
        <v>1</v>
      </c>
      <c r="K829" s="16"/>
      <c r="L829" s="16"/>
      <c r="M829" s="16"/>
      <c r="N829" s="16" t="s">
        <v>287</v>
      </c>
    </row>
    <row r="830" spans="1:14" hidden="1" x14ac:dyDescent="0.25">
      <c r="A830" s="14" t="s">
        <v>14</v>
      </c>
      <c r="B830" s="14" t="s">
        <v>286</v>
      </c>
      <c r="C830" s="15" t="s">
        <v>28</v>
      </c>
      <c r="D830" s="16">
        <v>46286</v>
      </c>
      <c r="E830" s="17">
        <v>1891</v>
      </c>
      <c r="F830" s="18">
        <v>1.3560000000000001</v>
      </c>
      <c r="G830" s="19">
        <f>Cereal[[#This Row],[N° BOLSAS]]*Cereal[[#This Row],[KG BOLSA]]</f>
        <v>2564.1960000000004</v>
      </c>
      <c r="H830" s="37">
        <v>30</v>
      </c>
      <c r="I830" s="14">
        <f>ROUNDDOWN(Cereal[[#This Row],[N° BOLSAS]]/Cereal[[#This Row],[CAP. SACOS]],0)</f>
        <v>63</v>
      </c>
      <c r="J830" s="14">
        <f>Cereal[[#This Row],[N° BOLSAS]]-Cereal[[#This Row],[N° SACOS]]*Cereal[[#This Row],[CAP. SACOS]]</f>
        <v>1</v>
      </c>
      <c r="K830" s="16"/>
      <c r="L830" s="16"/>
      <c r="M830" s="16"/>
      <c r="N830" s="16" t="s">
        <v>287</v>
      </c>
    </row>
    <row r="831" spans="1:14" hidden="1" x14ac:dyDescent="0.25">
      <c r="A831" s="14" t="s">
        <v>14</v>
      </c>
      <c r="B831" s="14" t="s">
        <v>288</v>
      </c>
      <c r="C831" s="15" t="s">
        <v>16</v>
      </c>
      <c r="D831" s="16">
        <v>46037</v>
      </c>
      <c r="E831" s="17">
        <v>1000</v>
      </c>
      <c r="F831" s="18">
        <v>1.355</v>
      </c>
      <c r="G831" s="19">
        <f>Cereal[[#This Row],[N° BOLSAS]]*Cereal[[#This Row],[KG BOLSA]]</f>
        <v>1355</v>
      </c>
      <c r="H831" s="37">
        <v>30</v>
      </c>
      <c r="I831" s="14">
        <f>ROUNDDOWN(Cereal[[#This Row],[N° BOLSAS]]/Cereal[[#This Row],[CAP. SACOS]],0)</f>
        <v>33</v>
      </c>
      <c r="J831" s="14">
        <f>Cereal[[#This Row],[N° BOLSAS]]-Cereal[[#This Row],[N° SACOS]]*Cereal[[#This Row],[CAP. SACOS]]</f>
        <v>10</v>
      </c>
      <c r="K831" s="16">
        <v>46034</v>
      </c>
      <c r="L831" s="16">
        <v>46034</v>
      </c>
      <c r="M831" s="16">
        <v>46034</v>
      </c>
      <c r="N831" s="16" t="s">
        <v>177</v>
      </c>
    </row>
    <row r="832" spans="1:14" hidden="1" x14ac:dyDescent="0.25">
      <c r="A832" s="14" t="s">
        <v>14</v>
      </c>
      <c r="B832" s="14" t="s">
        <v>288</v>
      </c>
      <c r="C832" s="15" t="s">
        <v>18</v>
      </c>
      <c r="D832" s="16">
        <v>46037</v>
      </c>
      <c r="E832" s="17">
        <v>1000</v>
      </c>
      <c r="F832" s="18">
        <v>1.355</v>
      </c>
      <c r="G832" s="19">
        <f>Cereal[[#This Row],[N° BOLSAS]]*Cereal[[#This Row],[KG BOLSA]]</f>
        <v>1355</v>
      </c>
      <c r="H832" s="37">
        <v>30</v>
      </c>
      <c r="I832" s="14">
        <f>ROUNDDOWN(Cereal[[#This Row],[N° BOLSAS]]/Cereal[[#This Row],[CAP. SACOS]],0)</f>
        <v>33</v>
      </c>
      <c r="J832" s="14">
        <f>Cereal[[#This Row],[N° BOLSAS]]-Cereal[[#This Row],[N° SACOS]]*Cereal[[#This Row],[CAP. SACOS]]</f>
        <v>10</v>
      </c>
      <c r="K832" s="16">
        <v>46034</v>
      </c>
      <c r="L832" s="16">
        <v>46034</v>
      </c>
      <c r="M832" s="16">
        <v>46034</v>
      </c>
      <c r="N832" s="16" t="s">
        <v>177</v>
      </c>
    </row>
    <row r="833" spans="1:14" hidden="1" x14ac:dyDescent="0.25">
      <c r="A833" s="14" t="s">
        <v>14</v>
      </c>
      <c r="B833" s="14" t="s">
        <v>288</v>
      </c>
      <c r="C833" s="15" t="s">
        <v>19</v>
      </c>
      <c r="D833" s="16">
        <v>46068</v>
      </c>
      <c r="E833" s="17">
        <v>1000</v>
      </c>
      <c r="F833" s="18">
        <v>1.355</v>
      </c>
      <c r="G833" s="19">
        <f>Cereal[[#This Row],[N° BOLSAS]]*Cereal[[#This Row],[KG BOLSA]]</f>
        <v>1355</v>
      </c>
      <c r="H833" s="37">
        <v>30</v>
      </c>
      <c r="I833" s="14">
        <f>ROUNDDOWN(Cereal[[#This Row],[N° BOLSAS]]/Cereal[[#This Row],[CAP. SACOS]],0)</f>
        <v>33</v>
      </c>
      <c r="J833" s="14">
        <f>Cereal[[#This Row],[N° BOLSAS]]-Cereal[[#This Row],[N° SACOS]]*Cereal[[#This Row],[CAP. SACOS]]</f>
        <v>10</v>
      </c>
      <c r="K833" s="16">
        <v>46065</v>
      </c>
      <c r="L833" s="16">
        <v>46065</v>
      </c>
      <c r="M833" s="16">
        <v>46065</v>
      </c>
      <c r="N833" s="16" t="s">
        <v>177</v>
      </c>
    </row>
    <row r="834" spans="1:14" hidden="1" x14ac:dyDescent="0.25">
      <c r="A834" s="14" t="s">
        <v>14</v>
      </c>
      <c r="B834" s="14" t="s">
        <v>288</v>
      </c>
      <c r="C834" s="15" t="s">
        <v>20</v>
      </c>
      <c r="D834" s="16">
        <v>46096</v>
      </c>
      <c r="E834" s="17">
        <v>1000</v>
      </c>
      <c r="F834" s="18">
        <v>1.355</v>
      </c>
      <c r="G834" s="19">
        <f>Cereal[[#This Row],[N° BOLSAS]]*Cereal[[#This Row],[KG BOLSA]]</f>
        <v>1355</v>
      </c>
      <c r="H834" s="37">
        <v>30</v>
      </c>
      <c r="I834" s="14">
        <f>ROUNDDOWN(Cereal[[#This Row],[N° BOLSAS]]/Cereal[[#This Row],[CAP. SACOS]],0)</f>
        <v>33</v>
      </c>
      <c r="J834" s="14">
        <f>Cereal[[#This Row],[N° BOLSAS]]-Cereal[[#This Row],[N° SACOS]]*Cereal[[#This Row],[CAP. SACOS]]</f>
        <v>10</v>
      </c>
      <c r="K834" s="16">
        <v>46111</v>
      </c>
      <c r="L834" s="16">
        <v>46111</v>
      </c>
      <c r="M834" s="16">
        <v>46111</v>
      </c>
      <c r="N834" s="16" t="s">
        <v>177</v>
      </c>
    </row>
    <row r="835" spans="1:14" hidden="1" x14ac:dyDescent="0.25">
      <c r="A835" s="14" t="s">
        <v>14</v>
      </c>
      <c r="B835" s="14" t="s">
        <v>288</v>
      </c>
      <c r="C835" s="15" t="s">
        <v>21</v>
      </c>
      <c r="D835" s="16">
        <v>46127</v>
      </c>
      <c r="E835" s="17">
        <v>1000</v>
      </c>
      <c r="F835" s="18">
        <v>1.355</v>
      </c>
      <c r="G835" s="19">
        <f>Cereal[[#This Row],[N° BOLSAS]]*Cereal[[#This Row],[KG BOLSA]]</f>
        <v>1355</v>
      </c>
      <c r="H835" s="37">
        <v>30</v>
      </c>
      <c r="I835" s="14">
        <f>ROUNDDOWN(Cereal[[#This Row],[N° BOLSAS]]/Cereal[[#This Row],[CAP. SACOS]],0)</f>
        <v>33</v>
      </c>
      <c r="J835" s="14">
        <f>Cereal[[#This Row],[N° BOLSAS]]-Cereal[[#This Row],[N° SACOS]]*Cereal[[#This Row],[CAP. SACOS]]</f>
        <v>10</v>
      </c>
      <c r="K835" s="16">
        <v>46140</v>
      </c>
      <c r="L835" s="16">
        <v>46140</v>
      </c>
      <c r="M835" s="16">
        <v>46140</v>
      </c>
      <c r="N835" s="16" t="s">
        <v>177</v>
      </c>
    </row>
    <row r="836" spans="1:14" hidden="1" x14ac:dyDescent="0.25">
      <c r="A836" s="14" t="s">
        <v>14</v>
      </c>
      <c r="B836" s="14" t="s">
        <v>288</v>
      </c>
      <c r="C836" s="15" t="s">
        <v>22</v>
      </c>
      <c r="D836" s="16">
        <v>46157</v>
      </c>
      <c r="E836" s="17">
        <v>1000</v>
      </c>
      <c r="F836" s="18">
        <v>1.355</v>
      </c>
      <c r="G836" s="19">
        <f>Cereal[[#This Row],[N° BOLSAS]]*Cereal[[#This Row],[KG BOLSA]]</f>
        <v>1355</v>
      </c>
      <c r="H836" s="37">
        <v>30</v>
      </c>
      <c r="I836" s="14">
        <f>ROUNDDOWN(Cereal[[#This Row],[N° BOLSAS]]/Cereal[[#This Row],[CAP. SACOS]],0)</f>
        <v>33</v>
      </c>
      <c r="J836" s="14">
        <f>Cereal[[#This Row],[N° BOLSAS]]-Cereal[[#This Row],[N° SACOS]]*Cereal[[#This Row],[CAP. SACOS]]</f>
        <v>10</v>
      </c>
      <c r="K836" s="16">
        <v>46168</v>
      </c>
      <c r="L836" s="16">
        <v>46168</v>
      </c>
      <c r="M836" s="16">
        <v>46169</v>
      </c>
      <c r="N836" s="16" t="s">
        <v>177</v>
      </c>
    </row>
    <row r="837" spans="1:14" hidden="1" x14ac:dyDescent="0.25">
      <c r="A837" s="14" t="s">
        <v>14</v>
      </c>
      <c r="B837" s="14" t="s">
        <v>288</v>
      </c>
      <c r="C837" s="15" t="s">
        <v>23</v>
      </c>
      <c r="D837" s="16">
        <v>46188</v>
      </c>
      <c r="E837" s="17">
        <v>1000</v>
      </c>
      <c r="F837" s="18">
        <v>1.355</v>
      </c>
      <c r="G837" s="19">
        <f>Cereal[[#This Row],[N° BOLSAS]]*Cereal[[#This Row],[KG BOLSA]]</f>
        <v>1355</v>
      </c>
      <c r="H837" s="37">
        <v>30</v>
      </c>
      <c r="I837" s="14">
        <f>ROUNDDOWN(Cereal[[#This Row],[N° BOLSAS]]/Cereal[[#This Row],[CAP. SACOS]],0)</f>
        <v>33</v>
      </c>
      <c r="J837" s="14">
        <f>Cereal[[#This Row],[N° BOLSAS]]-Cereal[[#This Row],[N° SACOS]]*Cereal[[#This Row],[CAP. SACOS]]</f>
        <v>10</v>
      </c>
      <c r="K837" s="16">
        <v>46198</v>
      </c>
      <c r="L837" s="16">
        <v>46198</v>
      </c>
      <c r="M837" s="16">
        <v>46198</v>
      </c>
      <c r="N837" s="16" t="s">
        <v>177</v>
      </c>
    </row>
    <row r="838" spans="1:14" hidden="1" x14ac:dyDescent="0.25">
      <c r="A838" s="14" t="s">
        <v>14</v>
      </c>
      <c r="B838" s="14" t="s">
        <v>288</v>
      </c>
      <c r="C838" s="15" t="s">
        <v>24</v>
      </c>
      <c r="D838" s="16">
        <v>46218</v>
      </c>
      <c r="E838" s="17">
        <v>1000</v>
      </c>
      <c r="F838" s="18">
        <v>1.355</v>
      </c>
      <c r="G838" s="19">
        <f>Cereal[[#This Row],[N° BOLSAS]]*Cereal[[#This Row],[KG BOLSA]]</f>
        <v>1355</v>
      </c>
      <c r="H838" s="37">
        <v>30</v>
      </c>
      <c r="I838" s="14">
        <f>ROUNDDOWN(Cereal[[#This Row],[N° BOLSAS]]/Cereal[[#This Row],[CAP. SACOS]],0)</f>
        <v>33</v>
      </c>
      <c r="J838" s="14">
        <f>Cereal[[#This Row],[N° BOLSAS]]-Cereal[[#This Row],[N° SACOS]]*Cereal[[#This Row],[CAP. SACOS]]</f>
        <v>10</v>
      </c>
      <c r="K838" s="16">
        <v>46233</v>
      </c>
      <c r="L838" s="16">
        <v>46233</v>
      </c>
      <c r="M838" s="16">
        <v>46233</v>
      </c>
      <c r="N838" s="16" t="s">
        <v>177</v>
      </c>
    </row>
    <row r="839" spans="1:14" hidden="1" x14ac:dyDescent="0.25">
      <c r="A839" s="14" t="s">
        <v>14</v>
      </c>
      <c r="B839" s="14" t="s">
        <v>288</v>
      </c>
      <c r="C839" s="15" t="s">
        <v>30</v>
      </c>
      <c r="D839" s="16">
        <v>46248</v>
      </c>
      <c r="E839" s="17">
        <v>1000</v>
      </c>
      <c r="F839" s="18">
        <v>0.50504400000000005</v>
      </c>
      <c r="G839" s="19">
        <f>Cereal[[#This Row],[N° BOLSAS]]*Cereal[[#This Row],[KG BOLSA]]</f>
        <v>505.04400000000004</v>
      </c>
      <c r="H839" s="37">
        <v>80</v>
      </c>
      <c r="I839" s="14">
        <f>ROUNDDOWN(Cereal[[#This Row],[N° BOLSAS]]/Cereal[[#This Row],[CAP. SACOS]],0)</f>
        <v>12</v>
      </c>
      <c r="J839" s="14">
        <f>Cereal[[#This Row],[N° BOLSAS]]-Cereal[[#This Row],[N° SACOS]]*Cereal[[#This Row],[CAP. SACOS]]</f>
        <v>40</v>
      </c>
      <c r="K839" s="16">
        <v>46246</v>
      </c>
      <c r="L839" s="16">
        <v>46246</v>
      </c>
      <c r="M839" s="16">
        <v>46246</v>
      </c>
      <c r="N839" s="16" t="s">
        <v>177</v>
      </c>
    </row>
    <row r="840" spans="1:14" hidden="1" x14ac:dyDescent="0.25">
      <c r="A840" s="14" t="s">
        <v>14</v>
      </c>
      <c r="B840" s="14" t="s">
        <v>288</v>
      </c>
      <c r="C840" s="15" t="s">
        <v>25</v>
      </c>
      <c r="D840" s="16">
        <v>46249</v>
      </c>
      <c r="E840" s="17">
        <v>1000</v>
      </c>
      <c r="F840" s="18">
        <v>1.355</v>
      </c>
      <c r="G840" s="19">
        <f>Cereal[[#This Row],[N° BOLSAS]]*Cereal[[#This Row],[KG BOLSA]]</f>
        <v>1355</v>
      </c>
      <c r="H840" s="37">
        <v>30</v>
      </c>
      <c r="I840" s="14">
        <f>ROUNDDOWN(Cereal[[#This Row],[N° BOLSAS]]/Cereal[[#This Row],[CAP. SACOS]],0)</f>
        <v>33</v>
      </c>
      <c r="J840" s="14">
        <f>Cereal[[#This Row],[N° BOLSAS]]-Cereal[[#This Row],[N° SACOS]]*Cereal[[#This Row],[CAP. SACOS]]</f>
        <v>10</v>
      </c>
      <c r="K840" s="16">
        <v>46246</v>
      </c>
      <c r="L840" s="16">
        <v>46246</v>
      </c>
      <c r="M840" s="16">
        <v>46246</v>
      </c>
      <c r="N840" s="16" t="s">
        <v>177</v>
      </c>
    </row>
    <row r="841" spans="1:14" hidden="1" x14ac:dyDescent="0.25">
      <c r="A841" s="14" t="s">
        <v>14</v>
      </c>
      <c r="B841" s="14" t="s">
        <v>288</v>
      </c>
      <c r="C841" s="15" t="s">
        <v>26</v>
      </c>
      <c r="D841" s="16">
        <v>46280</v>
      </c>
      <c r="E841" s="17">
        <v>1000</v>
      </c>
      <c r="F841" s="18">
        <v>1.355</v>
      </c>
      <c r="G841" s="19">
        <f>Cereal[[#This Row],[N° BOLSAS]]*Cereal[[#This Row],[KG BOLSA]]</f>
        <v>1355</v>
      </c>
      <c r="H841" s="37">
        <v>30</v>
      </c>
      <c r="I841" s="14">
        <f>ROUNDDOWN(Cereal[[#This Row],[N° BOLSAS]]/Cereal[[#This Row],[CAP. SACOS]],0)</f>
        <v>33</v>
      </c>
      <c r="J841" s="14">
        <f>Cereal[[#This Row],[N° BOLSAS]]-Cereal[[#This Row],[N° SACOS]]*Cereal[[#This Row],[CAP. SACOS]]</f>
        <v>10</v>
      </c>
      <c r="K841" s="16"/>
      <c r="L841" s="16"/>
      <c r="M841" s="16"/>
      <c r="N841" s="16" t="s">
        <v>177</v>
      </c>
    </row>
    <row r="842" spans="1:14" hidden="1" x14ac:dyDescent="0.25">
      <c r="A842" s="14" t="s">
        <v>14</v>
      </c>
      <c r="B842" s="14" t="s">
        <v>288</v>
      </c>
      <c r="C842" s="15" t="s">
        <v>27</v>
      </c>
      <c r="D842" s="16">
        <v>46310</v>
      </c>
      <c r="E842" s="17">
        <v>1000</v>
      </c>
      <c r="F842" s="18">
        <v>1.355</v>
      </c>
      <c r="G842" s="19">
        <f>Cereal[[#This Row],[N° BOLSAS]]*Cereal[[#This Row],[KG BOLSA]]</f>
        <v>1355</v>
      </c>
      <c r="H842" s="37">
        <v>30</v>
      </c>
      <c r="I842" s="14">
        <f>ROUNDDOWN(Cereal[[#This Row],[N° BOLSAS]]/Cereal[[#This Row],[CAP. SACOS]],0)</f>
        <v>33</v>
      </c>
      <c r="J842" s="14">
        <f>Cereal[[#This Row],[N° BOLSAS]]-Cereal[[#This Row],[N° SACOS]]*Cereal[[#This Row],[CAP. SACOS]]</f>
        <v>10</v>
      </c>
      <c r="K842" s="16"/>
      <c r="L842" s="16"/>
      <c r="M842" s="16"/>
      <c r="N842" s="16" t="s">
        <v>177</v>
      </c>
    </row>
    <row r="843" spans="1:14" hidden="1" x14ac:dyDescent="0.25">
      <c r="A843" s="14" t="s">
        <v>14</v>
      </c>
      <c r="B843" s="14" t="s">
        <v>288</v>
      </c>
      <c r="C843" s="15" t="s">
        <v>28</v>
      </c>
      <c r="D843" s="16">
        <v>46341</v>
      </c>
      <c r="E843" s="17">
        <v>1000</v>
      </c>
      <c r="F843" s="18">
        <v>1.355</v>
      </c>
      <c r="G843" s="19">
        <f>Cereal[[#This Row],[N° BOLSAS]]*Cereal[[#This Row],[KG BOLSA]]</f>
        <v>1355</v>
      </c>
      <c r="H843" s="37">
        <v>30</v>
      </c>
      <c r="I843" s="14">
        <f>ROUNDDOWN(Cereal[[#This Row],[N° BOLSAS]]/Cereal[[#This Row],[CAP. SACOS]],0)</f>
        <v>33</v>
      </c>
      <c r="J843" s="14">
        <f>Cereal[[#This Row],[N° BOLSAS]]-Cereal[[#This Row],[N° SACOS]]*Cereal[[#This Row],[CAP. SACOS]]</f>
        <v>10</v>
      </c>
      <c r="K843" s="16"/>
      <c r="L843" s="16"/>
      <c r="M843" s="16"/>
      <c r="N843" s="16" t="s">
        <v>177</v>
      </c>
    </row>
    <row r="844" spans="1:14" hidden="1" x14ac:dyDescent="0.25">
      <c r="A844" s="14" t="s">
        <v>14</v>
      </c>
      <c r="B844" s="14" t="s">
        <v>289</v>
      </c>
      <c r="C844" s="15" t="s">
        <v>16</v>
      </c>
      <c r="D844" s="16">
        <v>46022</v>
      </c>
      <c r="E844" s="17">
        <v>1850</v>
      </c>
      <c r="F844" s="18">
        <v>1.7050000000000001</v>
      </c>
      <c r="G844" s="19">
        <f>Cereal[[#This Row],[N° BOLSAS]]*Cereal[[#This Row],[KG BOLSA]]</f>
        <v>3154.25</v>
      </c>
      <c r="H844" s="37">
        <v>22</v>
      </c>
      <c r="I844" s="14">
        <f>ROUNDDOWN(Cereal[[#This Row],[N° BOLSAS]]/Cereal[[#This Row],[CAP. SACOS]],0)</f>
        <v>84</v>
      </c>
      <c r="J844" s="14">
        <f>Cereal[[#This Row],[N° BOLSAS]]-Cereal[[#This Row],[N° SACOS]]*Cereal[[#This Row],[CAP. SACOS]]</f>
        <v>2</v>
      </c>
      <c r="K844" s="16">
        <v>45996</v>
      </c>
      <c r="L844" s="16">
        <v>45996</v>
      </c>
      <c r="M844" s="16">
        <v>46021</v>
      </c>
      <c r="N844" s="16" t="s">
        <v>290</v>
      </c>
    </row>
    <row r="845" spans="1:14" hidden="1" x14ac:dyDescent="0.25">
      <c r="A845" s="14" t="s">
        <v>14</v>
      </c>
      <c r="B845" s="14" t="s">
        <v>289</v>
      </c>
      <c r="C845" s="15" t="s">
        <v>18</v>
      </c>
      <c r="D845" s="16">
        <v>46022</v>
      </c>
      <c r="E845" s="17">
        <v>925</v>
      </c>
      <c r="F845" s="18">
        <v>1.54</v>
      </c>
      <c r="G845" s="19">
        <f>Cereal[[#This Row],[N° BOLSAS]]*Cereal[[#This Row],[KG BOLSA]]</f>
        <v>1424.5</v>
      </c>
      <c r="H845" s="37">
        <v>22</v>
      </c>
      <c r="I845" s="14">
        <f>ROUNDDOWN(Cereal[[#This Row],[N° BOLSAS]]/Cereal[[#This Row],[CAP. SACOS]],0)</f>
        <v>42</v>
      </c>
      <c r="J845" s="14">
        <f>Cereal[[#This Row],[N° BOLSAS]]-Cereal[[#This Row],[N° SACOS]]*Cereal[[#This Row],[CAP. SACOS]]</f>
        <v>1</v>
      </c>
      <c r="K845" s="16">
        <v>45996</v>
      </c>
      <c r="L845" s="16">
        <v>45996</v>
      </c>
      <c r="M845" s="16">
        <v>46021</v>
      </c>
      <c r="N845" s="16" t="s">
        <v>290</v>
      </c>
    </row>
    <row r="846" spans="1:14" hidden="1" x14ac:dyDescent="0.25">
      <c r="A846" s="14" t="s">
        <v>14</v>
      </c>
      <c r="B846" s="14" t="s">
        <v>289</v>
      </c>
      <c r="C846" s="15" t="s">
        <v>20</v>
      </c>
      <c r="D846" s="16">
        <v>46106</v>
      </c>
      <c r="E846" s="17">
        <v>1850</v>
      </c>
      <c r="F846" s="18">
        <v>1.65</v>
      </c>
      <c r="G846" s="19">
        <f>Cereal[[#This Row],[N° BOLSAS]]*Cereal[[#This Row],[KG BOLSA]]</f>
        <v>3052.5</v>
      </c>
      <c r="H846" s="37">
        <v>22</v>
      </c>
      <c r="I846" s="14">
        <f>ROUNDDOWN(Cereal[[#This Row],[N° BOLSAS]]/Cereal[[#This Row],[CAP. SACOS]],0)</f>
        <v>84</v>
      </c>
      <c r="J846" s="14">
        <f>Cereal[[#This Row],[N° BOLSAS]]-Cereal[[#This Row],[N° SACOS]]*Cereal[[#This Row],[CAP. SACOS]]</f>
        <v>2</v>
      </c>
      <c r="K846" s="16">
        <v>46129</v>
      </c>
      <c r="L846" s="16">
        <v>46129</v>
      </c>
      <c r="M846" s="16">
        <v>46131</v>
      </c>
      <c r="N846" s="16" t="s">
        <v>290</v>
      </c>
    </row>
    <row r="847" spans="1:14" hidden="1" x14ac:dyDescent="0.25">
      <c r="A847" s="14" t="s">
        <v>14</v>
      </c>
      <c r="B847" s="14" t="s">
        <v>289</v>
      </c>
      <c r="C847" s="88" t="s">
        <v>21</v>
      </c>
      <c r="D847" s="16">
        <v>46106</v>
      </c>
      <c r="E847" s="17">
        <v>925</v>
      </c>
      <c r="F847" s="18">
        <v>1.7050000000000001</v>
      </c>
      <c r="G847" s="19">
        <f>Cereal[[#This Row],[N° BOLSAS]]*Cereal[[#This Row],[KG BOLSA]]</f>
        <v>1577.125</v>
      </c>
      <c r="H847" s="37">
        <v>22</v>
      </c>
      <c r="I847" s="14">
        <f>ROUNDDOWN(Cereal[[#This Row],[N° BOLSAS]]/Cereal[[#This Row],[CAP. SACOS]],0)</f>
        <v>42</v>
      </c>
      <c r="J847" s="14">
        <f>Cereal[[#This Row],[N° BOLSAS]]-Cereal[[#This Row],[N° SACOS]]*Cereal[[#This Row],[CAP. SACOS]]</f>
        <v>1</v>
      </c>
      <c r="K847" s="16">
        <v>46129</v>
      </c>
      <c r="L847" s="16">
        <v>46129</v>
      </c>
      <c r="M847" s="16">
        <v>46131</v>
      </c>
      <c r="N847" s="16" t="s">
        <v>290</v>
      </c>
    </row>
    <row r="848" spans="1:14" hidden="1" x14ac:dyDescent="0.25">
      <c r="A848" s="14" t="s">
        <v>14</v>
      </c>
      <c r="B848" s="14" t="s">
        <v>289</v>
      </c>
      <c r="C848" s="15" t="s">
        <v>22</v>
      </c>
      <c r="D848" s="16">
        <v>46197</v>
      </c>
      <c r="E848" s="17">
        <v>1850</v>
      </c>
      <c r="F848" s="18">
        <v>1.65</v>
      </c>
      <c r="G848" s="19">
        <f>Cereal[[#This Row],[N° BOLSAS]]*Cereal[[#This Row],[KG BOLSA]]</f>
        <v>3052.5</v>
      </c>
      <c r="H848" s="37">
        <v>22</v>
      </c>
      <c r="I848" s="14">
        <f>ROUNDDOWN(Cereal[[#This Row],[N° BOLSAS]]/Cereal[[#This Row],[CAP. SACOS]],0)</f>
        <v>84</v>
      </c>
      <c r="J848" s="14">
        <f>Cereal[[#This Row],[N° BOLSAS]]-Cereal[[#This Row],[N° SACOS]]*Cereal[[#This Row],[CAP. SACOS]]</f>
        <v>2</v>
      </c>
      <c r="K848" s="16">
        <v>46201</v>
      </c>
      <c r="L848" s="16">
        <v>46201</v>
      </c>
      <c r="M848" s="16">
        <v>46202</v>
      </c>
      <c r="N848" s="16" t="s">
        <v>290</v>
      </c>
    </row>
    <row r="849" spans="1:14" hidden="1" x14ac:dyDescent="0.25">
      <c r="A849" s="14" t="s">
        <v>14</v>
      </c>
      <c r="B849" s="14" t="s">
        <v>289</v>
      </c>
      <c r="C849" s="15" t="s">
        <v>23</v>
      </c>
      <c r="D849" s="16">
        <v>46197</v>
      </c>
      <c r="E849" s="17">
        <v>925</v>
      </c>
      <c r="F849" s="18">
        <v>1.7050000000000001</v>
      </c>
      <c r="G849" s="19">
        <f>Cereal[[#This Row],[N° BOLSAS]]*Cereal[[#This Row],[KG BOLSA]]</f>
        <v>1577.125</v>
      </c>
      <c r="H849" s="37">
        <v>22</v>
      </c>
      <c r="I849" s="14">
        <f>ROUNDDOWN(Cereal[[#This Row],[N° BOLSAS]]/Cereal[[#This Row],[CAP. SACOS]],0)</f>
        <v>42</v>
      </c>
      <c r="J849" s="14">
        <f>Cereal[[#This Row],[N° BOLSAS]]-Cereal[[#This Row],[N° SACOS]]*Cereal[[#This Row],[CAP. SACOS]]</f>
        <v>1</v>
      </c>
      <c r="K849" s="16">
        <v>46201</v>
      </c>
      <c r="L849" s="16">
        <v>46201</v>
      </c>
      <c r="M849" s="16">
        <v>46202</v>
      </c>
      <c r="N849" s="16" t="s">
        <v>290</v>
      </c>
    </row>
    <row r="850" spans="1:14" hidden="1" x14ac:dyDescent="0.25">
      <c r="A850" s="14" t="s">
        <v>14</v>
      </c>
      <c r="B850" s="14" t="s">
        <v>289</v>
      </c>
      <c r="C850" s="15" t="s">
        <v>26</v>
      </c>
      <c r="D850" s="16">
        <v>46197</v>
      </c>
      <c r="E850" s="17">
        <v>1850</v>
      </c>
      <c r="F850" s="18">
        <v>1.7050000000000001</v>
      </c>
      <c r="G850" s="19">
        <f>Cereal[[#This Row],[N° BOLSAS]]*Cereal[[#This Row],[KG BOLSA]]</f>
        <v>3154.25</v>
      </c>
      <c r="H850" s="37">
        <v>22</v>
      </c>
      <c r="I850" s="14">
        <f>ROUNDDOWN(Cereal[[#This Row],[N° BOLSAS]]/Cereal[[#This Row],[CAP. SACOS]],0)</f>
        <v>84</v>
      </c>
      <c r="J850" s="14">
        <f>Cereal[[#This Row],[N° BOLSAS]]-Cereal[[#This Row],[N° SACOS]]*Cereal[[#This Row],[CAP. SACOS]]</f>
        <v>2</v>
      </c>
      <c r="K850" s="16">
        <v>46256</v>
      </c>
      <c r="L850" s="16">
        <v>46256</v>
      </c>
      <c r="M850" s="16">
        <v>46257</v>
      </c>
      <c r="N850" s="16" t="s">
        <v>290</v>
      </c>
    </row>
    <row r="851" spans="1:14" hidden="1" x14ac:dyDescent="0.25">
      <c r="A851" s="14" t="s">
        <v>14</v>
      </c>
      <c r="B851" s="14" t="s">
        <v>289</v>
      </c>
      <c r="C851" s="15" t="s">
        <v>27</v>
      </c>
      <c r="D851" s="16">
        <v>46288</v>
      </c>
      <c r="E851" s="17">
        <v>1850</v>
      </c>
      <c r="F851" s="18">
        <v>1.65</v>
      </c>
      <c r="G851" s="19">
        <f>Cereal[[#This Row],[N° BOLSAS]]*Cereal[[#This Row],[KG BOLSA]]</f>
        <v>3052.5</v>
      </c>
      <c r="H851" s="37">
        <v>22</v>
      </c>
      <c r="I851" s="14">
        <f>ROUNDDOWN(Cereal[[#This Row],[N° BOLSAS]]/Cereal[[#This Row],[CAP. SACOS]],0)</f>
        <v>84</v>
      </c>
      <c r="J851" s="14">
        <f>Cereal[[#This Row],[N° BOLSAS]]-Cereal[[#This Row],[N° SACOS]]*Cereal[[#This Row],[CAP. SACOS]]</f>
        <v>2</v>
      </c>
      <c r="K851" s="16">
        <v>46256</v>
      </c>
      <c r="L851" s="16">
        <v>46256</v>
      </c>
      <c r="M851" s="16">
        <v>46257</v>
      </c>
      <c r="N851" s="16" t="s">
        <v>290</v>
      </c>
    </row>
    <row r="852" spans="1:14" hidden="1" x14ac:dyDescent="0.25">
      <c r="A852" s="14" t="s">
        <v>14</v>
      </c>
      <c r="B852" s="14" t="s">
        <v>289</v>
      </c>
      <c r="C852" s="15" t="s">
        <v>28</v>
      </c>
      <c r="D852" s="16">
        <v>46288</v>
      </c>
      <c r="E852" s="17">
        <v>1850</v>
      </c>
      <c r="F852" s="18">
        <v>1.7050000000000001</v>
      </c>
      <c r="G852" s="19">
        <f>Cereal[[#This Row],[N° BOLSAS]]*Cereal[[#This Row],[KG BOLSA]]</f>
        <v>3154.25</v>
      </c>
      <c r="H852" s="37">
        <v>22</v>
      </c>
      <c r="I852" s="14">
        <f>ROUNDDOWN(Cereal[[#This Row],[N° BOLSAS]]/Cereal[[#This Row],[CAP. SACOS]],0)</f>
        <v>84</v>
      </c>
      <c r="J852" s="14">
        <f>Cereal[[#This Row],[N° BOLSAS]]-Cereal[[#This Row],[N° SACOS]]*Cereal[[#This Row],[CAP. SACOS]]</f>
        <v>2</v>
      </c>
      <c r="K852" s="16"/>
      <c r="L852" s="16"/>
      <c r="M852" s="16"/>
      <c r="N852" s="16" t="s">
        <v>290</v>
      </c>
    </row>
    <row r="853" spans="1:14" hidden="1" x14ac:dyDescent="0.25">
      <c r="A853" s="14" t="s">
        <v>14</v>
      </c>
      <c r="B853" s="14" t="s">
        <v>291</v>
      </c>
      <c r="C853" s="15" t="s">
        <v>16</v>
      </c>
      <c r="D853" s="16">
        <v>46023</v>
      </c>
      <c r="E853" s="17">
        <v>853</v>
      </c>
      <c r="F853" s="18">
        <v>1</v>
      </c>
      <c r="G853" s="19">
        <f>Cereal[[#This Row],[N° BOLSAS]]*Cereal[[#This Row],[KG BOLSA]]</f>
        <v>853</v>
      </c>
      <c r="H853" s="37">
        <v>40</v>
      </c>
      <c r="I853" s="14">
        <f>ROUNDDOWN(Cereal[[#This Row],[N° BOLSAS]]/Cereal[[#This Row],[CAP. SACOS]],0)</f>
        <v>21</v>
      </c>
      <c r="J853" s="14">
        <f>Cereal[[#This Row],[N° BOLSAS]]-Cereal[[#This Row],[N° SACOS]]*Cereal[[#This Row],[CAP. SACOS]]</f>
        <v>13</v>
      </c>
      <c r="K853" s="16">
        <v>46027</v>
      </c>
      <c r="L853" s="16">
        <v>46027</v>
      </c>
      <c r="M853" s="16">
        <v>46028</v>
      </c>
      <c r="N853" s="16" t="s">
        <v>292</v>
      </c>
    </row>
    <row r="854" spans="1:14" hidden="1" x14ac:dyDescent="0.25">
      <c r="A854" s="14" t="s">
        <v>14</v>
      </c>
      <c r="B854" s="14" t="s">
        <v>291</v>
      </c>
      <c r="C854" s="15" t="s">
        <v>18</v>
      </c>
      <c r="D854" s="16">
        <v>46052</v>
      </c>
      <c r="E854" s="17">
        <v>770</v>
      </c>
      <c r="F854" s="18">
        <v>1</v>
      </c>
      <c r="G854" s="19">
        <f>Cereal[[#This Row],[N° BOLSAS]]*Cereal[[#This Row],[KG BOLSA]]</f>
        <v>770</v>
      </c>
      <c r="H854" s="37">
        <v>40</v>
      </c>
      <c r="I854" s="14">
        <f>ROUNDDOWN(Cereal[[#This Row],[N° BOLSAS]]/Cereal[[#This Row],[CAP. SACOS]],0)</f>
        <v>19</v>
      </c>
      <c r="J854" s="14">
        <f>Cereal[[#This Row],[N° BOLSAS]]-Cereal[[#This Row],[N° SACOS]]*Cereal[[#This Row],[CAP. SACOS]]</f>
        <v>10</v>
      </c>
      <c r="K854" s="16">
        <v>46050</v>
      </c>
      <c r="L854" s="16">
        <v>46050</v>
      </c>
      <c r="M854" s="16">
        <v>46051</v>
      </c>
      <c r="N854" s="16" t="s">
        <v>292</v>
      </c>
    </row>
    <row r="855" spans="1:14" hidden="1" x14ac:dyDescent="0.25">
      <c r="A855" s="14" t="s">
        <v>14</v>
      </c>
      <c r="B855" s="14" t="s">
        <v>291</v>
      </c>
      <c r="C855" s="15" t="s">
        <v>19</v>
      </c>
      <c r="D855" s="16">
        <v>46081</v>
      </c>
      <c r="E855" s="17">
        <v>853</v>
      </c>
      <c r="F855" s="18">
        <v>1</v>
      </c>
      <c r="G855" s="19">
        <f>Cereal[[#This Row],[N° BOLSAS]]*Cereal[[#This Row],[KG BOLSA]]</f>
        <v>853</v>
      </c>
      <c r="H855" s="37">
        <v>40</v>
      </c>
      <c r="I855" s="14">
        <f>ROUNDDOWN(Cereal[[#This Row],[N° BOLSAS]]/Cereal[[#This Row],[CAP. SACOS]],0)</f>
        <v>21</v>
      </c>
      <c r="J855" s="14">
        <f>Cereal[[#This Row],[N° BOLSAS]]-Cereal[[#This Row],[N° SACOS]]*Cereal[[#This Row],[CAP. SACOS]]</f>
        <v>13</v>
      </c>
      <c r="K855" s="16">
        <v>46079</v>
      </c>
      <c r="L855" s="16">
        <v>46079</v>
      </c>
      <c r="M855" s="16">
        <v>46080</v>
      </c>
      <c r="N855" s="16" t="s">
        <v>292</v>
      </c>
    </row>
    <row r="856" spans="1:14" hidden="1" x14ac:dyDescent="0.25">
      <c r="A856" s="14" t="s">
        <v>14</v>
      </c>
      <c r="B856" s="14" t="s">
        <v>291</v>
      </c>
      <c r="C856" s="15" t="s">
        <v>20</v>
      </c>
      <c r="D856" s="16">
        <v>46111</v>
      </c>
      <c r="E856" s="17">
        <v>825</v>
      </c>
      <c r="F856" s="18">
        <v>1</v>
      </c>
      <c r="G856" s="19">
        <f>Cereal[[#This Row],[N° BOLSAS]]*Cereal[[#This Row],[KG BOLSA]]</f>
        <v>825</v>
      </c>
      <c r="H856" s="37">
        <v>40</v>
      </c>
      <c r="I856" s="14">
        <f>ROUNDDOWN(Cereal[[#This Row],[N° BOLSAS]]/Cereal[[#This Row],[CAP. SACOS]],0)</f>
        <v>20</v>
      </c>
      <c r="J856" s="14">
        <f>Cereal[[#This Row],[N° BOLSAS]]-Cereal[[#This Row],[N° SACOS]]*Cereal[[#This Row],[CAP. SACOS]]</f>
        <v>25</v>
      </c>
      <c r="K856" s="16">
        <v>46108</v>
      </c>
      <c r="L856" s="16">
        <v>46108</v>
      </c>
      <c r="M856" s="16">
        <v>46111</v>
      </c>
      <c r="N856" s="16" t="s">
        <v>292</v>
      </c>
    </row>
    <row r="857" spans="1:14" hidden="1" x14ac:dyDescent="0.25">
      <c r="A857" s="14" t="s">
        <v>14</v>
      </c>
      <c r="B857" s="14" t="s">
        <v>291</v>
      </c>
      <c r="C857" s="15" t="s">
        <v>21</v>
      </c>
      <c r="D857" s="16">
        <v>46142</v>
      </c>
      <c r="E857" s="17">
        <v>853</v>
      </c>
      <c r="F857" s="18">
        <v>1</v>
      </c>
      <c r="G857" s="19">
        <f>Cereal[[#This Row],[N° BOLSAS]]*Cereal[[#This Row],[KG BOLSA]]</f>
        <v>853</v>
      </c>
      <c r="H857" s="37">
        <v>40</v>
      </c>
      <c r="I857" s="14">
        <f>ROUNDDOWN(Cereal[[#This Row],[N° BOLSAS]]/Cereal[[#This Row],[CAP. SACOS]],0)</f>
        <v>21</v>
      </c>
      <c r="J857" s="14">
        <f>Cereal[[#This Row],[N° BOLSAS]]-Cereal[[#This Row],[N° SACOS]]*Cereal[[#This Row],[CAP. SACOS]]</f>
        <v>13</v>
      </c>
      <c r="K857" s="16">
        <v>46139</v>
      </c>
      <c r="L857" s="16">
        <v>46139</v>
      </c>
      <c r="M857" s="16">
        <v>46139</v>
      </c>
      <c r="N857" s="16" t="s">
        <v>292</v>
      </c>
    </row>
    <row r="858" spans="1:14" hidden="1" x14ac:dyDescent="0.25">
      <c r="A858" s="14" t="s">
        <v>14</v>
      </c>
      <c r="B858" s="14" t="s">
        <v>291</v>
      </c>
      <c r="C858" s="15" t="s">
        <v>22</v>
      </c>
      <c r="D858" s="16">
        <v>46172</v>
      </c>
      <c r="E858" s="17">
        <v>825</v>
      </c>
      <c r="F858" s="18">
        <v>1</v>
      </c>
      <c r="G858" s="19">
        <f>Cereal[[#This Row],[N° BOLSAS]]*Cereal[[#This Row],[KG BOLSA]]</f>
        <v>825</v>
      </c>
      <c r="H858" s="37">
        <v>40</v>
      </c>
      <c r="I858" s="14">
        <f>ROUNDDOWN(Cereal[[#This Row],[N° BOLSAS]]/Cereal[[#This Row],[CAP. SACOS]],0)</f>
        <v>20</v>
      </c>
      <c r="J858" s="14">
        <f>Cereal[[#This Row],[N° BOLSAS]]-Cereal[[#This Row],[N° SACOS]]*Cereal[[#This Row],[CAP. SACOS]]</f>
        <v>25</v>
      </c>
      <c r="K858" s="16">
        <v>46163</v>
      </c>
      <c r="L858" s="16">
        <v>46163</v>
      </c>
      <c r="M858" s="16">
        <v>46164</v>
      </c>
      <c r="N858" s="16" t="s">
        <v>292</v>
      </c>
    </row>
    <row r="859" spans="1:14" hidden="1" x14ac:dyDescent="0.25">
      <c r="A859" s="14" t="s">
        <v>14</v>
      </c>
      <c r="B859" s="14" t="s">
        <v>291</v>
      </c>
      <c r="C859" s="15" t="s">
        <v>23</v>
      </c>
      <c r="D859" s="16">
        <v>46203</v>
      </c>
      <c r="E859" s="17">
        <v>853</v>
      </c>
      <c r="F859" s="18">
        <v>1</v>
      </c>
      <c r="G859" s="19">
        <f>Cereal[[#This Row],[N° BOLSAS]]*Cereal[[#This Row],[KG BOLSA]]</f>
        <v>853</v>
      </c>
      <c r="H859" s="37">
        <v>40</v>
      </c>
      <c r="I859" s="14">
        <f>ROUNDDOWN(Cereal[[#This Row],[N° BOLSAS]]/Cereal[[#This Row],[CAP. SACOS]],0)</f>
        <v>21</v>
      </c>
      <c r="J859" s="14">
        <f>Cereal[[#This Row],[N° BOLSAS]]-Cereal[[#This Row],[N° SACOS]]*Cereal[[#This Row],[CAP. SACOS]]</f>
        <v>13</v>
      </c>
      <c r="K859" s="16">
        <v>46198</v>
      </c>
      <c r="L859" s="16">
        <v>46198</v>
      </c>
      <c r="M859" s="16">
        <v>46202</v>
      </c>
      <c r="N859" s="16" t="s">
        <v>292</v>
      </c>
    </row>
    <row r="860" spans="1:14" hidden="1" x14ac:dyDescent="0.25">
      <c r="A860" s="14" t="s">
        <v>14</v>
      </c>
      <c r="B860" s="14" t="s">
        <v>291</v>
      </c>
      <c r="C860" s="15" t="s">
        <v>24</v>
      </c>
      <c r="D860" s="16">
        <v>46233</v>
      </c>
      <c r="E860" s="17">
        <v>853</v>
      </c>
      <c r="F860" s="18">
        <v>1</v>
      </c>
      <c r="G860" s="19">
        <f>Cereal[[#This Row],[N° BOLSAS]]*Cereal[[#This Row],[KG BOLSA]]</f>
        <v>853</v>
      </c>
      <c r="H860" s="37">
        <v>40</v>
      </c>
      <c r="I860" s="14">
        <f>ROUNDDOWN(Cereal[[#This Row],[N° BOLSAS]]/Cereal[[#This Row],[CAP. SACOS]],0)</f>
        <v>21</v>
      </c>
      <c r="J860" s="14">
        <f>Cereal[[#This Row],[N° BOLSAS]]-Cereal[[#This Row],[N° SACOS]]*Cereal[[#This Row],[CAP. SACOS]]</f>
        <v>13</v>
      </c>
      <c r="K860" s="16">
        <v>46230</v>
      </c>
      <c r="L860" s="16">
        <v>46230</v>
      </c>
      <c r="M860" s="16">
        <v>46230</v>
      </c>
      <c r="N860" s="16" t="s">
        <v>292</v>
      </c>
    </row>
    <row r="861" spans="1:14" hidden="1" x14ac:dyDescent="0.25">
      <c r="A861" s="14" t="s">
        <v>14</v>
      </c>
      <c r="B861" s="14" t="s">
        <v>291</v>
      </c>
      <c r="C861" s="15" t="s">
        <v>30</v>
      </c>
      <c r="D861" s="16">
        <v>46264</v>
      </c>
      <c r="E861" s="17">
        <v>561.42999999999995</v>
      </c>
      <c r="F861" s="18">
        <v>1</v>
      </c>
      <c r="G861" s="19">
        <f>Cereal[[#This Row],[N° BOLSAS]]*Cereal[[#This Row],[KG BOLSA]]</f>
        <v>561.42999999999995</v>
      </c>
      <c r="H861" s="37">
        <v>40</v>
      </c>
      <c r="I861" s="14">
        <f>ROUNDDOWN(Cereal[[#This Row],[N° BOLSAS]]/Cereal[[#This Row],[CAP. SACOS]],0)</f>
        <v>14</v>
      </c>
      <c r="J861" s="14">
        <f>Cereal[[#This Row],[N° BOLSAS]]-Cereal[[#This Row],[N° SACOS]]*Cereal[[#This Row],[CAP. SACOS]]</f>
        <v>1.42999999999995</v>
      </c>
      <c r="K861" s="16">
        <v>46239</v>
      </c>
      <c r="L861" s="16">
        <v>46239</v>
      </c>
      <c r="M861" s="16">
        <v>46239</v>
      </c>
      <c r="N861" s="16" t="s">
        <v>292</v>
      </c>
    </row>
    <row r="862" spans="1:14" hidden="1" x14ac:dyDescent="0.25">
      <c r="A862" s="14" t="s">
        <v>14</v>
      </c>
      <c r="B862" s="14" t="s">
        <v>291</v>
      </c>
      <c r="C862" s="15" t="s">
        <v>25</v>
      </c>
      <c r="D862" s="16">
        <v>46264</v>
      </c>
      <c r="E862" s="17">
        <v>825</v>
      </c>
      <c r="F862" s="18">
        <v>1</v>
      </c>
      <c r="G862" s="19">
        <f>Cereal[[#This Row],[N° BOLSAS]]*Cereal[[#This Row],[KG BOLSA]]</f>
        <v>825</v>
      </c>
      <c r="H862" s="37">
        <v>40</v>
      </c>
      <c r="I862" s="14">
        <f>ROUNDDOWN(Cereal[[#This Row],[N° BOLSAS]]/Cereal[[#This Row],[CAP. SACOS]],0)</f>
        <v>20</v>
      </c>
      <c r="J862" s="14">
        <f>Cereal[[#This Row],[N° BOLSAS]]-Cereal[[#This Row],[N° SACOS]]*Cereal[[#This Row],[CAP. SACOS]]</f>
        <v>25</v>
      </c>
      <c r="K862" s="16">
        <v>46262</v>
      </c>
      <c r="L862" s="16">
        <v>46262</v>
      </c>
      <c r="M862" s="16">
        <v>46266</v>
      </c>
      <c r="N862" s="16" t="s">
        <v>292</v>
      </c>
    </row>
    <row r="863" spans="1:14" hidden="1" x14ac:dyDescent="0.25">
      <c r="A863" s="14" t="s">
        <v>14</v>
      </c>
      <c r="B863" s="14" t="s">
        <v>291</v>
      </c>
      <c r="C863" s="15" t="s">
        <v>26</v>
      </c>
      <c r="D863" s="16">
        <v>46295</v>
      </c>
      <c r="E863" s="17">
        <v>853</v>
      </c>
      <c r="F863" s="18">
        <v>1</v>
      </c>
      <c r="G863" s="19">
        <f>Cereal[[#This Row],[N° BOLSAS]]*Cereal[[#This Row],[KG BOLSA]]</f>
        <v>853</v>
      </c>
      <c r="H863" s="37">
        <v>40</v>
      </c>
      <c r="I863" s="14">
        <f>ROUNDDOWN(Cereal[[#This Row],[N° BOLSAS]]/Cereal[[#This Row],[CAP. SACOS]],0)</f>
        <v>21</v>
      </c>
      <c r="J863" s="14">
        <f>Cereal[[#This Row],[N° BOLSAS]]-Cereal[[#This Row],[N° SACOS]]*Cereal[[#This Row],[CAP. SACOS]]</f>
        <v>13</v>
      </c>
      <c r="K863" s="16"/>
      <c r="L863" s="16"/>
      <c r="M863" s="16"/>
      <c r="N863" s="16" t="s">
        <v>292</v>
      </c>
    </row>
    <row r="864" spans="1:14" hidden="1" x14ac:dyDescent="0.25">
      <c r="A864" s="14" t="s">
        <v>14</v>
      </c>
      <c r="B864" s="14" t="s">
        <v>291</v>
      </c>
      <c r="C864" s="15" t="s">
        <v>27</v>
      </c>
      <c r="D864" s="16">
        <v>46325</v>
      </c>
      <c r="E864" s="17">
        <v>825</v>
      </c>
      <c r="F864" s="18">
        <v>1</v>
      </c>
      <c r="G864" s="19">
        <f>Cereal[[#This Row],[N° BOLSAS]]*Cereal[[#This Row],[KG BOLSA]]</f>
        <v>825</v>
      </c>
      <c r="H864" s="37">
        <v>40</v>
      </c>
      <c r="I864" s="14">
        <f>ROUNDDOWN(Cereal[[#This Row],[N° BOLSAS]]/Cereal[[#This Row],[CAP. SACOS]],0)</f>
        <v>20</v>
      </c>
      <c r="J864" s="14">
        <f>Cereal[[#This Row],[N° BOLSAS]]-Cereal[[#This Row],[N° SACOS]]*Cereal[[#This Row],[CAP. SACOS]]</f>
        <v>25</v>
      </c>
      <c r="K864" s="16"/>
      <c r="L864" s="16"/>
      <c r="M864" s="16"/>
      <c r="N864" s="16" t="s">
        <v>292</v>
      </c>
    </row>
    <row r="865" spans="1:14" hidden="1" x14ac:dyDescent="0.25">
      <c r="A865" s="14" t="s">
        <v>14</v>
      </c>
      <c r="B865" s="14" t="s">
        <v>291</v>
      </c>
      <c r="C865" s="15" t="s">
        <v>28</v>
      </c>
      <c r="D865" s="16">
        <v>46356</v>
      </c>
      <c r="E865" s="17">
        <v>853</v>
      </c>
      <c r="F865" s="18">
        <v>1</v>
      </c>
      <c r="G865" s="19">
        <f>Cereal[[#This Row],[N° BOLSAS]]*Cereal[[#This Row],[KG BOLSA]]</f>
        <v>853</v>
      </c>
      <c r="H865" s="37">
        <v>40</v>
      </c>
      <c r="I865" s="14">
        <f>ROUNDDOWN(Cereal[[#This Row],[N° BOLSAS]]/Cereal[[#This Row],[CAP. SACOS]],0)</f>
        <v>21</v>
      </c>
      <c r="J865" s="14">
        <f>Cereal[[#This Row],[N° BOLSAS]]-Cereal[[#This Row],[N° SACOS]]*Cereal[[#This Row],[CAP. SACOS]]</f>
        <v>13</v>
      </c>
      <c r="K865" s="16"/>
      <c r="L865" s="16"/>
      <c r="M865" s="16"/>
      <c r="N865" s="16" t="s">
        <v>292</v>
      </c>
    </row>
    <row r="866" spans="1:14" hidden="1" x14ac:dyDescent="0.25">
      <c r="A866" s="14" t="s">
        <v>14</v>
      </c>
      <c r="B866" s="14" t="s">
        <v>293</v>
      </c>
      <c r="C866" s="15" t="s">
        <v>16</v>
      </c>
      <c r="D866" s="16">
        <v>46022</v>
      </c>
      <c r="E866" s="17">
        <v>606</v>
      </c>
      <c r="F866" s="18">
        <v>0.5</v>
      </c>
      <c r="G866" s="19">
        <f>Cereal[[#This Row],[N° BOLSAS]]*Cereal[[#This Row],[KG BOLSA]]</f>
        <v>303</v>
      </c>
      <c r="H866" s="37">
        <v>80</v>
      </c>
      <c r="I866" s="14">
        <f>ROUNDDOWN(Cereal[[#This Row],[N° BOLSAS]]/Cereal[[#This Row],[CAP. SACOS]],0)</f>
        <v>7</v>
      </c>
      <c r="J866" s="14">
        <f>Cereal[[#This Row],[N° BOLSAS]]-Cereal[[#This Row],[N° SACOS]]*Cereal[[#This Row],[CAP. SACOS]]</f>
        <v>46</v>
      </c>
      <c r="K866" s="16">
        <v>46024</v>
      </c>
      <c r="L866" s="16">
        <v>46024</v>
      </c>
      <c r="M866" s="16">
        <v>46026</v>
      </c>
      <c r="N866" s="16" t="s">
        <v>294</v>
      </c>
    </row>
    <row r="867" spans="1:14" hidden="1" x14ac:dyDescent="0.25">
      <c r="A867" s="14" t="s">
        <v>14</v>
      </c>
      <c r="B867" s="14" t="s">
        <v>293</v>
      </c>
      <c r="C867" s="15" t="s">
        <v>18</v>
      </c>
      <c r="D867" s="16">
        <v>46027</v>
      </c>
      <c r="E867" s="17">
        <v>606</v>
      </c>
      <c r="F867" s="18">
        <v>0.5</v>
      </c>
      <c r="G867" s="19">
        <f>Cereal[[#This Row],[N° BOLSAS]]*Cereal[[#This Row],[KG BOLSA]]</f>
        <v>303</v>
      </c>
      <c r="H867" s="37">
        <v>80</v>
      </c>
      <c r="I867" s="14">
        <f>ROUNDDOWN(Cereal[[#This Row],[N° BOLSAS]]/Cereal[[#This Row],[CAP. SACOS]],0)</f>
        <v>7</v>
      </c>
      <c r="J867" s="14">
        <f>Cereal[[#This Row],[N° BOLSAS]]-Cereal[[#This Row],[N° SACOS]]*Cereal[[#This Row],[CAP. SACOS]]</f>
        <v>46</v>
      </c>
      <c r="K867" s="16">
        <v>46024</v>
      </c>
      <c r="L867" s="16">
        <v>46024</v>
      </c>
      <c r="M867" s="16">
        <v>46026</v>
      </c>
      <c r="N867" s="16" t="s">
        <v>294</v>
      </c>
    </row>
    <row r="868" spans="1:14" hidden="1" x14ac:dyDescent="0.25">
      <c r="A868" s="14" t="s">
        <v>14</v>
      </c>
      <c r="B868" s="14" t="s">
        <v>293</v>
      </c>
      <c r="C868" s="15" t="s">
        <v>19</v>
      </c>
      <c r="D868" s="16">
        <v>46058</v>
      </c>
      <c r="E868" s="17">
        <v>606</v>
      </c>
      <c r="F868" s="18">
        <v>0.5</v>
      </c>
      <c r="G868" s="19">
        <f>Cereal[[#This Row],[N° BOLSAS]]*Cereal[[#This Row],[KG BOLSA]]</f>
        <v>303</v>
      </c>
      <c r="H868" s="37">
        <v>80</v>
      </c>
      <c r="I868" s="14">
        <f>ROUNDDOWN(Cereal[[#This Row],[N° BOLSAS]]/Cereal[[#This Row],[CAP. SACOS]],0)</f>
        <v>7</v>
      </c>
      <c r="J868" s="14">
        <f>Cereal[[#This Row],[N° BOLSAS]]-Cereal[[#This Row],[N° SACOS]]*Cereal[[#This Row],[CAP. SACOS]]</f>
        <v>46</v>
      </c>
      <c r="K868" s="16">
        <v>46076</v>
      </c>
      <c r="L868" s="16">
        <v>46076</v>
      </c>
      <c r="M868" s="16">
        <v>46076</v>
      </c>
      <c r="N868" s="16" t="s">
        <v>294</v>
      </c>
    </row>
    <row r="869" spans="1:14" hidden="1" x14ac:dyDescent="0.25">
      <c r="A869" s="14" t="s">
        <v>14</v>
      </c>
      <c r="B869" s="14" t="s">
        <v>293</v>
      </c>
      <c r="C869" s="15" t="s">
        <v>20</v>
      </c>
      <c r="D869" s="16">
        <v>46058</v>
      </c>
      <c r="E869" s="17">
        <v>606</v>
      </c>
      <c r="F869" s="18">
        <v>0.5</v>
      </c>
      <c r="G869" s="19">
        <f>Cereal[[#This Row],[N° BOLSAS]]*Cereal[[#This Row],[KG BOLSA]]</f>
        <v>303</v>
      </c>
      <c r="H869" s="37">
        <v>80</v>
      </c>
      <c r="I869" s="14">
        <f>ROUNDDOWN(Cereal[[#This Row],[N° BOLSAS]]/Cereal[[#This Row],[CAP. SACOS]],0)</f>
        <v>7</v>
      </c>
      <c r="J869" s="14">
        <f>Cereal[[#This Row],[N° BOLSAS]]-Cereal[[#This Row],[N° SACOS]]*Cereal[[#This Row],[CAP. SACOS]]</f>
        <v>46</v>
      </c>
      <c r="K869" s="16">
        <v>46076</v>
      </c>
      <c r="L869" s="16">
        <v>46076</v>
      </c>
      <c r="M869" s="16">
        <v>46076</v>
      </c>
      <c r="N869" s="16" t="s">
        <v>294</v>
      </c>
    </row>
    <row r="870" spans="1:14" hidden="1" x14ac:dyDescent="0.25">
      <c r="A870" s="14" t="s">
        <v>14</v>
      </c>
      <c r="B870" s="14" t="s">
        <v>293</v>
      </c>
      <c r="C870" s="15" t="s">
        <v>21</v>
      </c>
      <c r="D870" s="16">
        <v>46142</v>
      </c>
      <c r="E870" s="17">
        <v>606</v>
      </c>
      <c r="F870" s="18">
        <v>0.5</v>
      </c>
      <c r="G870" s="19">
        <f>Cereal[[#This Row],[N° BOLSAS]]*Cereal[[#This Row],[KG BOLSA]]</f>
        <v>303</v>
      </c>
      <c r="H870" s="37">
        <v>80</v>
      </c>
      <c r="I870" s="14">
        <f>ROUNDDOWN(Cereal[[#This Row],[N° BOLSAS]]/Cereal[[#This Row],[CAP. SACOS]],0)</f>
        <v>7</v>
      </c>
      <c r="J870" s="14">
        <f>Cereal[[#This Row],[N° BOLSAS]]-Cereal[[#This Row],[N° SACOS]]*Cereal[[#This Row],[CAP. SACOS]]</f>
        <v>46</v>
      </c>
      <c r="K870" s="16">
        <v>46147</v>
      </c>
      <c r="L870" s="16">
        <v>46147</v>
      </c>
      <c r="M870" s="16">
        <v>46152</v>
      </c>
      <c r="N870" s="16" t="s">
        <v>294</v>
      </c>
    </row>
    <row r="871" spans="1:14" hidden="1" x14ac:dyDescent="0.25">
      <c r="A871" s="14" t="s">
        <v>14</v>
      </c>
      <c r="B871" s="14" t="s">
        <v>293</v>
      </c>
      <c r="C871" s="15" t="s">
        <v>22</v>
      </c>
      <c r="D871" s="16">
        <v>46142</v>
      </c>
      <c r="E871" s="17">
        <v>606</v>
      </c>
      <c r="F871" s="18">
        <v>0.5</v>
      </c>
      <c r="G871" s="19">
        <f>Cereal[[#This Row],[N° BOLSAS]]*Cereal[[#This Row],[KG BOLSA]]</f>
        <v>303</v>
      </c>
      <c r="H871" s="37">
        <v>80</v>
      </c>
      <c r="I871" s="14">
        <f>ROUNDDOWN(Cereal[[#This Row],[N° BOLSAS]]/Cereal[[#This Row],[CAP. SACOS]],0)</f>
        <v>7</v>
      </c>
      <c r="J871" s="14">
        <f>Cereal[[#This Row],[N° BOLSAS]]-Cereal[[#This Row],[N° SACOS]]*Cereal[[#This Row],[CAP. SACOS]]</f>
        <v>46</v>
      </c>
      <c r="K871" s="16">
        <v>46147</v>
      </c>
      <c r="L871" s="16">
        <v>46147</v>
      </c>
      <c r="M871" s="16">
        <v>46152</v>
      </c>
      <c r="N871" s="16" t="s">
        <v>294</v>
      </c>
    </row>
    <row r="872" spans="1:14" hidden="1" x14ac:dyDescent="0.25">
      <c r="A872" s="14" t="s">
        <v>14</v>
      </c>
      <c r="B872" s="14" t="s">
        <v>293</v>
      </c>
      <c r="C872" s="15" t="s">
        <v>23</v>
      </c>
      <c r="D872" s="16">
        <v>46203</v>
      </c>
      <c r="E872" s="17">
        <v>606</v>
      </c>
      <c r="F872" s="18">
        <v>0.5</v>
      </c>
      <c r="G872" s="19">
        <f>Cereal[[#This Row],[N° BOLSAS]]*Cereal[[#This Row],[KG BOLSA]]</f>
        <v>303</v>
      </c>
      <c r="H872" s="37">
        <v>80</v>
      </c>
      <c r="I872" s="14">
        <f>ROUNDDOWN(Cereal[[#This Row],[N° BOLSAS]]/Cereal[[#This Row],[CAP. SACOS]],0)</f>
        <v>7</v>
      </c>
      <c r="J872" s="14">
        <f>Cereal[[#This Row],[N° BOLSAS]]-Cereal[[#This Row],[N° SACOS]]*Cereal[[#This Row],[CAP. SACOS]]</f>
        <v>46</v>
      </c>
      <c r="K872" s="16">
        <v>46182</v>
      </c>
      <c r="L872" s="16">
        <v>46182</v>
      </c>
      <c r="M872" s="16">
        <v>46183</v>
      </c>
      <c r="N872" s="16" t="s">
        <v>294</v>
      </c>
    </row>
    <row r="873" spans="1:14" hidden="1" x14ac:dyDescent="0.25">
      <c r="A873" s="14" t="s">
        <v>14</v>
      </c>
      <c r="B873" s="14" t="s">
        <v>293</v>
      </c>
      <c r="C873" s="15" t="s">
        <v>24</v>
      </c>
      <c r="D873" s="16">
        <v>46203</v>
      </c>
      <c r="E873" s="17">
        <v>606</v>
      </c>
      <c r="F873" s="18">
        <v>0.5</v>
      </c>
      <c r="G873" s="19">
        <f>Cereal[[#This Row],[N° BOLSAS]]*Cereal[[#This Row],[KG BOLSA]]</f>
        <v>303</v>
      </c>
      <c r="H873" s="37">
        <v>80</v>
      </c>
      <c r="I873" s="14">
        <f>ROUNDDOWN(Cereal[[#This Row],[N° BOLSAS]]/Cereal[[#This Row],[CAP. SACOS]],0)</f>
        <v>7</v>
      </c>
      <c r="J873" s="14">
        <f>Cereal[[#This Row],[N° BOLSAS]]-Cereal[[#This Row],[N° SACOS]]*Cereal[[#This Row],[CAP. SACOS]]</f>
        <v>46</v>
      </c>
      <c r="K873" s="16">
        <v>46182</v>
      </c>
      <c r="L873" s="16">
        <v>46182</v>
      </c>
      <c r="M873" s="16">
        <v>46183</v>
      </c>
      <c r="N873" s="16" t="s">
        <v>294</v>
      </c>
    </row>
    <row r="874" spans="1:14" hidden="1" x14ac:dyDescent="0.25">
      <c r="A874" s="14" t="s">
        <v>14</v>
      </c>
      <c r="B874" s="14" t="s">
        <v>293</v>
      </c>
      <c r="C874" s="15" t="s">
        <v>25</v>
      </c>
      <c r="D874" s="16">
        <v>46264</v>
      </c>
      <c r="E874" s="17">
        <v>606</v>
      </c>
      <c r="F874" s="18">
        <v>0.5</v>
      </c>
      <c r="G874" s="19">
        <f>Cereal[[#This Row],[N° BOLSAS]]*Cereal[[#This Row],[KG BOLSA]]</f>
        <v>303</v>
      </c>
      <c r="H874" s="37">
        <v>80</v>
      </c>
      <c r="I874" s="14">
        <f>ROUNDDOWN(Cereal[[#This Row],[N° BOLSAS]]/Cereal[[#This Row],[CAP. SACOS]],0)</f>
        <v>7</v>
      </c>
      <c r="J874" s="14">
        <f>Cereal[[#This Row],[N° BOLSAS]]-Cereal[[#This Row],[N° SACOS]]*Cereal[[#This Row],[CAP. SACOS]]</f>
        <v>46</v>
      </c>
      <c r="K874" s="16">
        <v>46266</v>
      </c>
      <c r="L874" s="16">
        <v>46266</v>
      </c>
      <c r="M874" s="16">
        <v>46267</v>
      </c>
      <c r="N874" s="16" t="s">
        <v>294</v>
      </c>
    </row>
    <row r="875" spans="1:14" hidden="1" x14ac:dyDescent="0.25">
      <c r="A875" s="14" t="s">
        <v>14</v>
      </c>
      <c r="B875" s="14" t="s">
        <v>293</v>
      </c>
      <c r="C875" s="15" t="s">
        <v>26</v>
      </c>
      <c r="D875" s="16">
        <v>46264</v>
      </c>
      <c r="E875" s="17">
        <v>606</v>
      </c>
      <c r="F875" s="18">
        <v>0.5</v>
      </c>
      <c r="G875" s="19">
        <f>Cereal[[#This Row],[N° BOLSAS]]*Cereal[[#This Row],[KG BOLSA]]</f>
        <v>303</v>
      </c>
      <c r="H875" s="37">
        <v>80</v>
      </c>
      <c r="I875" s="14">
        <f>ROUNDDOWN(Cereal[[#This Row],[N° BOLSAS]]/Cereal[[#This Row],[CAP. SACOS]],0)</f>
        <v>7</v>
      </c>
      <c r="J875" s="14">
        <f>Cereal[[#This Row],[N° BOLSAS]]-Cereal[[#This Row],[N° SACOS]]*Cereal[[#This Row],[CAP. SACOS]]</f>
        <v>46</v>
      </c>
      <c r="K875" s="16">
        <v>46266</v>
      </c>
      <c r="L875" s="16">
        <v>46266</v>
      </c>
      <c r="M875" s="16">
        <v>46267</v>
      </c>
      <c r="N875" s="16" t="s">
        <v>294</v>
      </c>
    </row>
    <row r="876" spans="1:14" hidden="1" x14ac:dyDescent="0.25">
      <c r="A876" s="14" t="s">
        <v>14</v>
      </c>
      <c r="B876" s="14" t="s">
        <v>293</v>
      </c>
      <c r="C876" s="15" t="s">
        <v>27</v>
      </c>
      <c r="D876" s="16">
        <v>46325</v>
      </c>
      <c r="E876" s="17">
        <v>606</v>
      </c>
      <c r="F876" s="18">
        <v>0.5</v>
      </c>
      <c r="G876" s="19">
        <f>Cereal[[#This Row],[N° BOLSAS]]*Cereal[[#This Row],[KG BOLSA]]</f>
        <v>303</v>
      </c>
      <c r="H876" s="37">
        <v>80</v>
      </c>
      <c r="I876" s="14">
        <f>ROUNDDOWN(Cereal[[#This Row],[N° BOLSAS]]/Cereal[[#This Row],[CAP. SACOS]],0)</f>
        <v>7</v>
      </c>
      <c r="J876" s="14">
        <f>Cereal[[#This Row],[N° BOLSAS]]-Cereal[[#This Row],[N° SACOS]]*Cereal[[#This Row],[CAP. SACOS]]</f>
        <v>46</v>
      </c>
      <c r="K876" s="16"/>
      <c r="L876" s="16"/>
      <c r="M876" s="16"/>
      <c r="N876" s="16" t="s">
        <v>294</v>
      </c>
    </row>
    <row r="877" spans="1:14" hidden="1" x14ac:dyDescent="0.25">
      <c r="A877" s="14" t="s">
        <v>14</v>
      </c>
      <c r="B877" s="14" t="s">
        <v>293</v>
      </c>
      <c r="C877" s="15" t="s">
        <v>28</v>
      </c>
      <c r="D877" s="16">
        <v>46325</v>
      </c>
      <c r="E877" s="17">
        <v>606</v>
      </c>
      <c r="F877" s="18">
        <v>0.5</v>
      </c>
      <c r="G877" s="19">
        <f>Cereal[[#This Row],[N° BOLSAS]]*Cereal[[#This Row],[KG BOLSA]]</f>
        <v>303</v>
      </c>
      <c r="H877" s="37">
        <v>80</v>
      </c>
      <c r="I877" s="14">
        <f>ROUNDDOWN(Cereal[[#This Row],[N° BOLSAS]]/Cereal[[#This Row],[CAP. SACOS]],0)</f>
        <v>7</v>
      </c>
      <c r="J877" s="14">
        <f>Cereal[[#This Row],[N° BOLSAS]]-Cereal[[#This Row],[N° SACOS]]*Cereal[[#This Row],[CAP. SACOS]]</f>
        <v>46</v>
      </c>
      <c r="K877" s="16"/>
      <c r="L877" s="16"/>
      <c r="M877" s="16"/>
      <c r="N877" s="16" t="s">
        <v>294</v>
      </c>
    </row>
    <row r="878" spans="1:14" hidden="1" x14ac:dyDescent="0.25">
      <c r="A878" s="14" t="s">
        <v>14</v>
      </c>
      <c r="B878" s="14" t="s">
        <v>295</v>
      </c>
      <c r="C878" s="15" t="s">
        <v>16</v>
      </c>
      <c r="D878" s="16">
        <v>46048</v>
      </c>
      <c r="E878" s="17">
        <v>500</v>
      </c>
      <c r="F878" s="18">
        <v>1.47519</v>
      </c>
      <c r="G878" s="19">
        <f>Cereal[[#This Row],[N° BOLSAS]]*Cereal[[#This Row],[KG BOLSA]]</f>
        <v>737.59500000000003</v>
      </c>
      <c r="H878" s="37">
        <v>30</v>
      </c>
      <c r="I878" s="14">
        <f>ROUNDDOWN(Cereal[[#This Row],[N° BOLSAS]]/Cereal[[#This Row],[CAP. SACOS]],0)</f>
        <v>16</v>
      </c>
      <c r="J878" s="14">
        <f>Cereal[[#This Row],[N° BOLSAS]]-Cereal[[#This Row],[N° SACOS]]*Cereal[[#This Row],[CAP. SACOS]]</f>
        <v>20</v>
      </c>
      <c r="K878" s="16">
        <v>46058</v>
      </c>
      <c r="L878" s="16">
        <v>46058</v>
      </c>
      <c r="M878" s="16">
        <v>46058</v>
      </c>
      <c r="N878" s="16" t="s">
        <v>296</v>
      </c>
    </row>
    <row r="879" spans="1:14" hidden="1" x14ac:dyDescent="0.25">
      <c r="A879" s="14" t="s">
        <v>14</v>
      </c>
      <c r="B879" s="14" t="s">
        <v>295</v>
      </c>
      <c r="C879" s="15" t="s">
        <v>18</v>
      </c>
      <c r="D879" s="16">
        <v>46048</v>
      </c>
      <c r="E879" s="17">
        <v>500</v>
      </c>
      <c r="F879" s="18">
        <v>1.47519</v>
      </c>
      <c r="G879" s="19">
        <f>Cereal[[#This Row],[N° BOLSAS]]*Cereal[[#This Row],[KG BOLSA]]</f>
        <v>737.59500000000003</v>
      </c>
      <c r="H879" s="37">
        <v>30</v>
      </c>
      <c r="I879" s="14">
        <f>ROUNDDOWN(Cereal[[#This Row],[N° BOLSAS]]/Cereal[[#This Row],[CAP. SACOS]],0)</f>
        <v>16</v>
      </c>
      <c r="J879" s="14">
        <f>Cereal[[#This Row],[N° BOLSAS]]-Cereal[[#This Row],[N° SACOS]]*Cereal[[#This Row],[CAP. SACOS]]</f>
        <v>20</v>
      </c>
      <c r="K879" s="16">
        <v>46058</v>
      </c>
      <c r="L879" s="16">
        <v>46058</v>
      </c>
      <c r="M879" s="16">
        <v>46058</v>
      </c>
      <c r="N879" s="16" t="s">
        <v>296</v>
      </c>
    </row>
    <row r="880" spans="1:14" hidden="1" x14ac:dyDescent="0.25">
      <c r="A880" s="14" t="s">
        <v>14</v>
      </c>
      <c r="B880" s="14" t="s">
        <v>295</v>
      </c>
      <c r="C880" s="15" t="s">
        <v>19</v>
      </c>
      <c r="D880" s="16">
        <v>46076</v>
      </c>
      <c r="E880" s="17">
        <v>500</v>
      </c>
      <c r="F880" s="18">
        <v>1.47519</v>
      </c>
      <c r="G880" s="19">
        <f>Cereal[[#This Row],[N° BOLSAS]]*Cereal[[#This Row],[KG BOLSA]]</f>
        <v>737.59500000000003</v>
      </c>
      <c r="H880" s="37">
        <v>30</v>
      </c>
      <c r="I880" s="14">
        <f>ROUNDDOWN(Cereal[[#This Row],[N° BOLSAS]]/Cereal[[#This Row],[CAP. SACOS]],0)</f>
        <v>16</v>
      </c>
      <c r="J880" s="14">
        <f>Cereal[[#This Row],[N° BOLSAS]]-Cereal[[#This Row],[N° SACOS]]*Cereal[[#This Row],[CAP. SACOS]]</f>
        <v>20</v>
      </c>
      <c r="K880" s="16">
        <v>46058</v>
      </c>
      <c r="L880" s="16">
        <v>46058</v>
      </c>
      <c r="M880" s="16">
        <v>46058</v>
      </c>
      <c r="N880" s="16" t="s">
        <v>296</v>
      </c>
    </row>
    <row r="881" spans="1:14" hidden="1" x14ac:dyDescent="0.25">
      <c r="A881" s="14" t="s">
        <v>14</v>
      </c>
      <c r="B881" s="14" t="s">
        <v>295</v>
      </c>
      <c r="C881" s="15" t="s">
        <v>20</v>
      </c>
      <c r="D881" s="16">
        <v>46139</v>
      </c>
      <c r="E881" s="17">
        <v>500</v>
      </c>
      <c r="F881" s="18">
        <v>1.47519</v>
      </c>
      <c r="G881" s="19">
        <f>Cereal[[#This Row],[N° BOLSAS]]*Cereal[[#This Row],[KG BOLSA]]</f>
        <v>737.59500000000003</v>
      </c>
      <c r="H881" s="37">
        <v>30</v>
      </c>
      <c r="I881" s="14">
        <f>ROUNDDOWN(Cereal[[#This Row],[N° BOLSAS]]/Cereal[[#This Row],[CAP. SACOS]],0)</f>
        <v>16</v>
      </c>
      <c r="J881" s="14">
        <f>Cereal[[#This Row],[N° BOLSAS]]-Cereal[[#This Row],[N° SACOS]]*Cereal[[#This Row],[CAP. SACOS]]</f>
        <v>20</v>
      </c>
      <c r="K881" s="16">
        <v>46126</v>
      </c>
      <c r="L881" s="16">
        <v>46126</v>
      </c>
      <c r="M881" s="16">
        <v>46127</v>
      </c>
      <c r="N881" s="16" t="s">
        <v>296</v>
      </c>
    </row>
    <row r="882" spans="1:14" hidden="1" x14ac:dyDescent="0.25">
      <c r="A882" s="14" t="s">
        <v>14</v>
      </c>
      <c r="B882" s="14" t="s">
        <v>295</v>
      </c>
      <c r="C882" s="15" t="s">
        <v>21</v>
      </c>
      <c r="D882" s="16">
        <v>46139</v>
      </c>
      <c r="E882" s="17">
        <v>500</v>
      </c>
      <c r="F882" s="18">
        <v>1.47519</v>
      </c>
      <c r="G882" s="19">
        <f>Cereal[[#This Row],[N° BOLSAS]]*Cereal[[#This Row],[KG BOLSA]]</f>
        <v>737.59500000000003</v>
      </c>
      <c r="H882" s="37">
        <v>30</v>
      </c>
      <c r="I882" s="14">
        <f>ROUNDDOWN(Cereal[[#This Row],[N° BOLSAS]]/Cereal[[#This Row],[CAP. SACOS]],0)</f>
        <v>16</v>
      </c>
      <c r="J882" s="14">
        <f>Cereal[[#This Row],[N° BOLSAS]]-Cereal[[#This Row],[N° SACOS]]*Cereal[[#This Row],[CAP. SACOS]]</f>
        <v>20</v>
      </c>
      <c r="K882" s="16">
        <v>46126</v>
      </c>
      <c r="L882" s="16">
        <v>46126</v>
      </c>
      <c r="M882" s="16">
        <v>46127</v>
      </c>
      <c r="N882" s="16" t="s">
        <v>296</v>
      </c>
    </row>
    <row r="883" spans="1:14" hidden="1" x14ac:dyDescent="0.25">
      <c r="A883" s="14" t="s">
        <v>14</v>
      </c>
      <c r="B883" s="14" t="s">
        <v>295</v>
      </c>
      <c r="C883" s="15" t="s">
        <v>22</v>
      </c>
      <c r="D883" s="16">
        <v>46139</v>
      </c>
      <c r="E883" s="17">
        <v>500</v>
      </c>
      <c r="F883" s="18">
        <v>1.47519</v>
      </c>
      <c r="G883" s="19">
        <f>Cereal[[#This Row],[N° BOLSAS]]*Cereal[[#This Row],[KG BOLSA]]</f>
        <v>737.59500000000003</v>
      </c>
      <c r="H883" s="37">
        <v>30</v>
      </c>
      <c r="I883" s="14">
        <f>ROUNDDOWN(Cereal[[#This Row],[N° BOLSAS]]/Cereal[[#This Row],[CAP. SACOS]],0)</f>
        <v>16</v>
      </c>
      <c r="J883" s="14">
        <f>Cereal[[#This Row],[N° BOLSAS]]-Cereal[[#This Row],[N° SACOS]]*Cereal[[#This Row],[CAP. SACOS]]</f>
        <v>20</v>
      </c>
      <c r="K883" s="16">
        <v>46126</v>
      </c>
      <c r="L883" s="16">
        <v>46126</v>
      </c>
      <c r="M883" s="16">
        <v>46127</v>
      </c>
      <c r="N883" s="16" t="s">
        <v>296</v>
      </c>
    </row>
    <row r="884" spans="1:14" hidden="1" x14ac:dyDescent="0.25">
      <c r="A884" s="14" t="s">
        <v>14</v>
      </c>
      <c r="B884" s="14" t="s">
        <v>295</v>
      </c>
      <c r="C884" s="15" t="s">
        <v>23</v>
      </c>
      <c r="D884" s="16">
        <v>46197</v>
      </c>
      <c r="E884" s="17">
        <v>500</v>
      </c>
      <c r="F884" s="18">
        <v>1.47519</v>
      </c>
      <c r="G884" s="19">
        <f>Cereal[[#This Row],[N° BOLSAS]]*Cereal[[#This Row],[KG BOLSA]]</f>
        <v>737.59500000000003</v>
      </c>
      <c r="H884" s="37">
        <v>30</v>
      </c>
      <c r="I884" s="14">
        <f>ROUNDDOWN(Cereal[[#This Row],[N° BOLSAS]]/Cereal[[#This Row],[CAP. SACOS]],0)</f>
        <v>16</v>
      </c>
      <c r="J884" s="14">
        <f>Cereal[[#This Row],[N° BOLSAS]]-Cereal[[#This Row],[N° SACOS]]*Cereal[[#This Row],[CAP. SACOS]]</f>
        <v>20</v>
      </c>
      <c r="K884" s="16">
        <v>46205</v>
      </c>
      <c r="L884" s="16">
        <v>46205</v>
      </c>
      <c r="M884" s="16">
        <v>46205</v>
      </c>
      <c r="N884" s="16" t="s">
        <v>296</v>
      </c>
    </row>
    <row r="885" spans="1:14" hidden="1" x14ac:dyDescent="0.25">
      <c r="A885" s="14" t="s">
        <v>14</v>
      </c>
      <c r="B885" s="14" t="s">
        <v>295</v>
      </c>
      <c r="C885" s="15" t="s">
        <v>24</v>
      </c>
      <c r="D885" s="16">
        <v>46197</v>
      </c>
      <c r="E885" s="17">
        <v>500</v>
      </c>
      <c r="F885" s="18">
        <v>1.47519</v>
      </c>
      <c r="G885" s="19">
        <f>Cereal[[#This Row],[N° BOLSAS]]*Cereal[[#This Row],[KG BOLSA]]</f>
        <v>737.59500000000003</v>
      </c>
      <c r="H885" s="37">
        <v>30</v>
      </c>
      <c r="I885" s="14">
        <f>ROUNDDOWN(Cereal[[#This Row],[N° BOLSAS]]/Cereal[[#This Row],[CAP. SACOS]],0)</f>
        <v>16</v>
      </c>
      <c r="J885" s="14">
        <f>Cereal[[#This Row],[N° BOLSAS]]-Cereal[[#This Row],[N° SACOS]]*Cereal[[#This Row],[CAP. SACOS]]</f>
        <v>20</v>
      </c>
      <c r="K885" s="16">
        <v>46205</v>
      </c>
      <c r="L885" s="16">
        <v>46205</v>
      </c>
      <c r="M885" s="16">
        <v>46205</v>
      </c>
      <c r="N885" s="16" t="s">
        <v>296</v>
      </c>
    </row>
    <row r="886" spans="1:14" hidden="1" x14ac:dyDescent="0.25">
      <c r="A886" s="14" t="s">
        <v>14</v>
      </c>
      <c r="B886" s="14" t="s">
        <v>295</v>
      </c>
      <c r="C886" s="15" t="s">
        <v>25</v>
      </c>
      <c r="D886" s="16">
        <v>46197</v>
      </c>
      <c r="E886" s="17">
        <v>500</v>
      </c>
      <c r="F886" s="18">
        <v>1.47519</v>
      </c>
      <c r="G886" s="19">
        <f>Cereal[[#This Row],[N° BOLSAS]]*Cereal[[#This Row],[KG BOLSA]]</f>
        <v>737.59500000000003</v>
      </c>
      <c r="H886" s="37">
        <v>30</v>
      </c>
      <c r="I886" s="14">
        <f>ROUNDDOWN(Cereal[[#This Row],[N° BOLSAS]]/Cereal[[#This Row],[CAP. SACOS]],0)</f>
        <v>16</v>
      </c>
      <c r="J886" s="14">
        <f>Cereal[[#This Row],[N° BOLSAS]]-Cereal[[#This Row],[N° SACOS]]*Cereal[[#This Row],[CAP. SACOS]]</f>
        <v>20</v>
      </c>
      <c r="K886" s="16">
        <v>46205</v>
      </c>
      <c r="L886" s="16">
        <v>46205</v>
      </c>
      <c r="M886" s="16">
        <v>46205</v>
      </c>
      <c r="N886" s="16" t="s">
        <v>296</v>
      </c>
    </row>
    <row r="887" spans="1:14" hidden="1" x14ac:dyDescent="0.25">
      <c r="A887" s="14" t="s">
        <v>14</v>
      </c>
      <c r="B887" s="14" t="s">
        <v>295</v>
      </c>
      <c r="C887" s="15" t="s">
        <v>26</v>
      </c>
      <c r="D887" s="16">
        <v>46288</v>
      </c>
      <c r="E887" s="17">
        <v>500</v>
      </c>
      <c r="F887" s="18">
        <v>1.47519</v>
      </c>
      <c r="G887" s="19">
        <f>Cereal[[#This Row],[N° BOLSAS]]*Cereal[[#This Row],[KG BOLSA]]</f>
        <v>737.59500000000003</v>
      </c>
      <c r="H887" s="37">
        <v>30</v>
      </c>
      <c r="I887" s="14">
        <f>ROUNDDOWN(Cereal[[#This Row],[N° BOLSAS]]/Cereal[[#This Row],[CAP. SACOS]],0)</f>
        <v>16</v>
      </c>
      <c r="J887" s="14">
        <f>Cereal[[#This Row],[N° BOLSAS]]-Cereal[[#This Row],[N° SACOS]]*Cereal[[#This Row],[CAP. SACOS]]</f>
        <v>20</v>
      </c>
      <c r="K887" s="16"/>
      <c r="L887" s="16"/>
      <c r="M887" s="16"/>
      <c r="N887" s="16" t="s">
        <v>296</v>
      </c>
    </row>
    <row r="888" spans="1:14" hidden="1" x14ac:dyDescent="0.25">
      <c r="A888" s="14" t="s">
        <v>14</v>
      </c>
      <c r="B888" s="14" t="s">
        <v>295</v>
      </c>
      <c r="C888" s="15" t="s">
        <v>27</v>
      </c>
      <c r="D888" s="16">
        <v>46288</v>
      </c>
      <c r="E888" s="17">
        <v>500</v>
      </c>
      <c r="F888" s="18">
        <v>1.47519</v>
      </c>
      <c r="G888" s="19">
        <f>Cereal[[#This Row],[N° BOLSAS]]*Cereal[[#This Row],[KG BOLSA]]</f>
        <v>737.59500000000003</v>
      </c>
      <c r="H888" s="37">
        <v>30</v>
      </c>
      <c r="I888" s="14">
        <f>ROUNDDOWN(Cereal[[#This Row],[N° BOLSAS]]/Cereal[[#This Row],[CAP. SACOS]],0)</f>
        <v>16</v>
      </c>
      <c r="J888" s="14">
        <f>Cereal[[#This Row],[N° BOLSAS]]-Cereal[[#This Row],[N° SACOS]]*Cereal[[#This Row],[CAP. SACOS]]</f>
        <v>20</v>
      </c>
      <c r="K888" s="16"/>
      <c r="L888" s="16"/>
      <c r="M888" s="16"/>
      <c r="N888" s="16" t="s">
        <v>296</v>
      </c>
    </row>
    <row r="889" spans="1:14" hidden="1" x14ac:dyDescent="0.25">
      <c r="A889" s="14" t="s">
        <v>14</v>
      </c>
      <c r="B889" s="14" t="s">
        <v>295</v>
      </c>
      <c r="C889" s="15" t="s">
        <v>28</v>
      </c>
      <c r="D889" s="16">
        <v>46288</v>
      </c>
      <c r="E889" s="17">
        <v>500</v>
      </c>
      <c r="F889" s="18">
        <v>1.47519</v>
      </c>
      <c r="G889" s="19">
        <f>Cereal[[#This Row],[N° BOLSAS]]*Cereal[[#This Row],[KG BOLSA]]</f>
        <v>737.59500000000003</v>
      </c>
      <c r="H889" s="37">
        <v>30</v>
      </c>
      <c r="I889" s="14">
        <f>ROUNDDOWN(Cereal[[#This Row],[N° BOLSAS]]/Cereal[[#This Row],[CAP. SACOS]],0)</f>
        <v>16</v>
      </c>
      <c r="J889" s="14">
        <f>Cereal[[#This Row],[N° BOLSAS]]-Cereal[[#This Row],[N° SACOS]]*Cereal[[#This Row],[CAP. SACOS]]</f>
        <v>20</v>
      </c>
      <c r="K889" s="16"/>
      <c r="L889" s="16"/>
      <c r="M889" s="16"/>
      <c r="N889" s="16" t="s">
        <v>296</v>
      </c>
    </row>
    <row r="890" spans="1:14" hidden="1" x14ac:dyDescent="0.25">
      <c r="A890" s="14" t="s">
        <v>100</v>
      </c>
      <c r="B890" s="14" t="s">
        <v>297</v>
      </c>
      <c r="C890" s="15" t="s">
        <v>30</v>
      </c>
      <c r="D890" s="16">
        <v>46120</v>
      </c>
      <c r="E890" s="17">
        <v>220</v>
      </c>
      <c r="F890" s="18">
        <v>1</v>
      </c>
      <c r="G890" s="19">
        <f>Cereal[[#This Row],[N° BOLSAS]]*Cereal[[#This Row],[KG BOLSA]]</f>
        <v>220</v>
      </c>
      <c r="H890" s="37">
        <v>40</v>
      </c>
      <c r="I890" s="14">
        <f>ROUNDDOWN(Cereal[[#This Row],[N° BOLSAS]]/Cereal[[#This Row],[CAP. SACOS]],0)</f>
        <v>5</v>
      </c>
      <c r="J890" s="14">
        <f>Cereal[[#This Row],[N° BOLSAS]]-Cereal[[#This Row],[N° SACOS]]*Cereal[[#This Row],[CAP. SACOS]]</f>
        <v>20</v>
      </c>
      <c r="K890" s="16">
        <v>46119</v>
      </c>
      <c r="L890" s="16">
        <v>46119</v>
      </c>
      <c r="M890" s="16">
        <v>46120</v>
      </c>
      <c r="N890" s="16" t="s">
        <v>158</v>
      </c>
    </row>
    <row r="891" spans="1:14" ht="22.5" hidden="1" x14ac:dyDescent="0.25">
      <c r="A891" s="14" t="s">
        <v>14</v>
      </c>
      <c r="B891" s="14" t="s">
        <v>298</v>
      </c>
      <c r="C891" s="15" t="s">
        <v>35</v>
      </c>
      <c r="D891" s="16">
        <v>46101</v>
      </c>
      <c r="E891" s="17">
        <v>900</v>
      </c>
      <c r="F891" s="18">
        <v>1</v>
      </c>
      <c r="G891" s="19">
        <f>Cereal[[#This Row],[N° BOLSAS]]*Cereal[[#This Row],[KG BOLSA]]</f>
        <v>900</v>
      </c>
      <c r="H891" s="37">
        <v>40</v>
      </c>
      <c r="I891" s="14">
        <f>ROUNDDOWN(Cereal[[#This Row],[N° BOLSAS]]/Cereal[[#This Row],[CAP. SACOS]],0)</f>
        <v>22</v>
      </c>
      <c r="J891" s="14">
        <f>Cereal[[#This Row],[N° BOLSAS]]-Cereal[[#This Row],[N° SACOS]]*Cereal[[#This Row],[CAP. SACOS]]</f>
        <v>20</v>
      </c>
      <c r="K891" s="16">
        <v>46099</v>
      </c>
      <c r="L891" s="16">
        <v>46099</v>
      </c>
      <c r="M891" s="16">
        <v>46099</v>
      </c>
      <c r="N891" s="16" t="s">
        <v>299</v>
      </c>
    </row>
    <row r="892" spans="1:14" hidden="1" x14ac:dyDescent="0.25">
      <c r="A892" s="14" t="s">
        <v>14</v>
      </c>
      <c r="B892" s="14" t="s">
        <v>298</v>
      </c>
      <c r="C892" s="15" t="s">
        <v>37</v>
      </c>
      <c r="D892" s="16">
        <v>46101</v>
      </c>
      <c r="E892" s="17">
        <v>900</v>
      </c>
      <c r="F892" s="18">
        <v>1</v>
      </c>
      <c r="G892" s="19">
        <f>Cereal[[#This Row],[N° BOLSAS]]*Cereal[[#This Row],[KG BOLSA]]</f>
        <v>900</v>
      </c>
      <c r="H892" s="37">
        <v>40</v>
      </c>
      <c r="I892" s="14">
        <f>ROUNDDOWN(Cereal[[#This Row],[N° BOLSAS]]/Cereal[[#This Row],[CAP. SACOS]],0)</f>
        <v>22</v>
      </c>
      <c r="J892" s="14">
        <f>Cereal[[#This Row],[N° BOLSAS]]-Cereal[[#This Row],[N° SACOS]]*Cereal[[#This Row],[CAP. SACOS]]</f>
        <v>20</v>
      </c>
      <c r="K892" s="16">
        <v>46099</v>
      </c>
      <c r="L892" s="16">
        <v>46099</v>
      </c>
      <c r="M892" s="16">
        <v>46106</v>
      </c>
      <c r="N892" s="16" t="s">
        <v>299</v>
      </c>
    </row>
    <row r="893" spans="1:14" ht="22.5" hidden="1" x14ac:dyDescent="0.25">
      <c r="A893" s="14" t="s">
        <v>14</v>
      </c>
      <c r="B893" s="14" t="s">
        <v>298</v>
      </c>
      <c r="C893" s="15" t="s">
        <v>38</v>
      </c>
      <c r="D893" s="16">
        <v>46192</v>
      </c>
      <c r="E893" s="17">
        <v>900</v>
      </c>
      <c r="F893" s="18">
        <v>1</v>
      </c>
      <c r="G893" s="19">
        <f>Cereal[[#This Row],[N° BOLSAS]]*Cereal[[#This Row],[KG BOLSA]]</f>
        <v>900</v>
      </c>
      <c r="H893" s="37">
        <v>40</v>
      </c>
      <c r="I893" s="14">
        <f>ROUNDDOWN(Cereal[[#This Row],[N° BOLSAS]]/Cereal[[#This Row],[CAP. SACOS]],0)</f>
        <v>22</v>
      </c>
      <c r="J893" s="14">
        <f>Cereal[[#This Row],[N° BOLSAS]]-Cereal[[#This Row],[N° SACOS]]*Cereal[[#This Row],[CAP. SACOS]]</f>
        <v>20</v>
      </c>
      <c r="K893" s="16">
        <v>46195</v>
      </c>
      <c r="L893" s="16">
        <v>46195</v>
      </c>
      <c r="M893" s="16">
        <v>46195</v>
      </c>
      <c r="N893" s="16" t="s">
        <v>299</v>
      </c>
    </row>
    <row r="894" spans="1:14" ht="33.75" hidden="1" x14ac:dyDescent="0.25">
      <c r="A894" s="14" t="s">
        <v>14</v>
      </c>
      <c r="B894" s="14" t="s">
        <v>298</v>
      </c>
      <c r="C894" s="15" t="s">
        <v>39</v>
      </c>
      <c r="D894" s="16">
        <v>46287</v>
      </c>
      <c r="E894" s="17">
        <v>900</v>
      </c>
      <c r="F894" s="18">
        <v>1</v>
      </c>
      <c r="G894" s="19">
        <f>Cereal[[#This Row],[N° BOLSAS]]*Cereal[[#This Row],[KG BOLSA]]</f>
        <v>900</v>
      </c>
      <c r="H894" s="37">
        <v>40</v>
      </c>
      <c r="I894" s="14">
        <f>ROUNDDOWN(Cereal[[#This Row],[N° BOLSAS]]/Cereal[[#This Row],[CAP. SACOS]],0)</f>
        <v>22</v>
      </c>
      <c r="J894" s="14">
        <f>Cereal[[#This Row],[N° BOLSAS]]-Cereal[[#This Row],[N° SACOS]]*Cereal[[#This Row],[CAP. SACOS]]</f>
        <v>20</v>
      </c>
      <c r="K894" s="16">
        <v>46287</v>
      </c>
      <c r="L894" s="16">
        <v>46287</v>
      </c>
      <c r="M894" s="16">
        <v>46287</v>
      </c>
      <c r="N894" s="16" t="s">
        <v>299</v>
      </c>
    </row>
    <row r="895" spans="1:14" hidden="1" x14ac:dyDescent="0.25">
      <c r="A895" s="14" t="s">
        <v>14</v>
      </c>
      <c r="B895" s="14" t="s">
        <v>300</v>
      </c>
      <c r="C895" s="15" t="s">
        <v>121</v>
      </c>
      <c r="D895" s="16">
        <v>46042</v>
      </c>
      <c r="E895" s="17">
        <v>4160</v>
      </c>
      <c r="F895" s="18">
        <v>1.35</v>
      </c>
      <c r="G895" s="19">
        <f>Cereal[[#This Row],[N° BOLSAS]]*Cereal[[#This Row],[KG BOLSA]]</f>
        <v>5616</v>
      </c>
      <c r="H895" s="37">
        <v>30</v>
      </c>
      <c r="I895" s="14">
        <f>ROUNDDOWN(Cereal[[#This Row],[N° BOLSAS]]/Cereal[[#This Row],[CAP. SACOS]],0)</f>
        <v>138</v>
      </c>
      <c r="J895" s="14">
        <f>Cereal[[#This Row],[N° BOLSAS]]-Cereal[[#This Row],[N° SACOS]]*Cereal[[#This Row],[CAP. SACOS]]</f>
        <v>20</v>
      </c>
      <c r="K895" s="16">
        <v>46028</v>
      </c>
      <c r="L895" s="16">
        <v>46028</v>
      </c>
      <c r="M895" s="16">
        <v>46028</v>
      </c>
      <c r="N895" s="16" t="s">
        <v>301</v>
      </c>
    </row>
    <row r="896" spans="1:14" hidden="1" x14ac:dyDescent="0.25">
      <c r="A896" s="14" t="s">
        <v>14</v>
      </c>
      <c r="B896" s="14" t="s">
        <v>300</v>
      </c>
      <c r="C896" s="15" t="s">
        <v>122</v>
      </c>
      <c r="D896" s="16">
        <v>46073</v>
      </c>
      <c r="E896" s="17">
        <v>4160</v>
      </c>
      <c r="F896" s="18">
        <v>1.35</v>
      </c>
      <c r="G896" s="19">
        <f>Cereal[[#This Row],[N° BOLSAS]]*Cereal[[#This Row],[KG BOLSA]]</f>
        <v>5616</v>
      </c>
      <c r="H896" s="37">
        <v>30</v>
      </c>
      <c r="I896" s="14">
        <f>ROUNDDOWN(Cereal[[#This Row],[N° BOLSAS]]/Cereal[[#This Row],[CAP. SACOS]],0)</f>
        <v>138</v>
      </c>
      <c r="J896" s="14">
        <f>Cereal[[#This Row],[N° BOLSAS]]-Cereal[[#This Row],[N° SACOS]]*Cereal[[#This Row],[CAP. SACOS]]</f>
        <v>20</v>
      </c>
      <c r="K896" s="16">
        <v>46083</v>
      </c>
      <c r="L896" s="16">
        <v>46083</v>
      </c>
      <c r="M896" s="16">
        <v>46084</v>
      </c>
      <c r="N896" s="16" t="s">
        <v>301</v>
      </c>
    </row>
    <row r="897" spans="1:14" hidden="1" x14ac:dyDescent="0.25">
      <c r="A897" s="14" t="s">
        <v>14</v>
      </c>
      <c r="B897" s="14" t="s">
        <v>300</v>
      </c>
      <c r="C897" s="15" t="s">
        <v>43</v>
      </c>
      <c r="D897" s="16">
        <v>46132</v>
      </c>
      <c r="E897" s="17">
        <v>4160</v>
      </c>
      <c r="F897" s="18">
        <v>1.35</v>
      </c>
      <c r="G897" s="19">
        <f>Cereal[[#This Row],[N° BOLSAS]]*Cereal[[#This Row],[KG BOLSA]]</f>
        <v>5616</v>
      </c>
      <c r="H897" s="37">
        <v>30</v>
      </c>
      <c r="I897" s="14">
        <f>ROUNDDOWN(Cereal[[#This Row],[N° BOLSAS]]/Cereal[[#This Row],[CAP. SACOS]],0)</f>
        <v>138</v>
      </c>
      <c r="J897" s="14">
        <f>Cereal[[#This Row],[N° BOLSAS]]-Cereal[[#This Row],[N° SACOS]]*Cereal[[#This Row],[CAP. SACOS]]</f>
        <v>20</v>
      </c>
      <c r="K897" s="16">
        <v>46119</v>
      </c>
      <c r="L897" s="16">
        <v>46119</v>
      </c>
      <c r="M897" s="16">
        <v>46125</v>
      </c>
      <c r="N897" s="16" t="s">
        <v>301</v>
      </c>
    </row>
    <row r="898" spans="1:14" hidden="1" x14ac:dyDescent="0.25">
      <c r="A898" s="14" t="s">
        <v>14</v>
      </c>
      <c r="B898" s="14" t="s">
        <v>300</v>
      </c>
      <c r="C898" s="15" t="s">
        <v>44</v>
      </c>
      <c r="D898" s="16">
        <v>46192</v>
      </c>
      <c r="E898" s="17">
        <v>4160</v>
      </c>
      <c r="F898" s="18">
        <v>1.35</v>
      </c>
      <c r="G898" s="19">
        <f>Cereal[[#This Row],[N° BOLSAS]]*Cereal[[#This Row],[KG BOLSA]]</f>
        <v>5616</v>
      </c>
      <c r="H898" s="37">
        <v>30</v>
      </c>
      <c r="I898" s="14">
        <f>ROUNDDOWN(Cereal[[#This Row],[N° BOLSAS]]/Cereal[[#This Row],[CAP. SACOS]],0)</f>
        <v>138</v>
      </c>
      <c r="J898" s="14">
        <f>Cereal[[#This Row],[N° BOLSAS]]-Cereal[[#This Row],[N° SACOS]]*Cereal[[#This Row],[CAP. SACOS]]</f>
        <v>20</v>
      </c>
      <c r="K898" s="16">
        <v>46181</v>
      </c>
      <c r="L898" s="16">
        <v>46181</v>
      </c>
      <c r="M898" s="16">
        <v>46182</v>
      </c>
      <c r="N898" s="16" t="s">
        <v>301</v>
      </c>
    </row>
    <row r="899" spans="1:14" hidden="1" x14ac:dyDescent="0.25">
      <c r="A899" s="14" t="s">
        <v>14</v>
      </c>
      <c r="B899" s="14" t="s">
        <v>300</v>
      </c>
      <c r="C899" s="15" t="s">
        <v>30</v>
      </c>
      <c r="D899" s="16">
        <v>46192</v>
      </c>
      <c r="E899" s="17">
        <v>3038</v>
      </c>
      <c r="F899" s="18">
        <v>1.35</v>
      </c>
      <c r="G899" s="19">
        <f>Cereal[[#This Row],[N° BOLSAS]]*Cereal[[#This Row],[KG BOLSA]]</f>
        <v>4101.3</v>
      </c>
      <c r="H899" s="37">
        <v>30</v>
      </c>
      <c r="I899" s="14">
        <f>ROUNDDOWN(Cereal[[#This Row],[N° BOLSAS]]/Cereal[[#This Row],[CAP. SACOS]],0)</f>
        <v>101</v>
      </c>
      <c r="J899" s="14">
        <f>Cereal[[#This Row],[N° BOLSAS]]-Cereal[[#This Row],[N° SACOS]]*Cereal[[#This Row],[CAP. SACOS]]</f>
        <v>8</v>
      </c>
      <c r="K899" s="16">
        <v>46198</v>
      </c>
      <c r="L899" s="16">
        <v>46198</v>
      </c>
      <c r="M899" s="16">
        <v>46198</v>
      </c>
      <c r="N899" s="16" t="s">
        <v>301</v>
      </c>
    </row>
    <row r="900" spans="1:14" ht="22.5" hidden="1" x14ac:dyDescent="0.25">
      <c r="A900" s="14" t="s">
        <v>14</v>
      </c>
      <c r="B900" s="14" t="s">
        <v>300</v>
      </c>
      <c r="C900" s="15" t="s">
        <v>45</v>
      </c>
      <c r="D900" s="16">
        <v>46254</v>
      </c>
      <c r="E900" s="17">
        <v>4160</v>
      </c>
      <c r="F900" s="18">
        <v>1.35</v>
      </c>
      <c r="G900" s="19">
        <f>Cereal[[#This Row],[N° BOLSAS]]*Cereal[[#This Row],[KG BOLSA]]</f>
        <v>5616</v>
      </c>
      <c r="H900" s="37">
        <v>30</v>
      </c>
      <c r="I900" s="14">
        <f>ROUNDDOWN(Cereal[[#This Row],[N° BOLSAS]]/Cereal[[#This Row],[CAP. SACOS]],0)</f>
        <v>138</v>
      </c>
      <c r="J900" s="14">
        <f>Cereal[[#This Row],[N° BOLSAS]]-Cereal[[#This Row],[N° SACOS]]*Cereal[[#This Row],[CAP. SACOS]]</f>
        <v>20</v>
      </c>
      <c r="K900" s="16">
        <v>46257</v>
      </c>
      <c r="L900" s="16">
        <v>46257</v>
      </c>
      <c r="M900" s="16">
        <v>46257</v>
      </c>
      <c r="N900" s="16" t="s">
        <v>301</v>
      </c>
    </row>
    <row r="901" spans="1:14" ht="22.5" hidden="1" x14ac:dyDescent="0.25">
      <c r="A901" s="14" t="s">
        <v>14</v>
      </c>
      <c r="B901" s="14" t="s">
        <v>300</v>
      </c>
      <c r="C901" s="15" t="s">
        <v>46</v>
      </c>
      <c r="D901" s="16">
        <v>46315</v>
      </c>
      <c r="E901" s="17">
        <v>4160</v>
      </c>
      <c r="F901" s="18">
        <v>1.35</v>
      </c>
      <c r="G901" s="19">
        <f>Cereal[[#This Row],[N° BOLSAS]]*Cereal[[#This Row],[KG BOLSA]]</f>
        <v>5616</v>
      </c>
      <c r="H901" s="37">
        <v>30</v>
      </c>
      <c r="I901" s="14">
        <f>ROUNDDOWN(Cereal[[#This Row],[N° BOLSAS]]/Cereal[[#This Row],[CAP. SACOS]],0)</f>
        <v>138</v>
      </c>
      <c r="J901" s="14">
        <f>Cereal[[#This Row],[N° BOLSAS]]-Cereal[[#This Row],[N° SACOS]]*Cereal[[#This Row],[CAP. SACOS]]</f>
        <v>20</v>
      </c>
      <c r="K901" s="16"/>
      <c r="L901" s="16"/>
      <c r="M901" s="16"/>
      <c r="N901" s="16" t="s">
        <v>301</v>
      </c>
    </row>
    <row r="902" spans="1:14" hidden="1" x14ac:dyDescent="0.25">
      <c r="A902" s="14" t="s">
        <v>100</v>
      </c>
      <c r="B902" s="14" t="s">
        <v>302</v>
      </c>
      <c r="C902" s="15" t="s">
        <v>30</v>
      </c>
      <c r="D902" s="16">
        <v>46120</v>
      </c>
      <c r="E902" s="17">
        <v>260</v>
      </c>
      <c r="F902" s="18">
        <v>1</v>
      </c>
      <c r="G902" s="19">
        <f>Cereal[[#This Row],[N° BOLSAS]]*Cereal[[#This Row],[KG BOLSA]]</f>
        <v>260</v>
      </c>
      <c r="H902" s="37">
        <v>40</v>
      </c>
      <c r="I902" s="14">
        <f>ROUNDDOWN(Cereal[[#This Row],[N° BOLSAS]]/Cereal[[#This Row],[CAP. SACOS]],0)</f>
        <v>6</v>
      </c>
      <c r="J902" s="14">
        <f>Cereal[[#This Row],[N° BOLSAS]]-Cereal[[#This Row],[N° SACOS]]*Cereal[[#This Row],[CAP. SACOS]]</f>
        <v>20</v>
      </c>
      <c r="K902" s="16">
        <v>46119</v>
      </c>
      <c r="L902" s="16">
        <v>46119</v>
      </c>
      <c r="M902" s="16">
        <v>46120</v>
      </c>
      <c r="N902" s="16" t="s">
        <v>158</v>
      </c>
    </row>
    <row r="903" spans="1:14" hidden="1" x14ac:dyDescent="0.25">
      <c r="A903" s="14" t="s">
        <v>100</v>
      </c>
      <c r="B903" s="14" t="s">
        <v>303</v>
      </c>
      <c r="C903" s="15" t="s">
        <v>30</v>
      </c>
      <c r="D903" s="16">
        <v>46120</v>
      </c>
      <c r="E903" s="17">
        <v>72</v>
      </c>
      <c r="F903" s="18">
        <v>1</v>
      </c>
      <c r="G903" s="19">
        <f>Cereal[[#This Row],[N° BOLSAS]]*Cereal[[#This Row],[KG BOLSA]]</f>
        <v>72</v>
      </c>
      <c r="H903" s="37">
        <v>40</v>
      </c>
      <c r="I903" s="14">
        <f>ROUNDDOWN(Cereal[[#This Row],[N° BOLSAS]]/Cereal[[#This Row],[CAP. SACOS]],0)</f>
        <v>1</v>
      </c>
      <c r="J903" s="14">
        <f>Cereal[[#This Row],[N° BOLSAS]]-Cereal[[#This Row],[N° SACOS]]*Cereal[[#This Row],[CAP. SACOS]]</f>
        <v>32</v>
      </c>
      <c r="K903" s="16">
        <v>46120</v>
      </c>
      <c r="L903" s="16">
        <v>46120</v>
      </c>
      <c r="M903" s="16">
        <v>46120</v>
      </c>
      <c r="N903" s="16" t="s">
        <v>304</v>
      </c>
    </row>
    <row r="904" spans="1:14" hidden="1" x14ac:dyDescent="0.25">
      <c r="A904" s="14" t="s">
        <v>14</v>
      </c>
      <c r="B904" s="14" t="s">
        <v>305</v>
      </c>
      <c r="C904" s="15" t="s">
        <v>16</v>
      </c>
      <c r="D904" s="16">
        <v>46015</v>
      </c>
      <c r="E904" s="17">
        <v>1135</v>
      </c>
      <c r="F904" s="18">
        <v>1</v>
      </c>
      <c r="G904" s="19">
        <f>Cereal[[#This Row],[N° BOLSAS]]*Cereal[[#This Row],[KG BOLSA]]</f>
        <v>1135</v>
      </c>
      <c r="H904" s="37">
        <v>40</v>
      </c>
      <c r="I904" s="14">
        <f>ROUNDDOWN(Cereal[[#This Row],[N° BOLSAS]]/Cereal[[#This Row],[CAP. SACOS]],0)</f>
        <v>28</v>
      </c>
      <c r="J904" s="14">
        <f>Cereal[[#This Row],[N° BOLSAS]]-Cereal[[#This Row],[N° SACOS]]*Cereal[[#This Row],[CAP. SACOS]]</f>
        <v>15</v>
      </c>
      <c r="K904" s="16">
        <v>45997</v>
      </c>
      <c r="L904" s="16">
        <v>45997</v>
      </c>
      <c r="M904" s="16">
        <v>46009</v>
      </c>
      <c r="N904" s="16" t="s">
        <v>306</v>
      </c>
    </row>
    <row r="905" spans="1:14" hidden="1" x14ac:dyDescent="0.25">
      <c r="A905" s="14" t="s">
        <v>14</v>
      </c>
      <c r="B905" s="14" t="s">
        <v>305</v>
      </c>
      <c r="C905" s="15" t="s">
        <v>18</v>
      </c>
      <c r="D905" s="16">
        <v>46046</v>
      </c>
      <c r="E905" s="17">
        <v>1025</v>
      </c>
      <c r="F905" s="18">
        <v>1</v>
      </c>
      <c r="G905" s="19">
        <f>Cereal[[#This Row],[N° BOLSAS]]*Cereal[[#This Row],[KG BOLSA]]</f>
        <v>1025</v>
      </c>
      <c r="H905" s="37">
        <v>40</v>
      </c>
      <c r="I905" s="14">
        <f>ROUNDDOWN(Cereal[[#This Row],[N° BOLSAS]]/Cereal[[#This Row],[CAP. SACOS]],0)</f>
        <v>25</v>
      </c>
      <c r="J905" s="14">
        <f>Cereal[[#This Row],[N° BOLSAS]]-Cereal[[#This Row],[N° SACOS]]*Cereal[[#This Row],[CAP. SACOS]]</f>
        <v>25</v>
      </c>
      <c r="K905" s="16">
        <v>46044</v>
      </c>
      <c r="L905" s="16">
        <v>46044</v>
      </c>
      <c r="M905" s="16">
        <v>46044</v>
      </c>
      <c r="N905" s="16" t="s">
        <v>306</v>
      </c>
    </row>
    <row r="906" spans="1:14" hidden="1" x14ac:dyDescent="0.25">
      <c r="A906" s="14" t="s">
        <v>14</v>
      </c>
      <c r="B906" s="14" t="s">
        <v>305</v>
      </c>
      <c r="C906" s="15" t="s">
        <v>19</v>
      </c>
      <c r="D906" s="16">
        <v>46077</v>
      </c>
      <c r="E906" s="17">
        <v>1135</v>
      </c>
      <c r="F906" s="18">
        <v>1</v>
      </c>
      <c r="G906" s="19">
        <f>Cereal[[#This Row],[N° BOLSAS]]*Cereal[[#This Row],[KG BOLSA]]</f>
        <v>1135</v>
      </c>
      <c r="H906" s="37">
        <v>40</v>
      </c>
      <c r="I906" s="14">
        <f>ROUNDDOWN(Cereal[[#This Row],[N° BOLSAS]]/Cereal[[#This Row],[CAP. SACOS]],0)</f>
        <v>28</v>
      </c>
      <c r="J906" s="14">
        <f>Cereal[[#This Row],[N° BOLSAS]]-Cereal[[#This Row],[N° SACOS]]*Cereal[[#This Row],[CAP. SACOS]]</f>
        <v>15</v>
      </c>
      <c r="K906" s="16">
        <v>46071</v>
      </c>
      <c r="L906" s="16">
        <v>46071</v>
      </c>
      <c r="M906" s="16">
        <v>46073</v>
      </c>
      <c r="N906" s="16" t="s">
        <v>306</v>
      </c>
    </row>
    <row r="907" spans="1:14" hidden="1" x14ac:dyDescent="0.25">
      <c r="A907" s="14" t="s">
        <v>14</v>
      </c>
      <c r="B907" s="14" t="s">
        <v>305</v>
      </c>
      <c r="C907" s="15" t="s">
        <v>20</v>
      </c>
      <c r="D907" s="16">
        <v>46105</v>
      </c>
      <c r="E907" s="17">
        <v>1098</v>
      </c>
      <c r="F907" s="18">
        <v>1</v>
      </c>
      <c r="G907" s="19">
        <f>Cereal[[#This Row],[N° BOLSAS]]*Cereal[[#This Row],[KG BOLSA]]</f>
        <v>1098</v>
      </c>
      <c r="H907" s="37">
        <v>40</v>
      </c>
      <c r="I907" s="14">
        <f>ROUNDDOWN(Cereal[[#This Row],[N° BOLSAS]]/Cereal[[#This Row],[CAP. SACOS]],0)</f>
        <v>27</v>
      </c>
      <c r="J907" s="14">
        <f>Cereal[[#This Row],[N° BOLSAS]]-Cereal[[#This Row],[N° SACOS]]*Cereal[[#This Row],[CAP. SACOS]]</f>
        <v>18</v>
      </c>
      <c r="K907" s="16">
        <v>46107</v>
      </c>
      <c r="L907" s="16">
        <v>46107</v>
      </c>
      <c r="M907" s="16">
        <v>46107</v>
      </c>
      <c r="N907" s="16" t="s">
        <v>306</v>
      </c>
    </row>
    <row r="908" spans="1:14" hidden="1" x14ac:dyDescent="0.25">
      <c r="A908" s="14" t="s">
        <v>14</v>
      </c>
      <c r="B908" s="14" t="s">
        <v>305</v>
      </c>
      <c r="C908" s="15" t="s">
        <v>21</v>
      </c>
      <c r="D908" s="16">
        <v>46136</v>
      </c>
      <c r="E908" s="17">
        <v>1135</v>
      </c>
      <c r="F908" s="18">
        <v>1</v>
      </c>
      <c r="G908" s="19">
        <f>Cereal[[#This Row],[N° BOLSAS]]*Cereal[[#This Row],[KG BOLSA]]</f>
        <v>1135</v>
      </c>
      <c r="H908" s="37">
        <v>40</v>
      </c>
      <c r="I908" s="14">
        <f>ROUNDDOWN(Cereal[[#This Row],[N° BOLSAS]]/Cereal[[#This Row],[CAP. SACOS]],0)</f>
        <v>28</v>
      </c>
      <c r="J908" s="14">
        <f>Cereal[[#This Row],[N° BOLSAS]]-Cereal[[#This Row],[N° SACOS]]*Cereal[[#This Row],[CAP. SACOS]]</f>
        <v>15</v>
      </c>
      <c r="K908" s="16">
        <v>46141</v>
      </c>
      <c r="L908" s="16">
        <v>46141</v>
      </c>
      <c r="M908" s="16">
        <v>46141</v>
      </c>
      <c r="N908" s="16" t="s">
        <v>306</v>
      </c>
    </row>
    <row r="909" spans="1:14" hidden="1" x14ac:dyDescent="0.25">
      <c r="A909" s="14" t="s">
        <v>14</v>
      </c>
      <c r="B909" s="14" t="s">
        <v>305</v>
      </c>
      <c r="C909" s="15" t="s">
        <v>22</v>
      </c>
      <c r="D909" s="16">
        <v>46166</v>
      </c>
      <c r="E909" s="17">
        <v>1098</v>
      </c>
      <c r="F909" s="18">
        <v>1</v>
      </c>
      <c r="G909" s="19">
        <f>Cereal[[#This Row],[N° BOLSAS]]*Cereal[[#This Row],[KG BOLSA]]</f>
        <v>1098</v>
      </c>
      <c r="H909" s="37">
        <v>40</v>
      </c>
      <c r="I909" s="14">
        <f>ROUNDDOWN(Cereal[[#This Row],[N° BOLSAS]]/Cereal[[#This Row],[CAP. SACOS]],0)</f>
        <v>27</v>
      </c>
      <c r="J909" s="14">
        <f>Cereal[[#This Row],[N° BOLSAS]]-Cereal[[#This Row],[N° SACOS]]*Cereal[[#This Row],[CAP. SACOS]]</f>
        <v>18</v>
      </c>
      <c r="K909" s="16">
        <v>46157</v>
      </c>
      <c r="L909" s="16">
        <v>46157</v>
      </c>
      <c r="M909" s="16">
        <v>46162</v>
      </c>
      <c r="N909" s="16" t="s">
        <v>306</v>
      </c>
    </row>
    <row r="910" spans="1:14" hidden="1" x14ac:dyDescent="0.25">
      <c r="A910" s="14" t="s">
        <v>14</v>
      </c>
      <c r="B910" s="14" t="s">
        <v>305</v>
      </c>
      <c r="C910" s="15" t="s">
        <v>23</v>
      </c>
      <c r="D910" s="16">
        <v>46197</v>
      </c>
      <c r="E910" s="17">
        <v>1135</v>
      </c>
      <c r="F910" s="18">
        <v>1</v>
      </c>
      <c r="G910" s="19">
        <f>Cereal[[#This Row],[N° BOLSAS]]*Cereal[[#This Row],[KG BOLSA]]</f>
        <v>1135</v>
      </c>
      <c r="H910" s="37">
        <v>40</v>
      </c>
      <c r="I910" s="14">
        <f>ROUNDDOWN(Cereal[[#This Row],[N° BOLSAS]]/Cereal[[#This Row],[CAP. SACOS]],0)</f>
        <v>28</v>
      </c>
      <c r="J910" s="14">
        <f>Cereal[[#This Row],[N° BOLSAS]]-Cereal[[#This Row],[N° SACOS]]*Cereal[[#This Row],[CAP. SACOS]]</f>
        <v>15</v>
      </c>
      <c r="K910" s="16">
        <v>46202</v>
      </c>
      <c r="L910" s="16">
        <v>46202</v>
      </c>
      <c r="M910" s="16">
        <v>46202</v>
      </c>
      <c r="N910" s="16" t="s">
        <v>306</v>
      </c>
    </row>
    <row r="911" spans="1:14" hidden="1" x14ac:dyDescent="0.25">
      <c r="A911" s="14" t="s">
        <v>14</v>
      </c>
      <c r="B911" s="14" t="s">
        <v>305</v>
      </c>
      <c r="C911" s="15" t="s">
        <v>30</v>
      </c>
      <c r="D911" s="16">
        <v>46227</v>
      </c>
      <c r="E911" s="17">
        <v>486</v>
      </c>
      <c r="F911" s="18">
        <v>1.5249999999999999</v>
      </c>
      <c r="G911" s="19">
        <f>Cereal[[#This Row],[N° BOLSAS]]*Cereal[[#This Row],[KG BOLSA]]</f>
        <v>741.15</v>
      </c>
      <c r="H911" s="37">
        <v>30</v>
      </c>
      <c r="I911" s="14">
        <f>ROUNDDOWN(Cereal[[#This Row],[N° BOLSAS]]/Cereal[[#This Row],[CAP. SACOS]],0)</f>
        <v>16</v>
      </c>
      <c r="J911" s="14">
        <f>Cereal[[#This Row],[N° BOLSAS]]-Cereal[[#This Row],[N° SACOS]]*Cereal[[#This Row],[CAP. SACOS]]</f>
        <v>6</v>
      </c>
      <c r="K911" s="16">
        <v>46233</v>
      </c>
      <c r="L911" s="16">
        <v>46233</v>
      </c>
      <c r="M911" s="16">
        <v>46233</v>
      </c>
      <c r="N911" s="16" t="s">
        <v>306</v>
      </c>
    </row>
    <row r="912" spans="1:14" hidden="1" x14ac:dyDescent="0.25">
      <c r="A912" s="14" t="s">
        <v>14</v>
      </c>
      <c r="B912" s="14" t="s">
        <v>305</v>
      </c>
      <c r="C912" s="15" t="s">
        <v>24</v>
      </c>
      <c r="D912" s="16">
        <v>46227</v>
      </c>
      <c r="E912" s="17">
        <v>1135</v>
      </c>
      <c r="F912" s="18">
        <v>1</v>
      </c>
      <c r="G912" s="19">
        <f>Cereal[[#This Row],[N° BOLSAS]]*Cereal[[#This Row],[KG BOLSA]]</f>
        <v>1135</v>
      </c>
      <c r="H912" s="37">
        <v>40</v>
      </c>
      <c r="I912" s="14">
        <f>ROUNDDOWN(Cereal[[#This Row],[N° BOLSAS]]/Cereal[[#This Row],[CAP. SACOS]],0)</f>
        <v>28</v>
      </c>
      <c r="J912" s="14">
        <f>Cereal[[#This Row],[N° BOLSAS]]-Cereal[[#This Row],[N° SACOS]]*Cereal[[#This Row],[CAP. SACOS]]</f>
        <v>15</v>
      </c>
      <c r="K912" s="16">
        <v>46233</v>
      </c>
      <c r="L912" s="16">
        <v>46233</v>
      </c>
      <c r="M912" s="16">
        <v>46233</v>
      </c>
      <c r="N912" s="16" t="s">
        <v>306</v>
      </c>
    </row>
    <row r="913" spans="1:14" hidden="1" x14ac:dyDescent="0.25">
      <c r="A913" s="14" t="s">
        <v>14</v>
      </c>
      <c r="B913" s="14" t="s">
        <v>305</v>
      </c>
      <c r="C913" s="15" t="s">
        <v>25</v>
      </c>
      <c r="D913" s="16">
        <v>46258</v>
      </c>
      <c r="E913" s="17">
        <v>1098</v>
      </c>
      <c r="F913" s="18">
        <v>1</v>
      </c>
      <c r="G913" s="19">
        <f>Cereal[[#This Row],[N° BOLSAS]]*Cereal[[#This Row],[KG BOLSA]]</f>
        <v>1098</v>
      </c>
      <c r="H913" s="37">
        <v>40</v>
      </c>
      <c r="I913" s="14">
        <f>ROUNDDOWN(Cereal[[#This Row],[N° BOLSAS]]/Cereal[[#This Row],[CAP. SACOS]],0)</f>
        <v>27</v>
      </c>
      <c r="J913" s="14">
        <f>Cereal[[#This Row],[N° BOLSAS]]-Cereal[[#This Row],[N° SACOS]]*Cereal[[#This Row],[CAP. SACOS]]</f>
        <v>18</v>
      </c>
      <c r="K913" s="16">
        <v>46266</v>
      </c>
      <c r="L913" s="16">
        <v>46266</v>
      </c>
      <c r="M913" s="16">
        <v>46266</v>
      </c>
      <c r="N913" s="16" t="s">
        <v>306</v>
      </c>
    </row>
    <row r="914" spans="1:14" hidden="1" x14ac:dyDescent="0.25">
      <c r="A914" s="14" t="s">
        <v>14</v>
      </c>
      <c r="B914" s="14" t="s">
        <v>305</v>
      </c>
      <c r="C914" s="15" t="s">
        <v>26</v>
      </c>
      <c r="D914" s="16">
        <v>46289</v>
      </c>
      <c r="E914" s="17">
        <v>1135</v>
      </c>
      <c r="F914" s="18">
        <v>1</v>
      </c>
      <c r="G914" s="19">
        <f>Cereal[[#This Row],[N° BOLSAS]]*Cereal[[#This Row],[KG BOLSA]]</f>
        <v>1135</v>
      </c>
      <c r="H914" s="37">
        <v>40</v>
      </c>
      <c r="I914" s="14">
        <f>ROUNDDOWN(Cereal[[#This Row],[N° BOLSAS]]/Cereal[[#This Row],[CAP. SACOS]],0)</f>
        <v>28</v>
      </c>
      <c r="J914" s="14">
        <f>Cereal[[#This Row],[N° BOLSAS]]-Cereal[[#This Row],[N° SACOS]]*Cereal[[#This Row],[CAP. SACOS]]</f>
        <v>15</v>
      </c>
      <c r="K914" s="16"/>
      <c r="L914" s="16"/>
      <c r="M914" s="16"/>
      <c r="N914" s="16" t="s">
        <v>306</v>
      </c>
    </row>
    <row r="915" spans="1:14" hidden="1" x14ac:dyDescent="0.25">
      <c r="A915" s="14" t="s">
        <v>14</v>
      </c>
      <c r="B915" s="14" t="s">
        <v>305</v>
      </c>
      <c r="C915" s="15" t="s">
        <v>27</v>
      </c>
      <c r="D915" s="16">
        <v>46319</v>
      </c>
      <c r="E915" s="17">
        <v>1098</v>
      </c>
      <c r="F915" s="18">
        <v>1</v>
      </c>
      <c r="G915" s="19">
        <f>Cereal[[#This Row],[N° BOLSAS]]*Cereal[[#This Row],[KG BOLSA]]</f>
        <v>1098</v>
      </c>
      <c r="H915" s="37">
        <v>40</v>
      </c>
      <c r="I915" s="14">
        <f>ROUNDDOWN(Cereal[[#This Row],[N° BOLSAS]]/Cereal[[#This Row],[CAP. SACOS]],0)</f>
        <v>27</v>
      </c>
      <c r="J915" s="14">
        <f>Cereal[[#This Row],[N° BOLSAS]]-Cereal[[#This Row],[N° SACOS]]*Cereal[[#This Row],[CAP. SACOS]]</f>
        <v>18</v>
      </c>
      <c r="K915" s="16"/>
      <c r="L915" s="16"/>
      <c r="M915" s="16"/>
      <c r="N915" s="16" t="s">
        <v>306</v>
      </c>
    </row>
    <row r="916" spans="1:14" hidden="1" x14ac:dyDescent="0.25">
      <c r="A916" s="14" t="s">
        <v>14</v>
      </c>
      <c r="B916" s="14" t="s">
        <v>305</v>
      </c>
      <c r="C916" s="15" t="s">
        <v>28</v>
      </c>
      <c r="D916" s="16">
        <v>46350</v>
      </c>
      <c r="E916" s="17">
        <v>1135</v>
      </c>
      <c r="F916" s="18">
        <v>1</v>
      </c>
      <c r="G916" s="19">
        <f>Cereal[[#This Row],[N° BOLSAS]]*Cereal[[#This Row],[KG BOLSA]]</f>
        <v>1135</v>
      </c>
      <c r="H916" s="37">
        <v>40</v>
      </c>
      <c r="I916" s="14">
        <f>ROUNDDOWN(Cereal[[#This Row],[N° BOLSAS]]/Cereal[[#This Row],[CAP. SACOS]],0)</f>
        <v>28</v>
      </c>
      <c r="J916" s="14">
        <f>Cereal[[#This Row],[N° BOLSAS]]-Cereal[[#This Row],[N° SACOS]]*Cereal[[#This Row],[CAP. SACOS]]</f>
        <v>15</v>
      </c>
      <c r="K916" s="16"/>
      <c r="L916" s="16"/>
      <c r="M916" s="16"/>
      <c r="N916" s="16" t="s">
        <v>306</v>
      </c>
    </row>
    <row r="917" spans="1:14" hidden="1" x14ac:dyDescent="0.25">
      <c r="A917" s="14" t="s">
        <v>14</v>
      </c>
      <c r="B917" s="14" t="s">
        <v>307</v>
      </c>
      <c r="C917" s="15" t="s">
        <v>121</v>
      </c>
      <c r="D917" s="16">
        <v>46081</v>
      </c>
      <c r="E917" s="17">
        <v>1760</v>
      </c>
      <c r="F917" s="18">
        <v>1</v>
      </c>
      <c r="G917" s="19">
        <f>Cereal[[#This Row],[N° BOLSAS]]*Cereal[[#This Row],[KG BOLSA]]</f>
        <v>1760</v>
      </c>
      <c r="H917" s="37">
        <v>40</v>
      </c>
      <c r="I917" s="14">
        <f>ROUNDDOWN(Cereal[[#This Row],[N° BOLSAS]]/Cereal[[#This Row],[CAP. SACOS]],0)</f>
        <v>44</v>
      </c>
      <c r="J917" s="14">
        <f>Cereal[[#This Row],[N° BOLSAS]]-Cereal[[#This Row],[N° SACOS]]*Cereal[[#This Row],[CAP. SACOS]]</f>
        <v>0</v>
      </c>
      <c r="K917" s="16">
        <v>46079</v>
      </c>
      <c r="L917" s="16">
        <v>46079</v>
      </c>
      <c r="M917" s="16">
        <v>46084</v>
      </c>
      <c r="N917" s="16" t="s">
        <v>308</v>
      </c>
    </row>
    <row r="918" spans="1:14" hidden="1" x14ac:dyDescent="0.25">
      <c r="A918" s="14" t="s">
        <v>14</v>
      </c>
      <c r="B918" s="14" t="s">
        <v>307</v>
      </c>
      <c r="C918" s="15" t="s">
        <v>122</v>
      </c>
      <c r="D918" s="16">
        <v>46092</v>
      </c>
      <c r="E918" s="17">
        <v>1760</v>
      </c>
      <c r="F918" s="18">
        <v>1</v>
      </c>
      <c r="G918" s="19">
        <f>Cereal[[#This Row],[N° BOLSAS]]*Cereal[[#This Row],[KG BOLSA]]</f>
        <v>1760</v>
      </c>
      <c r="H918" s="37">
        <v>40</v>
      </c>
      <c r="I918" s="14">
        <f>ROUNDDOWN(Cereal[[#This Row],[N° BOLSAS]]/Cereal[[#This Row],[CAP. SACOS]],0)</f>
        <v>44</v>
      </c>
      <c r="J918" s="14">
        <f>Cereal[[#This Row],[N° BOLSAS]]-Cereal[[#This Row],[N° SACOS]]*Cereal[[#This Row],[CAP. SACOS]]</f>
        <v>0</v>
      </c>
      <c r="K918" s="16">
        <v>46090</v>
      </c>
      <c r="L918" s="16">
        <v>46090</v>
      </c>
      <c r="M918" s="16">
        <v>46091</v>
      </c>
      <c r="N918" s="16" t="s">
        <v>308</v>
      </c>
    </row>
    <row r="919" spans="1:14" hidden="1" x14ac:dyDescent="0.25">
      <c r="A919" s="14" t="s">
        <v>14</v>
      </c>
      <c r="B919" s="14" t="s">
        <v>307</v>
      </c>
      <c r="C919" s="15" t="s">
        <v>43</v>
      </c>
      <c r="D919" s="16">
        <v>46155</v>
      </c>
      <c r="E919" s="17">
        <v>1760</v>
      </c>
      <c r="F919" s="18">
        <v>1</v>
      </c>
      <c r="G919" s="19">
        <f>Cereal[[#This Row],[N° BOLSAS]]*Cereal[[#This Row],[KG BOLSA]]</f>
        <v>1760</v>
      </c>
      <c r="H919" s="37">
        <v>40</v>
      </c>
      <c r="I919" s="14">
        <f>ROUNDDOWN(Cereal[[#This Row],[N° BOLSAS]]/Cereal[[#This Row],[CAP. SACOS]],0)</f>
        <v>44</v>
      </c>
      <c r="J919" s="14">
        <f>Cereal[[#This Row],[N° BOLSAS]]-Cereal[[#This Row],[N° SACOS]]*Cereal[[#This Row],[CAP. SACOS]]</f>
        <v>0</v>
      </c>
      <c r="K919" s="16">
        <v>46146</v>
      </c>
      <c r="L919" s="16">
        <v>46146</v>
      </c>
      <c r="M919" s="16">
        <v>46146</v>
      </c>
      <c r="N919" s="16" t="s">
        <v>308</v>
      </c>
    </row>
    <row r="920" spans="1:14" hidden="1" x14ac:dyDescent="0.25">
      <c r="A920" s="14" t="s">
        <v>14</v>
      </c>
      <c r="B920" s="14" t="s">
        <v>307</v>
      </c>
      <c r="C920" s="15" t="s">
        <v>44</v>
      </c>
      <c r="D920" s="16">
        <v>46218</v>
      </c>
      <c r="E920" s="17">
        <v>1760</v>
      </c>
      <c r="F920" s="18">
        <v>1</v>
      </c>
      <c r="G920" s="19">
        <f>Cereal[[#This Row],[N° BOLSAS]]*Cereal[[#This Row],[KG BOLSA]]</f>
        <v>1760</v>
      </c>
      <c r="H920" s="37">
        <v>40</v>
      </c>
      <c r="I920" s="14">
        <f>ROUNDDOWN(Cereal[[#This Row],[N° BOLSAS]]/Cereal[[#This Row],[CAP. SACOS]],0)</f>
        <v>44</v>
      </c>
      <c r="J920" s="14">
        <f>Cereal[[#This Row],[N° BOLSAS]]-Cereal[[#This Row],[N° SACOS]]*Cereal[[#This Row],[CAP. SACOS]]</f>
        <v>0</v>
      </c>
      <c r="K920" s="16">
        <v>46216</v>
      </c>
      <c r="L920" s="16">
        <v>46216</v>
      </c>
      <c r="M920" s="16">
        <v>46217</v>
      </c>
      <c r="N920" s="16" t="s">
        <v>308</v>
      </c>
    </row>
    <row r="921" spans="1:14" ht="22.5" hidden="1" x14ac:dyDescent="0.25">
      <c r="A921" s="14" t="s">
        <v>14</v>
      </c>
      <c r="B921" s="14" t="s">
        <v>307</v>
      </c>
      <c r="C921" s="15" t="s">
        <v>45</v>
      </c>
      <c r="D921" s="16">
        <v>46280</v>
      </c>
      <c r="E921" s="17">
        <v>1760</v>
      </c>
      <c r="F921" s="18">
        <v>1</v>
      </c>
      <c r="G921" s="19">
        <f>Cereal[[#This Row],[N° BOLSAS]]*Cereal[[#This Row],[KG BOLSA]]</f>
        <v>1760</v>
      </c>
      <c r="H921" s="37">
        <v>40</v>
      </c>
      <c r="I921" s="14">
        <f>ROUNDDOWN(Cereal[[#This Row],[N° BOLSAS]]/Cereal[[#This Row],[CAP. SACOS]],0)</f>
        <v>44</v>
      </c>
      <c r="J921" s="14">
        <f>Cereal[[#This Row],[N° BOLSAS]]-Cereal[[#This Row],[N° SACOS]]*Cereal[[#This Row],[CAP. SACOS]]</f>
        <v>0</v>
      </c>
      <c r="K921" s="16">
        <v>46273</v>
      </c>
      <c r="L921" s="16">
        <v>46273</v>
      </c>
      <c r="M921" s="16">
        <v>46273</v>
      </c>
      <c r="N921" s="16" t="s">
        <v>308</v>
      </c>
    </row>
    <row r="922" spans="1:14" ht="22.5" hidden="1" x14ac:dyDescent="0.25">
      <c r="A922" s="14" t="s">
        <v>14</v>
      </c>
      <c r="B922" s="14" t="s">
        <v>307</v>
      </c>
      <c r="C922" s="15" t="s">
        <v>46</v>
      </c>
      <c r="D922" s="16">
        <v>46344</v>
      </c>
      <c r="E922" s="17">
        <v>1760</v>
      </c>
      <c r="F922" s="18">
        <v>1</v>
      </c>
      <c r="G922" s="19">
        <f>Cereal[[#This Row],[N° BOLSAS]]*Cereal[[#This Row],[KG BOLSA]]</f>
        <v>1760</v>
      </c>
      <c r="H922" s="37">
        <v>40</v>
      </c>
      <c r="I922" s="14">
        <f>ROUNDDOWN(Cereal[[#This Row],[N° BOLSAS]]/Cereal[[#This Row],[CAP. SACOS]],0)</f>
        <v>44</v>
      </c>
      <c r="J922" s="14">
        <f>Cereal[[#This Row],[N° BOLSAS]]-Cereal[[#This Row],[N° SACOS]]*Cereal[[#This Row],[CAP. SACOS]]</f>
        <v>0</v>
      </c>
      <c r="K922" s="16"/>
      <c r="L922" s="16"/>
      <c r="M922" s="16"/>
      <c r="N922" s="16" t="s">
        <v>308</v>
      </c>
    </row>
    <row r="923" spans="1:14" hidden="1" x14ac:dyDescent="0.25">
      <c r="A923" s="14" t="s">
        <v>14</v>
      </c>
      <c r="B923" s="14" t="s">
        <v>309</v>
      </c>
      <c r="C923" s="15" t="s">
        <v>121</v>
      </c>
      <c r="D923" s="16">
        <v>46042</v>
      </c>
      <c r="E923" s="17">
        <v>4190</v>
      </c>
      <c r="F923" s="18">
        <v>1.25</v>
      </c>
      <c r="G923" s="19">
        <f>Cereal[[#This Row],[N° BOLSAS]]*Cereal[[#This Row],[KG BOLSA]]</f>
        <v>5237.5</v>
      </c>
      <c r="H923" s="37">
        <v>35</v>
      </c>
      <c r="I923" s="14">
        <f>ROUNDDOWN(Cereal[[#This Row],[N° BOLSAS]]/Cereal[[#This Row],[CAP. SACOS]],0)</f>
        <v>119</v>
      </c>
      <c r="J923" s="14">
        <f>Cereal[[#This Row],[N° BOLSAS]]-Cereal[[#This Row],[N° SACOS]]*Cereal[[#This Row],[CAP. SACOS]]</f>
        <v>25</v>
      </c>
      <c r="K923" s="16">
        <v>46029</v>
      </c>
      <c r="L923" s="16">
        <v>46029</v>
      </c>
      <c r="M923" s="16">
        <v>46029</v>
      </c>
      <c r="N923" s="16" t="s">
        <v>310</v>
      </c>
    </row>
    <row r="924" spans="1:14" hidden="1" x14ac:dyDescent="0.25">
      <c r="A924" s="14" t="s">
        <v>14</v>
      </c>
      <c r="B924" s="14" t="s">
        <v>309</v>
      </c>
      <c r="C924" s="15" t="s">
        <v>122</v>
      </c>
      <c r="D924" s="16">
        <v>46073</v>
      </c>
      <c r="E924" s="17">
        <v>4190</v>
      </c>
      <c r="F924" s="18">
        <v>1.25</v>
      </c>
      <c r="G924" s="19">
        <f>Cereal[[#This Row],[N° BOLSAS]]*Cereal[[#This Row],[KG BOLSA]]</f>
        <v>5237.5</v>
      </c>
      <c r="H924" s="37">
        <v>35</v>
      </c>
      <c r="I924" s="14">
        <f>ROUNDDOWN(Cereal[[#This Row],[N° BOLSAS]]/Cereal[[#This Row],[CAP. SACOS]],0)</f>
        <v>119</v>
      </c>
      <c r="J924" s="14">
        <f>Cereal[[#This Row],[N° BOLSAS]]-Cereal[[#This Row],[N° SACOS]]*Cereal[[#This Row],[CAP. SACOS]]</f>
        <v>25</v>
      </c>
      <c r="K924" s="16">
        <v>46090</v>
      </c>
      <c r="L924" s="16">
        <v>46090</v>
      </c>
      <c r="M924" s="16">
        <v>46091</v>
      </c>
      <c r="N924" s="16" t="s">
        <v>310</v>
      </c>
    </row>
    <row r="925" spans="1:14" hidden="1" x14ac:dyDescent="0.25">
      <c r="A925" s="14" t="s">
        <v>14</v>
      </c>
      <c r="B925" s="14" t="s">
        <v>309</v>
      </c>
      <c r="C925" s="15" t="s">
        <v>43</v>
      </c>
      <c r="D925" s="16">
        <v>46132</v>
      </c>
      <c r="E925" s="17">
        <v>4190</v>
      </c>
      <c r="F925" s="18">
        <v>1.25</v>
      </c>
      <c r="G925" s="19">
        <f>Cereal[[#This Row],[N° BOLSAS]]*Cereal[[#This Row],[KG BOLSA]]</f>
        <v>5237.5</v>
      </c>
      <c r="H925" s="37">
        <v>35</v>
      </c>
      <c r="I925" s="14">
        <f>ROUNDDOWN(Cereal[[#This Row],[N° BOLSAS]]/Cereal[[#This Row],[CAP. SACOS]],0)</f>
        <v>119</v>
      </c>
      <c r="J925" s="14">
        <f>Cereal[[#This Row],[N° BOLSAS]]-Cereal[[#This Row],[N° SACOS]]*Cereal[[#This Row],[CAP. SACOS]]</f>
        <v>25</v>
      </c>
      <c r="K925" s="16">
        <v>46146</v>
      </c>
      <c r="L925" s="16">
        <v>46146</v>
      </c>
      <c r="M925" s="16">
        <v>46146</v>
      </c>
      <c r="N925" s="16" t="s">
        <v>310</v>
      </c>
    </row>
    <row r="926" spans="1:14" hidden="1" x14ac:dyDescent="0.25">
      <c r="A926" s="14" t="s">
        <v>14</v>
      </c>
      <c r="B926" s="14" t="s">
        <v>309</v>
      </c>
      <c r="C926" s="15" t="s">
        <v>44</v>
      </c>
      <c r="D926" s="16">
        <v>46192</v>
      </c>
      <c r="E926" s="17">
        <v>4190</v>
      </c>
      <c r="F926" s="18">
        <v>1.25</v>
      </c>
      <c r="G926" s="19">
        <f>Cereal[[#This Row],[N° BOLSAS]]*Cereal[[#This Row],[KG BOLSA]]</f>
        <v>5237.5</v>
      </c>
      <c r="H926" s="37">
        <v>35</v>
      </c>
      <c r="I926" s="14">
        <f>ROUNDDOWN(Cereal[[#This Row],[N° BOLSAS]]/Cereal[[#This Row],[CAP. SACOS]],0)</f>
        <v>119</v>
      </c>
      <c r="J926" s="14">
        <f>Cereal[[#This Row],[N° BOLSAS]]-Cereal[[#This Row],[N° SACOS]]*Cereal[[#This Row],[CAP. SACOS]]</f>
        <v>25</v>
      </c>
      <c r="K926" s="16">
        <v>46216</v>
      </c>
      <c r="L926" s="16">
        <v>46216</v>
      </c>
      <c r="M926" s="16">
        <v>46217</v>
      </c>
      <c r="N926" s="16" t="s">
        <v>310</v>
      </c>
    </row>
    <row r="927" spans="1:14" ht="22.5" hidden="1" x14ac:dyDescent="0.25">
      <c r="A927" s="14" t="s">
        <v>14</v>
      </c>
      <c r="B927" s="14" t="s">
        <v>309</v>
      </c>
      <c r="C927" s="15" t="s">
        <v>45</v>
      </c>
      <c r="D927" s="16">
        <v>46280</v>
      </c>
      <c r="E927" s="17">
        <v>4190</v>
      </c>
      <c r="F927" s="18">
        <v>1.25</v>
      </c>
      <c r="G927" s="19">
        <f>Cereal[[#This Row],[N° BOLSAS]]*Cereal[[#This Row],[KG BOLSA]]</f>
        <v>5237.5</v>
      </c>
      <c r="H927" s="37">
        <v>35</v>
      </c>
      <c r="I927" s="14">
        <f>ROUNDDOWN(Cereal[[#This Row],[N° BOLSAS]]/Cereal[[#This Row],[CAP. SACOS]],0)</f>
        <v>119</v>
      </c>
      <c r="J927" s="14">
        <f>Cereal[[#This Row],[N° BOLSAS]]-Cereal[[#This Row],[N° SACOS]]*Cereal[[#This Row],[CAP. SACOS]]</f>
        <v>25</v>
      </c>
      <c r="K927" s="16">
        <v>46272</v>
      </c>
      <c r="L927" s="16">
        <v>46272</v>
      </c>
      <c r="M927" s="16">
        <v>46273</v>
      </c>
      <c r="N927" s="16" t="s">
        <v>310</v>
      </c>
    </row>
    <row r="928" spans="1:14" ht="22.5" hidden="1" x14ac:dyDescent="0.25">
      <c r="A928" s="14" t="s">
        <v>14</v>
      </c>
      <c r="B928" s="14" t="s">
        <v>309</v>
      </c>
      <c r="C928" s="15" t="s">
        <v>46</v>
      </c>
      <c r="D928" s="16">
        <v>46315</v>
      </c>
      <c r="E928" s="17">
        <v>4190</v>
      </c>
      <c r="F928" s="18">
        <v>1.25</v>
      </c>
      <c r="G928" s="19">
        <f>Cereal[[#This Row],[N° BOLSAS]]*Cereal[[#This Row],[KG BOLSA]]</f>
        <v>5237.5</v>
      </c>
      <c r="H928" s="37">
        <v>35</v>
      </c>
      <c r="I928" s="14">
        <f>ROUNDDOWN(Cereal[[#This Row],[N° BOLSAS]]/Cereal[[#This Row],[CAP. SACOS]],0)</f>
        <v>119</v>
      </c>
      <c r="J928" s="14">
        <f>Cereal[[#This Row],[N° BOLSAS]]-Cereal[[#This Row],[N° SACOS]]*Cereal[[#This Row],[CAP. SACOS]]</f>
        <v>25</v>
      </c>
      <c r="K928" s="16"/>
      <c r="L928" s="16"/>
      <c r="M928" s="16"/>
      <c r="N928" s="16" t="s">
        <v>310</v>
      </c>
    </row>
    <row r="929" spans="1:14" ht="22.5" hidden="1" x14ac:dyDescent="0.25">
      <c r="A929" s="14" t="s">
        <v>14</v>
      </c>
      <c r="B929" s="14" t="s">
        <v>311</v>
      </c>
      <c r="C929" s="15" t="s">
        <v>35</v>
      </c>
      <c r="D929" s="16">
        <v>46022</v>
      </c>
      <c r="E929" s="17">
        <v>2724</v>
      </c>
      <c r="F929" s="18">
        <v>1.74</v>
      </c>
      <c r="G929" s="19">
        <f>Cereal[[#This Row],[N° BOLSAS]]*Cereal[[#This Row],[KG BOLSA]]</f>
        <v>4739.76</v>
      </c>
      <c r="H929" s="37">
        <v>25</v>
      </c>
      <c r="I929" s="14">
        <f>ROUNDDOWN(Cereal[[#This Row],[N° BOLSAS]]/Cereal[[#This Row],[CAP. SACOS]],0)</f>
        <v>108</v>
      </c>
      <c r="J929" s="14">
        <f>Cereal[[#This Row],[N° BOLSAS]]-Cereal[[#This Row],[N° SACOS]]*Cereal[[#This Row],[CAP. SACOS]]</f>
        <v>24</v>
      </c>
      <c r="K929" s="16">
        <v>46011</v>
      </c>
      <c r="L929" s="16">
        <v>46011</v>
      </c>
      <c r="M929" s="16">
        <v>46034</v>
      </c>
      <c r="N929" s="16" t="s">
        <v>312</v>
      </c>
    </row>
    <row r="930" spans="1:14" hidden="1" x14ac:dyDescent="0.25">
      <c r="A930" s="14" t="s">
        <v>14</v>
      </c>
      <c r="B930" s="14" t="s">
        <v>311</v>
      </c>
      <c r="C930" s="15" t="s">
        <v>37</v>
      </c>
      <c r="D930" s="16">
        <v>46107</v>
      </c>
      <c r="E930" s="17">
        <v>2724</v>
      </c>
      <c r="F930" s="18">
        <v>1.74</v>
      </c>
      <c r="G930" s="19">
        <f>Cereal[[#This Row],[N° BOLSAS]]*Cereal[[#This Row],[KG BOLSA]]</f>
        <v>4739.76</v>
      </c>
      <c r="H930" s="37">
        <v>25</v>
      </c>
      <c r="I930" s="14">
        <f>ROUNDDOWN(Cereal[[#This Row],[N° BOLSAS]]/Cereal[[#This Row],[CAP. SACOS]],0)</f>
        <v>108</v>
      </c>
      <c r="J930" s="14">
        <f>Cereal[[#This Row],[N° BOLSAS]]-Cereal[[#This Row],[N° SACOS]]*Cereal[[#This Row],[CAP. SACOS]]</f>
        <v>24</v>
      </c>
      <c r="K930" s="16">
        <v>46104</v>
      </c>
      <c r="L930" s="16">
        <v>46104</v>
      </c>
      <c r="M930" s="16">
        <v>46104</v>
      </c>
      <c r="N930" s="16" t="s">
        <v>312</v>
      </c>
    </row>
    <row r="931" spans="1:14" ht="22.5" hidden="1" x14ac:dyDescent="0.25">
      <c r="A931" s="14" t="s">
        <v>14</v>
      </c>
      <c r="B931" s="14" t="s">
        <v>311</v>
      </c>
      <c r="C931" s="15" t="s">
        <v>38</v>
      </c>
      <c r="D931" s="16">
        <v>46198</v>
      </c>
      <c r="E931" s="17">
        <v>2724</v>
      </c>
      <c r="F931" s="18">
        <v>1.74</v>
      </c>
      <c r="G931" s="19">
        <f>Cereal[[#This Row],[N° BOLSAS]]*Cereal[[#This Row],[KG BOLSA]]</f>
        <v>4739.76</v>
      </c>
      <c r="H931" s="37">
        <v>25</v>
      </c>
      <c r="I931" s="14">
        <f>ROUNDDOWN(Cereal[[#This Row],[N° BOLSAS]]/Cereal[[#This Row],[CAP. SACOS]],0)</f>
        <v>108</v>
      </c>
      <c r="J931" s="14">
        <f>Cereal[[#This Row],[N° BOLSAS]]-Cereal[[#This Row],[N° SACOS]]*Cereal[[#This Row],[CAP. SACOS]]</f>
        <v>24</v>
      </c>
      <c r="K931" s="16">
        <v>46177</v>
      </c>
      <c r="L931" s="16">
        <v>46177</v>
      </c>
      <c r="M931" s="16">
        <v>46190</v>
      </c>
      <c r="N931" s="16" t="s">
        <v>312</v>
      </c>
    </row>
    <row r="932" spans="1:14" ht="33.75" hidden="1" x14ac:dyDescent="0.25">
      <c r="A932" s="14" t="s">
        <v>14</v>
      </c>
      <c r="B932" s="14" t="s">
        <v>311</v>
      </c>
      <c r="C932" s="15" t="s">
        <v>39</v>
      </c>
      <c r="D932" s="16">
        <v>46289</v>
      </c>
      <c r="E932" s="17">
        <v>2724</v>
      </c>
      <c r="F932" s="18">
        <v>1.74</v>
      </c>
      <c r="G932" s="19">
        <f>Cereal[[#This Row],[N° BOLSAS]]*Cereal[[#This Row],[KG BOLSA]]</f>
        <v>4739.76</v>
      </c>
      <c r="H932" s="37">
        <v>25</v>
      </c>
      <c r="I932" s="14">
        <f>ROUNDDOWN(Cereal[[#This Row],[N° BOLSAS]]/Cereal[[#This Row],[CAP. SACOS]],0)</f>
        <v>108</v>
      </c>
      <c r="J932" s="14">
        <f>Cereal[[#This Row],[N° BOLSAS]]-Cereal[[#This Row],[N° SACOS]]*Cereal[[#This Row],[CAP. SACOS]]</f>
        <v>24</v>
      </c>
      <c r="K932" s="16">
        <v>46285</v>
      </c>
      <c r="L932" s="16">
        <v>46285</v>
      </c>
      <c r="M932" s="16">
        <v>46285</v>
      </c>
      <c r="N932" s="16" t="s">
        <v>312</v>
      </c>
    </row>
    <row r="933" spans="1:14" hidden="1" x14ac:dyDescent="0.25">
      <c r="A933" s="14" t="s">
        <v>14</v>
      </c>
      <c r="B933" s="14" t="s">
        <v>313</v>
      </c>
      <c r="C933" s="15" t="s">
        <v>30</v>
      </c>
      <c r="D933" s="16">
        <v>46045</v>
      </c>
      <c r="E933" s="17">
        <v>780</v>
      </c>
      <c r="F933" s="18">
        <v>1.0145999999999999</v>
      </c>
      <c r="G933" s="19">
        <f>Cereal[[#This Row],[N° BOLSAS]]*Cereal[[#This Row],[KG BOLSA]]</f>
        <v>791.38799999999992</v>
      </c>
      <c r="H933" s="37">
        <v>40</v>
      </c>
      <c r="I933" s="14">
        <f>ROUNDDOWN(Cereal[[#This Row],[N° BOLSAS]]/Cereal[[#This Row],[CAP. SACOS]],0)</f>
        <v>19</v>
      </c>
      <c r="J933" s="14">
        <f>Cereal[[#This Row],[N° BOLSAS]]-Cereal[[#This Row],[N° SACOS]]*Cereal[[#This Row],[CAP. SACOS]]</f>
        <v>20</v>
      </c>
      <c r="K933" s="16">
        <v>46044</v>
      </c>
      <c r="L933" s="16">
        <v>46044</v>
      </c>
      <c r="M933" s="16">
        <v>46044</v>
      </c>
      <c r="N933" s="16" t="s">
        <v>314</v>
      </c>
    </row>
    <row r="934" spans="1:14" hidden="1" x14ac:dyDescent="0.25">
      <c r="A934" s="14" t="s">
        <v>14</v>
      </c>
      <c r="B934" s="14" t="s">
        <v>313</v>
      </c>
      <c r="C934" s="15" t="s">
        <v>30</v>
      </c>
      <c r="D934" s="16">
        <v>46112</v>
      </c>
      <c r="E934" s="17">
        <v>780</v>
      </c>
      <c r="F934" s="18">
        <v>1.0145999999999999</v>
      </c>
      <c r="G934" s="19">
        <f>Cereal[[#This Row],[N° BOLSAS]]*Cereal[[#This Row],[KG BOLSA]]</f>
        <v>791.38799999999992</v>
      </c>
      <c r="H934" s="37">
        <v>40</v>
      </c>
      <c r="I934" s="14">
        <f>ROUNDDOWN(Cereal[[#This Row],[N° BOLSAS]]/Cereal[[#This Row],[CAP. SACOS]],0)</f>
        <v>19</v>
      </c>
      <c r="J934" s="14">
        <f>Cereal[[#This Row],[N° BOLSAS]]-Cereal[[#This Row],[N° SACOS]]*Cereal[[#This Row],[CAP. SACOS]]</f>
        <v>20</v>
      </c>
      <c r="K934" s="16">
        <v>46111</v>
      </c>
      <c r="L934" s="16">
        <v>46111</v>
      </c>
      <c r="M934" s="16">
        <v>46111</v>
      </c>
      <c r="N934" s="16" t="s">
        <v>314</v>
      </c>
    </row>
    <row r="935" spans="1:14" hidden="1" x14ac:dyDescent="0.25">
      <c r="A935" s="14" t="s">
        <v>14</v>
      </c>
      <c r="B935" s="14" t="s">
        <v>313</v>
      </c>
      <c r="C935" s="15" t="s">
        <v>30</v>
      </c>
      <c r="D935" s="16">
        <v>46203</v>
      </c>
      <c r="E935" s="17">
        <v>780</v>
      </c>
      <c r="F935" s="18">
        <v>1.0145999999999999</v>
      </c>
      <c r="G935" s="19">
        <f>Cereal[[#This Row],[N° BOLSAS]]*Cereal[[#This Row],[KG BOLSA]]</f>
        <v>791.38799999999992</v>
      </c>
      <c r="H935" s="37">
        <v>40</v>
      </c>
      <c r="I935" s="14">
        <f>ROUNDDOWN(Cereal[[#This Row],[N° BOLSAS]]/Cereal[[#This Row],[CAP. SACOS]],0)</f>
        <v>19</v>
      </c>
      <c r="J935" s="14">
        <f>Cereal[[#This Row],[N° BOLSAS]]-Cereal[[#This Row],[N° SACOS]]*Cereal[[#This Row],[CAP. SACOS]]</f>
        <v>20</v>
      </c>
      <c r="K935" s="16">
        <v>46205</v>
      </c>
      <c r="L935" s="16">
        <v>46205</v>
      </c>
      <c r="M935" s="16">
        <v>46205</v>
      </c>
      <c r="N935" s="16" t="s">
        <v>314</v>
      </c>
    </row>
    <row r="936" spans="1:14" hidden="1" x14ac:dyDescent="0.25">
      <c r="A936" s="14" t="s">
        <v>14</v>
      </c>
      <c r="B936" s="14" t="s">
        <v>315</v>
      </c>
      <c r="C936" s="15" t="s">
        <v>16</v>
      </c>
      <c r="D936" s="16">
        <v>46037</v>
      </c>
      <c r="E936" s="17">
        <f>1104+586+219</f>
        <v>1909</v>
      </c>
      <c r="F936" s="18">
        <v>1.4172</v>
      </c>
      <c r="G936" s="19">
        <f>Cereal[[#This Row],[N° BOLSAS]]*Cereal[[#This Row],[KG BOLSA]]</f>
        <v>2705.4348</v>
      </c>
      <c r="H936" s="37">
        <v>30</v>
      </c>
      <c r="I936" s="14">
        <f>ROUNDDOWN(Cereal[[#This Row],[N° BOLSAS]]/Cereal[[#This Row],[CAP. SACOS]],0)</f>
        <v>63</v>
      </c>
      <c r="J936" s="14">
        <f>Cereal[[#This Row],[N° BOLSAS]]-Cereal[[#This Row],[N° SACOS]]*Cereal[[#This Row],[CAP. SACOS]]</f>
        <v>19</v>
      </c>
      <c r="K936" s="16">
        <v>46035</v>
      </c>
      <c r="L936" s="16">
        <v>46035</v>
      </c>
      <c r="M936" s="16">
        <v>46042</v>
      </c>
      <c r="N936" s="16" t="s">
        <v>316</v>
      </c>
    </row>
    <row r="937" spans="1:14" hidden="1" x14ac:dyDescent="0.25">
      <c r="A937" s="14" t="s">
        <v>14</v>
      </c>
      <c r="B937" s="14" t="s">
        <v>315</v>
      </c>
      <c r="C937" s="15" t="s">
        <v>18</v>
      </c>
      <c r="D937" s="16">
        <v>46037</v>
      </c>
      <c r="E937" s="17">
        <f>1104+586+219</f>
        <v>1909</v>
      </c>
      <c r="F937" s="18">
        <v>1.4172</v>
      </c>
      <c r="G937" s="19">
        <f>Cereal[[#This Row],[N° BOLSAS]]*Cereal[[#This Row],[KG BOLSA]]</f>
        <v>2705.4348</v>
      </c>
      <c r="H937" s="37">
        <v>30</v>
      </c>
      <c r="I937" s="14">
        <f>ROUNDDOWN(Cereal[[#This Row],[N° BOLSAS]]/Cereal[[#This Row],[CAP. SACOS]],0)</f>
        <v>63</v>
      </c>
      <c r="J937" s="14">
        <f>Cereal[[#This Row],[N° BOLSAS]]-Cereal[[#This Row],[N° SACOS]]*Cereal[[#This Row],[CAP. SACOS]]</f>
        <v>19</v>
      </c>
      <c r="K937" s="16">
        <v>46035</v>
      </c>
      <c r="L937" s="16">
        <v>46035</v>
      </c>
      <c r="M937" s="16">
        <v>46042</v>
      </c>
      <c r="N937" s="16" t="s">
        <v>316</v>
      </c>
    </row>
    <row r="938" spans="1:14" hidden="1" x14ac:dyDescent="0.25">
      <c r="A938" s="14" t="s">
        <v>14</v>
      </c>
      <c r="B938" s="14" t="s">
        <v>315</v>
      </c>
      <c r="C938" s="15" t="s">
        <v>19</v>
      </c>
      <c r="D938" s="16">
        <v>46106</v>
      </c>
      <c r="E938" s="17">
        <v>1932</v>
      </c>
      <c r="F938" s="18">
        <v>1.4172</v>
      </c>
      <c r="G938" s="19">
        <f>Cereal[[#This Row],[N° BOLSAS]]*Cereal[[#This Row],[KG BOLSA]]</f>
        <v>2738.0304000000001</v>
      </c>
      <c r="H938" s="37">
        <v>30</v>
      </c>
      <c r="I938" s="14">
        <f>ROUNDDOWN(Cereal[[#This Row],[N° BOLSAS]]/Cereal[[#This Row],[CAP. SACOS]],0)</f>
        <v>64</v>
      </c>
      <c r="J938" s="14">
        <f>Cereal[[#This Row],[N° BOLSAS]]-Cereal[[#This Row],[N° SACOS]]*Cereal[[#This Row],[CAP. SACOS]]</f>
        <v>12</v>
      </c>
      <c r="K938" s="16">
        <v>46094</v>
      </c>
      <c r="L938" s="16">
        <v>46094</v>
      </c>
      <c r="M938" s="16">
        <v>46098</v>
      </c>
      <c r="N938" s="16" t="s">
        <v>317</v>
      </c>
    </row>
    <row r="939" spans="1:14" hidden="1" x14ac:dyDescent="0.25">
      <c r="A939" s="14" t="s">
        <v>14</v>
      </c>
      <c r="B939" s="14" t="s">
        <v>315</v>
      </c>
      <c r="C939" s="15" t="s">
        <v>20</v>
      </c>
      <c r="D939" s="16">
        <v>46106</v>
      </c>
      <c r="E939" s="17">
        <v>1932</v>
      </c>
      <c r="F939" s="18">
        <v>1.4172</v>
      </c>
      <c r="G939" s="19">
        <f>Cereal[[#This Row],[N° BOLSAS]]*Cereal[[#This Row],[KG BOLSA]]</f>
        <v>2738.0304000000001</v>
      </c>
      <c r="H939" s="37">
        <v>30</v>
      </c>
      <c r="I939" s="14">
        <f>ROUNDDOWN(Cereal[[#This Row],[N° BOLSAS]]/Cereal[[#This Row],[CAP. SACOS]],0)</f>
        <v>64</v>
      </c>
      <c r="J939" s="14">
        <f>Cereal[[#This Row],[N° BOLSAS]]-Cereal[[#This Row],[N° SACOS]]*Cereal[[#This Row],[CAP. SACOS]]</f>
        <v>12</v>
      </c>
      <c r="K939" s="16">
        <v>46094</v>
      </c>
      <c r="L939" s="16">
        <v>46094</v>
      </c>
      <c r="M939" s="16">
        <v>46098</v>
      </c>
      <c r="N939" s="16" t="s">
        <v>317</v>
      </c>
    </row>
    <row r="940" spans="1:14" hidden="1" x14ac:dyDescent="0.25">
      <c r="A940" s="14" t="s">
        <v>14</v>
      </c>
      <c r="B940" s="14" t="s">
        <v>315</v>
      </c>
      <c r="C940" s="15" t="s">
        <v>21</v>
      </c>
      <c r="D940" s="16">
        <v>46137</v>
      </c>
      <c r="E940" s="17">
        <v>1932</v>
      </c>
      <c r="F940" s="18">
        <v>1.4172</v>
      </c>
      <c r="G940" s="19">
        <f>Cereal[[#This Row],[N° BOLSAS]]*Cereal[[#This Row],[KG BOLSA]]</f>
        <v>2738.0304000000001</v>
      </c>
      <c r="H940" s="37">
        <v>30</v>
      </c>
      <c r="I940" s="14">
        <f>ROUNDDOWN(Cereal[[#This Row],[N° BOLSAS]]/Cereal[[#This Row],[CAP. SACOS]],0)</f>
        <v>64</v>
      </c>
      <c r="J940" s="14">
        <f>Cereal[[#This Row],[N° BOLSAS]]-Cereal[[#This Row],[N° SACOS]]*Cereal[[#This Row],[CAP. SACOS]]</f>
        <v>12</v>
      </c>
      <c r="K940" s="16">
        <v>46140</v>
      </c>
      <c r="L940" s="16">
        <v>46140</v>
      </c>
      <c r="M940" s="16">
        <v>46141</v>
      </c>
      <c r="N940" s="16" t="s">
        <v>317</v>
      </c>
    </row>
    <row r="941" spans="1:14" hidden="1" x14ac:dyDescent="0.25">
      <c r="A941" s="14" t="s">
        <v>14</v>
      </c>
      <c r="B941" s="14" t="s">
        <v>315</v>
      </c>
      <c r="C941" s="15" t="s">
        <v>22</v>
      </c>
      <c r="D941" s="16">
        <v>46137</v>
      </c>
      <c r="E941" s="17">
        <v>1932</v>
      </c>
      <c r="F941" s="18">
        <v>1.4172</v>
      </c>
      <c r="G941" s="19">
        <f>Cereal[[#This Row],[N° BOLSAS]]*Cereal[[#This Row],[KG BOLSA]]</f>
        <v>2738.0304000000001</v>
      </c>
      <c r="H941" s="37">
        <v>30</v>
      </c>
      <c r="I941" s="14">
        <f>ROUNDDOWN(Cereal[[#This Row],[N° BOLSAS]]/Cereal[[#This Row],[CAP. SACOS]],0)</f>
        <v>64</v>
      </c>
      <c r="J941" s="14">
        <f>Cereal[[#This Row],[N° BOLSAS]]-Cereal[[#This Row],[N° SACOS]]*Cereal[[#This Row],[CAP. SACOS]]</f>
        <v>12</v>
      </c>
      <c r="K941" s="16">
        <v>46140</v>
      </c>
      <c r="L941" s="16">
        <v>46140</v>
      </c>
      <c r="M941" s="16">
        <v>46141</v>
      </c>
      <c r="N941" s="16" t="s">
        <v>317</v>
      </c>
    </row>
    <row r="942" spans="1:14" hidden="1" x14ac:dyDescent="0.25">
      <c r="A942" s="14" t="s">
        <v>14</v>
      </c>
      <c r="B942" s="14" t="s">
        <v>315</v>
      </c>
      <c r="C942" s="15" t="s">
        <v>23</v>
      </c>
      <c r="D942" s="16">
        <v>46198</v>
      </c>
      <c r="E942" s="17">
        <v>1932</v>
      </c>
      <c r="F942" s="18">
        <v>1.4172</v>
      </c>
      <c r="G942" s="19">
        <f>Cereal[[#This Row],[N° BOLSAS]]*Cereal[[#This Row],[KG BOLSA]]</f>
        <v>2738.0304000000001</v>
      </c>
      <c r="H942" s="37">
        <v>30</v>
      </c>
      <c r="I942" s="14">
        <f>ROUNDDOWN(Cereal[[#This Row],[N° BOLSAS]]/Cereal[[#This Row],[CAP. SACOS]],0)</f>
        <v>64</v>
      </c>
      <c r="J942" s="14">
        <f>Cereal[[#This Row],[N° BOLSAS]]-Cereal[[#This Row],[N° SACOS]]*Cereal[[#This Row],[CAP. SACOS]]</f>
        <v>12</v>
      </c>
      <c r="K942" s="16">
        <v>46200</v>
      </c>
      <c r="L942" s="16">
        <v>46200</v>
      </c>
      <c r="M942" s="16">
        <v>46202</v>
      </c>
      <c r="N942" s="16" t="s">
        <v>317</v>
      </c>
    </row>
    <row r="943" spans="1:14" hidden="1" x14ac:dyDescent="0.25">
      <c r="A943" s="14" t="s">
        <v>14</v>
      </c>
      <c r="B943" s="14" t="s">
        <v>315</v>
      </c>
      <c r="C943" s="15" t="s">
        <v>24</v>
      </c>
      <c r="D943" s="16">
        <v>46198</v>
      </c>
      <c r="E943" s="17">
        <v>1932</v>
      </c>
      <c r="F943" s="18">
        <v>1.4172</v>
      </c>
      <c r="G943" s="19">
        <f>Cereal[[#This Row],[N° BOLSAS]]*Cereal[[#This Row],[KG BOLSA]]</f>
        <v>2738.0304000000001</v>
      </c>
      <c r="H943" s="37">
        <v>30</v>
      </c>
      <c r="I943" s="14">
        <f>ROUNDDOWN(Cereal[[#This Row],[N° BOLSAS]]/Cereal[[#This Row],[CAP. SACOS]],0)</f>
        <v>64</v>
      </c>
      <c r="J943" s="14">
        <f>Cereal[[#This Row],[N° BOLSAS]]-Cereal[[#This Row],[N° SACOS]]*Cereal[[#This Row],[CAP. SACOS]]</f>
        <v>12</v>
      </c>
      <c r="K943" s="16">
        <v>46200</v>
      </c>
      <c r="L943" s="16">
        <v>46200</v>
      </c>
      <c r="M943" s="16">
        <v>46202</v>
      </c>
      <c r="N943" s="16" t="s">
        <v>317</v>
      </c>
    </row>
    <row r="944" spans="1:14" hidden="1" x14ac:dyDescent="0.25">
      <c r="A944" s="14" t="s">
        <v>14</v>
      </c>
      <c r="B944" s="14" t="s">
        <v>315</v>
      </c>
      <c r="C944" s="15" t="s">
        <v>25</v>
      </c>
      <c r="D944" s="16">
        <v>46259</v>
      </c>
      <c r="E944" s="17">
        <v>1932</v>
      </c>
      <c r="F944" s="18">
        <v>1.4172</v>
      </c>
      <c r="G944" s="19">
        <f>Cereal[[#This Row],[N° BOLSAS]]*Cereal[[#This Row],[KG BOLSA]]</f>
        <v>2738.0304000000001</v>
      </c>
      <c r="H944" s="37">
        <v>30</v>
      </c>
      <c r="I944" s="14">
        <f>ROUNDDOWN(Cereal[[#This Row],[N° BOLSAS]]/Cereal[[#This Row],[CAP. SACOS]],0)</f>
        <v>64</v>
      </c>
      <c r="J944" s="14">
        <f>Cereal[[#This Row],[N° BOLSAS]]-Cereal[[#This Row],[N° SACOS]]*Cereal[[#This Row],[CAP. SACOS]]</f>
        <v>12</v>
      </c>
      <c r="K944" s="16">
        <v>46252</v>
      </c>
      <c r="L944" s="16">
        <v>46252</v>
      </c>
      <c r="M944" s="16">
        <v>46266</v>
      </c>
      <c r="N944" s="16" t="s">
        <v>317</v>
      </c>
    </row>
    <row r="945" spans="1:14" hidden="1" x14ac:dyDescent="0.25">
      <c r="A945" s="14" t="s">
        <v>14</v>
      </c>
      <c r="B945" s="14" t="s">
        <v>315</v>
      </c>
      <c r="C945" s="15" t="s">
        <v>26</v>
      </c>
      <c r="D945" s="16">
        <v>46259</v>
      </c>
      <c r="E945" s="17">
        <v>1932</v>
      </c>
      <c r="F945" s="18">
        <v>1.4172</v>
      </c>
      <c r="G945" s="19">
        <f>Cereal[[#This Row],[N° BOLSAS]]*Cereal[[#This Row],[KG BOLSA]]</f>
        <v>2738.0304000000001</v>
      </c>
      <c r="H945" s="37">
        <v>30</v>
      </c>
      <c r="I945" s="14">
        <f>ROUNDDOWN(Cereal[[#This Row],[N° BOLSAS]]/Cereal[[#This Row],[CAP. SACOS]],0)</f>
        <v>64</v>
      </c>
      <c r="J945" s="14">
        <f>Cereal[[#This Row],[N° BOLSAS]]-Cereal[[#This Row],[N° SACOS]]*Cereal[[#This Row],[CAP. SACOS]]</f>
        <v>12</v>
      </c>
      <c r="K945" s="16">
        <v>46252</v>
      </c>
      <c r="L945" s="16">
        <v>46252</v>
      </c>
      <c r="M945" s="16">
        <v>46266</v>
      </c>
      <c r="N945" s="16" t="s">
        <v>317</v>
      </c>
    </row>
    <row r="946" spans="1:14" hidden="1" x14ac:dyDescent="0.25">
      <c r="A946" s="14" t="s">
        <v>14</v>
      </c>
      <c r="B946" s="14" t="s">
        <v>315</v>
      </c>
      <c r="C946" s="15" t="s">
        <v>30</v>
      </c>
      <c r="D946" s="16">
        <v>46259</v>
      </c>
      <c r="E946" s="17">
        <v>1932</v>
      </c>
      <c r="F946" s="18">
        <v>1.4540999999999999</v>
      </c>
      <c r="G946" s="19">
        <f>Cereal[[#This Row],[N° BOLSAS]]*Cereal[[#This Row],[KG BOLSA]]</f>
        <v>2809.3211999999999</v>
      </c>
      <c r="H946" s="37">
        <v>30</v>
      </c>
      <c r="I946" s="14">
        <f>ROUNDDOWN(Cereal[[#This Row],[N° BOLSAS]]/Cereal[[#This Row],[CAP. SACOS]],0)</f>
        <v>64</v>
      </c>
      <c r="J946" s="14">
        <f>Cereal[[#This Row],[N° BOLSAS]]-Cereal[[#This Row],[N° SACOS]]*Cereal[[#This Row],[CAP. SACOS]]</f>
        <v>12</v>
      </c>
      <c r="K946" s="16">
        <v>46263</v>
      </c>
      <c r="L946" s="16">
        <v>46263</v>
      </c>
      <c r="M946" s="16">
        <v>46266</v>
      </c>
      <c r="N946" s="16" t="s">
        <v>317</v>
      </c>
    </row>
    <row r="947" spans="1:14" hidden="1" x14ac:dyDescent="0.25">
      <c r="A947" s="14" t="s">
        <v>14</v>
      </c>
      <c r="B947" s="14" t="s">
        <v>315</v>
      </c>
      <c r="C947" s="15" t="s">
        <v>27</v>
      </c>
      <c r="D947" s="16">
        <v>46320</v>
      </c>
      <c r="E947" s="17">
        <v>1932</v>
      </c>
      <c r="F947" s="18">
        <v>1.4172</v>
      </c>
      <c r="G947" s="19">
        <f>Cereal[[#This Row],[N° BOLSAS]]*Cereal[[#This Row],[KG BOLSA]]</f>
        <v>2738.0304000000001</v>
      </c>
      <c r="H947" s="37">
        <v>30</v>
      </c>
      <c r="I947" s="14">
        <f>ROUNDDOWN(Cereal[[#This Row],[N° BOLSAS]]/Cereal[[#This Row],[CAP. SACOS]],0)</f>
        <v>64</v>
      </c>
      <c r="J947" s="14">
        <f>Cereal[[#This Row],[N° BOLSAS]]-Cereal[[#This Row],[N° SACOS]]*Cereal[[#This Row],[CAP. SACOS]]</f>
        <v>12</v>
      </c>
      <c r="K947" s="16"/>
      <c r="L947" s="16"/>
      <c r="M947" s="16"/>
      <c r="N947" s="16" t="s">
        <v>317</v>
      </c>
    </row>
    <row r="948" spans="1:14" hidden="1" x14ac:dyDescent="0.25">
      <c r="A948" s="14" t="s">
        <v>14</v>
      </c>
      <c r="B948" s="14" t="s">
        <v>315</v>
      </c>
      <c r="C948" s="15" t="s">
        <v>28</v>
      </c>
      <c r="D948" s="16">
        <v>46320</v>
      </c>
      <c r="E948" s="17">
        <v>1948</v>
      </c>
      <c r="F948" s="18">
        <v>1.4172</v>
      </c>
      <c r="G948" s="19">
        <f>Cereal[[#This Row],[N° BOLSAS]]*Cereal[[#This Row],[KG BOLSA]]</f>
        <v>2760.7056000000002</v>
      </c>
      <c r="H948" s="37">
        <v>30</v>
      </c>
      <c r="I948" s="14">
        <f>ROUNDDOWN(Cereal[[#This Row],[N° BOLSAS]]/Cereal[[#This Row],[CAP. SACOS]],0)</f>
        <v>64</v>
      </c>
      <c r="J948" s="14">
        <f>Cereal[[#This Row],[N° BOLSAS]]-Cereal[[#This Row],[N° SACOS]]*Cereal[[#This Row],[CAP. SACOS]]</f>
        <v>28</v>
      </c>
      <c r="K948" s="16"/>
      <c r="L948" s="16"/>
      <c r="M948" s="16"/>
      <c r="N948" s="16" t="s">
        <v>317</v>
      </c>
    </row>
    <row r="949" spans="1:14" hidden="1" x14ac:dyDescent="0.25">
      <c r="A949" s="14" t="s">
        <v>14</v>
      </c>
      <c r="B949" s="14" t="s">
        <v>318</v>
      </c>
      <c r="C949" s="15" t="s">
        <v>30</v>
      </c>
      <c r="D949" s="16">
        <v>46029</v>
      </c>
      <c r="E949" s="17">
        <v>1795</v>
      </c>
      <c r="F949" s="18">
        <v>1.73</v>
      </c>
      <c r="G949" s="19">
        <f>Cereal[[#This Row],[N° BOLSAS]]*Cereal[[#This Row],[KG BOLSA]]</f>
        <v>3105.35</v>
      </c>
      <c r="H949" s="37">
        <v>25</v>
      </c>
      <c r="I949" s="14">
        <f>ROUNDDOWN(Cereal[[#This Row],[N° BOLSAS]]/Cereal[[#This Row],[CAP. SACOS]],0)</f>
        <v>71</v>
      </c>
      <c r="J949" s="14">
        <f>Cereal[[#This Row],[N° BOLSAS]]-Cereal[[#This Row],[N° SACOS]]*Cereal[[#This Row],[CAP. SACOS]]</f>
        <v>20</v>
      </c>
      <c r="K949" s="16">
        <v>46029</v>
      </c>
      <c r="L949" s="16">
        <v>46029</v>
      </c>
      <c r="M949" s="16">
        <v>46032</v>
      </c>
      <c r="N949" s="16" t="s">
        <v>319</v>
      </c>
    </row>
    <row r="950" spans="1:14" hidden="1" x14ac:dyDescent="0.25">
      <c r="A950" s="14" t="s">
        <v>14</v>
      </c>
      <c r="B950" s="14" t="s">
        <v>318</v>
      </c>
      <c r="C950" s="15" t="s">
        <v>250</v>
      </c>
      <c r="D950" s="16">
        <v>46137</v>
      </c>
      <c r="E950" s="17">
        <f>597*3</f>
        <v>1791</v>
      </c>
      <c r="F950" s="18">
        <v>1.7337499999999999</v>
      </c>
      <c r="G950" s="19">
        <f>Cereal[[#This Row],[N° BOLSAS]]*Cereal[[#This Row],[KG BOLSA]]</f>
        <v>3105.1462499999998</v>
      </c>
      <c r="H950" s="37">
        <v>25</v>
      </c>
      <c r="I950" s="14">
        <f>ROUNDDOWN(Cereal[[#This Row],[N° BOLSAS]]/Cereal[[#This Row],[CAP. SACOS]],0)</f>
        <v>71</v>
      </c>
      <c r="J950" s="14">
        <f>Cereal[[#This Row],[N° BOLSAS]]-Cereal[[#This Row],[N° SACOS]]*Cereal[[#This Row],[CAP. SACOS]]</f>
        <v>16</v>
      </c>
      <c r="K950" s="16">
        <v>46131</v>
      </c>
      <c r="L950" s="16">
        <v>46131</v>
      </c>
      <c r="M950" s="16">
        <v>46131</v>
      </c>
      <c r="N950" s="16" t="s">
        <v>319</v>
      </c>
    </row>
    <row r="951" spans="1:14" hidden="1" x14ac:dyDescent="0.25">
      <c r="A951" s="14" t="s">
        <v>14</v>
      </c>
      <c r="B951" s="14" t="s">
        <v>318</v>
      </c>
      <c r="C951" s="15" t="s">
        <v>252</v>
      </c>
      <c r="D951" s="16">
        <v>46193</v>
      </c>
      <c r="E951" s="17">
        <f>597*3</f>
        <v>1791</v>
      </c>
      <c r="F951" s="18">
        <v>1.7337499999999999</v>
      </c>
      <c r="G951" s="19">
        <f>Cereal[[#This Row],[N° BOLSAS]]*Cereal[[#This Row],[KG BOLSA]]</f>
        <v>3105.1462499999998</v>
      </c>
      <c r="H951" s="37">
        <v>25</v>
      </c>
      <c r="I951" s="14">
        <f>ROUNDDOWN(Cereal[[#This Row],[N° BOLSAS]]/Cereal[[#This Row],[CAP. SACOS]],0)</f>
        <v>71</v>
      </c>
      <c r="J951" s="14">
        <f>Cereal[[#This Row],[N° BOLSAS]]-Cereal[[#This Row],[N° SACOS]]*Cereal[[#This Row],[CAP. SACOS]]</f>
        <v>16</v>
      </c>
      <c r="K951" s="16">
        <v>46190</v>
      </c>
      <c r="L951" s="16">
        <v>46190</v>
      </c>
      <c r="M951" s="16">
        <v>46191</v>
      </c>
      <c r="N951" s="16" t="s">
        <v>319</v>
      </c>
    </row>
    <row r="952" spans="1:14" hidden="1" x14ac:dyDescent="0.25">
      <c r="A952" s="14" t="s">
        <v>14</v>
      </c>
      <c r="B952" s="14" t="s">
        <v>318</v>
      </c>
      <c r="C952" s="15" t="s">
        <v>253</v>
      </c>
      <c r="D952" s="16">
        <v>46287</v>
      </c>
      <c r="E952" s="17">
        <f>597*3</f>
        <v>1791</v>
      </c>
      <c r="F952" s="18">
        <v>1.7337499999999999</v>
      </c>
      <c r="G952" s="19">
        <f>Cereal[[#This Row],[N° BOLSAS]]*Cereal[[#This Row],[KG BOLSA]]</f>
        <v>3105.1462499999998</v>
      </c>
      <c r="H952" s="37">
        <v>25</v>
      </c>
      <c r="I952" s="14">
        <f>ROUNDDOWN(Cereal[[#This Row],[N° BOLSAS]]/Cereal[[#This Row],[CAP. SACOS]],0)</f>
        <v>71</v>
      </c>
      <c r="J952" s="14">
        <f>Cereal[[#This Row],[N° BOLSAS]]-Cereal[[#This Row],[N° SACOS]]*Cereal[[#This Row],[CAP. SACOS]]</f>
        <v>16</v>
      </c>
      <c r="K952" s="16">
        <v>46287</v>
      </c>
      <c r="L952" s="16">
        <v>46287</v>
      </c>
      <c r="M952" s="16">
        <v>46287</v>
      </c>
      <c r="N952" s="16" t="s">
        <v>319</v>
      </c>
    </row>
    <row r="953" spans="1:14" hidden="1" x14ac:dyDescent="0.25">
      <c r="A953" s="14" t="s">
        <v>14</v>
      </c>
      <c r="B953" s="14" t="s">
        <v>320</v>
      </c>
      <c r="C953" s="15" t="s">
        <v>19</v>
      </c>
      <c r="D953" s="16">
        <v>46073</v>
      </c>
      <c r="E953" s="17">
        <v>3536</v>
      </c>
      <c r="F953" s="18">
        <v>1</v>
      </c>
      <c r="G953" s="19">
        <f>Cereal[[#This Row],[N° BOLSAS]]*Cereal[[#This Row],[KG BOLSA]]</f>
        <v>3536</v>
      </c>
      <c r="H953" s="37">
        <v>25</v>
      </c>
      <c r="I953" s="14">
        <f>ROUNDDOWN(Cereal[[#This Row],[N° BOLSAS]]/Cereal[[#This Row],[CAP. SACOS]],0)</f>
        <v>141</v>
      </c>
      <c r="J953" s="14">
        <f>Cereal[[#This Row],[N° BOLSAS]]-Cereal[[#This Row],[N° SACOS]]*Cereal[[#This Row],[CAP. SACOS]]</f>
        <v>11</v>
      </c>
      <c r="K953" s="16">
        <v>46063</v>
      </c>
      <c r="L953" s="16">
        <v>46063</v>
      </c>
      <c r="M953" s="16">
        <v>46063</v>
      </c>
      <c r="N953" s="16" t="s">
        <v>321</v>
      </c>
    </row>
    <row r="954" spans="1:14" hidden="1" x14ac:dyDescent="0.25">
      <c r="A954" s="14" t="s">
        <v>14</v>
      </c>
      <c r="B954" s="14" t="s">
        <v>320</v>
      </c>
      <c r="C954" s="15" t="s">
        <v>20</v>
      </c>
      <c r="D954" s="16">
        <v>46101</v>
      </c>
      <c r="E954" s="17">
        <v>3422</v>
      </c>
      <c r="F954" s="18">
        <v>1</v>
      </c>
      <c r="G954" s="19">
        <f>Cereal[[#This Row],[N° BOLSAS]]*Cereal[[#This Row],[KG BOLSA]]</f>
        <v>3422</v>
      </c>
      <c r="H954" s="37">
        <v>25</v>
      </c>
      <c r="I954" s="14">
        <f>ROUNDDOWN(Cereal[[#This Row],[N° BOLSAS]]/Cereal[[#This Row],[CAP. SACOS]],0)</f>
        <v>136</v>
      </c>
      <c r="J954" s="14">
        <f>Cereal[[#This Row],[N° BOLSAS]]-Cereal[[#This Row],[N° SACOS]]*Cereal[[#This Row],[CAP. SACOS]]</f>
        <v>22</v>
      </c>
      <c r="K954" s="16">
        <v>46087</v>
      </c>
      <c r="L954" s="16">
        <v>46087</v>
      </c>
      <c r="M954" s="16">
        <v>46087</v>
      </c>
      <c r="N954" s="16" t="s">
        <v>321</v>
      </c>
    </row>
    <row r="955" spans="1:14" hidden="1" x14ac:dyDescent="0.25">
      <c r="A955" s="14" t="s">
        <v>14</v>
      </c>
      <c r="B955" s="14" t="s">
        <v>320</v>
      </c>
      <c r="C955" s="15" t="s">
        <v>21</v>
      </c>
      <c r="D955" s="16">
        <v>46132</v>
      </c>
      <c r="E955" s="17">
        <v>3536</v>
      </c>
      <c r="F955" s="18">
        <v>1</v>
      </c>
      <c r="G955" s="19">
        <f>Cereal[[#This Row],[N° BOLSAS]]*Cereal[[#This Row],[KG BOLSA]]</f>
        <v>3536</v>
      </c>
      <c r="H955" s="37">
        <v>25</v>
      </c>
      <c r="I955" s="14">
        <f>ROUNDDOWN(Cereal[[#This Row],[N° BOLSAS]]/Cereal[[#This Row],[CAP. SACOS]],0)</f>
        <v>141</v>
      </c>
      <c r="J955" s="14">
        <f>Cereal[[#This Row],[N° BOLSAS]]-Cereal[[#This Row],[N° SACOS]]*Cereal[[#This Row],[CAP. SACOS]]</f>
        <v>11</v>
      </c>
      <c r="K955" s="16">
        <v>46118</v>
      </c>
      <c r="L955" s="16">
        <v>46118</v>
      </c>
      <c r="M955" s="16">
        <v>46118</v>
      </c>
      <c r="N955" s="16" t="s">
        <v>321</v>
      </c>
    </row>
    <row r="956" spans="1:14" hidden="1" x14ac:dyDescent="0.25">
      <c r="A956" s="14" t="s">
        <v>14</v>
      </c>
      <c r="B956" s="14" t="s">
        <v>320</v>
      </c>
      <c r="C956" s="15" t="s">
        <v>22</v>
      </c>
      <c r="D956" s="16">
        <v>46162</v>
      </c>
      <c r="E956" s="17">
        <v>3422</v>
      </c>
      <c r="F956" s="18">
        <v>1</v>
      </c>
      <c r="G956" s="19">
        <f>Cereal[[#This Row],[N° BOLSAS]]*Cereal[[#This Row],[KG BOLSA]]</f>
        <v>3422</v>
      </c>
      <c r="H956" s="37">
        <v>25</v>
      </c>
      <c r="I956" s="14">
        <f>ROUNDDOWN(Cereal[[#This Row],[N° BOLSAS]]/Cereal[[#This Row],[CAP. SACOS]],0)</f>
        <v>136</v>
      </c>
      <c r="J956" s="14">
        <f>Cereal[[#This Row],[N° BOLSAS]]-Cereal[[#This Row],[N° SACOS]]*Cereal[[#This Row],[CAP. SACOS]]</f>
        <v>22</v>
      </c>
      <c r="K956" s="16">
        <v>46147</v>
      </c>
      <c r="L956" s="16">
        <v>46147</v>
      </c>
      <c r="M956" s="16">
        <v>46147</v>
      </c>
      <c r="N956" s="16" t="s">
        <v>321</v>
      </c>
    </row>
    <row r="957" spans="1:14" hidden="1" x14ac:dyDescent="0.25">
      <c r="A957" s="14" t="s">
        <v>14</v>
      </c>
      <c r="B957" s="14" t="s">
        <v>320</v>
      </c>
      <c r="C957" s="15" t="s">
        <v>23</v>
      </c>
      <c r="D957" s="16">
        <v>46193</v>
      </c>
      <c r="E957" s="17">
        <v>3536</v>
      </c>
      <c r="F957" s="18">
        <v>1</v>
      </c>
      <c r="G957" s="19">
        <f>Cereal[[#This Row],[N° BOLSAS]]*Cereal[[#This Row],[KG BOLSA]]</f>
        <v>3536</v>
      </c>
      <c r="H957" s="37">
        <v>25</v>
      </c>
      <c r="I957" s="14">
        <f>ROUNDDOWN(Cereal[[#This Row],[N° BOLSAS]]/Cereal[[#This Row],[CAP. SACOS]],0)</f>
        <v>141</v>
      </c>
      <c r="J957" s="14">
        <f>Cereal[[#This Row],[N° BOLSAS]]-Cereal[[#This Row],[N° SACOS]]*Cereal[[#This Row],[CAP. SACOS]]</f>
        <v>11</v>
      </c>
      <c r="K957" s="16">
        <v>46170</v>
      </c>
      <c r="L957" s="16">
        <v>46170</v>
      </c>
      <c r="M957" s="16">
        <v>46171</v>
      </c>
      <c r="N957" s="16" t="s">
        <v>321</v>
      </c>
    </row>
    <row r="958" spans="1:14" hidden="1" x14ac:dyDescent="0.25">
      <c r="A958" s="14" t="s">
        <v>14</v>
      </c>
      <c r="B958" s="14" t="s">
        <v>320</v>
      </c>
      <c r="C958" s="15" t="s">
        <v>24</v>
      </c>
      <c r="D958" s="16">
        <v>46223</v>
      </c>
      <c r="E958" s="17">
        <v>3537</v>
      </c>
      <c r="F958" s="18">
        <v>1</v>
      </c>
      <c r="G958" s="19">
        <f>Cereal[[#This Row],[N° BOLSAS]]*Cereal[[#This Row],[KG BOLSA]]</f>
        <v>3537</v>
      </c>
      <c r="H958" s="37">
        <v>25</v>
      </c>
      <c r="I958" s="14">
        <f>ROUNDDOWN(Cereal[[#This Row],[N° BOLSAS]]/Cereal[[#This Row],[CAP. SACOS]],0)</f>
        <v>141</v>
      </c>
      <c r="J958" s="14">
        <f>Cereal[[#This Row],[N° BOLSAS]]-Cereal[[#This Row],[N° SACOS]]*Cereal[[#This Row],[CAP. SACOS]]</f>
        <v>12</v>
      </c>
      <c r="K958" s="16">
        <v>46213</v>
      </c>
      <c r="L958" s="16">
        <v>46213</v>
      </c>
      <c r="M958" s="16">
        <v>46214</v>
      </c>
      <c r="N958" s="16" t="s">
        <v>321</v>
      </c>
    </row>
    <row r="959" spans="1:14" hidden="1" x14ac:dyDescent="0.25">
      <c r="A959" s="14" t="s">
        <v>14</v>
      </c>
      <c r="B959" s="14" t="s">
        <v>320</v>
      </c>
      <c r="C959" s="15" t="s">
        <v>25</v>
      </c>
      <c r="D959" s="16">
        <v>46254</v>
      </c>
      <c r="E959" s="17">
        <v>3423</v>
      </c>
      <c r="F959" s="18">
        <v>1</v>
      </c>
      <c r="G959" s="19">
        <f>Cereal[[#This Row],[N° BOLSAS]]*Cereal[[#This Row],[KG BOLSA]]</f>
        <v>3423</v>
      </c>
      <c r="H959" s="37">
        <v>25</v>
      </c>
      <c r="I959" s="14">
        <f>ROUNDDOWN(Cereal[[#This Row],[N° BOLSAS]]/Cereal[[#This Row],[CAP. SACOS]],0)</f>
        <v>136</v>
      </c>
      <c r="J959" s="14">
        <f>Cereal[[#This Row],[N° BOLSAS]]-Cereal[[#This Row],[N° SACOS]]*Cereal[[#This Row],[CAP. SACOS]]</f>
        <v>23</v>
      </c>
      <c r="K959" s="16">
        <v>46234</v>
      </c>
      <c r="L959" s="16">
        <v>46234</v>
      </c>
      <c r="M959" s="16">
        <v>46234</v>
      </c>
      <c r="N959" s="16" t="s">
        <v>321</v>
      </c>
    </row>
    <row r="960" spans="1:14" hidden="1" x14ac:dyDescent="0.25">
      <c r="A960" s="14" t="s">
        <v>14</v>
      </c>
      <c r="B960" s="14" t="s">
        <v>320</v>
      </c>
      <c r="C960" s="15" t="s">
        <v>26</v>
      </c>
      <c r="D960" s="16">
        <v>46285</v>
      </c>
      <c r="E960" s="17">
        <v>3537</v>
      </c>
      <c r="F960" s="18">
        <v>1</v>
      </c>
      <c r="G960" s="19">
        <f>Cereal[[#This Row],[N° BOLSAS]]*Cereal[[#This Row],[KG BOLSA]]</f>
        <v>3537</v>
      </c>
      <c r="H960" s="37">
        <v>25</v>
      </c>
      <c r="I960" s="14">
        <f>ROUNDDOWN(Cereal[[#This Row],[N° BOLSAS]]/Cereal[[#This Row],[CAP. SACOS]],0)</f>
        <v>141</v>
      </c>
      <c r="J960" s="14">
        <f>Cereal[[#This Row],[N° BOLSAS]]-Cereal[[#This Row],[N° SACOS]]*Cereal[[#This Row],[CAP. SACOS]]</f>
        <v>12</v>
      </c>
      <c r="K960" s="16">
        <v>46269</v>
      </c>
      <c r="L960" s="16">
        <v>46269</v>
      </c>
      <c r="M960" s="16">
        <v>46273</v>
      </c>
      <c r="N960" s="16" t="s">
        <v>321</v>
      </c>
    </row>
    <row r="961" spans="1:14" hidden="1" x14ac:dyDescent="0.25">
      <c r="A961" s="14" t="s">
        <v>14</v>
      </c>
      <c r="B961" s="14" t="s">
        <v>320</v>
      </c>
      <c r="C961" s="15" t="s">
        <v>27</v>
      </c>
      <c r="D961" s="16">
        <v>46315</v>
      </c>
      <c r="E961" s="17">
        <v>3423</v>
      </c>
      <c r="F961" s="18">
        <v>1</v>
      </c>
      <c r="G961" s="19">
        <f>Cereal[[#This Row],[N° BOLSAS]]*Cereal[[#This Row],[KG BOLSA]]</f>
        <v>3423</v>
      </c>
      <c r="H961" s="37">
        <v>25</v>
      </c>
      <c r="I961" s="14">
        <f>ROUNDDOWN(Cereal[[#This Row],[N° BOLSAS]]/Cereal[[#This Row],[CAP. SACOS]],0)</f>
        <v>136</v>
      </c>
      <c r="J961" s="14">
        <f>Cereal[[#This Row],[N° BOLSAS]]-Cereal[[#This Row],[N° SACOS]]*Cereal[[#This Row],[CAP. SACOS]]</f>
        <v>23</v>
      </c>
      <c r="K961" s="16"/>
      <c r="L961" s="16"/>
      <c r="M961" s="16"/>
      <c r="N961" s="16" t="s">
        <v>321</v>
      </c>
    </row>
    <row r="962" spans="1:14" hidden="1" x14ac:dyDescent="0.25">
      <c r="A962" s="14" t="s">
        <v>14</v>
      </c>
      <c r="B962" s="14" t="s">
        <v>320</v>
      </c>
      <c r="C962" s="15" t="s">
        <v>28</v>
      </c>
      <c r="D962" s="16">
        <v>46346</v>
      </c>
      <c r="E962" s="17">
        <v>3537</v>
      </c>
      <c r="F962" s="18">
        <v>1</v>
      </c>
      <c r="G962" s="19">
        <f>Cereal[[#This Row],[N° BOLSAS]]*Cereal[[#This Row],[KG BOLSA]]</f>
        <v>3537</v>
      </c>
      <c r="H962" s="37">
        <v>25</v>
      </c>
      <c r="I962" s="14">
        <f>ROUNDDOWN(Cereal[[#This Row],[N° BOLSAS]]/Cereal[[#This Row],[CAP. SACOS]],0)</f>
        <v>141</v>
      </c>
      <c r="J962" s="14">
        <f>Cereal[[#This Row],[N° BOLSAS]]-Cereal[[#This Row],[N° SACOS]]*Cereal[[#This Row],[CAP. SACOS]]</f>
        <v>12</v>
      </c>
      <c r="K962" s="16"/>
      <c r="L962" s="16"/>
      <c r="M962" s="16"/>
      <c r="N962" s="16" t="s">
        <v>321</v>
      </c>
    </row>
    <row r="963" spans="1:14" hidden="1" x14ac:dyDescent="0.25">
      <c r="A963" s="14" t="s">
        <v>14</v>
      </c>
      <c r="B963" s="14" t="s">
        <v>322</v>
      </c>
      <c r="C963" s="15" t="s">
        <v>16</v>
      </c>
      <c r="D963" s="16">
        <v>46006</v>
      </c>
      <c r="E963" s="17">
        <v>3557</v>
      </c>
      <c r="F963" s="18">
        <v>1</v>
      </c>
      <c r="G963" s="19">
        <f>Cereal[[#This Row],[N° BOLSAS]]*Cereal[[#This Row],[KG BOLSA]]</f>
        <v>3557</v>
      </c>
      <c r="H963" s="37">
        <v>25</v>
      </c>
      <c r="I963" s="14">
        <f>ROUNDDOWN(Cereal[[#This Row],[N° BOLSAS]]/Cereal[[#This Row],[CAP. SACOS]],0)</f>
        <v>142</v>
      </c>
      <c r="J963" s="14">
        <f>Cereal[[#This Row],[N° BOLSAS]]-Cereal[[#This Row],[N° SACOS]]*Cereal[[#This Row],[CAP. SACOS]]</f>
        <v>7</v>
      </c>
      <c r="K963" s="16">
        <v>46004</v>
      </c>
      <c r="L963" s="16">
        <v>46004</v>
      </c>
      <c r="M963" s="16">
        <v>46008</v>
      </c>
      <c r="N963" s="16" t="s">
        <v>323</v>
      </c>
    </row>
    <row r="964" spans="1:14" hidden="1" x14ac:dyDescent="0.25">
      <c r="A964" s="14" t="s">
        <v>14</v>
      </c>
      <c r="B964" s="14" t="s">
        <v>322</v>
      </c>
      <c r="C964" s="15" t="s">
        <v>18</v>
      </c>
      <c r="D964" s="16">
        <v>46037</v>
      </c>
      <c r="E964" s="17">
        <v>3213</v>
      </c>
      <c r="F964" s="18">
        <v>1</v>
      </c>
      <c r="G964" s="19">
        <f>Cereal[[#This Row],[N° BOLSAS]]*Cereal[[#This Row],[KG BOLSA]]</f>
        <v>3213</v>
      </c>
      <c r="H964" s="37">
        <v>25</v>
      </c>
      <c r="I964" s="14">
        <f>ROUNDDOWN(Cereal[[#This Row],[N° BOLSAS]]/Cereal[[#This Row],[CAP. SACOS]],0)</f>
        <v>128</v>
      </c>
      <c r="J964" s="14">
        <f>Cereal[[#This Row],[N° BOLSAS]]-Cereal[[#This Row],[N° SACOS]]*Cereal[[#This Row],[CAP. SACOS]]</f>
        <v>13</v>
      </c>
      <c r="K964" s="16">
        <v>46027</v>
      </c>
      <c r="L964" s="16">
        <v>46027</v>
      </c>
      <c r="M964" s="16">
        <v>46032</v>
      </c>
      <c r="N964" s="16" t="s">
        <v>323</v>
      </c>
    </row>
    <row r="965" spans="1:14" hidden="1" x14ac:dyDescent="0.25">
      <c r="A965" s="14" t="s">
        <v>14</v>
      </c>
      <c r="B965" s="14" t="s">
        <v>324</v>
      </c>
      <c r="C965" s="15" t="s">
        <v>16</v>
      </c>
      <c r="D965" s="16">
        <v>46045</v>
      </c>
      <c r="E965" s="17">
        <v>600</v>
      </c>
      <c r="F965" s="18">
        <v>1.0229999999999999</v>
      </c>
      <c r="G965" s="19">
        <f>Cereal[[#This Row],[N° BOLSAS]]*Cereal[[#This Row],[KG BOLSA]]</f>
        <v>613.79999999999995</v>
      </c>
      <c r="H965" s="37">
        <v>50</v>
      </c>
      <c r="I965" s="14">
        <f>ROUNDDOWN(Cereal[[#This Row],[N° BOLSAS]]/Cereal[[#This Row],[CAP. SACOS]],0)</f>
        <v>12</v>
      </c>
      <c r="J965" s="14">
        <f>Cereal[[#This Row],[N° BOLSAS]]-Cereal[[#This Row],[N° SACOS]]*Cereal[[#This Row],[CAP. SACOS]]</f>
        <v>0</v>
      </c>
      <c r="K965" s="16">
        <v>46043</v>
      </c>
      <c r="L965" s="16">
        <v>46043</v>
      </c>
      <c r="M965" s="16">
        <v>46048</v>
      </c>
      <c r="N965" s="16" t="s">
        <v>325</v>
      </c>
    </row>
    <row r="966" spans="1:14" hidden="1" x14ac:dyDescent="0.25">
      <c r="A966" s="14" t="s">
        <v>14</v>
      </c>
      <c r="B966" s="14" t="s">
        <v>324</v>
      </c>
      <c r="C966" s="15" t="s">
        <v>18</v>
      </c>
      <c r="D966" s="16">
        <v>46045</v>
      </c>
      <c r="E966" s="17">
        <v>600</v>
      </c>
      <c r="F966" s="18">
        <v>0.92400000000000004</v>
      </c>
      <c r="G966" s="19">
        <f>Cereal[[#This Row],[N° BOLSAS]]*Cereal[[#This Row],[KG BOLSA]]</f>
        <v>554.4</v>
      </c>
      <c r="H966" s="37">
        <v>50</v>
      </c>
      <c r="I966" s="14">
        <f>ROUNDDOWN(Cereal[[#This Row],[N° BOLSAS]]/Cereal[[#This Row],[CAP. SACOS]],0)</f>
        <v>12</v>
      </c>
      <c r="J966" s="14">
        <f>Cereal[[#This Row],[N° BOLSAS]]-Cereal[[#This Row],[N° SACOS]]*Cereal[[#This Row],[CAP. SACOS]]</f>
        <v>0</v>
      </c>
      <c r="K966" s="16">
        <v>46043</v>
      </c>
      <c r="L966" s="16">
        <v>46043</v>
      </c>
      <c r="M966" s="16">
        <v>46048</v>
      </c>
      <c r="N966" s="16" t="s">
        <v>325</v>
      </c>
    </row>
    <row r="967" spans="1:14" hidden="1" x14ac:dyDescent="0.25">
      <c r="A967" s="14" t="s">
        <v>14</v>
      </c>
      <c r="B967" s="14" t="s">
        <v>324</v>
      </c>
      <c r="C967" s="15" t="s">
        <v>16</v>
      </c>
      <c r="D967" s="16">
        <v>46045</v>
      </c>
      <c r="E967" s="17">
        <v>2800</v>
      </c>
      <c r="F967" s="18">
        <v>0.93</v>
      </c>
      <c r="G967" s="19">
        <f>Cereal[[#This Row],[N° BOLSAS]]*Cereal[[#This Row],[KG BOLSA]]</f>
        <v>2604</v>
      </c>
      <c r="H967" s="37">
        <v>50</v>
      </c>
      <c r="I967" s="14">
        <f>ROUNDDOWN(Cereal[[#This Row],[N° BOLSAS]]/Cereal[[#This Row],[CAP. SACOS]],0)</f>
        <v>56</v>
      </c>
      <c r="J967" s="14">
        <f>Cereal[[#This Row],[N° BOLSAS]]-Cereal[[#This Row],[N° SACOS]]*Cereal[[#This Row],[CAP. SACOS]]</f>
        <v>0</v>
      </c>
      <c r="K967" s="16">
        <v>46043</v>
      </c>
      <c r="L967" s="16">
        <v>46043</v>
      </c>
      <c r="M967" s="16">
        <v>46048</v>
      </c>
      <c r="N967" s="16" t="s">
        <v>325</v>
      </c>
    </row>
    <row r="968" spans="1:14" hidden="1" x14ac:dyDescent="0.25">
      <c r="A968" s="14" t="s">
        <v>14</v>
      </c>
      <c r="B968" s="14" t="s">
        <v>324</v>
      </c>
      <c r="C968" s="15" t="s">
        <v>18</v>
      </c>
      <c r="D968" s="16">
        <v>46045</v>
      </c>
      <c r="E968" s="17">
        <v>2800</v>
      </c>
      <c r="F968" s="18">
        <v>0.84</v>
      </c>
      <c r="G968" s="19">
        <f>Cereal[[#This Row],[N° BOLSAS]]*Cereal[[#This Row],[KG BOLSA]]</f>
        <v>2352</v>
      </c>
      <c r="H968" s="37">
        <v>50</v>
      </c>
      <c r="I968" s="14">
        <f>ROUNDDOWN(Cereal[[#This Row],[N° BOLSAS]]/Cereal[[#This Row],[CAP. SACOS]],0)</f>
        <v>56</v>
      </c>
      <c r="J968" s="14">
        <f>Cereal[[#This Row],[N° BOLSAS]]-Cereal[[#This Row],[N° SACOS]]*Cereal[[#This Row],[CAP. SACOS]]</f>
        <v>0</v>
      </c>
      <c r="K968" s="16">
        <v>46043</v>
      </c>
      <c r="L968" s="16">
        <v>46043</v>
      </c>
      <c r="M968" s="16">
        <v>46048</v>
      </c>
      <c r="N968" s="16" t="s">
        <v>325</v>
      </c>
    </row>
    <row r="969" spans="1:14" hidden="1" x14ac:dyDescent="0.25">
      <c r="A969" s="14" t="s">
        <v>14</v>
      </c>
      <c r="B969" s="14" t="s">
        <v>324</v>
      </c>
      <c r="C969" s="15" t="s">
        <v>19</v>
      </c>
      <c r="D969" s="16">
        <v>46073</v>
      </c>
      <c r="E969" s="17">
        <v>600</v>
      </c>
      <c r="F969" s="18">
        <v>1.0229999999999999</v>
      </c>
      <c r="G969" s="19">
        <f>Cereal[[#This Row],[N° BOLSAS]]*Cereal[[#This Row],[KG BOLSA]]</f>
        <v>613.79999999999995</v>
      </c>
      <c r="H969" s="37">
        <v>50</v>
      </c>
      <c r="I969" s="14">
        <f>ROUNDDOWN(Cereal[[#This Row],[N° BOLSAS]]/Cereal[[#This Row],[CAP. SACOS]],0)</f>
        <v>12</v>
      </c>
      <c r="J969" s="14">
        <f>Cereal[[#This Row],[N° BOLSAS]]-Cereal[[#This Row],[N° SACOS]]*Cereal[[#This Row],[CAP. SACOS]]</f>
        <v>0</v>
      </c>
      <c r="K969" s="16">
        <v>46069</v>
      </c>
      <c r="L969" s="16">
        <v>46069</v>
      </c>
      <c r="M969" s="16">
        <v>46071</v>
      </c>
      <c r="N969" s="16" t="s">
        <v>325</v>
      </c>
    </row>
    <row r="970" spans="1:14" hidden="1" x14ac:dyDescent="0.25">
      <c r="A970" s="14" t="s">
        <v>14</v>
      </c>
      <c r="B970" s="14" t="s">
        <v>324</v>
      </c>
      <c r="C970" s="15" t="s">
        <v>19</v>
      </c>
      <c r="D970" s="16">
        <v>46073</v>
      </c>
      <c r="E970" s="17">
        <v>2800</v>
      </c>
      <c r="F970" s="18">
        <v>0.93</v>
      </c>
      <c r="G970" s="19">
        <f>Cereal[[#This Row],[N° BOLSAS]]*Cereal[[#This Row],[KG BOLSA]]</f>
        <v>2604</v>
      </c>
      <c r="H970" s="37">
        <v>50</v>
      </c>
      <c r="I970" s="14">
        <f>ROUNDDOWN(Cereal[[#This Row],[N° BOLSAS]]/Cereal[[#This Row],[CAP. SACOS]],0)</f>
        <v>56</v>
      </c>
      <c r="J970" s="14">
        <f>Cereal[[#This Row],[N° BOLSAS]]-Cereal[[#This Row],[N° SACOS]]*Cereal[[#This Row],[CAP. SACOS]]</f>
        <v>0</v>
      </c>
      <c r="K970" s="16">
        <v>46069</v>
      </c>
      <c r="L970" s="16">
        <v>46069</v>
      </c>
      <c r="M970" s="16">
        <v>46071</v>
      </c>
      <c r="N970" s="16" t="s">
        <v>325</v>
      </c>
    </row>
    <row r="971" spans="1:14" hidden="1" x14ac:dyDescent="0.25">
      <c r="A971" s="14" t="s">
        <v>14</v>
      </c>
      <c r="B971" s="14" t="s">
        <v>324</v>
      </c>
      <c r="C971" s="15" t="s">
        <v>20</v>
      </c>
      <c r="D971" s="16">
        <v>46073</v>
      </c>
      <c r="E971" s="17">
        <v>600</v>
      </c>
      <c r="F971" s="18">
        <v>0.99</v>
      </c>
      <c r="G971" s="19">
        <f>Cereal[[#This Row],[N° BOLSAS]]*Cereal[[#This Row],[KG BOLSA]]</f>
        <v>594</v>
      </c>
      <c r="H971" s="37">
        <v>50</v>
      </c>
      <c r="I971" s="14">
        <f>ROUNDDOWN(Cereal[[#This Row],[N° BOLSAS]]/Cereal[[#This Row],[CAP. SACOS]],0)</f>
        <v>12</v>
      </c>
      <c r="J971" s="14">
        <f>Cereal[[#This Row],[N° BOLSAS]]-Cereal[[#This Row],[N° SACOS]]*Cereal[[#This Row],[CAP. SACOS]]</f>
        <v>0</v>
      </c>
      <c r="K971" s="16">
        <v>46069</v>
      </c>
      <c r="L971" s="16">
        <v>46069</v>
      </c>
      <c r="M971" s="16">
        <v>46071</v>
      </c>
      <c r="N971" s="16" t="s">
        <v>325</v>
      </c>
    </row>
    <row r="972" spans="1:14" hidden="1" x14ac:dyDescent="0.25">
      <c r="A972" s="14" t="s">
        <v>14</v>
      </c>
      <c r="B972" s="14" t="s">
        <v>324</v>
      </c>
      <c r="C972" s="15" t="s">
        <v>20</v>
      </c>
      <c r="D972" s="16">
        <v>46073</v>
      </c>
      <c r="E972" s="17">
        <v>2800</v>
      </c>
      <c r="F972" s="18">
        <v>0.9</v>
      </c>
      <c r="G972" s="19">
        <f>Cereal[[#This Row],[N° BOLSAS]]*Cereal[[#This Row],[KG BOLSA]]</f>
        <v>2520</v>
      </c>
      <c r="H972" s="37">
        <v>50</v>
      </c>
      <c r="I972" s="14">
        <f>ROUNDDOWN(Cereal[[#This Row],[N° BOLSAS]]/Cereal[[#This Row],[CAP. SACOS]],0)</f>
        <v>56</v>
      </c>
      <c r="J972" s="14">
        <f>Cereal[[#This Row],[N° BOLSAS]]-Cereal[[#This Row],[N° SACOS]]*Cereal[[#This Row],[CAP. SACOS]]</f>
        <v>0</v>
      </c>
      <c r="K972" s="16">
        <v>46069</v>
      </c>
      <c r="L972" s="16">
        <v>46069</v>
      </c>
      <c r="M972" s="16">
        <v>46071</v>
      </c>
      <c r="N972" s="16" t="s">
        <v>325</v>
      </c>
    </row>
    <row r="973" spans="1:14" hidden="1" x14ac:dyDescent="0.25">
      <c r="A973" s="14" t="s">
        <v>14</v>
      </c>
      <c r="B973" s="14" t="s">
        <v>324</v>
      </c>
      <c r="C973" s="15" t="s">
        <v>21</v>
      </c>
      <c r="D973" s="16">
        <v>46136</v>
      </c>
      <c r="E973" s="17">
        <v>600</v>
      </c>
      <c r="F973" s="18">
        <v>1.0229999999999999</v>
      </c>
      <c r="G973" s="19">
        <f>Cereal[[#This Row],[N° BOLSAS]]*Cereal[[#This Row],[KG BOLSA]]</f>
        <v>613.79999999999995</v>
      </c>
      <c r="H973" s="37">
        <v>50</v>
      </c>
      <c r="I973" s="14">
        <f>ROUNDDOWN(Cereal[[#This Row],[N° BOLSAS]]/Cereal[[#This Row],[CAP. SACOS]],0)</f>
        <v>12</v>
      </c>
      <c r="J973" s="14">
        <f>Cereal[[#This Row],[N° BOLSAS]]-Cereal[[#This Row],[N° SACOS]]*Cereal[[#This Row],[CAP. SACOS]]</f>
        <v>0</v>
      </c>
      <c r="K973" s="16">
        <v>46128</v>
      </c>
      <c r="L973" s="16">
        <v>46128</v>
      </c>
      <c r="M973" s="16">
        <v>46128</v>
      </c>
      <c r="N973" s="16" t="s">
        <v>325</v>
      </c>
    </row>
    <row r="974" spans="1:14" hidden="1" x14ac:dyDescent="0.25">
      <c r="A974" s="14" t="s">
        <v>14</v>
      </c>
      <c r="B974" s="14" t="s">
        <v>324</v>
      </c>
      <c r="C974" s="15" t="s">
        <v>21</v>
      </c>
      <c r="D974" s="16">
        <v>46136</v>
      </c>
      <c r="E974" s="17">
        <v>2800</v>
      </c>
      <c r="F974" s="18">
        <v>0.93</v>
      </c>
      <c r="G974" s="19">
        <f>Cereal[[#This Row],[N° BOLSAS]]*Cereal[[#This Row],[KG BOLSA]]</f>
        <v>2604</v>
      </c>
      <c r="H974" s="37">
        <v>50</v>
      </c>
      <c r="I974" s="14">
        <f>ROUNDDOWN(Cereal[[#This Row],[N° BOLSAS]]/Cereal[[#This Row],[CAP. SACOS]],0)</f>
        <v>56</v>
      </c>
      <c r="J974" s="14">
        <f>Cereal[[#This Row],[N° BOLSAS]]-Cereal[[#This Row],[N° SACOS]]*Cereal[[#This Row],[CAP. SACOS]]</f>
        <v>0</v>
      </c>
      <c r="K974" s="16">
        <v>46128</v>
      </c>
      <c r="L974" s="16">
        <v>46128</v>
      </c>
      <c r="M974" s="16">
        <v>46128</v>
      </c>
      <c r="N974" s="16" t="s">
        <v>325</v>
      </c>
    </row>
    <row r="975" spans="1:14" hidden="1" x14ac:dyDescent="0.25">
      <c r="A975" s="14" t="s">
        <v>14</v>
      </c>
      <c r="B975" s="14" t="s">
        <v>324</v>
      </c>
      <c r="C975" s="15" t="s">
        <v>22</v>
      </c>
      <c r="D975" s="16">
        <v>46165</v>
      </c>
      <c r="E975" s="17">
        <v>600</v>
      </c>
      <c r="F975" s="18">
        <v>0.99</v>
      </c>
      <c r="G975" s="19">
        <f>Cereal[[#This Row],[N° BOLSAS]]*Cereal[[#This Row],[KG BOLSA]]</f>
        <v>594</v>
      </c>
      <c r="H975" s="37">
        <v>50</v>
      </c>
      <c r="I975" s="14">
        <f>ROUNDDOWN(Cereal[[#This Row],[N° BOLSAS]]/Cereal[[#This Row],[CAP. SACOS]],0)</f>
        <v>12</v>
      </c>
      <c r="J975" s="14">
        <f>Cereal[[#This Row],[N° BOLSAS]]-Cereal[[#This Row],[N° SACOS]]*Cereal[[#This Row],[CAP. SACOS]]</f>
        <v>0</v>
      </c>
      <c r="K975" s="16">
        <v>46128</v>
      </c>
      <c r="L975" s="16">
        <v>46128</v>
      </c>
      <c r="M975" s="16">
        <v>46128</v>
      </c>
      <c r="N975" s="16" t="s">
        <v>325</v>
      </c>
    </row>
    <row r="976" spans="1:14" hidden="1" x14ac:dyDescent="0.25">
      <c r="A976" s="14" t="s">
        <v>14</v>
      </c>
      <c r="B976" s="14" t="s">
        <v>324</v>
      </c>
      <c r="C976" s="15" t="s">
        <v>22</v>
      </c>
      <c r="D976" s="16">
        <v>46165</v>
      </c>
      <c r="E976" s="17">
        <v>2800</v>
      </c>
      <c r="F976" s="18">
        <v>0.9</v>
      </c>
      <c r="G976" s="19">
        <f>Cereal[[#This Row],[N° BOLSAS]]*Cereal[[#This Row],[KG BOLSA]]</f>
        <v>2520</v>
      </c>
      <c r="H976" s="37">
        <v>50</v>
      </c>
      <c r="I976" s="14">
        <f>ROUNDDOWN(Cereal[[#This Row],[N° BOLSAS]]/Cereal[[#This Row],[CAP. SACOS]],0)</f>
        <v>56</v>
      </c>
      <c r="J976" s="14">
        <f>Cereal[[#This Row],[N° BOLSAS]]-Cereal[[#This Row],[N° SACOS]]*Cereal[[#This Row],[CAP. SACOS]]</f>
        <v>0</v>
      </c>
      <c r="K976" s="16">
        <v>46128</v>
      </c>
      <c r="L976" s="16">
        <v>46128</v>
      </c>
      <c r="M976" s="16">
        <v>46128</v>
      </c>
      <c r="N976" s="16" t="s">
        <v>325</v>
      </c>
    </row>
    <row r="977" spans="1:14" hidden="1" x14ac:dyDescent="0.25">
      <c r="A977" s="14" t="s">
        <v>14</v>
      </c>
      <c r="B977" s="14" t="s">
        <v>324</v>
      </c>
      <c r="C977" s="15" t="s">
        <v>23</v>
      </c>
      <c r="D977" s="16">
        <v>46192</v>
      </c>
      <c r="E977" s="17">
        <v>2800</v>
      </c>
      <c r="F977" s="18">
        <v>0.93</v>
      </c>
      <c r="G977" s="19">
        <f>Cereal[[#This Row],[N° BOLSAS]]*Cereal[[#This Row],[KG BOLSA]]</f>
        <v>2604</v>
      </c>
      <c r="H977" s="37">
        <v>50</v>
      </c>
      <c r="I977" s="14">
        <f>ROUNDDOWN(Cereal[[#This Row],[N° BOLSAS]]/Cereal[[#This Row],[CAP. SACOS]],0)</f>
        <v>56</v>
      </c>
      <c r="J977" s="14">
        <f>Cereal[[#This Row],[N° BOLSAS]]-Cereal[[#This Row],[N° SACOS]]*Cereal[[#This Row],[CAP. SACOS]]</f>
        <v>0</v>
      </c>
      <c r="K977" s="16">
        <v>46174</v>
      </c>
      <c r="L977" s="16">
        <v>46174</v>
      </c>
      <c r="M977" s="16">
        <v>46187</v>
      </c>
      <c r="N977" s="16" t="s">
        <v>325</v>
      </c>
    </row>
    <row r="978" spans="1:14" hidden="1" x14ac:dyDescent="0.25">
      <c r="A978" s="14" t="s">
        <v>14</v>
      </c>
      <c r="B978" s="14" t="s">
        <v>324</v>
      </c>
      <c r="C978" s="15" t="s">
        <v>24</v>
      </c>
      <c r="D978" s="16">
        <v>46192</v>
      </c>
      <c r="E978" s="17">
        <v>2800</v>
      </c>
      <c r="F978" s="18">
        <v>0.93</v>
      </c>
      <c r="G978" s="19">
        <f>Cereal[[#This Row],[N° BOLSAS]]*Cereal[[#This Row],[KG BOLSA]]</f>
        <v>2604</v>
      </c>
      <c r="H978" s="37">
        <v>50</v>
      </c>
      <c r="I978" s="14">
        <f>ROUNDDOWN(Cereal[[#This Row],[N° BOLSAS]]/Cereal[[#This Row],[CAP. SACOS]],0)</f>
        <v>56</v>
      </c>
      <c r="J978" s="14">
        <f>Cereal[[#This Row],[N° BOLSAS]]-Cereal[[#This Row],[N° SACOS]]*Cereal[[#This Row],[CAP. SACOS]]</f>
        <v>0</v>
      </c>
      <c r="K978" s="16">
        <v>46174</v>
      </c>
      <c r="L978" s="16">
        <v>46174</v>
      </c>
      <c r="M978" s="16">
        <v>46187</v>
      </c>
      <c r="N978" s="16" t="s">
        <v>325</v>
      </c>
    </row>
    <row r="979" spans="1:14" hidden="1" x14ac:dyDescent="0.25">
      <c r="A979" s="14" t="s">
        <v>14</v>
      </c>
      <c r="B979" s="14" t="s">
        <v>324</v>
      </c>
      <c r="C979" s="15" t="s">
        <v>23</v>
      </c>
      <c r="D979" s="16">
        <v>46192</v>
      </c>
      <c r="E979" s="17">
        <v>600</v>
      </c>
      <c r="F979" s="18">
        <v>1.0229999999999999</v>
      </c>
      <c r="G979" s="19">
        <f>Cereal[[#This Row],[N° BOLSAS]]*Cereal[[#This Row],[KG BOLSA]]</f>
        <v>613.79999999999995</v>
      </c>
      <c r="H979" s="37">
        <v>50</v>
      </c>
      <c r="I979" s="14">
        <f>ROUNDDOWN(Cereal[[#This Row],[N° BOLSAS]]/Cereal[[#This Row],[CAP. SACOS]],0)</f>
        <v>12</v>
      </c>
      <c r="J979" s="14">
        <f>Cereal[[#This Row],[N° BOLSAS]]-Cereal[[#This Row],[N° SACOS]]*Cereal[[#This Row],[CAP. SACOS]]</f>
        <v>0</v>
      </c>
      <c r="K979" s="16">
        <v>46187</v>
      </c>
      <c r="L979" s="16">
        <v>46187</v>
      </c>
      <c r="M979" s="16">
        <v>46187</v>
      </c>
      <c r="N979" s="16" t="s">
        <v>325</v>
      </c>
    </row>
    <row r="980" spans="1:14" hidden="1" x14ac:dyDescent="0.25">
      <c r="A980" s="14" t="s">
        <v>14</v>
      </c>
      <c r="B980" s="14" t="s">
        <v>324</v>
      </c>
      <c r="C980" s="15" t="s">
        <v>24</v>
      </c>
      <c r="D980" s="16">
        <v>46192</v>
      </c>
      <c r="E980" s="17">
        <v>600</v>
      </c>
      <c r="F980" s="18">
        <v>1.0229999999999999</v>
      </c>
      <c r="G980" s="19">
        <f>Cereal[[#This Row],[N° BOLSAS]]*Cereal[[#This Row],[KG BOLSA]]</f>
        <v>613.79999999999995</v>
      </c>
      <c r="H980" s="37">
        <v>50</v>
      </c>
      <c r="I980" s="14">
        <f>ROUNDDOWN(Cereal[[#This Row],[N° BOLSAS]]/Cereal[[#This Row],[CAP. SACOS]],0)</f>
        <v>12</v>
      </c>
      <c r="J980" s="14">
        <f>Cereal[[#This Row],[N° BOLSAS]]-Cereal[[#This Row],[N° SACOS]]*Cereal[[#This Row],[CAP. SACOS]]</f>
        <v>0</v>
      </c>
      <c r="K980" s="16">
        <v>46187</v>
      </c>
      <c r="L980" s="16">
        <v>46187</v>
      </c>
      <c r="M980" s="16">
        <v>46187</v>
      </c>
      <c r="N980" s="16" t="s">
        <v>325</v>
      </c>
    </row>
    <row r="981" spans="1:14" hidden="1" x14ac:dyDescent="0.25">
      <c r="A981" s="14" t="s">
        <v>14</v>
      </c>
      <c r="B981" s="14" t="s">
        <v>324</v>
      </c>
      <c r="C981" s="15" t="s">
        <v>16</v>
      </c>
      <c r="D981" s="16">
        <v>46192</v>
      </c>
      <c r="E981" s="17">
        <v>304</v>
      </c>
      <c r="F981" s="18">
        <v>1.0229999999999999</v>
      </c>
      <c r="G981" s="19">
        <f>Cereal[[#This Row],[N° BOLSAS]]*Cereal[[#This Row],[KG BOLSA]]</f>
        <v>310.99199999999996</v>
      </c>
      <c r="H981" s="37">
        <v>50</v>
      </c>
      <c r="I981" s="14">
        <f>ROUNDDOWN(Cereal[[#This Row],[N° BOLSAS]]/Cereal[[#This Row],[CAP. SACOS]],0)</f>
        <v>6</v>
      </c>
      <c r="J981" s="14">
        <f>Cereal[[#This Row],[N° BOLSAS]]-Cereal[[#This Row],[N° SACOS]]*Cereal[[#This Row],[CAP. SACOS]]</f>
        <v>4</v>
      </c>
      <c r="K981" s="16">
        <v>46187</v>
      </c>
      <c r="L981" s="16">
        <v>46187</v>
      </c>
      <c r="M981" s="16">
        <v>46187</v>
      </c>
      <c r="N981" s="16" t="s">
        <v>325</v>
      </c>
    </row>
    <row r="982" spans="1:14" hidden="1" x14ac:dyDescent="0.25">
      <c r="A982" s="14" t="s">
        <v>14</v>
      </c>
      <c r="B982" s="14" t="s">
        <v>324</v>
      </c>
      <c r="C982" s="15" t="s">
        <v>18</v>
      </c>
      <c r="D982" s="16">
        <v>46192</v>
      </c>
      <c r="E982" s="17">
        <v>304</v>
      </c>
      <c r="F982" s="18">
        <v>0.92400000000000004</v>
      </c>
      <c r="G982" s="19">
        <f>Cereal[[#This Row],[N° BOLSAS]]*Cereal[[#This Row],[KG BOLSA]]</f>
        <v>280.89600000000002</v>
      </c>
      <c r="H982" s="37">
        <v>50</v>
      </c>
      <c r="I982" s="14">
        <f>ROUNDDOWN(Cereal[[#This Row],[N° BOLSAS]]/Cereal[[#This Row],[CAP. SACOS]],0)</f>
        <v>6</v>
      </c>
      <c r="J982" s="14">
        <f>Cereal[[#This Row],[N° BOLSAS]]-Cereal[[#This Row],[N° SACOS]]*Cereal[[#This Row],[CAP. SACOS]]</f>
        <v>4</v>
      </c>
      <c r="K982" s="16">
        <v>46187</v>
      </c>
      <c r="L982" s="16">
        <v>46187</v>
      </c>
      <c r="M982" s="16">
        <v>46187</v>
      </c>
      <c r="N982" s="16" t="s">
        <v>325</v>
      </c>
    </row>
    <row r="983" spans="1:14" hidden="1" x14ac:dyDescent="0.25">
      <c r="A983" s="14" t="s">
        <v>14</v>
      </c>
      <c r="B983" s="14" t="s">
        <v>324</v>
      </c>
      <c r="C983" s="15" t="s">
        <v>19</v>
      </c>
      <c r="D983" s="16">
        <v>46192</v>
      </c>
      <c r="E983" s="17">
        <v>304</v>
      </c>
      <c r="F983" s="18">
        <v>1.0229999999999999</v>
      </c>
      <c r="G983" s="19">
        <f>Cereal[[#This Row],[N° BOLSAS]]*Cereal[[#This Row],[KG BOLSA]]</f>
        <v>310.99199999999996</v>
      </c>
      <c r="H983" s="37">
        <v>50</v>
      </c>
      <c r="I983" s="14">
        <f>ROUNDDOWN(Cereal[[#This Row],[N° BOLSAS]]/Cereal[[#This Row],[CAP. SACOS]],0)</f>
        <v>6</v>
      </c>
      <c r="J983" s="14">
        <f>Cereal[[#This Row],[N° BOLSAS]]-Cereal[[#This Row],[N° SACOS]]*Cereal[[#This Row],[CAP. SACOS]]</f>
        <v>4</v>
      </c>
      <c r="K983" s="16">
        <v>46187</v>
      </c>
      <c r="L983" s="16">
        <v>46187</v>
      </c>
      <c r="M983" s="16">
        <v>46187</v>
      </c>
      <c r="N983" s="16" t="s">
        <v>325</v>
      </c>
    </row>
    <row r="984" spans="1:14" hidden="1" x14ac:dyDescent="0.25">
      <c r="A984" s="14" t="s">
        <v>14</v>
      </c>
      <c r="B984" s="14" t="s">
        <v>324</v>
      </c>
      <c r="C984" s="15" t="s">
        <v>20</v>
      </c>
      <c r="D984" s="16">
        <v>46192</v>
      </c>
      <c r="E984" s="17">
        <v>304</v>
      </c>
      <c r="F984" s="18">
        <v>0.99</v>
      </c>
      <c r="G984" s="19">
        <f>Cereal[[#This Row],[N° BOLSAS]]*Cereal[[#This Row],[KG BOLSA]]</f>
        <v>300.95999999999998</v>
      </c>
      <c r="H984" s="37">
        <v>50</v>
      </c>
      <c r="I984" s="14">
        <f>ROUNDDOWN(Cereal[[#This Row],[N° BOLSAS]]/Cereal[[#This Row],[CAP. SACOS]],0)</f>
        <v>6</v>
      </c>
      <c r="J984" s="14">
        <f>Cereal[[#This Row],[N° BOLSAS]]-Cereal[[#This Row],[N° SACOS]]*Cereal[[#This Row],[CAP. SACOS]]</f>
        <v>4</v>
      </c>
      <c r="K984" s="16">
        <v>46187</v>
      </c>
      <c r="L984" s="16">
        <v>46187</v>
      </c>
      <c r="M984" s="16">
        <v>46187</v>
      </c>
      <c r="N984" s="16" t="s">
        <v>325</v>
      </c>
    </row>
    <row r="985" spans="1:14" hidden="1" x14ac:dyDescent="0.25">
      <c r="A985" s="14" t="s">
        <v>14</v>
      </c>
      <c r="B985" s="14" t="s">
        <v>324</v>
      </c>
      <c r="C985" s="15" t="s">
        <v>21</v>
      </c>
      <c r="D985" s="16">
        <v>46192</v>
      </c>
      <c r="E985" s="17">
        <v>304</v>
      </c>
      <c r="F985" s="18">
        <v>1.0229999999999999</v>
      </c>
      <c r="G985" s="19">
        <f>Cereal[[#This Row],[N° BOLSAS]]*Cereal[[#This Row],[KG BOLSA]]</f>
        <v>310.99199999999996</v>
      </c>
      <c r="H985" s="37">
        <v>50</v>
      </c>
      <c r="I985" s="14">
        <f>ROUNDDOWN(Cereal[[#This Row],[N° BOLSAS]]/Cereal[[#This Row],[CAP. SACOS]],0)</f>
        <v>6</v>
      </c>
      <c r="J985" s="14">
        <f>Cereal[[#This Row],[N° BOLSAS]]-Cereal[[#This Row],[N° SACOS]]*Cereal[[#This Row],[CAP. SACOS]]</f>
        <v>4</v>
      </c>
      <c r="K985" s="16">
        <v>46187</v>
      </c>
      <c r="L985" s="16">
        <v>46187</v>
      </c>
      <c r="M985" s="16">
        <v>46187</v>
      </c>
      <c r="N985" s="16" t="s">
        <v>325</v>
      </c>
    </row>
    <row r="986" spans="1:14" hidden="1" x14ac:dyDescent="0.25">
      <c r="A986" s="14" t="s">
        <v>14</v>
      </c>
      <c r="B986" s="14" t="s">
        <v>324</v>
      </c>
      <c r="C986" s="15" t="s">
        <v>22</v>
      </c>
      <c r="D986" s="16">
        <v>46192</v>
      </c>
      <c r="E986" s="17">
        <v>304</v>
      </c>
      <c r="F986" s="18">
        <v>0.99</v>
      </c>
      <c r="G986" s="19">
        <f>Cereal[[#This Row],[N° BOLSAS]]*Cereal[[#This Row],[KG BOLSA]]</f>
        <v>300.95999999999998</v>
      </c>
      <c r="H986" s="37">
        <v>50</v>
      </c>
      <c r="I986" s="14">
        <f>ROUNDDOWN(Cereal[[#This Row],[N° BOLSAS]]/Cereal[[#This Row],[CAP. SACOS]],0)</f>
        <v>6</v>
      </c>
      <c r="J986" s="14">
        <f>Cereal[[#This Row],[N° BOLSAS]]-Cereal[[#This Row],[N° SACOS]]*Cereal[[#This Row],[CAP. SACOS]]</f>
        <v>4</v>
      </c>
      <c r="K986" s="16">
        <v>46187</v>
      </c>
      <c r="L986" s="16">
        <v>46187</v>
      </c>
      <c r="M986" s="16">
        <v>46187</v>
      </c>
      <c r="N986" s="16" t="s">
        <v>325</v>
      </c>
    </row>
    <row r="987" spans="1:14" hidden="1" x14ac:dyDescent="0.25">
      <c r="A987" s="14" t="s">
        <v>14</v>
      </c>
      <c r="B987" s="14" t="s">
        <v>324</v>
      </c>
      <c r="C987" s="15" t="s">
        <v>23</v>
      </c>
      <c r="D987" s="16">
        <v>46192</v>
      </c>
      <c r="E987" s="17">
        <v>304</v>
      </c>
      <c r="F987" s="18">
        <v>1.0229999999999999</v>
      </c>
      <c r="G987" s="19">
        <f>Cereal[[#This Row],[N° BOLSAS]]*Cereal[[#This Row],[KG BOLSA]]</f>
        <v>310.99199999999996</v>
      </c>
      <c r="H987" s="37">
        <v>50</v>
      </c>
      <c r="I987" s="14">
        <f>ROUNDDOWN(Cereal[[#This Row],[N° BOLSAS]]/Cereal[[#This Row],[CAP. SACOS]],0)</f>
        <v>6</v>
      </c>
      <c r="J987" s="14">
        <f>Cereal[[#This Row],[N° BOLSAS]]-Cereal[[#This Row],[N° SACOS]]*Cereal[[#This Row],[CAP. SACOS]]</f>
        <v>4</v>
      </c>
      <c r="K987" s="16">
        <v>46187</v>
      </c>
      <c r="L987" s="16">
        <v>46187</v>
      </c>
      <c r="M987" s="16">
        <v>46187</v>
      </c>
      <c r="N987" s="16" t="s">
        <v>325</v>
      </c>
    </row>
    <row r="988" spans="1:14" hidden="1" x14ac:dyDescent="0.25">
      <c r="A988" s="14" t="s">
        <v>14</v>
      </c>
      <c r="B988" s="14" t="s">
        <v>324</v>
      </c>
      <c r="C988" s="15" t="s">
        <v>24</v>
      </c>
      <c r="D988" s="16">
        <v>46192</v>
      </c>
      <c r="E988" s="17">
        <v>304</v>
      </c>
      <c r="F988" s="18">
        <v>1.0229999999999999</v>
      </c>
      <c r="G988" s="19">
        <f>Cereal[[#This Row],[N° BOLSAS]]*Cereal[[#This Row],[KG BOLSA]]</f>
        <v>310.99199999999996</v>
      </c>
      <c r="H988" s="37">
        <v>50</v>
      </c>
      <c r="I988" s="14">
        <f>ROUNDDOWN(Cereal[[#This Row],[N° BOLSAS]]/Cereal[[#This Row],[CAP. SACOS]],0)</f>
        <v>6</v>
      </c>
      <c r="J988" s="14">
        <f>Cereal[[#This Row],[N° BOLSAS]]-Cereal[[#This Row],[N° SACOS]]*Cereal[[#This Row],[CAP. SACOS]]</f>
        <v>4</v>
      </c>
      <c r="K988" s="16">
        <v>46187</v>
      </c>
      <c r="L988" s="16">
        <v>46187</v>
      </c>
      <c r="M988" s="16">
        <v>46187</v>
      </c>
      <c r="N988" s="16" t="s">
        <v>325</v>
      </c>
    </row>
    <row r="989" spans="1:14" hidden="1" x14ac:dyDescent="0.25">
      <c r="A989" s="14" t="s">
        <v>14</v>
      </c>
      <c r="B989" s="14" t="s">
        <v>324</v>
      </c>
      <c r="C989" s="15" t="s">
        <v>67</v>
      </c>
      <c r="D989" s="16">
        <v>46192</v>
      </c>
      <c r="E989" s="17">
        <v>304</v>
      </c>
      <c r="F989" s="18">
        <v>0.99</v>
      </c>
      <c r="G989" s="19">
        <f>Cereal[[#This Row],[N° BOLSAS]]*Cereal[[#This Row],[KG BOLSA]]</f>
        <v>300.95999999999998</v>
      </c>
      <c r="H989" s="37">
        <v>50</v>
      </c>
      <c r="I989" s="14">
        <f>ROUNDDOWN(Cereal[[#This Row],[N° BOLSAS]]/Cereal[[#This Row],[CAP. SACOS]],0)</f>
        <v>6</v>
      </c>
      <c r="J989" s="14">
        <f>Cereal[[#This Row],[N° BOLSAS]]-Cereal[[#This Row],[N° SACOS]]*Cereal[[#This Row],[CAP. SACOS]]</f>
        <v>4</v>
      </c>
      <c r="K989" s="16">
        <v>46187</v>
      </c>
      <c r="L989" s="16">
        <v>46187</v>
      </c>
      <c r="M989" s="16">
        <v>46187</v>
      </c>
      <c r="N989" s="16" t="s">
        <v>325</v>
      </c>
    </row>
    <row r="990" spans="1:14" hidden="1" x14ac:dyDescent="0.25">
      <c r="A990" s="14" t="s">
        <v>14</v>
      </c>
      <c r="B990" s="14" t="s">
        <v>324</v>
      </c>
      <c r="C990" s="15" t="s">
        <v>25</v>
      </c>
      <c r="D990" s="16">
        <v>46230</v>
      </c>
      <c r="E990" s="17">
        <v>600</v>
      </c>
      <c r="F990" s="18">
        <v>0.99</v>
      </c>
      <c r="G990" s="19">
        <f>Cereal[[#This Row],[N° BOLSAS]]*Cereal[[#This Row],[KG BOLSA]]</f>
        <v>594</v>
      </c>
      <c r="H990" s="37">
        <v>50</v>
      </c>
      <c r="I990" s="14">
        <f>ROUNDDOWN(Cereal[[#This Row],[N° BOLSAS]]/Cereal[[#This Row],[CAP. SACOS]],0)</f>
        <v>12</v>
      </c>
      <c r="J990" s="14">
        <f>Cereal[[#This Row],[N° BOLSAS]]-Cereal[[#This Row],[N° SACOS]]*Cereal[[#This Row],[CAP. SACOS]]</f>
        <v>0</v>
      </c>
      <c r="K990" s="16">
        <v>46232</v>
      </c>
      <c r="L990" s="16">
        <v>46232</v>
      </c>
      <c r="M990" s="16">
        <v>46232</v>
      </c>
      <c r="N990" s="16" t="s">
        <v>325</v>
      </c>
    </row>
    <row r="991" spans="1:14" hidden="1" x14ac:dyDescent="0.25">
      <c r="A991" s="14" t="s">
        <v>14</v>
      </c>
      <c r="B991" s="14" t="s">
        <v>324</v>
      </c>
      <c r="C991" s="15" t="s">
        <v>25</v>
      </c>
      <c r="D991" s="16">
        <v>46230</v>
      </c>
      <c r="E991" s="17">
        <v>2800</v>
      </c>
      <c r="F991" s="18">
        <v>0.9</v>
      </c>
      <c r="G991" s="19">
        <f>Cereal[[#This Row],[N° BOLSAS]]*Cereal[[#This Row],[KG BOLSA]]</f>
        <v>2520</v>
      </c>
      <c r="H991" s="37">
        <v>50</v>
      </c>
      <c r="I991" s="14">
        <f>ROUNDDOWN(Cereal[[#This Row],[N° BOLSAS]]/Cereal[[#This Row],[CAP. SACOS]],0)</f>
        <v>56</v>
      </c>
      <c r="J991" s="14">
        <f>Cereal[[#This Row],[N° BOLSAS]]-Cereal[[#This Row],[N° SACOS]]*Cereal[[#This Row],[CAP. SACOS]]</f>
        <v>0</v>
      </c>
      <c r="K991" s="16">
        <v>46232</v>
      </c>
      <c r="L991" s="16">
        <v>46232</v>
      </c>
      <c r="M991" s="16">
        <v>46232</v>
      </c>
      <c r="N991" s="16" t="s">
        <v>325</v>
      </c>
    </row>
    <row r="992" spans="1:14" hidden="1" x14ac:dyDescent="0.25">
      <c r="A992" s="14" t="s">
        <v>14</v>
      </c>
      <c r="B992" s="14" t="s">
        <v>324</v>
      </c>
      <c r="C992" s="15" t="s">
        <v>26</v>
      </c>
      <c r="D992" s="16">
        <v>46230</v>
      </c>
      <c r="E992" s="17">
        <v>600</v>
      </c>
      <c r="F992" s="18">
        <v>1.0229999999999999</v>
      </c>
      <c r="G992" s="19">
        <f>Cereal[[#This Row],[N° BOLSAS]]*Cereal[[#This Row],[KG BOLSA]]</f>
        <v>613.79999999999995</v>
      </c>
      <c r="H992" s="37">
        <v>50</v>
      </c>
      <c r="I992" s="14">
        <f>ROUNDDOWN(Cereal[[#This Row],[N° BOLSAS]]/Cereal[[#This Row],[CAP. SACOS]],0)</f>
        <v>12</v>
      </c>
      <c r="J992" s="14">
        <f>Cereal[[#This Row],[N° BOLSAS]]-Cereal[[#This Row],[N° SACOS]]*Cereal[[#This Row],[CAP. SACOS]]</f>
        <v>0</v>
      </c>
      <c r="K992" s="16">
        <v>46232</v>
      </c>
      <c r="L992" s="16">
        <v>46232</v>
      </c>
      <c r="M992" s="16">
        <v>46232</v>
      </c>
      <c r="N992" s="16" t="s">
        <v>325</v>
      </c>
    </row>
    <row r="993" spans="1:14" hidden="1" x14ac:dyDescent="0.25">
      <c r="A993" s="14" t="s">
        <v>14</v>
      </c>
      <c r="B993" s="14" t="s">
        <v>324</v>
      </c>
      <c r="C993" s="15" t="s">
        <v>26</v>
      </c>
      <c r="D993" s="16">
        <v>46230</v>
      </c>
      <c r="E993" s="17">
        <v>2800</v>
      </c>
      <c r="F993" s="18">
        <v>0.93</v>
      </c>
      <c r="G993" s="19">
        <f>Cereal[[#This Row],[N° BOLSAS]]*Cereal[[#This Row],[KG BOLSA]]</f>
        <v>2604</v>
      </c>
      <c r="H993" s="37">
        <v>50</v>
      </c>
      <c r="I993" s="14">
        <f>ROUNDDOWN(Cereal[[#This Row],[N° BOLSAS]]/Cereal[[#This Row],[CAP. SACOS]],0)</f>
        <v>56</v>
      </c>
      <c r="J993" s="14">
        <f>Cereal[[#This Row],[N° BOLSAS]]-Cereal[[#This Row],[N° SACOS]]*Cereal[[#This Row],[CAP. SACOS]]</f>
        <v>0</v>
      </c>
      <c r="K993" s="16">
        <v>46232</v>
      </c>
      <c r="L993" s="16">
        <v>46232</v>
      </c>
      <c r="M993" s="16">
        <v>46232</v>
      </c>
      <c r="N993" s="16" t="s">
        <v>325</v>
      </c>
    </row>
    <row r="994" spans="1:14" hidden="1" x14ac:dyDescent="0.25">
      <c r="A994" s="14" t="s">
        <v>14</v>
      </c>
      <c r="B994" s="14" t="s">
        <v>324</v>
      </c>
      <c r="C994" s="15" t="s">
        <v>26</v>
      </c>
      <c r="D994" s="16">
        <v>46230</v>
      </c>
      <c r="E994" s="17">
        <v>912</v>
      </c>
      <c r="F994" s="18">
        <v>1.0229999999999999</v>
      </c>
      <c r="G994" s="19">
        <f>Cereal[[#This Row],[N° BOLSAS]]*Cereal[[#This Row],[KG BOLSA]]</f>
        <v>932.97599999999989</v>
      </c>
      <c r="H994" s="37">
        <v>50</v>
      </c>
      <c r="I994" s="14">
        <f>ROUNDDOWN(Cereal[[#This Row],[N° BOLSAS]]/Cereal[[#This Row],[CAP. SACOS]],0)</f>
        <v>18</v>
      </c>
      <c r="J994" s="14">
        <f>Cereal[[#This Row],[N° BOLSAS]]-Cereal[[#This Row],[N° SACOS]]*Cereal[[#This Row],[CAP. SACOS]]</f>
        <v>12</v>
      </c>
      <c r="K994" s="16">
        <v>46232</v>
      </c>
      <c r="L994" s="16">
        <v>46232</v>
      </c>
      <c r="M994" s="16">
        <v>46232</v>
      </c>
      <c r="N994" s="16" t="s">
        <v>325</v>
      </c>
    </row>
    <row r="995" spans="1:14" hidden="1" x14ac:dyDescent="0.25">
      <c r="A995" s="14" t="s">
        <v>14</v>
      </c>
      <c r="B995" s="14" t="s">
        <v>324</v>
      </c>
      <c r="C995" s="15" t="s">
        <v>27</v>
      </c>
      <c r="D995" s="16">
        <v>46314</v>
      </c>
      <c r="E995" s="17">
        <v>304</v>
      </c>
      <c r="F995" s="18">
        <v>0.99</v>
      </c>
      <c r="G995" s="19">
        <f>Cereal[[#This Row],[N° BOLSAS]]*Cereal[[#This Row],[KG BOLSA]]</f>
        <v>300.95999999999998</v>
      </c>
      <c r="H995" s="37">
        <v>50</v>
      </c>
      <c r="I995" s="14">
        <f>ROUNDDOWN(Cereal[[#This Row],[N° BOLSAS]]/Cereal[[#This Row],[CAP. SACOS]],0)</f>
        <v>6</v>
      </c>
      <c r="J995" s="14">
        <f>Cereal[[#This Row],[N° BOLSAS]]-Cereal[[#This Row],[N° SACOS]]*Cereal[[#This Row],[CAP. SACOS]]</f>
        <v>4</v>
      </c>
      <c r="K995" s="16"/>
      <c r="L995" s="16"/>
      <c r="M995" s="16"/>
      <c r="N995" s="16" t="s">
        <v>325</v>
      </c>
    </row>
    <row r="996" spans="1:14" hidden="1" x14ac:dyDescent="0.25">
      <c r="A996" s="14" t="s">
        <v>14</v>
      </c>
      <c r="B996" s="14" t="s">
        <v>324</v>
      </c>
      <c r="C996" s="15" t="s">
        <v>27</v>
      </c>
      <c r="D996" s="16">
        <v>46318</v>
      </c>
      <c r="E996" s="17">
        <v>600</v>
      </c>
      <c r="F996" s="18">
        <v>0.99</v>
      </c>
      <c r="G996" s="19">
        <f>Cereal[[#This Row],[N° BOLSAS]]*Cereal[[#This Row],[KG BOLSA]]</f>
        <v>594</v>
      </c>
      <c r="H996" s="37">
        <v>50</v>
      </c>
      <c r="I996" s="14">
        <f>ROUNDDOWN(Cereal[[#This Row],[N° BOLSAS]]/Cereal[[#This Row],[CAP. SACOS]],0)</f>
        <v>12</v>
      </c>
      <c r="J996" s="14">
        <f>Cereal[[#This Row],[N° BOLSAS]]-Cereal[[#This Row],[N° SACOS]]*Cereal[[#This Row],[CAP. SACOS]]</f>
        <v>0</v>
      </c>
      <c r="K996" s="16"/>
      <c r="L996" s="16"/>
      <c r="M996" s="16"/>
      <c r="N996" s="16" t="s">
        <v>325</v>
      </c>
    </row>
    <row r="997" spans="1:14" hidden="1" x14ac:dyDescent="0.25">
      <c r="A997" s="14" t="s">
        <v>14</v>
      </c>
      <c r="B997" s="14" t="s">
        <v>324</v>
      </c>
      <c r="C997" s="15" t="s">
        <v>27</v>
      </c>
      <c r="D997" s="16">
        <v>46318</v>
      </c>
      <c r="E997" s="17">
        <v>2800</v>
      </c>
      <c r="F997" s="18">
        <v>0.9</v>
      </c>
      <c r="G997" s="19">
        <f>Cereal[[#This Row],[N° BOLSAS]]*Cereal[[#This Row],[KG BOLSA]]</f>
        <v>2520</v>
      </c>
      <c r="H997" s="37">
        <v>50</v>
      </c>
      <c r="I997" s="14">
        <f>ROUNDDOWN(Cereal[[#This Row],[N° BOLSAS]]/Cereal[[#This Row],[CAP. SACOS]],0)</f>
        <v>56</v>
      </c>
      <c r="J997" s="14">
        <f>Cereal[[#This Row],[N° BOLSAS]]-Cereal[[#This Row],[N° SACOS]]*Cereal[[#This Row],[CAP. SACOS]]</f>
        <v>0</v>
      </c>
      <c r="K997" s="16"/>
      <c r="L997" s="16"/>
      <c r="M997" s="16"/>
      <c r="N997" s="16" t="s">
        <v>325</v>
      </c>
    </row>
    <row r="998" spans="1:14" hidden="1" x14ac:dyDescent="0.25">
      <c r="A998" s="14" t="s">
        <v>14</v>
      </c>
      <c r="B998" s="14" t="s">
        <v>324</v>
      </c>
      <c r="C998" s="15" t="s">
        <v>28</v>
      </c>
      <c r="D998" s="16">
        <v>46318</v>
      </c>
      <c r="E998" s="17">
        <v>600</v>
      </c>
      <c r="F998" s="18">
        <v>1.0229999999999999</v>
      </c>
      <c r="G998" s="19">
        <f>Cereal[[#This Row],[N° BOLSAS]]*Cereal[[#This Row],[KG BOLSA]]</f>
        <v>613.79999999999995</v>
      </c>
      <c r="H998" s="37">
        <v>50</v>
      </c>
      <c r="I998" s="14">
        <f>ROUNDDOWN(Cereal[[#This Row],[N° BOLSAS]]/Cereal[[#This Row],[CAP. SACOS]],0)</f>
        <v>12</v>
      </c>
      <c r="J998" s="14">
        <f>Cereal[[#This Row],[N° BOLSAS]]-Cereal[[#This Row],[N° SACOS]]*Cereal[[#This Row],[CAP. SACOS]]</f>
        <v>0</v>
      </c>
      <c r="K998" s="16"/>
      <c r="L998" s="16"/>
      <c r="M998" s="16"/>
      <c r="N998" s="16" t="s">
        <v>325</v>
      </c>
    </row>
    <row r="999" spans="1:14" hidden="1" x14ac:dyDescent="0.25">
      <c r="A999" s="14" t="s">
        <v>14</v>
      </c>
      <c r="B999" s="14" t="s">
        <v>324</v>
      </c>
      <c r="C999" s="15" t="s">
        <v>28</v>
      </c>
      <c r="D999" s="16">
        <v>46318</v>
      </c>
      <c r="E999" s="17">
        <v>2800</v>
      </c>
      <c r="F999" s="18">
        <v>0.93</v>
      </c>
      <c r="G999" s="19">
        <f>Cereal[[#This Row],[N° BOLSAS]]*Cereal[[#This Row],[KG BOLSA]]</f>
        <v>2604</v>
      </c>
      <c r="H999" s="37">
        <v>50</v>
      </c>
      <c r="I999" s="14">
        <f>ROUNDDOWN(Cereal[[#This Row],[N° BOLSAS]]/Cereal[[#This Row],[CAP. SACOS]],0)</f>
        <v>56</v>
      </c>
      <c r="J999" s="14">
        <f>Cereal[[#This Row],[N° BOLSAS]]-Cereal[[#This Row],[N° SACOS]]*Cereal[[#This Row],[CAP. SACOS]]</f>
        <v>0</v>
      </c>
      <c r="K999" s="16"/>
      <c r="L999" s="16"/>
      <c r="M999" s="16"/>
      <c r="N999" s="16" t="s">
        <v>325</v>
      </c>
    </row>
    <row r="1000" spans="1:14" hidden="1" x14ac:dyDescent="0.25">
      <c r="A1000" s="14" t="s">
        <v>14</v>
      </c>
      <c r="B1000" s="14" t="s">
        <v>324</v>
      </c>
      <c r="C1000" s="15" t="s">
        <v>28</v>
      </c>
      <c r="D1000" s="16">
        <v>46342</v>
      </c>
      <c r="E1000" s="17">
        <v>304</v>
      </c>
      <c r="F1000" s="18">
        <v>1.0229999999999999</v>
      </c>
      <c r="G1000" s="19">
        <f>Cereal[[#This Row],[N° BOLSAS]]*Cereal[[#This Row],[KG BOLSA]]</f>
        <v>310.99199999999996</v>
      </c>
      <c r="H1000" s="37">
        <v>50</v>
      </c>
      <c r="I1000" s="14">
        <f>ROUNDDOWN(Cereal[[#This Row],[N° BOLSAS]]/Cereal[[#This Row],[CAP. SACOS]],0)</f>
        <v>6</v>
      </c>
      <c r="J1000" s="14">
        <f>Cereal[[#This Row],[N° BOLSAS]]-Cereal[[#This Row],[N° SACOS]]*Cereal[[#This Row],[CAP. SACOS]]</f>
        <v>4</v>
      </c>
      <c r="K1000" s="16"/>
      <c r="L1000" s="16"/>
      <c r="M1000" s="16"/>
      <c r="N1000" s="16" t="s">
        <v>325</v>
      </c>
    </row>
    <row r="1001" spans="1:14" ht="22.5" hidden="1" x14ac:dyDescent="0.25">
      <c r="A1001" s="14" t="s">
        <v>14</v>
      </c>
      <c r="B1001" s="14" t="s">
        <v>326</v>
      </c>
      <c r="C1001" s="15" t="s">
        <v>35</v>
      </c>
      <c r="D1001" s="16">
        <v>46039</v>
      </c>
      <c r="E1001" s="17">
        <v>3090</v>
      </c>
      <c r="F1001" s="18">
        <v>1.22397</v>
      </c>
      <c r="G1001" s="19">
        <f>Cereal[[#This Row],[N° BOLSAS]]*Cereal[[#This Row],[KG BOLSA]]</f>
        <v>3782.0673000000002</v>
      </c>
      <c r="H1001" s="37">
        <v>35</v>
      </c>
      <c r="I1001" s="14">
        <f>ROUNDDOWN(Cereal[[#This Row],[N° BOLSAS]]/Cereal[[#This Row],[CAP. SACOS]],0)</f>
        <v>88</v>
      </c>
      <c r="J1001" s="14">
        <f>Cereal[[#This Row],[N° BOLSAS]]-Cereal[[#This Row],[N° SACOS]]*Cereal[[#This Row],[CAP. SACOS]]</f>
        <v>10</v>
      </c>
      <c r="K1001" s="16">
        <v>46052</v>
      </c>
      <c r="L1001" s="16">
        <v>46052</v>
      </c>
      <c r="M1001" s="16">
        <v>46058</v>
      </c>
      <c r="N1001" s="16" t="s">
        <v>327</v>
      </c>
    </row>
    <row r="1002" spans="1:14" hidden="1" x14ac:dyDescent="0.25">
      <c r="A1002" s="14" t="s">
        <v>14</v>
      </c>
      <c r="B1002" s="14" t="s">
        <v>326</v>
      </c>
      <c r="C1002" s="15" t="s">
        <v>37</v>
      </c>
      <c r="D1002" s="16">
        <v>46106</v>
      </c>
      <c r="E1002" s="17">
        <v>3090</v>
      </c>
      <c r="F1002" s="18">
        <v>1.22397</v>
      </c>
      <c r="G1002" s="19">
        <f>Cereal[[#This Row],[N° BOLSAS]]*Cereal[[#This Row],[KG BOLSA]]</f>
        <v>3782.0673000000002</v>
      </c>
      <c r="H1002" s="37">
        <v>35</v>
      </c>
      <c r="I1002" s="14">
        <f>ROUNDDOWN(Cereal[[#This Row],[N° BOLSAS]]/Cereal[[#This Row],[CAP. SACOS]],0)</f>
        <v>88</v>
      </c>
      <c r="J1002" s="14">
        <f>Cereal[[#This Row],[N° BOLSAS]]-Cereal[[#This Row],[N° SACOS]]*Cereal[[#This Row],[CAP. SACOS]]</f>
        <v>10</v>
      </c>
      <c r="K1002" s="16">
        <v>46106</v>
      </c>
      <c r="L1002" s="16">
        <v>46106</v>
      </c>
      <c r="M1002" s="16">
        <v>46106</v>
      </c>
      <c r="N1002" s="16" t="s">
        <v>327</v>
      </c>
    </row>
    <row r="1003" spans="1:14" ht="22.5" hidden="1" x14ac:dyDescent="0.25">
      <c r="A1003" s="14" t="s">
        <v>14</v>
      </c>
      <c r="B1003" s="14" t="s">
        <v>326</v>
      </c>
      <c r="C1003" s="15" t="s">
        <v>38</v>
      </c>
      <c r="D1003" s="16">
        <v>46198</v>
      </c>
      <c r="E1003" s="17">
        <v>3090</v>
      </c>
      <c r="F1003" s="18">
        <v>1.22397</v>
      </c>
      <c r="G1003" s="19">
        <f>Cereal[[#This Row],[N° BOLSAS]]*Cereal[[#This Row],[KG BOLSA]]</f>
        <v>3782.0673000000002</v>
      </c>
      <c r="H1003" s="37">
        <v>35</v>
      </c>
      <c r="I1003" s="14">
        <f>ROUNDDOWN(Cereal[[#This Row],[N° BOLSAS]]/Cereal[[#This Row],[CAP. SACOS]],0)</f>
        <v>88</v>
      </c>
      <c r="J1003" s="14">
        <f>Cereal[[#This Row],[N° BOLSAS]]-Cereal[[#This Row],[N° SACOS]]*Cereal[[#This Row],[CAP. SACOS]]</f>
        <v>10</v>
      </c>
      <c r="K1003" s="16">
        <v>46189</v>
      </c>
      <c r="L1003" s="16">
        <v>46189</v>
      </c>
      <c r="M1003" s="16">
        <v>46202</v>
      </c>
      <c r="N1003" s="16" t="s">
        <v>327</v>
      </c>
    </row>
    <row r="1004" spans="1:14" ht="33.75" hidden="1" x14ac:dyDescent="0.25">
      <c r="A1004" s="14" t="s">
        <v>14</v>
      </c>
      <c r="B1004" s="14" t="s">
        <v>326</v>
      </c>
      <c r="C1004" s="15" t="s">
        <v>39</v>
      </c>
      <c r="D1004" s="16">
        <v>46290</v>
      </c>
      <c r="E1004" s="17">
        <v>3090</v>
      </c>
      <c r="F1004" s="18">
        <v>1.22397</v>
      </c>
      <c r="G1004" s="19">
        <f>Cereal[[#This Row],[N° BOLSAS]]*Cereal[[#This Row],[KG BOLSA]]</f>
        <v>3782.0673000000002</v>
      </c>
      <c r="H1004" s="37">
        <v>35</v>
      </c>
      <c r="I1004" s="14">
        <f>ROUNDDOWN(Cereal[[#This Row],[N° BOLSAS]]/Cereal[[#This Row],[CAP. SACOS]],0)</f>
        <v>88</v>
      </c>
      <c r="J1004" s="14">
        <f>Cereal[[#This Row],[N° BOLSAS]]-Cereal[[#This Row],[N° SACOS]]*Cereal[[#This Row],[CAP. SACOS]]</f>
        <v>10</v>
      </c>
      <c r="K1004" s="16"/>
      <c r="L1004" s="16"/>
      <c r="M1004" s="16"/>
      <c r="N1004" s="16" t="s">
        <v>327</v>
      </c>
    </row>
    <row r="1005" spans="1:14" hidden="1" x14ac:dyDescent="0.25">
      <c r="A1005" s="14" t="s">
        <v>14</v>
      </c>
      <c r="B1005" s="14" t="s">
        <v>326</v>
      </c>
      <c r="C1005" s="15" t="s">
        <v>30</v>
      </c>
      <c r="D1005" s="16">
        <v>46283</v>
      </c>
      <c r="E1005" s="17">
        <v>2394</v>
      </c>
      <c r="F1005" s="18">
        <v>1</v>
      </c>
      <c r="G1005" s="19">
        <f>Cereal[[#This Row],[N° BOLSAS]]*Cereal[[#This Row],[KG BOLSA]]</f>
        <v>2394</v>
      </c>
      <c r="H1005" s="37">
        <v>40</v>
      </c>
      <c r="I1005" s="14">
        <f>ROUNDDOWN(Cereal[[#This Row],[N° BOLSAS]]/Cereal[[#This Row],[CAP. SACOS]],0)</f>
        <v>59</v>
      </c>
      <c r="J1005" s="14">
        <f>Cereal[[#This Row],[N° BOLSAS]]-Cereal[[#This Row],[N° SACOS]]*Cereal[[#This Row],[CAP. SACOS]]</f>
        <v>34</v>
      </c>
      <c r="K1005" s="16">
        <v>46280</v>
      </c>
      <c r="L1005" s="16">
        <v>46280</v>
      </c>
      <c r="M1005" s="16">
        <v>46280</v>
      </c>
      <c r="N1005" s="16" t="s">
        <v>327</v>
      </c>
    </row>
    <row r="1006" spans="1:14" ht="22.5" hidden="1" x14ac:dyDescent="0.25">
      <c r="A1006" s="14" t="s">
        <v>14</v>
      </c>
      <c r="B1006" s="14" t="s">
        <v>328</v>
      </c>
      <c r="C1006" s="15" t="s">
        <v>35</v>
      </c>
      <c r="D1006" s="16">
        <v>46039</v>
      </c>
      <c r="E1006" s="17">
        <v>3090</v>
      </c>
      <c r="F1006" s="18">
        <v>0.33457999999999999</v>
      </c>
      <c r="G1006" s="19">
        <f>Cereal[[#This Row],[N° BOLSAS]]*Cereal[[#This Row],[KG BOLSA]]</f>
        <v>1033.8522</v>
      </c>
      <c r="H1006" s="37">
        <v>120</v>
      </c>
      <c r="I1006" s="14">
        <f>ROUNDDOWN(Cereal[[#This Row],[N° BOLSAS]]/Cereal[[#This Row],[CAP. SACOS]],0)</f>
        <v>25</v>
      </c>
      <c r="J1006" s="14">
        <f>Cereal[[#This Row],[N° BOLSAS]]-Cereal[[#This Row],[N° SACOS]]*Cereal[[#This Row],[CAP. SACOS]]</f>
        <v>90</v>
      </c>
      <c r="K1006" s="16">
        <v>46051</v>
      </c>
      <c r="L1006" s="16">
        <v>46051</v>
      </c>
      <c r="M1006" s="16">
        <v>46058</v>
      </c>
      <c r="N1006" s="16" t="s">
        <v>329</v>
      </c>
    </row>
    <row r="1007" spans="1:14" hidden="1" x14ac:dyDescent="0.25">
      <c r="A1007" s="14" t="s">
        <v>14</v>
      </c>
      <c r="B1007" s="14" t="s">
        <v>328</v>
      </c>
      <c r="C1007" s="15" t="s">
        <v>37</v>
      </c>
      <c r="D1007" s="16">
        <v>46106</v>
      </c>
      <c r="E1007" s="17">
        <v>3090</v>
      </c>
      <c r="F1007" s="18">
        <v>0.33457999999999999</v>
      </c>
      <c r="G1007" s="19">
        <f>Cereal[[#This Row],[N° BOLSAS]]*Cereal[[#This Row],[KG BOLSA]]</f>
        <v>1033.8522</v>
      </c>
      <c r="H1007" s="37">
        <v>120</v>
      </c>
      <c r="I1007" s="14">
        <f>ROUNDDOWN(Cereal[[#This Row],[N° BOLSAS]]/Cereal[[#This Row],[CAP. SACOS]],0)</f>
        <v>25</v>
      </c>
      <c r="J1007" s="14">
        <f>Cereal[[#This Row],[N° BOLSAS]]-Cereal[[#This Row],[N° SACOS]]*Cereal[[#This Row],[CAP. SACOS]]</f>
        <v>90</v>
      </c>
      <c r="K1007" s="16">
        <v>46106</v>
      </c>
      <c r="L1007" s="16">
        <v>46106</v>
      </c>
      <c r="M1007" s="16">
        <v>46106</v>
      </c>
      <c r="N1007" s="16" t="s">
        <v>329</v>
      </c>
    </row>
    <row r="1008" spans="1:14" ht="22.5" hidden="1" x14ac:dyDescent="0.25">
      <c r="A1008" s="14" t="s">
        <v>14</v>
      </c>
      <c r="B1008" s="14" t="s">
        <v>328</v>
      </c>
      <c r="C1008" s="15" t="s">
        <v>38</v>
      </c>
      <c r="D1008" s="16">
        <v>46198</v>
      </c>
      <c r="E1008" s="17">
        <v>3090</v>
      </c>
      <c r="F1008" s="18">
        <v>0.33457999999999999</v>
      </c>
      <c r="G1008" s="19">
        <f>Cereal[[#This Row],[N° BOLSAS]]*Cereal[[#This Row],[KG BOLSA]]</f>
        <v>1033.8522</v>
      </c>
      <c r="H1008" s="37">
        <v>120</v>
      </c>
      <c r="I1008" s="14">
        <f>ROUNDDOWN(Cereal[[#This Row],[N° BOLSAS]]/Cereal[[#This Row],[CAP. SACOS]],0)</f>
        <v>25</v>
      </c>
      <c r="J1008" s="14">
        <f>Cereal[[#This Row],[N° BOLSAS]]-Cereal[[#This Row],[N° SACOS]]*Cereal[[#This Row],[CAP. SACOS]]</f>
        <v>90</v>
      </c>
      <c r="K1008" s="16">
        <v>46178</v>
      </c>
      <c r="L1008" s="16">
        <v>46178</v>
      </c>
      <c r="M1008" s="16">
        <v>46202</v>
      </c>
      <c r="N1008" s="16" t="s">
        <v>329</v>
      </c>
    </row>
    <row r="1009" spans="1:14" ht="33.75" hidden="1" x14ac:dyDescent="0.25">
      <c r="A1009" s="14" t="s">
        <v>14</v>
      </c>
      <c r="B1009" s="14" t="s">
        <v>328</v>
      </c>
      <c r="C1009" s="15" t="s">
        <v>39</v>
      </c>
      <c r="D1009" s="16">
        <v>46290</v>
      </c>
      <c r="E1009" s="17">
        <v>3090</v>
      </c>
      <c r="F1009" s="18">
        <v>0.33457999999999999</v>
      </c>
      <c r="G1009" s="19">
        <f>Cereal[[#This Row],[N° BOLSAS]]*Cereal[[#This Row],[KG BOLSA]]</f>
        <v>1033.8522</v>
      </c>
      <c r="H1009" s="37">
        <v>120</v>
      </c>
      <c r="I1009" s="14">
        <f>ROUNDDOWN(Cereal[[#This Row],[N° BOLSAS]]/Cereal[[#This Row],[CAP. SACOS]],0)</f>
        <v>25</v>
      </c>
      <c r="J1009" s="14">
        <f>Cereal[[#This Row],[N° BOLSAS]]-Cereal[[#This Row],[N° SACOS]]*Cereal[[#This Row],[CAP. SACOS]]</f>
        <v>90</v>
      </c>
      <c r="K1009" s="16">
        <v>46290</v>
      </c>
      <c r="L1009" s="16">
        <v>46290</v>
      </c>
      <c r="M1009" s="16">
        <v>46292</v>
      </c>
      <c r="N1009" s="16" t="s">
        <v>329</v>
      </c>
    </row>
    <row r="1010" spans="1:14" hidden="1" x14ac:dyDescent="0.25">
      <c r="A1010" s="14" t="s">
        <v>14</v>
      </c>
      <c r="B1010" s="14" t="s">
        <v>330</v>
      </c>
      <c r="C1010" s="15" t="s">
        <v>16</v>
      </c>
      <c r="D1010" s="16">
        <v>46037</v>
      </c>
      <c r="E1010" s="17">
        <v>1102</v>
      </c>
      <c r="F1010" s="18">
        <v>1</v>
      </c>
      <c r="G1010" s="19">
        <f>Cereal[[#This Row],[N° BOLSAS]]*Cereal[[#This Row],[KG BOLSA]]</f>
        <v>1102</v>
      </c>
      <c r="H1010" s="37">
        <v>40</v>
      </c>
      <c r="I1010" s="14">
        <f>ROUNDDOWN(Cereal[[#This Row],[N° BOLSAS]]/Cereal[[#This Row],[CAP. SACOS]],0)</f>
        <v>27</v>
      </c>
      <c r="J1010" s="14">
        <f>Cereal[[#This Row],[N° BOLSAS]]-Cereal[[#This Row],[N° SACOS]]*Cereal[[#This Row],[CAP. SACOS]]</f>
        <v>22</v>
      </c>
      <c r="K1010" s="16">
        <v>46036</v>
      </c>
      <c r="L1010" s="16">
        <v>46036</v>
      </c>
      <c r="M1010" s="16">
        <v>46037</v>
      </c>
      <c r="N1010" s="16" t="s">
        <v>331</v>
      </c>
    </row>
    <row r="1011" spans="1:14" hidden="1" x14ac:dyDescent="0.25">
      <c r="A1011" s="14" t="s">
        <v>14</v>
      </c>
      <c r="B1011" s="14" t="s">
        <v>330</v>
      </c>
      <c r="C1011" s="15" t="s">
        <v>18</v>
      </c>
      <c r="D1011" s="16">
        <v>46042</v>
      </c>
      <c r="E1011" s="17">
        <v>1429</v>
      </c>
      <c r="F1011" s="18">
        <v>1</v>
      </c>
      <c r="G1011" s="19">
        <f>Cereal[[#This Row],[N° BOLSAS]]*Cereal[[#This Row],[KG BOLSA]]</f>
        <v>1429</v>
      </c>
      <c r="H1011" s="37">
        <v>40</v>
      </c>
      <c r="I1011" s="14">
        <f>ROUNDDOWN(Cereal[[#This Row],[N° BOLSAS]]/Cereal[[#This Row],[CAP. SACOS]],0)</f>
        <v>35</v>
      </c>
      <c r="J1011" s="14">
        <f>Cereal[[#This Row],[N° BOLSAS]]-Cereal[[#This Row],[N° SACOS]]*Cereal[[#This Row],[CAP. SACOS]]</f>
        <v>29</v>
      </c>
      <c r="K1011" s="16">
        <v>46036</v>
      </c>
      <c r="L1011" s="16">
        <v>46036</v>
      </c>
      <c r="M1011" s="16">
        <v>46037</v>
      </c>
      <c r="N1011" s="16" t="s">
        <v>331</v>
      </c>
    </row>
    <row r="1012" spans="1:14" hidden="1" x14ac:dyDescent="0.25">
      <c r="A1012" s="14" t="s">
        <v>14</v>
      </c>
      <c r="B1012" s="14" t="s">
        <v>330</v>
      </c>
      <c r="C1012" s="15" t="s">
        <v>19</v>
      </c>
      <c r="D1012" s="16">
        <v>46073</v>
      </c>
      <c r="E1012" s="17">
        <v>1582</v>
      </c>
      <c r="F1012" s="18">
        <v>1</v>
      </c>
      <c r="G1012" s="19">
        <f>Cereal[[#This Row],[N° BOLSAS]]*Cereal[[#This Row],[KG BOLSA]]</f>
        <v>1582</v>
      </c>
      <c r="H1012" s="37">
        <v>40</v>
      </c>
      <c r="I1012" s="14">
        <f>ROUNDDOWN(Cereal[[#This Row],[N° BOLSAS]]/Cereal[[#This Row],[CAP. SACOS]],0)</f>
        <v>39</v>
      </c>
      <c r="J1012" s="14">
        <f>Cereal[[#This Row],[N° BOLSAS]]-Cereal[[#This Row],[N° SACOS]]*Cereal[[#This Row],[CAP. SACOS]]</f>
        <v>22</v>
      </c>
      <c r="K1012" s="16">
        <v>46071</v>
      </c>
      <c r="L1012" s="16">
        <v>46071</v>
      </c>
      <c r="M1012" s="16">
        <v>46073</v>
      </c>
      <c r="N1012" s="16" t="s">
        <v>331</v>
      </c>
    </row>
    <row r="1013" spans="1:14" hidden="1" x14ac:dyDescent="0.25">
      <c r="A1013" s="14" t="s">
        <v>14</v>
      </c>
      <c r="B1013" s="14" t="s">
        <v>330</v>
      </c>
      <c r="C1013" s="15" t="s">
        <v>20</v>
      </c>
      <c r="D1013" s="16">
        <v>46101</v>
      </c>
      <c r="E1013" s="17">
        <v>1531</v>
      </c>
      <c r="F1013" s="18">
        <v>1</v>
      </c>
      <c r="G1013" s="19">
        <f>Cereal[[#This Row],[N° BOLSAS]]*Cereal[[#This Row],[KG BOLSA]]</f>
        <v>1531</v>
      </c>
      <c r="H1013" s="37">
        <v>40</v>
      </c>
      <c r="I1013" s="14">
        <f>ROUNDDOWN(Cereal[[#This Row],[N° BOLSAS]]/Cereal[[#This Row],[CAP. SACOS]],0)</f>
        <v>38</v>
      </c>
      <c r="J1013" s="14">
        <f>Cereal[[#This Row],[N° BOLSAS]]-Cereal[[#This Row],[N° SACOS]]*Cereal[[#This Row],[CAP. SACOS]]</f>
        <v>11</v>
      </c>
      <c r="K1013" s="16">
        <v>46100</v>
      </c>
      <c r="L1013" s="16">
        <v>46100</v>
      </c>
      <c r="M1013" s="16">
        <v>46101</v>
      </c>
      <c r="N1013" s="16" t="s">
        <v>331</v>
      </c>
    </row>
    <row r="1014" spans="1:14" hidden="1" x14ac:dyDescent="0.25">
      <c r="A1014" s="14" t="s">
        <v>14</v>
      </c>
      <c r="B1014" s="14" t="s">
        <v>330</v>
      </c>
      <c r="C1014" s="15" t="s">
        <v>21</v>
      </c>
      <c r="D1014" s="16">
        <v>46132</v>
      </c>
      <c r="E1014" s="17">
        <v>1582</v>
      </c>
      <c r="F1014" s="18">
        <v>1</v>
      </c>
      <c r="G1014" s="19">
        <f>Cereal[[#This Row],[N° BOLSAS]]*Cereal[[#This Row],[KG BOLSA]]</f>
        <v>1582</v>
      </c>
      <c r="H1014" s="37">
        <v>40</v>
      </c>
      <c r="I1014" s="14">
        <f>ROUNDDOWN(Cereal[[#This Row],[N° BOLSAS]]/Cereal[[#This Row],[CAP. SACOS]],0)</f>
        <v>39</v>
      </c>
      <c r="J1014" s="14">
        <f>Cereal[[#This Row],[N° BOLSAS]]-Cereal[[#This Row],[N° SACOS]]*Cereal[[#This Row],[CAP. SACOS]]</f>
        <v>22</v>
      </c>
      <c r="K1014" s="16">
        <v>46127</v>
      </c>
      <c r="L1014" s="16">
        <v>46127</v>
      </c>
      <c r="M1014" s="16">
        <v>46135</v>
      </c>
      <c r="N1014" s="16" t="s">
        <v>331</v>
      </c>
    </row>
    <row r="1015" spans="1:14" hidden="1" x14ac:dyDescent="0.25">
      <c r="A1015" s="14" t="s">
        <v>14</v>
      </c>
      <c r="B1015" s="14" t="s">
        <v>330</v>
      </c>
      <c r="C1015" s="15" t="s">
        <v>22</v>
      </c>
      <c r="D1015" s="16">
        <v>46162</v>
      </c>
      <c r="E1015" s="17">
        <v>1531</v>
      </c>
      <c r="F1015" s="18">
        <v>1</v>
      </c>
      <c r="G1015" s="19">
        <f>Cereal[[#This Row],[N° BOLSAS]]*Cereal[[#This Row],[KG BOLSA]]</f>
        <v>1531</v>
      </c>
      <c r="H1015" s="37">
        <v>40</v>
      </c>
      <c r="I1015" s="14">
        <f>ROUNDDOWN(Cereal[[#This Row],[N° BOLSAS]]/Cereal[[#This Row],[CAP. SACOS]],0)</f>
        <v>38</v>
      </c>
      <c r="J1015" s="14">
        <f>Cereal[[#This Row],[N° BOLSAS]]-Cereal[[#This Row],[N° SACOS]]*Cereal[[#This Row],[CAP. SACOS]]</f>
        <v>11</v>
      </c>
      <c r="K1015" s="16">
        <v>46157</v>
      </c>
      <c r="L1015" s="16">
        <v>46157</v>
      </c>
      <c r="M1015" s="16">
        <v>46162</v>
      </c>
      <c r="N1015" s="16" t="s">
        <v>331</v>
      </c>
    </row>
    <row r="1016" spans="1:14" hidden="1" x14ac:dyDescent="0.25">
      <c r="A1016" s="14" t="s">
        <v>14</v>
      </c>
      <c r="B1016" s="14" t="s">
        <v>330</v>
      </c>
      <c r="C1016" s="15" t="s">
        <v>23</v>
      </c>
      <c r="D1016" s="16">
        <v>46192</v>
      </c>
      <c r="E1016" s="17">
        <v>1582</v>
      </c>
      <c r="F1016" s="18">
        <v>1</v>
      </c>
      <c r="G1016" s="19">
        <f>Cereal[[#This Row],[N° BOLSAS]]*Cereal[[#This Row],[KG BOLSA]]</f>
        <v>1582</v>
      </c>
      <c r="H1016" s="37">
        <v>40</v>
      </c>
      <c r="I1016" s="14">
        <f>ROUNDDOWN(Cereal[[#This Row],[N° BOLSAS]]/Cereal[[#This Row],[CAP. SACOS]],0)</f>
        <v>39</v>
      </c>
      <c r="J1016" s="14">
        <f>Cereal[[#This Row],[N° BOLSAS]]-Cereal[[#This Row],[N° SACOS]]*Cereal[[#This Row],[CAP. SACOS]]</f>
        <v>22</v>
      </c>
      <c r="K1016" s="16">
        <v>46185</v>
      </c>
      <c r="L1016" s="16">
        <v>46185</v>
      </c>
      <c r="M1016" s="16">
        <v>46185</v>
      </c>
      <c r="N1016" s="16" t="s">
        <v>331</v>
      </c>
    </row>
    <row r="1017" spans="1:14" hidden="1" x14ac:dyDescent="0.25">
      <c r="A1017" s="14" t="s">
        <v>14</v>
      </c>
      <c r="B1017" s="14" t="s">
        <v>330</v>
      </c>
      <c r="C1017" s="15" t="s">
        <v>24</v>
      </c>
      <c r="D1017" s="16">
        <v>46223</v>
      </c>
      <c r="E1017" s="17">
        <v>1582</v>
      </c>
      <c r="F1017" s="18">
        <v>1</v>
      </c>
      <c r="G1017" s="19">
        <f>Cereal[[#This Row],[N° BOLSAS]]*Cereal[[#This Row],[KG BOLSA]]</f>
        <v>1582</v>
      </c>
      <c r="H1017" s="37">
        <v>40</v>
      </c>
      <c r="I1017" s="14">
        <f>ROUNDDOWN(Cereal[[#This Row],[N° BOLSAS]]/Cereal[[#This Row],[CAP. SACOS]],0)</f>
        <v>39</v>
      </c>
      <c r="J1017" s="14">
        <f>Cereal[[#This Row],[N° BOLSAS]]-Cereal[[#This Row],[N° SACOS]]*Cereal[[#This Row],[CAP. SACOS]]</f>
        <v>22</v>
      </c>
      <c r="K1017" s="16">
        <v>46223</v>
      </c>
      <c r="L1017" s="16">
        <v>46223</v>
      </c>
      <c r="M1017" s="16">
        <v>46223</v>
      </c>
      <c r="N1017" s="16" t="s">
        <v>331</v>
      </c>
    </row>
    <row r="1018" spans="1:14" hidden="1" x14ac:dyDescent="0.25">
      <c r="A1018" s="14" t="s">
        <v>14</v>
      </c>
      <c r="B1018" s="14" t="s">
        <v>330</v>
      </c>
      <c r="C1018" s="15" t="s">
        <v>25</v>
      </c>
      <c r="D1018" s="16">
        <v>46254</v>
      </c>
      <c r="E1018" s="17">
        <v>1531</v>
      </c>
      <c r="F1018" s="18">
        <v>1</v>
      </c>
      <c r="G1018" s="19">
        <f>Cereal[[#This Row],[N° BOLSAS]]*Cereal[[#This Row],[KG BOLSA]]</f>
        <v>1531</v>
      </c>
      <c r="H1018" s="37">
        <v>40</v>
      </c>
      <c r="I1018" s="14">
        <f>ROUNDDOWN(Cereal[[#This Row],[N° BOLSAS]]/Cereal[[#This Row],[CAP. SACOS]],0)</f>
        <v>38</v>
      </c>
      <c r="J1018" s="14">
        <f>Cereal[[#This Row],[N° BOLSAS]]-Cereal[[#This Row],[N° SACOS]]*Cereal[[#This Row],[CAP. SACOS]]</f>
        <v>11</v>
      </c>
      <c r="K1018" s="16">
        <v>46253</v>
      </c>
      <c r="L1018" s="16">
        <v>46253</v>
      </c>
      <c r="M1018" s="16">
        <v>46253</v>
      </c>
      <c r="N1018" s="16" t="s">
        <v>331</v>
      </c>
    </row>
    <row r="1019" spans="1:14" hidden="1" x14ac:dyDescent="0.25">
      <c r="A1019" s="14" t="s">
        <v>14</v>
      </c>
      <c r="B1019" s="14" t="s">
        <v>330</v>
      </c>
      <c r="C1019" s="15" t="s">
        <v>26</v>
      </c>
      <c r="D1019" s="16">
        <v>46283</v>
      </c>
      <c r="E1019" s="17">
        <v>1582</v>
      </c>
      <c r="F1019" s="18">
        <v>1</v>
      </c>
      <c r="G1019" s="19">
        <f>Cereal[[#This Row],[N° BOLSAS]]*Cereal[[#This Row],[KG BOLSA]]</f>
        <v>1582</v>
      </c>
      <c r="H1019" s="37">
        <v>40</v>
      </c>
      <c r="I1019" s="14">
        <f>ROUNDDOWN(Cereal[[#This Row],[N° BOLSAS]]/Cereal[[#This Row],[CAP. SACOS]],0)</f>
        <v>39</v>
      </c>
      <c r="J1019" s="14">
        <f>Cereal[[#This Row],[N° BOLSAS]]-Cereal[[#This Row],[N° SACOS]]*Cereal[[#This Row],[CAP. SACOS]]</f>
        <v>22</v>
      </c>
      <c r="K1019" s="16">
        <v>46281</v>
      </c>
      <c r="L1019" s="16">
        <v>46281</v>
      </c>
      <c r="M1019" s="16">
        <v>46283</v>
      </c>
      <c r="N1019" s="16" t="s">
        <v>331</v>
      </c>
    </row>
    <row r="1020" spans="1:14" hidden="1" x14ac:dyDescent="0.25">
      <c r="A1020" s="14" t="s">
        <v>14</v>
      </c>
      <c r="B1020" s="14" t="s">
        <v>330</v>
      </c>
      <c r="C1020" s="15" t="s">
        <v>27</v>
      </c>
      <c r="D1020" s="16">
        <v>46315</v>
      </c>
      <c r="E1020" s="17">
        <v>1531</v>
      </c>
      <c r="F1020" s="18">
        <v>1</v>
      </c>
      <c r="G1020" s="19">
        <f>Cereal[[#This Row],[N° BOLSAS]]*Cereal[[#This Row],[KG BOLSA]]</f>
        <v>1531</v>
      </c>
      <c r="H1020" s="37">
        <v>40</v>
      </c>
      <c r="I1020" s="14">
        <f>ROUNDDOWN(Cereal[[#This Row],[N° BOLSAS]]/Cereal[[#This Row],[CAP. SACOS]],0)</f>
        <v>38</v>
      </c>
      <c r="J1020" s="14">
        <f>Cereal[[#This Row],[N° BOLSAS]]-Cereal[[#This Row],[N° SACOS]]*Cereal[[#This Row],[CAP. SACOS]]</f>
        <v>11</v>
      </c>
      <c r="K1020" s="16"/>
      <c r="L1020" s="16"/>
      <c r="M1020" s="16"/>
      <c r="N1020" s="16" t="s">
        <v>331</v>
      </c>
    </row>
    <row r="1021" spans="1:14" hidden="1" x14ac:dyDescent="0.25">
      <c r="A1021" s="14" t="s">
        <v>14</v>
      </c>
      <c r="B1021" s="14" t="s">
        <v>330</v>
      </c>
      <c r="C1021" s="15" t="s">
        <v>28</v>
      </c>
      <c r="D1021" s="16">
        <v>46346</v>
      </c>
      <c r="E1021" s="17">
        <v>1582</v>
      </c>
      <c r="F1021" s="18">
        <v>1</v>
      </c>
      <c r="G1021" s="19">
        <f>Cereal[[#This Row],[N° BOLSAS]]*Cereal[[#This Row],[KG BOLSA]]</f>
        <v>1582</v>
      </c>
      <c r="H1021" s="37">
        <v>40</v>
      </c>
      <c r="I1021" s="14">
        <f>ROUNDDOWN(Cereal[[#This Row],[N° BOLSAS]]/Cereal[[#This Row],[CAP. SACOS]],0)</f>
        <v>39</v>
      </c>
      <c r="J1021" s="14">
        <f>Cereal[[#This Row],[N° BOLSAS]]-Cereal[[#This Row],[N° SACOS]]*Cereal[[#This Row],[CAP. SACOS]]</f>
        <v>22</v>
      </c>
      <c r="K1021" s="16"/>
      <c r="L1021" s="16"/>
      <c r="M1021" s="16"/>
      <c r="N1021" s="16" t="s">
        <v>331</v>
      </c>
    </row>
    <row r="1022" spans="1:14" hidden="1" x14ac:dyDescent="0.25">
      <c r="A1022" s="14" t="s">
        <v>14</v>
      </c>
      <c r="B1022" s="14" t="s">
        <v>332</v>
      </c>
      <c r="C1022" s="15" t="s">
        <v>16</v>
      </c>
      <c r="D1022" s="16">
        <v>46042</v>
      </c>
      <c r="E1022" s="17">
        <v>180.47200000000001</v>
      </c>
      <c r="F1022" s="18">
        <v>1</v>
      </c>
      <c r="G1022" s="19">
        <f>Cereal[[#This Row],[N° BOLSAS]]*Cereal[[#This Row],[KG BOLSA]]</f>
        <v>180.47200000000001</v>
      </c>
      <c r="H1022" s="37">
        <v>50</v>
      </c>
      <c r="I1022" s="14">
        <f>ROUNDDOWN(Cereal[[#This Row],[N° BOLSAS]]/Cereal[[#This Row],[CAP. SACOS]],0)</f>
        <v>3</v>
      </c>
      <c r="J1022" s="92">
        <f>Cereal[[#This Row],[N° BOLSAS]]-Cereal[[#This Row],[N° SACOS]]*Cereal[[#This Row],[CAP. SACOS]]</f>
        <v>30.472000000000008</v>
      </c>
      <c r="K1022" s="16">
        <v>46039</v>
      </c>
      <c r="L1022" s="16">
        <v>46039</v>
      </c>
      <c r="M1022" s="16">
        <v>46041</v>
      </c>
      <c r="N1022" s="16" t="s">
        <v>31</v>
      </c>
    </row>
    <row r="1023" spans="1:14" hidden="1" x14ac:dyDescent="0.25">
      <c r="A1023" s="14" t="s">
        <v>14</v>
      </c>
      <c r="B1023" s="14" t="s">
        <v>332</v>
      </c>
      <c r="C1023" s="15" t="s">
        <v>18</v>
      </c>
      <c r="D1023" s="16">
        <v>46042</v>
      </c>
      <c r="E1023" s="17">
        <v>163.00700000000001</v>
      </c>
      <c r="F1023" s="18">
        <v>1</v>
      </c>
      <c r="G1023" s="19">
        <f>Cereal[[#This Row],[N° BOLSAS]]*Cereal[[#This Row],[KG BOLSA]]</f>
        <v>163.00700000000001</v>
      </c>
      <c r="H1023" s="37">
        <v>50</v>
      </c>
      <c r="I1023" s="14">
        <f>ROUNDDOWN(Cereal[[#This Row],[N° BOLSAS]]/Cereal[[#This Row],[CAP. SACOS]],0)</f>
        <v>3</v>
      </c>
      <c r="J1023" s="92">
        <f>Cereal[[#This Row],[N° BOLSAS]]-Cereal[[#This Row],[N° SACOS]]*Cereal[[#This Row],[CAP. SACOS]]</f>
        <v>13.007000000000005</v>
      </c>
      <c r="K1023" s="16">
        <v>46039</v>
      </c>
      <c r="L1023" s="16">
        <v>46039</v>
      </c>
      <c r="M1023" s="16">
        <v>46041</v>
      </c>
      <c r="N1023" s="16" t="s">
        <v>31</v>
      </c>
    </row>
    <row r="1024" spans="1:14" hidden="1" x14ac:dyDescent="0.25">
      <c r="A1024" s="14" t="s">
        <v>14</v>
      </c>
      <c r="B1024" s="14" t="s">
        <v>332</v>
      </c>
      <c r="C1024" s="15" t="s">
        <v>19</v>
      </c>
      <c r="D1024" s="16">
        <v>46042</v>
      </c>
      <c r="E1024" s="17">
        <v>180.47200000000001</v>
      </c>
      <c r="F1024" s="18">
        <v>1</v>
      </c>
      <c r="G1024" s="19">
        <f>Cereal[[#This Row],[N° BOLSAS]]*Cereal[[#This Row],[KG BOLSA]]</f>
        <v>180.47200000000001</v>
      </c>
      <c r="H1024" s="37">
        <v>50</v>
      </c>
      <c r="I1024" s="14">
        <f>ROUNDDOWN(Cereal[[#This Row],[N° BOLSAS]]/Cereal[[#This Row],[CAP. SACOS]],0)</f>
        <v>3</v>
      </c>
      <c r="J1024" s="92">
        <f>Cereal[[#This Row],[N° BOLSAS]]-Cereal[[#This Row],[N° SACOS]]*Cereal[[#This Row],[CAP. SACOS]]</f>
        <v>30.472000000000008</v>
      </c>
      <c r="K1024" s="16">
        <v>46039</v>
      </c>
      <c r="L1024" s="16">
        <v>46039</v>
      </c>
      <c r="M1024" s="16">
        <v>46041</v>
      </c>
      <c r="N1024" s="16" t="s">
        <v>31</v>
      </c>
    </row>
    <row r="1025" spans="1:14" hidden="1" x14ac:dyDescent="0.25">
      <c r="A1025" s="14" t="s">
        <v>14</v>
      </c>
      <c r="B1025" s="14" t="s">
        <v>332</v>
      </c>
      <c r="C1025" s="15" t="s">
        <v>20</v>
      </c>
      <c r="D1025" s="16">
        <v>46106</v>
      </c>
      <c r="E1025" s="17">
        <v>174.65</v>
      </c>
      <c r="F1025" s="18">
        <v>1</v>
      </c>
      <c r="G1025" s="19">
        <f>Cereal[[#This Row],[N° BOLSAS]]*Cereal[[#This Row],[KG BOLSA]]</f>
        <v>174.65</v>
      </c>
      <c r="H1025" s="37">
        <v>50</v>
      </c>
      <c r="I1025" s="14">
        <f>ROUNDDOWN(Cereal[[#This Row],[N° BOLSAS]]/Cereal[[#This Row],[CAP. SACOS]],0)</f>
        <v>3</v>
      </c>
      <c r="J1025" s="92">
        <f>Cereal[[#This Row],[N° BOLSAS]]-Cereal[[#This Row],[N° SACOS]]*Cereal[[#This Row],[CAP. SACOS]]</f>
        <v>24.650000000000006</v>
      </c>
      <c r="K1025" s="16">
        <v>46091</v>
      </c>
      <c r="L1025" s="16">
        <v>46091</v>
      </c>
      <c r="M1025" s="16">
        <v>46092</v>
      </c>
      <c r="N1025" s="16" t="s">
        <v>31</v>
      </c>
    </row>
    <row r="1026" spans="1:14" hidden="1" x14ac:dyDescent="0.25">
      <c r="A1026" s="14" t="s">
        <v>14</v>
      </c>
      <c r="B1026" s="14" t="s">
        <v>332</v>
      </c>
      <c r="C1026" s="15" t="s">
        <v>21</v>
      </c>
      <c r="D1026" s="16">
        <v>46106</v>
      </c>
      <c r="E1026" s="17">
        <v>180.47200000000001</v>
      </c>
      <c r="F1026" s="18">
        <v>1</v>
      </c>
      <c r="G1026" s="19">
        <f>Cereal[[#This Row],[N° BOLSAS]]*Cereal[[#This Row],[KG BOLSA]]</f>
        <v>180.47200000000001</v>
      </c>
      <c r="H1026" s="37">
        <v>50</v>
      </c>
      <c r="I1026" s="14">
        <f>ROUNDDOWN(Cereal[[#This Row],[N° BOLSAS]]/Cereal[[#This Row],[CAP. SACOS]],0)</f>
        <v>3</v>
      </c>
      <c r="J1026" s="92">
        <f>Cereal[[#This Row],[N° BOLSAS]]-Cereal[[#This Row],[N° SACOS]]*Cereal[[#This Row],[CAP. SACOS]]</f>
        <v>30.472000000000008</v>
      </c>
      <c r="K1026" s="16">
        <v>46091</v>
      </c>
      <c r="L1026" s="16">
        <v>46091</v>
      </c>
      <c r="M1026" s="16">
        <v>46092</v>
      </c>
      <c r="N1026" s="16" t="s">
        <v>31</v>
      </c>
    </row>
    <row r="1027" spans="1:14" hidden="1" x14ac:dyDescent="0.25">
      <c r="A1027" s="14" t="s">
        <v>14</v>
      </c>
      <c r="B1027" s="14" t="s">
        <v>332</v>
      </c>
      <c r="C1027" s="15" t="s">
        <v>22</v>
      </c>
      <c r="D1027" s="16">
        <v>46106</v>
      </c>
      <c r="E1027" s="17">
        <v>174.65</v>
      </c>
      <c r="F1027" s="18">
        <v>1</v>
      </c>
      <c r="G1027" s="19">
        <f>Cereal[[#This Row],[N° BOLSAS]]*Cereal[[#This Row],[KG BOLSA]]</f>
        <v>174.65</v>
      </c>
      <c r="H1027" s="37">
        <v>50</v>
      </c>
      <c r="I1027" s="14">
        <f>ROUNDDOWN(Cereal[[#This Row],[N° BOLSAS]]/Cereal[[#This Row],[CAP. SACOS]],0)</f>
        <v>3</v>
      </c>
      <c r="J1027" s="92">
        <f>Cereal[[#This Row],[N° BOLSAS]]-Cereal[[#This Row],[N° SACOS]]*Cereal[[#This Row],[CAP. SACOS]]</f>
        <v>24.650000000000006</v>
      </c>
      <c r="K1027" s="16">
        <v>46091</v>
      </c>
      <c r="L1027" s="16">
        <v>46091</v>
      </c>
      <c r="M1027" s="16">
        <v>46092</v>
      </c>
      <c r="N1027" s="16" t="s">
        <v>31</v>
      </c>
    </row>
    <row r="1028" spans="1:14" hidden="1" x14ac:dyDescent="0.25">
      <c r="A1028" s="14" t="s">
        <v>14</v>
      </c>
      <c r="B1028" s="14" t="s">
        <v>332</v>
      </c>
      <c r="C1028" s="15" t="s">
        <v>23</v>
      </c>
      <c r="D1028" s="16">
        <v>46198</v>
      </c>
      <c r="E1028" s="17">
        <v>180.47200000000001</v>
      </c>
      <c r="F1028" s="18">
        <v>1</v>
      </c>
      <c r="G1028" s="19">
        <f>Cereal[[#This Row],[N° BOLSAS]]*Cereal[[#This Row],[KG BOLSA]]</f>
        <v>180.47200000000001</v>
      </c>
      <c r="H1028" s="37">
        <v>50</v>
      </c>
      <c r="I1028" s="14">
        <f>ROUNDDOWN(Cereal[[#This Row],[N° BOLSAS]]/Cereal[[#This Row],[CAP. SACOS]],0)</f>
        <v>3</v>
      </c>
      <c r="J1028" s="92">
        <f>Cereal[[#This Row],[N° BOLSAS]]-Cereal[[#This Row],[N° SACOS]]*Cereal[[#This Row],[CAP. SACOS]]</f>
        <v>30.472000000000008</v>
      </c>
      <c r="K1028" s="16">
        <v>46171</v>
      </c>
      <c r="L1028" s="16">
        <v>46171</v>
      </c>
      <c r="M1028" s="16">
        <v>46171</v>
      </c>
      <c r="N1028" s="16" t="s">
        <v>31</v>
      </c>
    </row>
    <row r="1029" spans="1:14" hidden="1" x14ac:dyDescent="0.25">
      <c r="A1029" s="14" t="s">
        <v>14</v>
      </c>
      <c r="B1029" s="14" t="s">
        <v>332</v>
      </c>
      <c r="C1029" s="15" t="s">
        <v>24</v>
      </c>
      <c r="D1029" s="16">
        <v>46228</v>
      </c>
      <c r="E1029" s="17">
        <v>180.47200000000001</v>
      </c>
      <c r="F1029" s="18">
        <v>1</v>
      </c>
      <c r="G1029" s="19">
        <f>Cereal[[#This Row],[N° BOLSAS]]*Cereal[[#This Row],[KG BOLSA]]</f>
        <v>180.47200000000001</v>
      </c>
      <c r="H1029" s="37">
        <v>50</v>
      </c>
      <c r="I1029" s="14">
        <f>ROUNDDOWN(Cereal[[#This Row],[N° BOLSAS]]/Cereal[[#This Row],[CAP. SACOS]],0)</f>
        <v>3</v>
      </c>
      <c r="J1029" s="92">
        <f>Cereal[[#This Row],[N° BOLSAS]]-Cereal[[#This Row],[N° SACOS]]*Cereal[[#This Row],[CAP. SACOS]]</f>
        <v>30.472000000000008</v>
      </c>
      <c r="K1029" s="16">
        <v>46171</v>
      </c>
      <c r="L1029" s="16">
        <v>46171</v>
      </c>
      <c r="M1029" s="16">
        <v>46171</v>
      </c>
      <c r="N1029" s="16" t="s">
        <v>31</v>
      </c>
    </row>
    <row r="1030" spans="1:14" hidden="1" x14ac:dyDescent="0.25">
      <c r="A1030" s="14" t="s">
        <v>14</v>
      </c>
      <c r="B1030" s="14" t="s">
        <v>332</v>
      </c>
      <c r="C1030" s="15" t="s">
        <v>25</v>
      </c>
      <c r="D1030" s="16">
        <v>46259</v>
      </c>
      <c r="E1030" s="17">
        <v>174.65</v>
      </c>
      <c r="F1030" s="18">
        <v>1</v>
      </c>
      <c r="G1030" s="19">
        <f>Cereal[[#This Row],[N° BOLSAS]]*Cereal[[#This Row],[KG BOLSA]]</f>
        <v>174.65</v>
      </c>
      <c r="H1030" s="37">
        <v>50</v>
      </c>
      <c r="I1030" s="14">
        <f>ROUNDDOWN(Cereal[[#This Row],[N° BOLSAS]]/Cereal[[#This Row],[CAP. SACOS]],0)</f>
        <v>3</v>
      </c>
      <c r="J1030" s="92">
        <f>Cereal[[#This Row],[N° BOLSAS]]-Cereal[[#This Row],[N° SACOS]]*Cereal[[#This Row],[CAP. SACOS]]</f>
        <v>24.650000000000006</v>
      </c>
      <c r="K1030" s="16">
        <v>46171</v>
      </c>
      <c r="L1030" s="16">
        <v>46171</v>
      </c>
      <c r="M1030" s="16">
        <v>46171</v>
      </c>
      <c r="N1030" s="16" t="s">
        <v>31</v>
      </c>
    </row>
    <row r="1031" spans="1:14" hidden="1" x14ac:dyDescent="0.25">
      <c r="A1031" s="14" t="s">
        <v>14</v>
      </c>
      <c r="B1031" s="14" t="s">
        <v>332</v>
      </c>
      <c r="C1031" s="15" t="s">
        <v>26</v>
      </c>
      <c r="D1031" s="16">
        <v>46290</v>
      </c>
      <c r="E1031" s="17">
        <v>180.47200000000001</v>
      </c>
      <c r="F1031" s="18">
        <v>1</v>
      </c>
      <c r="G1031" s="19">
        <f>Cereal[[#This Row],[N° BOLSAS]]*Cereal[[#This Row],[KG BOLSA]]</f>
        <v>180.47200000000001</v>
      </c>
      <c r="H1031" s="37">
        <v>50</v>
      </c>
      <c r="I1031" s="14">
        <f>ROUNDDOWN(Cereal[[#This Row],[N° BOLSAS]]/Cereal[[#This Row],[CAP. SACOS]],0)</f>
        <v>3</v>
      </c>
      <c r="J1031" s="92">
        <f>Cereal[[#This Row],[N° BOLSAS]]-Cereal[[#This Row],[N° SACOS]]*Cereal[[#This Row],[CAP. SACOS]]</f>
        <v>30.472000000000008</v>
      </c>
      <c r="K1031" s="16">
        <v>46276</v>
      </c>
      <c r="L1031" s="16">
        <v>46276</v>
      </c>
      <c r="M1031" s="16">
        <v>46276</v>
      </c>
      <c r="N1031" s="16" t="s">
        <v>31</v>
      </c>
    </row>
    <row r="1032" spans="1:14" hidden="1" x14ac:dyDescent="0.25">
      <c r="A1032" s="14" t="s">
        <v>14</v>
      </c>
      <c r="B1032" s="14" t="s">
        <v>332</v>
      </c>
      <c r="C1032" s="15" t="s">
        <v>27</v>
      </c>
      <c r="D1032" s="16">
        <v>46290</v>
      </c>
      <c r="E1032" s="17">
        <v>174.65</v>
      </c>
      <c r="F1032" s="18">
        <v>1</v>
      </c>
      <c r="G1032" s="19">
        <f>Cereal[[#This Row],[N° BOLSAS]]*Cereal[[#This Row],[KG BOLSA]]</f>
        <v>174.65</v>
      </c>
      <c r="H1032" s="37">
        <v>50</v>
      </c>
      <c r="I1032" s="14">
        <f>ROUNDDOWN(Cereal[[#This Row],[N° BOLSAS]]/Cereal[[#This Row],[CAP. SACOS]],0)</f>
        <v>3</v>
      </c>
      <c r="J1032" s="92">
        <f>Cereal[[#This Row],[N° BOLSAS]]-Cereal[[#This Row],[N° SACOS]]*Cereal[[#This Row],[CAP. SACOS]]</f>
        <v>24.650000000000006</v>
      </c>
      <c r="K1032" s="16">
        <v>46276</v>
      </c>
      <c r="L1032" s="16">
        <v>46276</v>
      </c>
      <c r="M1032" s="16">
        <v>46276</v>
      </c>
      <c r="N1032" s="16" t="s">
        <v>31</v>
      </c>
    </row>
    <row r="1033" spans="1:14" hidden="1" x14ac:dyDescent="0.25">
      <c r="A1033" s="14" t="s">
        <v>14</v>
      </c>
      <c r="B1033" s="14" t="s">
        <v>332</v>
      </c>
      <c r="C1033" s="15" t="s">
        <v>28</v>
      </c>
      <c r="D1033" s="16">
        <v>46290</v>
      </c>
      <c r="E1033" s="17">
        <v>180.47200000000001</v>
      </c>
      <c r="F1033" s="18">
        <v>1</v>
      </c>
      <c r="G1033" s="19">
        <f>Cereal[[#This Row],[N° BOLSAS]]*Cereal[[#This Row],[KG BOLSA]]</f>
        <v>180.47200000000001</v>
      </c>
      <c r="H1033" s="37">
        <v>50</v>
      </c>
      <c r="I1033" s="14">
        <f>ROUNDDOWN(Cereal[[#This Row],[N° BOLSAS]]/Cereal[[#This Row],[CAP. SACOS]],0)</f>
        <v>3</v>
      </c>
      <c r="J1033" s="92">
        <f>Cereal[[#This Row],[N° BOLSAS]]-Cereal[[#This Row],[N° SACOS]]*Cereal[[#This Row],[CAP. SACOS]]</f>
        <v>30.472000000000008</v>
      </c>
      <c r="K1033" s="16">
        <v>46276</v>
      </c>
      <c r="L1033" s="16">
        <v>46276</v>
      </c>
      <c r="M1033" s="16">
        <v>46276</v>
      </c>
      <c r="N1033" s="16" t="s">
        <v>31</v>
      </c>
    </row>
    <row r="1034" spans="1:14" hidden="1" x14ac:dyDescent="0.25">
      <c r="A1034" s="14" t="s">
        <v>14</v>
      </c>
      <c r="B1034" s="14" t="s">
        <v>333</v>
      </c>
      <c r="C1034" s="15" t="s">
        <v>16</v>
      </c>
      <c r="D1034" s="16">
        <v>46020</v>
      </c>
      <c r="E1034" s="17">
        <v>2308</v>
      </c>
      <c r="F1034" s="18">
        <v>1</v>
      </c>
      <c r="G1034" s="19">
        <f>Cereal[[#This Row],[N° BOLSAS]]*Cereal[[#This Row],[KG BOLSA]]</f>
        <v>2308</v>
      </c>
      <c r="H1034" s="37">
        <v>40</v>
      </c>
      <c r="I1034" s="14">
        <f>ROUNDDOWN(Cereal[[#This Row],[N° BOLSAS]]/Cereal[[#This Row],[CAP. SACOS]],0)</f>
        <v>57</v>
      </c>
      <c r="J1034" s="14">
        <f>Cereal[[#This Row],[N° BOLSAS]]-Cereal[[#This Row],[N° SACOS]]*Cereal[[#This Row],[CAP. SACOS]]</f>
        <v>28</v>
      </c>
      <c r="K1034" s="16">
        <v>45997</v>
      </c>
      <c r="L1034" s="16">
        <v>45997</v>
      </c>
      <c r="M1034" s="16">
        <v>46020</v>
      </c>
      <c r="N1034" s="16" t="s">
        <v>334</v>
      </c>
    </row>
    <row r="1035" spans="1:14" hidden="1" x14ac:dyDescent="0.25">
      <c r="A1035" s="14" t="s">
        <v>14</v>
      </c>
      <c r="B1035" s="14" t="s">
        <v>333</v>
      </c>
      <c r="C1035" s="15" t="s">
        <v>18</v>
      </c>
      <c r="D1035" s="16">
        <v>46048</v>
      </c>
      <c r="E1035" s="17">
        <v>2308</v>
      </c>
      <c r="F1035" s="18">
        <v>1</v>
      </c>
      <c r="G1035" s="19">
        <f>Cereal[[#This Row],[N° BOLSAS]]*Cereal[[#This Row],[KG BOLSA]]</f>
        <v>2308</v>
      </c>
      <c r="H1035" s="37">
        <v>40</v>
      </c>
      <c r="I1035" s="14">
        <f>ROUNDDOWN(Cereal[[#This Row],[N° BOLSAS]]/Cereal[[#This Row],[CAP. SACOS]],0)</f>
        <v>57</v>
      </c>
      <c r="J1035" s="14">
        <f>Cereal[[#This Row],[N° BOLSAS]]-Cereal[[#This Row],[N° SACOS]]*Cereal[[#This Row],[CAP. SACOS]]</f>
        <v>28</v>
      </c>
      <c r="K1035" s="16">
        <v>46045</v>
      </c>
      <c r="L1035" s="16">
        <v>46045</v>
      </c>
      <c r="M1035" s="16">
        <v>46048</v>
      </c>
      <c r="N1035" s="16" t="s">
        <v>334</v>
      </c>
    </row>
    <row r="1036" spans="1:14" hidden="1" x14ac:dyDescent="0.25">
      <c r="A1036" s="14" t="s">
        <v>14</v>
      </c>
      <c r="B1036" s="14" t="s">
        <v>333</v>
      </c>
      <c r="C1036" s="15" t="s">
        <v>19</v>
      </c>
      <c r="D1036" s="16">
        <v>46076</v>
      </c>
      <c r="E1036" s="17">
        <v>2308</v>
      </c>
      <c r="F1036" s="18">
        <v>1</v>
      </c>
      <c r="G1036" s="19">
        <f>Cereal[[#This Row],[N° BOLSAS]]*Cereal[[#This Row],[KG BOLSA]]</f>
        <v>2308</v>
      </c>
      <c r="H1036" s="37">
        <v>40</v>
      </c>
      <c r="I1036" s="14">
        <f>ROUNDDOWN(Cereal[[#This Row],[N° BOLSAS]]/Cereal[[#This Row],[CAP. SACOS]],0)</f>
        <v>57</v>
      </c>
      <c r="J1036" s="14">
        <f>Cereal[[#This Row],[N° BOLSAS]]-Cereal[[#This Row],[N° SACOS]]*Cereal[[#This Row],[CAP. SACOS]]</f>
        <v>28</v>
      </c>
      <c r="K1036" s="16">
        <v>46073</v>
      </c>
      <c r="L1036" s="16">
        <v>46073</v>
      </c>
      <c r="M1036" s="16">
        <v>46076</v>
      </c>
      <c r="N1036" s="16" t="s">
        <v>334</v>
      </c>
    </row>
    <row r="1037" spans="1:14" hidden="1" x14ac:dyDescent="0.25">
      <c r="A1037" s="14" t="s">
        <v>14</v>
      </c>
      <c r="B1037" s="14" t="s">
        <v>333</v>
      </c>
      <c r="C1037" s="15" t="s">
        <v>20</v>
      </c>
      <c r="D1037" s="16">
        <v>46106</v>
      </c>
      <c r="E1037" s="17">
        <v>2308</v>
      </c>
      <c r="F1037" s="18">
        <v>1</v>
      </c>
      <c r="G1037" s="19">
        <f>Cereal[[#This Row],[N° BOLSAS]]*Cereal[[#This Row],[KG BOLSA]]</f>
        <v>2308</v>
      </c>
      <c r="H1037" s="37">
        <v>40</v>
      </c>
      <c r="I1037" s="14">
        <f>ROUNDDOWN(Cereal[[#This Row],[N° BOLSAS]]/Cereal[[#This Row],[CAP. SACOS]],0)</f>
        <v>57</v>
      </c>
      <c r="J1037" s="14">
        <f>Cereal[[#This Row],[N° BOLSAS]]-Cereal[[#This Row],[N° SACOS]]*Cereal[[#This Row],[CAP. SACOS]]</f>
        <v>28</v>
      </c>
      <c r="K1037" s="16">
        <v>46104</v>
      </c>
      <c r="L1037" s="16">
        <v>46104</v>
      </c>
      <c r="M1037" s="16">
        <v>46104</v>
      </c>
      <c r="N1037" s="16" t="s">
        <v>334</v>
      </c>
    </row>
    <row r="1038" spans="1:14" hidden="1" x14ac:dyDescent="0.25">
      <c r="A1038" s="14" t="s">
        <v>14</v>
      </c>
      <c r="B1038" s="14" t="s">
        <v>333</v>
      </c>
      <c r="C1038" s="15" t="s">
        <v>21</v>
      </c>
      <c r="D1038" s="16">
        <v>46136</v>
      </c>
      <c r="E1038" s="17">
        <v>2308</v>
      </c>
      <c r="F1038" s="18">
        <v>1</v>
      </c>
      <c r="G1038" s="19">
        <f>Cereal[[#This Row],[N° BOLSAS]]*Cereal[[#This Row],[KG BOLSA]]</f>
        <v>2308</v>
      </c>
      <c r="H1038" s="37">
        <v>40</v>
      </c>
      <c r="I1038" s="14">
        <f>ROUNDDOWN(Cereal[[#This Row],[N° BOLSAS]]/Cereal[[#This Row],[CAP. SACOS]],0)</f>
        <v>57</v>
      </c>
      <c r="J1038" s="14">
        <f>Cereal[[#This Row],[N° BOLSAS]]-Cereal[[#This Row],[N° SACOS]]*Cereal[[#This Row],[CAP. SACOS]]</f>
        <v>28</v>
      </c>
      <c r="K1038" s="16">
        <v>46135</v>
      </c>
      <c r="L1038" s="16">
        <v>46135</v>
      </c>
      <c r="M1038" s="16">
        <v>46136</v>
      </c>
      <c r="N1038" s="16" t="s">
        <v>334</v>
      </c>
    </row>
    <row r="1039" spans="1:14" hidden="1" x14ac:dyDescent="0.25">
      <c r="A1039" s="14" t="s">
        <v>14</v>
      </c>
      <c r="B1039" s="14" t="s">
        <v>333</v>
      </c>
      <c r="C1039" s="15" t="s">
        <v>22</v>
      </c>
      <c r="D1039" s="16">
        <v>46167</v>
      </c>
      <c r="E1039" s="17">
        <v>2308</v>
      </c>
      <c r="F1039" s="18">
        <v>1</v>
      </c>
      <c r="G1039" s="19">
        <f>Cereal[[#This Row],[N° BOLSAS]]*Cereal[[#This Row],[KG BOLSA]]</f>
        <v>2308</v>
      </c>
      <c r="H1039" s="37">
        <v>40</v>
      </c>
      <c r="I1039" s="14">
        <f>ROUNDDOWN(Cereal[[#This Row],[N° BOLSAS]]/Cereal[[#This Row],[CAP. SACOS]],0)</f>
        <v>57</v>
      </c>
      <c r="J1039" s="14">
        <f>Cereal[[#This Row],[N° BOLSAS]]-Cereal[[#This Row],[N° SACOS]]*Cereal[[#This Row],[CAP. SACOS]]</f>
        <v>28</v>
      </c>
      <c r="K1039" s="16">
        <v>46154</v>
      </c>
      <c r="L1039" s="16">
        <v>46154</v>
      </c>
      <c r="M1039" s="16">
        <v>46167</v>
      </c>
      <c r="N1039" s="16" t="s">
        <v>334</v>
      </c>
    </row>
    <row r="1040" spans="1:14" hidden="1" x14ac:dyDescent="0.25">
      <c r="A1040" s="14" t="s">
        <v>14</v>
      </c>
      <c r="B1040" s="14" t="s">
        <v>333</v>
      </c>
      <c r="C1040" s="15" t="s">
        <v>23</v>
      </c>
      <c r="D1040" s="16">
        <v>46198</v>
      </c>
      <c r="E1040" s="17">
        <v>2308</v>
      </c>
      <c r="F1040" s="18">
        <v>1</v>
      </c>
      <c r="G1040" s="19">
        <f>Cereal[[#This Row],[N° BOLSAS]]*Cereal[[#This Row],[KG BOLSA]]</f>
        <v>2308</v>
      </c>
      <c r="H1040" s="37">
        <v>40</v>
      </c>
      <c r="I1040" s="14">
        <f>ROUNDDOWN(Cereal[[#This Row],[N° BOLSAS]]/Cereal[[#This Row],[CAP. SACOS]],0)</f>
        <v>57</v>
      </c>
      <c r="J1040" s="14">
        <f>Cereal[[#This Row],[N° BOLSAS]]-Cereal[[#This Row],[N° SACOS]]*Cereal[[#This Row],[CAP. SACOS]]</f>
        <v>28</v>
      </c>
      <c r="K1040" s="16">
        <v>46196</v>
      </c>
      <c r="L1040" s="16">
        <v>46196</v>
      </c>
      <c r="M1040" s="16">
        <v>46196</v>
      </c>
      <c r="N1040" s="16" t="s">
        <v>334</v>
      </c>
    </row>
    <row r="1041" spans="1:14" hidden="1" x14ac:dyDescent="0.25">
      <c r="A1041" s="14" t="s">
        <v>14</v>
      </c>
      <c r="B1041" s="14" t="s">
        <v>333</v>
      </c>
      <c r="C1041" s="15" t="s">
        <v>24</v>
      </c>
      <c r="D1041" s="16">
        <v>46227</v>
      </c>
      <c r="E1041" s="17">
        <v>2308</v>
      </c>
      <c r="F1041" s="18">
        <v>1</v>
      </c>
      <c r="G1041" s="19">
        <f>Cereal[[#This Row],[N° BOLSAS]]*Cereal[[#This Row],[KG BOLSA]]</f>
        <v>2308</v>
      </c>
      <c r="H1041" s="37">
        <v>40</v>
      </c>
      <c r="I1041" s="14">
        <f>ROUNDDOWN(Cereal[[#This Row],[N° BOLSAS]]/Cereal[[#This Row],[CAP. SACOS]],0)</f>
        <v>57</v>
      </c>
      <c r="J1041" s="14">
        <f>Cereal[[#This Row],[N° BOLSAS]]-Cereal[[#This Row],[N° SACOS]]*Cereal[[#This Row],[CAP. SACOS]]</f>
        <v>28</v>
      </c>
      <c r="K1041" s="16">
        <v>46225</v>
      </c>
      <c r="L1041" s="16">
        <v>46225</v>
      </c>
      <c r="M1041" s="16">
        <v>46225</v>
      </c>
      <c r="N1041" s="16" t="s">
        <v>334</v>
      </c>
    </row>
    <row r="1042" spans="1:14" hidden="1" x14ac:dyDescent="0.25">
      <c r="A1042" s="14" t="s">
        <v>14</v>
      </c>
      <c r="B1042" s="14" t="s">
        <v>333</v>
      </c>
      <c r="C1042" s="15" t="s">
        <v>30</v>
      </c>
      <c r="D1042" s="16">
        <v>46255</v>
      </c>
      <c r="E1042" s="17">
        <v>1876</v>
      </c>
      <c r="F1042" s="18">
        <v>1</v>
      </c>
      <c r="G1042" s="19">
        <f>Cereal[[#This Row],[N° BOLSAS]]*Cereal[[#This Row],[KG BOLSA]]</f>
        <v>1876</v>
      </c>
      <c r="H1042" s="37">
        <v>40</v>
      </c>
      <c r="I1042" s="14">
        <f>ROUNDDOWN(Cereal[[#This Row],[N° BOLSAS]]/Cereal[[#This Row],[CAP. SACOS]],0)</f>
        <v>46</v>
      </c>
      <c r="J1042" s="14">
        <f>Cereal[[#This Row],[N° BOLSAS]]-Cereal[[#This Row],[N° SACOS]]*Cereal[[#This Row],[CAP. SACOS]]</f>
        <v>36</v>
      </c>
      <c r="K1042" s="16">
        <v>46258</v>
      </c>
      <c r="L1042" s="16">
        <v>46258</v>
      </c>
      <c r="M1042" s="16">
        <v>46258</v>
      </c>
      <c r="N1042" s="16" t="s">
        <v>334</v>
      </c>
    </row>
    <row r="1043" spans="1:14" hidden="1" x14ac:dyDescent="0.25">
      <c r="A1043" s="14" t="s">
        <v>14</v>
      </c>
      <c r="B1043" s="14" t="s">
        <v>333</v>
      </c>
      <c r="C1043" s="15" t="s">
        <v>25</v>
      </c>
      <c r="D1043" s="16">
        <v>46259</v>
      </c>
      <c r="E1043" s="17">
        <v>2308</v>
      </c>
      <c r="F1043" s="18">
        <v>1</v>
      </c>
      <c r="G1043" s="19">
        <f>Cereal[[#This Row],[N° BOLSAS]]*Cereal[[#This Row],[KG BOLSA]]</f>
        <v>2308</v>
      </c>
      <c r="H1043" s="37">
        <v>40</v>
      </c>
      <c r="I1043" s="14">
        <f>ROUNDDOWN(Cereal[[#This Row],[N° BOLSAS]]/Cereal[[#This Row],[CAP. SACOS]],0)</f>
        <v>57</v>
      </c>
      <c r="J1043" s="14">
        <f>Cereal[[#This Row],[N° BOLSAS]]-Cereal[[#This Row],[N° SACOS]]*Cereal[[#This Row],[CAP. SACOS]]</f>
        <v>28</v>
      </c>
      <c r="K1043" s="16">
        <v>46258</v>
      </c>
      <c r="L1043" s="16">
        <v>46258</v>
      </c>
      <c r="M1043" s="16">
        <v>46258</v>
      </c>
      <c r="N1043" s="16" t="s">
        <v>334</v>
      </c>
    </row>
    <row r="1044" spans="1:14" hidden="1" x14ac:dyDescent="0.25">
      <c r="A1044" s="14" t="s">
        <v>14</v>
      </c>
      <c r="B1044" s="14" t="s">
        <v>333</v>
      </c>
      <c r="C1044" s="15" t="s">
        <v>26</v>
      </c>
      <c r="D1044" s="16">
        <v>46290</v>
      </c>
      <c r="E1044" s="17">
        <v>2308</v>
      </c>
      <c r="F1044" s="18">
        <v>1</v>
      </c>
      <c r="G1044" s="19">
        <f>Cereal[[#This Row],[N° BOLSAS]]*Cereal[[#This Row],[KG BOLSA]]</f>
        <v>2308</v>
      </c>
      <c r="H1044" s="37">
        <v>40</v>
      </c>
      <c r="I1044" s="14">
        <f>ROUNDDOWN(Cereal[[#This Row],[N° BOLSAS]]/Cereal[[#This Row],[CAP. SACOS]],0)</f>
        <v>57</v>
      </c>
      <c r="J1044" s="14">
        <f>Cereal[[#This Row],[N° BOLSAS]]-Cereal[[#This Row],[N° SACOS]]*Cereal[[#This Row],[CAP. SACOS]]</f>
        <v>28</v>
      </c>
      <c r="K1044" s="16">
        <v>46293</v>
      </c>
      <c r="L1044" s="16">
        <v>46293</v>
      </c>
      <c r="M1044" s="16">
        <v>46294</v>
      </c>
      <c r="N1044" s="16" t="s">
        <v>334</v>
      </c>
    </row>
    <row r="1045" spans="1:14" hidden="1" x14ac:dyDescent="0.25">
      <c r="A1045" s="14" t="s">
        <v>14</v>
      </c>
      <c r="B1045" s="14" t="s">
        <v>333</v>
      </c>
      <c r="C1045" s="15" t="s">
        <v>27</v>
      </c>
      <c r="D1045" s="16">
        <v>46318</v>
      </c>
      <c r="E1045" s="17">
        <v>2308</v>
      </c>
      <c r="F1045" s="18">
        <v>1</v>
      </c>
      <c r="G1045" s="19">
        <f>Cereal[[#This Row],[N° BOLSAS]]*Cereal[[#This Row],[KG BOLSA]]</f>
        <v>2308</v>
      </c>
      <c r="H1045" s="37">
        <v>40</v>
      </c>
      <c r="I1045" s="14">
        <f>ROUNDDOWN(Cereal[[#This Row],[N° BOLSAS]]/Cereal[[#This Row],[CAP. SACOS]],0)</f>
        <v>57</v>
      </c>
      <c r="J1045" s="14">
        <f>Cereal[[#This Row],[N° BOLSAS]]-Cereal[[#This Row],[N° SACOS]]*Cereal[[#This Row],[CAP. SACOS]]</f>
        <v>28</v>
      </c>
      <c r="K1045" s="16"/>
      <c r="L1045" s="16"/>
      <c r="M1045" s="16"/>
      <c r="N1045" s="16" t="s">
        <v>334</v>
      </c>
    </row>
    <row r="1046" spans="1:14" hidden="1" x14ac:dyDescent="0.25">
      <c r="A1046" s="14" t="s">
        <v>14</v>
      </c>
      <c r="B1046" s="14" t="s">
        <v>333</v>
      </c>
      <c r="C1046" s="15" t="s">
        <v>28</v>
      </c>
      <c r="D1046" s="16">
        <v>46350</v>
      </c>
      <c r="E1046" s="17">
        <v>2308</v>
      </c>
      <c r="F1046" s="18">
        <v>1</v>
      </c>
      <c r="G1046" s="19">
        <f>Cereal[[#This Row],[N° BOLSAS]]*Cereal[[#This Row],[KG BOLSA]]</f>
        <v>2308</v>
      </c>
      <c r="H1046" s="37">
        <v>40</v>
      </c>
      <c r="I1046" s="14">
        <f>ROUNDDOWN(Cereal[[#This Row],[N° BOLSAS]]/Cereal[[#This Row],[CAP. SACOS]],0)</f>
        <v>57</v>
      </c>
      <c r="J1046" s="14">
        <f>Cereal[[#This Row],[N° BOLSAS]]-Cereal[[#This Row],[N° SACOS]]*Cereal[[#This Row],[CAP. SACOS]]</f>
        <v>28</v>
      </c>
      <c r="K1046" s="16"/>
      <c r="L1046" s="16"/>
      <c r="M1046" s="16"/>
      <c r="N1046" s="16" t="s">
        <v>334</v>
      </c>
    </row>
    <row r="1047" spans="1:14" hidden="1" x14ac:dyDescent="0.25">
      <c r="A1047" s="14" t="s">
        <v>14</v>
      </c>
      <c r="B1047" s="14" t="s">
        <v>335</v>
      </c>
      <c r="C1047" s="15" t="s">
        <v>16</v>
      </c>
      <c r="D1047" s="16">
        <v>46011</v>
      </c>
      <c r="E1047" s="17">
        <v>1663</v>
      </c>
      <c r="F1047" s="18">
        <v>1.4397500000000001</v>
      </c>
      <c r="G1047" s="19">
        <f>Cereal[[#This Row],[N° BOLSAS]]*Cereal[[#This Row],[KG BOLSA]]</f>
        <v>2394.3042500000001</v>
      </c>
      <c r="H1047" s="37">
        <v>30</v>
      </c>
      <c r="I1047" s="14">
        <f>ROUNDDOWN(Cereal[[#This Row],[N° BOLSAS]]/Cereal[[#This Row],[CAP. SACOS]],0)</f>
        <v>55</v>
      </c>
      <c r="J1047" s="14">
        <f>Cereal[[#This Row],[N° BOLSAS]]-Cereal[[#This Row],[N° SACOS]]*Cereal[[#This Row],[CAP. SACOS]]</f>
        <v>13</v>
      </c>
      <c r="K1047" s="16">
        <v>46008</v>
      </c>
      <c r="L1047" s="16">
        <v>46008</v>
      </c>
      <c r="M1047" s="16">
        <v>46386</v>
      </c>
      <c r="N1047" s="16" t="s">
        <v>336</v>
      </c>
    </row>
    <row r="1048" spans="1:14" hidden="1" x14ac:dyDescent="0.25">
      <c r="A1048" s="14" t="s">
        <v>14</v>
      </c>
      <c r="B1048" s="14" t="s">
        <v>335</v>
      </c>
      <c r="C1048" s="15" t="s">
        <v>18</v>
      </c>
      <c r="D1048" s="16">
        <v>46038</v>
      </c>
      <c r="E1048" s="17">
        <v>1663</v>
      </c>
      <c r="F1048" s="18">
        <v>1.4397500000000001</v>
      </c>
      <c r="G1048" s="19">
        <f>Cereal[[#This Row],[N° BOLSAS]]*Cereal[[#This Row],[KG BOLSA]]</f>
        <v>2394.3042500000001</v>
      </c>
      <c r="H1048" s="37">
        <v>30</v>
      </c>
      <c r="I1048" s="14">
        <f>ROUNDDOWN(Cereal[[#This Row],[N° BOLSAS]]/Cereal[[#This Row],[CAP. SACOS]],0)</f>
        <v>55</v>
      </c>
      <c r="J1048" s="14">
        <f>Cereal[[#This Row],[N° BOLSAS]]-Cereal[[#This Row],[N° SACOS]]*Cereal[[#This Row],[CAP. SACOS]]</f>
        <v>13</v>
      </c>
      <c r="K1048" s="16">
        <v>46032</v>
      </c>
      <c r="L1048" s="16">
        <v>46032</v>
      </c>
      <c r="M1048" s="16">
        <v>46034</v>
      </c>
      <c r="N1048" s="16" t="s">
        <v>336</v>
      </c>
    </row>
    <row r="1049" spans="1:14" hidden="1" x14ac:dyDescent="0.25">
      <c r="A1049" s="14" t="s">
        <v>14</v>
      </c>
      <c r="B1049" s="14" t="s">
        <v>335</v>
      </c>
      <c r="C1049" s="15" t="s">
        <v>19</v>
      </c>
      <c r="D1049" s="16">
        <v>46069</v>
      </c>
      <c r="E1049" s="17">
        <v>1663</v>
      </c>
      <c r="F1049" s="18">
        <v>1.4397500000000001</v>
      </c>
      <c r="G1049" s="19">
        <f>Cereal[[#This Row],[N° BOLSAS]]*Cereal[[#This Row],[KG BOLSA]]</f>
        <v>2394.3042500000001</v>
      </c>
      <c r="H1049" s="37">
        <v>30</v>
      </c>
      <c r="I1049" s="14">
        <f>ROUNDDOWN(Cereal[[#This Row],[N° BOLSAS]]/Cereal[[#This Row],[CAP. SACOS]],0)</f>
        <v>55</v>
      </c>
      <c r="J1049" s="14">
        <f>Cereal[[#This Row],[N° BOLSAS]]-Cereal[[#This Row],[N° SACOS]]*Cereal[[#This Row],[CAP. SACOS]]</f>
        <v>13</v>
      </c>
      <c r="K1049" s="16">
        <v>46067</v>
      </c>
      <c r="L1049" s="16">
        <v>46067</v>
      </c>
      <c r="M1049" s="16">
        <v>46068</v>
      </c>
      <c r="N1049" s="16" t="s">
        <v>336</v>
      </c>
    </row>
    <row r="1050" spans="1:14" hidden="1" x14ac:dyDescent="0.25">
      <c r="A1050" s="14" t="s">
        <v>14</v>
      </c>
      <c r="B1050" s="14" t="s">
        <v>335</v>
      </c>
      <c r="C1050" s="15" t="s">
        <v>20</v>
      </c>
      <c r="D1050" s="16">
        <v>46097</v>
      </c>
      <c r="E1050" s="17">
        <v>1663</v>
      </c>
      <c r="F1050" s="18">
        <v>1.4397500000000001</v>
      </c>
      <c r="G1050" s="19">
        <f>Cereal[[#This Row],[N° BOLSAS]]*Cereal[[#This Row],[KG BOLSA]]</f>
        <v>2394.3042500000001</v>
      </c>
      <c r="H1050" s="37">
        <v>30</v>
      </c>
      <c r="I1050" s="14">
        <f>ROUNDDOWN(Cereal[[#This Row],[N° BOLSAS]]/Cereal[[#This Row],[CAP. SACOS]],0)</f>
        <v>55</v>
      </c>
      <c r="J1050" s="14">
        <f>Cereal[[#This Row],[N° BOLSAS]]-Cereal[[#This Row],[N° SACOS]]*Cereal[[#This Row],[CAP. SACOS]]</f>
        <v>13</v>
      </c>
      <c r="K1050" s="16">
        <v>46095</v>
      </c>
      <c r="L1050" s="16">
        <v>46095</v>
      </c>
      <c r="M1050" s="16">
        <v>46096</v>
      </c>
      <c r="N1050" s="16" t="s">
        <v>336</v>
      </c>
    </row>
    <row r="1051" spans="1:14" hidden="1" x14ac:dyDescent="0.25">
      <c r="A1051" s="14" t="s">
        <v>14</v>
      </c>
      <c r="B1051" s="14" t="s">
        <v>335</v>
      </c>
      <c r="C1051" s="15" t="s">
        <v>21</v>
      </c>
      <c r="D1051" s="16">
        <v>46129</v>
      </c>
      <c r="E1051" s="17">
        <v>1663</v>
      </c>
      <c r="F1051" s="18">
        <v>1.4397500000000001</v>
      </c>
      <c r="G1051" s="19">
        <f>Cereal[[#This Row],[N° BOLSAS]]*Cereal[[#This Row],[KG BOLSA]]</f>
        <v>2394.3042500000001</v>
      </c>
      <c r="H1051" s="37">
        <v>30</v>
      </c>
      <c r="I1051" s="14">
        <f>ROUNDDOWN(Cereal[[#This Row],[N° BOLSAS]]/Cereal[[#This Row],[CAP. SACOS]],0)</f>
        <v>55</v>
      </c>
      <c r="J1051" s="14">
        <f>Cereal[[#This Row],[N° BOLSAS]]-Cereal[[#This Row],[N° SACOS]]*Cereal[[#This Row],[CAP. SACOS]]</f>
        <v>13</v>
      </c>
      <c r="K1051" s="16">
        <v>46125</v>
      </c>
      <c r="L1051" s="16">
        <v>46125</v>
      </c>
      <c r="M1051" s="16">
        <v>46131</v>
      </c>
      <c r="N1051" s="16" t="s">
        <v>336</v>
      </c>
    </row>
    <row r="1052" spans="1:14" hidden="1" x14ac:dyDescent="0.25">
      <c r="A1052" s="14" t="s">
        <v>14</v>
      </c>
      <c r="B1052" s="14" t="s">
        <v>335</v>
      </c>
      <c r="C1052" s="15" t="s">
        <v>22</v>
      </c>
      <c r="D1052" s="16">
        <v>46160</v>
      </c>
      <c r="E1052" s="17">
        <v>1663</v>
      </c>
      <c r="F1052" s="18">
        <v>1.4397500000000001</v>
      </c>
      <c r="G1052" s="19">
        <f>Cereal[[#This Row],[N° BOLSAS]]*Cereal[[#This Row],[KG BOLSA]]</f>
        <v>2394.3042500000001</v>
      </c>
      <c r="H1052" s="37">
        <v>30</v>
      </c>
      <c r="I1052" s="14">
        <f>ROUNDDOWN(Cereal[[#This Row],[N° BOLSAS]]/Cereal[[#This Row],[CAP. SACOS]],0)</f>
        <v>55</v>
      </c>
      <c r="J1052" s="14">
        <f>Cereal[[#This Row],[N° BOLSAS]]-Cereal[[#This Row],[N° SACOS]]*Cereal[[#This Row],[CAP. SACOS]]</f>
        <v>13</v>
      </c>
      <c r="K1052" s="16">
        <v>46153</v>
      </c>
      <c r="L1052" s="16">
        <v>46153</v>
      </c>
      <c r="M1052" s="16">
        <v>46159</v>
      </c>
      <c r="N1052" s="16" t="s">
        <v>336</v>
      </c>
    </row>
    <row r="1053" spans="1:14" hidden="1" x14ac:dyDescent="0.25">
      <c r="A1053" s="14" t="s">
        <v>14</v>
      </c>
      <c r="B1053" s="14" t="s">
        <v>335</v>
      </c>
      <c r="C1053" s="15" t="s">
        <v>23</v>
      </c>
      <c r="D1053" s="16">
        <v>46189</v>
      </c>
      <c r="E1053" s="17">
        <v>1663</v>
      </c>
      <c r="F1053" s="18">
        <v>1.4397500000000001</v>
      </c>
      <c r="G1053" s="19">
        <f>Cereal[[#This Row],[N° BOLSAS]]*Cereal[[#This Row],[KG BOLSA]]</f>
        <v>2394.3042500000001</v>
      </c>
      <c r="H1053" s="37">
        <v>30</v>
      </c>
      <c r="I1053" s="14">
        <f>ROUNDDOWN(Cereal[[#This Row],[N° BOLSAS]]/Cereal[[#This Row],[CAP. SACOS]],0)</f>
        <v>55</v>
      </c>
      <c r="J1053" s="14">
        <f>Cereal[[#This Row],[N° BOLSAS]]-Cereal[[#This Row],[N° SACOS]]*Cereal[[#This Row],[CAP. SACOS]]</f>
        <v>13</v>
      </c>
      <c r="K1053" s="16">
        <v>46184</v>
      </c>
      <c r="L1053" s="16">
        <v>46184</v>
      </c>
      <c r="M1053" s="16">
        <v>46184</v>
      </c>
      <c r="N1053" s="16" t="s">
        <v>336</v>
      </c>
    </row>
    <row r="1054" spans="1:14" hidden="1" x14ac:dyDescent="0.25">
      <c r="A1054" s="14" t="s">
        <v>14</v>
      </c>
      <c r="B1054" s="14" t="s">
        <v>335</v>
      </c>
      <c r="C1054" s="15" t="s">
        <v>24</v>
      </c>
      <c r="D1054" s="16">
        <v>46220</v>
      </c>
      <c r="E1054" s="17">
        <v>1663</v>
      </c>
      <c r="F1054" s="18">
        <v>1.4397500000000001</v>
      </c>
      <c r="G1054" s="19">
        <f>Cereal[[#This Row],[N° BOLSAS]]*Cereal[[#This Row],[KG BOLSA]]</f>
        <v>2394.3042500000001</v>
      </c>
      <c r="H1054" s="37">
        <v>30</v>
      </c>
      <c r="I1054" s="14">
        <f>ROUNDDOWN(Cereal[[#This Row],[N° BOLSAS]]/Cereal[[#This Row],[CAP. SACOS]],0)</f>
        <v>55</v>
      </c>
      <c r="J1054" s="14">
        <f>Cereal[[#This Row],[N° BOLSAS]]-Cereal[[#This Row],[N° SACOS]]*Cereal[[#This Row],[CAP. SACOS]]</f>
        <v>13</v>
      </c>
      <c r="K1054" s="16">
        <v>46216</v>
      </c>
      <c r="L1054" s="16">
        <v>46216</v>
      </c>
      <c r="M1054" s="16">
        <v>46216</v>
      </c>
      <c r="N1054" s="16" t="s">
        <v>336</v>
      </c>
    </row>
    <row r="1055" spans="1:14" hidden="1" x14ac:dyDescent="0.25">
      <c r="A1055" s="14" t="s">
        <v>14</v>
      </c>
      <c r="B1055" s="14" t="s">
        <v>335</v>
      </c>
      <c r="C1055" s="15" t="s">
        <v>25</v>
      </c>
      <c r="D1055" s="16">
        <v>46251</v>
      </c>
      <c r="E1055" s="17">
        <v>1663</v>
      </c>
      <c r="F1055" s="18">
        <v>1.4397500000000001</v>
      </c>
      <c r="G1055" s="19">
        <f>Cereal[[#This Row],[N° BOLSAS]]*Cereal[[#This Row],[KG BOLSA]]</f>
        <v>2394.3042500000001</v>
      </c>
      <c r="H1055" s="37">
        <v>30</v>
      </c>
      <c r="I1055" s="14">
        <f>ROUNDDOWN(Cereal[[#This Row],[N° BOLSAS]]/Cereal[[#This Row],[CAP. SACOS]],0)</f>
        <v>55</v>
      </c>
      <c r="J1055" s="14">
        <f>Cereal[[#This Row],[N° BOLSAS]]-Cereal[[#This Row],[N° SACOS]]*Cereal[[#This Row],[CAP. SACOS]]</f>
        <v>13</v>
      </c>
      <c r="K1055" s="16">
        <v>46241</v>
      </c>
      <c r="L1055" s="16">
        <v>46241</v>
      </c>
      <c r="M1055" s="16">
        <v>46243</v>
      </c>
      <c r="N1055" s="16" t="s">
        <v>336</v>
      </c>
    </row>
    <row r="1056" spans="1:14" hidden="1" x14ac:dyDescent="0.25">
      <c r="A1056" s="14" t="s">
        <v>14</v>
      </c>
      <c r="B1056" s="14" t="s">
        <v>335</v>
      </c>
      <c r="C1056" s="15" t="s">
        <v>26</v>
      </c>
      <c r="D1056" s="16">
        <v>46283</v>
      </c>
      <c r="E1056" s="17">
        <v>1663</v>
      </c>
      <c r="F1056" s="18">
        <v>1.4397500000000001</v>
      </c>
      <c r="G1056" s="19">
        <f>Cereal[[#This Row],[N° BOLSAS]]*Cereal[[#This Row],[KG BOLSA]]</f>
        <v>2394.3042500000001</v>
      </c>
      <c r="H1056" s="37">
        <v>30</v>
      </c>
      <c r="I1056" s="14">
        <f>ROUNDDOWN(Cereal[[#This Row],[N° BOLSAS]]/Cereal[[#This Row],[CAP. SACOS]],0)</f>
        <v>55</v>
      </c>
      <c r="J1056" s="14">
        <f>Cereal[[#This Row],[N° BOLSAS]]-Cereal[[#This Row],[N° SACOS]]*Cereal[[#This Row],[CAP. SACOS]]</f>
        <v>13</v>
      </c>
      <c r="K1056" s="16">
        <v>46282</v>
      </c>
      <c r="L1056" s="16">
        <v>46282</v>
      </c>
      <c r="M1056" s="16">
        <v>46282</v>
      </c>
      <c r="N1056" s="16" t="s">
        <v>336</v>
      </c>
    </row>
    <row r="1057" spans="1:14" hidden="1" x14ac:dyDescent="0.25">
      <c r="A1057" s="14" t="s">
        <v>14</v>
      </c>
      <c r="B1057" s="14" t="s">
        <v>335</v>
      </c>
      <c r="C1057" s="15" t="s">
        <v>27</v>
      </c>
      <c r="D1057" s="16">
        <v>46314</v>
      </c>
      <c r="E1057" s="17">
        <v>1663</v>
      </c>
      <c r="F1057" s="18">
        <v>1.4397500000000001</v>
      </c>
      <c r="G1057" s="19">
        <f>Cereal[[#This Row],[N° BOLSAS]]*Cereal[[#This Row],[KG BOLSA]]</f>
        <v>2394.3042500000001</v>
      </c>
      <c r="H1057" s="37">
        <v>30</v>
      </c>
      <c r="I1057" s="14">
        <f>ROUNDDOWN(Cereal[[#This Row],[N° BOLSAS]]/Cereal[[#This Row],[CAP. SACOS]],0)</f>
        <v>55</v>
      </c>
      <c r="J1057" s="14">
        <f>Cereal[[#This Row],[N° BOLSAS]]-Cereal[[#This Row],[N° SACOS]]*Cereal[[#This Row],[CAP. SACOS]]</f>
        <v>13</v>
      </c>
      <c r="K1057" s="16"/>
      <c r="L1057" s="16"/>
      <c r="M1057" s="16"/>
      <c r="N1057" s="16" t="s">
        <v>336</v>
      </c>
    </row>
    <row r="1058" spans="1:14" hidden="1" x14ac:dyDescent="0.25">
      <c r="A1058" s="14" t="s">
        <v>14</v>
      </c>
      <c r="B1058" s="14" t="s">
        <v>335</v>
      </c>
      <c r="C1058" s="15" t="s">
        <v>28</v>
      </c>
      <c r="D1058" s="16">
        <v>46342</v>
      </c>
      <c r="E1058" s="17">
        <v>1664</v>
      </c>
      <c r="F1058" s="18">
        <v>1.4397500000000001</v>
      </c>
      <c r="G1058" s="19">
        <f>Cereal[[#This Row],[N° BOLSAS]]*Cereal[[#This Row],[KG BOLSA]]</f>
        <v>2395.7440000000001</v>
      </c>
      <c r="H1058" s="37">
        <v>30</v>
      </c>
      <c r="I1058" s="14">
        <f>ROUNDDOWN(Cereal[[#This Row],[N° BOLSAS]]/Cereal[[#This Row],[CAP. SACOS]],0)</f>
        <v>55</v>
      </c>
      <c r="J1058" s="14">
        <f>Cereal[[#This Row],[N° BOLSAS]]-Cereal[[#This Row],[N° SACOS]]*Cereal[[#This Row],[CAP. SACOS]]</f>
        <v>14</v>
      </c>
      <c r="K1058" s="16"/>
      <c r="L1058" s="16"/>
      <c r="M1058" s="16"/>
      <c r="N1058" s="16" t="s">
        <v>336</v>
      </c>
    </row>
    <row r="1059" spans="1:14" ht="22.5" hidden="1" x14ac:dyDescent="0.25">
      <c r="A1059" s="14" t="s">
        <v>14</v>
      </c>
      <c r="B1059" s="14" t="s">
        <v>337</v>
      </c>
      <c r="C1059" s="15" t="s">
        <v>35</v>
      </c>
      <c r="D1059" s="16">
        <v>46049</v>
      </c>
      <c r="E1059" s="17">
        <f>121+109+121</f>
        <v>351</v>
      </c>
      <c r="F1059" s="18">
        <v>1</v>
      </c>
      <c r="G1059" s="19">
        <f>Cereal[[#This Row],[N° BOLSAS]]*Cereal[[#This Row],[KG BOLSA]]</f>
        <v>351</v>
      </c>
      <c r="H1059" s="37">
        <v>50</v>
      </c>
      <c r="I1059" s="14">
        <f>ROUNDDOWN(Cereal[[#This Row],[N° BOLSAS]]/Cereal[[#This Row],[CAP. SACOS]],0)</f>
        <v>7</v>
      </c>
      <c r="J1059" s="14">
        <f>Cereal[[#This Row],[N° BOLSAS]]-Cereal[[#This Row],[N° SACOS]]*Cereal[[#This Row],[CAP. SACOS]]</f>
        <v>1</v>
      </c>
      <c r="K1059" s="16">
        <v>46051</v>
      </c>
      <c r="L1059" s="16">
        <v>46051</v>
      </c>
      <c r="M1059" s="16">
        <v>46051</v>
      </c>
      <c r="N1059" s="16" t="s">
        <v>31</v>
      </c>
    </row>
    <row r="1060" spans="1:14" hidden="1" x14ac:dyDescent="0.25">
      <c r="A1060" s="14" t="s">
        <v>14</v>
      </c>
      <c r="B1060" s="14" t="s">
        <v>337</v>
      </c>
      <c r="C1060" s="15" t="s">
        <v>37</v>
      </c>
      <c r="D1060" s="16">
        <v>46106</v>
      </c>
      <c r="E1060" s="17">
        <f>116*2+121</f>
        <v>353</v>
      </c>
      <c r="F1060" s="18">
        <v>1</v>
      </c>
      <c r="G1060" s="19">
        <f>Cereal[[#This Row],[N° BOLSAS]]*Cereal[[#This Row],[KG BOLSA]]</f>
        <v>353</v>
      </c>
      <c r="H1060" s="37">
        <v>50</v>
      </c>
      <c r="I1060" s="14">
        <f>ROUNDDOWN(Cereal[[#This Row],[N° BOLSAS]]/Cereal[[#This Row],[CAP. SACOS]],0)</f>
        <v>7</v>
      </c>
      <c r="J1060" s="14">
        <f>Cereal[[#This Row],[N° BOLSAS]]-Cereal[[#This Row],[N° SACOS]]*Cereal[[#This Row],[CAP. SACOS]]</f>
        <v>3</v>
      </c>
      <c r="K1060" s="16">
        <v>46091</v>
      </c>
      <c r="L1060" s="16">
        <v>46091</v>
      </c>
      <c r="M1060" s="16">
        <v>46092</v>
      </c>
      <c r="N1060" s="16" t="s">
        <v>31</v>
      </c>
    </row>
    <row r="1061" spans="1:14" ht="22.5" hidden="1" x14ac:dyDescent="0.25">
      <c r="A1061" s="14" t="s">
        <v>14</v>
      </c>
      <c r="B1061" s="14" t="s">
        <v>337</v>
      </c>
      <c r="C1061" s="15" t="s">
        <v>38</v>
      </c>
      <c r="D1061" s="16">
        <v>46198</v>
      </c>
      <c r="E1061" s="17">
        <f>121*2+116</f>
        <v>358</v>
      </c>
      <c r="F1061" s="18">
        <v>1</v>
      </c>
      <c r="G1061" s="19">
        <f>Cereal[[#This Row],[N° BOLSAS]]*Cereal[[#This Row],[KG BOLSA]]</f>
        <v>358</v>
      </c>
      <c r="H1061" s="37">
        <v>50</v>
      </c>
      <c r="I1061" s="14">
        <f>ROUNDDOWN(Cereal[[#This Row],[N° BOLSAS]]/Cereal[[#This Row],[CAP. SACOS]],0)</f>
        <v>7</v>
      </c>
      <c r="J1061" s="14">
        <f>Cereal[[#This Row],[N° BOLSAS]]-Cereal[[#This Row],[N° SACOS]]*Cereal[[#This Row],[CAP. SACOS]]</f>
        <v>8</v>
      </c>
      <c r="K1061" s="16">
        <v>46171</v>
      </c>
      <c r="L1061" s="16">
        <v>46171</v>
      </c>
      <c r="M1061" s="16">
        <v>46171</v>
      </c>
      <c r="N1061" s="16" t="s">
        <v>31</v>
      </c>
    </row>
    <row r="1062" spans="1:14" ht="33.75" hidden="1" x14ac:dyDescent="0.25">
      <c r="A1062" s="14" t="s">
        <v>14</v>
      </c>
      <c r="B1062" s="14" t="s">
        <v>337</v>
      </c>
      <c r="C1062" s="15" t="s">
        <v>39</v>
      </c>
      <c r="D1062" s="16">
        <v>46291</v>
      </c>
      <c r="E1062" s="17">
        <f>121*2+116</f>
        <v>358</v>
      </c>
      <c r="F1062" s="18">
        <v>1</v>
      </c>
      <c r="G1062" s="19">
        <f>Cereal[[#This Row],[N° BOLSAS]]*Cereal[[#This Row],[KG BOLSA]]</f>
        <v>358</v>
      </c>
      <c r="H1062" s="37">
        <v>50</v>
      </c>
      <c r="I1062" s="14">
        <f>ROUNDDOWN(Cereal[[#This Row],[N° BOLSAS]]/Cereal[[#This Row],[CAP. SACOS]],0)</f>
        <v>7</v>
      </c>
      <c r="J1062" s="14">
        <f>Cereal[[#This Row],[N° BOLSAS]]-Cereal[[#This Row],[N° SACOS]]*Cereal[[#This Row],[CAP. SACOS]]</f>
        <v>8</v>
      </c>
      <c r="K1062" s="16">
        <v>46276</v>
      </c>
      <c r="L1062" s="16">
        <v>46276</v>
      </c>
      <c r="M1062" s="16">
        <v>46276</v>
      </c>
      <c r="N1062" s="16" t="s">
        <v>31</v>
      </c>
    </row>
    <row r="1063" spans="1:14" hidden="1" x14ac:dyDescent="0.25">
      <c r="A1063" s="14" t="s">
        <v>58</v>
      </c>
      <c r="B1063" s="14" t="s">
        <v>338</v>
      </c>
      <c r="C1063" s="15" t="s">
        <v>30</v>
      </c>
      <c r="D1063" s="16">
        <v>46002</v>
      </c>
      <c r="E1063" s="17">
        <v>233</v>
      </c>
      <c r="F1063" s="18">
        <v>0.76666999999999996</v>
      </c>
      <c r="G1063" s="19">
        <f>Cereal[[#This Row],[N° BOLSAS]]*Cereal[[#This Row],[KG BOLSA]]</f>
        <v>178.63410999999999</v>
      </c>
      <c r="H1063" s="37">
        <v>50</v>
      </c>
      <c r="I1063" s="14">
        <f>ROUNDDOWN(Cereal[[#This Row],[N° BOLSAS]]/Cereal[[#This Row],[CAP. SACOS]],0)</f>
        <v>4</v>
      </c>
      <c r="J1063" s="14">
        <f>Cereal[[#This Row],[N° BOLSAS]]-Cereal[[#This Row],[N° SACOS]]*Cereal[[#This Row],[CAP. SACOS]]</f>
        <v>33</v>
      </c>
      <c r="K1063" s="16">
        <v>45997</v>
      </c>
      <c r="L1063" s="16">
        <v>45997</v>
      </c>
      <c r="M1063" s="16">
        <v>46001</v>
      </c>
      <c r="N1063" s="16" t="s">
        <v>339</v>
      </c>
    </row>
    <row r="1064" spans="1:14" hidden="1" x14ac:dyDescent="0.25">
      <c r="A1064" s="14" t="s">
        <v>14</v>
      </c>
      <c r="B1064" s="14" t="s">
        <v>338</v>
      </c>
      <c r="C1064" s="15" t="s">
        <v>16</v>
      </c>
      <c r="D1064" s="16">
        <v>46022</v>
      </c>
      <c r="E1064" s="17">
        <v>2156</v>
      </c>
      <c r="F1064" s="18">
        <v>0.76666999999999996</v>
      </c>
      <c r="G1064" s="19">
        <f>Cereal[[#This Row],[N° BOLSAS]]*Cereal[[#This Row],[KG BOLSA]]</f>
        <v>1652.9405199999999</v>
      </c>
      <c r="H1064" s="37">
        <v>50</v>
      </c>
      <c r="I1064" s="14">
        <f>ROUNDDOWN(Cereal[[#This Row],[N° BOLSAS]]/Cereal[[#This Row],[CAP. SACOS]],0)</f>
        <v>43</v>
      </c>
      <c r="J1064" s="14">
        <f>Cereal[[#This Row],[N° BOLSAS]]-Cereal[[#This Row],[N° SACOS]]*Cereal[[#This Row],[CAP. SACOS]]</f>
        <v>6</v>
      </c>
      <c r="K1064" s="16">
        <v>45996</v>
      </c>
      <c r="L1064" s="16">
        <v>45996</v>
      </c>
      <c r="M1064" s="16">
        <v>46001</v>
      </c>
      <c r="N1064" s="16" t="s">
        <v>339</v>
      </c>
    </row>
    <row r="1065" spans="1:14" hidden="1" x14ac:dyDescent="0.25">
      <c r="A1065" s="14" t="s">
        <v>14</v>
      </c>
      <c r="B1065" s="14" t="s">
        <v>338</v>
      </c>
      <c r="C1065" s="15" t="s">
        <v>18</v>
      </c>
      <c r="D1065" s="16">
        <v>46022</v>
      </c>
      <c r="E1065" s="17">
        <v>2156</v>
      </c>
      <c r="F1065" s="18">
        <v>0.76666999999999996</v>
      </c>
      <c r="G1065" s="19">
        <f>Cereal[[#This Row],[N° BOLSAS]]*Cereal[[#This Row],[KG BOLSA]]</f>
        <v>1652.9405199999999</v>
      </c>
      <c r="H1065" s="37">
        <v>50</v>
      </c>
      <c r="I1065" s="14">
        <f>ROUNDDOWN(Cereal[[#This Row],[N° BOLSAS]]/Cereal[[#This Row],[CAP. SACOS]],0)</f>
        <v>43</v>
      </c>
      <c r="J1065" s="14">
        <f>Cereal[[#This Row],[N° BOLSAS]]-Cereal[[#This Row],[N° SACOS]]*Cereal[[#This Row],[CAP. SACOS]]</f>
        <v>6</v>
      </c>
      <c r="K1065" s="16">
        <v>45996</v>
      </c>
      <c r="L1065" s="16">
        <v>45996</v>
      </c>
      <c r="M1065" s="16">
        <v>46001</v>
      </c>
      <c r="N1065" s="16" t="s">
        <v>339</v>
      </c>
    </row>
    <row r="1066" spans="1:14" hidden="1" x14ac:dyDescent="0.25">
      <c r="A1066" s="14" t="s">
        <v>14</v>
      </c>
      <c r="B1066" s="14" t="s">
        <v>338</v>
      </c>
      <c r="C1066" s="15" t="s">
        <v>19</v>
      </c>
      <c r="D1066" s="16">
        <v>46070</v>
      </c>
      <c r="E1066" s="17">
        <v>2156</v>
      </c>
      <c r="F1066" s="18">
        <v>0.76666999999999996</v>
      </c>
      <c r="G1066" s="19">
        <f>Cereal[[#This Row],[N° BOLSAS]]*Cereal[[#This Row],[KG BOLSA]]</f>
        <v>1652.9405199999999</v>
      </c>
      <c r="H1066" s="37">
        <v>50</v>
      </c>
      <c r="I1066" s="14">
        <f>ROUNDDOWN(Cereal[[#This Row],[N° BOLSAS]]/Cereal[[#This Row],[CAP. SACOS]],0)</f>
        <v>43</v>
      </c>
      <c r="J1066" s="14">
        <f>Cereal[[#This Row],[N° BOLSAS]]-Cereal[[#This Row],[N° SACOS]]*Cereal[[#This Row],[CAP. SACOS]]</f>
        <v>6</v>
      </c>
      <c r="K1066" s="16">
        <v>46067</v>
      </c>
      <c r="L1066" s="16">
        <v>46067</v>
      </c>
      <c r="M1066" s="16">
        <v>46068</v>
      </c>
      <c r="N1066" s="16" t="s">
        <v>339</v>
      </c>
    </row>
    <row r="1067" spans="1:14" hidden="1" x14ac:dyDescent="0.25">
      <c r="A1067" s="14" t="s">
        <v>14</v>
      </c>
      <c r="B1067" s="14" t="s">
        <v>338</v>
      </c>
      <c r="C1067" s="15" t="s">
        <v>20</v>
      </c>
      <c r="D1067" s="16">
        <v>46070</v>
      </c>
      <c r="E1067" s="17">
        <v>2156</v>
      </c>
      <c r="F1067" s="18">
        <v>0.76666999999999996</v>
      </c>
      <c r="G1067" s="19">
        <f>Cereal[[#This Row],[N° BOLSAS]]*Cereal[[#This Row],[KG BOLSA]]</f>
        <v>1652.9405199999999</v>
      </c>
      <c r="H1067" s="37">
        <v>50</v>
      </c>
      <c r="I1067" s="14">
        <f>ROUNDDOWN(Cereal[[#This Row],[N° BOLSAS]]/Cereal[[#This Row],[CAP. SACOS]],0)</f>
        <v>43</v>
      </c>
      <c r="J1067" s="14">
        <f>Cereal[[#This Row],[N° BOLSAS]]-Cereal[[#This Row],[N° SACOS]]*Cereal[[#This Row],[CAP. SACOS]]</f>
        <v>6</v>
      </c>
      <c r="K1067" s="16">
        <v>46067</v>
      </c>
      <c r="L1067" s="16">
        <v>46067</v>
      </c>
      <c r="M1067" s="16">
        <v>46068</v>
      </c>
      <c r="N1067" s="16" t="s">
        <v>339</v>
      </c>
    </row>
    <row r="1068" spans="1:14" hidden="1" x14ac:dyDescent="0.25">
      <c r="A1068" s="14" t="s">
        <v>14</v>
      </c>
      <c r="B1068" s="14" t="s">
        <v>338</v>
      </c>
      <c r="C1068" s="15" t="s">
        <v>21</v>
      </c>
      <c r="D1068" s="16">
        <v>46133</v>
      </c>
      <c r="E1068" s="17">
        <v>2156</v>
      </c>
      <c r="F1068" s="18">
        <v>0.76666999999999996</v>
      </c>
      <c r="G1068" s="19">
        <f>Cereal[[#This Row],[N° BOLSAS]]*Cereal[[#This Row],[KG BOLSA]]</f>
        <v>1652.9405199999999</v>
      </c>
      <c r="H1068" s="37">
        <v>50</v>
      </c>
      <c r="I1068" s="14">
        <f>ROUNDDOWN(Cereal[[#This Row],[N° BOLSAS]]/Cereal[[#This Row],[CAP. SACOS]],0)</f>
        <v>43</v>
      </c>
      <c r="J1068" s="14">
        <f>Cereal[[#This Row],[N° BOLSAS]]-Cereal[[#This Row],[N° SACOS]]*Cereal[[#This Row],[CAP. SACOS]]</f>
        <v>6</v>
      </c>
      <c r="K1068" s="16">
        <v>46122</v>
      </c>
      <c r="L1068" s="16">
        <v>46122</v>
      </c>
      <c r="M1068" s="16">
        <v>46135</v>
      </c>
      <c r="N1068" s="16" t="s">
        <v>339</v>
      </c>
    </row>
    <row r="1069" spans="1:14" hidden="1" x14ac:dyDescent="0.25">
      <c r="A1069" s="14" t="s">
        <v>14</v>
      </c>
      <c r="B1069" s="14" t="s">
        <v>338</v>
      </c>
      <c r="C1069" s="15" t="s">
        <v>22</v>
      </c>
      <c r="D1069" s="16">
        <v>46133</v>
      </c>
      <c r="E1069" s="17">
        <v>2156</v>
      </c>
      <c r="F1069" s="18">
        <v>0.76666999999999996</v>
      </c>
      <c r="G1069" s="19">
        <f>Cereal[[#This Row],[N° BOLSAS]]*Cereal[[#This Row],[KG BOLSA]]</f>
        <v>1652.9405199999999</v>
      </c>
      <c r="H1069" s="37">
        <v>50</v>
      </c>
      <c r="I1069" s="14">
        <f>ROUNDDOWN(Cereal[[#This Row],[N° BOLSAS]]/Cereal[[#This Row],[CAP. SACOS]],0)</f>
        <v>43</v>
      </c>
      <c r="J1069" s="14">
        <f>Cereal[[#This Row],[N° BOLSAS]]-Cereal[[#This Row],[N° SACOS]]*Cereal[[#This Row],[CAP. SACOS]]</f>
        <v>6</v>
      </c>
      <c r="K1069" s="16">
        <v>46122</v>
      </c>
      <c r="L1069" s="16">
        <v>46122</v>
      </c>
      <c r="M1069" s="16">
        <v>46135</v>
      </c>
      <c r="N1069" s="16" t="s">
        <v>339</v>
      </c>
    </row>
    <row r="1070" spans="1:14" hidden="1" x14ac:dyDescent="0.25">
      <c r="A1070" s="14" t="s">
        <v>14</v>
      </c>
      <c r="B1070" s="14" t="s">
        <v>338</v>
      </c>
      <c r="C1070" s="15" t="s">
        <v>23</v>
      </c>
      <c r="D1070" s="16">
        <v>46192</v>
      </c>
      <c r="E1070" s="17">
        <v>2156</v>
      </c>
      <c r="F1070" s="18">
        <v>0.76666999999999996</v>
      </c>
      <c r="G1070" s="19">
        <f>Cereal[[#This Row],[N° BOLSAS]]*Cereal[[#This Row],[KG BOLSA]]</f>
        <v>1652.9405199999999</v>
      </c>
      <c r="H1070" s="37">
        <v>50</v>
      </c>
      <c r="I1070" s="14">
        <f>ROUNDDOWN(Cereal[[#This Row],[N° BOLSAS]]/Cereal[[#This Row],[CAP. SACOS]],0)</f>
        <v>43</v>
      </c>
      <c r="J1070" s="14">
        <f>Cereal[[#This Row],[N° BOLSAS]]-Cereal[[#This Row],[N° SACOS]]*Cereal[[#This Row],[CAP. SACOS]]</f>
        <v>6</v>
      </c>
      <c r="K1070" s="16">
        <v>46187</v>
      </c>
      <c r="L1070" s="16">
        <v>46187</v>
      </c>
      <c r="M1070" s="16">
        <v>46187</v>
      </c>
      <c r="N1070" s="16" t="s">
        <v>339</v>
      </c>
    </row>
    <row r="1071" spans="1:14" hidden="1" x14ac:dyDescent="0.25">
      <c r="A1071" s="14" t="s">
        <v>14</v>
      </c>
      <c r="B1071" s="14" t="s">
        <v>338</v>
      </c>
      <c r="C1071" s="15" t="s">
        <v>24</v>
      </c>
      <c r="D1071" s="16">
        <v>46192</v>
      </c>
      <c r="E1071" s="17">
        <v>2156</v>
      </c>
      <c r="F1071" s="18">
        <v>0.76666999999999996</v>
      </c>
      <c r="G1071" s="19">
        <f>Cereal[[#This Row],[N° BOLSAS]]*Cereal[[#This Row],[KG BOLSA]]</f>
        <v>1652.9405199999999</v>
      </c>
      <c r="H1071" s="37">
        <v>50</v>
      </c>
      <c r="I1071" s="14">
        <f>ROUNDDOWN(Cereal[[#This Row],[N° BOLSAS]]/Cereal[[#This Row],[CAP. SACOS]],0)</f>
        <v>43</v>
      </c>
      <c r="J1071" s="14">
        <f>Cereal[[#This Row],[N° BOLSAS]]-Cereal[[#This Row],[N° SACOS]]*Cereal[[#This Row],[CAP. SACOS]]</f>
        <v>6</v>
      </c>
      <c r="K1071" s="16">
        <v>46187</v>
      </c>
      <c r="L1071" s="16">
        <v>46187</v>
      </c>
      <c r="M1071" s="16">
        <v>46187</v>
      </c>
      <c r="N1071" s="16" t="s">
        <v>339</v>
      </c>
    </row>
    <row r="1072" spans="1:14" hidden="1" x14ac:dyDescent="0.25">
      <c r="A1072" s="14" t="s">
        <v>14</v>
      </c>
      <c r="B1072" s="14" t="s">
        <v>338</v>
      </c>
      <c r="C1072" s="15" t="s">
        <v>25</v>
      </c>
      <c r="D1072" s="16">
        <v>46254</v>
      </c>
      <c r="E1072" s="17">
        <v>2156</v>
      </c>
      <c r="F1072" s="18">
        <v>0.76666999999999996</v>
      </c>
      <c r="G1072" s="19">
        <f>Cereal[[#This Row],[N° BOLSAS]]*Cereal[[#This Row],[KG BOLSA]]</f>
        <v>1652.9405199999999</v>
      </c>
      <c r="H1072" s="37">
        <v>50</v>
      </c>
      <c r="I1072" s="14">
        <f>ROUNDDOWN(Cereal[[#This Row],[N° BOLSAS]]/Cereal[[#This Row],[CAP. SACOS]],0)</f>
        <v>43</v>
      </c>
      <c r="J1072" s="14">
        <f>Cereal[[#This Row],[N° BOLSAS]]-Cereal[[#This Row],[N° SACOS]]*Cereal[[#This Row],[CAP. SACOS]]</f>
        <v>6</v>
      </c>
      <c r="K1072" s="16">
        <v>46244</v>
      </c>
      <c r="L1072" s="16">
        <v>46244</v>
      </c>
      <c r="M1072" s="16">
        <v>46251</v>
      </c>
      <c r="N1072" s="16" t="s">
        <v>339</v>
      </c>
    </row>
    <row r="1073" spans="1:14" hidden="1" x14ac:dyDescent="0.25">
      <c r="A1073" s="14" t="s">
        <v>14</v>
      </c>
      <c r="B1073" s="14" t="s">
        <v>338</v>
      </c>
      <c r="C1073" s="15" t="s">
        <v>26</v>
      </c>
      <c r="D1073" s="16">
        <v>46254</v>
      </c>
      <c r="E1073" s="17">
        <v>2156</v>
      </c>
      <c r="F1073" s="18">
        <v>0.76666999999999996</v>
      </c>
      <c r="G1073" s="19">
        <f>Cereal[[#This Row],[N° BOLSAS]]*Cereal[[#This Row],[KG BOLSA]]</f>
        <v>1652.9405199999999</v>
      </c>
      <c r="H1073" s="37">
        <v>50</v>
      </c>
      <c r="I1073" s="14">
        <f>ROUNDDOWN(Cereal[[#This Row],[N° BOLSAS]]/Cereal[[#This Row],[CAP. SACOS]],0)</f>
        <v>43</v>
      </c>
      <c r="J1073" s="14">
        <f>Cereal[[#This Row],[N° BOLSAS]]-Cereal[[#This Row],[N° SACOS]]*Cereal[[#This Row],[CAP. SACOS]]</f>
        <v>6</v>
      </c>
      <c r="K1073" s="16">
        <v>46244</v>
      </c>
      <c r="L1073" s="16">
        <v>46244</v>
      </c>
      <c r="M1073" s="16">
        <v>46251</v>
      </c>
      <c r="N1073" s="16" t="s">
        <v>339</v>
      </c>
    </row>
    <row r="1074" spans="1:14" hidden="1" x14ac:dyDescent="0.25">
      <c r="A1074" s="14" t="s">
        <v>14</v>
      </c>
      <c r="B1074" s="14" t="s">
        <v>338</v>
      </c>
      <c r="C1074" s="15" t="s">
        <v>27</v>
      </c>
      <c r="D1074" s="16">
        <v>46315</v>
      </c>
      <c r="E1074" s="17">
        <v>2156</v>
      </c>
      <c r="F1074" s="18">
        <v>0.76666999999999996</v>
      </c>
      <c r="G1074" s="19">
        <f>Cereal[[#This Row],[N° BOLSAS]]*Cereal[[#This Row],[KG BOLSA]]</f>
        <v>1652.9405199999999</v>
      </c>
      <c r="H1074" s="37">
        <v>50</v>
      </c>
      <c r="I1074" s="14">
        <f>ROUNDDOWN(Cereal[[#This Row],[N° BOLSAS]]/Cereal[[#This Row],[CAP. SACOS]],0)</f>
        <v>43</v>
      </c>
      <c r="J1074" s="14">
        <f>Cereal[[#This Row],[N° BOLSAS]]-Cereal[[#This Row],[N° SACOS]]*Cereal[[#This Row],[CAP. SACOS]]</f>
        <v>6</v>
      </c>
      <c r="K1074" s="16"/>
      <c r="L1074" s="16"/>
      <c r="M1074" s="16"/>
      <c r="N1074" s="16" t="s">
        <v>339</v>
      </c>
    </row>
    <row r="1075" spans="1:14" hidden="1" x14ac:dyDescent="0.25">
      <c r="A1075" s="14" t="s">
        <v>14</v>
      </c>
      <c r="B1075" s="14" t="s">
        <v>338</v>
      </c>
      <c r="C1075" s="15" t="s">
        <v>28</v>
      </c>
      <c r="D1075" s="16">
        <v>46315</v>
      </c>
      <c r="E1075" s="17">
        <v>2156</v>
      </c>
      <c r="F1075" s="18">
        <v>0.76666999999999996</v>
      </c>
      <c r="G1075" s="19">
        <f>Cereal[[#This Row],[N° BOLSAS]]*Cereal[[#This Row],[KG BOLSA]]</f>
        <v>1652.9405199999999</v>
      </c>
      <c r="H1075" s="37">
        <v>50</v>
      </c>
      <c r="I1075" s="14">
        <f>ROUNDDOWN(Cereal[[#This Row],[N° BOLSAS]]/Cereal[[#This Row],[CAP. SACOS]],0)</f>
        <v>43</v>
      </c>
      <c r="J1075" s="14">
        <f>Cereal[[#This Row],[N° BOLSAS]]-Cereal[[#This Row],[N° SACOS]]*Cereal[[#This Row],[CAP. SACOS]]</f>
        <v>6</v>
      </c>
      <c r="K1075" s="16"/>
      <c r="L1075" s="16"/>
      <c r="M1075" s="16"/>
      <c r="N1075" s="16" t="s">
        <v>339</v>
      </c>
    </row>
    <row r="1076" spans="1:14" hidden="1" x14ac:dyDescent="0.25">
      <c r="A1076" s="14" t="s">
        <v>100</v>
      </c>
      <c r="B1076" s="14" t="s">
        <v>340</v>
      </c>
      <c r="C1076" s="15" t="s">
        <v>30</v>
      </c>
      <c r="D1076" s="16">
        <v>46120</v>
      </c>
      <c r="E1076" s="17">
        <v>726</v>
      </c>
      <c r="F1076" s="18">
        <v>1</v>
      </c>
      <c r="G1076" s="19">
        <f>Cereal[[#This Row],[N° BOLSAS]]*Cereal[[#This Row],[KG BOLSA]]</f>
        <v>726</v>
      </c>
      <c r="H1076" s="37">
        <v>40</v>
      </c>
      <c r="I1076" s="14">
        <f>ROUNDDOWN(Cereal[[#This Row],[N° BOLSAS]]/Cereal[[#This Row],[CAP. SACOS]],0)</f>
        <v>18</v>
      </c>
      <c r="J1076" s="14">
        <f>Cereal[[#This Row],[N° BOLSAS]]-Cereal[[#This Row],[N° SACOS]]*Cereal[[#This Row],[CAP. SACOS]]</f>
        <v>6</v>
      </c>
      <c r="K1076" s="16">
        <v>46120</v>
      </c>
      <c r="L1076" s="16">
        <v>46120</v>
      </c>
      <c r="M1076" s="16">
        <v>46120</v>
      </c>
      <c r="N1076" s="16" t="s">
        <v>158</v>
      </c>
    </row>
    <row r="1077" spans="1:14" hidden="1" x14ac:dyDescent="0.25">
      <c r="A1077" s="14" t="s">
        <v>100</v>
      </c>
      <c r="B1077" s="14" t="s">
        <v>340</v>
      </c>
      <c r="C1077" s="15" t="s">
        <v>30</v>
      </c>
      <c r="D1077" s="16">
        <v>46188</v>
      </c>
      <c r="E1077" s="17">
        <v>370</v>
      </c>
      <c r="F1077" s="18">
        <v>1</v>
      </c>
      <c r="G1077" s="19">
        <f>Cereal[[#This Row],[N° BOLSAS]]*Cereal[[#This Row],[KG BOLSA]]</f>
        <v>370</v>
      </c>
      <c r="H1077" s="37">
        <v>40</v>
      </c>
      <c r="I1077" s="14">
        <f>ROUNDDOWN(Cereal[[#This Row],[N° BOLSAS]]/Cereal[[#This Row],[CAP. SACOS]],0)</f>
        <v>9</v>
      </c>
      <c r="J1077" s="14">
        <f>Cereal[[#This Row],[N° BOLSAS]]-Cereal[[#This Row],[N° SACOS]]*Cereal[[#This Row],[CAP. SACOS]]</f>
        <v>10</v>
      </c>
      <c r="K1077" s="16">
        <v>46206</v>
      </c>
      <c r="L1077" s="16">
        <v>46206</v>
      </c>
      <c r="M1077" s="16">
        <v>46206</v>
      </c>
      <c r="N1077" s="16" t="s">
        <v>158</v>
      </c>
    </row>
    <row r="1078" spans="1:14" hidden="1" x14ac:dyDescent="0.25">
      <c r="A1078" s="14" t="s">
        <v>100</v>
      </c>
      <c r="B1078" s="14" t="s">
        <v>340</v>
      </c>
      <c r="C1078" s="15" t="s">
        <v>30</v>
      </c>
      <c r="D1078" s="16">
        <v>46274</v>
      </c>
      <c r="E1078" s="17">
        <v>400</v>
      </c>
      <c r="F1078" s="18">
        <v>1</v>
      </c>
      <c r="G1078" s="19">
        <f>Cereal[[#This Row],[N° BOLSAS]]*Cereal[[#This Row],[KG BOLSA]]</f>
        <v>400</v>
      </c>
      <c r="H1078" s="37">
        <v>40</v>
      </c>
      <c r="I1078" s="14">
        <f>ROUNDDOWN(Cereal[[#This Row],[N° BOLSAS]]/Cereal[[#This Row],[CAP. SACOS]],0)</f>
        <v>10</v>
      </c>
      <c r="J1078" s="14">
        <f>Cereal[[#This Row],[N° BOLSAS]]-Cereal[[#This Row],[N° SACOS]]*Cereal[[#This Row],[CAP. SACOS]]</f>
        <v>0</v>
      </c>
      <c r="K1078" s="16"/>
      <c r="L1078" s="16"/>
      <c r="M1078" s="16"/>
      <c r="N1078" s="16" t="s">
        <v>158</v>
      </c>
    </row>
    <row r="1079" spans="1:14" hidden="1" x14ac:dyDescent="0.25">
      <c r="A1079" s="14" t="s">
        <v>14</v>
      </c>
      <c r="B1079" s="14" t="s">
        <v>341</v>
      </c>
      <c r="C1079" s="15" t="s">
        <v>342</v>
      </c>
      <c r="D1079" s="16">
        <v>46265</v>
      </c>
      <c r="E1079" s="17">
        <v>8000</v>
      </c>
      <c r="F1079" s="18">
        <v>0.76859999999999995</v>
      </c>
      <c r="G1079" s="19">
        <f>Cereal[[#This Row],[N° BOLSAS]]*Cereal[[#This Row],[KG BOLSA]]</f>
        <v>6148.7999999999993</v>
      </c>
      <c r="H1079" s="37">
        <v>50</v>
      </c>
      <c r="I1079" s="14">
        <f>ROUNDDOWN(Cereal[[#This Row],[N° BOLSAS]]/Cereal[[#This Row],[CAP. SACOS]],0)</f>
        <v>160</v>
      </c>
      <c r="J1079" s="14">
        <f>Cereal[[#This Row],[N° BOLSAS]]-Cereal[[#This Row],[N° SACOS]]*Cereal[[#This Row],[CAP. SACOS]]</f>
        <v>0</v>
      </c>
      <c r="K1079" s="16">
        <v>46266</v>
      </c>
      <c r="L1079" s="16">
        <v>46266</v>
      </c>
      <c r="M1079" s="16">
        <v>46267</v>
      </c>
      <c r="N1079" s="16" t="s">
        <v>343</v>
      </c>
    </row>
    <row r="1080" spans="1:14" ht="22.5" hidden="1" x14ac:dyDescent="0.25">
      <c r="A1080" s="14" t="s">
        <v>14</v>
      </c>
      <c r="B1080" s="14" t="s">
        <v>341</v>
      </c>
      <c r="C1080" s="15" t="s">
        <v>45</v>
      </c>
      <c r="D1080" s="16">
        <v>46295</v>
      </c>
      <c r="E1080" s="17">
        <v>2000</v>
      </c>
      <c r="F1080" s="18">
        <v>0.76859999999999995</v>
      </c>
      <c r="G1080" s="19">
        <f>Cereal[[#This Row],[N° BOLSAS]]*Cereal[[#This Row],[KG BOLSA]]</f>
        <v>1537.1999999999998</v>
      </c>
      <c r="H1080" s="37">
        <v>50</v>
      </c>
      <c r="I1080" s="14">
        <f>ROUNDDOWN(Cereal[[#This Row],[N° BOLSAS]]/Cereal[[#This Row],[CAP. SACOS]],0)</f>
        <v>40</v>
      </c>
      <c r="J1080" s="14">
        <f>Cereal[[#This Row],[N° BOLSAS]]-Cereal[[#This Row],[N° SACOS]]*Cereal[[#This Row],[CAP. SACOS]]</f>
        <v>0</v>
      </c>
      <c r="K1080" s="16"/>
      <c r="L1080" s="16"/>
      <c r="M1080" s="16"/>
      <c r="N1080" s="16" t="s">
        <v>343</v>
      </c>
    </row>
    <row r="1081" spans="1:14" hidden="1" x14ac:dyDescent="0.25">
      <c r="A1081" s="14" t="s">
        <v>14</v>
      </c>
      <c r="B1081" s="14" t="s">
        <v>341</v>
      </c>
      <c r="C1081" s="15" t="s">
        <v>27</v>
      </c>
      <c r="D1081" s="16">
        <v>46326</v>
      </c>
      <c r="E1081" s="17">
        <v>1000</v>
      </c>
      <c r="F1081" s="18">
        <v>0.76859999999999995</v>
      </c>
      <c r="G1081" s="19">
        <f>Cereal[[#This Row],[N° BOLSAS]]*Cereal[[#This Row],[KG BOLSA]]</f>
        <v>768.59999999999991</v>
      </c>
      <c r="H1081" s="37">
        <v>50</v>
      </c>
      <c r="I1081" s="14">
        <f>ROUNDDOWN(Cereal[[#This Row],[N° BOLSAS]]/Cereal[[#This Row],[CAP. SACOS]],0)</f>
        <v>20</v>
      </c>
      <c r="J1081" s="14">
        <f>Cereal[[#This Row],[N° BOLSAS]]-Cereal[[#This Row],[N° SACOS]]*Cereal[[#This Row],[CAP. SACOS]]</f>
        <v>0</v>
      </c>
      <c r="K1081" s="16"/>
      <c r="L1081" s="16"/>
      <c r="M1081" s="16"/>
      <c r="N1081" s="16" t="s">
        <v>343</v>
      </c>
    </row>
    <row r="1082" spans="1:14" hidden="1" x14ac:dyDescent="0.25">
      <c r="A1082" s="14" t="s">
        <v>14</v>
      </c>
      <c r="B1082" s="14" t="s">
        <v>341</v>
      </c>
      <c r="C1082" s="15" t="s">
        <v>28</v>
      </c>
      <c r="D1082" s="16">
        <v>46356</v>
      </c>
      <c r="E1082" s="17">
        <v>1000</v>
      </c>
      <c r="F1082" s="18">
        <v>0.76859999999999995</v>
      </c>
      <c r="G1082" s="19">
        <f>Cereal[[#This Row],[N° BOLSAS]]*Cereal[[#This Row],[KG BOLSA]]</f>
        <v>768.59999999999991</v>
      </c>
      <c r="H1082" s="37">
        <v>50</v>
      </c>
      <c r="I1082" s="14">
        <f>ROUNDDOWN(Cereal[[#This Row],[N° BOLSAS]]/Cereal[[#This Row],[CAP. SACOS]],0)</f>
        <v>20</v>
      </c>
      <c r="J1082" s="14">
        <f>Cereal[[#This Row],[N° BOLSAS]]-Cereal[[#This Row],[N° SACOS]]*Cereal[[#This Row],[CAP. SACOS]]</f>
        <v>0</v>
      </c>
      <c r="K1082" s="16"/>
      <c r="L1082" s="16"/>
      <c r="M1082" s="16"/>
      <c r="N1082" s="16" t="s">
        <v>343</v>
      </c>
    </row>
    <row r="1083" spans="1:14" hidden="1" x14ac:dyDescent="0.25">
      <c r="A1083" s="14" t="s">
        <v>14</v>
      </c>
      <c r="B1083" s="14" t="s">
        <v>344</v>
      </c>
      <c r="C1083" s="15" t="s">
        <v>30</v>
      </c>
      <c r="D1083" s="16">
        <v>46254</v>
      </c>
      <c r="E1083" s="17">
        <v>1084</v>
      </c>
      <c r="F1083" s="18">
        <v>0.91080000000000005</v>
      </c>
      <c r="G1083" s="19">
        <f>Cereal[[#This Row],[N° BOLSAS]]*Cereal[[#This Row],[KG BOLSA]]</f>
        <v>987.30720000000008</v>
      </c>
      <c r="H1083" s="37">
        <v>45</v>
      </c>
      <c r="I1083" s="14">
        <f>ROUNDDOWN(Cereal[[#This Row],[N° BOLSAS]]/Cereal[[#This Row],[CAP. SACOS]],0)</f>
        <v>24</v>
      </c>
      <c r="J1083" s="14">
        <f>Cereal[[#This Row],[N° BOLSAS]]-Cereal[[#This Row],[N° SACOS]]*Cereal[[#This Row],[CAP. SACOS]]</f>
        <v>4</v>
      </c>
      <c r="K1083" s="16">
        <v>46252</v>
      </c>
      <c r="L1083" s="16">
        <v>46252</v>
      </c>
      <c r="M1083" s="16">
        <v>46253</v>
      </c>
      <c r="N1083" s="16" t="s">
        <v>345</v>
      </c>
    </row>
    <row r="1084" spans="1:14" ht="22.5" hidden="1" x14ac:dyDescent="0.25">
      <c r="A1084" s="14" t="s">
        <v>14</v>
      </c>
      <c r="B1084" s="14" t="s">
        <v>346</v>
      </c>
      <c r="C1084" s="15" t="s">
        <v>35</v>
      </c>
      <c r="D1084" s="16">
        <v>46016</v>
      </c>
      <c r="E1084" s="17">
        <v>2652</v>
      </c>
      <c r="F1084" s="18">
        <v>0.85167000000000004</v>
      </c>
      <c r="G1084" s="19">
        <f>Cereal[[#This Row],[N° BOLSAS]]*Cereal[[#This Row],[KG BOLSA]]</f>
        <v>2258.6288400000003</v>
      </c>
      <c r="H1084" s="37">
        <v>50</v>
      </c>
      <c r="I1084" s="14">
        <f>ROUNDDOWN(Cereal[[#This Row],[N° BOLSAS]]/Cereal[[#This Row],[CAP. SACOS]],0)</f>
        <v>53</v>
      </c>
      <c r="J1084" s="14">
        <f>Cereal[[#This Row],[N° BOLSAS]]-Cereal[[#This Row],[N° SACOS]]*Cereal[[#This Row],[CAP. SACOS]]</f>
        <v>2</v>
      </c>
      <c r="K1084" s="16">
        <v>46018</v>
      </c>
      <c r="L1084" s="16">
        <v>46018</v>
      </c>
      <c r="M1084" s="16">
        <v>46383</v>
      </c>
      <c r="N1084" s="16" t="s">
        <v>347</v>
      </c>
    </row>
    <row r="1085" spans="1:14" hidden="1" x14ac:dyDescent="0.25">
      <c r="A1085" s="14" t="s">
        <v>14</v>
      </c>
      <c r="B1085" s="14" t="s">
        <v>346</v>
      </c>
      <c r="C1085" s="15" t="s">
        <v>37</v>
      </c>
      <c r="D1085" s="16">
        <v>46106</v>
      </c>
      <c r="E1085" s="17">
        <v>2652</v>
      </c>
      <c r="F1085" s="18">
        <v>0.85167000000000004</v>
      </c>
      <c r="G1085" s="19">
        <f>Cereal[[#This Row],[N° BOLSAS]]*Cereal[[#This Row],[KG BOLSA]]</f>
        <v>2258.6288400000003</v>
      </c>
      <c r="H1085" s="37">
        <v>50</v>
      </c>
      <c r="I1085" s="14">
        <f>ROUNDDOWN(Cereal[[#This Row],[N° BOLSAS]]/Cereal[[#This Row],[CAP. SACOS]],0)</f>
        <v>53</v>
      </c>
      <c r="J1085" s="14">
        <f>Cereal[[#This Row],[N° BOLSAS]]-Cereal[[#This Row],[N° SACOS]]*Cereal[[#This Row],[CAP. SACOS]]</f>
        <v>2</v>
      </c>
      <c r="K1085" s="16">
        <v>46106</v>
      </c>
      <c r="L1085" s="16">
        <v>46106</v>
      </c>
      <c r="M1085" s="16">
        <v>46106</v>
      </c>
      <c r="N1085" s="16" t="s">
        <v>347</v>
      </c>
    </row>
    <row r="1086" spans="1:14" ht="22.5" hidden="1" x14ac:dyDescent="0.25">
      <c r="A1086" s="14" t="s">
        <v>14</v>
      </c>
      <c r="B1086" s="14" t="s">
        <v>346</v>
      </c>
      <c r="C1086" s="15" t="s">
        <v>38</v>
      </c>
      <c r="D1086" s="16">
        <v>46196</v>
      </c>
      <c r="E1086" s="17">
        <v>2652</v>
      </c>
      <c r="F1086" s="18">
        <v>0.85167000000000004</v>
      </c>
      <c r="G1086" s="19">
        <f>Cereal[[#This Row],[N° BOLSAS]]*Cereal[[#This Row],[KG BOLSA]]</f>
        <v>2258.6288400000003</v>
      </c>
      <c r="H1086" s="37">
        <v>50</v>
      </c>
      <c r="I1086" s="14">
        <f>ROUNDDOWN(Cereal[[#This Row],[N° BOLSAS]]/Cereal[[#This Row],[CAP. SACOS]],0)</f>
        <v>53</v>
      </c>
      <c r="J1086" s="14">
        <f>Cereal[[#This Row],[N° BOLSAS]]-Cereal[[#This Row],[N° SACOS]]*Cereal[[#This Row],[CAP. SACOS]]</f>
        <v>2</v>
      </c>
      <c r="K1086" s="16">
        <v>46195</v>
      </c>
      <c r="L1086" s="16">
        <v>46195</v>
      </c>
      <c r="M1086" s="16">
        <v>46195</v>
      </c>
      <c r="N1086" s="16" t="s">
        <v>347</v>
      </c>
    </row>
    <row r="1087" spans="1:14" hidden="1" x14ac:dyDescent="0.25">
      <c r="A1087" s="14" t="s">
        <v>14</v>
      </c>
      <c r="B1087" s="14" t="s">
        <v>346</v>
      </c>
      <c r="C1087" s="15" t="s">
        <v>30</v>
      </c>
      <c r="D1087" s="16">
        <v>46244</v>
      </c>
      <c r="E1087" s="17">
        <v>884</v>
      </c>
      <c r="F1087" s="19">
        <v>0.92556000000000005</v>
      </c>
      <c r="G1087" s="19">
        <f>Cereal[[#This Row],[N° BOLSAS]]*Cereal[[#This Row],[KG BOLSA]]</f>
        <v>818.19504000000006</v>
      </c>
      <c r="H1087" s="37">
        <v>45</v>
      </c>
      <c r="I1087" s="14">
        <f>ROUNDDOWN(Cereal[[#This Row],[N° BOLSAS]]/Cereal[[#This Row],[CAP. SACOS]],0)</f>
        <v>19</v>
      </c>
      <c r="J1087" s="14">
        <f>Cereal[[#This Row],[N° BOLSAS]]-Cereal[[#This Row],[N° SACOS]]*Cereal[[#This Row],[CAP. SACOS]]</f>
        <v>29</v>
      </c>
      <c r="K1087" s="16">
        <v>46244</v>
      </c>
      <c r="L1087" s="16">
        <v>46244</v>
      </c>
      <c r="M1087" s="16">
        <v>46244</v>
      </c>
      <c r="N1087" s="16" t="s">
        <v>347</v>
      </c>
    </row>
    <row r="1088" spans="1:14" ht="33.75" hidden="1" x14ac:dyDescent="0.25">
      <c r="A1088" s="14" t="s">
        <v>14</v>
      </c>
      <c r="B1088" s="14" t="s">
        <v>346</v>
      </c>
      <c r="C1088" s="15" t="s">
        <v>39</v>
      </c>
      <c r="D1088" s="16">
        <v>46287</v>
      </c>
      <c r="E1088" s="17">
        <f>884*2+906.57</f>
        <v>2674.57</v>
      </c>
      <c r="F1088" s="18">
        <v>0.85167000000000004</v>
      </c>
      <c r="G1088" s="19">
        <f>Cereal[[#This Row],[N° BOLSAS]]*Cereal[[#This Row],[KG BOLSA]]</f>
        <v>2277.8510319000002</v>
      </c>
      <c r="H1088" s="37">
        <v>50</v>
      </c>
      <c r="I1088" s="14">
        <f>ROUNDDOWN(Cereal[[#This Row],[N° BOLSAS]]/Cereal[[#This Row],[CAP. SACOS]],0)</f>
        <v>53</v>
      </c>
      <c r="J1088" s="14">
        <f>Cereal[[#This Row],[N° BOLSAS]]-Cereal[[#This Row],[N° SACOS]]*Cereal[[#This Row],[CAP. SACOS]]</f>
        <v>24.570000000000164</v>
      </c>
      <c r="K1088" s="16">
        <v>46287</v>
      </c>
      <c r="L1088" s="16">
        <v>46287</v>
      </c>
      <c r="M1088" s="16">
        <v>46287</v>
      </c>
      <c r="N1088" s="16" t="s">
        <v>347</v>
      </c>
    </row>
    <row r="1089" spans="1:14" hidden="1" x14ac:dyDescent="0.25">
      <c r="A1089" s="14" t="s">
        <v>14</v>
      </c>
      <c r="B1089" s="14" t="s">
        <v>348</v>
      </c>
      <c r="C1089" s="15" t="s">
        <v>16</v>
      </c>
      <c r="D1089" s="16">
        <v>46032</v>
      </c>
      <c r="E1089" s="17">
        <v>450</v>
      </c>
      <c r="F1089" s="18">
        <v>0.74463999999999997</v>
      </c>
      <c r="G1089" s="19">
        <f>Cereal[[#This Row],[N° BOLSAS]]*Cereal[[#This Row],[KG BOLSA]]</f>
        <v>335.08799999999997</v>
      </c>
      <c r="H1089" s="37">
        <v>60</v>
      </c>
      <c r="I1089" s="14">
        <f>ROUNDDOWN(Cereal[[#This Row],[N° BOLSAS]]/Cereal[[#This Row],[CAP. SACOS]],0)</f>
        <v>7</v>
      </c>
      <c r="J1089" s="14">
        <f>Cereal[[#This Row],[N° BOLSAS]]-Cereal[[#This Row],[N° SACOS]]*Cereal[[#This Row],[CAP. SACOS]]</f>
        <v>30</v>
      </c>
      <c r="K1089" s="16">
        <v>46053</v>
      </c>
      <c r="L1089" s="16">
        <v>46053</v>
      </c>
      <c r="M1089" s="16">
        <v>46056</v>
      </c>
      <c r="N1089" s="16" t="s">
        <v>349</v>
      </c>
    </row>
    <row r="1090" spans="1:14" hidden="1" x14ac:dyDescent="0.25">
      <c r="A1090" s="14" t="s">
        <v>14</v>
      </c>
      <c r="B1090" s="14" t="s">
        <v>348</v>
      </c>
      <c r="C1090" s="15" t="s">
        <v>18</v>
      </c>
      <c r="D1090" s="16">
        <v>46063</v>
      </c>
      <c r="E1090" s="17">
        <v>450</v>
      </c>
      <c r="F1090" s="18">
        <v>0.74463999999999997</v>
      </c>
      <c r="G1090" s="19">
        <f>Cereal[[#This Row],[N° BOLSAS]]*Cereal[[#This Row],[KG BOLSA]]</f>
        <v>335.08799999999997</v>
      </c>
      <c r="H1090" s="37">
        <v>60</v>
      </c>
      <c r="I1090" s="14">
        <f>ROUNDDOWN(Cereal[[#This Row],[N° BOLSAS]]/Cereal[[#This Row],[CAP. SACOS]],0)</f>
        <v>7</v>
      </c>
      <c r="J1090" s="14">
        <f>Cereal[[#This Row],[N° BOLSAS]]-Cereal[[#This Row],[N° SACOS]]*Cereal[[#This Row],[CAP. SACOS]]</f>
        <v>30</v>
      </c>
      <c r="K1090" s="16">
        <v>46053</v>
      </c>
      <c r="L1090" s="16">
        <v>46053</v>
      </c>
      <c r="M1090" s="16">
        <v>46056</v>
      </c>
      <c r="N1090" s="16" t="s">
        <v>349</v>
      </c>
    </row>
    <row r="1091" spans="1:14" hidden="1" x14ac:dyDescent="0.25">
      <c r="A1091" s="14" t="s">
        <v>14</v>
      </c>
      <c r="B1091" s="14" t="s">
        <v>348</v>
      </c>
      <c r="C1091" s="15" t="s">
        <v>19</v>
      </c>
      <c r="D1091" s="16">
        <v>46091</v>
      </c>
      <c r="E1091" s="17">
        <v>450</v>
      </c>
      <c r="F1091" s="18">
        <v>0.74463999999999997</v>
      </c>
      <c r="G1091" s="19">
        <f>Cereal[[#This Row],[N° BOLSAS]]*Cereal[[#This Row],[KG BOLSA]]</f>
        <v>335.08799999999997</v>
      </c>
      <c r="H1091" s="37">
        <v>60</v>
      </c>
      <c r="I1091" s="14">
        <f>ROUNDDOWN(Cereal[[#This Row],[N° BOLSAS]]/Cereal[[#This Row],[CAP. SACOS]],0)</f>
        <v>7</v>
      </c>
      <c r="J1091" s="14">
        <f>Cereal[[#This Row],[N° BOLSAS]]-Cereal[[#This Row],[N° SACOS]]*Cereal[[#This Row],[CAP. SACOS]]</f>
        <v>30</v>
      </c>
      <c r="K1091" s="16">
        <v>46086</v>
      </c>
      <c r="L1091" s="16">
        <v>46086</v>
      </c>
      <c r="M1091" s="16">
        <v>46093</v>
      </c>
      <c r="N1091" s="16" t="s">
        <v>349</v>
      </c>
    </row>
    <row r="1092" spans="1:14" hidden="1" x14ac:dyDescent="0.25">
      <c r="A1092" s="14" t="s">
        <v>14</v>
      </c>
      <c r="B1092" s="14" t="s">
        <v>348</v>
      </c>
      <c r="C1092" s="15" t="s">
        <v>20</v>
      </c>
      <c r="D1092" s="16">
        <v>46091</v>
      </c>
      <c r="E1092" s="17">
        <v>450</v>
      </c>
      <c r="F1092" s="18">
        <v>0.74463999999999997</v>
      </c>
      <c r="G1092" s="19">
        <f>Cereal[[#This Row],[N° BOLSAS]]*Cereal[[#This Row],[KG BOLSA]]</f>
        <v>335.08799999999997</v>
      </c>
      <c r="H1092" s="37">
        <v>60</v>
      </c>
      <c r="I1092" s="14">
        <f>ROUNDDOWN(Cereal[[#This Row],[N° BOLSAS]]/Cereal[[#This Row],[CAP. SACOS]],0)</f>
        <v>7</v>
      </c>
      <c r="J1092" s="14">
        <f>Cereal[[#This Row],[N° BOLSAS]]-Cereal[[#This Row],[N° SACOS]]*Cereal[[#This Row],[CAP. SACOS]]</f>
        <v>30</v>
      </c>
      <c r="K1092" s="16">
        <v>46086</v>
      </c>
      <c r="L1092" s="16">
        <v>46086</v>
      </c>
      <c r="M1092" s="16">
        <v>46093</v>
      </c>
      <c r="N1092" s="16" t="s">
        <v>349</v>
      </c>
    </row>
    <row r="1093" spans="1:14" hidden="1" x14ac:dyDescent="0.25">
      <c r="A1093" s="14" t="s">
        <v>14</v>
      </c>
      <c r="B1093" s="14" t="s">
        <v>348</v>
      </c>
      <c r="C1093" s="15" t="s">
        <v>21</v>
      </c>
      <c r="D1093" s="16">
        <v>46091</v>
      </c>
      <c r="E1093" s="17">
        <v>450</v>
      </c>
      <c r="F1093" s="18">
        <v>0.74463999999999997</v>
      </c>
      <c r="G1093" s="19">
        <f>Cereal[[#This Row],[N° BOLSAS]]*Cereal[[#This Row],[KG BOLSA]]</f>
        <v>335.08799999999997</v>
      </c>
      <c r="H1093" s="37">
        <v>60</v>
      </c>
      <c r="I1093" s="14">
        <f>ROUNDDOWN(Cereal[[#This Row],[N° BOLSAS]]/Cereal[[#This Row],[CAP. SACOS]],0)</f>
        <v>7</v>
      </c>
      <c r="J1093" s="14">
        <f>Cereal[[#This Row],[N° BOLSAS]]-Cereal[[#This Row],[N° SACOS]]*Cereal[[#This Row],[CAP. SACOS]]</f>
        <v>30</v>
      </c>
      <c r="K1093" s="16">
        <v>46086</v>
      </c>
      <c r="L1093" s="16">
        <v>46086</v>
      </c>
      <c r="M1093" s="16">
        <v>46093</v>
      </c>
      <c r="N1093" s="16" t="s">
        <v>349</v>
      </c>
    </row>
    <row r="1094" spans="1:14" hidden="1" x14ac:dyDescent="0.25">
      <c r="A1094" s="14" t="s">
        <v>14</v>
      </c>
      <c r="B1094" s="14" t="s">
        <v>348</v>
      </c>
      <c r="C1094" s="15" t="s">
        <v>22</v>
      </c>
      <c r="D1094" s="16">
        <v>46091</v>
      </c>
      <c r="E1094" s="17">
        <v>450</v>
      </c>
      <c r="F1094" s="18">
        <v>0.74463999999999997</v>
      </c>
      <c r="G1094" s="19">
        <f>Cereal[[#This Row],[N° BOLSAS]]*Cereal[[#This Row],[KG BOLSA]]</f>
        <v>335.08799999999997</v>
      </c>
      <c r="H1094" s="37">
        <v>60</v>
      </c>
      <c r="I1094" s="14">
        <f>ROUNDDOWN(Cereal[[#This Row],[N° BOLSAS]]/Cereal[[#This Row],[CAP. SACOS]],0)</f>
        <v>7</v>
      </c>
      <c r="J1094" s="14">
        <f>Cereal[[#This Row],[N° BOLSAS]]-Cereal[[#This Row],[N° SACOS]]*Cereal[[#This Row],[CAP. SACOS]]</f>
        <v>30</v>
      </c>
      <c r="K1094" s="16">
        <v>46086</v>
      </c>
      <c r="L1094" s="16">
        <v>46086</v>
      </c>
      <c r="M1094" s="16">
        <v>46093</v>
      </c>
      <c r="N1094" s="16" t="s">
        <v>349</v>
      </c>
    </row>
    <row r="1095" spans="1:14" hidden="1" x14ac:dyDescent="0.25">
      <c r="A1095" s="14" t="s">
        <v>14</v>
      </c>
      <c r="B1095" s="14" t="s">
        <v>348</v>
      </c>
      <c r="C1095" s="15" t="s">
        <v>23</v>
      </c>
      <c r="D1095" s="16">
        <v>46183</v>
      </c>
      <c r="E1095" s="17">
        <v>450</v>
      </c>
      <c r="F1095" s="18">
        <v>0.74463999999999997</v>
      </c>
      <c r="G1095" s="19">
        <f>Cereal[[#This Row],[N° BOLSAS]]*Cereal[[#This Row],[KG BOLSA]]</f>
        <v>335.08799999999997</v>
      </c>
      <c r="H1095" s="37">
        <v>60</v>
      </c>
      <c r="I1095" s="14">
        <f>ROUNDDOWN(Cereal[[#This Row],[N° BOLSAS]]/Cereal[[#This Row],[CAP. SACOS]],0)</f>
        <v>7</v>
      </c>
      <c r="J1095" s="14">
        <f>Cereal[[#This Row],[N° BOLSAS]]-Cereal[[#This Row],[N° SACOS]]*Cereal[[#This Row],[CAP. SACOS]]</f>
        <v>30</v>
      </c>
      <c r="K1095" s="16">
        <v>46171</v>
      </c>
      <c r="L1095" s="16">
        <v>46171</v>
      </c>
      <c r="M1095" s="16">
        <v>46199</v>
      </c>
      <c r="N1095" s="16" t="s">
        <v>349</v>
      </c>
    </row>
    <row r="1096" spans="1:14" hidden="1" x14ac:dyDescent="0.25">
      <c r="A1096" s="14" t="s">
        <v>14</v>
      </c>
      <c r="B1096" s="14" t="s">
        <v>348</v>
      </c>
      <c r="C1096" s="15" t="s">
        <v>24</v>
      </c>
      <c r="D1096" s="16">
        <v>46183</v>
      </c>
      <c r="E1096" s="17">
        <v>450</v>
      </c>
      <c r="F1096" s="18">
        <v>0.74463999999999997</v>
      </c>
      <c r="G1096" s="19">
        <f>Cereal[[#This Row],[N° BOLSAS]]*Cereal[[#This Row],[KG BOLSA]]</f>
        <v>335.08799999999997</v>
      </c>
      <c r="H1096" s="37">
        <v>60</v>
      </c>
      <c r="I1096" s="14">
        <f>ROUNDDOWN(Cereal[[#This Row],[N° BOLSAS]]/Cereal[[#This Row],[CAP. SACOS]],0)</f>
        <v>7</v>
      </c>
      <c r="J1096" s="14">
        <f>Cereal[[#This Row],[N° BOLSAS]]-Cereal[[#This Row],[N° SACOS]]*Cereal[[#This Row],[CAP. SACOS]]</f>
        <v>30</v>
      </c>
      <c r="K1096" s="16">
        <v>46171</v>
      </c>
      <c r="L1096" s="16">
        <v>46171</v>
      </c>
      <c r="M1096" s="16">
        <v>46199</v>
      </c>
      <c r="N1096" s="16" t="s">
        <v>349</v>
      </c>
    </row>
    <row r="1097" spans="1:14" hidden="1" x14ac:dyDescent="0.25">
      <c r="A1097" s="14" t="s">
        <v>14</v>
      </c>
      <c r="B1097" s="14" t="s">
        <v>348</v>
      </c>
      <c r="C1097" s="15" t="s">
        <v>25</v>
      </c>
      <c r="D1097" s="16">
        <v>46183</v>
      </c>
      <c r="E1097" s="17">
        <v>450</v>
      </c>
      <c r="F1097" s="18">
        <v>0.74463999999999997</v>
      </c>
      <c r="G1097" s="19">
        <f>Cereal[[#This Row],[N° BOLSAS]]*Cereal[[#This Row],[KG BOLSA]]</f>
        <v>335.08799999999997</v>
      </c>
      <c r="H1097" s="37">
        <v>60</v>
      </c>
      <c r="I1097" s="14">
        <f>ROUNDDOWN(Cereal[[#This Row],[N° BOLSAS]]/Cereal[[#This Row],[CAP. SACOS]],0)</f>
        <v>7</v>
      </c>
      <c r="J1097" s="14">
        <f>Cereal[[#This Row],[N° BOLSAS]]-Cereal[[#This Row],[N° SACOS]]*Cereal[[#This Row],[CAP. SACOS]]</f>
        <v>30</v>
      </c>
      <c r="K1097" s="16">
        <v>46171</v>
      </c>
      <c r="L1097" s="16">
        <v>46171</v>
      </c>
      <c r="M1097" s="16">
        <v>46199</v>
      </c>
      <c r="N1097" s="16" t="s">
        <v>349</v>
      </c>
    </row>
    <row r="1098" spans="1:14" hidden="1" x14ac:dyDescent="0.25">
      <c r="A1098" s="14" t="s">
        <v>14</v>
      </c>
      <c r="B1098" s="14" t="s">
        <v>348</v>
      </c>
      <c r="C1098" s="15" t="s">
        <v>26</v>
      </c>
      <c r="D1098" s="16">
        <v>46295</v>
      </c>
      <c r="E1098" s="17">
        <v>450</v>
      </c>
      <c r="F1098" s="18">
        <v>0.74463999999999997</v>
      </c>
      <c r="G1098" s="19">
        <f>Cereal[[#This Row],[N° BOLSAS]]*Cereal[[#This Row],[KG BOLSA]]</f>
        <v>335.08799999999997</v>
      </c>
      <c r="H1098" s="37">
        <v>60</v>
      </c>
      <c r="I1098" s="14">
        <f>ROUNDDOWN(Cereal[[#This Row],[N° BOLSAS]]/Cereal[[#This Row],[CAP. SACOS]],0)</f>
        <v>7</v>
      </c>
      <c r="J1098" s="14">
        <f>Cereal[[#This Row],[N° BOLSAS]]-Cereal[[#This Row],[N° SACOS]]*Cereal[[#This Row],[CAP. SACOS]]</f>
        <v>30</v>
      </c>
      <c r="K1098" s="16">
        <v>46281</v>
      </c>
      <c r="L1098" s="16">
        <v>46281</v>
      </c>
      <c r="M1098" s="16"/>
      <c r="N1098" s="16" t="s">
        <v>349</v>
      </c>
    </row>
    <row r="1099" spans="1:14" hidden="1" x14ac:dyDescent="0.25">
      <c r="A1099" s="14" t="s">
        <v>14</v>
      </c>
      <c r="B1099" s="14" t="s">
        <v>348</v>
      </c>
      <c r="C1099" s="15" t="s">
        <v>27</v>
      </c>
      <c r="D1099" s="16">
        <v>46295</v>
      </c>
      <c r="E1099" s="17">
        <v>450</v>
      </c>
      <c r="F1099" s="18">
        <v>0.74463999999999997</v>
      </c>
      <c r="G1099" s="19">
        <f>Cereal[[#This Row],[N° BOLSAS]]*Cereal[[#This Row],[KG BOLSA]]</f>
        <v>335.08799999999997</v>
      </c>
      <c r="H1099" s="37">
        <v>60</v>
      </c>
      <c r="I1099" s="14">
        <f>ROUNDDOWN(Cereal[[#This Row],[N° BOLSAS]]/Cereal[[#This Row],[CAP. SACOS]],0)</f>
        <v>7</v>
      </c>
      <c r="J1099" s="14">
        <f>Cereal[[#This Row],[N° BOLSAS]]-Cereal[[#This Row],[N° SACOS]]*Cereal[[#This Row],[CAP. SACOS]]</f>
        <v>30</v>
      </c>
      <c r="K1099" s="16">
        <v>46281</v>
      </c>
      <c r="L1099" s="16">
        <v>46281</v>
      </c>
      <c r="M1099" s="16"/>
      <c r="N1099" s="16" t="s">
        <v>349</v>
      </c>
    </row>
    <row r="1100" spans="1:14" hidden="1" x14ac:dyDescent="0.25">
      <c r="A1100" s="14" t="s">
        <v>14</v>
      </c>
      <c r="B1100" s="14" t="s">
        <v>348</v>
      </c>
      <c r="C1100" s="15" t="s">
        <v>28</v>
      </c>
      <c r="D1100" s="16">
        <v>46295</v>
      </c>
      <c r="E1100" s="17">
        <v>450</v>
      </c>
      <c r="F1100" s="18">
        <v>0.74463999999999997</v>
      </c>
      <c r="G1100" s="19">
        <f>Cereal[[#This Row],[N° BOLSAS]]*Cereal[[#This Row],[KG BOLSA]]</f>
        <v>335.08799999999997</v>
      </c>
      <c r="H1100" s="37">
        <v>60</v>
      </c>
      <c r="I1100" s="14">
        <f>ROUNDDOWN(Cereal[[#This Row],[N° BOLSAS]]/Cereal[[#This Row],[CAP. SACOS]],0)</f>
        <v>7</v>
      </c>
      <c r="J1100" s="14">
        <f>Cereal[[#This Row],[N° BOLSAS]]-Cereal[[#This Row],[N° SACOS]]*Cereal[[#This Row],[CAP. SACOS]]</f>
        <v>30</v>
      </c>
      <c r="K1100" s="16">
        <v>46281</v>
      </c>
      <c r="L1100" s="16">
        <v>46281</v>
      </c>
      <c r="M1100" s="16"/>
      <c r="N1100" s="16" t="s">
        <v>349</v>
      </c>
    </row>
    <row r="1101" spans="1:14" hidden="1" x14ac:dyDescent="0.25">
      <c r="A1101" s="14" t="s">
        <v>14</v>
      </c>
      <c r="B1101" s="14" t="s">
        <v>350</v>
      </c>
      <c r="C1101" s="15" t="s">
        <v>121</v>
      </c>
      <c r="D1101" s="16">
        <v>46052</v>
      </c>
      <c r="E1101" s="17">
        <v>2144</v>
      </c>
      <c r="F1101" s="18">
        <v>1.1166259999999999</v>
      </c>
      <c r="G1101" s="19">
        <f>Cereal[[#This Row],[N° BOLSAS]]*Cereal[[#This Row],[KG BOLSA]]</f>
        <v>2394.0461439999999</v>
      </c>
      <c r="H1101" s="37">
        <v>40</v>
      </c>
      <c r="I1101" s="14">
        <f>ROUNDDOWN(Cereal[[#This Row],[N° BOLSAS]]/Cereal[[#This Row],[CAP. SACOS]],0)</f>
        <v>53</v>
      </c>
      <c r="J1101" s="14">
        <f>Cereal[[#This Row],[N° BOLSAS]]-Cereal[[#This Row],[N° SACOS]]*Cereal[[#This Row],[CAP. SACOS]]</f>
        <v>24</v>
      </c>
      <c r="K1101" s="16">
        <v>46060</v>
      </c>
      <c r="L1101" s="16">
        <v>46060</v>
      </c>
      <c r="M1101" s="16">
        <v>46062</v>
      </c>
      <c r="N1101" s="16" t="s">
        <v>351</v>
      </c>
    </row>
    <row r="1102" spans="1:14" hidden="1" x14ac:dyDescent="0.25">
      <c r="A1102" s="14" t="s">
        <v>14</v>
      </c>
      <c r="B1102" s="14" t="s">
        <v>350</v>
      </c>
      <c r="C1102" s="15" t="s">
        <v>122</v>
      </c>
      <c r="D1102" s="16">
        <v>46077</v>
      </c>
      <c r="E1102" s="17">
        <v>2144</v>
      </c>
      <c r="F1102" s="18">
        <v>1.1166259999999999</v>
      </c>
      <c r="G1102" s="19">
        <f>Cereal[[#This Row],[N° BOLSAS]]*Cereal[[#This Row],[KG BOLSA]]</f>
        <v>2394.0461439999999</v>
      </c>
      <c r="H1102" s="37">
        <v>40</v>
      </c>
      <c r="I1102" s="14">
        <f>ROUNDDOWN(Cereal[[#This Row],[N° BOLSAS]]/Cereal[[#This Row],[CAP. SACOS]],0)</f>
        <v>53</v>
      </c>
      <c r="J1102" s="14">
        <f>Cereal[[#This Row],[N° BOLSAS]]-Cereal[[#This Row],[N° SACOS]]*Cereal[[#This Row],[CAP. SACOS]]</f>
        <v>24</v>
      </c>
      <c r="K1102" s="16">
        <v>46069</v>
      </c>
      <c r="L1102" s="16">
        <v>46069</v>
      </c>
      <c r="M1102" s="16">
        <v>46071</v>
      </c>
      <c r="N1102" s="16" t="s">
        <v>351</v>
      </c>
    </row>
    <row r="1103" spans="1:14" hidden="1" x14ac:dyDescent="0.25">
      <c r="A1103" s="14" t="s">
        <v>14</v>
      </c>
      <c r="B1103" s="14" t="s">
        <v>350</v>
      </c>
      <c r="C1103" s="15" t="s">
        <v>43</v>
      </c>
      <c r="D1103" s="16">
        <v>46140</v>
      </c>
      <c r="E1103" s="17">
        <v>2144</v>
      </c>
      <c r="F1103" s="18">
        <v>1.1166259999999999</v>
      </c>
      <c r="G1103" s="19">
        <f>Cereal[[#This Row],[N° BOLSAS]]*Cereal[[#This Row],[KG BOLSA]]</f>
        <v>2394.0461439999999</v>
      </c>
      <c r="H1103" s="37">
        <v>40</v>
      </c>
      <c r="I1103" s="14">
        <f>ROUNDDOWN(Cereal[[#This Row],[N° BOLSAS]]/Cereal[[#This Row],[CAP. SACOS]],0)</f>
        <v>53</v>
      </c>
      <c r="J1103" s="14">
        <f>Cereal[[#This Row],[N° BOLSAS]]-Cereal[[#This Row],[N° SACOS]]*Cereal[[#This Row],[CAP. SACOS]]</f>
        <v>24</v>
      </c>
      <c r="K1103" s="16">
        <v>46128</v>
      </c>
      <c r="L1103" s="16">
        <v>46128</v>
      </c>
      <c r="M1103" s="16">
        <v>46128</v>
      </c>
      <c r="N1103" s="16" t="s">
        <v>351</v>
      </c>
    </row>
    <row r="1104" spans="1:14" hidden="1" x14ac:dyDescent="0.25">
      <c r="A1104" s="14" t="s">
        <v>14</v>
      </c>
      <c r="B1104" s="14" t="s">
        <v>350</v>
      </c>
      <c r="C1104" s="15" t="s">
        <v>44</v>
      </c>
      <c r="D1104" s="16">
        <v>46196</v>
      </c>
      <c r="E1104" s="17">
        <v>2144</v>
      </c>
      <c r="F1104" s="18">
        <v>1.1166259999999999</v>
      </c>
      <c r="G1104" s="19">
        <f>Cereal[[#This Row],[N° BOLSAS]]*Cereal[[#This Row],[KG BOLSA]]</f>
        <v>2394.0461439999999</v>
      </c>
      <c r="H1104" s="37">
        <v>40</v>
      </c>
      <c r="I1104" s="14">
        <f>ROUNDDOWN(Cereal[[#This Row],[N° BOLSAS]]/Cereal[[#This Row],[CAP. SACOS]],0)</f>
        <v>53</v>
      </c>
      <c r="J1104" s="14">
        <f>Cereal[[#This Row],[N° BOLSAS]]-Cereal[[#This Row],[N° SACOS]]*Cereal[[#This Row],[CAP. SACOS]]</f>
        <v>24</v>
      </c>
      <c r="K1104" s="16">
        <v>46168</v>
      </c>
      <c r="L1104" s="16">
        <v>46168</v>
      </c>
      <c r="M1104" s="16">
        <v>46187</v>
      </c>
      <c r="N1104" s="16" t="s">
        <v>351</v>
      </c>
    </row>
    <row r="1105" spans="1:14" hidden="1" x14ac:dyDescent="0.25">
      <c r="A1105" s="14" t="s">
        <v>14</v>
      </c>
      <c r="B1105" s="14" t="s">
        <v>350</v>
      </c>
      <c r="C1105" s="15" t="s">
        <v>30</v>
      </c>
      <c r="D1105" s="16">
        <v>46213</v>
      </c>
      <c r="E1105" s="17">
        <v>536</v>
      </c>
      <c r="F1105" s="18">
        <v>1.47814</v>
      </c>
      <c r="G1105" s="19">
        <f>Cereal[[#This Row],[N° BOLSAS]]*Cereal[[#This Row],[KG BOLSA]]</f>
        <v>792.28304000000003</v>
      </c>
      <c r="H1105" s="37">
        <v>30</v>
      </c>
      <c r="I1105" s="14">
        <f>ROUNDDOWN(Cereal[[#This Row],[N° BOLSAS]]/Cereal[[#This Row],[CAP. SACOS]],0)</f>
        <v>17</v>
      </c>
      <c r="J1105" s="14">
        <f>Cereal[[#This Row],[N° BOLSAS]]-Cereal[[#This Row],[N° SACOS]]*Cereal[[#This Row],[CAP. SACOS]]</f>
        <v>26</v>
      </c>
      <c r="K1105" s="16">
        <v>46210</v>
      </c>
      <c r="L1105" s="16">
        <v>46210</v>
      </c>
      <c r="M1105" s="16">
        <v>46210</v>
      </c>
      <c r="N1105" s="16" t="s">
        <v>351</v>
      </c>
    </row>
    <row r="1106" spans="1:14" ht="22.5" hidden="1" x14ac:dyDescent="0.25">
      <c r="A1106" s="14" t="s">
        <v>14</v>
      </c>
      <c r="B1106" s="14" t="s">
        <v>350</v>
      </c>
      <c r="C1106" s="15" t="s">
        <v>45</v>
      </c>
      <c r="D1106" s="16">
        <v>46259</v>
      </c>
      <c r="E1106" s="17">
        <v>2144</v>
      </c>
      <c r="F1106" s="18">
        <v>1.1166259999999999</v>
      </c>
      <c r="G1106" s="19">
        <f>Cereal[[#This Row],[N° BOLSAS]]*Cereal[[#This Row],[KG BOLSA]]</f>
        <v>2394.0461439999999</v>
      </c>
      <c r="H1106" s="37">
        <v>40</v>
      </c>
      <c r="I1106" s="14">
        <f>ROUNDDOWN(Cereal[[#This Row],[N° BOLSAS]]/Cereal[[#This Row],[CAP. SACOS]],0)</f>
        <v>53</v>
      </c>
      <c r="J1106" s="14">
        <f>Cereal[[#This Row],[N° BOLSAS]]-Cereal[[#This Row],[N° SACOS]]*Cereal[[#This Row],[CAP. SACOS]]</f>
        <v>24</v>
      </c>
      <c r="K1106" s="16">
        <v>46266</v>
      </c>
      <c r="L1106" s="16">
        <v>46266</v>
      </c>
      <c r="M1106" s="16">
        <v>46271</v>
      </c>
      <c r="N1106" s="16" t="s">
        <v>351</v>
      </c>
    </row>
    <row r="1107" spans="1:14" ht="22.5" hidden="1" x14ac:dyDescent="0.25">
      <c r="A1107" s="14" t="s">
        <v>14</v>
      </c>
      <c r="B1107" s="14" t="s">
        <v>350</v>
      </c>
      <c r="C1107" s="15" t="s">
        <v>46</v>
      </c>
      <c r="D1107" s="16">
        <v>46322</v>
      </c>
      <c r="E1107" s="17">
        <v>2144</v>
      </c>
      <c r="F1107" s="18">
        <v>1.1166259999999999</v>
      </c>
      <c r="G1107" s="19">
        <f>Cereal[[#This Row],[N° BOLSAS]]*Cereal[[#This Row],[KG BOLSA]]</f>
        <v>2394.0461439999999</v>
      </c>
      <c r="H1107" s="37">
        <v>40</v>
      </c>
      <c r="I1107" s="14">
        <f>ROUNDDOWN(Cereal[[#This Row],[N° BOLSAS]]/Cereal[[#This Row],[CAP. SACOS]],0)</f>
        <v>53</v>
      </c>
      <c r="J1107" s="14">
        <f>Cereal[[#This Row],[N° BOLSAS]]-Cereal[[#This Row],[N° SACOS]]*Cereal[[#This Row],[CAP. SACOS]]</f>
        <v>24</v>
      </c>
      <c r="K1107" s="16"/>
      <c r="L1107" s="16"/>
      <c r="M1107" s="16"/>
      <c r="N1107" s="16" t="s">
        <v>351</v>
      </c>
    </row>
    <row r="1108" spans="1:14" hidden="1" x14ac:dyDescent="0.25">
      <c r="A1108" s="14" t="s">
        <v>100</v>
      </c>
      <c r="B1108" s="14" t="s">
        <v>352</v>
      </c>
      <c r="C1108" s="15" t="s">
        <v>30</v>
      </c>
      <c r="D1108" s="16">
        <v>46120</v>
      </c>
      <c r="E1108" s="17">
        <v>170</v>
      </c>
      <c r="F1108" s="18">
        <v>1</v>
      </c>
      <c r="G1108" s="19">
        <f>Cereal[[#This Row],[N° BOLSAS]]*Cereal[[#This Row],[KG BOLSA]]</f>
        <v>170</v>
      </c>
      <c r="H1108" s="37">
        <v>40</v>
      </c>
      <c r="I1108" s="14">
        <f>ROUNDDOWN(Cereal[[#This Row],[N° BOLSAS]]/Cereal[[#This Row],[CAP. SACOS]],0)</f>
        <v>4</v>
      </c>
      <c r="J1108" s="14">
        <f>Cereal[[#This Row],[N° BOLSAS]]-Cereal[[#This Row],[N° SACOS]]*Cereal[[#This Row],[CAP. SACOS]]</f>
        <v>10</v>
      </c>
      <c r="K1108" s="16">
        <v>46119</v>
      </c>
      <c r="L1108" s="16">
        <v>46119</v>
      </c>
      <c r="M1108" s="16">
        <v>46120</v>
      </c>
      <c r="N1108" s="16" t="s">
        <v>169</v>
      </c>
    </row>
    <row r="1109" spans="1:14" hidden="1" x14ac:dyDescent="0.25">
      <c r="A1109" s="14" t="s">
        <v>100</v>
      </c>
      <c r="B1109" s="14" t="s">
        <v>352</v>
      </c>
      <c r="C1109" s="15" t="s">
        <v>30</v>
      </c>
      <c r="D1109" s="16">
        <v>46274</v>
      </c>
      <c r="E1109" s="17">
        <v>146</v>
      </c>
      <c r="F1109" s="18">
        <v>1</v>
      </c>
      <c r="G1109" s="19">
        <f>Cereal[[#This Row],[N° BOLSAS]]*Cereal[[#This Row],[KG BOLSA]]</f>
        <v>146</v>
      </c>
      <c r="H1109" s="37">
        <v>40</v>
      </c>
      <c r="I1109" s="14">
        <f>ROUNDDOWN(Cereal[[#This Row],[N° BOLSAS]]/Cereal[[#This Row],[CAP. SACOS]],0)</f>
        <v>3</v>
      </c>
      <c r="J1109" s="14">
        <f>Cereal[[#This Row],[N° BOLSAS]]-Cereal[[#This Row],[N° SACOS]]*Cereal[[#This Row],[CAP. SACOS]]</f>
        <v>26</v>
      </c>
      <c r="K1109" s="16"/>
      <c r="L1109" s="16"/>
      <c r="M1109" s="16"/>
      <c r="N1109" s="16" t="s">
        <v>169</v>
      </c>
    </row>
    <row r="1110" spans="1:14" hidden="1" x14ac:dyDescent="0.25">
      <c r="A1110" s="14" t="s">
        <v>14</v>
      </c>
      <c r="B1110" s="14" t="s">
        <v>353</v>
      </c>
      <c r="C1110" s="15" t="s">
        <v>24</v>
      </c>
      <c r="D1110" s="16">
        <v>46266</v>
      </c>
      <c r="E1110" s="17">
        <v>10802.3</v>
      </c>
      <c r="F1110" s="18">
        <v>1</v>
      </c>
      <c r="G1110" s="19">
        <f>Cereal[[#This Row],[N° BOLSAS]]*Cereal[[#This Row],[KG BOLSA]]</f>
        <v>10802.3</v>
      </c>
      <c r="H1110" s="37">
        <v>40</v>
      </c>
      <c r="I1110" s="14">
        <f>ROUNDDOWN(Cereal[[#This Row],[N° BOLSAS]]/Cereal[[#This Row],[CAP. SACOS]],0)</f>
        <v>270</v>
      </c>
      <c r="J1110" s="14">
        <f>Cereal[[#This Row],[N° BOLSAS]]-Cereal[[#This Row],[N° SACOS]]*Cereal[[#This Row],[CAP. SACOS]]</f>
        <v>2.2999999999992724</v>
      </c>
      <c r="K1110" s="16"/>
      <c r="L1110" s="16"/>
      <c r="M1110" s="16"/>
      <c r="N1110" s="16" t="s">
        <v>354</v>
      </c>
    </row>
    <row r="1111" spans="1:14" hidden="1" x14ac:dyDescent="0.25">
      <c r="A1111" s="14" t="s">
        <v>14</v>
      </c>
      <c r="B1111" s="14" t="s">
        <v>353</v>
      </c>
      <c r="C1111" s="15" t="s">
        <v>25</v>
      </c>
      <c r="D1111" s="16">
        <v>46266</v>
      </c>
      <c r="E1111" s="17">
        <v>10802.3</v>
      </c>
      <c r="F1111" s="18">
        <v>1</v>
      </c>
      <c r="G1111" s="19">
        <f>Cereal[[#This Row],[N° BOLSAS]]*Cereal[[#This Row],[KG BOLSA]]</f>
        <v>10802.3</v>
      </c>
      <c r="H1111" s="37">
        <v>40</v>
      </c>
      <c r="I1111" s="14">
        <f>ROUNDDOWN(Cereal[[#This Row],[N° BOLSAS]]/Cereal[[#This Row],[CAP. SACOS]],0)</f>
        <v>270</v>
      </c>
      <c r="J1111" s="14">
        <f>Cereal[[#This Row],[N° BOLSAS]]-Cereal[[#This Row],[N° SACOS]]*Cereal[[#This Row],[CAP. SACOS]]</f>
        <v>2.2999999999992724</v>
      </c>
      <c r="K1111" s="16"/>
      <c r="L1111" s="16"/>
      <c r="M1111" s="16"/>
      <c r="N1111" s="16" t="s">
        <v>354</v>
      </c>
    </row>
    <row r="1112" spans="1:14" hidden="1" x14ac:dyDescent="0.25">
      <c r="A1112" s="14" t="s">
        <v>14</v>
      </c>
      <c r="B1112" s="14" t="s">
        <v>353</v>
      </c>
      <c r="C1112" s="15" t="s">
        <v>26</v>
      </c>
      <c r="D1112" s="16">
        <v>46266</v>
      </c>
      <c r="E1112" s="17">
        <v>10454</v>
      </c>
      <c r="F1112" s="18">
        <v>1</v>
      </c>
      <c r="G1112" s="19">
        <f>Cereal[[#This Row],[N° BOLSAS]]*Cereal[[#This Row],[KG BOLSA]]</f>
        <v>10454</v>
      </c>
      <c r="H1112" s="37">
        <v>40</v>
      </c>
      <c r="I1112" s="14">
        <f>ROUNDDOWN(Cereal[[#This Row],[N° BOLSAS]]/Cereal[[#This Row],[CAP. SACOS]],0)</f>
        <v>261</v>
      </c>
      <c r="J1112" s="14">
        <f>Cereal[[#This Row],[N° BOLSAS]]-Cereal[[#This Row],[N° SACOS]]*Cereal[[#This Row],[CAP. SACOS]]</f>
        <v>14</v>
      </c>
      <c r="K1112" s="16"/>
      <c r="L1112" s="16"/>
      <c r="M1112" s="16"/>
      <c r="N1112" s="16" t="s">
        <v>354</v>
      </c>
    </row>
    <row r="1113" spans="1:14" hidden="1" x14ac:dyDescent="0.25">
      <c r="A1113" s="14" t="s">
        <v>14</v>
      </c>
      <c r="B1113" s="14" t="s">
        <v>353</v>
      </c>
      <c r="C1113" s="15" t="s">
        <v>27</v>
      </c>
      <c r="D1113" s="16">
        <v>46326</v>
      </c>
      <c r="E1113" s="17">
        <v>10802.3</v>
      </c>
      <c r="F1113" s="18">
        <v>1</v>
      </c>
      <c r="G1113" s="19">
        <f>Cereal[[#This Row],[N° BOLSAS]]*Cereal[[#This Row],[KG BOLSA]]</f>
        <v>10802.3</v>
      </c>
      <c r="H1113" s="37">
        <v>40</v>
      </c>
      <c r="I1113" s="14">
        <f>ROUNDDOWN(Cereal[[#This Row],[N° BOLSAS]]/Cereal[[#This Row],[CAP. SACOS]],0)</f>
        <v>270</v>
      </c>
      <c r="J1113" s="14">
        <f>Cereal[[#This Row],[N° BOLSAS]]-Cereal[[#This Row],[N° SACOS]]*Cereal[[#This Row],[CAP. SACOS]]</f>
        <v>2.2999999999992724</v>
      </c>
      <c r="K1113" s="16"/>
      <c r="L1113" s="16"/>
      <c r="M1113" s="16"/>
      <c r="N1113" s="16" t="s">
        <v>354</v>
      </c>
    </row>
    <row r="1114" spans="1:14" hidden="1" x14ac:dyDescent="0.25">
      <c r="A1114" s="14" t="s">
        <v>14</v>
      </c>
      <c r="B1114" s="14" t="s">
        <v>353</v>
      </c>
      <c r="C1114" s="15" t="s">
        <v>28</v>
      </c>
      <c r="D1114" s="16">
        <v>46356</v>
      </c>
      <c r="E1114" s="17">
        <v>10454</v>
      </c>
      <c r="F1114" s="18">
        <v>1</v>
      </c>
      <c r="G1114" s="19">
        <f>Cereal[[#This Row],[N° BOLSAS]]*Cereal[[#This Row],[KG BOLSA]]</f>
        <v>10454</v>
      </c>
      <c r="H1114" s="37">
        <v>40</v>
      </c>
      <c r="I1114" s="14">
        <f>ROUNDDOWN(Cereal[[#This Row],[N° BOLSAS]]/Cereal[[#This Row],[CAP. SACOS]],0)</f>
        <v>261</v>
      </c>
      <c r="J1114" s="14">
        <f>Cereal[[#This Row],[N° BOLSAS]]-Cereal[[#This Row],[N° SACOS]]*Cereal[[#This Row],[CAP. SACOS]]</f>
        <v>14</v>
      </c>
      <c r="K1114" s="16"/>
      <c r="L1114" s="16"/>
      <c r="M1114" s="16"/>
      <c r="N1114" s="16" t="s">
        <v>354</v>
      </c>
    </row>
    <row r="1115" spans="1:14" ht="22.5" hidden="1" x14ac:dyDescent="0.25">
      <c r="A1115" s="14" t="s">
        <v>14</v>
      </c>
      <c r="B1115" s="14" t="s">
        <v>355</v>
      </c>
      <c r="C1115" s="15" t="s">
        <v>35</v>
      </c>
      <c r="D1115" s="16">
        <v>46055</v>
      </c>
      <c r="E1115" s="17">
        <f>3449.459*2</f>
        <v>6898.9179999999997</v>
      </c>
      <c r="F1115" s="18">
        <v>0.5</v>
      </c>
      <c r="G1115" s="19">
        <f>Cereal[[#This Row],[N° BOLSAS]]*Cereal[[#This Row],[KG BOLSA]]</f>
        <v>3449.4589999999998</v>
      </c>
      <c r="H1115" s="37">
        <v>80</v>
      </c>
      <c r="I1115" s="14">
        <f>ROUNDDOWN(Cereal[[#This Row],[N° BOLSAS]]/Cereal[[#This Row],[CAP. SACOS]],0)</f>
        <v>86</v>
      </c>
      <c r="J1115" s="14">
        <f>Cereal[[#This Row],[N° BOLSAS]]-Cereal[[#This Row],[N° SACOS]]*Cereal[[#This Row],[CAP. SACOS]]</f>
        <v>18.917999999999665</v>
      </c>
      <c r="K1115" s="16">
        <v>46055</v>
      </c>
      <c r="L1115" s="16">
        <v>46055</v>
      </c>
      <c r="M1115" s="16">
        <v>46055</v>
      </c>
      <c r="N1115" s="16" t="s">
        <v>356</v>
      </c>
    </row>
    <row r="1116" spans="1:14" hidden="1" x14ac:dyDescent="0.25">
      <c r="A1116" s="14" t="s">
        <v>14</v>
      </c>
      <c r="B1116" s="14" t="s">
        <v>355</v>
      </c>
      <c r="C1116" s="15" t="s">
        <v>37</v>
      </c>
      <c r="D1116" s="16">
        <v>46111</v>
      </c>
      <c r="E1116" s="17">
        <f>3449.459*2</f>
        <v>6898.9179999999997</v>
      </c>
      <c r="F1116" s="18">
        <v>0.5</v>
      </c>
      <c r="G1116" s="19">
        <f>Cereal[[#This Row],[N° BOLSAS]]*Cereal[[#This Row],[KG BOLSA]]</f>
        <v>3449.4589999999998</v>
      </c>
      <c r="H1116" s="37">
        <v>80</v>
      </c>
      <c r="I1116" s="14">
        <f>ROUNDDOWN(Cereal[[#This Row],[N° BOLSAS]]/Cereal[[#This Row],[CAP. SACOS]],0)</f>
        <v>86</v>
      </c>
      <c r="J1116" s="14">
        <f>Cereal[[#This Row],[N° BOLSAS]]-Cereal[[#This Row],[N° SACOS]]*Cereal[[#This Row],[CAP. SACOS]]</f>
        <v>18.917999999999665</v>
      </c>
      <c r="K1116" s="16">
        <v>46109</v>
      </c>
      <c r="L1116" s="16">
        <v>46109</v>
      </c>
      <c r="M1116" s="16">
        <v>46110</v>
      </c>
      <c r="N1116" s="16" t="s">
        <v>356</v>
      </c>
    </row>
    <row r="1117" spans="1:14" ht="22.5" hidden="1" x14ac:dyDescent="0.25">
      <c r="A1117" s="14" t="s">
        <v>14</v>
      </c>
      <c r="B1117" s="14" t="s">
        <v>355</v>
      </c>
      <c r="C1117" s="15" t="s">
        <v>38</v>
      </c>
      <c r="D1117" s="16">
        <v>46197</v>
      </c>
      <c r="E1117" s="17">
        <f>3449.459*2</f>
        <v>6898.9179999999997</v>
      </c>
      <c r="F1117" s="18">
        <v>0.5</v>
      </c>
      <c r="G1117" s="19">
        <f>Cereal[[#This Row],[N° BOLSAS]]*Cereal[[#This Row],[KG BOLSA]]</f>
        <v>3449.4589999999998</v>
      </c>
      <c r="H1117" s="37">
        <v>80</v>
      </c>
      <c r="I1117" s="14">
        <f>ROUNDDOWN(Cereal[[#This Row],[N° BOLSAS]]/Cereal[[#This Row],[CAP. SACOS]],0)</f>
        <v>86</v>
      </c>
      <c r="J1117" s="14">
        <f>Cereal[[#This Row],[N° BOLSAS]]-Cereal[[#This Row],[N° SACOS]]*Cereal[[#This Row],[CAP. SACOS]]</f>
        <v>18.917999999999665</v>
      </c>
      <c r="K1117" s="16">
        <v>46194</v>
      </c>
      <c r="L1117" s="16">
        <v>46194</v>
      </c>
      <c r="M1117" s="16">
        <v>46195</v>
      </c>
      <c r="N1117" s="16" t="s">
        <v>356</v>
      </c>
    </row>
    <row r="1118" spans="1:14" hidden="1" x14ac:dyDescent="0.25">
      <c r="A1118" s="14" t="s">
        <v>14</v>
      </c>
      <c r="B1118" s="14" t="s">
        <v>355</v>
      </c>
      <c r="C1118" s="15" t="s">
        <v>30</v>
      </c>
      <c r="D1118" s="16">
        <v>46214</v>
      </c>
      <c r="E1118" s="17">
        <v>5572</v>
      </c>
      <c r="F1118" s="18">
        <v>0.5</v>
      </c>
      <c r="G1118" s="19">
        <f>Cereal[[#This Row],[N° BOLSAS]]*Cereal[[#This Row],[KG BOLSA]]</f>
        <v>2786</v>
      </c>
      <c r="H1118" s="37">
        <v>80</v>
      </c>
      <c r="I1118" s="14">
        <f>ROUNDDOWN(Cereal[[#This Row],[N° BOLSAS]]/Cereal[[#This Row],[CAP. SACOS]],0)</f>
        <v>69</v>
      </c>
      <c r="J1118" s="14">
        <f>Cereal[[#This Row],[N° BOLSAS]]-Cereal[[#This Row],[N° SACOS]]*Cereal[[#This Row],[CAP. SACOS]]</f>
        <v>52</v>
      </c>
      <c r="K1118" s="16">
        <v>46210</v>
      </c>
      <c r="L1118" s="16">
        <v>46210</v>
      </c>
      <c r="M1118" s="16">
        <v>46210</v>
      </c>
      <c r="N1118" s="16" t="s">
        <v>356</v>
      </c>
    </row>
    <row r="1119" spans="1:14" ht="33.75" hidden="1" x14ac:dyDescent="0.25">
      <c r="A1119" s="14" t="s">
        <v>14</v>
      </c>
      <c r="B1119" s="14" t="s">
        <v>355</v>
      </c>
      <c r="C1119" s="15" t="s">
        <v>39</v>
      </c>
      <c r="D1119" s="16">
        <v>46293</v>
      </c>
      <c r="E1119" s="17">
        <f>3449.459*2</f>
        <v>6898.9179999999997</v>
      </c>
      <c r="F1119" s="18">
        <v>0.5</v>
      </c>
      <c r="G1119" s="19">
        <f>Cereal[[#This Row],[N° BOLSAS]]*Cereal[[#This Row],[KG BOLSA]]</f>
        <v>3449.4589999999998</v>
      </c>
      <c r="H1119" s="37">
        <v>80</v>
      </c>
      <c r="I1119" s="14">
        <f>ROUNDDOWN(Cereal[[#This Row],[N° BOLSAS]]/Cereal[[#This Row],[CAP. SACOS]],0)</f>
        <v>86</v>
      </c>
      <c r="J1119" s="14">
        <f>Cereal[[#This Row],[N° BOLSAS]]-Cereal[[#This Row],[N° SACOS]]*Cereal[[#This Row],[CAP. SACOS]]</f>
        <v>18.917999999999665</v>
      </c>
      <c r="K1119" s="16"/>
      <c r="L1119" s="16"/>
      <c r="M1119" s="16"/>
      <c r="N1119" s="16" t="s">
        <v>356</v>
      </c>
    </row>
    <row r="1120" spans="1:14" ht="22.5" hidden="1" x14ac:dyDescent="0.25">
      <c r="A1120" s="14" t="s">
        <v>193</v>
      </c>
      <c r="B1120" s="14" t="s">
        <v>357</v>
      </c>
      <c r="C1120" s="15" t="s">
        <v>35</v>
      </c>
      <c r="D1120" s="16">
        <v>46016</v>
      </c>
      <c r="E1120" s="17">
        <v>1316.13</v>
      </c>
      <c r="F1120" s="18">
        <v>1</v>
      </c>
      <c r="G1120" s="19">
        <f>Cereal[[#This Row],[N° BOLSAS]]*Cereal[[#This Row],[KG BOLSA]]</f>
        <v>1316.13</v>
      </c>
      <c r="H1120" s="37">
        <v>40</v>
      </c>
      <c r="I1120" s="14">
        <f>ROUNDDOWN(Cereal[[#This Row],[N° BOLSAS]]/Cereal[[#This Row],[CAP. SACOS]],0)</f>
        <v>32</v>
      </c>
      <c r="J1120" s="14">
        <f>Cereal[[#This Row],[N° BOLSAS]]-Cereal[[#This Row],[N° SACOS]]*Cereal[[#This Row],[CAP. SACOS]]</f>
        <v>36.130000000000109</v>
      </c>
      <c r="K1120" s="16">
        <v>46012</v>
      </c>
      <c r="L1120" s="16">
        <v>46012</v>
      </c>
      <c r="M1120" s="16">
        <v>46056</v>
      </c>
      <c r="N1120" s="16" t="s">
        <v>358</v>
      </c>
    </row>
    <row r="1121" spans="1:14" hidden="1" x14ac:dyDescent="0.25">
      <c r="A1121" s="14" t="s">
        <v>193</v>
      </c>
      <c r="B1121" s="14" t="s">
        <v>357</v>
      </c>
      <c r="C1121" s="15" t="s">
        <v>37</v>
      </c>
      <c r="D1121" s="16">
        <v>46108</v>
      </c>
      <c r="E1121" s="17">
        <v>1316.13</v>
      </c>
      <c r="F1121" s="18">
        <v>1</v>
      </c>
      <c r="G1121" s="19">
        <f>Cereal[[#This Row],[N° BOLSAS]]*Cereal[[#This Row],[KG BOLSA]]</f>
        <v>1316.13</v>
      </c>
      <c r="H1121" s="37">
        <v>40</v>
      </c>
      <c r="I1121" s="14">
        <f>ROUNDDOWN(Cereal[[#This Row],[N° BOLSAS]]/Cereal[[#This Row],[CAP. SACOS]],0)</f>
        <v>32</v>
      </c>
      <c r="J1121" s="14">
        <f>Cereal[[#This Row],[N° BOLSAS]]-Cereal[[#This Row],[N° SACOS]]*Cereal[[#This Row],[CAP. SACOS]]</f>
        <v>36.130000000000109</v>
      </c>
      <c r="K1121" s="16">
        <v>46086</v>
      </c>
      <c r="L1121" s="16">
        <v>46086</v>
      </c>
      <c r="M1121" s="16">
        <v>46093</v>
      </c>
      <c r="N1121" s="16" t="s">
        <v>358</v>
      </c>
    </row>
    <row r="1122" spans="1:14" ht="22.5" hidden="1" x14ac:dyDescent="0.25">
      <c r="A1122" s="14" t="s">
        <v>193</v>
      </c>
      <c r="B1122" s="14" t="s">
        <v>357</v>
      </c>
      <c r="C1122" s="15" t="s">
        <v>38</v>
      </c>
      <c r="D1122" s="16">
        <v>46198</v>
      </c>
      <c r="E1122" s="17">
        <v>1316.13</v>
      </c>
      <c r="F1122" s="18">
        <v>1</v>
      </c>
      <c r="G1122" s="19">
        <f>Cereal[[#This Row],[N° BOLSAS]]*Cereal[[#This Row],[KG BOLSA]]</f>
        <v>1316.13</v>
      </c>
      <c r="H1122" s="37">
        <v>40</v>
      </c>
      <c r="I1122" s="14">
        <f>ROUNDDOWN(Cereal[[#This Row],[N° BOLSAS]]/Cereal[[#This Row],[CAP. SACOS]],0)</f>
        <v>32</v>
      </c>
      <c r="J1122" s="14">
        <f>Cereal[[#This Row],[N° BOLSAS]]-Cereal[[#This Row],[N° SACOS]]*Cereal[[#This Row],[CAP. SACOS]]</f>
        <v>36.130000000000109</v>
      </c>
      <c r="K1122" s="16">
        <v>46169</v>
      </c>
      <c r="L1122" s="16">
        <v>46169</v>
      </c>
      <c r="M1122" s="16">
        <v>46199</v>
      </c>
      <c r="N1122" s="16" t="s">
        <v>358</v>
      </c>
    </row>
    <row r="1123" spans="1:14" ht="33.75" hidden="1" x14ac:dyDescent="0.25">
      <c r="A1123" s="14" t="s">
        <v>193</v>
      </c>
      <c r="B1123" s="14" t="s">
        <v>357</v>
      </c>
      <c r="C1123" s="15" t="s">
        <v>39</v>
      </c>
      <c r="D1123" s="16">
        <v>46288</v>
      </c>
      <c r="E1123" s="17">
        <v>1316.13</v>
      </c>
      <c r="F1123" s="18">
        <v>1</v>
      </c>
      <c r="G1123" s="19">
        <f>Cereal[[#This Row],[N° BOLSAS]]*Cereal[[#This Row],[KG BOLSA]]</f>
        <v>1316.13</v>
      </c>
      <c r="H1123" s="37">
        <v>40</v>
      </c>
      <c r="I1123" s="14">
        <f>ROUNDDOWN(Cereal[[#This Row],[N° BOLSAS]]/Cereal[[#This Row],[CAP. SACOS]],0)</f>
        <v>32</v>
      </c>
      <c r="J1123" s="14">
        <f>Cereal[[#This Row],[N° BOLSAS]]-Cereal[[#This Row],[N° SACOS]]*Cereal[[#This Row],[CAP. SACOS]]</f>
        <v>36.130000000000109</v>
      </c>
      <c r="K1123" s="16">
        <v>46282</v>
      </c>
      <c r="L1123" s="16">
        <v>46282</v>
      </c>
      <c r="M1123" s="16"/>
      <c r="N1123" s="16" t="s">
        <v>358</v>
      </c>
    </row>
    <row r="1124" spans="1:14" hidden="1" x14ac:dyDescent="0.25">
      <c r="A1124" s="14" t="s">
        <v>14</v>
      </c>
      <c r="B1124" s="14" t="s">
        <v>359</v>
      </c>
      <c r="C1124" s="15" t="s">
        <v>19</v>
      </c>
      <c r="D1124" s="16">
        <v>46110</v>
      </c>
      <c r="E1124" s="17">
        <v>6230</v>
      </c>
      <c r="F1124" s="18">
        <v>0.70399999999999996</v>
      </c>
      <c r="G1124" s="19">
        <f>Cereal[[#This Row],[N° BOLSAS]]*Cereal[[#This Row],[KG BOLSA]]</f>
        <v>4385.92</v>
      </c>
      <c r="H1124" s="37">
        <v>55</v>
      </c>
      <c r="I1124" s="14">
        <f>ROUNDDOWN(Cereal[[#This Row],[N° BOLSAS]]/Cereal[[#This Row],[CAP. SACOS]],0)</f>
        <v>113</v>
      </c>
      <c r="J1124" s="14">
        <f>Cereal[[#This Row],[N° BOLSAS]]-Cereal[[#This Row],[N° SACOS]]*Cereal[[#This Row],[CAP. SACOS]]</f>
        <v>15</v>
      </c>
      <c r="K1124" s="16">
        <v>46111</v>
      </c>
      <c r="L1124" s="16">
        <v>46111</v>
      </c>
      <c r="M1124" s="16">
        <v>46111</v>
      </c>
      <c r="N1124" s="16" t="s">
        <v>360</v>
      </c>
    </row>
    <row r="1125" spans="1:14" hidden="1" x14ac:dyDescent="0.25">
      <c r="A1125" s="14" t="s">
        <v>14</v>
      </c>
      <c r="B1125" s="14" t="s">
        <v>359</v>
      </c>
      <c r="C1125" s="15" t="s">
        <v>20</v>
      </c>
      <c r="D1125" s="16">
        <v>46110</v>
      </c>
      <c r="E1125" s="17">
        <v>6230</v>
      </c>
      <c r="F1125" s="18">
        <v>0.70399999999999996</v>
      </c>
      <c r="G1125" s="19">
        <f>Cereal[[#This Row],[N° BOLSAS]]*Cereal[[#This Row],[KG BOLSA]]</f>
        <v>4385.92</v>
      </c>
      <c r="H1125" s="37">
        <v>55</v>
      </c>
      <c r="I1125" s="14">
        <f>ROUNDDOWN(Cereal[[#This Row],[N° BOLSAS]]/Cereal[[#This Row],[CAP. SACOS]],0)</f>
        <v>113</v>
      </c>
      <c r="J1125" s="14">
        <f>Cereal[[#This Row],[N° BOLSAS]]-Cereal[[#This Row],[N° SACOS]]*Cereal[[#This Row],[CAP. SACOS]]</f>
        <v>15</v>
      </c>
      <c r="K1125" s="16">
        <v>46111</v>
      </c>
      <c r="L1125" s="16">
        <v>46111</v>
      </c>
      <c r="M1125" s="16">
        <v>46111</v>
      </c>
      <c r="N1125" s="16" t="s">
        <v>360</v>
      </c>
    </row>
    <row r="1126" spans="1:14" hidden="1" x14ac:dyDescent="0.25">
      <c r="A1126" s="14" t="s">
        <v>14</v>
      </c>
      <c r="B1126" s="14" t="s">
        <v>359</v>
      </c>
      <c r="C1126" s="15" t="s">
        <v>21</v>
      </c>
      <c r="D1126" s="16">
        <v>46132</v>
      </c>
      <c r="E1126" s="17">
        <v>6230</v>
      </c>
      <c r="F1126" s="18">
        <v>0.70399999999999996</v>
      </c>
      <c r="G1126" s="19">
        <f>Cereal[[#This Row],[N° BOLSAS]]*Cereal[[#This Row],[KG BOLSA]]</f>
        <v>4385.92</v>
      </c>
      <c r="H1126" s="37">
        <v>55</v>
      </c>
      <c r="I1126" s="14">
        <f>ROUNDDOWN(Cereal[[#This Row],[N° BOLSAS]]/Cereal[[#This Row],[CAP. SACOS]],0)</f>
        <v>113</v>
      </c>
      <c r="J1126" s="14">
        <f>Cereal[[#This Row],[N° BOLSAS]]-Cereal[[#This Row],[N° SACOS]]*Cereal[[#This Row],[CAP. SACOS]]</f>
        <v>15</v>
      </c>
      <c r="K1126" s="16">
        <v>46124</v>
      </c>
      <c r="L1126" s="16">
        <v>46124</v>
      </c>
      <c r="M1126" s="16">
        <v>46125</v>
      </c>
      <c r="N1126" s="16" t="s">
        <v>360</v>
      </c>
    </row>
    <row r="1127" spans="1:14" hidden="1" x14ac:dyDescent="0.25">
      <c r="A1127" s="14" t="s">
        <v>14</v>
      </c>
      <c r="B1127" s="14" t="s">
        <v>359</v>
      </c>
      <c r="C1127" s="15" t="s">
        <v>22</v>
      </c>
      <c r="D1127" s="16">
        <v>46160</v>
      </c>
      <c r="E1127" s="17">
        <v>6230</v>
      </c>
      <c r="F1127" s="18">
        <v>0.70399999999999996</v>
      </c>
      <c r="G1127" s="19">
        <f>Cereal[[#This Row],[N° BOLSAS]]*Cereal[[#This Row],[KG BOLSA]]</f>
        <v>4385.92</v>
      </c>
      <c r="H1127" s="37">
        <v>55</v>
      </c>
      <c r="I1127" s="14">
        <f>ROUNDDOWN(Cereal[[#This Row],[N° BOLSAS]]/Cereal[[#This Row],[CAP. SACOS]],0)</f>
        <v>113</v>
      </c>
      <c r="J1127" s="14">
        <f>Cereal[[#This Row],[N° BOLSAS]]-Cereal[[#This Row],[N° SACOS]]*Cereal[[#This Row],[CAP. SACOS]]</f>
        <v>15</v>
      </c>
      <c r="K1127" s="16">
        <v>46153</v>
      </c>
      <c r="L1127" s="16">
        <v>46153</v>
      </c>
      <c r="M1127" s="16">
        <v>46154</v>
      </c>
      <c r="N1127" s="16" t="s">
        <v>360</v>
      </c>
    </row>
    <row r="1128" spans="1:14" hidden="1" x14ac:dyDescent="0.25">
      <c r="A1128" s="14" t="s">
        <v>14</v>
      </c>
      <c r="B1128" s="14" t="s">
        <v>359</v>
      </c>
      <c r="C1128" s="15" t="s">
        <v>23</v>
      </c>
      <c r="D1128" s="16">
        <v>46188</v>
      </c>
      <c r="E1128" s="17">
        <v>6230</v>
      </c>
      <c r="F1128" s="18">
        <v>0.70399999999999996</v>
      </c>
      <c r="G1128" s="19">
        <f>Cereal[[#This Row],[N° BOLSAS]]*Cereal[[#This Row],[KG BOLSA]]</f>
        <v>4385.92</v>
      </c>
      <c r="H1128" s="37">
        <v>55</v>
      </c>
      <c r="I1128" s="14">
        <f>ROUNDDOWN(Cereal[[#This Row],[N° BOLSAS]]/Cereal[[#This Row],[CAP. SACOS]],0)</f>
        <v>113</v>
      </c>
      <c r="J1128" s="14">
        <f>Cereal[[#This Row],[N° BOLSAS]]-Cereal[[#This Row],[N° SACOS]]*Cereal[[#This Row],[CAP. SACOS]]</f>
        <v>15</v>
      </c>
      <c r="K1128" s="16">
        <v>46185</v>
      </c>
      <c r="L1128" s="16">
        <v>46185</v>
      </c>
      <c r="M1128" s="16">
        <v>46189</v>
      </c>
      <c r="N1128" s="16" t="s">
        <v>360</v>
      </c>
    </row>
    <row r="1129" spans="1:14" hidden="1" x14ac:dyDescent="0.25">
      <c r="A1129" s="14" t="s">
        <v>14</v>
      </c>
      <c r="B1129" s="14" t="s">
        <v>359</v>
      </c>
      <c r="C1129" s="15" t="s">
        <v>24</v>
      </c>
      <c r="D1129" s="16">
        <v>46223</v>
      </c>
      <c r="E1129" s="17">
        <v>6230</v>
      </c>
      <c r="F1129" s="18">
        <v>0.70399999999999996</v>
      </c>
      <c r="G1129" s="19">
        <f>Cereal[[#This Row],[N° BOLSAS]]*Cereal[[#This Row],[KG BOLSA]]</f>
        <v>4385.92</v>
      </c>
      <c r="H1129" s="37">
        <v>55</v>
      </c>
      <c r="I1129" s="14">
        <f>ROUNDDOWN(Cereal[[#This Row],[N° BOLSAS]]/Cereal[[#This Row],[CAP. SACOS]],0)</f>
        <v>113</v>
      </c>
      <c r="J1129" s="14">
        <f>Cereal[[#This Row],[N° BOLSAS]]-Cereal[[#This Row],[N° SACOS]]*Cereal[[#This Row],[CAP. SACOS]]</f>
        <v>15</v>
      </c>
      <c r="K1129" s="16">
        <v>46221</v>
      </c>
      <c r="L1129" s="16">
        <v>46221</v>
      </c>
      <c r="M1129" s="16">
        <v>46226</v>
      </c>
      <c r="N1129" s="16" t="s">
        <v>360</v>
      </c>
    </row>
    <row r="1130" spans="1:14" hidden="1" x14ac:dyDescent="0.25">
      <c r="A1130" s="14" t="s">
        <v>14</v>
      </c>
      <c r="B1130" s="14" t="s">
        <v>359</v>
      </c>
      <c r="C1130" s="15" t="s">
        <v>25</v>
      </c>
      <c r="D1130" s="16">
        <v>46251</v>
      </c>
      <c r="E1130" s="17">
        <v>6230</v>
      </c>
      <c r="F1130" s="18">
        <v>0.70399999999999996</v>
      </c>
      <c r="G1130" s="19">
        <f>Cereal[[#This Row],[N° BOLSAS]]*Cereal[[#This Row],[KG BOLSA]]</f>
        <v>4385.92</v>
      </c>
      <c r="H1130" s="37">
        <v>55</v>
      </c>
      <c r="I1130" s="14">
        <f>ROUNDDOWN(Cereal[[#This Row],[N° BOLSAS]]/Cereal[[#This Row],[CAP. SACOS]],0)</f>
        <v>113</v>
      </c>
      <c r="J1130" s="14">
        <f>Cereal[[#This Row],[N° BOLSAS]]-Cereal[[#This Row],[N° SACOS]]*Cereal[[#This Row],[CAP. SACOS]]</f>
        <v>15</v>
      </c>
      <c r="K1130" s="16">
        <v>46251</v>
      </c>
      <c r="L1130" s="16">
        <v>46251</v>
      </c>
      <c r="M1130" s="16">
        <v>46251</v>
      </c>
      <c r="N1130" s="16" t="s">
        <v>360</v>
      </c>
    </row>
    <row r="1131" spans="1:14" hidden="1" x14ac:dyDescent="0.25">
      <c r="A1131" s="14" t="s">
        <v>14</v>
      </c>
      <c r="B1131" s="14" t="s">
        <v>359</v>
      </c>
      <c r="C1131" s="15" t="s">
        <v>26</v>
      </c>
      <c r="D1131" s="16">
        <v>46251</v>
      </c>
      <c r="E1131" s="17">
        <v>6230</v>
      </c>
      <c r="F1131" s="18">
        <v>0.70399999999999996</v>
      </c>
      <c r="G1131" s="19">
        <f>Cereal[[#This Row],[N° BOLSAS]]*Cereal[[#This Row],[KG BOLSA]]</f>
        <v>4385.92</v>
      </c>
      <c r="H1131" s="37">
        <v>55</v>
      </c>
      <c r="I1131" s="14">
        <f>ROUNDDOWN(Cereal[[#This Row],[N° BOLSAS]]/Cereal[[#This Row],[CAP. SACOS]],0)</f>
        <v>113</v>
      </c>
      <c r="J1131" s="14">
        <f>Cereal[[#This Row],[N° BOLSAS]]-Cereal[[#This Row],[N° SACOS]]*Cereal[[#This Row],[CAP. SACOS]]</f>
        <v>15</v>
      </c>
      <c r="K1131" s="16">
        <v>46275</v>
      </c>
      <c r="L1131" s="16">
        <v>46275</v>
      </c>
      <c r="M1131" s="16">
        <v>46278</v>
      </c>
      <c r="N1131" s="16" t="s">
        <v>360</v>
      </c>
    </row>
    <row r="1132" spans="1:14" hidden="1" x14ac:dyDescent="0.25">
      <c r="A1132" s="14" t="s">
        <v>14</v>
      </c>
      <c r="B1132" s="14" t="s">
        <v>359</v>
      </c>
      <c r="C1132" s="15" t="s">
        <v>27</v>
      </c>
      <c r="D1132" s="16">
        <v>46314</v>
      </c>
      <c r="E1132" s="17">
        <v>6230</v>
      </c>
      <c r="F1132" s="18">
        <v>0.70399999999999996</v>
      </c>
      <c r="G1132" s="19">
        <f>Cereal[[#This Row],[N° BOLSAS]]*Cereal[[#This Row],[KG BOLSA]]</f>
        <v>4385.92</v>
      </c>
      <c r="H1132" s="37">
        <v>55</v>
      </c>
      <c r="I1132" s="14">
        <f>ROUNDDOWN(Cereal[[#This Row],[N° BOLSAS]]/Cereal[[#This Row],[CAP. SACOS]],0)</f>
        <v>113</v>
      </c>
      <c r="J1132" s="14">
        <f>Cereal[[#This Row],[N° BOLSAS]]-Cereal[[#This Row],[N° SACOS]]*Cereal[[#This Row],[CAP. SACOS]]</f>
        <v>15</v>
      </c>
      <c r="K1132" s="16"/>
      <c r="L1132" s="16"/>
      <c r="M1132" s="16"/>
      <c r="N1132" s="16" t="s">
        <v>360</v>
      </c>
    </row>
    <row r="1133" spans="1:14" hidden="1" x14ac:dyDescent="0.25">
      <c r="A1133" s="14" t="s">
        <v>14</v>
      </c>
      <c r="B1133" s="14" t="s">
        <v>359</v>
      </c>
      <c r="C1133" s="15" t="s">
        <v>28</v>
      </c>
      <c r="D1133" s="16">
        <v>46341</v>
      </c>
      <c r="E1133" s="17">
        <v>6230</v>
      </c>
      <c r="F1133" s="18">
        <v>0.70399999999999996</v>
      </c>
      <c r="G1133" s="19">
        <f>Cereal[[#This Row],[N° BOLSAS]]*Cereal[[#This Row],[KG BOLSA]]</f>
        <v>4385.92</v>
      </c>
      <c r="H1133" s="37">
        <v>55</v>
      </c>
      <c r="I1133" s="14">
        <f>ROUNDDOWN(Cereal[[#This Row],[N° BOLSAS]]/Cereal[[#This Row],[CAP. SACOS]],0)</f>
        <v>113</v>
      </c>
      <c r="J1133" s="14">
        <f>Cereal[[#This Row],[N° BOLSAS]]-Cereal[[#This Row],[N° SACOS]]*Cereal[[#This Row],[CAP. SACOS]]</f>
        <v>15</v>
      </c>
      <c r="K1133" s="16"/>
      <c r="L1133" s="16"/>
      <c r="M1133" s="16"/>
      <c r="N1133" s="16" t="s">
        <v>360</v>
      </c>
    </row>
    <row r="1134" spans="1:14" hidden="1" x14ac:dyDescent="0.25">
      <c r="A1134" s="14" t="s">
        <v>14</v>
      </c>
      <c r="B1134" s="14" t="s">
        <v>361</v>
      </c>
      <c r="C1134" s="15" t="s">
        <v>30</v>
      </c>
      <c r="D1134" s="16">
        <v>46068</v>
      </c>
      <c r="E1134" s="17">
        <v>12056</v>
      </c>
      <c r="F1134" s="18">
        <v>0.65</v>
      </c>
      <c r="G1134" s="19">
        <f>Cereal[[#This Row],[N° BOLSAS]]*Cereal[[#This Row],[KG BOLSA]]</f>
        <v>7836.4000000000005</v>
      </c>
      <c r="H1134" s="37">
        <v>60</v>
      </c>
      <c r="I1134" s="14">
        <f>ROUNDDOWN(Cereal[[#This Row],[N° BOLSAS]]/Cereal[[#This Row],[CAP. SACOS]],0)</f>
        <v>200</v>
      </c>
      <c r="J1134" s="14">
        <f>Cereal[[#This Row],[N° BOLSAS]]-Cereal[[#This Row],[N° SACOS]]*Cereal[[#This Row],[CAP. SACOS]]</f>
        <v>56</v>
      </c>
      <c r="K1134" s="16">
        <v>46057</v>
      </c>
      <c r="L1134" s="16">
        <v>46057</v>
      </c>
      <c r="M1134" s="16">
        <v>46058</v>
      </c>
      <c r="N1134" s="16" t="s">
        <v>106</v>
      </c>
    </row>
    <row r="1135" spans="1:14" hidden="1" x14ac:dyDescent="0.25">
      <c r="A1135" s="14" t="s">
        <v>14</v>
      </c>
      <c r="B1135" s="14" t="s">
        <v>362</v>
      </c>
      <c r="C1135" s="15" t="s">
        <v>363</v>
      </c>
      <c r="D1135" s="16">
        <v>46137</v>
      </c>
      <c r="E1135" s="17">
        <v>229</v>
      </c>
      <c r="F1135" s="18">
        <v>1</v>
      </c>
      <c r="G1135" s="19">
        <f>Cereal[[#This Row],[N° BOLSAS]]*Cereal[[#This Row],[KG BOLSA]]</f>
        <v>229</v>
      </c>
      <c r="H1135" s="37">
        <v>40</v>
      </c>
      <c r="I1135" s="14">
        <f>ROUNDDOWN(Cereal[[#This Row],[N° BOLSAS]]/Cereal[[#This Row],[CAP. SACOS]],0)</f>
        <v>5</v>
      </c>
      <c r="J1135" s="14">
        <f>Cereal[[#This Row],[N° BOLSAS]]-Cereal[[#This Row],[N° SACOS]]*Cereal[[#This Row],[CAP. SACOS]]</f>
        <v>29</v>
      </c>
      <c r="K1135" s="16">
        <v>46135</v>
      </c>
      <c r="L1135" s="16">
        <v>46135</v>
      </c>
      <c r="M1135" s="16">
        <v>46136</v>
      </c>
      <c r="N1135" s="16" t="s">
        <v>364</v>
      </c>
    </row>
    <row r="1136" spans="1:14" hidden="1" x14ac:dyDescent="0.25">
      <c r="A1136" s="14" t="s">
        <v>14</v>
      </c>
      <c r="B1136" s="14" t="s">
        <v>362</v>
      </c>
      <c r="C1136" s="15" t="s">
        <v>365</v>
      </c>
      <c r="D1136" s="16">
        <v>46186</v>
      </c>
      <c r="E1136" s="17">
        <v>46</v>
      </c>
      <c r="F1136" s="18">
        <v>1</v>
      </c>
      <c r="G1136" s="19">
        <f>Cereal[[#This Row],[N° BOLSAS]]*Cereal[[#This Row],[KG BOLSA]]</f>
        <v>46</v>
      </c>
      <c r="H1136" s="37">
        <v>40</v>
      </c>
      <c r="I1136" s="14">
        <f>ROUNDDOWN(Cereal[[#This Row],[N° BOLSAS]]/Cereal[[#This Row],[CAP. SACOS]],0)</f>
        <v>1</v>
      </c>
      <c r="J1136" s="14">
        <f>Cereal[[#This Row],[N° BOLSAS]]-Cereal[[#This Row],[N° SACOS]]*Cereal[[#This Row],[CAP. SACOS]]</f>
        <v>6</v>
      </c>
      <c r="K1136" s="16">
        <v>46190</v>
      </c>
      <c r="L1136" s="16">
        <v>46190</v>
      </c>
      <c r="M1136" s="16">
        <v>46192</v>
      </c>
      <c r="N1136" s="16" t="s">
        <v>364</v>
      </c>
    </row>
    <row r="1137" spans="1:14" hidden="1" x14ac:dyDescent="0.25">
      <c r="A1137" s="14" t="s">
        <v>14</v>
      </c>
      <c r="B1137" s="14" t="s">
        <v>366</v>
      </c>
      <c r="C1137" s="15" t="s">
        <v>363</v>
      </c>
      <c r="D1137" s="16">
        <v>46137</v>
      </c>
      <c r="E1137" s="17">
        <v>189</v>
      </c>
      <c r="F1137" s="18">
        <v>1</v>
      </c>
      <c r="G1137" s="19">
        <f>Cereal[[#This Row],[N° BOLSAS]]*Cereal[[#This Row],[KG BOLSA]]</f>
        <v>189</v>
      </c>
      <c r="H1137" s="37">
        <v>40</v>
      </c>
      <c r="I1137" s="14">
        <f>ROUNDDOWN(Cereal[[#This Row],[N° BOLSAS]]/Cereal[[#This Row],[CAP. SACOS]],0)</f>
        <v>4</v>
      </c>
      <c r="J1137" s="14">
        <f>Cereal[[#This Row],[N° BOLSAS]]-Cereal[[#This Row],[N° SACOS]]*Cereal[[#This Row],[CAP. SACOS]]</f>
        <v>29</v>
      </c>
      <c r="K1137" s="16">
        <v>46135</v>
      </c>
      <c r="L1137" s="16">
        <v>46135</v>
      </c>
      <c r="M1137" s="16">
        <v>46136</v>
      </c>
      <c r="N1137" s="16" t="s">
        <v>367</v>
      </c>
    </row>
    <row r="1138" spans="1:14" hidden="1" x14ac:dyDescent="0.25">
      <c r="A1138" s="14" t="s">
        <v>14</v>
      </c>
      <c r="B1138" s="14" t="s">
        <v>366</v>
      </c>
      <c r="C1138" s="15" t="s">
        <v>365</v>
      </c>
      <c r="D1138" s="16">
        <v>46186</v>
      </c>
      <c r="E1138" s="17">
        <v>192</v>
      </c>
      <c r="F1138" s="18">
        <v>1</v>
      </c>
      <c r="G1138" s="19">
        <f>Cereal[[#This Row],[N° BOLSAS]]*Cereal[[#This Row],[KG BOLSA]]</f>
        <v>192</v>
      </c>
      <c r="H1138" s="37">
        <v>40</v>
      </c>
      <c r="I1138" s="14">
        <f>ROUNDDOWN(Cereal[[#This Row],[N° BOLSAS]]/Cereal[[#This Row],[CAP. SACOS]],0)</f>
        <v>4</v>
      </c>
      <c r="J1138" s="14">
        <f>Cereal[[#This Row],[N° BOLSAS]]-Cereal[[#This Row],[N° SACOS]]*Cereal[[#This Row],[CAP. SACOS]]</f>
        <v>32</v>
      </c>
      <c r="K1138" s="16">
        <v>46190</v>
      </c>
      <c r="L1138" s="16">
        <v>46190</v>
      </c>
      <c r="M1138" s="16">
        <v>46192</v>
      </c>
      <c r="N1138" s="16" t="s">
        <v>367</v>
      </c>
    </row>
    <row r="1139" spans="1:14" hidden="1" x14ac:dyDescent="0.25">
      <c r="A1139" s="14" t="s">
        <v>14</v>
      </c>
      <c r="B1139" s="14" t="s">
        <v>368</v>
      </c>
      <c r="C1139" s="15" t="s">
        <v>363</v>
      </c>
      <c r="D1139" s="16">
        <v>46137</v>
      </c>
      <c r="E1139" s="17">
        <v>1509</v>
      </c>
      <c r="F1139" s="18">
        <v>1</v>
      </c>
      <c r="G1139" s="19">
        <f>Cereal[[#This Row],[N° BOLSAS]]*Cereal[[#This Row],[KG BOLSA]]</f>
        <v>1509</v>
      </c>
      <c r="H1139" s="37">
        <v>40</v>
      </c>
      <c r="I1139" s="14">
        <f>ROUNDDOWN(Cereal[[#This Row],[N° BOLSAS]]/Cereal[[#This Row],[CAP. SACOS]],0)</f>
        <v>37</v>
      </c>
      <c r="J1139" s="14">
        <f>Cereal[[#This Row],[N° BOLSAS]]-Cereal[[#This Row],[N° SACOS]]*Cereal[[#This Row],[CAP. SACOS]]</f>
        <v>29</v>
      </c>
      <c r="K1139" s="16">
        <v>46135</v>
      </c>
      <c r="L1139" s="16">
        <v>46135</v>
      </c>
      <c r="M1139" s="16">
        <v>46136</v>
      </c>
      <c r="N1139" s="16" t="s">
        <v>369</v>
      </c>
    </row>
    <row r="1140" spans="1:14" hidden="1" x14ac:dyDescent="0.25">
      <c r="A1140" s="14" t="s">
        <v>14</v>
      </c>
      <c r="B1140" s="14" t="s">
        <v>368</v>
      </c>
      <c r="C1140" s="15" t="s">
        <v>365</v>
      </c>
      <c r="D1140" s="16">
        <v>46186</v>
      </c>
      <c r="E1140" s="17">
        <v>4400</v>
      </c>
      <c r="F1140" s="18">
        <v>0.5</v>
      </c>
      <c r="G1140" s="19">
        <f>Cereal[[#This Row],[N° BOLSAS]]*Cereal[[#This Row],[KG BOLSA]]</f>
        <v>2200</v>
      </c>
      <c r="H1140" s="37">
        <v>80</v>
      </c>
      <c r="I1140" s="14">
        <f>ROUNDDOWN(Cereal[[#This Row],[N° BOLSAS]]/Cereal[[#This Row],[CAP. SACOS]],0)</f>
        <v>55</v>
      </c>
      <c r="J1140" s="14">
        <f>Cereal[[#This Row],[N° BOLSAS]]-Cereal[[#This Row],[N° SACOS]]*Cereal[[#This Row],[CAP. SACOS]]</f>
        <v>0</v>
      </c>
      <c r="K1140" s="16">
        <v>46190</v>
      </c>
      <c r="L1140" s="16">
        <v>46190</v>
      </c>
      <c r="M1140" s="16">
        <v>46192</v>
      </c>
      <c r="N1140" s="16" t="s">
        <v>369</v>
      </c>
    </row>
    <row r="1141" spans="1:14" hidden="1" x14ac:dyDescent="0.25">
      <c r="A1141" s="14" t="s">
        <v>14</v>
      </c>
      <c r="B1141" s="14" t="s">
        <v>370</v>
      </c>
      <c r="C1141" s="15" t="s">
        <v>371</v>
      </c>
      <c r="D1141" s="16">
        <v>46093</v>
      </c>
      <c r="E1141" s="17">
        <v>2502</v>
      </c>
      <c r="F1141" s="18">
        <v>0.5</v>
      </c>
      <c r="G1141" s="19">
        <f>Cereal[[#This Row],[N° BOLSAS]]*Cereal[[#This Row],[KG BOLSA]]</f>
        <v>1251</v>
      </c>
      <c r="H1141" s="37">
        <v>80</v>
      </c>
      <c r="I1141" s="14">
        <f>ROUNDDOWN(Cereal[[#This Row],[N° BOLSAS]]/Cereal[[#This Row],[CAP. SACOS]],0)</f>
        <v>31</v>
      </c>
      <c r="J1141" s="14">
        <f>Cereal[[#This Row],[N° BOLSAS]]-Cereal[[#This Row],[N° SACOS]]*Cereal[[#This Row],[CAP. SACOS]]</f>
        <v>22</v>
      </c>
      <c r="K1141" s="16">
        <v>46092</v>
      </c>
      <c r="L1141" s="16">
        <v>46092</v>
      </c>
      <c r="M1141" s="16">
        <v>46092</v>
      </c>
      <c r="N1141" s="16" t="s">
        <v>294</v>
      </c>
    </row>
    <row r="1142" spans="1:14" hidden="1" x14ac:dyDescent="0.25">
      <c r="A1142" s="14" t="s">
        <v>14</v>
      </c>
      <c r="B1142" s="14" t="s">
        <v>370</v>
      </c>
      <c r="C1142" s="15" t="s">
        <v>363</v>
      </c>
      <c r="D1142" s="16">
        <v>46137</v>
      </c>
      <c r="E1142" s="17">
        <v>1426</v>
      </c>
      <c r="F1142" s="18">
        <v>1</v>
      </c>
      <c r="G1142" s="19">
        <f>Cereal[[#This Row],[N° BOLSAS]]*Cereal[[#This Row],[KG BOLSA]]</f>
        <v>1426</v>
      </c>
      <c r="H1142" s="37">
        <v>40</v>
      </c>
      <c r="I1142" s="14">
        <f>ROUNDDOWN(Cereal[[#This Row],[N° BOLSAS]]/Cereal[[#This Row],[CAP. SACOS]],0)</f>
        <v>35</v>
      </c>
      <c r="J1142" s="14">
        <f>Cereal[[#This Row],[N° BOLSAS]]-Cereal[[#This Row],[N° SACOS]]*Cereal[[#This Row],[CAP. SACOS]]</f>
        <v>26</v>
      </c>
      <c r="K1142" s="16">
        <v>46135</v>
      </c>
      <c r="L1142" s="16">
        <v>46135</v>
      </c>
      <c r="M1142" s="16">
        <v>46136</v>
      </c>
      <c r="N1142" s="16" t="s">
        <v>372</v>
      </c>
    </row>
    <row r="1143" spans="1:14" hidden="1" x14ac:dyDescent="0.25">
      <c r="A1143" s="14" t="s">
        <v>14</v>
      </c>
      <c r="B1143" s="14" t="s">
        <v>373</v>
      </c>
      <c r="C1143" s="15" t="s">
        <v>374</v>
      </c>
      <c r="D1143" s="16">
        <v>46060</v>
      </c>
      <c r="E1143" s="17">
        <v>8400</v>
      </c>
      <c r="F1143" s="18">
        <v>0.5</v>
      </c>
      <c r="G1143" s="19">
        <f>Cereal[[#This Row],[N° BOLSAS]]*Cereal[[#This Row],[KG BOLSA]]</f>
        <v>4200</v>
      </c>
      <c r="H1143" s="37">
        <v>80</v>
      </c>
      <c r="I1143" s="14">
        <f>ROUNDDOWN(Cereal[[#This Row],[N° BOLSAS]]/Cereal[[#This Row],[CAP. SACOS]],0)</f>
        <v>105</v>
      </c>
      <c r="J1143" s="14">
        <f>Cereal[[#This Row],[N° BOLSAS]]-Cereal[[#This Row],[N° SACOS]]*Cereal[[#This Row],[CAP. SACOS]]</f>
        <v>0</v>
      </c>
      <c r="K1143" s="16">
        <v>46059</v>
      </c>
      <c r="L1143" s="16">
        <v>46059</v>
      </c>
      <c r="M1143" s="16">
        <v>46073</v>
      </c>
      <c r="N1143" s="16" t="s">
        <v>375</v>
      </c>
    </row>
    <row r="1144" spans="1:14" hidden="1" x14ac:dyDescent="0.25">
      <c r="A1144" s="14" t="s">
        <v>14</v>
      </c>
      <c r="B1144" s="14" t="s">
        <v>373</v>
      </c>
      <c r="C1144" s="15" t="s">
        <v>371</v>
      </c>
      <c r="D1144" s="16">
        <v>46093</v>
      </c>
      <c r="E1144" s="17">
        <v>6000</v>
      </c>
      <c r="F1144" s="18">
        <v>0.5</v>
      </c>
      <c r="G1144" s="19">
        <f>Cereal[[#This Row],[N° BOLSAS]]*Cereal[[#This Row],[KG BOLSA]]</f>
        <v>3000</v>
      </c>
      <c r="H1144" s="37">
        <v>80</v>
      </c>
      <c r="I1144" s="14">
        <f>ROUNDDOWN(Cereal[[#This Row],[N° BOLSAS]]/Cereal[[#This Row],[CAP. SACOS]],0)</f>
        <v>75</v>
      </c>
      <c r="J1144" s="14">
        <f>Cereal[[#This Row],[N° BOLSAS]]-Cereal[[#This Row],[N° SACOS]]*Cereal[[#This Row],[CAP. SACOS]]</f>
        <v>0</v>
      </c>
      <c r="K1144" s="16">
        <v>46092</v>
      </c>
      <c r="L1144" s="16">
        <v>46092</v>
      </c>
      <c r="M1144" s="16">
        <v>46092</v>
      </c>
      <c r="N1144" s="16" t="s">
        <v>375</v>
      </c>
    </row>
    <row r="1145" spans="1:14" hidden="1" x14ac:dyDescent="0.25">
      <c r="A1145" s="14" t="s">
        <v>14</v>
      </c>
      <c r="B1145" s="14" t="s">
        <v>373</v>
      </c>
      <c r="C1145" s="15" t="s">
        <v>376</v>
      </c>
      <c r="D1145" s="16">
        <v>46133</v>
      </c>
      <c r="E1145" s="17">
        <v>10000</v>
      </c>
      <c r="F1145" s="18">
        <v>0.5</v>
      </c>
      <c r="G1145" s="19">
        <f>Cereal[[#This Row],[N° BOLSAS]]*Cereal[[#This Row],[KG BOLSA]]</f>
        <v>5000</v>
      </c>
      <c r="H1145" s="37">
        <v>80</v>
      </c>
      <c r="I1145" s="14">
        <f>ROUNDDOWN(Cereal[[#This Row],[N° BOLSAS]]/Cereal[[#This Row],[CAP. SACOS]],0)</f>
        <v>125</v>
      </c>
      <c r="J1145" s="14">
        <f>Cereal[[#This Row],[N° BOLSAS]]-Cereal[[#This Row],[N° SACOS]]*Cereal[[#This Row],[CAP. SACOS]]</f>
        <v>0</v>
      </c>
      <c r="K1145" s="16">
        <v>46125</v>
      </c>
      <c r="L1145" s="16">
        <v>46125</v>
      </c>
      <c r="M1145" s="16">
        <v>46129</v>
      </c>
      <c r="N1145" s="16" t="s">
        <v>375</v>
      </c>
    </row>
    <row r="1146" spans="1:14" hidden="1" x14ac:dyDescent="0.25">
      <c r="A1146" s="14" t="s">
        <v>14</v>
      </c>
      <c r="B1146" s="14" t="s">
        <v>373</v>
      </c>
      <c r="C1146" s="15" t="s">
        <v>365</v>
      </c>
      <c r="D1146" s="16">
        <v>46186</v>
      </c>
      <c r="E1146" s="17">
        <v>4200</v>
      </c>
      <c r="F1146" s="18">
        <v>1</v>
      </c>
      <c r="G1146" s="19">
        <f>Cereal[[#This Row],[N° BOLSAS]]*Cereal[[#This Row],[KG BOLSA]]</f>
        <v>4200</v>
      </c>
      <c r="H1146" s="37">
        <v>80</v>
      </c>
      <c r="I1146" s="14">
        <f>ROUNDDOWN(Cereal[[#This Row],[N° BOLSAS]]/Cereal[[#This Row],[CAP. SACOS]],0)</f>
        <v>52</v>
      </c>
      <c r="J1146" s="14">
        <f>Cereal[[#This Row],[N° BOLSAS]]-Cereal[[#This Row],[N° SACOS]]*Cereal[[#This Row],[CAP. SACOS]]</f>
        <v>40</v>
      </c>
      <c r="K1146" s="16">
        <v>46191</v>
      </c>
      <c r="L1146" s="16">
        <v>46191</v>
      </c>
      <c r="M1146" s="16">
        <v>46192</v>
      </c>
      <c r="N1146" s="16" t="s">
        <v>375</v>
      </c>
    </row>
    <row r="1147" spans="1:14" hidden="1" x14ac:dyDescent="0.25">
      <c r="A1147" s="14" t="s">
        <v>14</v>
      </c>
      <c r="B1147" s="14" t="s">
        <v>377</v>
      </c>
      <c r="C1147" s="15" t="s">
        <v>363</v>
      </c>
      <c r="D1147" s="16">
        <v>46137</v>
      </c>
      <c r="E1147" s="17">
        <v>226</v>
      </c>
      <c r="F1147" s="18">
        <v>1</v>
      </c>
      <c r="G1147" s="19">
        <f>Cereal[[#This Row],[N° BOLSAS]]*Cereal[[#This Row],[KG BOLSA]]</f>
        <v>226</v>
      </c>
      <c r="H1147" s="37">
        <v>40</v>
      </c>
      <c r="I1147" s="14">
        <f>ROUNDDOWN(Cereal[[#This Row],[N° BOLSAS]]/Cereal[[#This Row],[CAP. SACOS]],0)</f>
        <v>5</v>
      </c>
      <c r="J1147" s="14">
        <f>Cereal[[#This Row],[N° BOLSAS]]-Cereal[[#This Row],[N° SACOS]]*Cereal[[#This Row],[CAP. SACOS]]</f>
        <v>26</v>
      </c>
      <c r="K1147" s="16">
        <v>46135</v>
      </c>
      <c r="L1147" s="16">
        <v>46135</v>
      </c>
      <c r="M1147" s="16">
        <v>46136</v>
      </c>
      <c r="N1147" s="16" t="s">
        <v>378</v>
      </c>
    </row>
    <row r="1148" spans="1:14" hidden="1" x14ac:dyDescent="0.25">
      <c r="A1148" s="14" t="s">
        <v>14</v>
      </c>
      <c r="B1148" s="14" t="s">
        <v>377</v>
      </c>
      <c r="C1148" s="15" t="s">
        <v>365</v>
      </c>
      <c r="D1148" s="16">
        <v>46186</v>
      </c>
      <c r="E1148" s="17">
        <v>150</v>
      </c>
      <c r="F1148" s="18">
        <v>1</v>
      </c>
      <c r="G1148" s="19">
        <f>Cereal[[#This Row],[N° BOLSAS]]*Cereal[[#This Row],[KG BOLSA]]</f>
        <v>150</v>
      </c>
      <c r="H1148" s="37">
        <v>40</v>
      </c>
      <c r="I1148" s="14">
        <f>ROUNDDOWN(Cereal[[#This Row],[N° BOLSAS]]/Cereal[[#This Row],[CAP. SACOS]],0)</f>
        <v>3</v>
      </c>
      <c r="J1148" s="14">
        <f>Cereal[[#This Row],[N° BOLSAS]]-Cereal[[#This Row],[N° SACOS]]*Cereal[[#This Row],[CAP. SACOS]]</f>
        <v>30</v>
      </c>
      <c r="K1148" s="16">
        <v>46190</v>
      </c>
      <c r="L1148" s="16">
        <v>46190</v>
      </c>
      <c r="M1148" s="16">
        <v>46192</v>
      </c>
      <c r="N1148" s="16" t="s">
        <v>378</v>
      </c>
    </row>
    <row r="1149" spans="1:14" hidden="1" x14ac:dyDescent="0.25">
      <c r="A1149" s="14" t="s">
        <v>14</v>
      </c>
      <c r="B1149" s="14" t="s">
        <v>379</v>
      </c>
      <c r="C1149" s="15" t="s">
        <v>374</v>
      </c>
      <c r="D1149" s="16">
        <v>46060</v>
      </c>
      <c r="E1149" s="17">
        <v>1326</v>
      </c>
      <c r="F1149" s="18">
        <v>0.5</v>
      </c>
      <c r="G1149" s="19">
        <f>Cereal[[#This Row],[N° BOLSAS]]*Cereal[[#This Row],[KG BOLSA]]</f>
        <v>663</v>
      </c>
      <c r="H1149" s="37">
        <v>80</v>
      </c>
      <c r="I1149" s="14">
        <f>ROUNDDOWN(Cereal[[#This Row],[N° BOLSAS]]/Cereal[[#This Row],[CAP. SACOS]],0)</f>
        <v>16</v>
      </c>
      <c r="J1149" s="14">
        <f>Cereal[[#This Row],[N° BOLSAS]]-Cereal[[#This Row],[N° SACOS]]*Cereal[[#This Row],[CAP. SACOS]]</f>
        <v>46</v>
      </c>
      <c r="K1149" s="16">
        <v>46070</v>
      </c>
      <c r="L1149" s="16">
        <v>46070</v>
      </c>
      <c r="M1149" s="16">
        <v>46073</v>
      </c>
      <c r="N1149" s="16" t="s">
        <v>380</v>
      </c>
    </row>
    <row r="1150" spans="1:14" hidden="1" x14ac:dyDescent="0.25">
      <c r="A1150" s="14" t="s">
        <v>14</v>
      </c>
      <c r="B1150" s="14" t="s">
        <v>379</v>
      </c>
      <c r="C1150" s="15" t="s">
        <v>371</v>
      </c>
      <c r="D1150" s="16">
        <v>46093</v>
      </c>
      <c r="E1150" s="17">
        <v>1326</v>
      </c>
      <c r="F1150" s="18">
        <v>0.5</v>
      </c>
      <c r="G1150" s="19">
        <f>Cereal[[#This Row],[N° BOLSAS]]*Cereal[[#This Row],[KG BOLSA]]</f>
        <v>663</v>
      </c>
      <c r="H1150" s="37">
        <v>80</v>
      </c>
      <c r="I1150" s="14">
        <f>ROUNDDOWN(Cereal[[#This Row],[N° BOLSAS]]/Cereal[[#This Row],[CAP. SACOS]],0)</f>
        <v>16</v>
      </c>
      <c r="J1150" s="14">
        <f>Cereal[[#This Row],[N° BOLSAS]]-Cereal[[#This Row],[N° SACOS]]*Cereal[[#This Row],[CAP. SACOS]]</f>
        <v>46</v>
      </c>
      <c r="K1150" s="16">
        <v>46092</v>
      </c>
      <c r="L1150" s="16">
        <v>46092</v>
      </c>
      <c r="M1150" s="16">
        <v>46092</v>
      </c>
      <c r="N1150" s="16" t="s">
        <v>380</v>
      </c>
    </row>
    <row r="1151" spans="1:14" hidden="1" x14ac:dyDescent="0.25">
      <c r="A1151" s="14" t="s">
        <v>14</v>
      </c>
      <c r="B1151" s="14" t="s">
        <v>379</v>
      </c>
      <c r="C1151" s="15" t="s">
        <v>365</v>
      </c>
      <c r="D1151" s="16">
        <v>46186</v>
      </c>
      <c r="E1151" s="17">
        <v>1326</v>
      </c>
      <c r="F1151" s="18">
        <v>0.5</v>
      </c>
      <c r="G1151" s="19">
        <f>Cereal[[#This Row],[N° BOLSAS]]*Cereal[[#This Row],[KG BOLSA]]</f>
        <v>663</v>
      </c>
      <c r="H1151" s="37">
        <v>80</v>
      </c>
      <c r="I1151" s="14">
        <f>ROUNDDOWN(Cereal[[#This Row],[N° BOLSAS]]/Cereal[[#This Row],[CAP. SACOS]],0)</f>
        <v>16</v>
      </c>
      <c r="J1151" s="14">
        <f>Cereal[[#This Row],[N° BOLSAS]]-Cereal[[#This Row],[N° SACOS]]*Cereal[[#This Row],[CAP. SACOS]]</f>
        <v>46</v>
      </c>
      <c r="K1151" s="16">
        <v>46190</v>
      </c>
      <c r="L1151" s="16">
        <v>46190</v>
      </c>
      <c r="M1151" s="16">
        <v>46192</v>
      </c>
      <c r="N1151" s="16" t="s">
        <v>380</v>
      </c>
    </row>
    <row r="1152" spans="1:14" hidden="1" x14ac:dyDescent="0.25">
      <c r="A1152" s="14" t="s">
        <v>14</v>
      </c>
      <c r="B1152" s="14" t="s">
        <v>381</v>
      </c>
      <c r="C1152" s="15" t="s">
        <v>382</v>
      </c>
      <c r="D1152" s="16">
        <v>46068</v>
      </c>
      <c r="E1152" s="17">
        <v>3784</v>
      </c>
      <c r="F1152" s="18">
        <v>0.5</v>
      </c>
      <c r="G1152" s="19">
        <f>Cereal[[#This Row],[N° BOLSAS]]*Cereal[[#This Row],[KG BOLSA]]</f>
        <v>1892</v>
      </c>
      <c r="H1152" s="37">
        <v>80</v>
      </c>
      <c r="I1152" s="14">
        <f>ROUNDDOWN(Cereal[[#This Row],[N° BOLSAS]]/Cereal[[#This Row],[CAP. SACOS]],0)</f>
        <v>47</v>
      </c>
      <c r="J1152" s="14">
        <f>Cereal[[#This Row],[N° BOLSAS]]-Cereal[[#This Row],[N° SACOS]]*Cereal[[#This Row],[CAP. SACOS]]</f>
        <v>24</v>
      </c>
      <c r="K1152" s="16">
        <v>46070</v>
      </c>
      <c r="L1152" s="16">
        <v>46070</v>
      </c>
      <c r="M1152" s="16">
        <v>46073</v>
      </c>
      <c r="N1152" s="16" t="s">
        <v>119</v>
      </c>
    </row>
    <row r="1153" spans="1:14" hidden="1" x14ac:dyDescent="0.25">
      <c r="A1153" s="14" t="s">
        <v>14</v>
      </c>
      <c r="B1153" s="14" t="s">
        <v>381</v>
      </c>
      <c r="C1153" s="15" t="s">
        <v>371</v>
      </c>
      <c r="D1153" s="16">
        <v>46093</v>
      </c>
      <c r="E1153" s="17">
        <v>230</v>
      </c>
      <c r="F1153" s="18">
        <v>0.5</v>
      </c>
      <c r="G1153" s="19">
        <f>Cereal[[#This Row],[N° BOLSAS]]*Cereal[[#This Row],[KG BOLSA]]</f>
        <v>115</v>
      </c>
      <c r="H1153" s="37">
        <v>80</v>
      </c>
      <c r="I1153" s="14">
        <f>ROUNDDOWN(Cereal[[#This Row],[N° BOLSAS]]/Cereal[[#This Row],[CAP. SACOS]],0)</f>
        <v>2</v>
      </c>
      <c r="J1153" s="14">
        <f>Cereal[[#This Row],[N° BOLSAS]]-Cereal[[#This Row],[N° SACOS]]*Cereal[[#This Row],[CAP. SACOS]]</f>
        <v>70</v>
      </c>
      <c r="K1153" s="16">
        <v>46125</v>
      </c>
      <c r="L1153" s="16">
        <v>46125</v>
      </c>
      <c r="M1153" s="16">
        <v>46129</v>
      </c>
      <c r="N1153" s="16" t="s">
        <v>119</v>
      </c>
    </row>
    <row r="1154" spans="1:14" hidden="1" x14ac:dyDescent="0.25">
      <c r="A1154" s="14" t="s">
        <v>14</v>
      </c>
      <c r="B1154" s="14" t="s">
        <v>383</v>
      </c>
      <c r="C1154" s="15" t="s">
        <v>374</v>
      </c>
      <c r="D1154" s="16">
        <v>46060</v>
      </c>
      <c r="E1154" s="17">
        <v>488</v>
      </c>
      <c r="F1154" s="18">
        <v>0.5</v>
      </c>
      <c r="G1154" s="19">
        <f>Cereal[[#This Row],[N° BOLSAS]]*Cereal[[#This Row],[KG BOLSA]]</f>
        <v>244</v>
      </c>
      <c r="H1154" s="37">
        <v>80</v>
      </c>
      <c r="I1154" s="14">
        <f>ROUNDDOWN(Cereal[[#This Row],[N° BOLSAS]]/Cereal[[#This Row],[CAP. SACOS]],0)</f>
        <v>6</v>
      </c>
      <c r="J1154" s="14">
        <f>Cereal[[#This Row],[N° BOLSAS]]-Cereal[[#This Row],[N° SACOS]]*Cereal[[#This Row],[CAP. SACOS]]</f>
        <v>8</v>
      </c>
      <c r="K1154" s="16">
        <v>46070</v>
      </c>
      <c r="L1154" s="16">
        <v>46070</v>
      </c>
      <c r="M1154" s="16">
        <v>46073</v>
      </c>
      <c r="N1154" s="16" t="s">
        <v>384</v>
      </c>
    </row>
    <row r="1155" spans="1:14" hidden="1" x14ac:dyDescent="0.25">
      <c r="A1155" s="14" t="s">
        <v>14</v>
      </c>
      <c r="B1155" s="14" t="s">
        <v>383</v>
      </c>
      <c r="C1155" s="15" t="s">
        <v>371</v>
      </c>
      <c r="D1155" s="16">
        <v>46093</v>
      </c>
      <c r="E1155" s="17">
        <v>244</v>
      </c>
      <c r="F1155" s="18">
        <v>0.5</v>
      </c>
      <c r="G1155" s="19">
        <f>Cereal[[#This Row],[N° BOLSAS]]*Cereal[[#This Row],[KG BOLSA]]</f>
        <v>122</v>
      </c>
      <c r="H1155" s="37">
        <v>100</v>
      </c>
      <c r="I1155" s="14">
        <f>ROUNDDOWN(Cereal[[#This Row],[N° BOLSAS]]/Cereal[[#This Row],[CAP. SACOS]],0)</f>
        <v>2</v>
      </c>
      <c r="J1155" s="14">
        <f>Cereal[[#This Row],[N° BOLSAS]]-Cereal[[#This Row],[N° SACOS]]*Cereal[[#This Row],[CAP. SACOS]]</f>
        <v>44</v>
      </c>
      <c r="K1155" s="16">
        <v>46092</v>
      </c>
      <c r="L1155" s="16">
        <v>46092</v>
      </c>
      <c r="M1155" s="16">
        <v>46092</v>
      </c>
      <c r="N1155" s="16" t="s">
        <v>384</v>
      </c>
    </row>
    <row r="1156" spans="1:14" hidden="1" x14ac:dyDescent="0.25">
      <c r="A1156" s="14" t="s">
        <v>14</v>
      </c>
      <c r="B1156" s="14" t="s">
        <v>383</v>
      </c>
      <c r="C1156" s="15" t="s">
        <v>365</v>
      </c>
      <c r="D1156" s="16">
        <v>46186</v>
      </c>
      <c r="E1156" s="17">
        <v>183</v>
      </c>
      <c r="F1156" s="18">
        <v>1</v>
      </c>
      <c r="G1156" s="19">
        <f>Cereal[[#This Row],[N° BOLSAS]]*Cereal[[#This Row],[KG BOLSA]]</f>
        <v>183</v>
      </c>
      <c r="H1156" s="37">
        <v>80</v>
      </c>
      <c r="I1156" s="14">
        <f>ROUNDDOWN(Cereal[[#This Row],[N° BOLSAS]]/Cereal[[#This Row],[CAP. SACOS]],0)</f>
        <v>2</v>
      </c>
      <c r="J1156" s="14">
        <f>Cereal[[#This Row],[N° BOLSAS]]-Cereal[[#This Row],[N° SACOS]]*Cereal[[#This Row],[CAP. SACOS]]</f>
        <v>23</v>
      </c>
      <c r="K1156" s="16">
        <v>46192</v>
      </c>
      <c r="L1156" s="16">
        <v>46192</v>
      </c>
      <c r="M1156" s="16">
        <v>46192</v>
      </c>
      <c r="N1156" s="16" t="s">
        <v>384</v>
      </c>
    </row>
    <row r="1157" spans="1:14" hidden="1" x14ac:dyDescent="0.25">
      <c r="A1157" s="14" t="s">
        <v>14</v>
      </c>
      <c r="B1157" s="14" t="s">
        <v>385</v>
      </c>
      <c r="C1157" s="15" t="s">
        <v>382</v>
      </c>
      <c r="D1157" s="16">
        <v>46068</v>
      </c>
      <c r="E1157" s="17">
        <v>672</v>
      </c>
      <c r="F1157" s="18">
        <v>0.5</v>
      </c>
      <c r="G1157" s="19">
        <f>Cereal[[#This Row],[N° BOLSAS]]*Cereal[[#This Row],[KG BOLSA]]</f>
        <v>336</v>
      </c>
      <c r="H1157" s="37">
        <v>80</v>
      </c>
      <c r="I1157" s="14">
        <f>ROUNDDOWN(Cereal[[#This Row],[N° BOLSAS]]/Cereal[[#This Row],[CAP. SACOS]],0)</f>
        <v>8</v>
      </c>
      <c r="J1157" s="14">
        <f>Cereal[[#This Row],[N° BOLSAS]]-Cereal[[#This Row],[N° SACOS]]*Cereal[[#This Row],[CAP. SACOS]]</f>
        <v>32</v>
      </c>
      <c r="K1157" s="16">
        <v>46070</v>
      </c>
      <c r="L1157" s="16">
        <v>46070</v>
      </c>
      <c r="M1157" s="16">
        <v>46073</v>
      </c>
      <c r="N1157" s="16" t="s">
        <v>386</v>
      </c>
    </row>
    <row r="1158" spans="1:14" hidden="1" x14ac:dyDescent="0.25">
      <c r="A1158" s="14" t="s">
        <v>14</v>
      </c>
      <c r="B1158" s="14" t="s">
        <v>387</v>
      </c>
      <c r="C1158" s="15" t="s">
        <v>30</v>
      </c>
      <c r="D1158" s="16">
        <v>46022</v>
      </c>
      <c r="E1158" s="17">
        <v>20000</v>
      </c>
      <c r="F1158" s="18">
        <v>1</v>
      </c>
      <c r="G1158" s="19">
        <f>Cereal[[#This Row],[N° BOLSAS]]*Cereal[[#This Row],[KG BOLSA]]</f>
        <v>20000</v>
      </c>
      <c r="H1158" s="37">
        <v>40</v>
      </c>
      <c r="I1158" s="14">
        <f>ROUNDDOWN(Cereal[[#This Row],[N° BOLSAS]]/Cereal[[#This Row],[CAP. SACOS]],0)</f>
        <v>500</v>
      </c>
      <c r="J1158" s="14">
        <f>Cereal[[#This Row],[N° BOLSAS]]-Cereal[[#This Row],[N° SACOS]]*Cereal[[#This Row],[CAP. SACOS]]</f>
        <v>0</v>
      </c>
      <c r="K1158" s="16">
        <v>46030</v>
      </c>
      <c r="L1158" s="16">
        <v>46030</v>
      </c>
      <c r="M1158" s="16">
        <v>46032</v>
      </c>
      <c r="N1158" s="16" t="s">
        <v>388</v>
      </c>
    </row>
    <row r="1159" spans="1:14" hidden="1" x14ac:dyDescent="0.25">
      <c r="A1159" s="14" t="s">
        <v>14</v>
      </c>
      <c r="B1159" s="14" t="s">
        <v>387</v>
      </c>
      <c r="C1159" s="15" t="s">
        <v>30</v>
      </c>
      <c r="D1159" s="16">
        <v>46081</v>
      </c>
      <c r="E1159" s="17">
        <v>30000</v>
      </c>
      <c r="F1159" s="18">
        <v>1</v>
      </c>
      <c r="G1159" s="19">
        <f>Cereal[[#This Row],[N° BOLSAS]]*Cereal[[#This Row],[KG BOLSA]]</f>
        <v>30000</v>
      </c>
      <c r="H1159" s="37">
        <v>40</v>
      </c>
      <c r="I1159" s="14">
        <f>ROUNDDOWN(Cereal[[#This Row],[N° BOLSAS]]/Cereal[[#This Row],[CAP. SACOS]],0)</f>
        <v>750</v>
      </c>
      <c r="J1159" s="14">
        <f>Cereal[[#This Row],[N° BOLSAS]]-Cereal[[#This Row],[N° SACOS]]*Cereal[[#This Row],[CAP. SACOS]]</f>
        <v>0</v>
      </c>
      <c r="K1159" s="16">
        <v>46074</v>
      </c>
      <c r="L1159" s="16">
        <v>46074</v>
      </c>
      <c r="M1159" s="16">
        <v>46085</v>
      </c>
      <c r="N1159" s="16" t="s">
        <v>389</v>
      </c>
    </row>
    <row r="1160" spans="1:14" hidden="1" x14ac:dyDescent="0.25">
      <c r="A1160" s="14" t="s">
        <v>14</v>
      </c>
      <c r="B1160" s="14" t="s">
        <v>387</v>
      </c>
      <c r="C1160" s="15" t="s">
        <v>30</v>
      </c>
      <c r="D1160" s="16">
        <v>46096</v>
      </c>
      <c r="E1160" s="17">
        <v>2450</v>
      </c>
      <c r="F1160" s="18">
        <v>1</v>
      </c>
      <c r="G1160" s="19">
        <f>Cereal[[#This Row],[N° BOLSAS]]*Cereal[[#This Row],[KG BOLSA]]</f>
        <v>2450</v>
      </c>
      <c r="H1160" s="37">
        <v>40</v>
      </c>
      <c r="I1160" s="14">
        <f>ROUNDDOWN(Cereal[[#This Row],[N° BOLSAS]]/Cereal[[#This Row],[CAP. SACOS]],0)</f>
        <v>61</v>
      </c>
      <c r="J1160" s="14">
        <f>Cereal[[#This Row],[N° BOLSAS]]-Cereal[[#This Row],[N° SACOS]]*Cereal[[#This Row],[CAP. SACOS]]</f>
        <v>10</v>
      </c>
      <c r="K1160" s="16">
        <v>46084</v>
      </c>
      <c r="L1160" s="16">
        <v>46084</v>
      </c>
      <c r="M1160" s="16">
        <v>46085</v>
      </c>
      <c r="N1160" s="16" t="s">
        <v>389</v>
      </c>
    </row>
    <row r="1161" spans="1:14" hidden="1" x14ac:dyDescent="0.25">
      <c r="A1161" s="14" t="s">
        <v>14</v>
      </c>
      <c r="B1161" s="14" t="s">
        <v>387</v>
      </c>
      <c r="C1161" s="15" t="s">
        <v>30</v>
      </c>
      <c r="D1161" s="16">
        <v>46112</v>
      </c>
      <c r="E1161" s="17">
        <v>30000</v>
      </c>
      <c r="F1161" s="18">
        <v>1</v>
      </c>
      <c r="G1161" s="19">
        <f>Cereal[[#This Row],[N° BOLSAS]]*Cereal[[#This Row],[KG BOLSA]]</f>
        <v>30000</v>
      </c>
      <c r="H1161" s="37">
        <v>50</v>
      </c>
      <c r="I1161" s="14">
        <f>ROUNDDOWN(Cereal[[#This Row],[N° BOLSAS]]/Cereal[[#This Row],[CAP. SACOS]],0)</f>
        <v>600</v>
      </c>
      <c r="J1161" s="14">
        <f>Cereal[[#This Row],[N° BOLSAS]]-Cereal[[#This Row],[N° SACOS]]*Cereal[[#This Row],[CAP. SACOS]]</f>
        <v>0</v>
      </c>
      <c r="K1161" s="16">
        <v>46111</v>
      </c>
      <c r="L1161" s="16">
        <v>46111</v>
      </c>
      <c r="M1161" s="16">
        <v>46113</v>
      </c>
      <c r="N1161" s="16" t="s">
        <v>389</v>
      </c>
    </row>
    <row r="1162" spans="1:14" hidden="1" x14ac:dyDescent="0.25">
      <c r="A1162" s="14" t="s">
        <v>14</v>
      </c>
      <c r="B1162" s="14" t="s">
        <v>387</v>
      </c>
      <c r="C1162" s="15" t="s">
        <v>30</v>
      </c>
      <c r="D1162" s="16">
        <v>46132</v>
      </c>
      <c r="E1162" s="17">
        <v>30000</v>
      </c>
      <c r="F1162" s="18">
        <v>1</v>
      </c>
      <c r="G1162" s="19">
        <f>Cereal[[#This Row],[N° BOLSAS]]*Cereal[[#This Row],[KG BOLSA]]</f>
        <v>30000</v>
      </c>
      <c r="H1162" s="37">
        <v>50</v>
      </c>
      <c r="I1162" s="14">
        <f>ROUNDDOWN(Cereal[[#This Row],[N° BOLSAS]]/Cereal[[#This Row],[CAP. SACOS]],0)</f>
        <v>600</v>
      </c>
      <c r="J1162" s="14">
        <f>Cereal[[#This Row],[N° BOLSAS]]-Cereal[[#This Row],[N° SACOS]]*Cereal[[#This Row],[CAP. SACOS]]</f>
        <v>0</v>
      </c>
      <c r="K1162" s="16">
        <v>46139</v>
      </c>
      <c r="L1162" s="16">
        <v>46139</v>
      </c>
      <c r="M1162" s="16">
        <v>46144</v>
      </c>
      <c r="N1162" s="16" t="s">
        <v>389</v>
      </c>
    </row>
    <row r="1163" spans="1:14" hidden="1" x14ac:dyDescent="0.25">
      <c r="A1163" s="14" t="s">
        <v>14</v>
      </c>
      <c r="B1163" s="14" t="s">
        <v>387</v>
      </c>
      <c r="C1163" s="15" t="s">
        <v>30</v>
      </c>
      <c r="D1163" s="16">
        <v>46173</v>
      </c>
      <c r="E1163" s="17">
        <v>30000</v>
      </c>
      <c r="F1163" s="18">
        <v>1</v>
      </c>
      <c r="G1163" s="19">
        <f>Cereal[[#This Row],[N° BOLSAS]]*Cereal[[#This Row],[KG BOLSA]]</f>
        <v>30000</v>
      </c>
      <c r="H1163" s="37">
        <v>50</v>
      </c>
      <c r="I1163" s="14">
        <f>ROUNDDOWN(Cereal[[#This Row],[N° BOLSAS]]/Cereal[[#This Row],[CAP. SACOS]],0)</f>
        <v>600</v>
      </c>
      <c r="J1163" s="14">
        <f>Cereal[[#This Row],[N° BOLSAS]]-Cereal[[#This Row],[N° SACOS]]*Cereal[[#This Row],[CAP. SACOS]]</f>
        <v>0</v>
      </c>
      <c r="K1163" s="16">
        <v>46182</v>
      </c>
      <c r="L1163" s="16">
        <v>46182</v>
      </c>
      <c r="M1163" s="16">
        <v>46184</v>
      </c>
      <c r="N1163" s="16" t="s">
        <v>389</v>
      </c>
    </row>
    <row r="1164" spans="1:14" hidden="1" x14ac:dyDescent="0.25">
      <c r="A1164" s="14" t="s">
        <v>14</v>
      </c>
      <c r="B1164" s="14" t="s">
        <v>387</v>
      </c>
      <c r="C1164" s="15" t="s">
        <v>30</v>
      </c>
      <c r="D1164" s="16">
        <v>46223</v>
      </c>
      <c r="E1164" s="17">
        <v>30000</v>
      </c>
      <c r="F1164" s="18">
        <v>1</v>
      </c>
      <c r="G1164" s="19">
        <f>Cereal[[#This Row],[N° BOLSAS]]*Cereal[[#This Row],[KG BOLSA]]</f>
        <v>30000</v>
      </c>
      <c r="H1164" s="37">
        <v>50</v>
      </c>
      <c r="I1164" s="14">
        <f>ROUNDDOWN(Cereal[[#This Row],[N° BOLSAS]]/Cereal[[#This Row],[CAP. SACOS]],0)</f>
        <v>600</v>
      </c>
      <c r="J1164" s="14">
        <f>Cereal[[#This Row],[N° BOLSAS]]-Cereal[[#This Row],[N° SACOS]]*Cereal[[#This Row],[CAP. SACOS]]</f>
        <v>0</v>
      </c>
      <c r="K1164" s="16">
        <v>46224</v>
      </c>
      <c r="L1164" s="16">
        <v>46224</v>
      </c>
      <c r="M1164" s="16">
        <v>46227</v>
      </c>
      <c r="N1164" s="16" t="s">
        <v>389</v>
      </c>
    </row>
    <row r="1165" spans="1:14" hidden="1" x14ac:dyDescent="0.25">
      <c r="A1165" s="14" t="s">
        <v>14</v>
      </c>
      <c r="B1165" s="14" t="s">
        <v>387</v>
      </c>
      <c r="C1165" s="15" t="s">
        <v>30</v>
      </c>
      <c r="D1165" s="16">
        <v>46254</v>
      </c>
      <c r="E1165" s="17">
        <v>30000</v>
      </c>
      <c r="F1165" s="18">
        <v>1</v>
      </c>
      <c r="G1165" s="19">
        <f>Cereal[[#This Row],[N° BOLSAS]]*Cereal[[#This Row],[KG BOLSA]]</f>
        <v>30000</v>
      </c>
      <c r="H1165" s="37">
        <v>50</v>
      </c>
      <c r="I1165" s="14">
        <f>ROUNDDOWN(Cereal[[#This Row],[N° BOLSAS]]/Cereal[[#This Row],[CAP. SACOS]],0)</f>
        <v>600</v>
      </c>
      <c r="J1165" s="14">
        <f>Cereal[[#This Row],[N° BOLSAS]]-Cereal[[#This Row],[N° SACOS]]*Cereal[[#This Row],[CAP. SACOS]]</f>
        <v>0</v>
      </c>
      <c r="K1165" s="16">
        <v>46255</v>
      </c>
      <c r="L1165" s="16">
        <v>46255</v>
      </c>
      <c r="M1165" s="16">
        <v>46260</v>
      </c>
      <c r="N1165" s="16" t="s">
        <v>389</v>
      </c>
    </row>
    <row r="1166" spans="1:14" hidden="1" x14ac:dyDescent="0.25">
      <c r="A1166" s="14" t="s">
        <v>14</v>
      </c>
      <c r="B1166" s="14" t="s">
        <v>387</v>
      </c>
      <c r="C1166" s="15" t="s">
        <v>30</v>
      </c>
      <c r="D1166" s="16">
        <v>46282</v>
      </c>
      <c r="E1166" s="17">
        <v>30000</v>
      </c>
      <c r="F1166" s="18">
        <v>1</v>
      </c>
      <c r="G1166" s="19">
        <f>Cereal[[#This Row],[N° BOLSAS]]*Cereal[[#This Row],[KG BOLSA]]</f>
        <v>30000</v>
      </c>
      <c r="H1166" s="37">
        <v>50</v>
      </c>
      <c r="I1166" s="14">
        <f>ROUNDDOWN(Cereal[[#This Row],[N° BOLSAS]]/Cereal[[#This Row],[CAP. SACOS]],0)</f>
        <v>600</v>
      </c>
      <c r="J1166" s="14">
        <f>Cereal[[#This Row],[N° BOLSAS]]-Cereal[[#This Row],[N° SACOS]]*Cereal[[#This Row],[CAP. SACOS]]</f>
        <v>0</v>
      </c>
      <c r="K1166" s="16">
        <v>46289</v>
      </c>
      <c r="L1166" s="16">
        <v>46289</v>
      </c>
      <c r="M1166" s="16">
        <v>46290</v>
      </c>
      <c r="N1166" s="16" t="s">
        <v>389</v>
      </c>
    </row>
    <row r="1167" spans="1:14" hidden="1" x14ac:dyDescent="0.25">
      <c r="A1167" s="14" t="s">
        <v>14</v>
      </c>
      <c r="B1167" s="14" t="s">
        <v>390</v>
      </c>
      <c r="C1167" s="15" t="s">
        <v>30</v>
      </c>
      <c r="D1167" s="16">
        <v>46081</v>
      </c>
      <c r="E1167" s="17">
        <v>15000</v>
      </c>
      <c r="F1167" s="18">
        <v>1</v>
      </c>
      <c r="G1167" s="19">
        <f>Cereal[[#This Row],[N° BOLSAS]]*Cereal[[#This Row],[KG BOLSA]]</f>
        <v>15000</v>
      </c>
      <c r="H1167" s="37">
        <v>40</v>
      </c>
      <c r="I1167" s="14">
        <f>ROUNDDOWN(Cereal[[#This Row],[N° BOLSAS]]/Cereal[[#This Row],[CAP. SACOS]],0)</f>
        <v>375</v>
      </c>
      <c r="J1167" s="14">
        <f>Cereal[[#This Row],[N° BOLSAS]]-Cereal[[#This Row],[N° SACOS]]*Cereal[[#This Row],[CAP. SACOS]]</f>
        <v>0</v>
      </c>
      <c r="K1167" s="16">
        <v>46079</v>
      </c>
      <c r="L1167" s="16">
        <v>46079</v>
      </c>
      <c r="M1167" s="16">
        <v>46085</v>
      </c>
      <c r="N1167" s="16" t="s">
        <v>391</v>
      </c>
    </row>
    <row r="1168" spans="1:14" hidden="1" x14ac:dyDescent="0.25">
      <c r="A1168" s="14" t="s">
        <v>14</v>
      </c>
      <c r="B1168" s="14" t="s">
        <v>390</v>
      </c>
      <c r="C1168" s="15" t="s">
        <v>30</v>
      </c>
      <c r="D1168" s="16">
        <v>46096</v>
      </c>
      <c r="E1168" s="17">
        <v>2250</v>
      </c>
      <c r="F1168" s="18">
        <v>1</v>
      </c>
      <c r="G1168" s="19">
        <f>Cereal[[#This Row],[N° BOLSAS]]*Cereal[[#This Row],[KG BOLSA]]</f>
        <v>2250</v>
      </c>
      <c r="H1168" s="37">
        <v>40</v>
      </c>
      <c r="I1168" s="14">
        <f>ROUNDDOWN(Cereal[[#This Row],[N° BOLSAS]]/Cereal[[#This Row],[CAP. SACOS]],0)</f>
        <v>56</v>
      </c>
      <c r="J1168" s="14">
        <f>Cereal[[#This Row],[N° BOLSAS]]-Cereal[[#This Row],[N° SACOS]]*Cereal[[#This Row],[CAP. SACOS]]</f>
        <v>10</v>
      </c>
      <c r="K1168" s="16">
        <v>46084</v>
      </c>
      <c r="L1168" s="16">
        <v>46084</v>
      </c>
      <c r="M1168" s="16">
        <v>46085</v>
      </c>
      <c r="N1168" s="16" t="s">
        <v>391</v>
      </c>
    </row>
    <row r="1169" spans="1:14" hidden="1" x14ac:dyDescent="0.25">
      <c r="A1169" s="14" t="s">
        <v>14</v>
      </c>
      <c r="B1169" s="14" t="s">
        <v>392</v>
      </c>
      <c r="C1169" s="15" t="s">
        <v>30</v>
      </c>
      <c r="D1169" s="16">
        <v>46081</v>
      </c>
      <c r="E1169" s="17">
        <v>5000</v>
      </c>
      <c r="F1169" s="18">
        <v>1</v>
      </c>
      <c r="G1169" s="19">
        <f>Cereal[[#This Row],[N° BOLSAS]]*Cereal[[#This Row],[KG BOLSA]]</f>
        <v>5000</v>
      </c>
      <c r="H1169" s="37">
        <v>40</v>
      </c>
      <c r="I1169" s="14">
        <f>ROUNDDOWN(Cereal[[#This Row],[N° BOLSAS]]/Cereal[[#This Row],[CAP. SACOS]],0)</f>
        <v>125</v>
      </c>
      <c r="J1169" s="14">
        <f>Cereal[[#This Row],[N° BOLSAS]]-Cereal[[#This Row],[N° SACOS]]*Cereal[[#This Row],[CAP. SACOS]]</f>
        <v>0</v>
      </c>
      <c r="K1169" s="16">
        <v>46080</v>
      </c>
      <c r="L1169" s="16">
        <v>46080</v>
      </c>
      <c r="M1169" s="16">
        <v>46085</v>
      </c>
      <c r="N1169" s="16" t="s">
        <v>393</v>
      </c>
    </row>
    <row r="1170" spans="1:14" hidden="1" x14ac:dyDescent="0.25">
      <c r="A1170" s="14" t="s">
        <v>14</v>
      </c>
      <c r="B1170" s="14" t="s">
        <v>392</v>
      </c>
      <c r="C1170" s="15" t="s">
        <v>30</v>
      </c>
      <c r="D1170" s="16">
        <v>46096</v>
      </c>
      <c r="E1170" s="17">
        <v>2400</v>
      </c>
      <c r="F1170" s="18">
        <v>1</v>
      </c>
      <c r="G1170" s="19">
        <f>Cereal[[#This Row],[N° BOLSAS]]*Cereal[[#This Row],[KG BOLSA]]</f>
        <v>2400</v>
      </c>
      <c r="H1170" s="37">
        <v>40</v>
      </c>
      <c r="I1170" s="14">
        <f>ROUNDDOWN(Cereal[[#This Row],[N° BOLSAS]]/Cereal[[#This Row],[CAP. SACOS]],0)</f>
        <v>60</v>
      </c>
      <c r="J1170" s="14">
        <f>Cereal[[#This Row],[N° BOLSAS]]-Cereal[[#This Row],[N° SACOS]]*Cereal[[#This Row],[CAP. SACOS]]</f>
        <v>0</v>
      </c>
      <c r="K1170" s="16">
        <v>46084</v>
      </c>
      <c r="L1170" s="16">
        <v>46084</v>
      </c>
      <c r="M1170" s="16">
        <v>46085</v>
      </c>
      <c r="N1170" s="16" t="s">
        <v>393</v>
      </c>
    </row>
    <row r="1171" spans="1:14" hidden="1" x14ac:dyDescent="0.25">
      <c r="A1171" s="14" t="s">
        <v>14</v>
      </c>
      <c r="B1171" s="14" t="s">
        <v>394</v>
      </c>
      <c r="C1171" s="15" t="s">
        <v>16</v>
      </c>
      <c r="D1171" s="16">
        <v>46023</v>
      </c>
      <c r="E1171" s="17">
        <v>2630</v>
      </c>
      <c r="F1171" s="18">
        <v>1</v>
      </c>
      <c r="G1171" s="19">
        <f>Cereal[[#This Row],[N° BOLSAS]]*Cereal[[#This Row],[KG BOLSA]]</f>
        <v>2630</v>
      </c>
      <c r="H1171" s="37">
        <v>40</v>
      </c>
      <c r="I1171" s="14">
        <f>ROUNDDOWN(Cereal[[#This Row],[N° BOLSAS]]/Cereal[[#This Row],[CAP. SACOS]],0)</f>
        <v>65</v>
      </c>
      <c r="J1171" s="14">
        <f>Cereal[[#This Row],[N° BOLSAS]]-Cereal[[#This Row],[N° SACOS]]*Cereal[[#This Row],[CAP. SACOS]]</f>
        <v>30</v>
      </c>
      <c r="K1171" s="16">
        <v>46043</v>
      </c>
      <c r="L1171" s="16">
        <v>46043</v>
      </c>
      <c r="M1171" s="16">
        <v>46045</v>
      </c>
      <c r="N1171" s="16" t="s">
        <v>395</v>
      </c>
    </row>
    <row r="1172" spans="1:14" hidden="1" x14ac:dyDescent="0.25">
      <c r="A1172" s="14" t="s">
        <v>14</v>
      </c>
      <c r="B1172" s="14" t="s">
        <v>394</v>
      </c>
      <c r="C1172" s="15" t="s">
        <v>18</v>
      </c>
      <c r="D1172" s="16">
        <v>46050</v>
      </c>
      <c r="E1172" s="17">
        <v>2375</v>
      </c>
      <c r="F1172" s="18">
        <v>1</v>
      </c>
      <c r="G1172" s="19">
        <f>Cereal[[#This Row],[N° BOLSAS]]*Cereal[[#This Row],[KG BOLSA]]</f>
        <v>2375</v>
      </c>
      <c r="H1172" s="37">
        <v>40</v>
      </c>
      <c r="I1172" s="14">
        <f>ROUNDDOWN(Cereal[[#This Row],[N° BOLSAS]]/Cereal[[#This Row],[CAP. SACOS]],0)</f>
        <v>59</v>
      </c>
      <c r="J1172" s="14">
        <f>Cereal[[#This Row],[N° BOLSAS]]-Cereal[[#This Row],[N° SACOS]]*Cereal[[#This Row],[CAP. SACOS]]</f>
        <v>15</v>
      </c>
      <c r="K1172" s="16">
        <v>46047</v>
      </c>
      <c r="L1172" s="16">
        <v>46047</v>
      </c>
      <c r="M1172" s="16">
        <v>46051</v>
      </c>
      <c r="N1172" s="16" t="s">
        <v>395</v>
      </c>
    </row>
    <row r="1173" spans="1:14" hidden="1" x14ac:dyDescent="0.25">
      <c r="A1173" s="14" t="s">
        <v>14</v>
      </c>
      <c r="B1173" s="14" t="s">
        <v>394</v>
      </c>
      <c r="C1173" s="15" t="s">
        <v>19</v>
      </c>
      <c r="D1173" s="16">
        <v>46078</v>
      </c>
      <c r="E1173" s="17">
        <v>2630</v>
      </c>
      <c r="F1173" s="18">
        <v>1</v>
      </c>
      <c r="G1173" s="19">
        <f>Cereal[[#This Row],[N° BOLSAS]]*Cereal[[#This Row],[KG BOLSA]]</f>
        <v>2630</v>
      </c>
      <c r="H1173" s="37">
        <v>40</v>
      </c>
      <c r="I1173" s="14">
        <f>ROUNDDOWN(Cereal[[#This Row],[N° BOLSAS]]/Cereal[[#This Row],[CAP. SACOS]],0)</f>
        <v>65</v>
      </c>
      <c r="J1173" s="14">
        <f>Cereal[[#This Row],[N° BOLSAS]]-Cereal[[#This Row],[N° SACOS]]*Cereal[[#This Row],[CAP. SACOS]]</f>
        <v>30</v>
      </c>
      <c r="K1173" s="16">
        <v>46077</v>
      </c>
      <c r="L1173" s="16">
        <v>46077</v>
      </c>
      <c r="M1173" s="16">
        <v>46078</v>
      </c>
      <c r="N1173" s="16" t="s">
        <v>395</v>
      </c>
    </row>
    <row r="1174" spans="1:14" hidden="1" x14ac:dyDescent="0.25">
      <c r="A1174" s="14" t="s">
        <v>14</v>
      </c>
      <c r="B1174" s="14" t="s">
        <v>394</v>
      </c>
      <c r="C1174" s="15" t="s">
        <v>20</v>
      </c>
      <c r="D1174" s="16">
        <v>46109</v>
      </c>
      <c r="E1174" s="17">
        <v>2545</v>
      </c>
      <c r="F1174" s="18">
        <v>1</v>
      </c>
      <c r="G1174" s="19">
        <f>Cereal[[#This Row],[N° BOLSAS]]*Cereal[[#This Row],[KG BOLSA]]</f>
        <v>2545</v>
      </c>
      <c r="H1174" s="37">
        <v>40</v>
      </c>
      <c r="I1174" s="14">
        <f>ROUNDDOWN(Cereal[[#This Row],[N° BOLSAS]]/Cereal[[#This Row],[CAP. SACOS]],0)</f>
        <v>63</v>
      </c>
      <c r="J1174" s="14">
        <f>Cereal[[#This Row],[N° BOLSAS]]-Cereal[[#This Row],[N° SACOS]]*Cereal[[#This Row],[CAP. SACOS]]</f>
        <v>25</v>
      </c>
      <c r="K1174" s="16">
        <v>46106</v>
      </c>
      <c r="L1174" s="16">
        <v>46106</v>
      </c>
      <c r="M1174" s="16">
        <v>46106</v>
      </c>
      <c r="N1174" s="16" t="s">
        <v>395</v>
      </c>
    </row>
    <row r="1175" spans="1:14" hidden="1" x14ac:dyDescent="0.25">
      <c r="A1175" s="14" t="s">
        <v>14</v>
      </c>
      <c r="B1175" s="14" t="s">
        <v>394</v>
      </c>
      <c r="C1175" s="15" t="s">
        <v>21</v>
      </c>
      <c r="D1175" s="16">
        <v>46139</v>
      </c>
      <c r="E1175" s="17">
        <v>2630</v>
      </c>
      <c r="F1175" s="18">
        <v>1</v>
      </c>
      <c r="G1175" s="19">
        <f>Cereal[[#This Row],[N° BOLSAS]]*Cereal[[#This Row],[KG BOLSA]]</f>
        <v>2630</v>
      </c>
      <c r="H1175" s="37">
        <v>40</v>
      </c>
      <c r="I1175" s="14">
        <f>ROUNDDOWN(Cereal[[#This Row],[N° BOLSAS]]/Cereal[[#This Row],[CAP. SACOS]],0)</f>
        <v>65</v>
      </c>
      <c r="J1175" s="14">
        <f>Cereal[[#This Row],[N° BOLSAS]]-Cereal[[#This Row],[N° SACOS]]*Cereal[[#This Row],[CAP. SACOS]]</f>
        <v>30</v>
      </c>
      <c r="K1175" s="16">
        <v>46139</v>
      </c>
      <c r="L1175" s="16">
        <v>46139</v>
      </c>
      <c r="M1175" s="16">
        <v>46139</v>
      </c>
      <c r="N1175" s="16" t="s">
        <v>395</v>
      </c>
    </row>
    <row r="1176" spans="1:14" hidden="1" x14ac:dyDescent="0.25">
      <c r="A1176" s="14" t="s">
        <v>14</v>
      </c>
      <c r="B1176" s="14" t="s">
        <v>394</v>
      </c>
      <c r="C1176" s="15" t="s">
        <v>22</v>
      </c>
      <c r="D1176" s="16">
        <v>46170</v>
      </c>
      <c r="E1176" s="17">
        <v>2545</v>
      </c>
      <c r="F1176" s="18">
        <v>1</v>
      </c>
      <c r="G1176" s="19">
        <f>Cereal[[#This Row],[N° BOLSAS]]*Cereal[[#This Row],[KG BOLSA]]</f>
        <v>2545</v>
      </c>
      <c r="H1176" s="37">
        <v>40</v>
      </c>
      <c r="I1176" s="14">
        <f>ROUNDDOWN(Cereal[[#This Row],[N° BOLSAS]]/Cereal[[#This Row],[CAP. SACOS]],0)</f>
        <v>63</v>
      </c>
      <c r="J1176" s="14">
        <f>Cereal[[#This Row],[N° BOLSAS]]-Cereal[[#This Row],[N° SACOS]]*Cereal[[#This Row],[CAP. SACOS]]</f>
        <v>25</v>
      </c>
      <c r="K1176" s="16">
        <v>46161</v>
      </c>
      <c r="L1176" s="16">
        <v>46161</v>
      </c>
      <c r="M1176" s="16">
        <v>46164</v>
      </c>
      <c r="N1176" s="16" t="s">
        <v>395</v>
      </c>
    </row>
    <row r="1177" spans="1:14" hidden="1" x14ac:dyDescent="0.25">
      <c r="A1177" s="14" t="s">
        <v>14</v>
      </c>
      <c r="B1177" s="14" t="s">
        <v>394</v>
      </c>
      <c r="C1177" s="15" t="s">
        <v>23</v>
      </c>
      <c r="D1177" s="16">
        <v>46200</v>
      </c>
      <c r="E1177" s="17">
        <v>2630</v>
      </c>
      <c r="F1177" s="18">
        <v>1</v>
      </c>
      <c r="G1177" s="19">
        <f>Cereal[[#This Row],[N° BOLSAS]]*Cereal[[#This Row],[KG BOLSA]]</f>
        <v>2630</v>
      </c>
      <c r="H1177" s="37">
        <v>40</v>
      </c>
      <c r="I1177" s="14">
        <f>ROUNDDOWN(Cereal[[#This Row],[N° BOLSAS]]/Cereal[[#This Row],[CAP. SACOS]],0)</f>
        <v>65</v>
      </c>
      <c r="J1177" s="14">
        <f>Cereal[[#This Row],[N° BOLSAS]]-Cereal[[#This Row],[N° SACOS]]*Cereal[[#This Row],[CAP. SACOS]]</f>
        <v>30</v>
      </c>
      <c r="K1177" s="16">
        <v>46198</v>
      </c>
      <c r="L1177" s="16">
        <v>46198</v>
      </c>
      <c r="M1177" s="16">
        <v>46198</v>
      </c>
      <c r="N1177" s="16" t="s">
        <v>395</v>
      </c>
    </row>
    <row r="1178" spans="1:14" hidden="1" x14ac:dyDescent="0.25">
      <c r="A1178" s="14" t="s">
        <v>14</v>
      </c>
      <c r="B1178" s="14" t="s">
        <v>394</v>
      </c>
      <c r="C1178" s="15" t="s">
        <v>24</v>
      </c>
      <c r="D1178" s="16">
        <v>46231</v>
      </c>
      <c r="E1178" s="17">
        <v>2630</v>
      </c>
      <c r="F1178" s="18">
        <v>1</v>
      </c>
      <c r="G1178" s="19">
        <f>Cereal[[#This Row],[N° BOLSAS]]*Cereal[[#This Row],[KG BOLSA]]</f>
        <v>2630</v>
      </c>
      <c r="H1178" s="37">
        <v>40</v>
      </c>
      <c r="I1178" s="14">
        <f>ROUNDDOWN(Cereal[[#This Row],[N° BOLSAS]]/Cereal[[#This Row],[CAP. SACOS]],0)</f>
        <v>65</v>
      </c>
      <c r="J1178" s="14">
        <f>Cereal[[#This Row],[N° BOLSAS]]-Cereal[[#This Row],[N° SACOS]]*Cereal[[#This Row],[CAP. SACOS]]</f>
        <v>30</v>
      </c>
      <c r="K1178" s="16">
        <v>46225</v>
      </c>
      <c r="L1178" s="16">
        <v>46225</v>
      </c>
      <c r="M1178" s="16">
        <v>46225</v>
      </c>
      <c r="N1178" s="16" t="s">
        <v>395</v>
      </c>
    </row>
    <row r="1179" spans="1:14" hidden="1" x14ac:dyDescent="0.25">
      <c r="A1179" s="14" t="s">
        <v>14</v>
      </c>
      <c r="B1179" s="14" t="s">
        <v>394</v>
      </c>
      <c r="C1179" s="15" t="s">
        <v>25</v>
      </c>
      <c r="D1179" s="16">
        <v>46262</v>
      </c>
      <c r="E1179" s="17">
        <v>2545</v>
      </c>
      <c r="F1179" s="18">
        <v>1</v>
      </c>
      <c r="G1179" s="19">
        <f>Cereal[[#This Row],[N° BOLSAS]]*Cereal[[#This Row],[KG BOLSA]]</f>
        <v>2545</v>
      </c>
      <c r="H1179" s="37">
        <v>40</v>
      </c>
      <c r="I1179" s="14">
        <f>ROUNDDOWN(Cereal[[#This Row],[N° BOLSAS]]/Cereal[[#This Row],[CAP. SACOS]],0)</f>
        <v>63</v>
      </c>
      <c r="J1179" s="14">
        <f>Cereal[[#This Row],[N° BOLSAS]]-Cereal[[#This Row],[N° SACOS]]*Cereal[[#This Row],[CAP. SACOS]]</f>
        <v>25</v>
      </c>
      <c r="K1179" s="16">
        <v>46260</v>
      </c>
      <c r="L1179" s="16">
        <v>46260</v>
      </c>
      <c r="M1179" s="16">
        <v>46260</v>
      </c>
      <c r="N1179" s="16" t="s">
        <v>395</v>
      </c>
    </row>
    <row r="1180" spans="1:14" hidden="1" x14ac:dyDescent="0.25">
      <c r="A1180" s="14" t="s">
        <v>14</v>
      </c>
      <c r="B1180" s="14" t="s">
        <v>394</v>
      </c>
      <c r="C1180" s="15" t="s">
        <v>26</v>
      </c>
      <c r="D1180" s="16">
        <v>46292</v>
      </c>
      <c r="E1180" s="17">
        <v>2630</v>
      </c>
      <c r="F1180" s="18">
        <v>1</v>
      </c>
      <c r="G1180" s="19">
        <f>Cereal[[#This Row],[N° BOLSAS]]*Cereal[[#This Row],[KG BOLSA]]</f>
        <v>2630</v>
      </c>
      <c r="H1180" s="37">
        <v>40</v>
      </c>
      <c r="I1180" s="14">
        <f>ROUNDDOWN(Cereal[[#This Row],[N° BOLSAS]]/Cereal[[#This Row],[CAP. SACOS]],0)</f>
        <v>65</v>
      </c>
      <c r="J1180" s="14">
        <f>Cereal[[#This Row],[N° BOLSAS]]-Cereal[[#This Row],[N° SACOS]]*Cereal[[#This Row],[CAP. SACOS]]</f>
        <v>30</v>
      </c>
      <c r="K1180" s="16">
        <v>46294</v>
      </c>
      <c r="L1180" s="16">
        <v>46294</v>
      </c>
      <c r="M1180" s="16">
        <v>46294</v>
      </c>
      <c r="N1180" s="16" t="s">
        <v>395</v>
      </c>
    </row>
    <row r="1181" spans="1:14" hidden="1" x14ac:dyDescent="0.25">
      <c r="A1181" s="14" t="s">
        <v>14</v>
      </c>
      <c r="B1181" s="14" t="s">
        <v>394</v>
      </c>
      <c r="C1181" s="15" t="s">
        <v>27</v>
      </c>
      <c r="D1181" s="16">
        <v>46323</v>
      </c>
      <c r="E1181" s="17">
        <v>2545</v>
      </c>
      <c r="F1181" s="18">
        <v>1</v>
      </c>
      <c r="G1181" s="19">
        <f>Cereal[[#This Row],[N° BOLSAS]]*Cereal[[#This Row],[KG BOLSA]]</f>
        <v>2545</v>
      </c>
      <c r="H1181" s="37">
        <v>40</v>
      </c>
      <c r="I1181" s="14">
        <f>ROUNDDOWN(Cereal[[#This Row],[N° BOLSAS]]/Cereal[[#This Row],[CAP. SACOS]],0)</f>
        <v>63</v>
      </c>
      <c r="J1181" s="14">
        <f>Cereal[[#This Row],[N° BOLSAS]]-Cereal[[#This Row],[N° SACOS]]*Cereal[[#This Row],[CAP. SACOS]]</f>
        <v>25</v>
      </c>
      <c r="K1181" s="16"/>
      <c r="L1181" s="16"/>
      <c r="M1181" s="16"/>
      <c r="N1181" s="16" t="s">
        <v>395</v>
      </c>
    </row>
    <row r="1182" spans="1:14" hidden="1" x14ac:dyDescent="0.25">
      <c r="A1182" s="14" t="s">
        <v>14</v>
      </c>
      <c r="B1182" s="14" t="s">
        <v>394</v>
      </c>
      <c r="C1182" s="15" t="s">
        <v>28</v>
      </c>
      <c r="D1182" s="16">
        <v>46353</v>
      </c>
      <c r="E1182" s="17">
        <v>2630</v>
      </c>
      <c r="F1182" s="18">
        <v>1</v>
      </c>
      <c r="G1182" s="19">
        <f>Cereal[[#This Row],[N° BOLSAS]]*Cereal[[#This Row],[KG BOLSA]]</f>
        <v>2630</v>
      </c>
      <c r="H1182" s="37">
        <v>40</v>
      </c>
      <c r="I1182" s="14">
        <f>ROUNDDOWN(Cereal[[#This Row],[N° BOLSAS]]/Cereal[[#This Row],[CAP. SACOS]],0)</f>
        <v>65</v>
      </c>
      <c r="J1182" s="14">
        <f>Cereal[[#This Row],[N° BOLSAS]]-Cereal[[#This Row],[N° SACOS]]*Cereal[[#This Row],[CAP. SACOS]]</f>
        <v>30</v>
      </c>
      <c r="K1182" s="16"/>
      <c r="L1182" s="16"/>
      <c r="M1182" s="16"/>
      <c r="N1182" s="16" t="s">
        <v>395</v>
      </c>
    </row>
    <row r="1183" spans="1:14" hidden="1" x14ac:dyDescent="0.25">
      <c r="A1183" s="14" t="s">
        <v>193</v>
      </c>
      <c r="B1183" s="14" t="s">
        <v>396</v>
      </c>
      <c r="C1183" s="88" t="s">
        <v>195</v>
      </c>
      <c r="D1183" s="16">
        <v>46014</v>
      </c>
      <c r="E1183" s="17">
        <v>3040</v>
      </c>
      <c r="F1183" s="18">
        <v>1</v>
      </c>
      <c r="G1183" s="19">
        <f>Cereal[[#This Row],[N° BOLSAS]]*Cereal[[#This Row],[KG BOLSA]]</f>
        <v>3040</v>
      </c>
      <c r="H1183" s="37">
        <v>40</v>
      </c>
      <c r="I1183" s="14">
        <f>ROUNDDOWN(Cereal[[#This Row],[N° BOLSAS]]/Cereal[[#This Row],[CAP. SACOS]],0)</f>
        <v>76</v>
      </c>
      <c r="J1183" s="14">
        <f>Cereal[[#This Row],[N° BOLSAS]]-Cereal[[#This Row],[N° SACOS]]*Cereal[[#This Row],[CAP. SACOS]]</f>
        <v>0</v>
      </c>
      <c r="K1183" s="16">
        <v>46013</v>
      </c>
      <c r="L1183" s="16">
        <v>46013</v>
      </c>
      <c r="M1183" s="16">
        <v>46379</v>
      </c>
      <c r="N1183" s="16" t="s">
        <v>397</v>
      </c>
    </row>
    <row r="1184" spans="1:14" hidden="1" x14ac:dyDescent="0.25">
      <c r="A1184" s="14" t="s">
        <v>14</v>
      </c>
      <c r="B1184" s="14" t="s">
        <v>396</v>
      </c>
      <c r="C1184" s="15" t="s">
        <v>18</v>
      </c>
      <c r="D1184" s="16">
        <v>46048</v>
      </c>
      <c r="E1184" s="17">
        <v>2746</v>
      </c>
      <c r="F1184" s="18">
        <v>1</v>
      </c>
      <c r="G1184" s="19">
        <f>Cereal[[#This Row],[N° BOLSAS]]*Cereal[[#This Row],[KG BOLSA]]</f>
        <v>2746</v>
      </c>
      <c r="H1184" s="37">
        <v>40</v>
      </c>
      <c r="I1184" s="14">
        <f>ROUNDDOWN(Cereal[[#This Row],[N° BOLSAS]]/Cereal[[#This Row],[CAP. SACOS]],0)</f>
        <v>68</v>
      </c>
      <c r="J1184" s="14">
        <f>Cereal[[#This Row],[N° BOLSAS]]-Cereal[[#This Row],[N° SACOS]]*Cereal[[#This Row],[CAP. SACOS]]</f>
        <v>26</v>
      </c>
      <c r="K1184" s="16">
        <v>46048</v>
      </c>
      <c r="L1184" s="16">
        <v>46048</v>
      </c>
      <c r="M1184" s="16">
        <v>46048</v>
      </c>
      <c r="N1184" s="16" t="s">
        <v>398</v>
      </c>
    </row>
    <row r="1185" spans="1:14" hidden="1" x14ac:dyDescent="0.25">
      <c r="A1185" s="14" t="s">
        <v>14</v>
      </c>
      <c r="B1185" s="14" t="s">
        <v>396</v>
      </c>
      <c r="C1185" s="15" t="s">
        <v>19</v>
      </c>
      <c r="D1185" s="16">
        <v>46077</v>
      </c>
      <c r="E1185" s="17">
        <v>3040</v>
      </c>
      <c r="F1185" s="18">
        <v>1</v>
      </c>
      <c r="G1185" s="19">
        <f>Cereal[[#This Row],[N° BOLSAS]]*Cereal[[#This Row],[KG BOLSA]]</f>
        <v>3040</v>
      </c>
      <c r="H1185" s="37">
        <v>40</v>
      </c>
      <c r="I1185" s="14">
        <f>ROUNDDOWN(Cereal[[#This Row],[N° BOLSAS]]/Cereal[[#This Row],[CAP. SACOS]],0)</f>
        <v>76</v>
      </c>
      <c r="J1185" s="14">
        <f>Cereal[[#This Row],[N° BOLSAS]]-Cereal[[#This Row],[N° SACOS]]*Cereal[[#This Row],[CAP. SACOS]]</f>
        <v>0</v>
      </c>
      <c r="K1185" s="16">
        <v>46073</v>
      </c>
      <c r="L1185" s="16">
        <v>46073</v>
      </c>
      <c r="M1185" s="16">
        <v>46076</v>
      </c>
      <c r="N1185" s="16" t="s">
        <v>398</v>
      </c>
    </row>
    <row r="1186" spans="1:14" hidden="1" x14ac:dyDescent="0.25">
      <c r="A1186" s="14" t="s">
        <v>14</v>
      </c>
      <c r="B1186" s="14" t="s">
        <v>396</v>
      </c>
      <c r="C1186" s="15" t="s">
        <v>20</v>
      </c>
      <c r="D1186" s="16">
        <v>46105</v>
      </c>
      <c r="E1186" s="17">
        <v>2942</v>
      </c>
      <c r="F1186" s="18">
        <v>1</v>
      </c>
      <c r="G1186" s="19">
        <f>Cereal[[#This Row],[N° BOLSAS]]*Cereal[[#This Row],[KG BOLSA]]</f>
        <v>2942</v>
      </c>
      <c r="H1186" s="37">
        <v>40</v>
      </c>
      <c r="I1186" s="14">
        <f>ROUNDDOWN(Cereal[[#This Row],[N° BOLSAS]]/Cereal[[#This Row],[CAP. SACOS]],0)</f>
        <v>73</v>
      </c>
      <c r="J1186" s="14">
        <f>Cereal[[#This Row],[N° BOLSAS]]-Cereal[[#This Row],[N° SACOS]]*Cereal[[#This Row],[CAP. SACOS]]</f>
        <v>22</v>
      </c>
      <c r="K1186" s="16">
        <v>46104</v>
      </c>
      <c r="L1186" s="16">
        <v>46104</v>
      </c>
      <c r="M1186" s="16">
        <v>46104</v>
      </c>
      <c r="N1186" s="16" t="s">
        <v>398</v>
      </c>
    </row>
    <row r="1187" spans="1:14" hidden="1" x14ac:dyDescent="0.25">
      <c r="A1187" s="14" t="s">
        <v>14</v>
      </c>
      <c r="B1187" s="14" t="s">
        <v>396</v>
      </c>
      <c r="C1187" s="15" t="s">
        <v>21</v>
      </c>
      <c r="D1187" s="16">
        <v>46136</v>
      </c>
      <c r="E1187" s="17">
        <v>3040</v>
      </c>
      <c r="F1187" s="18">
        <v>1</v>
      </c>
      <c r="G1187" s="19">
        <f>Cereal[[#This Row],[N° BOLSAS]]*Cereal[[#This Row],[KG BOLSA]]</f>
        <v>3040</v>
      </c>
      <c r="H1187" s="37">
        <v>40</v>
      </c>
      <c r="I1187" s="14">
        <f>ROUNDDOWN(Cereal[[#This Row],[N° BOLSAS]]/Cereal[[#This Row],[CAP. SACOS]],0)</f>
        <v>76</v>
      </c>
      <c r="J1187" s="14">
        <f>Cereal[[#This Row],[N° BOLSAS]]-Cereal[[#This Row],[N° SACOS]]*Cereal[[#This Row],[CAP. SACOS]]</f>
        <v>0</v>
      </c>
      <c r="K1187" s="16">
        <v>46135</v>
      </c>
      <c r="L1187" s="16">
        <v>46135</v>
      </c>
      <c r="M1187" s="16">
        <v>46136</v>
      </c>
      <c r="N1187" s="16" t="s">
        <v>398</v>
      </c>
    </row>
    <row r="1188" spans="1:14" hidden="1" x14ac:dyDescent="0.25">
      <c r="A1188" s="14" t="s">
        <v>14</v>
      </c>
      <c r="B1188" s="14" t="s">
        <v>396</v>
      </c>
      <c r="C1188" s="15" t="s">
        <v>22</v>
      </c>
      <c r="D1188" s="16">
        <v>46168</v>
      </c>
      <c r="E1188" s="17">
        <v>2942</v>
      </c>
      <c r="F1188" s="18">
        <v>1</v>
      </c>
      <c r="G1188" s="19">
        <f>Cereal[[#This Row],[N° BOLSAS]]*Cereal[[#This Row],[KG BOLSA]]</f>
        <v>2942</v>
      </c>
      <c r="H1188" s="37">
        <v>40</v>
      </c>
      <c r="I1188" s="14">
        <f>ROUNDDOWN(Cereal[[#This Row],[N° BOLSAS]]/Cereal[[#This Row],[CAP. SACOS]],0)</f>
        <v>73</v>
      </c>
      <c r="J1188" s="14">
        <f>Cereal[[#This Row],[N° BOLSAS]]-Cereal[[#This Row],[N° SACOS]]*Cereal[[#This Row],[CAP. SACOS]]</f>
        <v>22</v>
      </c>
      <c r="K1188" s="16">
        <v>46153</v>
      </c>
      <c r="L1188" s="16">
        <v>46153</v>
      </c>
      <c r="M1188" s="16">
        <v>46167</v>
      </c>
      <c r="N1188" s="16" t="s">
        <v>398</v>
      </c>
    </row>
    <row r="1189" spans="1:14" hidden="1" x14ac:dyDescent="0.25">
      <c r="A1189" s="14" t="s">
        <v>14</v>
      </c>
      <c r="B1189" s="14" t="s">
        <v>396</v>
      </c>
      <c r="C1189" s="15" t="s">
        <v>23</v>
      </c>
      <c r="D1189" s="16">
        <v>46198</v>
      </c>
      <c r="E1189" s="17">
        <v>3040</v>
      </c>
      <c r="F1189" s="18">
        <v>1</v>
      </c>
      <c r="G1189" s="19">
        <f>Cereal[[#This Row],[N° BOLSAS]]*Cereal[[#This Row],[KG BOLSA]]</f>
        <v>3040</v>
      </c>
      <c r="H1189" s="37">
        <v>40</v>
      </c>
      <c r="I1189" s="14">
        <f>ROUNDDOWN(Cereal[[#This Row],[N° BOLSAS]]/Cereal[[#This Row],[CAP. SACOS]],0)</f>
        <v>76</v>
      </c>
      <c r="J1189" s="14">
        <f>Cereal[[#This Row],[N° BOLSAS]]-Cereal[[#This Row],[N° SACOS]]*Cereal[[#This Row],[CAP. SACOS]]</f>
        <v>0</v>
      </c>
      <c r="K1189" s="16">
        <v>46195</v>
      </c>
      <c r="L1189" s="16">
        <v>46195</v>
      </c>
      <c r="M1189" s="16">
        <v>46196</v>
      </c>
      <c r="N1189" s="16" t="s">
        <v>398</v>
      </c>
    </row>
    <row r="1190" spans="1:14" hidden="1" x14ac:dyDescent="0.25">
      <c r="A1190" s="14" t="s">
        <v>14</v>
      </c>
      <c r="B1190" s="14" t="s">
        <v>396</v>
      </c>
      <c r="C1190" s="15" t="s">
        <v>24</v>
      </c>
      <c r="D1190" s="16">
        <v>46230</v>
      </c>
      <c r="E1190" s="17">
        <v>3040</v>
      </c>
      <c r="F1190" s="18">
        <v>1</v>
      </c>
      <c r="G1190" s="19">
        <f>Cereal[[#This Row],[N° BOLSAS]]*Cereal[[#This Row],[KG BOLSA]]</f>
        <v>3040</v>
      </c>
      <c r="H1190" s="37">
        <v>40</v>
      </c>
      <c r="I1190" s="14">
        <f>ROUNDDOWN(Cereal[[#This Row],[N° BOLSAS]]/Cereal[[#This Row],[CAP. SACOS]],0)</f>
        <v>76</v>
      </c>
      <c r="J1190" s="14">
        <f>Cereal[[#This Row],[N° BOLSAS]]-Cereal[[#This Row],[N° SACOS]]*Cereal[[#This Row],[CAP. SACOS]]</f>
        <v>0</v>
      </c>
      <c r="K1190" s="16">
        <v>46224</v>
      </c>
      <c r="L1190" s="16">
        <v>46224</v>
      </c>
      <c r="M1190" s="16">
        <v>46225</v>
      </c>
      <c r="N1190" s="16" t="s">
        <v>398</v>
      </c>
    </row>
    <row r="1191" spans="1:14" hidden="1" x14ac:dyDescent="0.25">
      <c r="A1191" s="14" t="s">
        <v>14</v>
      </c>
      <c r="B1191" s="14" t="s">
        <v>396</v>
      </c>
      <c r="C1191" s="15" t="s">
        <v>25</v>
      </c>
      <c r="D1191" s="16">
        <v>46260</v>
      </c>
      <c r="E1191" s="17">
        <v>2942</v>
      </c>
      <c r="F1191" s="18">
        <v>1</v>
      </c>
      <c r="G1191" s="19">
        <f>Cereal[[#This Row],[N° BOLSAS]]*Cereal[[#This Row],[KG BOLSA]]</f>
        <v>2942</v>
      </c>
      <c r="H1191" s="37">
        <v>40</v>
      </c>
      <c r="I1191" s="14">
        <f>ROUNDDOWN(Cereal[[#This Row],[N° BOLSAS]]/Cereal[[#This Row],[CAP. SACOS]],0)</f>
        <v>73</v>
      </c>
      <c r="J1191" s="14">
        <f>Cereal[[#This Row],[N° BOLSAS]]-Cereal[[#This Row],[N° SACOS]]*Cereal[[#This Row],[CAP. SACOS]]</f>
        <v>22</v>
      </c>
      <c r="K1191" s="16">
        <v>46249</v>
      </c>
      <c r="L1191" s="16">
        <v>46249</v>
      </c>
      <c r="M1191" s="16">
        <v>46258</v>
      </c>
      <c r="N1191" s="16" t="s">
        <v>398</v>
      </c>
    </row>
    <row r="1192" spans="1:14" hidden="1" x14ac:dyDescent="0.25">
      <c r="A1192" s="14" t="s">
        <v>14</v>
      </c>
      <c r="B1192" s="14" t="s">
        <v>396</v>
      </c>
      <c r="C1192" s="15" t="s">
        <v>30</v>
      </c>
      <c r="D1192" s="16">
        <v>46265</v>
      </c>
      <c r="E1192" s="17">
        <v>13509</v>
      </c>
      <c r="F1192" s="18">
        <v>1</v>
      </c>
      <c r="G1192" s="19">
        <f>Cereal[[#This Row],[N° BOLSAS]]*Cereal[[#This Row],[KG BOLSA]]</f>
        <v>13509</v>
      </c>
      <c r="H1192" s="37">
        <v>40</v>
      </c>
      <c r="I1192" s="14">
        <f>ROUNDDOWN(Cereal[[#This Row],[N° BOLSAS]]/Cereal[[#This Row],[CAP. SACOS]],0)</f>
        <v>337</v>
      </c>
      <c r="J1192" s="14">
        <f>Cereal[[#This Row],[N° BOLSAS]]-Cereal[[#This Row],[N° SACOS]]*Cereal[[#This Row],[CAP. SACOS]]</f>
        <v>29</v>
      </c>
      <c r="K1192" s="16">
        <v>46258</v>
      </c>
      <c r="L1192" s="16">
        <v>46258</v>
      </c>
      <c r="M1192" s="16">
        <v>46258</v>
      </c>
      <c r="N1192" s="16" t="s">
        <v>398</v>
      </c>
    </row>
    <row r="1193" spans="1:14" hidden="1" x14ac:dyDescent="0.25">
      <c r="A1193" s="14" t="s">
        <v>14</v>
      </c>
      <c r="B1193" s="14" t="s">
        <v>396</v>
      </c>
      <c r="C1193" s="15" t="s">
        <v>26</v>
      </c>
      <c r="D1193" s="16">
        <v>46290</v>
      </c>
      <c r="E1193" s="17">
        <v>3040</v>
      </c>
      <c r="F1193" s="18">
        <v>1</v>
      </c>
      <c r="G1193" s="19">
        <f>Cereal[[#This Row],[N° BOLSAS]]*Cereal[[#This Row],[KG BOLSA]]</f>
        <v>3040</v>
      </c>
      <c r="H1193" s="37">
        <v>40</v>
      </c>
      <c r="I1193" s="14">
        <f>ROUNDDOWN(Cereal[[#This Row],[N° BOLSAS]]/Cereal[[#This Row],[CAP. SACOS]],0)</f>
        <v>76</v>
      </c>
      <c r="J1193" s="14">
        <f>Cereal[[#This Row],[N° BOLSAS]]-Cereal[[#This Row],[N° SACOS]]*Cereal[[#This Row],[CAP. SACOS]]</f>
        <v>0</v>
      </c>
      <c r="K1193" s="16">
        <v>46288</v>
      </c>
      <c r="L1193" s="16">
        <v>46288</v>
      </c>
      <c r="M1193" s="16">
        <v>46288</v>
      </c>
      <c r="N1193" s="16" t="s">
        <v>398</v>
      </c>
    </row>
    <row r="1194" spans="1:14" hidden="1" x14ac:dyDescent="0.25">
      <c r="A1194" s="14" t="s">
        <v>14</v>
      </c>
      <c r="B1194" s="14" t="s">
        <v>396</v>
      </c>
      <c r="C1194" s="15" t="s">
        <v>27</v>
      </c>
      <c r="D1194" s="16">
        <v>46321</v>
      </c>
      <c r="E1194" s="17">
        <v>2942</v>
      </c>
      <c r="F1194" s="18">
        <v>1</v>
      </c>
      <c r="G1194" s="19">
        <f>Cereal[[#This Row],[N° BOLSAS]]*Cereal[[#This Row],[KG BOLSA]]</f>
        <v>2942</v>
      </c>
      <c r="H1194" s="37">
        <v>40</v>
      </c>
      <c r="I1194" s="14">
        <f>ROUNDDOWN(Cereal[[#This Row],[N° BOLSAS]]/Cereal[[#This Row],[CAP. SACOS]],0)</f>
        <v>73</v>
      </c>
      <c r="J1194" s="14">
        <f>Cereal[[#This Row],[N° BOLSAS]]-Cereal[[#This Row],[N° SACOS]]*Cereal[[#This Row],[CAP. SACOS]]</f>
        <v>22</v>
      </c>
      <c r="K1194" s="16"/>
      <c r="L1194" s="16"/>
      <c r="M1194" s="16"/>
      <c r="N1194" s="16" t="s">
        <v>398</v>
      </c>
    </row>
    <row r="1195" spans="1:14" hidden="1" x14ac:dyDescent="0.25">
      <c r="A1195" s="14" t="s">
        <v>14</v>
      </c>
      <c r="B1195" s="14" t="s">
        <v>396</v>
      </c>
      <c r="C1195" s="15" t="s">
        <v>28</v>
      </c>
      <c r="D1195" s="16">
        <v>46350</v>
      </c>
      <c r="E1195" s="17">
        <v>3040</v>
      </c>
      <c r="F1195" s="18">
        <v>1</v>
      </c>
      <c r="G1195" s="19">
        <f>Cereal[[#This Row],[N° BOLSAS]]*Cereal[[#This Row],[KG BOLSA]]</f>
        <v>3040</v>
      </c>
      <c r="H1195" s="37">
        <v>40</v>
      </c>
      <c r="I1195" s="14">
        <f>ROUNDDOWN(Cereal[[#This Row],[N° BOLSAS]]/Cereal[[#This Row],[CAP. SACOS]],0)</f>
        <v>76</v>
      </c>
      <c r="J1195" s="14">
        <f>Cereal[[#This Row],[N° BOLSAS]]-Cereal[[#This Row],[N° SACOS]]*Cereal[[#This Row],[CAP. SACOS]]</f>
        <v>0</v>
      </c>
      <c r="K1195" s="16"/>
      <c r="L1195" s="16"/>
      <c r="M1195" s="16"/>
      <c r="N1195" s="16" t="s">
        <v>398</v>
      </c>
    </row>
    <row r="1196" spans="1:14" hidden="1" x14ac:dyDescent="0.25">
      <c r="A1196" s="14" t="s">
        <v>14</v>
      </c>
      <c r="B1196" s="14" t="s">
        <v>396</v>
      </c>
      <c r="C1196" s="88">
        <v>46388</v>
      </c>
      <c r="D1196" s="16">
        <v>46379</v>
      </c>
      <c r="E1196" s="17">
        <v>3040</v>
      </c>
      <c r="F1196" s="18">
        <v>1</v>
      </c>
      <c r="G1196" s="19">
        <f>Cereal[[#This Row],[N° BOLSAS]]*Cereal[[#This Row],[KG BOLSA]]</f>
        <v>3040</v>
      </c>
      <c r="H1196" s="37">
        <v>40</v>
      </c>
      <c r="I1196" s="14">
        <f>ROUNDDOWN(Cereal[[#This Row],[N° BOLSAS]]/Cereal[[#This Row],[CAP. SACOS]],0)</f>
        <v>76</v>
      </c>
      <c r="J1196" s="14">
        <f>Cereal[[#This Row],[N° BOLSAS]]-Cereal[[#This Row],[N° SACOS]]*Cereal[[#This Row],[CAP. SACOS]]</f>
        <v>0</v>
      </c>
      <c r="K1196" s="16"/>
      <c r="L1196" s="16"/>
      <c r="M1196" s="16"/>
      <c r="N1196" s="16" t="s">
        <v>398</v>
      </c>
    </row>
    <row r="1197" spans="1:14" ht="22.5" hidden="1" x14ac:dyDescent="0.25">
      <c r="A1197" s="14" t="s">
        <v>14</v>
      </c>
      <c r="B1197" s="14" t="s">
        <v>399</v>
      </c>
      <c r="C1197" s="15" t="s">
        <v>35</v>
      </c>
      <c r="D1197" s="16">
        <v>46055</v>
      </c>
      <c r="E1197" s="17">
        <v>1989</v>
      </c>
      <c r="F1197" s="18">
        <v>1.5</v>
      </c>
      <c r="G1197" s="19">
        <f>Cereal[[#This Row],[N° BOLSAS]]*Cereal[[#This Row],[KG BOLSA]]</f>
        <v>2983.5</v>
      </c>
      <c r="H1197" s="37">
        <v>30</v>
      </c>
      <c r="I1197" s="14">
        <f>ROUNDDOWN(Cereal[[#This Row],[N° BOLSAS]]/Cereal[[#This Row],[CAP. SACOS]],0)</f>
        <v>66</v>
      </c>
      <c r="J1197" s="14">
        <f>Cereal[[#This Row],[N° BOLSAS]]-Cereal[[#This Row],[N° SACOS]]*Cereal[[#This Row],[CAP. SACOS]]</f>
        <v>9</v>
      </c>
      <c r="K1197" s="16">
        <v>46084</v>
      </c>
      <c r="L1197" s="16">
        <v>46084</v>
      </c>
      <c r="M1197" s="16">
        <v>46084</v>
      </c>
      <c r="N1197" s="16" t="s">
        <v>400</v>
      </c>
    </row>
    <row r="1198" spans="1:14" hidden="1" x14ac:dyDescent="0.25">
      <c r="A1198" s="14" t="s">
        <v>14</v>
      </c>
      <c r="B1198" s="14" t="s">
        <v>399</v>
      </c>
      <c r="C1198" s="15" t="s">
        <v>37</v>
      </c>
      <c r="D1198" s="16">
        <v>46142</v>
      </c>
      <c r="E1198" s="17">
        <v>1989</v>
      </c>
      <c r="F1198" s="18">
        <v>1.5</v>
      </c>
      <c r="G1198" s="19">
        <f>Cereal[[#This Row],[N° BOLSAS]]*Cereal[[#This Row],[KG BOLSA]]</f>
        <v>2983.5</v>
      </c>
      <c r="H1198" s="37">
        <v>30</v>
      </c>
      <c r="I1198" s="14">
        <f>ROUNDDOWN(Cereal[[#This Row],[N° BOLSAS]]/Cereal[[#This Row],[CAP. SACOS]],0)</f>
        <v>66</v>
      </c>
      <c r="J1198" s="14">
        <f>Cereal[[#This Row],[N° BOLSAS]]-Cereal[[#This Row],[N° SACOS]]*Cereal[[#This Row],[CAP. SACOS]]</f>
        <v>9</v>
      </c>
      <c r="K1198" s="16">
        <v>46150</v>
      </c>
      <c r="L1198" s="16">
        <v>46150</v>
      </c>
      <c r="M1198" s="16">
        <v>46156</v>
      </c>
      <c r="N1198" s="16" t="s">
        <v>400</v>
      </c>
    </row>
    <row r="1199" spans="1:14" ht="22.5" hidden="1" x14ac:dyDescent="0.25">
      <c r="A1199" s="14" t="s">
        <v>14</v>
      </c>
      <c r="B1199" s="14" t="s">
        <v>399</v>
      </c>
      <c r="C1199" s="15" t="s">
        <v>38</v>
      </c>
      <c r="D1199" s="16">
        <v>46203</v>
      </c>
      <c r="E1199" s="17">
        <v>1989</v>
      </c>
      <c r="F1199" s="18">
        <v>1.5</v>
      </c>
      <c r="G1199" s="19">
        <f>Cereal[[#This Row],[N° BOLSAS]]*Cereal[[#This Row],[KG BOLSA]]</f>
        <v>2983.5</v>
      </c>
      <c r="H1199" s="37">
        <v>30</v>
      </c>
      <c r="I1199" s="14">
        <f>ROUNDDOWN(Cereal[[#This Row],[N° BOLSAS]]/Cereal[[#This Row],[CAP. SACOS]],0)</f>
        <v>66</v>
      </c>
      <c r="J1199" s="14">
        <f>Cereal[[#This Row],[N° BOLSAS]]-Cereal[[#This Row],[N° SACOS]]*Cereal[[#This Row],[CAP. SACOS]]</f>
        <v>9</v>
      </c>
      <c r="K1199" s="16">
        <v>46237</v>
      </c>
      <c r="L1199" s="16">
        <v>46237</v>
      </c>
      <c r="M1199" s="16">
        <v>46245</v>
      </c>
      <c r="N1199" s="16" t="s">
        <v>400</v>
      </c>
    </row>
    <row r="1200" spans="1:14" ht="33.75" hidden="1" x14ac:dyDescent="0.25">
      <c r="A1200" s="14" t="s">
        <v>14</v>
      </c>
      <c r="B1200" s="14" t="s">
        <v>399</v>
      </c>
      <c r="C1200" s="15" t="s">
        <v>39</v>
      </c>
      <c r="D1200" s="16">
        <v>46295</v>
      </c>
      <c r="E1200" s="17">
        <v>1989</v>
      </c>
      <c r="F1200" s="18">
        <v>1.5</v>
      </c>
      <c r="G1200" s="19">
        <f>Cereal[[#This Row],[N° BOLSAS]]*Cereal[[#This Row],[KG BOLSA]]</f>
        <v>2983.5</v>
      </c>
      <c r="H1200" s="37">
        <v>30</v>
      </c>
      <c r="I1200" s="14">
        <f>ROUNDDOWN(Cereal[[#This Row],[N° BOLSAS]]/Cereal[[#This Row],[CAP. SACOS]],0)</f>
        <v>66</v>
      </c>
      <c r="J1200" s="14">
        <f>Cereal[[#This Row],[N° BOLSAS]]-Cereal[[#This Row],[N° SACOS]]*Cereal[[#This Row],[CAP. SACOS]]</f>
        <v>9</v>
      </c>
      <c r="K1200" s="16"/>
      <c r="L1200" s="16"/>
      <c r="M1200" s="16"/>
      <c r="N1200" s="16" t="s">
        <v>400</v>
      </c>
    </row>
    <row r="1201" spans="1:14" hidden="1" x14ac:dyDescent="0.25">
      <c r="A1201" s="14" t="s">
        <v>14</v>
      </c>
      <c r="B1201" s="14" t="s">
        <v>401</v>
      </c>
      <c r="C1201" s="15" t="s">
        <v>121</v>
      </c>
      <c r="D1201" s="16">
        <v>46037</v>
      </c>
      <c r="E1201" s="17">
        <v>2802</v>
      </c>
      <c r="F1201" s="18">
        <v>0.76004400000000005</v>
      </c>
      <c r="G1201" s="19">
        <f>Cereal[[#This Row],[N° BOLSAS]]*Cereal[[#This Row],[KG BOLSA]]</f>
        <v>2129.6432880000002</v>
      </c>
      <c r="H1201" s="37">
        <v>60</v>
      </c>
      <c r="I1201" s="14">
        <f>ROUNDDOWN(Cereal[[#This Row],[N° BOLSAS]]/Cereal[[#This Row],[CAP. SACOS]],0)</f>
        <v>46</v>
      </c>
      <c r="J1201" s="14">
        <f>Cereal[[#This Row],[N° BOLSAS]]-Cereal[[#This Row],[N° SACOS]]*Cereal[[#This Row],[CAP. SACOS]]</f>
        <v>42</v>
      </c>
      <c r="K1201" s="16">
        <v>46034</v>
      </c>
      <c r="L1201" s="16">
        <v>46034</v>
      </c>
      <c r="M1201" s="16">
        <v>46036</v>
      </c>
      <c r="N1201" s="16" t="s">
        <v>402</v>
      </c>
    </row>
    <row r="1202" spans="1:14" hidden="1" x14ac:dyDescent="0.25">
      <c r="A1202" s="14" t="s">
        <v>14</v>
      </c>
      <c r="B1202" s="14" t="s">
        <v>401</v>
      </c>
      <c r="C1202" s="15" t="s">
        <v>122</v>
      </c>
      <c r="D1202" s="16">
        <v>46080</v>
      </c>
      <c r="E1202" s="17">
        <v>2802</v>
      </c>
      <c r="F1202" s="18">
        <v>0.76004400000000005</v>
      </c>
      <c r="G1202" s="19">
        <f>Cereal[[#This Row],[N° BOLSAS]]*Cereal[[#This Row],[KG BOLSA]]</f>
        <v>2129.6432880000002</v>
      </c>
      <c r="H1202" s="37">
        <v>60</v>
      </c>
      <c r="I1202" s="14">
        <f>ROUNDDOWN(Cereal[[#This Row],[N° BOLSAS]]/Cereal[[#This Row],[CAP. SACOS]],0)</f>
        <v>46</v>
      </c>
      <c r="J1202" s="14">
        <f>Cereal[[#This Row],[N° BOLSAS]]-Cereal[[#This Row],[N° SACOS]]*Cereal[[#This Row],[CAP. SACOS]]</f>
        <v>42</v>
      </c>
      <c r="K1202" s="16">
        <v>46083</v>
      </c>
      <c r="L1202" s="16">
        <v>46083</v>
      </c>
      <c r="M1202" s="16">
        <v>46083</v>
      </c>
      <c r="N1202" s="16" t="s">
        <v>402</v>
      </c>
    </row>
    <row r="1203" spans="1:14" hidden="1" x14ac:dyDescent="0.25">
      <c r="A1203" s="14" t="s">
        <v>14</v>
      </c>
      <c r="B1203" s="14" t="s">
        <v>401</v>
      </c>
      <c r="C1203" s="15" t="s">
        <v>43</v>
      </c>
      <c r="D1203" s="16">
        <v>46135</v>
      </c>
      <c r="E1203" s="17">
        <v>2802</v>
      </c>
      <c r="F1203" s="18">
        <v>0.76004400000000005</v>
      </c>
      <c r="G1203" s="19">
        <f>Cereal[[#This Row],[N° BOLSAS]]*Cereal[[#This Row],[KG BOLSA]]</f>
        <v>2129.6432880000002</v>
      </c>
      <c r="H1203" s="37">
        <v>60</v>
      </c>
      <c r="I1203" s="14">
        <f>ROUNDDOWN(Cereal[[#This Row],[N° BOLSAS]]/Cereal[[#This Row],[CAP. SACOS]],0)</f>
        <v>46</v>
      </c>
      <c r="J1203" s="14">
        <f>Cereal[[#This Row],[N° BOLSAS]]-Cereal[[#This Row],[N° SACOS]]*Cereal[[#This Row],[CAP. SACOS]]</f>
        <v>42</v>
      </c>
      <c r="K1203" s="16">
        <v>46135</v>
      </c>
      <c r="L1203" s="16">
        <v>46135</v>
      </c>
      <c r="M1203" s="16">
        <v>46135</v>
      </c>
      <c r="N1203" s="16" t="s">
        <v>402</v>
      </c>
    </row>
    <row r="1204" spans="1:14" hidden="1" x14ac:dyDescent="0.25">
      <c r="A1204" s="14" t="s">
        <v>14</v>
      </c>
      <c r="B1204" s="14" t="s">
        <v>401</v>
      </c>
      <c r="C1204" s="15" t="s">
        <v>44</v>
      </c>
      <c r="D1204" s="16">
        <v>46201</v>
      </c>
      <c r="E1204" s="17">
        <v>2802</v>
      </c>
      <c r="F1204" s="18">
        <v>0.76004400000000005</v>
      </c>
      <c r="G1204" s="19">
        <f>Cereal[[#This Row],[N° BOLSAS]]*Cereal[[#This Row],[KG BOLSA]]</f>
        <v>2129.6432880000002</v>
      </c>
      <c r="H1204" s="37">
        <v>60</v>
      </c>
      <c r="I1204" s="14">
        <f>ROUNDDOWN(Cereal[[#This Row],[N° BOLSAS]]/Cereal[[#This Row],[CAP. SACOS]],0)</f>
        <v>46</v>
      </c>
      <c r="J1204" s="14">
        <f>Cereal[[#This Row],[N° BOLSAS]]-Cereal[[#This Row],[N° SACOS]]*Cereal[[#This Row],[CAP. SACOS]]</f>
        <v>42</v>
      </c>
      <c r="K1204" s="16">
        <v>46195</v>
      </c>
      <c r="L1204" s="16">
        <v>46195</v>
      </c>
      <c r="M1204" s="16">
        <v>46195</v>
      </c>
      <c r="N1204" s="16" t="s">
        <v>402</v>
      </c>
    </row>
    <row r="1205" spans="1:14" hidden="1" x14ac:dyDescent="0.25">
      <c r="A1205" s="14" t="s">
        <v>14</v>
      </c>
      <c r="B1205" s="14" t="s">
        <v>401</v>
      </c>
      <c r="C1205" s="15" t="s">
        <v>30</v>
      </c>
      <c r="D1205" s="16">
        <v>46260</v>
      </c>
      <c r="E1205" s="17">
        <v>700</v>
      </c>
      <c r="F1205" s="18">
        <v>1.577</v>
      </c>
      <c r="G1205" s="19">
        <f>Cereal[[#This Row],[N° BOLSAS]]*Cereal[[#This Row],[KG BOLSA]]</f>
        <v>1103.8999999999999</v>
      </c>
      <c r="H1205" s="37">
        <v>25</v>
      </c>
      <c r="I1205" s="14">
        <f>ROUNDDOWN(Cereal[[#This Row],[N° BOLSAS]]/Cereal[[#This Row],[CAP. SACOS]],0)</f>
        <v>28</v>
      </c>
      <c r="J1205" s="14">
        <f>Cereal[[#This Row],[N° BOLSAS]]-Cereal[[#This Row],[N° SACOS]]*Cereal[[#This Row],[CAP. SACOS]]</f>
        <v>0</v>
      </c>
      <c r="K1205" s="16">
        <v>46252</v>
      </c>
      <c r="L1205" s="16">
        <v>46252</v>
      </c>
      <c r="M1205" s="16">
        <v>46253</v>
      </c>
      <c r="N1205" s="16" t="s">
        <v>402</v>
      </c>
    </row>
    <row r="1206" spans="1:14" ht="22.5" hidden="1" x14ac:dyDescent="0.25">
      <c r="A1206" s="14" t="s">
        <v>14</v>
      </c>
      <c r="B1206" s="14" t="s">
        <v>401</v>
      </c>
      <c r="C1206" s="15" t="s">
        <v>45</v>
      </c>
      <c r="D1206" s="16">
        <v>46260</v>
      </c>
      <c r="E1206" s="17">
        <v>2802</v>
      </c>
      <c r="F1206" s="18">
        <v>0.76004400000000005</v>
      </c>
      <c r="G1206" s="19">
        <f>Cereal[[#This Row],[N° BOLSAS]]*Cereal[[#This Row],[KG BOLSA]]</f>
        <v>2129.6432880000002</v>
      </c>
      <c r="H1206" s="37">
        <v>60</v>
      </c>
      <c r="I1206" s="14">
        <f>ROUNDDOWN(Cereal[[#This Row],[N° BOLSAS]]/Cereal[[#This Row],[CAP. SACOS]],0)</f>
        <v>46</v>
      </c>
      <c r="J1206" s="14">
        <f>Cereal[[#This Row],[N° BOLSAS]]-Cereal[[#This Row],[N° SACOS]]*Cereal[[#This Row],[CAP. SACOS]]</f>
        <v>42</v>
      </c>
      <c r="K1206" s="16">
        <v>46252</v>
      </c>
      <c r="L1206" s="16">
        <v>46252</v>
      </c>
      <c r="M1206" s="16">
        <v>46253</v>
      </c>
      <c r="N1206" s="16" t="s">
        <v>402</v>
      </c>
    </row>
    <row r="1207" spans="1:14" ht="22.5" hidden="1" x14ac:dyDescent="0.25">
      <c r="A1207" s="14" t="s">
        <v>14</v>
      </c>
      <c r="B1207" s="14" t="s">
        <v>401</v>
      </c>
      <c r="C1207" s="15" t="s">
        <v>46</v>
      </c>
      <c r="D1207" s="16">
        <v>46323</v>
      </c>
      <c r="E1207" s="17">
        <v>2802</v>
      </c>
      <c r="F1207" s="18">
        <v>0.76004400000000005</v>
      </c>
      <c r="G1207" s="19">
        <f>Cereal[[#This Row],[N° BOLSAS]]*Cereal[[#This Row],[KG BOLSA]]</f>
        <v>2129.6432880000002</v>
      </c>
      <c r="H1207" s="37">
        <v>60</v>
      </c>
      <c r="I1207" s="14">
        <f>ROUNDDOWN(Cereal[[#This Row],[N° BOLSAS]]/Cereal[[#This Row],[CAP. SACOS]],0)</f>
        <v>46</v>
      </c>
      <c r="J1207" s="14">
        <f>Cereal[[#This Row],[N° BOLSAS]]-Cereal[[#This Row],[N° SACOS]]*Cereal[[#This Row],[CAP. SACOS]]</f>
        <v>42</v>
      </c>
      <c r="K1207" s="16"/>
      <c r="L1207" s="16"/>
      <c r="M1207" s="16"/>
      <c r="N1207" s="16" t="s">
        <v>402</v>
      </c>
    </row>
    <row r="1208" spans="1:14" hidden="1" x14ac:dyDescent="0.25">
      <c r="A1208" s="14" t="s">
        <v>14</v>
      </c>
      <c r="B1208" s="14" t="s">
        <v>403</v>
      </c>
      <c r="C1208" s="15" t="s">
        <v>121</v>
      </c>
      <c r="D1208" s="16">
        <v>46081</v>
      </c>
      <c r="E1208" s="17">
        <v>1770</v>
      </c>
      <c r="F1208" s="18">
        <v>1</v>
      </c>
      <c r="G1208" s="19">
        <f>Cereal[[#This Row],[N° BOLSAS]]*Cereal[[#This Row],[KG BOLSA]]</f>
        <v>1770</v>
      </c>
      <c r="H1208" s="37">
        <v>50</v>
      </c>
      <c r="I1208" s="14">
        <f>ROUNDDOWN(Cereal[[#This Row],[N° BOLSAS]]/Cereal[[#This Row],[CAP. SACOS]],0)</f>
        <v>35</v>
      </c>
      <c r="J1208" s="14">
        <f>Cereal[[#This Row],[N° BOLSAS]]-Cereal[[#This Row],[N° SACOS]]*Cereal[[#This Row],[CAP. SACOS]]</f>
        <v>20</v>
      </c>
      <c r="K1208" s="16">
        <v>46071</v>
      </c>
      <c r="L1208" s="16">
        <v>46071</v>
      </c>
      <c r="M1208" s="16">
        <v>46079</v>
      </c>
      <c r="N1208" s="16" t="s">
        <v>50</v>
      </c>
    </row>
    <row r="1209" spans="1:14" hidden="1" x14ac:dyDescent="0.25">
      <c r="A1209" s="14" t="s">
        <v>14</v>
      </c>
      <c r="B1209" s="14" t="s">
        <v>403</v>
      </c>
      <c r="C1209" s="15" t="s">
        <v>19</v>
      </c>
      <c r="D1209" s="16">
        <v>46081</v>
      </c>
      <c r="E1209" s="17">
        <v>929</v>
      </c>
      <c r="F1209" s="18">
        <v>1</v>
      </c>
      <c r="G1209" s="19">
        <f>Cereal[[#This Row],[N° BOLSAS]]*Cereal[[#This Row],[KG BOLSA]]</f>
        <v>929</v>
      </c>
      <c r="H1209" s="37">
        <v>50</v>
      </c>
      <c r="I1209" s="14">
        <f>ROUNDDOWN(Cereal[[#This Row],[N° BOLSAS]]/Cereal[[#This Row],[CAP. SACOS]],0)</f>
        <v>18</v>
      </c>
      <c r="J1209" s="14">
        <f>Cereal[[#This Row],[N° BOLSAS]]-Cereal[[#This Row],[N° SACOS]]*Cereal[[#This Row],[CAP. SACOS]]</f>
        <v>29</v>
      </c>
      <c r="K1209" s="16">
        <v>46071</v>
      </c>
      <c r="L1209" s="16">
        <v>46071</v>
      </c>
      <c r="M1209" s="16">
        <v>46079</v>
      </c>
      <c r="N1209" s="16" t="s">
        <v>50</v>
      </c>
    </row>
    <row r="1210" spans="1:14" hidden="1" x14ac:dyDescent="0.25">
      <c r="A1210" s="14" t="s">
        <v>14</v>
      </c>
      <c r="B1210" s="14" t="s">
        <v>403</v>
      </c>
      <c r="C1210" s="15" t="s">
        <v>20</v>
      </c>
      <c r="D1210" s="16">
        <v>46101</v>
      </c>
      <c r="E1210" s="17">
        <v>900</v>
      </c>
      <c r="F1210" s="18">
        <v>1</v>
      </c>
      <c r="G1210" s="19">
        <f>Cereal[[#This Row],[N° BOLSAS]]*Cereal[[#This Row],[KG BOLSA]]</f>
        <v>900</v>
      </c>
      <c r="H1210" s="37">
        <v>50</v>
      </c>
      <c r="I1210" s="14">
        <f>ROUNDDOWN(Cereal[[#This Row],[N° BOLSAS]]/Cereal[[#This Row],[CAP. SACOS]],0)</f>
        <v>18</v>
      </c>
      <c r="J1210" s="14">
        <f>Cereal[[#This Row],[N° BOLSAS]]-Cereal[[#This Row],[N° SACOS]]*Cereal[[#This Row],[CAP. SACOS]]</f>
        <v>0</v>
      </c>
      <c r="K1210" s="16">
        <v>46091</v>
      </c>
      <c r="L1210" s="16">
        <v>46091</v>
      </c>
      <c r="M1210" s="16">
        <v>46092</v>
      </c>
      <c r="N1210" s="16" t="s">
        <v>50</v>
      </c>
    </row>
    <row r="1211" spans="1:14" hidden="1" x14ac:dyDescent="0.25">
      <c r="A1211" s="14" t="s">
        <v>14</v>
      </c>
      <c r="B1211" s="14" t="s">
        <v>403</v>
      </c>
      <c r="C1211" s="15" t="s">
        <v>21</v>
      </c>
      <c r="D1211" s="16">
        <v>46133</v>
      </c>
      <c r="E1211" s="17">
        <v>929</v>
      </c>
      <c r="F1211" s="18">
        <v>1</v>
      </c>
      <c r="G1211" s="19">
        <f>Cereal[[#This Row],[N° BOLSAS]]*Cereal[[#This Row],[KG BOLSA]]</f>
        <v>929</v>
      </c>
      <c r="H1211" s="37">
        <v>50</v>
      </c>
      <c r="I1211" s="14">
        <f>ROUNDDOWN(Cereal[[#This Row],[N° BOLSAS]]/Cereal[[#This Row],[CAP. SACOS]],0)</f>
        <v>18</v>
      </c>
      <c r="J1211" s="14">
        <f>Cereal[[#This Row],[N° BOLSAS]]-Cereal[[#This Row],[N° SACOS]]*Cereal[[#This Row],[CAP. SACOS]]</f>
        <v>29</v>
      </c>
      <c r="K1211" s="16">
        <v>46134</v>
      </c>
      <c r="L1211" s="16">
        <v>46134</v>
      </c>
      <c r="M1211" s="16">
        <v>46147</v>
      </c>
      <c r="N1211" s="16" t="s">
        <v>50</v>
      </c>
    </row>
    <row r="1212" spans="1:14" hidden="1" x14ac:dyDescent="0.25">
      <c r="A1212" s="14" t="s">
        <v>14</v>
      </c>
      <c r="B1212" s="14" t="s">
        <v>403</v>
      </c>
      <c r="C1212" s="15" t="s">
        <v>22</v>
      </c>
      <c r="D1212" s="16">
        <v>46162</v>
      </c>
      <c r="E1212" s="17">
        <v>900</v>
      </c>
      <c r="F1212" s="18">
        <v>1</v>
      </c>
      <c r="G1212" s="19">
        <f>Cereal[[#This Row],[N° BOLSAS]]*Cereal[[#This Row],[KG BOLSA]]</f>
        <v>900</v>
      </c>
      <c r="H1212" s="37">
        <v>50</v>
      </c>
      <c r="I1212" s="14">
        <f>ROUNDDOWN(Cereal[[#This Row],[N° BOLSAS]]/Cereal[[#This Row],[CAP. SACOS]],0)</f>
        <v>18</v>
      </c>
      <c r="J1212" s="14">
        <f>Cereal[[#This Row],[N° BOLSAS]]-Cereal[[#This Row],[N° SACOS]]*Cereal[[#This Row],[CAP. SACOS]]</f>
        <v>0</v>
      </c>
      <c r="K1212" s="16">
        <v>46147</v>
      </c>
      <c r="L1212" s="16">
        <v>46147</v>
      </c>
      <c r="M1212" s="16">
        <v>46147</v>
      </c>
      <c r="N1212" s="16" t="s">
        <v>50</v>
      </c>
    </row>
    <row r="1213" spans="1:14" hidden="1" x14ac:dyDescent="0.25">
      <c r="A1213" s="14" t="s">
        <v>14</v>
      </c>
      <c r="B1213" s="14" t="s">
        <v>403</v>
      </c>
      <c r="C1213" s="15" t="s">
        <v>23</v>
      </c>
      <c r="D1213" s="16">
        <v>46195</v>
      </c>
      <c r="E1213" s="17">
        <v>929</v>
      </c>
      <c r="F1213" s="18">
        <v>1</v>
      </c>
      <c r="G1213" s="19">
        <f>Cereal[[#This Row],[N° BOLSAS]]*Cereal[[#This Row],[KG BOLSA]]</f>
        <v>929</v>
      </c>
      <c r="H1213" s="37">
        <v>50</v>
      </c>
      <c r="I1213" s="14">
        <f>ROUNDDOWN(Cereal[[#This Row],[N° BOLSAS]]/Cereal[[#This Row],[CAP. SACOS]],0)</f>
        <v>18</v>
      </c>
      <c r="J1213" s="14">
        <f>Cereal[[#This Row],[N° BOLSAS]]-Cereal[[#This Row],[N° SACOS]]*Cereal[[#This Row],[CAP. SACOS]]</f>
        <v>29</v>
      </c>
      <c r="K1213" s="16">
        <v>46171</v>
      </c>
      <c r="L1213" s="16">
        <v>46171</v>
      </c>
      <c r="M1213" s="16">
        <v>46171</v>
      </c>
      <c r="N1213" s="16" t="s">
        <v>50</v>
      </c>
    </row>
    <row r="1214" spans="1:14" hidden="1" x14ac:dyDescent="0.25">
      <c r="A1214" s="14" t="s">
        <v>14</v>
      </c>
      <c r="B1214" s="14" t="s">
        <v>403</v>
      </c>
      <c r="C1214" s="15" t="s">
        <v>24</v>
      </c>
      <c r="D1214" s="16">
        <v>46224</v>
      </c>
      <c r="E1214" s="17">
        <v>930</v>
      </c>
      <c r="F1214" s="18">
        <v>1</v>
      </c>
      <c r="G1214" s="19">
        <f>Cereal[[#This Row],[N° BOLSAS]]*Cereal[[#This Row],[KG BOLSA]]</f>
        <v>930</v>
      </c>
      <c r="H1214" s="37">
        <v>50</v>
      </c>
      <c r="I1214" s="14">
        <f>ROUNDDOWN(Cereal[[#This Row],[N° BOLSAS]]/Cereal[[#This Row],[CAP. SACOS]],0)</f>
        <v>18</v>
      </c>
      <c r="J1214" s="14">
        <f>Cereal[[#This Row],[N° BOLSAS]]-Cereal[[#This Row],[N° SACOS]]*Cereal[[#This Row],[CAP. SACOS]]</f>
        <v>30</v>
      </c>
      <c r="K1214" s="16">
        <v>46220</v>
      </c>
      <c r="L1214" s="16">
        <v>46220</v>
      </c>
      <c r="M1214" s="16">
        <v>46222</v>
      </c>
      <c r="N1214" s="16" t="s">
        <v>50</v>
      </c>
    </row>
    <row r="1215" spans="1:14" hidden="1" x14ac:dyDescent="0.25">
      <c r="A1215" s="14" t="s">
        <v>14</v>
      </c>
      <c r="B1215" s="14" t="s">
        <v>403</v>
      </c>
      <c r="C1215" s="15" t="s">
        <v>25</v>
      </c>
      <c r="D1215" s="16">
        <v>46253</v>
      </c>
      <c r="E1215" s="17">
        <v>901</v>
      </c>
      <c r="F1215" s="18">
        <v>1</v>
      </c>
      <c r="G1215" s="19">
        <f>Cereal[[#This Row],[N° BOLSAS]]*Cereal[[#This Row],[KG BOLSA]]</f>
        <v>901</v>
      </c>
      <c r="H1215" s="37">
        <v>50</v>
      </c>
      <c r="I1215" s="14">
        <f>ROUNDDOWN(Cereal[[#This Row],[N° BOLSAS]]/Cereal[[#This Row],[CAP. SACOS]],0)</f>
        <v>18</v>
      </c>
      <c r="J1215" s="14">
        <f>Cereal[[#This Row],[N° BOLSAS]]-Cereal[[#This Row],[N° SACOS]]*Cereal[[#This Row],[CAP. SACOS]]</f>
        <v>1</v>
      </c>
      <c r="K1215" s="16">
        <v>46241</v>
      </c>
      <c r="L1215" s="16">
        <v>46241</v>
      </c>
      <c r="M1215" s="16">
        <v>46252</v>
      </c>
      <c r="N1215" s="16" t="s">
        <v>50</v>
      </c>
    </row>
    <row r="1216" spans="1:14" hidden="1" x14ac:dyDescent="0.25">
      <c r="A1216" s="14" t="s">
        <v>14</v>
      </c>
      <c r="B1216" s="14" t="s">
        <v>403</v>
      </c>
      <c r="C1216" s="15" t="s">
        <v>30</v>
      </c>
      <c r="D1216" s="16">
        <v>46281</v>
      </c>
      <c r="E1216" s="17">
        <v>702</v>
      </c>
      <c r="F1216" s="18">
        <v>1</v>
      </c>
      <c r="G1216" s="19">
        <f>Cereal[[#This Row],[N° BOLSAS]]*Cereal[[#This Row],[KG BOLSA]]</f>
        <v>702</v>
      </c>
      <c r="H1216" s="37">
        <v>50</v>
      </c>
      <c r="I1216" s="14">
        <f>ROUNDDOWN(Cereal[[#This Row],[N° BOLSAS]]/Cereal[[#This Row],[CAP. SACOS]],0)</f>
        <v>14</v>
      </c>
      <c r="J1216" s="14">
        <f>Cereal[[#This Row],[N° BOLSAS]]-Cereal[[#This Row],[N° SACOS]]*Cereal[[#This Row],[CAP. SACOS]]</f>
        <v>2</v>
      </c>
      <c r="K1216" s="16">
        <v>46276</v>
      </c>
      <c r="L1216" s="16">
        <v>46276</v>
      </c>
      <c r="M1216" s="16">
        <v>46276</v>
      </c>
      <c r="N1216" s="16" t="s">
        <v>50</v>
      </c>
    </row>
    <row r="1217" spans="1:14" hidden="1" x14ac:dyDescent="0.25">
      <c r="A1217" s="14" t="s">
        <v>14</v>
      </c>
      <c r="B1217" s="14" t="s">
        <v>403</v>
      </c>
      <c r="C1217" s="15" t="s">
        <v>26</v>
      </c>
      <c r="D1217" s="16">
        <v>46286</v>
      </c>
      <c r="E1217" s="17">
        <v>930</v>
      </c>
      <c r="F1217" s="18">
        <v>1</v>
      </c>
      <c r="G1217" s="19">
        <f>Cereal[[#This Row],[N° BOLSAS]]*Cereal[[#This Row],[KG BOLSA]]</f>
        <v>930</v>
      </c>
      <c r="H1217" s="37">
        <v>50</v>
      </c>
      <c r="I1217" s="14">
        <f>ROUNDDOWN(Cereal[[#This Row],[N° BOLSAS]]/Cereal[[#This Row],[CAP. SACOS]],0)</f>
        <v>18</v>
      </c>
      <c r="J1217" s="14">
        <f>Cereal[[#This Row],[N° BOLSAS]]-Cereal[[#This Row],[N° SACOS]]*Cereal[[#This Row],[CAP. SACOS]]</f>
        <v>30</v>
      </c>
      <c r="K1217" s="16">
        <v>46271</v>
      </c>
      <c r="L1217" s="16">
        <v>46271</v>
      </c>
      <c r="M1217" s="16">
        <v>46273</v>
      </c>
      <c r="N1217" s="16" t="s">
        <v>50</v>
      </c>
    </row>
    <row r="1218" spans="1:14" hidden="1" x14ac:dyDescent="0.25">
      <c r="A1218" s="14" t="s">
        <v>14</v>
      </c>
      <c r="B1218" s="14" t="s">
        <v>403</v>
      </c>
      <c r="C1218" s="15" t="s">
        <v>27</v>
      </c>
      <c r="D1218" s="16">
        <v>46315</v>
      </c>
      <c r="E1218" s="17">
        <v>901</v>
      </c>
      <c r="F1218" s="18">
        <v>1</v>
      </c>
      <c r="G1218" s="19">
        <f>Cereal[[#This Row],[N° BOLSAS]]*Cereal[[#This Row],[KG BOLSA]]</f>
        <v>901</v>
      </c>
      <c r="H1218" s="37">
        <v>50</v>
      </c>
      <c r="I1218" s="14">
        <f>ROUNDDOWN(Cereal[[#This Row],[N° BOLSAS]]/Cereal[[#This Row],[CAP. SACOS]],0)</f>
        <v>18</v>
      </c>
      <c r="J1218" s="14">
        <f>Cereal[[#This Row],[N° BOLSAS]]-Cereal[[#This Row],[N° SACOS]]*Cereal[[#This Row],[CAP. SACOS]]</f>
        <v>1</v>
      </c>
      <c r="K1218" s="16"/>
      <c r="L1218" s="16"/>
      <c r="M1218" s="16"/>
      <c r="N1218" s="16" t="s">
        <v>50</v>
      </c>
    </row>
    <row r="1219" spans="1:14" hidden="1" x14ac:dyDescent="0.25">
      <c r="A1219" s="14" t="s">
        <v>14</v>
      </c>
      <c r="B1219" s="14" t="s">
        <v>403</v>
      </c>
      <c r="C1219" s="15" t="s">
        <v>28</v>
      </c>
      <c r="D1219" s="16">
        <v>46346</v>
      </c>
      <c r="E1219" s="17">
        <v>930</v>
      </c>
      <c r="F1219" s="18">
        <v>1</v>
      </c>
      <c r="G1219" s="19">
        <f>Cereal[[#This Row],[N° BOLSAS]]*Cereal[[#This Row],[KG BOLSA]]</f>
        <v>930</v>
      </c>
      <c r="H1219" s="37">
        <v>50</v>
      </c>
      <c r="I1219" s="14">
        <f>ROUNDDOWN(Cereal[[#This Row],[N° BOLSAS]]/Cereal[[#This Row],[CAP. SACOS]],0)</f>
        <v>18</v>
      </c>
      <c r="J1219" s="14">
        <f>Cereal[[#This Row],[N° BOLSAS]]-Cereal[[#This Row],[N° SACOS]]*Cereal[[#This Row],[CAP. SACOS]]</f>
        <v>30</v>
      </c>
      <c r="K1219" s="16"/>
      <c r="L1219" s="16"/>
      <c r="M1219" s="16"/>
      <c r="N1219" s="16" t="s">
        <v>50</v>
      </c>
    </row>
    <row r="1220" spans="1:14" x14ac:dyDescent="0.25">
      <c r="A1220" s="14"/>
      <c r="B1220" s="14"/>
      <c r="C1220" s="15"/>
      <c r="D1220" s="16"/>
      <c r="E1220" s="17"/>
      <c r="F1220" s="18"/>
      <c r="G1220" s="19"/>
      <c r="H1220" s="37"/>
      <c r="I1220" s="14"/>
      <c r="J1220" s="14"/>
      <c r="K1220" s="16"/>
      <c r="L1220" s="16"/>
      <c r="M1220" s="16"/>
      <c r="N1220" s="1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2CB-28E6-4145-91C8-6057D3CFF74D}">
  <sheetPr codeName="Hoja2"/>
  <dimension ref="A1:K680"/>
  <sheetViews>
    <sheetView zoomScaleNormal="100" workbookViewId="0">
      <selection activeCell="I681" sqref="I681"/>
    </sheetView>
  </sheetViews>
  <sheetFormatPr baseColWidth="10" defaultColWidth="10.7109375" defaultRowHeight="15" x14ac:dyDescent="0.25"/>
  <cols>
    <col min="1" max="1" width="11.5703125" style="1" customWidth="1"/>
    <col min="2" max="2" width="17.85546875" style="1" customWidth="1"/>
    <col min="3" max="3" width="19" style="1" customWidth="1"/>
    <col min="4" max="4" width="11.28515625" style="2" bestFit="1" customWidth="1"/>
    <col min="5" max="5" width="12.42578125" style="9" customWidth="1"/>
    <col min="6" max="7" width="11.85546875" style="1" customWidth="1"/>
    <col min="8" max="8" width="11.85546875" style="2" customWidth="1"/>
    <col min="9" max="9" width="13.28515625" customWidth="1"/>
    <col min="12" max="12" width="18.85546875" customWidth="1"/>
    <col min="13" max="13" width="9" bestFit="1" customWidth="1"/>
    <col min="14" max="14" width="12.42578125" bestFit="1" customWidth="1"/>
    <col min="15" max="15" width="10.140625" bestFit="1" customWidth="1"/>
  </cols>
  <sheetData>
    <row r="1" spans="1:10" s="7" customFormat="1" x14ac:dyDescent="0.25">
      <c r="A1" s="5" t="s">
        <v>0</v>
      </c>
      <c r="B1" s="3" t="s">
        <v>1</v>
      </c>
      <c r="C1" s="5" t="s">
        <v>2</v>
      </c>
      <c r="D1" s="4" t="s">
        <v>3</v>
      </c>
      <c r="E1" s="8" t="s">
        <v>404</v>
      </c>
      <c r="F1" s="5" t="s">
        <v>405</v>
      </c>
      <c r="G1" s="5" t="s">
        <v>9</v>
      </c>
      <c r="H1" s="6" t="s">
        <v>406</v>
      </c>
      <c r="I1" s="6" t="s">
        <v>407</v>
      </c>
      <c r="J1" s="5"/>
    </row>
    <row r="2" spans="1:10" s="7" customFormat="1" hidden="1" x14ac:dyDescent="0.25">
      <c r="A2" s="14" t="s">
        <v>14</v>
      </c>
      <c r="B2" s="14" t="s">
        <v>15</v>
      </c>
      <c r="C2" s="15" t="s">
        <v>20</v>
      </c>
      <c r="D2" s="16">
        <v>46117</v>
      </c>
      <c r="E2" s="17">
        <v>640</v>
      </c>
      <c r="F2" s="14">
        <f>ROUNDDOWN(Leche[[#This Row],[N° LATAS]]/48,0)</f>
        <v>13</v>
      </c>
      <c r="G2" s="14">
        <f>Leche[[#This Row],[N° LATAS]]-Leche[[#This Row],[TOTAL CAJAS]]*48</f>
        <v>16</v>
      </c>
      <c r="H2" s="16">
        <v>46119</v>
      </c>
      <c r="I2" s="29" t="s">
        <v>408</v>
      </c>
      <c r="J2" s="5"/>
    </row>
    <row r="3" spans="1:10" hidden="1" x14ac:dyDescent="0.25">
      <c r="A3" s="14" t="s">
        <v>14</v>
      </c>
      <c r="B3" s="14" t="s">
        <v>15</v>
      </c>
      <c r="C3" s="15" t="s">
        <v>16</v>
      </c>
      <c r="D3" s="16">
        <v>46117</v>
      </c>
      <c r="E3" s="17">
        <v>640</v>
      </c>
      <c r="F3" s="14">
        <f>ROUNDDOWN(Leche[[#This Row],[N° LATAS]]/48,0)</f>
        <v>13</v>
      </c>
      <c r="G3" s="14">
        <f>Leche[[#This Row],[N° LATAS]]-Leche[[#This Row],[TOTAL CAJAS]]*48</f>
        <v>16</v>
      </c>
      <c r="H3" s="16">
        <v>46119</v>
      </c>
      <c r="I3" s="29" t="s">
        <v>408</v>
      </c>
    </row>
    <row r="4" spans="1:10" hidden="1" x14ac:dyDescent="0.25">
      <c r="A4" s="14" t="s">
        <v>14</v>
      </c>
      <c r="B4" s="14" t="s">
        <v>15</v>
      </c>
      <c r="C4" s="15" t="s">
        <v>18</v>
      </c>
      <c r="D4" s="16">
        <v>46117</v>
      </c>
      <c r="E4" s="17">
        <v>640</v>
      </c>
      <c r="F4" s="14">
        <f>ROUNDDOWN(Leche[[#This Row],[N° LATAS]]/48,0)</f>
        <v>13</v>
      </c>
      <c r="G4" s="14">
        <f>Leche[[#This Row],[N° LATAS]]-Leche[[#This Row],[TOTAL CAJAS]]*48</f>
        <v>16</v>
      </c>
      <c r="H4" s="16">
        <v>46119</v>
      </c>
      <c r="I4" s="29" t="s">
        <v>408</v>
      </c>
    </row>
    <row r="5" spans="1:10" hidden="1" x14ac:dyDescent="0.25">
      <c r="A5" s="14" t="s">
        <v>14</v>
      </c>
      <c r="B5" s="14" t="s">
        <v>15</v>
      </c>
      <c r="C5" s="15" t="s">
        <v>19</v>
      </c>
      <c r="D5" s="16">
        <v>46117</v>
      </c>
      <c r="E5" s="17">
        <v>640</v>
      </c>
      <c r="F5" s="14">
        <f>ROUNDDOWN(Leche[[#This Row],[N° LATAS]]/48,0)</f>
        <v>13</v>
      </c>
      <c r="G5" s="14">
        <f>Leche[[#This Row],[N° LATAS]]-Leche[[#This Row],[TOTAL CAJAS]]*48</f>
        <v>16</v>
      </c>
      <c r="H5" s="16">
        <v>46119</v>
      </c>
      <c r="I5" s="29" t="s">
        <v>408</v>
      </c>
    </row>
    <row r="6" spans="1:10" hidden="1" x14ac:dyDescent="0.25">
      <c r="A6" s="14" t="s">
        <v>14</v>
      </c>
      <c r="B6" s="14" t="s">
        <v>15</v>
      </c>
      <c r="C6" s="15" t="s">
        <v>22</v>
      </c>
      <c r="D6" s="16">
        <v>46140</v>
      </c>
      <c r="E6" s="17">
        <v>640</v>
      </c>
      <c r="F6" s="14">
        <f>ROUNDDOWN(Leche[[#This Row],[N° LATAS]]/48,0)</f>
        <v>13</v>
      </c>
      <c r="G6" s="14">
        <f>Leche[[#This Row],[N° LATAS]]-Leche[[#This Row],[TOTAL CAJAS]]*48</f>
        <v>16</v>
      </c>
      <c r="H6" s="28">
        <v>46147</v>
      </c>
      <c r="I6" s="29" t="s">
        <v>408</v>
      </c>
    </row>
    <row r="7" spans="1:10" hidden="1" x14ac:dyDescent="0.25">
      <c r="A7" s="14" t="s">
        <v>14</v>
      </c>
      <c r="B7" s="14" t="s">
        <v>15</v>
      </c>
      <c r="C7" s="15" t="s">
        <v>21</v>
      </c>
      <c r="D7" s="16">
        <v>46140</v>
      </c>
      <c r="E7" s="17">
        <v>640</v>
      </c>
      <c r="F7" s="14">
        <f>ROUNDDOWN(Leche[[#This Row],[N° LATAS]]/48,0)</f>
        <v>13</v>
      </c>
      <c r="G7" s="14">
        <f>Leche[[#This Row],[N° LATAS]]-Leche[[#This Row],[TOTAL CAJAS]]*48</f>
        <v>16</v>
      </c>
      <c r="H7" s="28">
        <v>46147</v>
      </c>
      <c r="I7" s="29" t="s">
        <v>408</v>
      </c>
    </row>
    <row r="8" spans="1:10" hidden="1" x14ac:dyDescent="0.25">
      <c r="A8" s="14" t="s">
        <v>14</v>
      </c>
      <c r="B8" s="14" t="s">
        <v>15</v>
      </c>
      <c r="C8" s="15" t="s">
        <v>24</v>
      </c>
      <c r="D8" s="16">
        <v>46199</v>
      </c>
      <c r="E8" s="17">
        <v>640</v>
      </c>
      <c r="F8" s="14">
        <f>ROUNDDOWN(Leche[[#This Row],[N° LATAS]]/48,0)</f>
        <v>13</v>
      </c>
      <c r="G8" s="14">
        <f>Leche[[#This Row],[N° LATAS]]-Leche[[#This Row],[TOTAL CAJAS]]*48</f>
        <v>16</v>
      </c>
      <c r="H8" s="28">
        <v>46202</v>
      </c>
      <c r="I8" s="29" t="s">
        <v>408</v>
      </c>
    </row>
    <row r="9" spans="1:10" hidden="1" x14ac:dyDescent="0.25">
      <c r="A9" s="14" t="s">
        <v>14</v>
      </c>
      <c r="B9" s="14" t="s">
        <v>15</v>
      </c>
      <c r="C9" s="15" t="s">
        <v>23</v>
      </c>
      <c r="D9" s="16">
        <v>46199</v>
      </c>
      <c r="E9" s="17">
        <v>640</v>
      </c>
      <c r="F9" s="14">
        <f>ROUNDDOWN(Leche[[#This Row],[N° LATAS]]/48,0)</f>
        <v>13</v>
      </c>
      <c r="G9" s="14">
        <f>Leche[[#This Row],[N° LATAS]]-Leche[[#This Row],[TOTAL CAJAS]]*48</f>
        <v>16</v>
      </c>
      <c r="H9" s="28">
        <v>46202</v>
      </c>
      <c r="I9" s="29" t="s">
        <v>408</v>
      </c>
    </row>
    <row r="10" spans="1:10" hidden="1" x14ac:dyDescent="0.25">
      <c r="A10" s="14" t="s">
        <v>14</v>
      </c>
      <c r="B10" s="14" t="s">
        <v>15</v>
      </c>
      <c r="C10" s="15" t="s">
        <v>26</v>
      </c>
      <c r="D10" s="16">
        <v>46262</v>
      </c>
      <c r="E10" s="17">
        <v>640</v>
      </c>
      <c r="F10" s="14">
        <f>ROUNDDOWN(Leche[[#This Row],[N° LATAS]]/48,0)</f>
        <v>13</v>
      </c>
      <c r="G10" s="14">
        <f>Leche[[#This Row],[N° LATAS]]-Leche[[#This Row],[TOTAL CAJAS]]*48</f>
        <v>16</v>
      </c>
      <c r="H10" s="28">
        <v>46269</v>
      </c>
      <c r="I10" s="29" t="s">
        <v>408</v>
      </c>
    </row>
    <row r="11" spans="1:10" hidden="1" x14ac:dyDescent="0.25">
      <c r="A11" s="14" t="s">
        <v>14</v>
      </c>
      <c r="B11" s="14" t="s">
        <v>15</v>
      </c>
      <c r="C11" s="15" t="s">
        <v>25</v>
      </c>
      <c r="D11" s="16">
        <v>46262</v>
      </c>
      <c r="E11" s="17">
        <v>640</v>
      </c>
      <c r="F11" s="14">
        <f>ROUNDDOWN(Leche[[#This Row],[N° LATAS]]/48,0)</f>
        <v>13</v>
      </c>
      <c r="G11" s="14">
        <f>Leche[[#This Row],[N° LATAS]]-Leche[[#This Row],[TOTAL CAJAS]]*48</f>
        <v>16</v>
      </c>
      <c r="H11" s="28">
        <v>46269</v>
      </c>
      <c r="I11" s="29" t="s">
        <v>408</v>
      </c>
    </row>
    <row r="12" spans="1:10" hidden="1" x14ac:dyDescent="0.25">
      <c r="A12" s="14" t="s">
        <v>14</v>
      </c>
      <c r="B12" s="14" t="s">
        <v>15</v>
      </c>
      <c r="C12" s="15" t="s">
        <v>28</v>
      </c>
      <c r="D12" s="16">
        <v>46322</v>
      </c>
      <c r="E12" s="17">
        <v>640</v>
      </c>
      <c r="F12" s="14">
        <f>ROUNDDOWN(Leche[[#This Row],[N° LATAS]]/48,0)</f>
        <v>13</v>
      </c>
      <c r="G12" s="14">
        <f>Leche[[#This Row],[N° LATAS]]-Leche[[#This Row],[TOTAL CAJAS]]*48</f>
        <v>16</v>
      </c>
      <c r="H12" s="28"/>
      <c r="I12" s="29"/>
    </row>
    <row r="13" spans="1:10" hidden="1" x14ac:dyDescent="0.25">
      <c r="A13" s="14" t="s">
        <v>14</v>
      </c>
      <c r="B13" s="14" t="s">
        <v>15</v>
      </c>
      <c r="C13" s="15" t="s">
        <v>27</v>
      </c>
      <c r="D13" s="16">
        <v>46322</v>
      </c>
      <c r="E13" s="17">
        <v>640</v>
      </c>
      <c r="F13" s="14">
        <f>ROUNDDOWN(Leche[[#This Row],[N° LATAS]]/48,0)</f>
        <v>13</v>
      </c>
      <c r="G13" s="14">
        <f>Leche[[#This Row],[N° LATAS]]-Leche[[#This Row],[TOTAL CAJAS]]*48</f>
        <v>16</v>
      </c>
      <c r="H13" s="28"/>
      <c r="I13" s="29"/>
    </row>
    <row r="14" spans="1:10" hidden="1" x14ac:dyDescent="0.25">
      <c r="A14" s="14" t="s">
        <v>14</v>
      </c>
      <c r="B14" s="14" t="s">
        <v>29</v>
      </c>
      <c r="C14" s="15" t="s">
        <v>19</v>
      </c>
      <c r="D14" s="16">
        <v>46112</v>
      </c>
      <c r="E14" s="17">
        <v>1064</v>
      </c>
      <c r="F14" s="14">
        <f>ROUNDDOWN(Leche[[#This Row],[N° LATAS]]/48,0)</f>
        <v>22</v>
      </c>
      <c r="G14" s="14">
        <f>Leche[[#This Row],[N° LATAS]]-Leche[[#This Row],[TOTAL CAJAS]]*48</f>
        <v>8</v>
      </c>
      <c r="H14" s="28">
        <v>46109</v>
      </c>
      <c r="I14" s="29" t="s">
        <v>408</v>
      </c>
    </row>
    <row r="15" spans="1:10" hidden="1" x14ac:dyDescent="0.25">
      <c r="A15" s="14" t="s">
        <v>14</v>
      </c>
      <c r="B15" s="14" t="s">
        <v>29</v>
      </c>
      <c r="C15" s="15" t="s">
        <v>20</v>
      </c>
      <c r="D15" s="16">
        <v>46112</v>
      </c>
      <c r="E15" s="17">
        <v>1030</v>
      </c>
      <c r="F15" s="14">
        <f>ROUNDDOWN(Leche[[#This Row],[N° LATAS]]/48,0)</f>
        <v>21</v>
      </c>
      <c r="G15" s="14">
        <f>Leche[[#This Row],[N° LATAS]]-Leche[[#This Row],[TOTAL CAJAS]]*48</f>
        <v>22</v>
      </c>
      <c r="H15" s="28">
        <v>46109</v>
      </c>
      <c r="I15" s="29" t="s">
        <v>408</v>
      </c>
    </row>
    <row r="16" spans="1:10" hidden="1" x14ac:dyDescent="0.25">
      <c r="A16" s="14" t="s">
        <v>14</v>
      </c>
      <c r="B16" s="14" t="s">
        <v>29</v>
      </c>
      <c r="C16" s="15" t="s">
        <v>21</v>
      </c>
      <c r="D16" s="16">
        <v>46127</v>
      </c>
      <c r="E16" s="17">
        <v>1065</v>
      </c>
      <c r="F16" s="14">
        <f>ROUNDDOWN(Leche[[#This Row],[N° LATAS]]/48,0)</f>
        <v>22</v>
      </c>
      <c r="G16" s="14">
        <f>Leche[[#This Row],[N° LATAS]]-Leche[[#This Row],[TOTAL CAJAS]]*48</f>
        <v>9</v>
      </c>
      <c r="H16" s="28">
        <v>46147</v>
      </c>
      <c r="I16" s="29" t="s">
        <v>408</v>
      </c>
    </row>
    <row r="17" spans="1:9" hidden="1" x14ac:dyDescent="0.25">
      <c r="A17" s="14" t="s">
        <v>14</v>
      </c>
      <c r="B17" s="14" t="s">
        <v>29</v>
      </c>
      <c r="C17" s="15" t="s">
        <v>22</v>
      </c>
      <c r="D17" s="16">
        <v>46127</v>
      </c>
      <c r="E17" s="17">
        <v>1031</v>
      </c>
      <c r="F17" s="14">
        <f>ROUNDDOWN(Leche[[#This Row],[N° LATAS]]/48,0)</f>
        <v>21</v>
      </c>
      <c r="G17" s="14">
        <f>Leche[[#This Row],[N° LATAS]]-Leche[[#This Row],[TOTAL CAJAS]]*48</f>
        <v>23</v>
      </c>
      <c r="H17" s="28">
        <v>46147</v>
      </c>
      <c r="I17" s="29" t="s">
        <v>408</v>
      </c>
    </row>
    <row r="18" spans="1:9" hidden="1" x14ac:dyDescent="0.25">
      <c r="A18" s="14" t="s">
        <v>14</v>
      </c>
      <c r="B18" s="14" t="s">
        <v>29</v>
      </c>
      <c r="C18" s="15" t="s">
        <v>23</v>
      </c>
      <c r="D18" s="16">
        <v>46188</v>
      </c>
      <c r="E18" s="17">
        <v>1065</v>
      </c>
      <c r="F18" s="14">
        <f>ROUNDDOWN(Leche[[#This Row],[N° LATAS]]/48,0)</f>
        <v>22</v>
      </c>
      <c r="G18" s="14">
        <f>Leche[[#This Row],[N° LATAS]]-Leche[[#This Row],[TOTAL CAJAS]]*48</f>
        <v>9</v>
      </c>
      <c r="H18" s="28">
        <v>46178</v>
      </c>
      <c r="I18" s="29" t="s">
        <v>408</v>
      </c>
    </row>
    <row r="19" spans="1:9" hidden="1" x14ac:dyDescent="0.25">
      <c r="A19" s="14" t="s">
        <v>14</v>
      </c>
      <c r="B19" s="14" t="s">
        <v>29</v>
      </c>
      <c r="C19" s="15" t="s">
        <v>24</v>
      </c>
      <c r="D19" s="16">
        <v>46188</v>
      </c>
      <c r="E19" s="17">
        <v>1065</v>
      </c>
      <c r="F19" s="14">
        <f>ROUNDDOWN(Leche[[#This Row],[N° LATAS]]/48,0)</f>
        <v>22</v>
      </c>
      <c r="G19" s="14">
        <f>Leche[[#This Row],[N° LATAS]]-Leche[[#This Row],[TOTAL CAJAS]]*48</f>
        <v>9</v>
      </c>
      <c r="H19" s="28">
        <v>46178</v>
      </c>
      <c r="I19" s="29" t="s">
        <v>408</v>
      </c>
    </row>
    <row r="20" spans="1:9" hidden="1" x14ac:dyDescent="0.25">
      <c r="A20" s="14" t="s">
        <v>14</v>
      </c>
      <c r="B20" s="14" t="s">
        <v>29</v>
      </c>
      <c r="C20" s="15" t="s">
        <v>30</v>
      </c>
      <c r="D20" s="16">
        <v>46223</v>
      </c>
      <c r="E20" s="17">
        <v>388</v>
      </c>
      <c r="F20" s="14">
        <f>ROUNDDOWN(Leche[[#This Row],[N° LATAS]]/48,0)</f>
        <v>8</v>
      </c>
      <c r="G20" s="14">
        <f>Leche[[#This Row],[N° LATAS]]-Leche[[#This Row],[TOTAL CAJAS]]*48</f>
        <v>4</v>
      </c>
      <c r="H20" s="28">
        <v>46222</v>
      </c>
      <c r="I20" s="29" t="s">
        <v>408</v>
      </c>
    </row>
    <row r="21" spans="1:9" hidden="1" x14ac:dyDescent="0.25">
      <c r="A21" s="14" t="s">
        <v>14</v>
      </c>
      <c r="B21" s="14" t="s">
        <v>29</v>
      </c>
      <c r="C21" s="15" t="s">
        <v>25</v>
      </c>
      <c r="D21" s="16">
        <v>46249</v>
      </c>
      <c r="E21" s="17">
        <v>1033</v>
      </c>
      <c r="F21" s="14">
        <f>ROUNDDOWN(Leche[[#This Row],[N° LATAS]]/48,0)</f>
        <v>21</v>
      </c>
      <c r="G21" s="14">
        <f>Leche[[#This Row],[N° LATAS]]-Leche[[#This Row],[TOTAL CAJAS]]*48</f>
        <v>25</v>
      </c>
      <c r="H21" s="28">
        <v>46254</v>
      </c>
      <c r="I21" s="29" t="s">
        <v>408</v>
      </c>
    </row>
    <row r="22" spans="1:9" hidden="1" x14ac:dyDescent="0.25">
      <c r="A22" s="14" t="s">
        <v>14</v>
      </c>
      <c r="B22" s="14" t="s">
        <v>29</v>
      </c>
      <c r="C22" s="15" t="s">
        <v>26</v>
      </c>
      <c r="D22" s="16">
        <v>46249</v>
      </c>
      <c r="E22" s="17">
        <v>1068</v>
      </c>
      <c r="F22" s="14">
        <f>ROUNDDOWN(Leche[[#This Row],[N° LATAS]]/48,0)</f>
        <v>22</v>
      </c>
      <c r="G22" s="14">
        <f>Leche[[#This Row],[N° LATAS]]-Leche[[#This Row],[TOTAL CAJAS]]*48</f>
        <v>12</v>
      </c>
      <c r="H22" s="28">
        <v>46254</v>
      </c>
      <c r="I22" s="29" t="s">
        <v>408</v>
      </c>
    </row>
    <row r="23" spans="1:9" hidden="1" x14ac:dyDescent="0.25">
      <c r="A23" s="14" t="s">
        <v>14</v>
      </c>
      <c r="B23" s="14" t="s">
        <v>29</v>
      </c>
      <c r="C23" s="15" t="s">
        <v>27</v>
      </c>
      <c r="D23" s="16">
        <v>46310</v>
      </c>
      <c r="E23" s="17">
        <v>1033</v>
      </c>
      <c r="F23" s="14">
        <f>ROUNDDOWN(Leche[[#This Row],[N° LATAS]]/48,0)</f>
        <v>21</v>
      </c>
      <c r="G23" s="14">
        <f>Leche[[#This Row],[N° LATAS]]-Leche[[#This Row],[TOTAL CAJAS]]*48</f>
        <v>25</v>
      </c>
      <c r="H23" s="28"/>
      <c r="I23" s="29"/>
    </row>
    <row r="24" spans="1:9" hidden="1" x14ac:dyDescent="0.25">
      <c r="A24" s="14" t="s">
        <v>14</v>
      </c>
      <c r="B24" s="14" t="s">
        <v>29</v>
      </c>
      <c r="C24" s="15" t="s">
        <v>28</v>
      </c>
      <c r="D24" s="16">
        <v>46310</v>
      </c>
      <c r="E24" s="17">
        <v>1068</v>
      </c>
      <c r="F24" s="14">
        <f>ROUNDDOWN(Leche[[#This Row],[N° LATAS]]/48,0)</f>
        <v>22</v>
      </c>
      <c r="G24" s="14">
        <f>Leche[[#This Row],[N° LATAS]]-Leche[[#This Row],[TOTAL CAJAS]]*48</f>
        <v>12</v>
      </c>
      <c r="H24" s="28"/>
      <c r="I24" s="29"/>
    </row>
    <row r="25" spans="1:9" hidden="1" x14ac:dyDescent="0.25">
      <c r="A25" s="14" t="s">
        <v>14</v>
      </c>
      <c r="B25" s="14" t="s">
        <v>409</v>
      </c>
      <c r="C25" s="15" t="s">
        <v>30</v>
      </c>
      <c r="D25" s="16">
        <v>46052</v>
      </c>
      <c r="E25" s="17">
        <v>2024</v>
      </c>
      <c r="F25" s="14">
        <f>ROUNDDOWN(Leche[[#This Row],[N° LATAS]]/48,0)</f>
        <v>42</v>
      </c>
      <c r="G25" s="14">
        <f>Leche[[#This Row],[N° LATAS]]-Leche[[#This Row],[TOTAL CAJAS]]*48</f>
        <v>8</v>
      </c>
      <c r="H25" s="28">
        <v>46051</v>
      </c>
      <c r="I25" s="29" t="s">
        <v>408</v>
      </c>
    </row>
    <row r="26" spans="1:9" hidden="1" x14ac:dyDescent="0.25">
      <c r="A26" s="14" t="s">
        <v>14</v>
      </c>
      <c r="B26" s="14" t="s">
        <v>32</v>
      </c>
      <c r="C26" s="15" t="s">
        <v>20</v>
      </c>
      <c r="D26" s="16">
        <v>46112</v>
      </c>
      <c r="E26" s="17">
        <v>4680</v>
      </c>
      <c r="F26" s="14">
        <f>ROUNDDOWN(Leche[[#This Row],[N° LATAS]]/48,0)</f>
        <v>97</v>
      </c>
      <c r="G26" s="14">
        <f>Leche[[#This Row],[N° LATAS]]-Leche[[#This Row],[TOTAL CAJAS]]*48</f>
        <v>24</v>
      </c>
      <c r="H26" s="28">
        <v>46101</v>
      </c>
      <c r="I26" s="29" t="s">
        <v>408</v>
      </c>
    </row>
    <row r="27" spans="1:9" hidden="1" x14ac:dyDescent="0.25">
      <c r="A27" s="14" t="s">
        <v>14</v>
      </c>
      <c r="B27" s="14" t="s">
        <v>32</v>
      </c>
      <c r="C27" s="15" t="s">
        <v>21</v>
      </c>
      <c r="D27" s="16">
        <v>46142</v>
      </c>
      <c r="E27" s="17">
        <v>4680</v>
      </c>
      <c r="F27" s="14">
        <f>ROUNDDOWN(Leche[[#This Row],[N° LATAS]]/48,0)</f>
        <v>97</v>
      </c>
      <c r="G27" s="14">
        <f>Leche[[#This Row],[N° LATAS]]-Leche[[#This Row],[TOTAL CAJAS]]*48</f>
        <v>24</v>
      </c>
      <c r="H27" s="28">
        <v>46139</v>
      </c>
      <c r="I27" s="29" t="s">
        <v>408</v>
      </c>
    </row>
    <row r="28" spans="1:9" hidden="1" x14ac:dyDescent="0.25">
      <c r="A28" s="14" t="s">
        <v>14</v>
      </c>
      <c r="B28" s="14" t="s">
        <v>32</v>
      </c>
      <c r="C28" s="15" t="s">
        <v>22</v>
      </c>
      <c r="D28" s="16">
        <v>46173</v>
      </c>
      <c r="E28" s="17">
        <v>4680</v>
      </c>
      <c r="F28" s="14">
        <f>ROUNDDOWN(Leche[[#This Row],[N° LATAS]]/48,0)</f>
        <v>97</v>
      </c>
      <c r="G28" s="14">
        <f>Leche[[#This Row],[N° LATAS]]-Leche[[#This Row],[TOTAL CAJAS]]*48</f>
        <v>24</v>
      </c>
      <c r="H28" s="28">
        <v>46167</v>
      </c>
      <c r="I28" s="29" t="s">
        <v>408</v>
      </c>
    </row>
    <row r="29" spans="1:9" hidden="1" x14ac:dyDescent="0.25">
      <c r="A29" s="14" t="s">
        <v>14</v>
      </c>
      <c r="B29" s="14" t="s">
        <v>32</v>
      </c>
      <c r="C29" s="15" t="s">
        <v>23</v>
      </c>
      <c r="D29" s="16">
        <v>46203</v>
      </c>
      <c r="E29" s="17">
        <v>4680</v>
      </c>
      <c r="F29" s="14">
        <f>ROUNDDOWN(Leche[[#This Row],[N° LATAS]]/48,0)</f>
        <v>97</v>
      </c>
      <c r="G29" s="14">
        <f>Leche[[#This Row],[N° LATAS]]-Leche[[#This Row],[TOTAL CAJAS]]*48</f>
        <v>24</v>
      </c>
      <c r="H29" s="28">
        <v>46198</v>
      </c>
      <c r="I29" s="29" t="s">
        <v>408</v>
      </c>
    </row>
    <row r="30" spans="1:9" hidden="1" x14ac:dyDescent="0.25">
      <c r="A30" s="14" t="s">
        <v>14</v>
      </c>
      <c r="B30" s="14" t="s">
        <v>32</v>
      </c>
      <c r="C30" s="15" t="s">
        <v>24</v>
      </c>
      <c r="D30" s="16">
        <v>46234</v>
      </c>
      <c r="E30" s="17">
        <v>4680</v>
      </c>
      <c r="F30" s="14">
        <f>ROUNDDOWN(Leche[[#This Row],[N° LATAS]]/48,0)</f>
        <v>97</v>
      </c>
      <c r="G30" s="14">
        <f>Leche[[#This Row],[N° LATAS]]-Leche[[#This Row],[TOTAL CAJAS]]*48</f>
        <v>24</v>
      </c>
      <c r="H30" s="28">
        <v>46225</v>
      </c>
      <c r="I30" s="29" t="s">
        <v>408</v>
      </c>
    </row>
    <row r="31" spans="1:9" hidden="1" x14ac:dyDescent="0.25">
      <c r="A31" s="14" t="s">
        <v>14</v>
      </c>
      <c r="B31" s="14" t="s">
        <v>32</v>
      </c>
      <c r="C31" s="15" t="s">
        <v>30</v>
      </c>
      <c r="D31" s="16">
        <v>46265</v>
      </c>
      <c r="E31" s="17">
        <v>5829</v>
      </c>
      <c r="F31" s="14">
        <f>ROUNDDOWN(Leche[[#This Row],[N° LATAS]]/48,0)</f>
        <v>121</v>
      </c>
      <c r="G31" s="14">
        <f>Leche[[#This Row],[N° LATAS]]-Leche[[#This Row],[TOTAL CAJAS]]*48</f>
        <v>21</v>
      </c>
      <c r="H31" s="28">
        <v>46244</v>
      </c>
      <c r="I31" s="29" t="s">
        <v>408</v>
      </c>
    </row>
    <row r="32" spans="1:9" hidden="1" x14ac:dyDescent="0.25">
      <c r="A32" s="14" t="s">
        <v>14</v>
      </c>
      <c r="B32" s="14" t="s">
        <v>32</v>
      </c>
      <c r="C32" s="15" t="s">
        <v>25</v>
      </c>
      <c r="D32" s="16">
        <v>46265</v>
      </c>
      <c r="E32" s="17">
        <v>4680</v>
      </c>
      <c r="F32" s="14">
        <f>ROUNDDOWN(Leche[[#This Row],[N° LATAS]]/48,0)</f>
        <v>97</v>
      </c>
      <c r="G32" s="14">
        <f>Leche[[#This Row],[N° LATAS]]-Leche[[#This Row],[TOTAL CAJAS]]*48</f>
        <v>24</v>
      </c>
      <c r="H32" s="28">
        <v>46266</v>
      </c>
      <c r="I32" s="29" t="s">
        <v>408</v>
      </c>
    </row>
    <row r="33" spans="1:9" hidden="1" x14ac:dyDescent="0.25">
      <c r="A33" s="14" t="s">
        <v>14</v>
      </c>
      <c r="B33" s="14" t="s">
        <v>32</v>
      </c>
      <c r="C33" s="15" t="s">
        <v>26</v>
      </c>
      <c r="D33" s="16">
        <v>46295</v>
      </c>
      <c r="E33" s="17">
        <v>4680</v>
      </c>
      <c r="F33" s="14">
        <f>ROUNDDOWN(Leche[[#This Row],[N° LATAS]]/48,0)</f>
        <v>97</v>
      </c>
      <c r="G33" s="14">
        <f>Leche[[#This Row],[N° LATAS]]-Leche[[#This Row],[TOTAL CAJAS]]*48</f>
        <v>24</v>
      </c>
      <c r="H33" s="28">
        <v>46290</v>
      </c>
      <c r="I33" s="29" t="s">
        <v>408</v>
      </c>
    </row>
    <row r="34" spans="1:9" hidden="1" x14ac:dyDescent="0.25">
      <c r="A34" s="14" t="s">
        <v>14</v>
      </c>
      <c r="B34" s="14" t="s">
        <v>32</v>
      </c>
      <c r="C34" s="15" t="s">
        <v>27</v>
      </c>
      <c r="D34" s="16">
        <v>46326</v>
      </c>
      <c r="E34" s="17">
        <v>4680</v>
      </c>
      <c r="F34" s="14">
        <f>ROUNDDOWN(Leche[[#This Row],[N° LATAS]]/48,0)</f>
        <v>97</v>
      </c>
      <c r="G34" s="14">
        <f>Leche[[#This Row],[N° LATAS]]-Leche[[#This Row],[TOTAL CAJAS]]*48</f>
        <v>24</v>
      </c>
      <c r="H34" s="28"/>
      <c r="I34" s="29"/>
    </row>
    <row r="35" spans="1:9" hidden="1" x14ac:dyDescent="0.25">
      <c r="A35" s="14" t="s">
        <v>14</v>
      </c>
      <c r="B35" s="14" t="s">
        <v>32</v>
      </c>
      <c r="C35" s="15" t="s">
        <v>28</v>
      </c>
      <c r="D35" s="16">
        <v>46356</v>
      </c>
      <c r="E35" s="17">
        <v>4680</v>
      </c>
      <c r="F35" s="14">
        <f>ROUNDDOWN(Leche[[#This Row],[N° LATAS]]/48,0)</f>
        <v>97</v>
      </c>
      <c r="G35" s="14">
        <f>Leche[[#This Row],[N° LATAS]]-Leche[[#This Row],[TOTAL CAJAS]]*48</f>
        <v>24</v>
      </c>
      <c r="H35" s="28"/>
      <c r="I35" s="29"/>
    </row>
    <row r="36" spans="1:9" hidden="1" x14ac:dyDescent="0.25">
      <c r="A36" s="14" t="s">
        <v>14</v>
      </c>
      <c r="B36" s="14" t="s">
        <v>32</v>
      </c>
      <c r="C36" s="88">
        <v>46388</v>
      </c>
      <c r="D36" s="16">
        <v>46387</v>
      </c>
      <c r="E36" s="17">
        <v>4680</v>
      </c>
      <c r="F36" s="14">
        <f>ROUNDDOWN(Leche[[#This Row],[N° LATAS]]/48,0)</f>
        <v>97</v>
      </c>
      <c r="G36" s="14">
        <f>Leche[[#This Row],[N° LATAS]]-Leche[[#This Row],[TOTAL CAJAS]]*48</f>
        <v>24</v>
      </c>
      <c r="H36" s="28"/>
      <c r="I36" s="29"/>
    </row>
    <row r="37" spans="1:9" hidden="1" x14ac:dyDescent="0.25">
      <c r="A37" s="14" t="s">
        <v>14</v>
      </c>
      <c r="B37" s="14" t="s">
        <v>32</v>
      </c>
      <c r="C37" s="88">
        <v>46419</v>
      </c>
      <c r="D37" s="16">
        <v>46418</v>
      </c>
      <c r="E37" s="17">
        <v>4680</v>
      </c>
      <c r="F37" s="14">
        <f>ROUNDDOWN(Leche[[#This Row],[N° LATAS]]/48,0)</f>
        <v>97</v>
      </c>
      <c r="G37" s="14">
        <f>Leche[[#This Row],[N° LATAS]]-Leche[[#This Row],[TOTAL CAJAS]]*48</f>
        <v>24</v>
      </c>
      <c r="H37" s="28"/>
      <c r="I37" s="29"/>
    </row>
    <row r="38" spans="1:9" hidden="1" x14ac:dyDescent="0.25">
      <c r="A38" s="14" t="s">
        <v>14</v>
      </c>
      <c r="B38" s="14" t="s">
        <v>32</v>
      </c>
      <c r="C38" s="88">
        <v>46447</v>
      </c>
      <c r="D38" s="16">
        <v>46446</v>
      </c>
      <c r="E38" s="17">
        <v>4680</v>
      </c>
      <c r="F38" s="14">
        <f>ROUNDDOWN(Leche[[#This Row],[N° LATAS]]/48,0)</f>
        <v>97</v>
      </c>
      <c r="G38" s="14">
        <f>Leche[[#This Row],[N° LATAS]]-Leche[[#This Row],[TOTAL CAJAS]]*48</f>
        <v>24</v>
      </c>
      <c r="H38" s="28"/>
      <c r="I38" s="29"/>
    </row>
    <row r="39" spans="1:9" hidden="1" x14ac:dyDescent="0.25">
      <c r="A39" s="121" t="s">
        <v>14</v>
      </c>
      <c r="B39" s="14" t="s">
        <v>410</v>
      </c>
      <c r="C39" s="15" t="s">
        <v>30</v>
      </c>
      <c r="D39" s="16">
        <v>46112</v>
      </c>
      <c r="E39" s="17">
        <v>1500</v>
      </c>
      <c r="F39" s="14">
        <f>ROUNDDOWN(Leche[[#This Row],[N° LATAS]]/48,0)</f>
        <v>31</v>
      </c>
      <c r="G39" s="14">
        <f>Leche[[#This Row],[N° LATAS]]-Leche[[#This Row],[TOTAL CAJAS]]*48</f>
        <v>12</v>
      </c>
      <c r="H39" s="28">
        <v>46112</v>
      </c>
      <c r="I39" s="28" t="s">
        <v>408</v>
      </c>
    </row>
    <row r="40" spans="1:9" hidden="1" x14ac:dyDescent="0.25">
      <c r="A40" s="121" t="s">
        <v>14</v>
      </c>
      <c r="B40" s="14" t="s">
        <v>410</v>
      </c>
      <c r="C40" s="15" t="s">
        <v>30</v>
      </c>
      <c r="D40" s="16">
        <v>46142</v>
      </c>
      <c r="E40" s="17">
        <v>1800</v>
      </c>
      <c r="F40" s="14">
        <f>ROUNDDOWN(Leche[[#This Row],[N° LATAS]]/48,0)</f>
        <v>37</v>
      </c>
      <c r="G40" s="14">
        <f>Leche[[#This Row],[N° LATAS]]-Leche[[#This Row],[TOTAL CAJAS]]*48</f>
        <v>24</v>
      </c>
      <c r="H40" s="28">
        <v>46140</v>
      </c>
      <c r="I40" s="28" t="s">
        <v>408</v>
      </c>
    </row>
    <row r="41" spans="1:9" hidden="1" x14ac:dyDescent="0.25">
      <c r="A41" s="121" t="s">
        <v>14</v>
      </c>
      <c r="B41" s="14" t="s">
        <v>410</v>
      </c>
      <c r="C41" s="15" t="s">
        <v>30</v>
      </c>
      <c r="D41" s="16">
        <v>46183</v>
      </c>
      <c r="E41" s="17">
        <v>720</v>
      </c>
      <c r="F41" s="14">
        <f>ROUNDDOWN(Leche[[#This Row],[N° LATAS]]/48,0)</f>
        <v>15</v>
      </c>
      <c r="G41" s="14">
        <f>Leche[[#This Row],[N° LATAS]]-Leche[[#This Row],[TOTAL CAJAS]]*48</f>
        <v>0</v>
      </c>
      <c r="H41" s="28">
        <v>46183</v>
      </c>
      <c r="I41" s="28" t="s">
        <v>408</v>
      </c>
    </row>
    <row r="42" spans="1:9" hidden="1" x14ac:dyDescent="0.25">
      <c r="A42" s="121" t="s">
        <v>14</v>
      </c>
      <c r="B42" s="14" t="s">
        <v>410</v>
      </c>
      <c r="C42" s="15" t="s">
        <v>30</v>
      </c>
      <c r="D42" s="16">
        <v>46209</v>
      </c>
      <c r="E42" s="17">
        <v>2064</v>
      </c>
      <c r="F42" s="14">
        <f>ROUNDDOWN(Leche[[#This Row],[N° LATAS]]/48,0)</f>
        <v>43</v>
      </c>
      <c r="G42" s="14">
        <f>Leche[[#This Row],[N° LATAS]]-Leche[[#This Row],[TOTAL CAJAS]]*48</f>
        <v>0</v>
      </c>
      <c r="H42" s="28">
        <v>46209</v>
      </c>
      <c r="I42" s="28" t="s">
        <v>408</v>
      </c>
    </row>
    <row r="43" spans="1:9" hidden="1" x14ac:dyDescent="0.25">
      <c r="A43" s="14" t="s">
        <v>14</v>
      </c>
      <c r="B43" s="14" t="s">
        <v>34</v>
      </c>
      <c r="C43" s="15" t="s">
        <v>35</v>
      </c>
      <c r="D43" s="16">
        <v>46037</v>
      </c>
      <c r="E43" s="17">
        <v>2400</v>
      </c>
      <c r="F43" s="14">
        <f>ROUNDDOWN(Leche[[#This Row],[N° LATAS]]/48,0)</f>
        <v>50</v>
      </c>
      <c r="G43" s="14">
        <f>Leche[[#This Row],[N° LATAS]]-Leche[[#This Row],[TOTAL CAJAS]]*48</f>
        <v>0</v>
      </c>
      <c r="H43" s="28">
        <v>46049</v>
      </c>
      <c r="I43" s="29" t="s">
        <v>408</v>
      </c>
    </row>
    <row r="44" spans="1:9" hidden="1" x14ac:dyDescent="0.25">
      <c r="A44" s="14" t="s">
        <v>14</v>
      </c>
      <c r="B44" s="14" t="s">
        <v>34</v>
      </c>
      <c r="C44" s="15" t="s">
        <v>37</v>
      </c>
      <c r="D44" s="16">
        <v>46096</v>
      </c>
      <c r="E44" s="17">
        <v>2400</v>
      </c>
      <c r="F44" s="14">
        <f>ROUNDDOWN(Leche[[#This Row],[N° LATAS]]/48,0)</f>
        <v>50</v>
      </c>
      <c r="G44" s="14">
        <f>Leche[[#This Row],[N° LATAS]]-Leche[[#This Row],[TOTAL CAJAS]]*48</f>
        <v>0</v>
      </c>
      <c r="H44" s="28">
        <v>46101</v>
      </c>
      <c r="I44" s="29" t="s">
        <v>408</v>
      </c>
    </row>
    <row r="45" spans="1:9" hidden="1" x14ac:dyDescent="0.25">
      <c r="A45" s="14" t="s">
        <v>14</v>
      </c>
      <c r="B45" s="14" t="s">
        <v>34</v>
      </c>
      <c r="C45" s="15" t="s">
        <v>38</v>
      </c>
      <c r="D45" s="16">
        <v>46188</v>
      </c>
      <c r="E45" s="17">
        <v>2400</v>
      </c>
      <c r="F45" s="14">
        <f>ROUNDDOWN(Leche[[#This Row],[N° LATAS]]/48,0)</f>
        <v>50</v>
      </c>
      <c r="G45" s="14">
        <f>Leche[[#This Row],[N° LATAS]]-Leche[[#This Row],[TOTAL CAJAS]]*48</f>
        <v>0</v>
      </c>
      <c r="H45" s="28">
        <v>46192</v>
      </c>
      <c r="I45" s="29" t="s">
        <v>408</v>
      </c>
    </row>
    <row r="46" spans="1:9" ht="22.5" hidden="1" x14ac:dyDescent="0.25">
      <c r="A46" s="14" t="s">
        <v>14</v>
      </c>
      <c r="B46" s="14" t="s">
        <v>34</v>
      </c>
      <c r="C46" s="15" t="s">
        <v>39</v>
      </c>
      <c r="D46" s="16">
        <v>46280</v>
      </c>
      <c r="E46" s="17">
        <v>2400</v>
      </c>
      <c r="F46" s="14">
        <f>ROUNDDOWN(Leche[[#This Row],[N° LATAS]]/48,0)</f>
        <v>50</v>
      </c>
      <c r="G46" s="14">
        <f>Leche[[#This Row],[N° LATAS]]-Leche[[#This Row],[TOTAL CAJAS]]*48</f>
        <v>0</v>
      </c>
      <c r="H46" s="28">
        <v>46283</v>
      </c>
      <c r="I46" s="29" t="s">
        <v>408</v>
      </c>
    </row>
    <row r="47" spans="1:9" hidden="1" x14ac:dyDescent="0.25">
      <c r="A47" s="14" t="s">
        <v>14</v>
      </c>
      <c r="B47" s="14" t="s">
        <v>47</v>
      </c>
      <c r="C47" s="15" t="s">
        <v>30</v>
      </c>
      <c r="D47" s="16">
        <v>46199</v>
      </c>
      <c r="E47" s="17">
        <v>765</v>
      </c>
      <c r="F47" s="14">
        <f>ROUNDDOWN(Leche[[#This Row],[N° LATAS]]/48,0)</f>
        <v>15</v>
      </c>
      <c r="G47" s="14">
        <f>Leche[[#This Row],[N° LATAS]]-Leche[[#This Row],[TOTAL CAJAS]]*48</f>
        <v>45</v>
      </c>
      <c r="H47" s="28">
        <v>46198</v>
      </c>
      <c r="I47" s="29" t="s">
        <v>408</v>
      </c>
    </row>
    <row r="48" spans="1:9" hidden="1" x14ac:dyDescent="0.25">
      <c r="A48" s="14" t="s">
        <v>14</v>
      </c>
      <c r="B48" s="14" t="s">
        <v>411</v>
      </c>
      <c r="C48" s="15" t="s">
        <v>30</v>
      </c>
      <c r="D48" s="16">
        <v>46081</v>
      </c>
      <c r="E48" s="17">
        <v>8580</v>
      </c>
      <c r="F48" s="14">
        <f>ROUNDDOWN(Leche[[#This Row],[N° LATAS]]/48,0)</f>
        <v>178</v>
      </c>
      <c r="G48" s="14">
        <f>Leche[[#This Row],[N° LATAS]]-Leche[[#This Row],[TOTAL CAJAS]]*48</f>
        <v>36</v>
      </c>
      <c r="H48" s="28">
        <v>46077</v>
      </c>
      <c r="I48" s="29" t="s">
        <v>408</v>
      </c>
    </row>
    <row r="49" spans="1:9" hidden="1" x14ac:dyDescent="0.25">
      <c r="A49" s="14" t="s">
        <v>14</v>
      </c>
      <c r="B49" s="14" t="s">
        <v>49</v>
      </c>
      <c r="C49" s="15" t="s">
        <v>16</v>
      </c>
      <c r="D49" s="16">
        <v>46022</v>
      </c>
      <c r="E49" s="17">
        <v>1279</v>
      </c>
      <c r="F49" s="14">
        <f>ROUNDDOWN(Leche[[#This Row],[N° LATAS]]/48,0)</f>
        <v>26</v>
      </c>
      <c r="G49" s="14">
        <f>Leche[[#This Row],[N° LATAS]]-Leche[[#This Row],[TOTAL CAJAS]]*48</f>
        <v>31</v>
      </c>
      <c r="H49" s="28">
        <v>46032</v>
      </c>
      <c r="I49" s="29" t="s">
        <v>408</v>
      </c>
    </row>
    <row r="50" spans="1:9" hidden="1" x14ac:dyDescent="0.25">
      <c r="A50" s="14" t="s">
        <v>14</v>
      </c>
      <c r="B50" s="14" t="s">
        <v>49</v>
      </c>
      <c r="C50" s="15" t="s">
        <v>18</v>
      </c>
      <c r="D50" s="16">
        <v>46045</v>
      </c>
      <c r="E50" s="17">
        <v>1157</v>
      </c>
      <c r="F50" s="14">
        <f>ROUNDDOWN(Leche[[#This Row],[N° LATAS]]/48,0)</f>
        <v>24</v>
      </c>
      <c r="G50" s="14">
        <f>Leche[[#This Row],[N° LATAS]]-Leche[[#This Row],[TOTAL CAJAS]]*48</f>
        <v>5</v>
      </c>
      <c r="H50" s="28">
        <v>46032</v>
      </c>
      <c r="I50" s="29" t="s">
        <v>408</v>
      </c>
    </row>
    <row r="51" spans="1:9" hidden="1" x14ac:dyDescent="0.25">
      <c r="A51" s="14" t="s">
        <v>14</v>
      </c>
      <c r="B51" s="14" t="s">
        <v>49</v>
      </c>
      <c r="C51" s="15" t="s">
        <v>20</v>
      </c>
      <c r="D51" s="16">
        <v>46073</v>
      </c>
      <c r="E51" s="17">
        <v>1239</v>
      </c>
      <c r="F51" s="14">
        <f>ROUNDDOWN(Leche[[#This Row],[N° LATAS]]/48,0)</f>
        <v>25</v>
      </c>
      <c r="G51" s="14">
        <f>Leche[[#This Row],[N° LATAS]]-Leche[[#This Row],[TOTAL CAJAS]]*48</f>
        <v>39</v>
      </c>
      <c r="H51" s="28">
        <v>46063</v>
      </c>
      <c r="I51" s="29" t="s">
        <v>408</v>
      </c>
    </row>
    <row r="52" spans="1:9" hidden="1" x14ac:dyDescent="0.25">
      <c r="A52" s="14" t="s">
        <v>14</v>
      </c>
      <c r="B52" s="14" t="s">
        <v>49</v>
      </c>
      <c r="C52" s="15" t="s">
        <v>19</v>
      </c>
      <c r="D52" s="16">
        <v>46073</v>
      </c>
      <c r="E52" s="17">
        <v>1279</v>
      </c>
      <c r="F52" s="14">
        <f>ROUNDDOWN(Leche[[#This Row],[N° LATAS]]/48,0)</f>
        <v>26</v>
      </c>
      <c r="G52" s="14">
        <f>Leche[[#This Row],[N° LATAS]]-Leche[[#This Row],[TOTAL CAJAS]]*48</f>
        <v>31</v>
      </c>
      <c r="H52" s="28">
        <v>46063</v>
      </c>
      <c r="I52" s="29" t="s">
        <v>408</v>
      </c>
    </row>
    <row r="53" spans="1:9" hidden="1" x14ac:dyDescent="0.25">
      <c r="A53" s="14" t="s">
        <v>14</v>
      </c>
      <c r="B53" s="14" t="s">
        <v>49</v>
      </c>
      <c r="C53" s="15" t="s">
        <v>21</v>
      </c>
      <c r="D53" s="16">
        <v>46133</v>
      </c>
      <c r="E53" s="17">
        <v>1279</v>
      </c>
      <c r="F53" s="14">
        <f>ROUNDDOWN(Leche[[#This Row],[N° LATAS]]/48,0)</f>
        <v>26</v>
      </c>
      <c r="G53" s="14">
        <f>Leche[[#This Row],[N° LATAS]]-Leche[[#This Row],[TOTAL CAJAS]]*48</f>
        <v>31</v>
      </c>
      <c r="H53" s="28">
        <v>46121</v>
      </c>
      <c r="I53" s="29" t="s">
        <v>408</v>
      </c>
    </row>
    <row r="54" spans="1:9" hidden="1" x14ac:dyDescent="0.25">
      <c r="A54" s="14" t="s">
        <v>14</v>
      </c>
      <c r="B54" s="14" t="s">
        <v>49</v>
      </c>
      <c r="C54" s="15" t="s">
        <v>22</v>
      </c>
      <c r="D54" s="16">
        <v>46133</v>
      </c>
      <c r="E54" s="17">
        <v>1239</v>
      </c>
      <c r="F54" s="14">
        <f>ROUNDDOWN(Leche[[#This Row],[N° LATAS]]/48,0)</f>
        <v>25</v>
      </c>
      <c r="G54" s="14">
        <f>Leche[[#This Row],[N° LATAS]]-Leche[[#This Row],[TOTAL CAJAS]]*48</f>
        <v>39</v>
      </c>
      <c r="H54" s="28">
        <v>46121</v>
      </c>
      <c r="I54" s="29" t="s">
        <v>408</v>
      </c>
    </row>
    <row r="55" spans="1:9" hidden="1" x14ac:dyDescent="0.25">
      <c r="A55" s="14" t="s">
        <v>14</v>
      </c>
      <c r="B55" s="14" t="s">
        <v>49</v>
      </c>
      <c r="C55" s="15" t="s">
        <v>23</v>
      </c>
      <c r="D55" s="16">
        <v>46195</v>
      </c>
      <c r="E55" s="17">
        <v>1279</v>
      </c>
      <c r="F55" s="14">
        <f>ROUNDDOWN(Leche[[#This Row],[N° LATAS]]/48,0)</f>
        <v>26</v>
      </c>
      <c r="G55" s="14">
        <f>Leche[[#This Row],[N° LATAS]]-Leche[[#This Row],[TOTAL CAJAS]]*48</f>
        <v>31</v>
      </c>
      <c r="H55" s="28">
        <v>46178</v>
      </c>
      <c r="I55" s="29" t="s">
        <v>408</v>
      </c>
    </row>
    <row r="56" spans="1:9" hidden="1" x14ac:dyDescent="0.25">
      <c r="A56" s="14" t="s">
        <v>14</v>
      </c>
      <c r="B56" s="14" t="s">
        <v>49</v>
      </c>
      <c r="C56" s="15" t="s">
        <v>24</v>
      </c>
      <c r="D56" s="16">
        <v>46195</v>
      </c>
      <c r="E56" s="17">
        <v>1279</v>
      </c>
      <c r="F56" s="14">
        <f>ROUNDDOWN(Leche[[#This Row],[N° LATAS]]/48,0)</f>
        <v>26</v>
      </c>
      <c r="G56" s="14">
        <f>Leche[[#This Row],[N° LATAS]]-Leche[[#This Row],[TOTAL CAJAS]]*48</f>
        <v>31</v>
      </c>
      <c r="H56" s="28">
        <v>46178</v>
      </c>
      <c r="I56" s="29" t="s">
        <v>408</v>
      </c>
    </row>
    <row r="57" spans="1:9" hidden="1" x14ac:dyDescent="0.25">
      <c r="A57" s="14" t="s">
        <v>14</v>
      </c>
      <c r="B57" s="14" t="s">
        <v>49</v>
      </c>
      <c r="C57" s="15" t="s">
        <v>30</v>
      </c>
      <c r="D57" s="16">
        <v>46234</v>
      </c>
      <c r="E57" s="17">
        <v>746</v>
      </c>
      <c r="F57" s="14">
        <f>ROUNDDOWN(Leche[[#This Row],[N° LATAS]]/48,0)</f>
        <v>15</v>
      </c>
      <c r="G57" s="14">
        <f>Leche[[#This Row],[N° LATAS]]-Leche[[#This Row],[TOTAL CAJAS]]*48</f>
        <v>26</v>
      </c>
      <c r="H57" s="28">
        <v>46234</v>
      </c>
      <c r="I57" s="29" t="s">
        <v>408</v>
      </c>
    </row>
    <row r="58" spans="1:9" hidden="1" x14ac:dyDescent="0.25">
      <c r="A58" s="14" t="s">
        <v>14</v>
      </c>
      <c r="B58" s="14" t="s">
        <v>49</v>
      </c>
      <c r="C58" s="15" t="s">
        <v>25</v>
      </c>
      <c r="D58" s="16">
        <v>46253</v>
      </c>
      <c r="E58" s="17">
        <v>1239</v>
      </c>
      <c r="F58" s="14">
        <f>ROUNDDOWN(Leche[[#This Row],[N° LATAS]]/48,0)</f>
        <v>25</v>
      </c>
      <c r="G58" s="14">
        <f>Leche[[#This Row],[N° LATAS]]-Leche[[#This Row],[TOTAL CAJAS]]*48</f>
        <v>39</v>
      </c>
      <c r="H58" s="28">
        <v>46234</v>
      </c>
      <c r="I58" s="29" t="s">
        <v>408</v>
      </c>
    </row>
    <row r="59" spans="1:9" hidden="1" x14ac:dyDescent="0.25">
      <c r="A59" s="14" t="s">
        <v>14</v>
      </c>
      <c r="B59" s="14" t="s">
        <v>49</v>
      </c>
      <c r="C59" s="15" t="s">
        <v>26</v>
      </c>
      <c r="D59" s="16">
        <v>46253</v>
      </c>
      <c r="E59" s="17">
        <v>1279</v>
      </c>
      <c r="F59" s="14">
        <f>ROUNDDOWN(Leche[[#This Row],[N° LATAS]]/48,0)</f>
        <v>26</v>
      </c>
      <c r="G59" s="14">
        <f>Leche[[#This Row],[N° LATAS]]-Leche[[#This Row],[TOTAL CAJAS]]*48</f>
        <v>31</v>
      </c>
      <c r="H59" s="28">
        <v>46234</v>
      </c>
      <c r="I59" s="29" t="s">
        <v>408</v>
      </c>
    </row>
    <row r="60" spans="1:9" hidden="1" x14ac:dyDescent="0.25">
      <c r="A60" s="14" t="s">
        <v>14</v>
      </c>
      <c r="B60" s="14" t="s">
        <v>49</v>
      </c>
      <c r="C60" s="15" t="s">
        <v>27</v>
      </c>
      <c r="D60" s="16">
        <v>46315</v>
      </c>
      <c r="E60" s="17">
        <v>1240</v>
      </c>
      <c r="F60" s="14">
        <f>ROUNDDOWN(Leche[[#This Row],[N° LATAS]]/48,0)</f>
        <v>25</v>
      </c>
      <c r="G60" s="14">
        <f>Leche[[#This Row],[N° LATAS]]-Leche[[#This Row],[TOTAL CAJAS]]*48</f>
        <v>40</v>
      </c>
      <c r="H60" s="28"/>
      <c r="I60" s="29"/>
    </row>
    <row r="61" spans="1:9" hidden="1" x14ac:dyDescent="0.25">
      <c r="A61" s="14" t="s">
        <v>14</v>
      </c>
      <c r="B61" s="14" t="s">
        <v>49</v>
      </c>
      <c r="C61" s="15" t="s">
        <v>28</v>
      </c>
      <c r="D61" s="16">
        <v>46315</v>
      </c>
      <c r="E61" s="17">
        <v>1280</v>
      </c>
      <c r="F61" s="14">
        <f>ROUNDDOWN(Leche[[#This Row],[N° LATAS]]/48,0)</f>
        <v>26</v>
      </c>
      <c r="G61" s="14">
        <f>Leche[[#This Row],[N° LATAS]]-Leche[[#This Row],[TOTAL CAJAS]]*48</f>
        <v>32</v>
      </c>
      <c r="H61" s="28"/>
      <c r="I61" s="29"/>
    </row>
    <row r="62" spans="1:9" hidden="1" x14ac:dyDescent="0.25">
      <c r="A62" s="14" t="s">
        <v>14</v>
      </c>
      <c r="B62" s="14" t="s">
        <v>51</v>
      </c>
      <c r="C62" s="15" t="s">
        <v>30</v>
      </c>
      <c r="D62" s="16">
        <v>46213</v>
      </c>
      <c r="E62" s="17">
        <v>7974</v>
      </c>
      <c r="F62" s="14">
        <f>ROUNDDOWN(Leche[[#This Row],[N° LATAS]]/48,0)</f>
        <v>166</v>
      </c>
      <c r="G62" s="14">
        <f>Leche[[#This Row],[N° LATAS]]-Leche[[#This Row],[TOTAL CAJAS]]*48</f>
        <v>6</v>
      </c>
      <c r="H62" s="28">
        <v>46207</v>
      </c>
      <c r="I62" s="29" t="s">
        <v>408</v>
      </c>
    </row>
    <row r="63" spans="1:9" hidden="1" x14ac:dyDescent="0.25">
      <c r="A63" s="14" t="s">
        <v>14</v>
      </c>
      <c r="B63" s="14" t="s">
        <v>51</v>
      </c>
      <c r="C63" s="15" t="s">
        <v>30</v>
      </c>
      <c r="D63" s="16">
        <v>46245</v>
      </c>
      <c r="E63" s="17">
        <v>552</v>
      </c>
      <c r="F63" s="14">
        <f>ROUNDDOWN(Leche[[#This Row],[N° LATAS]]/48,0)</f>
        <v>11</v>
      </c>
      <c r="G63" s="14">
        <f>Leche[[#This Row],[N° LATAS]]-Leche[[#This Row],[TOTAL CAJAS]]*48</f>
        <v>24</v>
      </c>
      <c r="H63" s="28">
        <v>46246</v>
      </c>
      <c r="I63" s="29" t="s">
        <v>408</v>
      </c>
    </row>
    <row r="64" spans="1:9" hidden="1" x14ac:dyDescent="0.25">
      <c r="A64" s="14" t="s">
        <v>14</v>
      </c>
      <c r="B64" s="14" t="s">
        <v>53</v>
      </c>
      <c r="C64" s="15" t="s">
        <v>35</v>
      </c>
      <c r="D64" s="16">
        <v>46055</v>
      </c>
      <c r="E64" s="17">
        <v>2700</v>
      </c>
      <c r="F64" s="14">
        <f>ROUNDDOWN(Leche[[#This Row],[N° LATAS]]/48,0)</f>
        <v>56</v>
      </c>
      <c r="G64" s="14">
        <f>Leche[[#This Row],[N° LATAS]]-Leche[[#This Row],[TOTAL CAJAS]]*48</f>
        <v>12</v>
      </c>
      <c r="H64" s="28">
        <v>46079</v>
      </c>
      <c r="I64" s="29" t="s">
        <v>408</v>
      </c>
    </row>
    <row r="65" spans="1:9" hidden="1" x14ac:dyDescent="0.25">
      <c r="A65" s="14" t="s">
        <v>14</v>
      </c>
      <c r="B65" s="14" t="s">
        <v>53</v>
      </c>
      <c r="C65" s="15" t="s">
        <v>37</v>
      </c>
      <c r="D65" s="16">
        <v>46117</v>
      </c>
      <c r="E65" s="17">
        <v>2700</v>
      </c>
      <c r="F65" s="14">
        <f>ROUNDDOWN(Leche[[#This Row],[N° LATAS]]/48,0)</f>
        <v>56</v>
      </c>
      <c r="G65" s="14">
        <f>Leche[[#This Row],[N° LATAS]]-Leche[[#This Row],[TOTAL CAJAS]]*48</f>
        <v>12</v>
      </c>
      <c r="H65" s="28">
        <v>46138</v>
      </c>
      <c r="I65" s="29" t="s">
        <v>408</v>
      </c>
    </row>
    <row r="66" spans="1:9" hidden="1" x14ac:dyDescent="0.25">
      <c r="A66" s="14" t="s">
        <v>14</v>
      </c>
      <c r="B66" s="14" t="s">
        <v>53</v>
      </c>
      <c r="C66" s="15" t="s">
        <v>38</v>
      </c>
      <c r="D66" s="16">
        <v>46203</v>
      </c>
      <c r="E66" s="17">
        <v>2700</v>
      </c>
      <c r="F66" s="14">
        <f>ROUNDDOWN(Leche[[#This Row],[N° LATAS]]/48,0)</f>
        <v>56</v>
      </c>
      <c r="G66" s="14">
        <f>Leche[[#This Row],[N° LATAS]]-Leche[[#This Row],[TOTAL CAJAS]]*48</f>
        <v>12</v>
      </c>
      <c r="H66" s="28">
        <v>46220</v>
      </c>
      <c r="I66" s="29" t="s">
        <v>408</v>
      </c>
    </row>
    <row r="67" spans="1:9" hidden="1" x14ac:dyDescent="0.25">
      <c r="A67" s="14" t="s">
        <v>14</v>
      </c>
      <c r="B67" s="14" t="s">
        <v>53</v>
      </c>
      <c r="C67" s="15" t="s">
        <v>30</v>
      </c>
      <c r="D67" s="16">
        <v>46241</v>
      </c>
      <c r="E67" s="17">
        <v>1350</v>
      </c>
      <c r="F67" s="14">
        <f>ROUNDDOWN(Leche[[#This Row],[N° LATAS]]/48,0)</f>
        <v>28</v>
      </c>
      <c r="G67" s="14">
        <f>Leche[[#This Row],[N° LATAS]]-Leche[[#This Row],[TOTAL CAJAS]]*48</f>
        <v>6</v>
      </c>
      <c r="H67" s="28">
        <v>46245</v>
      </c>
      <c r="I67" s="29" t="s">
        <v>408</v>
      </c>
    </row>
    <row r="68" spans="1:9" ht="22.5" hidden="1" x14ac:dyDescent="0.25">
      <c r="A68" s="14" t="s">
        <v>14</v>
      </c>
      <c r="B68" s="14" t="s">
        <v>53</v>
      </c>
      <c r="C68" s="15" t="s">
        <v>39</v>
      </c>
      <c r="D68" s="16">
        <v>46300</v>
      </c>
      <c r="E68" s="17">
        <v>2700</v>
      </c>
      <c r="F68" s="14">
        <f>ROUNDDOWN(Leche[[#This Row],[N° LATAS]]/48,0)</f>
        <v>56</v>
      </c>
      <c r="G68" s="14">
        <f>Leche[[#This Row],[N° LATAS]]-Leche[[#This Row],[TOTAL CAJAS]]*48</f>
        <v>12</v>
      </c>
      <c r="H68" s="28"/>
      <c r="I68" s="29"/>
    </row>
    <row r="69" spans="1:9" hidden="1" x14ac:dyDescent="0.25">
      <c r="A69" s="14" t="s">
        <v>14</v>
      </c>
      <c r="B69" s="14" t="s">
        <v>55</v>
      </c>
      <c r="C69" s="15" t="s">
        <v>20</v>
      </c>
      <c r="D69" s="16">
        <v>46108</v>
      </c>
      <c r="E69" s="17">
        <v>1710</v>
      </c>
      <c r="F69" s="14">
        <f>ROUNDDOWN(Leche[[#This Row],[N° LATAS]]/48,0)</f>
        <v>35</v>
      </c>
      <c r="G69" s="14">
        <f>Leche[[#This Row],[N° LATAS]]-Leche[[#This Row],[TOTAL CAJAS]]*48</f>
        <v>30</v>
      </c>
      <c r="H69" s="28">
        <v>46092</v>
      </c>
      <c r="I69" s="29" t="s">
        <v>408</v>
      </c>
    </row>
    <row r="70" spans="1:9" hidden="1" x14ac:dyDescent="0.25">
      <c r="A70" s="14" t="s">
        <v>14</v>
      </c>
      <c r="B70" s="14" t="s">
        <v>55</v>
      </c>
      <c r="C70" s="15" t="s">
        <v>19</v>
      </c>
      <c r="D70" s="16">
        <v>46108</v>
      </c>
      <c r="E70" s="17">
        <v>1710</v>
      </c>
      <c r="F70" s="14">
        <f>ROUNDDOWN(Leche[[#This Row],[N° LATAS]]/48,0)</f>
        <v>35</v>
      </c>
      <c r="G70" s="14">
        <f>Leche[[#This Row],[N° LATAS]]-Leche[[#This Row],[TOTAL CAJAS]]*48</f>
        <v>30</v>
      </c>
      <c r="H70" s="28">
        <v>46092</v>
      </c>
      <c r="I70" s="29" t="s">
        <v>408</v>
      </c>
    </row>
    <row r="71" spans="1:9" hidden="1" x14ac:dyDescent="0.25">
      <c r="A71" s="14" t="s">
        <v>14</v>
      </c>
      <c r="B71" s="14" t="s">
        <v>55</v>
      </c>
      <c r="C71" s="15" t="s">
        <v>21</v>
      </c>
      <c r="D71" s="16">
        <v>46139</v>
      </c>
      <c r="E71" s="17">
        <v>1710</v>
      </c>
      <c r="F71" s="14">
        <f>ROUNDDOWN(Leche[[#This Row],[N° LATAS]]/48,0)</f>
        <v>35</v>
      </c>
      <c r="G71" s="14">
        <f>Leche[[#This Row],[N° LATAS]]-Leche[[#This Row],[TOTAL CAJAS]]*48</f>
        <v>30</v>
      </c>
      <c r="H71" s="28">
        <v>46138</v>
      </c>
      <c r="I71" s="29" t="s">
        <v>408</v>
      </c>
    </row>
    <row r="72" spans="1:9" hidden="1" x14ac:dyDescent="0.25">
      <c r="A72" s="14" t="s">
        <v>14</v>
      </c>
      <c r="B72" s="14" t="s">
        <v>55</v>
      </c>
      <c r="C72" s="15" t="s">
        <v>22</v>
      </c>
      <c r="D72" s="16">
        <v>46139</v>
      </c>
      <c r="E72" s="17">
        <v>1710</v>
      </c>
      <c r="F72" s="14">
        <f>ROUNDDOWN(Leche[[#This Row],[N° LATAS]]/48,0)</f>
        <v>35</v>
      </c>
      <c r="G72" s="14">
        <f>Leche[[#This Row],[N° LATAS]]-Leche[[#This Row],[TOTAL CAJAS]]*48</f>
        <v>30</v>
      </c>
      <c r="H72" s="28">
        <v>46138</v>
      </c>
      <c r="I72" s="29" t="s">
        <v>408</v>
      </c>
    </row>
    <row r="73" spans="1:9" hidden="1" x14ac:dyDescent="0.25">
      <c r="A73" s="14" t="s">
        <v>14</v>
      </c>
      <c r="B73" s="14" t="s">
        <v>55</v>
      </c>
      <c r="C73" s="15" t="s">
        <v>23</v>
      </c>
      <c r="D73" s="16">
        <v>46200</v>
      </c>
      <c r="E73" s="17">
        <v>1710</v>
      </c>
      <c r="F73" s="14">
        <f>ROUNDDOWN(Leche[[#This Row],[N° LATAS]]/48,0)</f>
        <v>35</v>
      </c>
      <c r="G73" s="14">
        <f>Leche[[#This Row],[N° LATAS]]-Leche[[#This Row],[TOTAL CAJAS]]*48</f>
        <v>30</v>
      </c>
      <c r="H73" s="28">
        <v>46198</v>
      </c>
      <c r="I73" s="29" t="s">
        <v>408</v>
      </c>
    </row>
    <row r="74" spans="1:9" hidden="1" x14ac:dyDescent="0.25">
      <c r="A74" s="14" t="s">
        <v>14</v>
      </c>
      <c r="B74" s="14" t="s">
        <v>55</v>
      </c>
      <c r="C74" s="15" t="s">
        <v>24</v>
      </c>
      <c r="D74" s="16">
        <v>46200</v>
      </c>
      <c r="E74" s="17">
        <v>1710</v>
      </c>
      <c r="F74" s="14">
        <f>ROUNDDOWN(Leche[[#This Row],[N° LATAS]]/48,0)</f>
        <v>35</v>
      </c>
      <c r="G74" s="14">
        <f>Leche[[#This Row],[N° LATAS]]-Leche[[#This Row],[TOTAL CAJAS]]*48</f>
        <v>30</v>
      </c>
      <c r="H74" s="28">
        <v>46198</v>
      </c>
      <c r="I74" s="29" t="s">
        <v>408</v>
      </c>
    </row>
    <row r="75" spans="1:9" hidden="1" x14ac:dyDescent="0.25">
      <c r="A75" s="14" t="s">
        <v>14</v>
      </c>
      <c r="B75" s="14" t="s">
        <v>55</v>
      </c>
      <c r="C75" s="15" t="s">
        <v>25</v>
      </c>
      <c r="D75" s="16">
        <v>46261</v>
      </c>
      <c r="E75" s="17">
        <v>1710</v>
      </c>
      <c r="F75" s="14">
        <f>ROUNDDOWN(Leche[[#This Row],[N° LATAS]]/48,0)</f>
        <v>35</v>
      </c>
      <c r="G75" s="14">
        <f>Leche[[#This Row],[N° LATAS]]-Leche[[#This Row],[TOTAL CAJAS]]*48</f>
        <v>30</v>
      </c>
      <c r="H75" s="28">
        <v>46266</v>
      </c>
      <c r="I75" s="29" t="s">
        <v>408</v>
      </c>
    </row>
    <row r="76" spans="1:9" hidden="1" x14ac:dyDescent="0.25">
      <c r="A76" s="14" t="s">
        <v>14</v>
      </c>
      <c r="B76" s="14" t="s">
        <v>55</v>
      </c>
      <c r="C76" s="15" t="s">
        <v>26</v>
      </c>
      <c r="D76" s="16">
        <v>46261</v>
      </c>
      <c r="E76" s="17">
        <v>1710</v>
      </c>
      <c r="F76" s="14">
        <f>ROUNDDOWN(Leche[[#This Row],[N° LATAS]]/48,0)</f>
        <v>35</v>
      </c>
      <c r="G76" s="14">
        <f>Leche[[#This Row],[N° LATAS]]-Leche[[#This Row],[TOTAL CAJAS]]*48</f>
        <v>30</v>
      </c>
      <c r="H76" s="28">
        <v>46266</v>
      </c>
      <c r="I76" s="29" t="s">
        <v>408</v>
      </c>
    </row>
    <row r="77" spans="1:9" hidden="1" x14ac:dyDescent="0.25">
      <c r="A77" s="14" t="s">
        <v>14</v>
      </c>
      <c r="B77" s="14" t="s">
        <v>55</v>
      </c>
      <c r="C77" s="15" t="s">
        <v>27</v>
      </c>
      <c r="D77" s="16">
        <v>46322</v>
      </c>
      <c r="E77" s="17">
        <v>1710</v>
      </c>
      <c r="F77" s="14">
        <f>ROUNDDOWN(Leche[[#This Row],[N° LATAS]]/48,0)</f>
        <v>35</v>
      </c>
      <c r="G77" s="14">
        <f>Leche[[#This Row],[N° LATAS]]-Leche[[#This Row],[TOTAL CAJAS]]*48</f>
        <v>30</v>
      </c>
      <c r="H77" s="28"/>
      <c r="I77" s="29"/>
    </row>
    <row r="78" spans="1:9" hidden="1" x14ac:dyDescent="0.25">
      <c r="A78" s="14" t="s">
        <v>14</v>
      </c>
      <c r="B78" s="14" t="s">
        <v>55</v>
      </c>
      <c r="C78" s="15" t="s">
        <v>28</v>
      </c>
      <c r="D78" s="16">
        <v>46322</v>
      </c>
      <c r="E78" s="17">
        <v>1710</v>
      </c>
      <c r="F78" s="14">
        <f>ROUNDDOWN(Leche[[#This Row],[N° LATAS]]/48,0)</f>
        <v>35</v>
      </c>
      <c r="G78" s="14">
        <f>Leche[[#This Row],[N° LATAS]]-Leche[[#This Row],[TOTAL CAJAS]]*48</f>
        <v>30</v>
      </c>
      <c r="H78" s="28"/>
      <c r="I78" s="29"/>
    </row>
    <row r="79" spans="1:9" hidden="1" x14ac:dyDescent="0.25">
      <c r="A79" s="14" t="s">
        <v>14</v>
      </c>
      <c r="B79" s="14" t="s">
        <v>412</v>
      </c>
      <c r="C79" s="15" t="s">
        <v>16</v>
      </c>
      <c r="D79" s="16">
        <v>46053</v>
      </c>
      <c r="E79" s="17">
        <v>3420</v>
      </c>
      <c r="F79" s="14">
        <f>ROUNDDOWN(Leche[[#This Row],[N° LATAS]]/48,0)</f>
        <v>71</v>
      </c>
      <c r="G79" s="14">
        <f>Leche[[#This Row],[N° LATAS]]-Leche[[#This Row],[TOTAL CAJAS]]*48</f>
        <v>12</v>
      </c>
      <c r="H79" s="28">
        <v>46036</v>
      </c>
      <c r="I79" s="29" t="s">
        <v>408</v>
      </c>
    </row>
    <row r="80" spans="1:9" hidden="1" x14ac:dyDescent="0.25">
      <c r="A80" s="14" t="s">
        <v>58</v>
      </c>
      <c r="B80" s="14" t="s">
        <v>59</v>
      </c>
      <c r="C80" s="15" t="s">
        <v>16</v>
      </c>
      <c r="D80" s="16">
        <v>46022</v>
      </c>
      <c r="E80" s="17">
        <v>6500</v>
      </c>
      <c r="F80" s="14">
        <f>ROUNDDOWN(Leche[[#This Row],[N° LATAS]]/48,0)</f>
        <v>135</v>
      </c>
      <c r="G80" s="14">
        <f>Leche[[#This Row],[N° LATAS]]-Leche[[#This Row],[TOTAL CAJAS]]*48</f>
        <v>20</v>
      </c>
      <c r="H80" s="28">
        <v>45995</v>
      </c>
      <c r="I80" s="29" t="s">
        <v>408</v>
      </c>
    </row>
    <row r="81" spans="1:9" hidden="1" x14ac:dyDescent="0.25">
      <c r="A81" s="14" t="s">
        <v>58</v>
      </c>
      <c r="B81" s="14" t="s">
        <v>59</v>
      </c>
      <c r="C81" s="15" t="s">
        <v>18</v>
      </c>
      <c r="D81" s="16">
        <v>46048</v>
      </c>
      <c r="E81" s="17">
        <v>6500</v>
      </c>
      <c r="F81" s="14">
        <f>ROUNDDOWN(Leche[[#This Row],[N° LATAS]]/48,0)</f>
        <v>135</v>
      </c>
      <c r="G81" s="14">
        <f>Leche[[#This Row],[N° LATAS]]-Leche[[#This Row],[TOTAL CAJAS]]*48</f>
        <v>20</v>
      </c>
      <c r="H81" s="28">
        <v>46046</v>
      </c>
      <c r="I81" s="29" t="s">
        <v>408</v>
      </c>
    </row>
    <row r="82" spans="1:9" hidden="1" x14ac:dyDescent="0.25">
      <c r="A82" s="14" t="s">
        <v>58</v>
      </c>
      <c r="B82" s="14" t="s">
        <v>59</v>
      </c>
      <c r="C82" s="15" t="s">
        <v>19</v>
      </c>
      <c r="D82" s="16">
        <v>46077</v>
      </c>
      <c r="E82" s="17">
        <v>6500</v>
      </c>
      <c r="F82" s="14">
        <f>ROUNDDOWN(Leche[[#This Row],[N° LATAS]]/48,0)</f>
        <v>135</v>
      </c>
      <c r="G82" s="14">
        <f>Leche[[#This Row],[N° LATAS]]-Leche[[#This Row],[TOTAL CAJAS]]*48</f>
        <v>20</v>
      </c>
      <c r="H82" s="16">
        <v>46075</v>
      </c>
      <c r="I82" s="29" t="s">
        <v>408</v>
      </c>
    </row>
    <row r="83" spans="1:9" hidden="1" x14ac:dyDescent="0.25">
      <c r="A83" s="14" t="s">
        <v>58</v>
      </c>
      <c r="B83" s="14" t="s">
        <v>59</v>
      </c>
      <c r="C83" s="15" t="s">
        <v>20</v>
      </c>
      <c r="D83" s="16">
        <v>46105</v>
      </c>
      <c r="E83" s="17">
        <v>6500</v>
      </c>
      <c r="F83" s="14">
        <f>ROUNDDOWN(Leche[[#This Row],[N° LATAS]]/48,0)</f>
        <v>135</v>
      </c>
      <c r="G83" s="14">
        <f>Leche[[#This Row],[N° LATAS]]-Leche[[#This Row],[TOTAL CAJAS]]*48</f>
        <v>20</v>
      </c>
      <c r="H83" s="28">
        <v>46107</v>
      </c>
      <c r="I83" s="29" t="s">
        <v>408</v>
      </c>
    </row>
    <row r="84" spans="1:9" hidden="1" x14ac:dyDescent="0.25">
      <c r="A84" s="14" t="s">
        <v>58</v>
      </c>
      <c r="B84" s="14" t="s">
        <v>59</v>
      </c>
      <c r="C84" s="15" t="s">
        <v>21</v>
      </c>
      <c r="D84" s="16">
        <v>46135</v>
      </c>
      <c r="E84" s="17">
        <v>6500</v>
      </c>
      <c r="F84" s="14">
        <f>ROUNDDOWN(Leche[[#This Row],[N° LATAS]]/48,0)</f>
        <v>135</v>
      </c>
      <c r="G84" s="14">
        <f>Leche[[#This Row],[N° LATAS]]-Leche[[#This Row],[TOTAL CAJAS]]*48</f>
        <v>20</v>
      </c>
      <c r="H84" s="28">
        <v>46138</v>
      </c>
      <c r="I84" s="29" t="s">
        <v>408</v>
      </c>
    </row>
    <row r="85" spans="1:9" hidden="1" x14ac:dyDescent="0.25">
      <c r="A85" s="14" t="s">
        <v>58</v>
      </c>
      <c r="B85" s="14" t="s">
        <v>59</v>
      </c>
      <c r="C85" s="15" t="s">
        <v>22</v>
      </c>
      <c r="D85" s="16">
        <v>46164</v>
      </c>
      <c r="E85" s="17">
        <v>6500</v>
      </c>
      <c r="F85" s="14">
        <f>ROUNDDOWN(Leche[[#This Row],[N° LATAS]]/48,0)</f>
        <v>135</v>
      </c>
      <c r="G85" s="14">
        <f>Leche[[#This Row],[N° LATAS]]-Leche[[#This Row],[TOTAL CAJAS]]*48</f>
        <v>20</v>
      </c>
      <c r="H85" s="28">
        <v>46163</v>
      </c>
      <c r="I85" s="29" t="s">
        <v>408</v>
      </c>
    </row>
    <row r="86" spans="1:9" hidden="1" x14ac:dyDescent="0.25">
      <c r="A86" s="14" t="s">
        <v>58</v>
      </c>
      <c r="B86" s="14" t="s">
        <v>59</v>
      </c>
      <c r="C86" s="15" t="s">
        <v>23</v>
      </c>
      <c r="D86" s="16">
        <v>46198</v>
      </c>
      <c r="E86" s="17">
        <v>6500</v>
      </c>
      <c r="F86" s="14">
        <f>ROUNDDOWN(Leche[[#This Row],[N° LATAS]]/48,0)</f>
        <v>135</v>
      </c>
      <c r="G86" s="14">
        <f>Leche[[#This Row],[N° LATAS]]-Leche[[#This Row],[TOTAL CAJAS]]*48</f>
        <v>20</v>
      </c>
      <c r="H86" s="28">
        <v>46196</v>
      </c>
      <c r="I86" s="29" t="s">
        <v>408</v>
      </c>
    </row>
    <row r="87" spans="1:9" hidden="1" x14ac:dyDescent="0.25">
      <c r="A87" s="14" t="s">
        <v>58</v>
      </c>
      <c r="B87" s="14" t="s">
        <v>59</v>
      </c>
      <c r="C87" s="15" t="s">
        <v>24</v>
      </c>
      <c r="D87" s="16">
        <v>46227</v>
      </c>
      <c r="E87" s="17">
        <v>6500</v>
      </c>
      <c r="F87" s="14">
        <f>ROUNDDOWN(Leche[[#This Row],[N° LATAS]]/48,0)</f>
        <v>135</v>
      </c>
      <c r="G87" s="14">
        <f>Leche[[#This Row],[N° LATAS]]-Leche[[#This Row],[TOTAL CAJAS]]*48</f>
        <v>20</v>
      </c>
      <c r="H87" s="28">
        <v>46230</v>
      </c>
      <c r="I87" s="29" t="s">
        <v>408</v>
      </c>
    </row>
    <row r="88" spans="1:9" hidden="1" x14ac:dyDescent="0.25">
      <c r="A88" s="14" t="s">
        <v>58</v>
      </c>
      <c r="B88" s="14" t="s">
        <v>59</v>
      </c>
      <c r="C88" s="15" t="s">
        <v>25</v>
      </c>
      <c r="D88" s="16">
        <v>46259</v>
      </c>
      <c r="E88" s="17">
        <v>6500</v>
      </c>
      <c r="F88" s="14">
        <f>ROUNDDOWN(Leche[[#This Row],[N° LATAS]]/48,0)</f>
        <v>135</v>
      </c>
      <c r="G88" s="14">
        <f>Leche[[#This Row],[N° LATAS]]-Leche[[#This Row],[TOTAL CAJAS]]*48</f>
        <v>20</v>
      </c>
      <c r="H88" s="28">
        <v>46255</v>
      </c>
      <c r="I88" s="29" t="s">
        <v>408</v>
      </c>
    </row>
    <row r="89" spans="1:9" hidden="1" x14ac:dyDescent="0.25">
      <c r="A89" s="14" t="s">
        <v>58</v>
      </c>
      <c r="B89" s="14" t="s">
        <v>59</v>
      </c>
      <c r="C89" s="15" t="s">
        <v>26</v>
      </c>
      <c r="D89" s="16">
        <v>46290</v>
      </c>
      <c r="E89" s="17">
        <v>6500</v>
      </c>
      <c r="F89" s="14">
        <f>ROUNDDOWN(Leche[[#This Row],[N° LATAS]]/48,0)</f>
        <v>135</v>
      </c>
      <c r="G89" s="14">
        <f>Leche[[#This Row],[N° LATAS]]-Leche[[#This Row],[TOTAL CAJAS]]*48</f>
        <v>20</v>
      </c>
      <c r="H89" s="28"/>
      <c r="I89" s="29"/>
    </row>
    <row r="90" spans="1:9" hidden="1" x14ac:dyDescent="0.25">
      <c r="A90" s="14" t="s">
        <v>58</v>
      </c>
      <c r="B90" s="14" t="s">
        <v>59</v>
      </c>
      <c r="C90" s="15" t="s">
        <v>27</v>
      </c>
      <c r="D90" s="16">
        <v>46317</v>
      </c>
      <c r="E90" s="17">
        <v>6500</v>
      </c>
      <c r="F90" s="14">
        <f>ROUNDDOWN(Leche[[#This Row],[N° LATAS]]/48,0)</f>
        <v>135</v>
      </c>
      <c r="G90" s="14">
        <f>Leche[[#This Row],[N° LATAS]]-Leche[[#This Row],[TOTAL CAJAS]]*48</f>
        <v>20</v>
      </c>
      <c r="H90" s="28"/>
      <c r="I90" s="29"/>
    </row>
    <row r="91" spans="1:9" hidden="1" x14ac:dyDescent="0.25">
      <c r="A91" s="14" t="s">
        <v>58</v>
      </c>
      <c r="B91" s="14" t="s">
        <v>59</v>
      </c>
      <c r="C91" s="15" t="s">
        <v>28</v>
      </c>
      <c r="D91" s="16">
        <v>46352</v>
      </c>
      <c r="E91" s="17">
        <v>6500</v>
      </c>
      <c r="F91" s="14">
        <f>ROUNDDOWN(Leche[[#This Row],[N° LATAS]]/48,0)</f>
        <v>135</v>
      </c>
      <c r="G91" s="14">
        <f>Leche[[#This Row],[N° LATAS]]-Leche[[#This Row],[TOTAL CAJAS]]*48</f>
        <v>20</v>
      </c>
      <c r="H91" s="28"/>
      <c r="I91" s="29"/>
    </row>
    <row r="92" spans="1:9" hidden="1" x14ac:dyDescent="0.25">
      <c r="A92" s="14" t="s">
        <v>14</v>
      </c>
      <c r="B92" s="14" t="s">
        <v>71</v>
      </c>
      <c r="C92" s="15" t="s">
        <v>35</v>
      </c>
      <c r="D92" s="16">
        <v>46068</v>
      </c>
      <c r="E92" s="17">
        <v>1980</v>
      </c>
      <c r="F92" s="14">
        <f>ROUNDDOWN(Leche[[#This Row],[N° LATAS]]/48,0)</f>
        <v>41</v>
      </c>
      <c r="G92" s="14">
        <f>Leche[[#This Row],[N° LATAS]]-Leche[[#This Row],[TOTAL CAJAS]]*48</f>
        <v>12</v>
      </c>
      <c r="H92" s="28">
        <v>46076</v>
      </c>
      <c r="I92" s="29" t="s">
        <v>408</v>
      </c>
    </row>
    <row r="93" spans="1:9" hidden="1" x14ac:dyDescent="0.25">
      <c r="A93" s="14" t="s">
        <v>14</v>
      </c>
      <c r="B93" s="14" t="s">
        <v>71</v>
      </c>
      <c r="C93" s="15" t="s">
        <v>20</v>
      </c>
      <c r="D93" s="16">
        <v>46097</v>
      </c>
      <c r="E93" s="17">
        <v>660</v>
      </c>
      <c r="F93" s="14">
        <f>ROUNDDOWN(Leche[[#This Row],[N° LATAS]]/48,0)</f>
        <v>13</v>
      </c>
      <c r="G93" s="14">
        <f>Leche[[#This Row],[N° LATAS]]-Leche[[#This Row],[TOTAL CAJAS]]*48</f>
        <v>36</v>
      </c>
      <c r="H93" s="28">
        <v>46099</v>
      </c>
      <c r="I93" s="29" t="s">
        <v>408</v>
      </c>
    </row>
    <row r="94" spans="1:9" hidden="1" x14ac:dyDescent="0.25">
      <c r="A94" s="14" t="s">
        <v>14</v>
      </c>
      <c r="B94" s="14" t="s">
        <v>71</v>
      </c>
      <c r="C94" s="15" t="s">
        <v>22</v>
      </c>
      <c r="D94" s="16">
        <v>46097</v>
      </c>
      <c r="E94" s="17">
        <v>660</v>
      </c>
      <c r="F94" s="14">
        <f>ROUNDDOWN(Leche[[#This Row],[N° LATAS]]/48,0)</f>
        <v>13</v>
      </c>
      <c r="G94" s="14">
        <f>Leche[[#This Row],[N° LATAS]]-Leche[[#This Row],[TOTAL CAJAS]]*48</f>
        <v>36</v>
      </c>
      <c r="H94" s="28">
        <v>46099</v>
      </c>
      <c r="I94" s="29" t="s">
        <v>408</v>
      </c>
    </row>
    <row r="95" spans="1:9" hidden="1" x14ac:dyDescent="0.25">
      <c r="A95" s="14" t="s">
        <v>14</v>
      </c>
      <c r="B95" s="14" t="s">
        <v>71</v>
      </c>
      <c r="C95" s="15" t="s">
        <v>21</v>
      </c>
      <c r="D95" s="16">
        <v>46097</v>
      </c>
      <c r="E95" s="17">
        <v>660</v>
      </c>
      <c r="F95" s="14">
        <f>ROUNDDOWN(Leche[[#This Row],[N° LATAS]]/48,0)</f>
        <v>13</v>
      </c>
      <c r="G95" s="14">
        <f>Leche[[#This Row],[N° LATAS]]-Leche[[#This Row],[TOTAL CAJAS]]*48</f>
        <v>36</v>
      </c>
      <c r="H95" s="28">
        <v>46099</v>
      </c>
      <c r="I95" s="29" t="s">
        <v>408</v>
      </c>
    </row>
    <row r="96" spans="1:9" hidden="1" x14ac:dyDescent="0.25">
      <c r="A96" s="14" t="s">
        <v>14</v>
      </c>
      <c r="B96" s="14" t="s">
        <v>71</v>
      </c>
      <c r="C96" s="15" t="s">
        <v>24</v>
      </c>
      <c r="D96" s="16">
        <v>46188</v>
      </c>
      <c r="E96" s="17">
        <v>660</v>
      </c>
      <c r="F96" s="14">
        <f>ROUNDDOWN(Leche[[#This Row],[N° LATAS]]/48,0)</f>
        <v>13</v>
      </c>
      <c r="G96" s="14">
        <f>Leche[[#This Row],[N° LATAS]]-Leche[[#This Row],[TOTAL CAJAS]]*48</f>
        <v>36</v>
      </c>
      <c r="H96" s="28">
        <v>46183</v>
      </c>
      <c r="I96" s="29" t="s">
        <v>408</v>
      </c>
    </row>
    <row r="97" spans="1:9" hidden="1" x14ac:dyDescent="0.25">
      <c r="A97" s="14" t="s">
        <v>14</v>
      </c>
      <c r="B97" s="14" t="s">
        <v>71</v>
      </c>
      <c r="C97" s="15" t="s">
        <v>23</v>
      </c>
      <c r="D97" s="16">
        <v>46188</v>
      </c>
      <c r="E97" s="17">
        <v>660</v>
      </c>
      <c r="F97" s="14">
        <f>ROUNDDOWN(Leche[[#This Row],[N° LATAS]]/48,0)</f>
        <v>13</v>
      </c>
      <c r="G97" s="14">
        <f>Leche[[#This Row],[N° LATAS]]-Leche[[#This Row],[TOTAL CAJAS]]*48</f>
        <v>36</v>
      </c>
      <c r="H97" s="28">
        <v>46183</v>
      </c>
      <c r="I97" s="29" t="s">
        <v>408</v>
      </c>
    </row>
    <row r="98" spans="1:9" hidden="1" x14ac:dyDescent="0.25">
      <c r="A98" s="14" t="s">
        <v>14</v>
      </c>
      <c r="B98" s="14" t="s">
        <v>71</v>
      </c>
      <c r="C98" s="15" t="s">
        <v>25</v>
      </c>
      <c r="D98" s="16">
        <v>46188</v>
      </c>
      <c r="E98" s="17">
        <v>660</v>
      </c>
      <c r="F98" s="14">
        <f>ROUNDDOWN(Leche[[#This Row],[N° LATAS]]/48,0)</f>
        <v>13</v>
      </c>
      <c r="G98" s="14">
        <f>Leche[[#This Row],[N° LATAS]]-Leche[[#This Row],[TOTAL CAJAS]]*48</f>
        <v>36</v>
      </c>
      <c r="H98" s="28">
        <v>46183</v>
      </c>
      <c r="I98" s="29" t="s">
        <v>408</v>
      </c>
    </row>
    <row r="99" spans="1:9" hidden="1" x14ac:dyDescent="0.25">
      <c r="A99" s="14" t="s">
        <v>14</v>
      </c>
      <c r="B99" s="14" t="s">
        <v>71</v>
      </c>
      <c r="C99" s="15" t="s">
        <v>30</v>
      </c>
      <c r="D99" s="16">
        <v>46280</v>
      </c>
      <c r="E99" s="17">
        <v>840</v>
      </c>
      <c r="F99" s="14">
        <f>ROUNDDOWN(Leche[[#This Row],[N° LATAS]]/48,0)</f>
        <v>17</v>
      </c>
      <c r="G99" s="14">
        <f>Leche[[#This Row],[N° LATAS]]-Leche[[#This Row],[TOTAL CAJAS]]*48</f>
        <v>24</v>
      </c>
      <c r="H99" s="28">
        <v>46279</v>
      </c>
      <c r="I99" s="29" t="s">
        <v>408</v>
      </c>
    </row>
    <row r="100" spans="1:9" hidden="1" x14ac:dyDescent="0.25">
      <c r="A100" s="14" t="s">
        <v>14</v>
      </c>
      <c r="B100" s="14" t="s">
        <v>71</v>
      </c>
      <c r="C100" s="15" t="s">
        <v>28</v>
      </c>
      <c r="D100" s="16">
        <v>46280</v>
      </c>
      <c r="E100" s="17">
        <v>660</v>
      </c>
      <c r="F100" s="14">
        <f>ROUNDDOWN(Leche[[#This Row],[N° LATAS]]/48,0)</f>
        <v>13</v>
      </c>
      <c r="G100" s="14">
        <f>Leche[[#This Row],[N° LATAS]]-Leche[[#This Row],[TOTAL CAJAS]]*48</f>
        <v>36</v>
      </c>
      <c r="H100" s="28">
        <v>46279</v>
      </c>
      <c r="I100" s="29" t="s">
        <v>408</v>
      </c>
    </row>
    <row r="101" spans="1:9" hidden="1" x14ac:dyDescent="0.25">
      <c r="A101" s="14" t="s">
        <v>14</v>
      </c>
      <c r="B101" s="14" t="s">
        <v>71</v>
      </c>
      <c r="C101" s="15" t="s">
        <v>27</v>
      </c>
      <c r="D101" s="16">
        <v>46280</v>
      </c>
      <c r="E101" s="17">
        <v>660</v>
      </c>
      <c r="F101" s="14">
        <f>ROUNDDOWN(Leche[[#This Row],[N° LATAS]]/48,0)</f>
        <v>13</v>
      </c>
      <c r="G101" s="14">
        <f>Leche[[#This Row],[N° LATAS]]-Leche[[#This Row],[TOTAL CAJAS]]*48</f>
        <v>36</v>
      </c>
      <c r="H101" s="28">
        <v>46279</v>
      </c>
      <c r="I101" s="29" t="s">
        <v>408</v>
      </c>
    </row>
    <row r="102" spans="1:9" hidden="1" x14ac:dyDescent="0.25">
      <c r="A102" s="14" t="s">
        <v>14</v>
      </c>
      <c r="B102" s="14" t="s">
        <v>71</v>
      </c>
      <c r="C102" s="15" t="s">
        <v>26</v>
      </c>
      <c r="D102" s="16">
        <v>46280</v>
      </c>
      <c r="E102" s="17">
        <v>660</v>
      </c>
      <c r="F102" s="14">
        <f>ROUNDDOWN(Leche[[#This Row],[N° LATAS]]/48,0)</f>
        <v>13</v>
      </c>
      <c r="G102" s="14">
        <f>Leche[[#This Row],[N° LATAS]]-Leche[[#This Row],[TOTAL CAJAS]]*48</f>
        <v>36</v>
      </c>
      <c r="H102" s="28">
        <v>46279</v>
      </c>
      <c r="I102" s="29" t="s">
        <v>408</v>
      </c>
    </row>
    <row r="103" spans="1:9" hidden="1" x14ac:dyDescent="0.25">
      <c r="A103" s="14" t="s">
        <v>79</v>
      </c>
      <c r="B103" s="14" t="s">
        <v>80</v>
      </c>
      <c r="C103" s="15" t="s">
        <v>30</v>
      </c>
      <c r="D103" s="16">
        <v>46045</v>
      </c>
      <c r="E103" s="17">
        <v>10062</v>
      </c>
      <c r="F103" s="14">
        <f>ROUNDDOWN(Leche[[#This Row],[N° LATAS]]/48,0)</f>
        <v>209</v>
      </c>
      <c r="G103" s="14">
        <f>Leche[[#This Row],[N° LATAS]]-Leche[[#This Row],[TOTAL CAJAS]]*48</f>
        <v>30</v>
      </c>
      <c r="H103" s="28">
        <v>46054</v>
      </c>
      <c r="I103" s="29" t="s">
        <v>408</v>
      </c>
    </row>
    <row r="104" spans="1:9" hidden="1" x14ac:dyDescent="0.25">
      <c r="A104" s="14" t="s">
        <v>14</v>
      </c>
      <c r="B104" s="14" t="s">
        <v>82</v>
      </c>
      <c r="C104" s="15" t="s">
        <v>30</v>
      </c>
      <c r="D104" s="16">
        <v>46038</v>
      </c>
      <c r="E104" s="17">
        <v>3381</v>
      </c>
      <c r="F104" s="14">
        <f>ROUNDDOWN(Leche[[#This Row],[N° LATAS]]/48,0)</f>
        <v>70</v>
      </c>
      <c r="G104" s="14">
        <f>Leche[[#This Row],[N° LATAS]]-Leche[[#This Row],[TOTAL CAJAS]]*48</f>
        <v>21</v>
      </c>
      <c r="H104" s="28">
        <v>46037</v>
      </c>
      <c r="I104" s="29" t="s">
        <v>408</v>
      </c>
    </row>
    <row r="105" spans="1:9" hidden="1" x14ac:dyDescent="0.25">
      <c r="A105" s="14" t="s">
        <v>14</v>
      </c>
      <c r="B105" s="14" t="s">
        <v>82</v>
      </c>
      <c r="C105" s="15" t="s">
        <v>19</v>
      </c>
      <c r="D105" s="16">
        <v>46058</v>
      </c>
      <c r="E105" s="17">
        <v>3381</v>
      </c>
      <c r="F105" s="14">
        <f>ROUNDDOWN(Leche[[#This Row],[N° LATAS]]/48,0)</f>
        <v>70</v>
      </c>
      <c r="G105" s="14">
        <f>Leche[[#This Row],[N° LATAS]]-Leche[[#This Row],[TOTAL CAJAS]]*48</f>
        <v>21</v>
      </c>
      <c r="H105" s="28">
        <v>46069</v>
      </c>
      <c r="I105" s="29" t="s">
        <v>408</v>
      </c>
    </row>
    <row r="106" spans="1:9" hidden="1" x14ac:dyDescent="0.25">
      <c r="A106" s="14" t="s">
        <v>14</v>
      </c>
      <c r="B106" s="14" t="s">
        <v>82</v>
      </c>
      <c r="C106" s="15" t="s">
        <v>30</v>
      </c>
      <c r="D106" s="16">
        <v>46058</v>
      </c>
      <c r="E106" s="17">
        <v>3381</v>
      </c>
      <c r="F106" s="14">
        <f>ROUNDDOWN(Leche[[#This Row],[N° LATAS]]/48,0)</f>
        <v>70</v>
      </c>
      <c r="G106" s="14">
        <f>Leche[[#This Row],[N° LATAS]]-Leche[[#This Row],[TOTAL CAJAS]]*48</f>
        <v>21</v>
      </c>
      <c r="H106" s="28">
        <v>46069</v>
      </c>
      <c r="I106" s="29" t="s">
        <v>408</v>
      </c>
    </row>
    <row r="107" spans="1:9" hidden="1" x14ac:dyDescent="0.25">
      <c r="A107" s="14" t="s">
        <v>14</v>
      </c>
      <c r="B107" s="14" t="s">
        <v>82</v>
      </c>
      <c r="C107" s="15" t="s">
        <v>20</v>
      </c>
      <c r="D107" s="16">
        <v>46086</v>
      </c>
      <c r="E107" s="17">
        <v>3381</v>
      </c>
      <c r="F107" s="14">
        <f>ROUNDDOWN(Leche[[#This Row],[N° LATAS]]/48,0)</f>
        <v>70</v>
      </c>
      <c r="G107" s="14">
        <f>Leche[[#This Row],[N° LATAS]]-Leche[[#This Row],[TOTAL CAJAS]]*48</f>
        <v>21</v>
      </c>
      <c r="H107" s="28">
        <v>46108</v>
      </c>
      <c r="I107" s="29" t="s">
        <v>408</v>
      </c>
    </row>
    <row r="108" spans="1:9" hidden="1" x14ac:dyDescent="0.25">
      <c r="A108" s="14" t="s">
        <v>14</v>
      </c>
      <c r="B108" s="14" t="s">
        <v>82</v>
      </c>
      <c r="C108" s="15" t="s">
        <v>21</v>
      </c>
      <c r="D108" s="16">
        <v>46117</v>
      </c>
      <c r="E108" s="17">
        <v>3381</v>
      </c>
      <c r="F108" s="14">
        <f>ROUNDDOWN(Leche[[#This Row],[N° LATAS]]/48,0)</f>
        <v>70</v>
      </c>
      <c r="G108" s="14">
        <f>Leche[[#This Row],[N° LATAS]]-Leche[[#This Row],[TOTAL CAJAS]]*48</f>
        <v>21</v>
      </c>
      <c r="H108" s="28">
        <v>46136</v>
      </c>
      <c r="I108" s="29" t="s">
        <v>408</v>
      </c>
    </row>
    <row r="109" spans="1:9" hidden="1" x14ac:dyDescent="0.25">
      <c r="A109" s="14" t="s">
        <v>14</v>
      </c>
      <c r="B109" s="14" t="s">
        <v>82</v>
      </c>
      <c r="C109" s="15" t="s">
        <v>22</v>
      </c>
      <c r="D109" s="16">
        <v>46147</v>
      </c>
      <c r="E109" s="17">
        <v>3381</v>
      </c>
      <c r="F109" s="14">
        <f>ROUNDDOWN(Leche[[#This Row],[N° LATAS]]/48,0)</f>
        <v>70</v>
      </c>
      <c r="G109" s="14">
        <f>Leche[[#This Row],[N° LATAS]]-Leche[[#This Row],[TOTAL CAJAS]]*48</f>
        <v>21</v>
      </c>
      <c r="H109" s="28">
        <v>46163</v>
      </c>
      <c r="I109" s="29" t="s">
        <v>408</v>
      </c>
    </row>
    <row r="110" spans="1:9" hidden="1" x14ac:dyDescent="0.25">
      <c r="A110" s="14" t="s">
        <v>14</v>
      </c>
      <c r="B110" s="14" t="s">
        <v>82</v>
      </c>
      <c r="C110" s="15" t="s">
        <v>23</v>
      </c>
      <c r="D110" s="16">
        <v>46178</v>
      </c>
      <c r="E110" s="17">
        <v>3381</v>
      </c>
      <c r="F110" s="14">
        <f>ROUNDDOWN(Leche[[#This Row],[N° LATAS]]/48,0)</f>
        <v>70</v>
      </c>
      <c r="G110" s="14">
        <f>Leche[[#This Row],[N° LATAS]]-Leche[[#This Row],[TOTAL CAJAS]]*48</f>
        <v>21</v>
      </c>
      <c r="H110" s="28">
        <v>46198</v>
      </c>
      <c r="I110" s="29" t="s">
        <v>408</v>
      </c>
    </row>
    <row r="111" spans="1:9" hidden="1" x14ac:dyDescent="0.25">
      <c r="A111" s="14" t="s">
        <v>14</v>
      </c>
      <c r="B111" s="14" t="s">
        <v>82</v>
      </c>
      <c r="C111" s="15" t="s">
        <v>24</v>
      </c>
      <c r="D111" s="16">
        <v>46208</v>
      </c>
      <c r="E111" s="17">
        <v>3381</v>
      </c>
      <c r="F111" s="14">
        <f>ROUNDDOWN(Leche[[#This Row],[N° LATAS]]/48,0)</f>
        <v>70</v>
      </c>
      <c r="G111" s="14">
        <f>Leche[[#This Row],[N° LATAS]]-Leche[[#This Row],[TOTAL CAJAS]]*48</f>
        <v>21</v>
      </c>
      <c r="H111" s="28">
        <v>46227</v>
      </c>
      <c r="I111" s="29" t="s">
        <v>408</v>
      </c>
    </row>
    <row r="112" spans="1:9" hidden="1" x14ac:dyDescent="0.25">
      <c r="A112" s="14" t="s">
        <v>14</v>
      </c>
      <c r="B112" s="14" t="s">
        <v>82</v>
      </c>
      <c r="C112" s="15" t="s">
        <v>25</v>
      </c>
      <c r="D112" s="16">
        <v>46239</v>
      </c>
      <c r="E112" s="17">
        <v>3381</v>
      </c>
      <c r="F112" s="14">
        <f>ROUNDDOWN(Leche[[#This Row],[N° LATAS]]/48,0)</f>
        <v>70</v>
      </c>
      <c r="G112" s="14">
        <f>Leche[[#This Row],[N° LATAS]]-Leche[[#This Row],[TOTAL CAJAS]]*48</f>
        <v>21</v>
      </c>
      <c r="H112" s="28">
        <v>46259</v>
      </c>
      <c r="I112" s="29" t="s">
        <v>408</v>
      </c>
    </row>
    <row r="113" spans="1:9" hidden="1" x14ac:dyDescent="0.25">
      <c r="A113" s="14" t="s">
        <v>14</v>
      </c>
      <c r="B113" s="14" t="s">
        <v>82</v>
      </c>
      <c r="C113" s="15" t="s">
        <v>26</v>
      </c>
      <c r="D113" s="16">
        <v>46270</v>
      </c>
      <c r="E113" s="17">
        <v>3381</v>
      </c>
      <c r="F113" s="14">
        <f>ROUNDDOWN(Leche[[#This Row],[N° LATAS]]/48,0)</f>
        <v>70</v>
      </c>
      <c r="G113" s="14">
        <f>Leche[[#This Row],[N° LATAS]]-Leche[[#This Row],[TOTAL CAJAS]]*48</f>
        <v>21</v>
      </c>
      <c r="H113" s="28">
        <v>46294</v>
      </c>
      <c r="I113" s="29" t="s">
        <v>408</v>
      </c>
    </row>
    <row r="114" spans="1:9" hidden="1" x14ac:dyDescent="0.25">
      <c r="A114" s="14" t="s">
        <v>14</v>
      </c>
      <c r="B114" s="14" t="s">
        <v>82</v>
      </c>
      <c r="C114" s="15" t="s">
        <v>27</v>
      </c>
      <c r="D114" s="16">
        <v>46300</v>
      </c>
      <c r="E114" s="17">
        <v>3381</v>
      </c>
      <c r="F114" s="14">
        <f>ROUNDDOWN(Leche[[#This Row],[N° LATAS]]/48,0)</f>
        <v>70</v>
      </c>
      <c r="G114" s="14">
        <f>Leche[[#This Row],[N° LATAS]]-Leche[[#This Row],[TOTAL CAJAS]]*48</f>
        <v>21</v>
      </c>
      <c r="H114" s="28"/>
      <c r="I114" s="29"/>
    </row>
    <row r="115" spans="1:9" hidden="1" x14ac:dyDescent="0.25">
      <c r="A115" s="14" t="s">
        <v>14</v>
      </c>
      <c r="B115" s="14" t="s">
        <v>82</v>
      </c>
      <c r="C115" s="15" t="s">
        <v>28</v>
      </c>
      <c r="D115" s="16">
        <v>46331</v>
      </c>
      <c r="E115" s="17">
        <v>3381</v>
      </c>
      <c r="F115" s="14">
        <f>ROUNDDOWN(Leche[[#This Row],[N° LATAS]]/48,0)</f>
        <v>70</v>
      </c>
      <c r="G115" s="14">
        <f>Leche[[#This Row],[N° LATAS]]-Leche[[#This Row],[TOTAL CAJAS]]*48</f>
        <v>21</v>
      </c>
      <c r="H115" s="28"/>
      <c r="I115" s="29"/>
    </row>
    <row r="116" spans="1:9" hidden="1" x14ac:dyDescent="0.25">
      <c r="A116" s="14" t="s">
        <v>14</v>
      </c>
      <c r="B116" s="14" t="s">
        <v>413</v>
      </c>
      <c r="C116" s="15" t="s">
        <v>121</v>
      </c>
      <c r="D116" s="16">
        <v>46081</v>
      </c>
      <c r="E116" s="17">
        <v>10440</v>
      </c>
      <c r="F116" s="14">
        <f>ROUNDDOWN(Leche[[#This Row],[N° LATAS]]/48,0)</f>
        <v>217</v>
      </c>
      <c r="G116" s="14">
        <f>Leche[[#This Row],[N° LATAS]]-Leche[[#This Row],[TOTAL CAJAS]]*48</f>
        <v>24</v>
      </c>
      <c r="H116" s="28">
        <v>46079</v>
      </c>
      <c r="I116" s="29" t="s">
        <v>408</v>
      </c>
    </row>
    <row r="117" spans="1:9" hidden="1" x14ac:dyDescent="0.25">
      <c r="A117" s="14" t="s">
        <v>14</v>
      </c>
      <c r="B117" s="14" t="s">
        <v>413</v>
      </c>
      <c r="C117" s="15" t="s">
        <v>19</v>
      </c>
      <c r="D117" s="16">
        <v>46357</v>
      </c>
      <c r="E117" s="17">
        <v>5220</v>
      </c>
      <c r="F117" s="14">
        <f>ROUNDDOWN(Leche[[#This Row],[N° LATAS]]/48,0)</f>
        <v>108</v>
      </c>
      <c r="G117" s="14">
        <f>Leche[[#This Row],[N° LATAS]]-Leche[[#This Row],[TOTAL CAJAS]]*48</f>
        <v>36</v>
      </c>
      <c r="H117" s="28"/>
      <c r="I117" s="29"/>
    </row>
    <row r="118" spans="1:9" hidden="1" x14ac:dyDescent="0.25">
      <c r="A118" s="14" t="s">
        <v>14</v>
      </c>
      <c r="B118" s="14" t="s">
        <v>413</v>
      </c>
      <c r="C118" s="15" t="s">
        <v>20</v>
      </c>
      <c r="D118" s="16">
        <v>46357</v>
      </c>
      <c r="E118" s="17">
        <v>5220</v>
      </c>
      <c r="F118" s="14">
        <f>ROUNDDOWN(Leche[[#This Row],[N° LATAS]]/48,0)</f>
        <v>108</v>
      </c>
      <c r="G118" s="14">
        <f>Leche[[#This Row],[N° LATAS]]-Leche[[#This Row],[TOTAL CAJAS]]*48</f>
        <v>36</v>
      </c>
      <c r="H118" s="28"/>
      <c r="I118" s="29"/>
    </row>
    <row r="119" spans="1:9" hidden="1" x14ac:dyDescent="0.25">
      <c r="A119" s="14" t="s">
        <v>14</v>
      </c>
      <c r="B119" s="14" t="s">
        <v>413</v>
      </c>
      <c r="C119" s="15" t="s">
        <v>21</v>
      </c>
      <c r="D119" s="16">
        <v>46357</v>
      </c>
      <c r="E119" s="17">
        <v>5220</v>
      </c>
      <c r="F119" s="14">
        <f>ROUNDDOWN(Leche[[#This Row],[N° LATAS]]/48,0)</f>
        <v>108</v>
      </c>
      <c r="G119" s="14">
        <f>Leche[[#This Row],[N° LATAS]]-Leche[[#This Row],[TOTAL CAJAS]]*48</f>
        <v>36</v>
      </c>
      <c r="H119" s="28"/>
      <c r="I119" s="29"/>
    </row>
    <row r="120" spans="1:9" hidden="1" x14ac:dyDescent="0.25">
      <c r="A120" s="14" t="s">
        <v>14</v>
      </c>
      <c r="B120" s="14" t="s">
        <v>413</v>
      </c>
      <c r="C120" s="15" t="s">
        <v>22</v>
      </c>
      <c r="D120" s="16">
        <v>46357</v>
      </c>
      <c r="E120" s="17">
        <v>5220</v>
      </c>
      <c r="F120" s="14">
        <f>ROUNDDOWN(Leche[[#This Row],[N° LATAS]]/48,0)</f>
        <v>108</v>
      </c>
      <c r="G120" s="14">
        <f>Leche[[#This Row],[N° LATAS]]-Leche[[#This Row],[TOTAL CAJAS]]*48</f>
        <v>36</v>
      </c>
      <c r="H120" s="28"/>
      <c r="I120" s="29"/>
    </row>
    <row r="121" spans="1:9" hidden="1" x14ac:dyDescent="0.25">
      <c r="A121" s="14" t="s">
        <v>14</v>
      </c>
      <c r="B121" s="14" t="s">
        <v>413</v>
      </c>
      <c r="C121" s="15" t="s">
        <v>23</v>
      </c>
      <c r="D121" s="16">
        <v>46357</v>
      </c>
      <c r="E121" s="17">
        <v>5220</v>
      </c>
      <c r="F121" s="14">
        <f>ROUNDDOWN(Leche[[#This Row],[N° LATAS]]/48,0)</f>
        <v>108</v>
      </c>
      <c r="G121" s="14">
        <f>Leche[[#This Row],[N° LATAS]]-Leche[[#This Row],[TOTAL CAJAS]]*48</f>
        <v>36</v>
      </c>
      <c r="H121" s="28"/>
      <c r="I121" s="29"/>
    </row>
    <row r="122" spans="1:9" hidden="1" x14ac:dyDescent="0.25">
      <c r="A122" s="14" t="s">
        <v>14</v>
      </c>
      <c r="B122" s="14" t="s">
        <v>413</v>
      </c>
      <c r="C122" s="15" t="s">
        <v>24</v>
      </c>
      <c r="D122" s="16">
        <v>46357</v>
      </c>
      <c r="E122" s="17">
        <v>5220</v>
      </c>
      <c r="F122" s="14">
        <f>ROUNDDOWN(Leche[[#This Row],[N° LATAS]]/48,0)</f>
        <v>108</v>
      </c>
      <c r="G122" s="14">
        <f>Leche[[#This Row],[N° LATAS]]-Leche[[#This Row],[TOTAL CAJAS]]*48</f>
        <v>36</v>
      </c>
      <c r="H122" s="28"/>
      <c r="I122" s="29"/>
    </row>
    <row r="123" spans="1:9" hidden="1" x14ac:dyDescent="0.25">
      <c r="A123" s="14" t="s">
        <v>14</v>
      </c>
      <c r="B123" s="14" t="s">
        <v>413</v>
      </c>
      <c r="C123" s="15" t="s">
        <v>25</v>
      </c>
      <c r="D123" s="16">
        <v>46357</v>
      </c>
      <c r="E123" s="17">
        <v>5220</v>
      </c>
      <c r="F123" s="14">
        <f>ROUNDDOWN(Leche[[#This Row],[N° LATAS]]/48,0)</f>
        <v>108</v>
      </c>
      <c r="G123" s="14">
        <f>Leche[[#This Row],[N° LATAS]]-Leche[[#This Row],[TOTAL CAJAS]]*48</f>
        <v>36</v>
      </c>
      <c r="H123" s="28"/>
      <c r="I123" s="29"/>
    </row>
    <row r="124" spans="1:9" hidden="1" x14ac:dyDescent="0.25">
      <c r="A124" s="14" t="s">
        <v>14</v>
      </c>
      <c r="B124" s="14" t="s">
        <v>413</v>
      </c>
      <c r="C124" s="15" t="s">
        <v>26</v>
      </c>
      <c r="D124" s="16">
        <v>46357</v>
      </c>
      <c r="E124" s="17">
        <v>5220</v>
      </c>
      <c r="F124" s="14">
        <f>ROUNDDOWN(Leche[[#This Row],[N° LATAS]]/48,0)</f>
        <v>108</v>
      </c>
      <c r="G124" s="14">
        <f>Leche[[#This Row],[N° LATAS]]-Leche[[#This Row],[TOTAL CAJAS]]*48</f>
        <v>36</v>
      </c>
      <c r="H124" s="28"/>
      <c r="I124" s="29"/>
    </row>
    <row r="125" spans="1:9" hidden="1" x14ac:dyDescent="0.25">
      <c r="A125" s="14" t="s">
        <v>14</v>
      </c>
      <c r="B125" s="14" t="s">
        <v>413</v>
      </c>
      <c r="C125" s="15" t="s">
        <v>27</v>
      </c>
      <c r="D125" s="16">
        <v>46357</v>
      </c>
      <c r="E125" s="17">
        <v>5220</v>
      </c>
      <c r="F125" s="14">
        <f>ROUNDDOWN(Leche[[#This Row],[N° LATAS]]/48,0)</f>
        <v>108</v>
      </c>
      <c r="G125" s="14">
        <f>Leche[[#This Row],[N° LATAS]]-Leche[[#This Row],[TOTAL CAJAS]]*48</f>
        <v>36</v>
      </c>
      <c r="H125" s="28"/>
      <c r="I125" s="29"/>
    </row>
    <row r="126" spans="1:9" hidden="1" x14ac:dyDescent="0.25">
      <c r="A126" s="14" t="s">
        <v>14</v>
      </c>
      <c r="B126" s="14" t="s">
        <v>413</v>
      </c>
      <c r="C126" s="15" t="s">
        <v>28</v>
      </c>
      <c r="D126" s="16">
        <v>46357</v>
      </c>
      <c r="E126" s="17">
        <v>5220</v>
      </c>
      <c r="F126" s="14">
        <f>ROUNDDOWN(Leche[[#This Row],[N° LATAS]]/48,0)</f>
        <v>108</v>
      </c>
      <c r="G126" s="14">
        <f>Leche[[#This Row],[N° LATAS]]-Leche[[#This Row],[TOTAL CAJAS]]*48</f>
        <v>36</v>
      </c>
      <c r="H126" s="28"/>
      <c r="I126" s="29"/>
    </row>
    <row r="127" spans="1:9" hidden="1" x14ac:dyDescent="0.25">
      <c r="A127" s="14" t="s">
        <v>14</v>
      </c>
      <c r="B127" s="14" t="s">
        <v>414</v>
      </c>
      <c r="C127" s="15" t="s">
        <v>35</v>
      </c>
      <c r="D127" s="16">
        <v>46127</v>
      </c>
      <c r="E127" s="17">
        <v>4068</v>
      </c>
      <c r="F127" s="14">
        <f>ROUNDDOWN(Leche[[#This Row],[N° LATAS]]/48,0)</f>
        <v>84</v>
      </c>
      <c r="G127" s="14">
        <f>Leche[[#This Row],[N° LATAS]]-Leche[[#This Row],[TOTAL CAJAS]]*48</f>
        <v>36</v>
      </c>
      <c r="H127" s="28">
        <v>46128</v>
      </c>
      <c r="I127" s="29" t="s">
        <v>408</v>
      </c>
    </row>
    <row r="128" spans="1:9" hidden="1" x14ac:dyDescent="0.25">
      <c r="A128" s="14" t="s">
        <v>14</v>
      </c>
      <c r="B128" s="14" t="s">
        <v>414</v>
      </c>
      <c r="C128" s="15" t="s">
        <v>37</v>
      </c>
      <c r="D128" s="16">
        <v>46127</v>
      </c>
      <c r="E128" s="17">
        <v>4068</v>
      </c>
      <c r="F128" s="14">
        <f>ROUNDDOWN(Leche[[#This Row],[N° LATAS]]/48,0)</f>
        <v>84</v>
      </c>
      <c r="G128" s="14">
        <f>Leche[[#This Row],[N° LATAS]]-Leche[[#This Row],[TOTAL CAJAS]]*48</f>
        <v>36</v>
      </c>
      <c r="H128" s="28">
        <v>46128</v>
      </c>
      <c r="I128" s="29" t="s">
        <v>408</v>
      </c>
    </row>
    <row r="129" spans="1:9" ht="22.5" hidden="1" x14ac:dyDescent="0.25">
      <c r="A129" s="14" t="s">
        <v>14</v>
      </c>
      <c r="B129" s="14" t="s">
        <v>414</v>
      </c>
      <c r="C129" s="15" t="s">
        <v>39</v>
      </c>
      <c r="D129" s="16">
        <v>46290</v>
      </c>
      <c r="E129" s="17">
        <v>4068</v>
      </c>
      <c r="F129" s="14">
        <f>ROUNDDOWN(Leche[[#This Row],[N° LATAS]]/48,0)</f>
        <v>84</v>
      </c>
      <c r="G129" s="14">
        <f>Leche[[#This Row],[N° LATAS]]-Leche[[#This Row],[TOTAL CAJAS]]*48</f>
        <v>36</v>
      </c>
      <c r="H129" s="28"/>
      <c r="I129" s="29"/>
    </row>
    <row r="130" spans="1:9" hidden="1" x14ac:dyDescent="0.25">
      <c r="A130" s="14" t="s">
        <v>14</v>
      </c>
      <c r="B130" s="14" t="s">
        <v>415</v>
      </c>
      <c r="C130" s="15" t="s">
        <v>30</v>
      </c>
      <c r="D130" s="16">
        <v>46053</v>
      </c>
      <c r="E130" s="17">
        <v>4368</v>
      </c>
      <c r="F130" s="14">
        <f>ROUNDDOWN(Leche[[#This Row],[N° LATAS]]/48,0)</f>
        <v>91</v>
      </c>
      <c r="G130" s="14">
        <f>Leche[[#This Row],[N° LATAS]]-Leche[[#This Row],[TOTAL CAJAS]]*48</f>
        <v>0</v>
      </c>
      <c r="H130" s="28">
        <v>46053</v>
      </c>
      <c r="I130" s="29" t="s">
        <v>408</v>
      </c>
    </row>
    <row r="131" spans="1:9" hidden="1" x14ac:dyDescent="0.25">
      <c r="A131" s="14" t="s">
        <v>14</v>
      </c>
      <c r="B131" s="14" t="s">
        <v>415</v>
      </c>
      <c r="C131" s="15" t="s">
        <v>30</v>
      </c>
      <c r="D131" s="16">
        <v>46117</v>
      </c>
      <c r="E131" s="17">
        <v>4368</v>
      </c>
      <c r="F131" s="14">
        <f>ROUNDDOWN(Leche[[#This Row],[N° LATAS]]/48,0)</f>
        <v>91</v>
      </c>
      <c r="G131" s="14">
        <f>Leche[[#This Row],[N° LATAS]]-Leche[[#This Row],[TOTAL CAJAS]]*48</f>
        <v>0</v>
      </c>
      <c r="H131" s="28">
        <v>46138</v>
      </c>
      <c r="I131" s="29" t="s">
        <v>408</v>
      </c>
    </row>
    <row r="132" spans="1:9" hidden="1" x14ac:dyDescent="0.25">
      <c r="A132" s="14" t="s">
        <v>14</v>
      </c>
      <c r="B132" s="14" t="s">
        <v>415</v>
      </c>
      <c r="C132" s="15" t="s">
        <v>30</v>
      </c>
      <c r="D132" s="16">
        <v>46223</v>
      </c>
      <c r="E132" s="17">
        <v>4368</v>
      </c>
      <c r="F132" s="14">
        <f>ROUNDDOWN(Leche[[#This Row],[N° LATAS]]/48,0)</f>
        <v>91</v>
      </c>
      <c r="G132" s="14">
        <f>Leche[[#This Row],[N° LATAS]]-Leche[[#This Row],[TOTAL CAJAS]]*48</f>
        <v>0</v>
      </c>
      <c r="H132" s="28">
        <v>46211</v>
      </c>
      <c r="I132" s="29" t="s">
        <v>408</v>
      </c>
    </row>
    <row r="133" spans="1:9" hidden="1" x14ac:dyDescent="0.25">
      <c r="A133" s="14" t="s">
        <v>14</v>
      </c>
      <c r="B133" s="14" t="s">
        <v>415</v>
      </c>
      <c r="C133" s="15" t="s">
        <v>30</v>
      </c>
      <c r="D133" s="16">
        <v>46285</v>
      </c>
      <c r="E133" s="17">
        <v>4368</v>
      </c>
      <c r="F133" s="14">
        <f>ROUNDDOWN(Leche[[#This Row],[N° LATAS]]/48,0)</f>
        <v>91</v>
      </c>
      <c r="G133" s="14">
        <f>Leche[[#This Row],[N° LATAS]]-Leche[[#This Row],[TOTAL CAJAS]]*48</f>
        <v>0</v>
      </c>
      <c r="H133" s="28">
        <v>46280</v>
      </c>
      <c r="I133" s="29" t="s">
        <v>408</v>
      </c>
    </row>
    <row r="134" spans="1:9" hidden="1" x14ac:dyDescent="0.25">
      <c r="A134" s="14" t="s">
        <v>14</v>
      </c>
      <c r="B134" s="14" t="s">
        <v>86</v>
      </c>
      <c r="C134" s="15" t="s">
        <v>416</v>
      </c>
      <c r="D134" s="16">
        <v>46234</v>
      </c>
      <c r="E134" s="17">
        <v>10224</v>
      </c>
      <c r="F134" s="14">
        <f>ROUNDDOWN(Leche[[#This Row],[N° LATAS]]/48,0)</f>
        <v>213</v>
      </c>
      <c r="G134" s="14">
        <f>Leche[[#This Row],[N° LATAS]]-Leche[[#This Row],[TOTAL CAJAS]]*48</f>
        <v>0</v>
      </c>
      <c r="H134" s="28">
        <v>46230</v>
      </c>
      <c r="I134" s="29" t="s">
        <v>408</v>
      </c>
    </row>
    <row r="135" spans="1:9" hidden="1" x14ac:dyDescent="0.25">
      <c r="A135" s="14" t="s">
        <v>14</v>
      </c>
      <c r="B135" s="14" t="s">
        <v>103</v>
      </c>
      <c r="C135" s="15" t="s">
        <v>35</v>
      </c>
      <c r="D135" s="16">
        <v>46117</v>
      </c>
      <c r="E135" s="17">
        <v>3150</v>
      </c>
      <c r="F135" s="14">
        <f>ROUNDDOWN(Leche[[#This Row],[N° LATAS]]/48,0)</f>
        <v>65</v>
      </c>
      <c r="G135" s="14">
        <f>Leche[[#This Row],[N° LATAS]]-Leche[[#This Row],[TOTAL CAJAS]]*48</f>
        <v>30</v>
      </c>
      <c r="H135" s="28">
        <v>46140</v>
      </c>
      <c r="I135" s="29" t="s">
        <v>408</v>
      </c>
    </row>
    <row r="136" spans="1:9" hidden="1" x14ac:dyDescent="0.25">
      <c r="A136" s="14" t="s">
        <v>14</v>
      </c>
      <c r="B136" s="14" t="s">
        <v>103</v>
      </c>
      <c r="C136" s="15" t="s">
        <v>37</v>
      </c>
      <c r="D136" s="16">
        <v>46117</v>
      </c>
      <c r="E136" s="17">
        <v>3150</v>
      </c>
      <c r="F136" s="14">
        <f>ROUNDDOWN(Leche[[#This Row],[N° LATAS]]/48,0)</f>
        <v>65</v>
      </c>
      <c r="G136" s="14">
        <f>Leche[[#This Row],[N° LATAS]]-Leche[[#This Row],[TOTAL CAJAS]]*48</f>
        <v>30</v>
      </c>
      <c r="H136" s="28">
        <v>46140</v>
      </c>
      <c r="I136" s="29" t="s">
        <v>408</v>
      </c>
    </row>
    <row r="137" spans="1:9" hidden="1" x14ac:dyDescent="0.25">
      <c r="A137" s="14" t="s">
        <v>14</v>
      </c>
      <c r="B137" s="14" t="s">
        <v>103</v>
      </c>
      <c r="C137" s="15" t="s">
        <v>38</v>
      </c>
      <c r="D137" s="16">
        <v>46203</v>
      </c>
      <c r="E137" s="17">
        <v>3150</v>
      </c>
      <c r="F137" s="14">
        <f>ROUNDDOWN(Leche[[#This Row],[N° LATAS]]/48,0)</f>
        <v>65</v>
      </c>
      <c r="G137" s="14">
        <f>Leche[[#This Row],[N° LATAS]]-Leche[[#This Row],[TOTAL CAJAS]]*48</f>
        <v>30</v>
      </c>
      <c r="H137" s="28">
        <v>46194</v>
      </c>
      <c r="I137" s="29" t="s">
        <v>408</v>
      </c>
    </row>
    <row r="138" spans="1:9" ht="22.5" hidden="1" x14ac:dyDescent="0.25">
      <c r="A138" s="14" t="s">
        <v>14</v>
      </c>
      <c r="B138" s="14" t="s">
        <v>103</v>
      </c>
      <c r="C138" s="15" t="s">
        <v>39</v>
      </c>
      <c r="D138" s="16">
        <v>46295</v>
      </c>
      <c r="E138" s="17">
        <v>3150</v>
      </c>
      <c r="F138" s="14">
        <f>ROUNDDOWN(Leche[[#This Row],[N° LATAS]]/48,0)</f>
        <v>65</v>
      </c>
      <c r="G138" s="14">
        <f>Leche[[#This Row],[N° LATAS]]-Leche[[#This Row],[TOTAL CAJAS]]*48</f>
        <v>30</v>
      </c>
      <c r="H138" s="28"/>
      <c r="I138" s="29"/>
    </row>
    <row r="139" spans="1:9" hidden="1" x14ac:dyDescent="0.25">
      <c r="A139" s="14" t="s">
        <v>14</v>
      </c>
      <c r="B139" s="14" t="s">
        <v>103</v>
      </c>
      <c r="C139" s="15" t="s">
        <v>30</v>
      </c>
      <c r="D139" s="16">
        <v>46289</v>
      </c>
      <c r="E139" s="17">
        <v>659</v>
      </c>
      <c r="F139" s="14">
        <f>ROUNDDOWN(Leche[[#This Row],[N° LATAS]]/48,0)</f>
        <v>13</v>
      </c>
      <c r="G139" s="14">
        <f>Leche[[#This Row],[N° LATAS]]-Leche[[#This Row],[TOTAL CAJAS]]*48</f>
        <v>35</v>
      </c>
      <c r="H139" s="28"/>
      <c r="I139" s="29"/>
    </row>
    <row r="140" spans="1:9" hidden="1" x14ac:dyDescent="0.25">
      <c r="A140" s="14" t="s">
        <v>14</v>
      </c>
      <c r="B140" s="14" t="s">
        <v>105</v>
      </c>
      <c r="C140" s="15" t="s">
        <v>16</v>
      </c>
      <c r="D140" s="16">
        <v>46037</v>
      </c>
      <c r="E140" s="17">
        <v>1010</v>
      </c>
      <c r="F140" s="14">
        <f>ROUNDDOWN(Leche[[#This Row],[N° LATAS]]/48,0)</f>
        <v>21</v>
      </c>
      <c r="G140" s="14">
        <f>Leche[[#This Row],[N° LATAS]]-Leche[[#This Row],[TOTAL CAJAS]]*48</f>
        <v>2</v>
      </c>
      <c r="H140" s="28">
        <v>46052</v>
      </c>
      <c r="I140" s="29" t="s">
        <v>408</v>
      </c>
    </row>
    <row r="141" spans="1:9" hidden="1" x14ac:dyDescent="0.25">
      <c r="A141" s="14" t="s">
        <v>14</v>
      </c>
      <c r="B141" s="14" t="s">
        <v>105</v>
      </c>
      <c r="C141" s="15" t="s">
        <v>18</v>
      </c>
      <c r="D141" s="16">
        <v>46045</v>
      </c>
      <c r="E141" s="17">
        <v>1010</v>
      </c>
      <c r="F141" s="14">
        <f>ROUNDDOWN(Leche[[#This Row],[N° LATAS]]/48,0)</f>
        <v>21</v>
      </c>
      <c r="G141" s="14">
        <f>Leche[[#This Row],[N° LATAS]]-Leche[[#This Row],[TOTAL CAJAS]]*48</f>
        <v>2</v>
      </c>
      <c r="H141" s="28">
        <v>46052</v>
      </c>
      <c r="I141" s="29" t="s">
        <v>408</v>
      </c>
    </row>
    <row r="142" spans="1:9" hidden="1" x14ac:dyDescent="0.25">
      <c r="A142" s="14" t="s">
        <v>14</v>
      </c>
      <c r="B142" s="14" t="s">
        <v>105</v>
      </c>
      <c r="C142" s="15" t="s">
        <v>19</v>
      </c>
      <c r="D142" s="16">
        <v>46073</v>
      </c>
      <c r="E142" s="17">
        <v>1010</v>
      </c>
      <c r="F142" s="14">
        <f>ROUNDDOWN(Leche[[#This Row],[N° LATAS]]/48,0)</f>
        <v>21</v>
      </c>
      <c r="G142" s="14">
        <f>Leche[[#This Row],[N° LATAS]]-Leche[[#This Row],[TOTAL CAJAS]]*48</f>
        <v>2</v>
      </c>
      <c r="H142" s="28">
        <v>46084</v>
      </c>
      <c r="I142" s="29" t="s">
        <v>408</v>
      </c>
    </row>
    <row r="143" spans="1:9" hidden="1" x14ac:dyDescent="0.25">
      <c r="A143" s="14" t="s">
        <v>14</v>
      </c>
      <c r="B143" s="14" t="s">
        <v>105</v>
      </c>
      <c r="C143" s="15" t="s">
        <v>20</v>
      </c>
      <c r="D143" s="16">
        <v>46101</v>
      </c>
      <c r="E143" s="17">
        <v>1010</v>
      </c>
      <c r="F143" s="14">
        <f>ROUNDDOWN(Leche[[#This Row],[N° LATAS]]/48,0)</f>
        <v>21</v>
      </c>
      <c r="G143" s="14">
        <f>Leche[[#This Row],[N° LATAS]]-Leche[[#This Row],[TOTAL CAJAS]]*48</f>
        <v>2</v>
      </c>
      <c r="H143" s="28">
        <v>46101</v>
      </c>
      <c r="I143" s="29" t="s">
        <v>408</v>
      </c>
    </row>
    <row r="144" spans="1:9" hidden="1" x14ac:dyDescent="0.25">
      <c r="A144" s="14" t="s">
        <v>14</v>
      </c>
      <c r="B144" s="14" t="s">
        <v>105</v>
      </c>
      <c r="C144" s="15" t="s">
        <v>21</v>
      </c>
      <c r="D144" s="16">
        <v>46136</v>
      </c>
      <c r="E144" s="17">
        <v>1010</v>
      </c>
      <c r="F144" s="14">
        <f>ROUNDDOWN(Leche[[#This Row],[N° LATAS]]/48,0)</f>
        <v>21</v>
      </c>
      <c r="G144" s="14">
        <f>Leche[[#This Row],[N° LATAS]]-Leche[[#This Row],[TOTAL CAJAS]]*48</f>
        <v>2</v>
      </c>
      <c r="H144" s="28">
        <v>46136</v>
      </c>
      <c r="I144" s="29" t="s">
        <v>408</v>
      </c>
    </row>
    <row r="145" spans="1:9" hidden="1" x14ac:dyDescent="0.25">
      <c r="A145" s="14" t="s">
        <v>14</v>
      </c>
      <c r="B145" s="14" t="s">
        <v>105</v>
      </c>
      <c r="C145" s="15" t="s">
        <v>22</v>
      </c>
      <c r="D145" s="16">
        <v>46164</v>
      </c>
      <c r="E145" s="17">
        <v>1010</v>
      </c>
      <c r="F145" s="14">
        <f>ROUNDDOWN(Leche[[#This Row],[N° LATAS]]/48,0)</f>
        <v>21</v>
      </c>
      <c r="G145" s="14">
        <f>Leche[[#This Row],[N° LATAS]]-Leche[[#This Row],[TOTAL CAJAS]]*48</f>
        <v>2</v>
      </c>
      <c r="H145" s="28">
        <v>46164</v>
      </c>
      <c r="I145" s="29" t="s">
        <v>408</v>
      </c>
    </row>
    <row r="146" spans="1:9" hidden="1" x14ac:dyDescent="0.25">
      <c r="A146" s="14" t="s">
        <v>14</v>
      </c>
      <c r="B146" s="14" t="s">
        <v>105</v>
      </c>
      <c r="C146" s="15" t="s">
        <v>23</v>
      </c>
      <c r="D146" s="16">
        <v>46192</v>
      </c>
      <c r="E146" s="17">
        <v>1010</v>
      </c>
      <c r="F146" s="14">
        <f>ROUNDDOWN(Leche[[#This Row],[N° LATAS]]/48,0)</f>
        <v>21</v>
      </c>
      <c r="G146" s="14">
        <f>Leche[[#This Row],[N° LATAS]]-Leche[[#This Row],[TOTAL CAJAS]]*48</f>
        <v>2</v>
      </c>
      <c r="H146" s="28">
        <v>46198</v>
      </c>
      <c r="I146" s="29" t="s">
        <v>408</v>
      </c>
    </row>
    <row r="147" spans="1:9" hidden="1" x14ac:dyDescent="0.25">
      <c r="A147" s="14" t="s">
        <v>14</v>
      </c>
      <c r="B147" s="14" t="s">
        <v>105</v>
      </c>
      <c r="C147" s="15" t="s">
        <v>24</v>
      </c>
      <c r="D147" s="16">
        <v>46227</v>
      </c>
      <c r="E147" s="17">
        <v>1010</v>
      </c>
      <c r="F147" s="14">
        <f>ROUNDDOWN(Leche[[#This Row],[N° LATAS]]/48,0)</f>
        <v>21</v>
      </c>
      <c r="G147" s="14">
        <f>Leche[[#This Row],[N° LATAS]]-Leche[[#This Row],[TOTAL CAJAS]]*48</f>
        <v>2</v>
      </c>
      <c r="H147" s="28">
        <v>46227</v>
      </c>
      <c r="I147" s="29" t="s">
        <v>408</v>
      </c>
    </row>
    <row r="148" spans="1:9" hidden="1" x14ac:dyDescent="0.25">
      <c r="A148" s="14" t="s">
        <v>14</v>
      </c>
      <c r="B148" s="14" t="s">
        <v>105</v>
      </c>
      <c r="C148" s="15" t="s">
        <v>25</v>
      </c>
      <c r="D148" s="16">
        <v>46255</v>
      </c>
      <c r="E148" s="17">
        <v>1010</v>
      </c>
      <c r="F148" s="14">
        <f>ROUNDDOWN(Leche[[#This Row],[N° LATAS]]/48,0)</f>
        <v>21</v>
      </c>
      <c r="G148" s="14">
        <f>Leche[[#This Row],[N° LATAS]]-Leche[[#This Row],[TOTAL CAJAS]]*48</f>
        <v>2</v>
      </c>
      <c r="H148" s="28">
        <v>46259</v>
      </c>
      <c r="I148" s="29" t="s">
        <v>408</v>
      </c>
    </row>
    <row r="149" spans="1:9" hidden="1" x14ac:dyDescent="0.25">
      <c r="A149" s="14" t="s">
        <v>14</v>
      </c>
      <c r="B149" s="14" t="s">
        <v>105</v>
      </c>
      <c r="C149" s="15" t="s">
        <v>26</v>
      </c>
      <c r="D149" s="16">
        <v>46283</v>
      </c>
      <c r="E149" s="17">
        <v>1010</v>
      </c>
      <c r="F149" s="14">
        <f>ROUNDDOWN(Leche[[#This Row],[N° LATAS]]/48,0)</f>
        <v>21</v>
      </c>
      <c r="G149" s="14">
        <f>Leche[[#This Row],[N° LATAS]]-Leche[[#This Row],[TOTAL CAJAS]]*48</f>
        <v>2</v>
      </c>
      <c r="H149" s="28"/>
      <c r="I149" s="29"/>
    </row>
    <row r="150" spans="1:9" hidden="1" x14ac:dyDescent="0.25">
      <c r="A150" s="14" t="s">
        <v>14</v>
      </c>
      <c r="B150" s="14" t="s">
        <v>105</v>
      </c>
      <c r="C150" s="15" t="s">
        <v>27</v>
      </c>
      <c r="D150" s="16">
        <v>46318</v>
      </c>
      <c r="E150" s="17">
        <v>1010</v>
      </c>
      <c r="F150" s="14">
        <f>ROUNDDOWN(Leche[[#This Row],[N° LATAS]]/48,0)</f>
        <v>21</v>
      </c>
      <c r="G150" s="14">
        <f>Leche[[#This Row],[N° LATAS]]-Leche[[#This Row],[TOTAL CAJAS]]*48</f>
        <v>2</v>
      </c>
      <c r="H150" s="28"/>
      <c r="I150" s="29"/>
    </row>
    <row r="151" spans="1:9" hidden="1" x14ac:dyDescent="0.25">
      <c r="A151" s="14" t="s">
        <v>14</v>
      </c>
      <c r="B151" s="14" t="s">
        <v>105</v>
      </c>
      <c r="C151" s="15" t="s">
        <v>28</v>
      </c>
      <c r="D151" s="16">
        <v>46346</v>
      </c>
      <c r="E151" s="17">
        <v>1010</v>
      </c>
      <c r="F151" s="14">
        <f>ROUNDDOWN(Leche[[#This Row],[N° LATAS]]/48,0)</f>
        <v>21</v>
      </c>
      <c r="G151" s="14">
        <f>Leche[[#This Row],[N° LATAS]]-Leche[[#This Row],[TOTAL CAJAS]]*48</f>
        <v>2</v>
      </c>
      <c r="H151" s="28"/>
      <c r="I151" s="29"/>
    </row>
    <row r="152" spans="1:9" hidden="1" x14ac:dyDescent="0.25">
      <c r="A152" s="14" t="s">
        <v>14</v>
      </c>
      <c r="B152" s="14" t="s">
        <v>107</v>
      </c>
      <c r="C152" s="15" t="s">
        <v>16</v>
      </c>
      <c r="D152" s="16">
        <v>46045</v>
      </c>
      <c r="E152" s="17">
        <v>2200</v>
      </c>
      <c r="F152" s="14">
        <f>ROUNDDOWN(Leche[[#This Row],[N° LATAS]]/48,0)</f>
        <v>45</v>
      </c>
      <c r="G152" s="14">
        <f>Leche[[#This Row],[N° LATAS]]-Leche[[#This Row],[TOTAL CAJAS]]*48</f>
        <v>40</v>
      </c>
      <c r="H152" s="28">
        <v>46049</v>
      </c>
      <c r="I152" s="29" t="s">
        <v>408</v>
      </c>
    </row>
    <row r="153" spans="1:9" hidden="1" x14ac:dyDescent="0.25">
      <c r="A153" s="14" t="s">
        <v>14</v>
      </c>
      <c r="B153" s="14" t="s">
        <v>107</v>
      </c>
      <c r="C153" s="15" t="s">
        <v>18</v>
      </c>
      <c r="D153" s="16">
        <v>46045</v>
      </c>
      <c r="E153" s="17">
        <v>2200</v>
      </c>
      <c r="F153" s="14">
        <f>ROUNDDOWN(Leche[[#This Row],[N° LATAS]]/48,0)</f>
        <v>45</v>
      </c>
      <c r="G153" s="14">
        <f>Leche[[#This Row],[N° LATAS]]-Leche[[#This Row],[TOTAL CAJAS]]*48</f>
        <v>40</v>
      </c>
      <c r="H153" s="28">
        <v>46049</v>
      </c>
      <c r="I153" s="29" t="s">
        <v>408</v>
      </c>
    </row>
    <row r="154" spans="1:9" hidden="1" x14ac:dyDescent="0.25">
      <c r="A154" s="14" t="s">
        <v>14</v>
      </c>
      <c r="B154" s="14" t="s">
        <v>107</v>
      </c>
      <c r="C154" s="15" t="s">
        <v>19</v>
      </c>
      <c r="D154" s="16">
        <v>46078</v>
      </c>
      <c r="E154" s="17">
        <v>2200</v>
      </c>
      <c r="F154" s="14">
        <f>ROUNDDOWN(Leche[[#This Row],[N° LATAS]]/48,0)</f>
        <v>45</v>
      </c>
      <c r="G154" s="14">
        <f>Leche[[#This Row],[N° LATAS]]-Leche[[#This Row],[TOTAL CAJAS]]*48</f>
        <v>40</v>
      </c>
      <c r="H154" s="28">
        <v>46078</v>
      </c>
      <c r="I154" s="29" t="s">
        <v>408</v>
      </c>
    </row>
    <row r="155" spans="1:9" hidden="1" x14ac:dyDescent="0.25">
      <c r="A155" s="14" t="s">
        <v>14</v>
      </c>
      <c r="B155" s="14" t="s">
        <v>107</v>
      </c>
      <c r="C155" s="15" t="s">
        <v>20</v>
      </c>
      <c r="D155" s="16">
        <v>46106</v>
      </c>
      <c r="E155" s="17">
        <v>2200</v>
      </c>
      <c r="F155" s="14">
        <f>ROUNDDOWN(Leche[[#This Row],[N° LATAS]]/48,0)</f>
        <v>45</v>
      </c>
      <c r="G155" s="14">
        <f>Leche[[#This Row],[N° LATAS]]-Leche[[#This Row],[TOTAL CAJAS]]*48</f>
        <v>40</v>
      </c>
      <c r="H155" s="28">
        <v>46107</v>
      </c>
      <c r="I155" s="29" t="s">
        <v>408</v>
      </c>
    </row>
    <row r="156" spans="1:9" hidden="1" x14ac:dyDescent="0.25">
      <c r="A156" s="14" t="s">
        <v>14</v>
      </c>
      <c r="B156" s="14" t="s">
        <v>107</v>
      </c>
      <c r="C156" s="15" t="s">
        <v>21</v>
      </c>
      <c r="D156" s="16">
        <v>46136</v>
      </c>
      <c r="E156" s="17">
        <v>2200</v>
      </c>
      <c r="F156" s="14">
        <f>ROUNDDOWN(Leche[[#This Row],[N° LATAS]]/48,0)</f>
        <v>45</v>
      </c>
      <c r="G156" s="14">
        <f>Leche[[#This Row],[N° LATAS]]-Leche[[#This Row],[TOTAL CAJAS]]*48</f>
        <v>40</v>
      </c>
      <c r="H156" s="28">
        <v>46138</v>
      </c>
      <c r="I156" s="29" t="s">
        <v>408</v>
      </c>
    </row>
    <row r="157" spans="1:9" hidden="1" x14ac:dyDescent="0.25">
      <c r="A157" s="14" t="s">
        <v>14</v>
      </c>
      <c r="B157" s="14" t="s">
        <v>107</v>
      </c>
      <c r="C157" s="15" t="s">
        <v>22</v>
      </c>
      <c r="D157" s="16">
        <v>46167</v>
      </c>
      <c r="E157" s="17">
        <v>2200</v>
      </c>
      <c r="F157" s="14">
        <f>ROUNDDOWN(Leche[[#This Row],[N° LATAS]]/48,0)</f>
        <v>45</v>
      </c>
      <c r="G157" s="14">
        <f>Leche[[#This Row],[N° LATAS]]-Leche[[#This Row],[TOTAL CAJAS]]*48</f>
        <v>40</v>
      </c>
      <c r="H157" s="28">
        <v>46167</v>
      </c>
      <c r="I157" s="29" t="s">
        <v>408</v>
      </c>
    </row>
    <row r="158" spans="1:9" hidden="1" x14ac:dyDescent="0.25">
      <c r="A158" s="14" t="s">
        <v>14</v>
      </c>
      <c r="B158" s="14" t="s">
        <v>107</v>
      </c>
      <c r="C158" s="15" t="s">
        <v>23</v>
      </c>
      <c r="D158" s="16">
        <v>46198</v>
      </c>
      <c r="E158" s="17">
        <v>2200</v>
      </c>
      <c r="F158" s="14">
        <f>ROUNDDOWN(Leche[[#This Row],[N° LATAS]]/48,0)</f>
        <v>45</v>
      </c>
      <c r="G158" s="14">
        <f>Leche[[#This Row],[N° LATAS]]-Leche[[#This Row],[TOTAL CAJAS]]*48</f>
        <v>40</v>
      </c>
      <c r="H158" s="28">
        <v>46198</v>
      </c>
      <c r="I158" s="29" t="s">
        <v>408</v>
      </c>
    </row>
    <row r="159" spans="1:9" hidden="1" x14ac:dyDescent="0.25">
      <c r="A159" s="14" t="s">
        <v>14</v>
      </c>
      <c r="B159" s="14" t="s">
        <v>107</v>
      </c>
      <c r="C159" s="15" t="s">
        <v>24</v>
      </c>
      <c r="D159" s="16">
        <v>46227</v>
      </c>
      <c r="E159" s="17">
        <v>2200</v>
      </c>
      <c r="F159" s="14">
        <f>ROUNDDOWN(Leche[[#This Row],[N° LATAS]]/48,0)</f>
        <v>45</v>
      </c>
      <c r="G159" s="14">
        <f>Leche[[#This Row],[N° LATAS]]-Leche[[#This Row],[TOTAL CAJAS]]*48</f>
        <v>40</v>
      </c>
      <c r="H159" s="28">
        <v>46230</v>
      </c>
      <c r="I159" s="29" t="s">
        <v>408</v>
      </c>
    </row>
    <row r="160" spans="1:9" hidden="1" x14ac:dyDescent="0.25">
      <c r="A160" s="14" t="s">
        <v>14</v>
      </c>
      <c r="B160" s="14" t="s">
        <v>107</v>
      </c>
      <c r="C160" s="15" t="s">
        <v>30</v>
      </c>
      <c r="D160" s="16">
        <v>46258</v>
      </c>
      <c r="E160" s="17">
        <v>2475</v>
      </c>
      <c r="F160" s="14">
        <f>ROUNDDOWN(Leche[[#This Row],[N° LATAS]]/48,0)</f>
        <v>51</v>
      </c>
      <c r="G160" s="14">
        <f>Leche[[#This Row],[N° LATAS]]-Leche[[#This Row],[TOTAL CAJAS]]*48</f>
        <v>27</v>
      </c>
      <c r="H160" s="28">
        <v>46266</v>
      </c>
      <c r="I160" s="29" t="s">
        <v>408</v>
      </c>
    </row>
    <row r="161" spans="1:11" hidden="1" x14ac:dyDescent="0.25">
      <c r="A161" s="14" t="s">
        <v>14</v>
      </c>
      <c r="B161" s="14" t="s">
        <v>107</v>
      </c>
      <c r="C161" s="15" t="s">
        <v>25</v>
      </c>
      <c r="D161" s="16">
        <v>46258</v>
      </c>
      <c r="E161" s="17">
        <v>2200</v>
      </c>
      <c r="F161" s="14">
        <f>ROUNDDOWN(Leche[[#This Row],[N° LATAS]]/48,0)</f>
        <v>45</v>
      </c>
      <c r="G161" s="14">
        <f>Leche[[#This Row],[N° LATAS]]-Leche[[#This Row],[TOTAL CAJAS]]*48</f>
        <v>40</v>
      </c>
      <c r="H161" s="28">
        <v>46266</v>
      </c>
      <c r="I161" s="29" t="s">
        <v>408</v>
      </c>
    </row>
    <row r="162" spans="1:11" hidden="1" x14ac:dyDescent="0.25">
      <c r="A162" s="14" t="s">
        <v>14</v>
      </c>
      <c r="B162" s="14" t="s">
        <v>107</v>
      </c>
      <c r="C162" s="15" t="s">
        <v>26</v>
      </c>
      <c r="D162" s="16">
        <v>46290</v>
      </c>
      <c r="E162" s="17">
        <v>2200</v>
      </c>
      <c r="F162" s="14">
        <f>ROUNDDOWN(Leche[[#This Row],[N° LATAS]]/48,0)</f>
        <v>45</v>
      </c>
      <c r="G162" s="14">
        <f>Leche[[#This Row],[N° LATAS]]-Leche[[#This Row],[TOTAL CAJAS]]*48</f>
        <v>40</v>
      </c>
      <c r="H162" s="28"/>
      <c r="I162" s="29"/>
      <c r="K162" t="s">
        <v>417</v>
      </c>
    </row>
    <row r="163" spans="1:11" hidden="1" x14ac:dyDescent="0.25">
      <c r="A163" s="14" t="s">
        <v>14</v>
      </c>
      <c r="B163" s="14" t="s">
        <v>107</v>
      </c>
      <c r="C163" s="15" t="s">
        <v>27</v>
      </c>
      <c r="D163" s="16">
        <v>46318</v>
      </c>
      <c r="E163" s="17">
        <v>2200</v>
      </c>
      <c r="F163" s="14">
        <f>ROUNDDOWN(Leche[[#This Row],[N° LATAS]]/48,0)</f>
        <v>45</v>
      </c>
      <c r="G163" s="14">
        <f>Leche[[#This Row],[N° LATAS]]-Leche[[#This Row],[TOTAL CAJAS]]*48</f>
        <v>40</v>
      </c>
      <c r="H163" s="28"/>
      <c r="I163" s="29"/>
    </row>
    <row r="164" spans="1:11" hidden="1" x14ac:dyDescent="0.25">
      <c r="A164" s="14" t="s">
        <v>14</v>
      </c>
      <c r="B164" s="14" t="s">
        <v>107</v>
      </c>
      <c r="C164" s="15" t="s">
        <v>28</v>
      </c>
      <c r="D164" s="16">
        <v>46351</v>
      </c>
      <c r="E164" s="17">
        <v>2200</v>
      </c>
      <c r="F164" s="14">
        <f>ROUNDDOWN(Leche[[#This Row],[N° LATAS]]/48,0)</f>
        <v>45</v>
      </c>
      <c r="G164" s="14">
        <f>Leche[[#This Row],[N° LATAS]]-Leche[[#This Row],[TOTAL CAJAS]]*48</f>
        <v>40</v>
      </c>
      <c r="H164" s="28"/>
      <c r="I164" s="29"/>
    </row>
    <row r="165" spans="1:11" hidden="1" x14ac:dyDescent="0.25">
      <c r="A165" s="14" t="s">
        <v>14</v>
      </c>
      <c r="B165" s="14" t="s">
        <v>418</v>
      </c>
      <c r="C165" s="15" t="s">
        <v>121</v>
      </c>
      <c r="D165" s="16">
        <v>46084</v>
      </c>
      <c r="E165" s="17">
        <v>2374</v>
      </c>
      <c r="F165" s="14">
        <f>ROUNDDOWN(Leche[[#This Row],[N° LATAS]]/48,0)</f>
        <v>49</v>
      </c>
      <c r="G165" s="14">
        <f>Leche[[#This Row],[N° LATAS]]-Leche[[#This Row],[TOTAL CAJAS]]*48</f>
        <v>22</v>
      </c>
      <c r="H165" s="28">
        <v>46091</v>
      </c>
      <c r="I165" s="29" t="s">
        <v>408</v>
      </c>
    </row>
    <row r="166" spans="1:11" hidden="1" x14ac:dyDescent="0.25">
      <c r="A166" s="14" t="s">
        <v>14</v>
      </c>
      <c r="B166" s="14" t="s">
        <v>418</v>
      </c>
      <c r="C166" s="15" t="s">
        <v>122</v>
      </c>
      <c r="D166" s="16">
        <v>46084</v>
      </c>
      <c r="E166" s="17">
        <v>2374</v>
      </c>
      <c r="F166" s="14">
        <f>ROUNDDOWN(Leche[[#This Row],[N° LATAS]]/48,0)</f>
        <v>49</v>
      </c>
      <c r="G166" s="14">
        <f>Leche[[#This Row],[N° LATAS]]-Leche[[#This Row],[TOTAL CAJAS]]*48</f>
        <v>22</v>
      </c>
      <c r="H166" s="28">
        <v>46091</v>
      </c>
      <c r="I166" s="29" t="s">
        <v>408</v>
      </c>
    </row>
    <row r="167" spans="1:11" hidden="1" x14ac:dyDescent="0.25">
      <c r="A167" s="14" t="s">
        <v>14</v>
      </c>
      <c r="B167" s="14" t="s">
        <v>418</v>
      </c>
      <c r="C167" s="15" t="s">
        <v>43</v>
      </c>
      <c r="D167" s="16">
        <v>46139</v>
      </c>
      <c r="E167" s="17">
        <v>2374</v>
      </c>
      <c r="F167" s="14">
        <f>ROUNDDOWN(Leche[[#This Row],[N° LATAS]]/48,0)</f>
        <v>49</v>
      </c>
      <c r="G167" s="14">
        <f>Leche[[#This Row],[N° LATAS]]-Leche[[#This Row],[TOTAL CAJAS]]*48</f>
        <v>22</v>
      </c>
      <c r="H167" s="28">
        <v>46135</v>
      </c>
      <c r="I167" s="29" t="s">
        <v>408</v>
      </c>
    </row>
    <row r="168" spans="1:11" hidden="1" x14ac:dyDescent="0.25">
      <c r="A168" s="14" t="s">
        <v>14</v>
      </c>
      <c r="B168" s="14" t="s">
        <v>418</v>
      </c>
      <c r="C168" s="15" t="s">
        <v>44</v>
      </c>
      <c r="D168" s="16">
        <v>46198</v>
      </c>
      <c r="E168" s="17">
        <v>2374</v>
      </c>
      <c r="F168" s="14">
        <f>ROUNDDOWN(Leche[[#This Row],[N° LATAS]]/48,0)</f>
        <v>49</v>
      </c>
      <c r="G168" s="14">
        <f>Leche[[#This Row],[N° LATAS]]-Leche[[#This Row],[TOTAL CAJAS]]*48</f>
        <v>22</v>
      </c>
      <c r="H168" s="28">
        <v>46189</v>
      </c>
      <c r="I168" s="29" t="s">
        <v>408</v>
      </c>
    </row>
    <row r="169" spans="1:11" hidden="1" x14ac:dyDescent="0.25">
      <c r="A169" s="14" t="s">
        <v>14</v>
      </c>
      <c r="B169" s="14" t="s">
        <v>418</v>
      </c>
      <c r="C169" s="15" t="s">
        <v>45</v>
      </c>
      <c r="D169" s="16">
        <v>46259</v>
      </c>
      <c r="E169" s="17">
        <v>2374</v>
      </c>
      <c r="F169" s="14">
        <f>ROUNDDOWN(Leche[[#This Row],[N° LATAS]]/48,0)</f>
        <v>49</v>
      </c>
      <c r="G169" s="14">
        <f>Leche[[#This Row],[N° LATAS]]-Leche[[#This Row],[TOTAL CAJAS]]*48</f>
        <v>22</v>
      </c>
      <c r="H169" s="28">
        <v>46257</v>
      </c>
      <c r="I169" s="29" t="s">
        <v>408</v>
      </c>
    </row>
    <row r="170" spans="1:11" hidden="1" x14ac:dyDescent="0.25">
      <c r="A170" s="14" t="s">
        <v>14</v>
      </c>
      <c r="B170" s="14" t="s">
        <v>418</v>
      </c>
      <c r="C170" s="15" t="s">
        <v>46</v>
      </c>
      <c r="D170" s="16">
        <v>46321</v>
      </c>
      <c r="E170" s="17">
        <v>2374</v>
      </c>
      <c r="F170" s="14">
        <f>ROUNDDOWN(Leche[[#This Row],[N° LATAS]]/48,0)</f>
        <v>49</v>
      </c>
      <c r="G170" s="14">
        <f>Leche[[#This Row],[N° LATAS]]-Leche[[#This Row],[TOTAL CAJAS]]*48</f>
        <v>22</v>
      </c>
      <c r="H170" s="28"/>
      <c r="I170" s="29"/>
    </row>
    <row r="171" spans="1:11" hidden="1" x14ac:dyDescent="0.25">
      <c r="A171" s="14" t="s">
        <v>14</v>
      </c>
      <c r="B171" s="14" t="s">
        <v>111</v>
      </c>
      <c r="C171" s="15" t="s">
        <v>35</v>
      </c>
      <c r="D171" s="16">
        <v>46058</v>
      </c>
      <c r="E171" s="17">
        <v>1818</v>
      </c>
      <c r="F171" s="14">
        <f>ROUNDDOWN(Leche[[#This Row],[N° LATAS]]/48,0)</f>
        <v>37</v>
      </c>
      <c r="G171" s="14">
        <f>Leche[[#This Row],[N° LATAS]]-Leche[[#This Row],[TOTAL CAJAS]]*48</f>
        <v>42</v>
      </c>
      <c r="H171" s="28">
        <v>46072</v>
      </c>
      <c r="I171" s="29" t="s">
        <v>408</v>
      </c>
    </row>
    <row r="172" spans="1:11" hidden="1" x14ac:dyDescent="0.25">
      <c r="A172" s="14" t="s">
        <v>14</v>
      </c>
      <c r="B172" s="14" t="s">
        <v>111</v>
      </c>
      <c r="C172" s="15" t="s">
        <v>37</v>
      </c>
      <c r="D172" s="16">
        <v>46112</v>
      </c>
      <c r="E172" s="17">
        <v>1818</v>
      </c>
      <c r="F172" s="14">
        <f>ROUNDDOWN(Leche[[#This Row],[N° LATAS]]/48,0)</f>
        <v>37</v>
      </c>
      <c r="G172" s="14">
        <f>Leche[[#This Row],[N° LATAS]]-Leche[[#This Row],[TOTAL CAJAS]]*48</f>
        <v>42</v>
      </c>
      <c r="H172" s="28">
        <v>46117</v>
      </c>
      <c r="I172" s="29" t="s">
        <v>408</v>
      </c>
    </row>
    <row r="173" spans="1:11" hidden="1" x14ac:dyDescent="0.25">
      <c r="A173" s="14" t="s">
        <v>14</v>
      </c>
      <c r="B173" s="14" t="s">
        <v>111</v>
      </c>
      <c r="C173" s="15" t="s">
        <v>38</v>
      </c>
      <c r="D173" s="16">
        <v>46203</v>
      </c>
      <c r="E173" s="17">
        <v>1818</v>
      </c>
      <c r="F173" s="14">
        <f>ROUNDDOWN(Leche[[#This Row],[N° LATAS]]/48,0)</f>
        <v>37</v>
      </c>
      <c r="G173" s="14">
        <f>Leche[[#This Row],[N° LATAS]]-Leche[[#This Row],[TOTAL CAJAS]]*48</f>
        <v>42</v>
      </c>
      <c r="H173" s="28">
        <v>46205</v>
      </c>
      <c r="I173" s="29" t="s">
        <v>408</v>
      </c>
    </row>
    <row r="174" spans="1:11" hidden="1" x14ac:dyDescent="0.25">
      <c r="A174" s="14" t="s">
        <v>14</v>
      </c>
      <c r="B174" s="14" t="s">
        <v>111</v>
      </c>
      <c r="C174" s="15" t="s">
        <v>30</v>
      </c>
      <c r="D174" s="16">
        <v>46275</v>
      </c>
      <c r="E174" s="17">
        <v>606</v>
      </c>
      <c r="F174" s="14">
        <f>ROUNDDOWN(Leche[[#This Row],[N° LATAS]]/48,0)</f>
        <v>12</v>
      </c>
      <c r="G174" s="14">
        <f>Leche[[#This Row],[N° LATAS]]-Leche[[#This Row],[TOTAL CAJAS]]*48</f>
        <v>30</v>
      </c>
      <c r="H174" s="28"/>
      <c r="I174" s="29"/>
    </row>
    <row r="175" spans="1:11" ht="22.5" hidden="1" x14ac:dyDescent="0.25">
      <c r="A175" s="14" t="s">
        <v>14</v>
      </c>
      <c r="B175" s="14" t="s">
        <v>111</v>
      </c>
      <c r="C175" s="15" t="s">
        <v>39</v>
      </c>
      <c r="D175" s="16">
        <v>46295</v>
      </c>
      <c r="E175" s="17">
        <v>1818</v>
      </c>
      <c r="F175" s="14">
        <f>ROUNDDOWN(Leche[[#This Row],[N° LATAS]]/48,0)</f>
        <v>37</v>
      </c>
      <c r="G175" s="14">
        <f>Leche[[#This Row],[N° LATAS]]-Leche[[#This Row],[TOTAL CAJAS]]*48</f>
        <v>42</v>
      </c>
      <c r="H175" s="28"/>
      <c r="I175" s="29"/>
    </row>
    <row r="176" spans="1:11" hidden="1" x14ac:dyDescent="0.25">
      <c r="A176" s="14" t="s">
        <v>14</v>
      </c>
      <c r="B176" s="14" t="s">
        <v>120</v>
      </c>
      <c r="C176" s="15" t="s">
        <v>121</v>
      </c>
      <c r="D176" s="16">
        <v>46037</v>
      </c>
      <c r="E176" s="17">
        <v>2430</v>
      </c>
      <c r="F176" s="14">
        <f>ROUNDDOWN(Leche[[#This Row],[N° LATAS]]/48,0)</f>
        <v>50</v>
      </c>
      <c r="G176" s="14">
        <f>Leche[[#This Row],[N° LATAS]]-Leche[[#This Row],[TOTAL CAJAS]]*48</f>
        <v>30</v>
      </c>
      <c r="H176" s="28">
        <v>46034</v>
      </c>
      <c r="I176" s="29" t="s">
        <v>408</v>
      </c>
    </row>
    <row r="177" spans="1:9" hidden="1" x14ac:dyDescent="0.25">
      <c r="A177" s="14" t="s">
        <v>14</v>
      </c>
      <c r="B177" s="14" t="s">
        <v>120</v>
      </c>
      <c r="C177" s="15" t="s">
        <v>122</v>
      </c>
      <c r="D177" s="16">
        <v>46073</v>
      </c>
      <c r="E177" s="17">
        <v>2430</v>
      </c>
      <c r="F177" s="14">
        <f>ROUNDDOWN(Leche[[#This Row],[N° LATAS]]/48,0)</f>
        <v>50</v>
      </c>
      <c r="G177" s="14">
        <f>Leche[[#This Row],[N° LATAS]]-Leche[[#This Row],[TOTAL CAJAS]]*48</f>
        <v>30</v>
      </c>
      <c r="H177" s="28">
        <v>46063</v>
      </c>
      <c r="I177" s="29" t="s">
        <v>408</v>
      </c>
    </row>
    <row r="178" spans="1:9" hidden="1" x14ac:dyDescent="0.25">
      <c r="A178" s="14" t="s">
        <v>14</v>
      </c>
      <c r="B178" s="14" t="s">
        <v>120</v>
      </c>
      <c r="C178" s="15" t="s">
        <v>43</v>
      </c>
      <c r="D178" s="16">
        <v>46133</v>
      </c>
      <c r="E178" s="17">
        <v>2430</v>
      </c>
      <c r="F178" s="14">
        <f>ROUNDDOWN(Leche[[#This Row],[N° LATAS]]/48,0)</f>
        <v>50</v>
      </c>
      <c r="G178" s="14">
        <f>Leche[[#This Row],[N° LATAS]]-Leche[[#This Row],[TOTAL CAJAS]]*48</f>
        <v>30</v>
      </c>
      <c r="H178" s="28">
        <v>46135</v>
      </c>
      <c r="I178" s="29" t="s">
        <v>408</v>
      </c>
    </row>
    <row r="179" spans="1:9" hidden="1" x14ac:dyDescent="0.25">
      <c r="A179" s="14" t="s">
        <v>14</v>
      </c>
      <c r="B179" s="14" t="s">
        <v>120</v>
      </c>
      <c r="C179" s="15" t="s">
        <v>30</v>
      </c>
      <c r="D179" s="16">
        <v>46194</v>
      </c>
      <c r="E179" s="17">
        <v>1413</v>
      </c>
      <c r="F179" s="14">
        <f>ROUNDDOWN(Leche[[#This Row],[N° LATAS]]/48,0)</f>
        <v>29</v>
      </c>
      <c r="G179" s="14">
        <f>Leche[[#This Row],[N° LATAS]]-Leche[[#This Row],[TOTAL CAJAS]]*48</f>
        <v>21</v>
      </c>
      <c r="H179" s="28">
        <v>46244</v>
      </c>
      <c r="I179" s="29" t="s">
        <v>408</v>
      </c>
    </row>
    <row r="180" spans="1:9" hidden="1" x14ac:dyDescent="0.25">
      <c r="A180" s="14" t="s">
        <v>14</v>
      </c>
      <c r="B180" s="14" t="s">
        <v>120</v>
      </c>
      <c r="C180" s="15" t="s">
        <v>44</v>
      </c>
      <c r="D180" s="16">
        <v>46196</v>
      </c>
      <c r="E180" s="17">
        <v>2430</v>
      </c>
      <c r="F180" s="14">
        <f>ROUNDDOWN(Leche[[#This Row],[N° LATAS]]/48,0)</f>
        <v>50</v>
      </c>
      <c r="G180" s="14">
        <f>Leche[[#This Row],[N° LATAS]]-Leche[[#This Row],[TOTAL CAJAS]]*48</f>
        <v>30</v>
      </c>
      <c r="H180" s="28">
        <v>46187</v>
      </c>
      <c r="I180" s="29" t="s">
        <v>408</v>
      </c>
    </row>
    <row r="181" spans="1:9" hidden="1" x14ac:dyDescent="0.25">
      <c r="A181" s="14" t="s">
        <v>14</v>
      </c>
      <c r="B181" s="14" t="s">
        <v>120</v>
      </c>
      <c r="C181" s="15" t="s">
        <v>45</v>
      </c>
      <c r="D181" s="16">
        <v>46252</v>
      </c>
      <c r="E181" s="17">
        <v>2430</v>
      </c>
      <c r="F181" s="14">
        <f>ROUNDDOWN(Leche[[#This Row],[N° LATAS]]/48,0)</f>
        <v>50</v>
      </c>
      <c r="G181" s="14">
        <f>Leche[[#This Row],[N° LATAS]]-Leche[[#This Row],[TOTAL CAJAS]]*48</f>
        <v>30</v>
      </c>
      <c r="H181" s="28">
        <v>46244</v>
      </c>
      <c r="I181" s="29" t="s">
        <v>408</v>
      </c>
    </row>
    <row r="182" spans="1:9" hidden="1" x14ac:dyDescent="0.25">
      <c r="A182" s="14" t="s">
        <v>14</v>
      </c>
      <c r="B182" s="14" t="s">
        <v>120</v>
      </c>
      <c r="C182" s="15" t="s">
        <v>46</v>
      </c>
      <c r="D182" s="16">
        <v>46316</v>
      </c>
      <c r="E182" s="17">
        <v>2430</v>
      </c>
      <c r="F182" s="14">
        <f>ROUNDDOWN(Leche[[#This Row],[N° LATAS]]/48,0)</f>
        <v>50</v>
      </c>
      <c r="G182" s="14">
        <f>Leche[[#This Row],[N° LATAS]]-Leche[[#This Row],[TOTAL CAJAS]]*48</f>
        <v>30</v>
      </c>
      <c r="H182" s="28"/>
      <c r="I182" s="29"/>
    </row>
    <row r="183" spans="1:9" hidden="1" x14ac:dyDescent="0.25">
      <c r="A183" s="14" t="s">
        <v>14</v>
      </c>
      <c r="B183" s="14" t="s">
        <v>123</v>
      </c>
      <c r="C183" s="15" t="s">
        <v>121</v>
      </c>
      <c r="D183" s="16">
        <v>46030</v>
      </c>
      <c r="E183" s="17">
        <v>3140</v>
      </c>
      <c r="F183" s="14">
        <f>ROUNDDOWN(Leche[[#This Row],[N° LATAS]]/48,0)</f>
        <v>65</v>
      </c>
      <c r="G183" s="14">
        <f>Leche[[#This Row],[N° LATAS]]-Leche[[#This Row],[TOTAL CAJAS]]*48</f>
        <v>20</v>
      </c>
      <c r="H183" s="28">
        <v>46028</v>
      </c>
      <c r="I183" s="29" t="s">
        <v>408</v>
      </c>
    </row>
    <row r="184" spans="1:9" hidden="1" x14ac:dyDescent="0.25">
      <c r="A184" s="14" t="s">
        <v>14</v>
      </c>
      <c r="B184" s="14" t="s">
        <v>123</v>
      </c>
      <c r="C184" s="15" t="s">
        <v>122</v>
      </c>
      <c r="D184" s="16">
        <v>46081</v>
      </c>
      <c r="E184" s="17">
        <v>3140</v>
      </c>
      <c r="F184" s="14">
        <f>ROUNDDOWN(Leche[[#This Row],[N° LATAS]]/48,0)</f>
        <v>65</v>
      </c>
      <c r="G184" s="14">
        <f>Leche[[#This Row],[N° LATAS]]-Leche[[#This Row],[TOTAL CAJAS]]*48</f>
        <v>20</v>
      </c>
      <c r="H184" s="28">
        <v>46084</v>
      </c>
      <c r="I184" s="29" t="s">
        <v>408</v>
      </c>
    </row>
    <row r="185" spans="1:9" hidden="1" x14ac:dyDescent="0.25">
      <c r="A185" s="14" t="s">
        <v>14</v>
      </c>
      <c r="B185" s="14" t="s">
        <v>123</v>
      </c>
      <c r="C185" s="15" t="s">
        <v>43</v>
      </c>
      <c r="D185" s="16">
        <v>46142</v>
      </c>
      <c r="E185" s="17">
        <v>3140</v>
      </c>
      <c r="F185" s="14">
        <f>ROUNDDOWN(Leche[[#This Row],[N° LATAS]]/48,0)</f>
        <v>65</v>
      </c>
      <c r="G185" s="14">
        <f>Leche[[#This Row],[N° LATAS]]-Leche[[#This Row],[TOTAL CAJAS]]*48</f>
        <v>20</v>
      </c>
      <c r="H185" s="28">
        <v>46135</v>
      </c>
      <c r="I185" s="29" t="s">
        <v>408</v>
      </c>
    </row>
    <row r="186" spans="1:9" hidden="1" x14ac:dyDescent="0.25">
      <c r="A186" s="14" t="s">
        <v>14</v>
      </c>
      <c r="B186" s="14" t="s">
        <v>123</v>
      </c>
      <c r="C186" s="15" t="s">
        <v>44</v>
      </c>
      <c r="D186" s="16">
        <v>46203</v>
      </c>
      <c r="E186" s="17">
        <v>3140</v>
      </c>
      <c r="F186" s="14">
        <f>ROUNDDOWN(Leche[[#This Row],[N° LATAS]]/48,0)</f>
        <v>65</v>
      </c>
      <c r="G186" s="14">
        <f>Leche[[#This Row],[N° LATAS]]-Leche[[#This Row],[TOTAL CAJAS]]*48</f>
        <v>20</v>
      </c>
      <c r="H186" s="28">
        <v>46198</v>
      </c>
      <c r="I186" s="29" t="s">
        <v>408</v>
      </c>
    </row>
    <row r="187" spans="1:9" hidden="1" x14ac:dyDescent="0.25">
      <c r="A187" s="14" t="s">
        <v>14</v>
      </c>
      <c r="B187" s="14" t="s">
        <v>123</v>
      </c>
      <c r="C187" s="15" t="s">
        <v>45</v>
      </c>
      <c r="D187" s="16">
        <v>46265</v>
      </c>
      <c r="E187" s="17">
        <v>3140</v>
      </c>
      <c r="F187" s="14">
        <f>ROUNDDOWN(Leche[[#This Row],[N° LATAS]]/48,0)</f>
        <v>65</v>
      </c>
      <c r="G187" s="14">
        <f>Leche[[#This Row],[N° LATAS]]-Leche[[#This Row],[TOTAL CAJAS]]*48</f>
        <v>20</v>
      </c>
      <c r="H187" s="28">
        <v>46257</v>
      </c>
      <c r="I187" s="29" t="s">
        <v>408</v>
      </c>
    </row>
    <row r="188" spans="1:9" hidden="1" x14ac:dyDescent="0.25">
      <c r="A188" s="14" t="s">
        <v>14</v>
      </c>
      <c r="B188" s="14" t="s">
        <v>123</v>
      </c>
      <c r="C188" s="15" t="s">
        <v>46</v>
      </c>
      <c r="D188" s="16">
        <v>46326</v>
      </c>
      <c r="E188" s="17">
        <v>3140</v>
      </c>
      <c r="F188" s="14">
        <f>ROUNDDOWN(Leche[[#This Row],[N° LATAS]]/48,0)</f>
        <v>65</v>
      </c>
      <c r="G188" s="14">
        <f>Leche[[#This Row],[N° LATAS]]-Leche[[#This Row],[TOTAL CAJAS]]*48</f>
        <v>20</v>
      </c>
      <c r="H188" s="28"/>
      <c r="I188" s="29"/>
    </row>
    <row r="189" spans="1:9" hidden="1" x14ac:dyDescent="0.25">
      <c r="A189" s="14" t="s">
        <v>14</v>
      </c>
      <c r="B189" s="14" t="s">
        <v>125</v>
      </c>
      <c r="C189" s="15" t="s">
        <v>30</v>
      </c>
      <c r="D189" s="16">
        <v>46050</v>
      </c>
      <c r="E189" s="17">
        <v>3312</v>
      </c>
      <c r="F189" s="14">
        <f>ROUNDDOWN(Leche[[#This Row],[N° LATAS]]/48,0)</f>
        <v>69</v>
      </c>
      <c r="G189" s="14">
        <f>Leche[[#This Row],[N° LATAS]]-Leche[[#This Row],[TOTAL CAJAS]]*48</f>
        <v>0</v>
      </c>
      <c r="H189" s="28">
        <v>46054</v>
      </c>
      <c r="I189" s="29" t="s">
        <v>408</v>
      </c>
    </row>
    <row r="190" spans="1:9" hidden="1" x14ac:dyDescent="0.25">
      <c r="A190" s="14" t="s">
        <v>14</v>
      </c>
      <c r="B190" s="14" t="s">
        <v>125</v>
      </c>
      <c r="C190" s="15" t="s">
        <v>30</v>
      </c>
      <c r="D190" s="16">
        <v>46203</v>
      </c>
      <c r="E190" s="17">
        <v>3312</v>
      </c>
      <c r="F190" s="14">
        <f>ROUNDDOWN(Leche[[#This Row],[N° LATAS]]/48,0)</f>
        <v>69</v>
      </c>
      <c r="G190" s="14">
        <f>Leche[[#This Row],[N° LATAS]]-Leche[[#This Row],[TOTAL CAJAS]]*48</f>
        <v>0</v>
      </c>
      <c r="H190" s="28">
        <v>46198</v>
      </c>
      <c r="I190" s="29" t="s">
        <v>408</v>
      </c>
    </row>
    <row r="191" spans="1:9" hidden="1" x14ac:dyDescent="0.25">
      <c r="A191" s="14" t="s">
        <v>14</v>
      </c>
      <c r="B191" s="14" t="s">
        <v>125</v>
      </c>
      <c r="C191" s="15" t="s">
        <v>30</v>
      </c>
      <c r="D191" s="16">
        <v>46295</v>
      </c>
      <c r="E191" s="17">
        <v>3312</v>
      </c>
      <c r="F191" s="14">
        <f>ROUNDDOWN(Leche[[#This Row],[N° LATAS]]/48,0)</f>
        <v>69</v>
      </c>
      <c r="G191" s="14">
        <f>Leche[[#This Row],[N° LATAS]]-Leche[[#This Row],[TOTAL CAJAS]]*48</f>
        <v>0</v>
      </c>
      <c r="H191" s="28">
        <v>46294</v>
      </c>
      <c r="I191" s="29" t="s">
        <v>408</v>
      </c>
    </row>
    <row r="192" spans="1:9" hidden="1" x14ac:dyDescent="0.25">
      <c r="A192" s="14" t="s">
        <v>14</v>
      </c>
      <c r="B192" s="14" t="s">
        <v>419</v>
      </c>
      <c r="C192" s="15" t="s">
        <v>30</v>
      </c>
      <c r="D192" s="16">
        <v>46140</v>
      </c>
      <c r="E192" s="17">
        <v>10400</v>
      </c>
      <c r="F192" s="14">
        <f>ROUNDDOWN(Leche[[#This Row],[N° LATAS]]/48,0)</f>
        <v>216</v>
      </c>
      <c r="G192" s="14">
        <f>Leche[[#This Row],[N° LATAS]]-Leche[[#This Row],[TOTAL CAJAS]]*48</f>
        <v>32</v>
      </c>
      <c r="H192" s="28">
        <v>46149</v>
      </c>
      <c r="I192" s="29" t="s">
        <v>408</v>
      </c>
    </row>
    <row r="193" spans="1:9" ht="22.5" hidden="1" x14ac:dyDescent="0.25">
      <c r="A193" s="14" t="s">
        <v>14</v>
      </c>
      <c r="B193" s="14" t="s">
        <v>129</v>
      </c>
      <c r="C193" s="15" t="s">
        <v>41</v>
      </c>
      <c r="D193" s="16">
        <v>46037</v>
      </c>
      <c r="E193" s="17">
        <v>2070</v>
      </c>
      <c r="F193" s="14">
        <f>ROUNDDOWN(Leche[[#This Row],[N° LATAS]]/48,0)</f>
        <v>43</v>
      </c>
      <c r="G193" s="14">
        <f>Leche[[#This Row],[N° LATAS]]-Leche[[#This Row],[TOTAL CAJAS]]*48</f>
        <v>6</v>
      </c>
      <c r="H193" s="28">
        <v>46055</v>
      </c>
      <c r="I193" s="29" t="s">
        <v>408</v>
      </c>
    </row>
    <row r="194" spans="1:9" ht="22.5" hidden="1" x14ac:dyDescent="0.25">
      <c r="A194" s="14" t="s">
        <v>14</v>
      </c>
      <c r="B194" s="14" t="s">
        <v>129</v>
      </c>
      <c r="C194" s="15" t="s">
        <v>131</v>
      </c>
      <c r="D194" s="16">
        <v>46127</v>
      </c>
      <c r="E194" s="17">
        <v>2070</v>
      </c>
      <c r="F194" s="14">
        <f>ROUNDDOWN(Leche[[#This Row],[N° LATAS]]/48,0)</f>
        <v>43</v>
      </c>
      <c r="G194" s="14">
        <f>Leche[[#This Row],[N° LATAS]]-Leche[[#This Row],[TOTAL CAJAS]]*48</f>
        <v>6</v>
      </c>
      <c r="H194" s="28">
        <v>46147</v>
      </c>
      <c r="I194" s="29" t="s">
        <v>408</v>
      </c>
    </row>
    <row r="195" spans="1:9" ht="22.5" hidden="1" x14ac:dyDescent="0.25">
      <c r="A195" s="14" t="s">
        <v>14</v>
      </c>
      <c r="B195" s="14" t="s">
        <v>129</v>
      </c>
      <c r="C195" s="15" t="s">
        <v>132</v>
      </c>
      <c r="D195" s="16">
        <v>46249</v>
      </c>
      <c r="E195" s="17">
        <v>2070</v>
      </c>
      <c r="F195" s="14">
        <f>ROUNDDOWN(Leche[[#This Row],[N° LATAS]]/48,0)</f>
        <v>43</v>
      </c>
      <c r="G195" s="14">
        <f>Leche[[#This Row],[N° LATAS]]-Leche[[#This Row],[TOTAL CAJAS]]*48</f>
        <v>6</v>
      </c>
      <c r="H195" s="28">
        <v>46259</v>
      </c>
      <c r="I195" s="29" t="s">
        <v>408</v>
      </c>
    </row>
    <row r="196" spans="1:9" hidden="1" x14ac:dyDescent="0.25">
      <c r="A196" s="14" t="s">
        <v>14</v>
      </c>
      <c r="B196" s="14" t="s">
        <v>420</v>
      </c>
      <c r="C196" s="15" t="s">
        <v>20</v>
      </c>
      <c r="D196" s="16">
        <v>46171</v>
      </c>
      <c r="E196" s="17">
        <v>1558</v>
      </c>
      <c r="F196" s="14">
        <f>ROUNDDOWN(Leche[[#This Row],[N° LATAS]]/48,0)</f>
        <v>32</v>
      </c>
      <c r="G196" s="14">
        <f>Leche[[#This Row],[N° LATAS]]-Leche[[#This Row],[TOTAL CAJAS]]*48</f>
        <v>22</v>
      </c>
      <c r="H196" s="28">
        <v>46160</v>
      </c>
      <c r="I196" s="29" t="s">
        <v>408</v>
      </c>
    </row>
    <row r="197" spans="1:9" hidden="1" x14ac:dyDescent="0.25">
      <c r="A197" s="14" t="s">
        <v>14</v>
      </c>
      <c r="B197" s="14" t="s">
        <v>420</v>
      </c>
      <c r="C197" s="15" t="s">
        <v>21</v>
      </c>
      <c r="D197" s="16">
        <v>46171</v>
      </c>
      <c r="E197" s="17">
        <v>1558</v>
      </c>
      <c r="F197" s="14">
        <f>ROUNDDOWN(Leche[[#This Row],[N° LATAS]]/48,0)</f>
        <v>32</v>
      </c>
      <c r="G197" s="14">
        <f>Leche[[#This Row],[N° LATAS]]-Leche[[#This Row],[TOTAL CAJAS]]*48</f>
        <v>22</v>
      </c>
      <c r="H197" s="28">
        <v>46160</v>
      </c>
      <c r="I197" s="29" t="s">
        <v>408</v>
      </c>
    </row>
    <row r="198" spans="1:9" hidden="1" x14ac:dyDescent="0.25">
      <c r="A198" s="14" t="s">
        <v>14</v>
      </c>
      <c r="B198" s="14" t="s">
        <v>420</v>
      </c>
      <c r="C198" s="15" t="s">
        <v>22</v>
      </c>
      <c r="D198" s="16">
        <v>46171</v>
      </c>
      <c r="E198" s="17">
        <v>1558</v>
      </c>
      <c r="F198" s="14">
        <f>ROUNDDOWN(Leche[[#This Row],[N° LATAS]]/48,0)</f>
        <v>32</v>
      </c>
      <c r="G198" s="14">
        <f>Leche[[#This Row],[N° LATAS]]-Leche[[#This Row],[TOTAL CAJAS]]*48</f>
        <v>22</v>
      </c>
      <c r="H198" s="28">
        <v>46160</v>
      </c>
      <c r="I198" s="29" t="s">
        <v>408</v>
      </c>
    </row>
    <row r="199" spans="1:9" hidden="1" x14ac:dyDescent="0.25">
      <c r="A199" s="14" t="s">
        <v>14</v>
      </c>
      <c r="B199" s="14" t="s">
        <v>420</v>
      </c>
      <c r="C199" s="15" t="s">
        <v>23</v>
      </c>
      <c r="D199" s="16">
        <v>46203</v>
      </c>
      <c r="E199" s="17">
        <v>1558</v>
      </c>
      <c r="F199" s="14">
        <f>ROUNDDOWN(Leche[[#This Row],[N° LATAS]]/48,0)</f>
        <v>32</v>
      </c>
      <c r="G199" s="14">
        <f>Leche[[#This Row],[N° LATAS]]-Leche[[#This Row],[TOTAL CAJAS]]*48</f>
        <v>22</v>
      </c>
      <c r="H199" s="28">
        <v>46185</v>
      </c>
      <c r="I199" s="29" t="s">
        <v>408</v>
      </c>
    </row>
    <row r="200" spans="1:9" hidden="1" x14ac:dyDescent="0.25">
      <c r="A200" s="14" t="s">
        <v>14</v>
      </c>
      <c r="B200" s="14" t="s">
        <v>420</v>
      </c>
      <c r="C200" s="15" t="s">
        <v>24</v>
      </c>
      <c r="D200" s="16">
        <v>46233</v>
      </c>
      <c r="E200" s="17">
        <v>1558</v>
      </c>
      <c r="F200" s="14">
        <f>ROUNDDOWN(Leche[[#This Row],[N° LATAS]]/48,0)</f>
        <v>32</v>
      </c>
      <c r="G200" s="14">
        <f>Leche[[#This Row],[N° LATAS]]-Leche[[#This Row],[TOTAL CAJAS]]*48</f>
        <v>22</v>
      </c>
      <c r="H200" s="28">
        <v>46233</v>
      </c>
      <c r="I200" s="29" t="s">
        <v>408</v>
      </c>
    </row>
    <row r="201" spans="1:9" hidden="1" x14ac:dyDescent="0.25">
      <c r="A201" s="14" t="s">
        <v>14</v>
      </c>
      <c r="B201" s="14" t="s">
        <v>420</v>
      </c>
      <c r="C201" s="15" t="s">
        <v>30</v>
      </c>
      <c r="D201" s="16">
        <v>46233</v>
      </c>
      <c r="E201" s="17">
        <v>2687.44</v>
      </c>
      <c r="F201" s="14">
        <f>ROUNDDOWN(Leche[[#This Row],[N° LATAS]]/48,0)</f>
        <v>55</v>
      </c>
      <c r="G201" s="14">
        <f>Leche[[#This Row],[N° LATAS]]-Leche[[#This Row],[TOTAL CAJAS]]*48</f>
        <v>47.440000000000055</v>
      </c>
      <c r="H201" s="28">
        <v>46233</v>
      </c>
      <c r="I201" s="29" t="s">
        <v>408</v>
      </c>
    </row>
    <row r="202" spans="1:9" hidden="1" x14ac:dyDescent="0.25">
      <c r="A202" s="14" t="s">
        <v>14</v>
      </c>
      <c r="B202" s="14" t="s">
        <v>420</v>
      </c>
      <c r="C202" s="15" t="s">
        <v>25</v>
      </c>
      <c r="D202" s="16">
        <v>46262</v>
      </c>
      <c r="E202" s="17">
        <v>1558</v>
      </c>
      <c r="F202" s="14">
        <f>ROUNDDOWN(Leche[[#This Row],[N° LATAS]]/48,0)</f>
        <v>32</v>
      </c>
      <c r="G202" s="14">
        <f>Leche[[#This Row],[N° LATAS]]-Leche[[#This Row],[TOTAL CAJAS]]*48</f>
        <v>22</v>
      </c>
      <c r="H202" s="28">
        <v>46266</v>
      </c>
      <c r="I202" s="29" t="s">
        <v>408</v>
      </c>
    </row>
    <row r="203" spans="1:9" hidden="1" x14ac:dyDescent="0.25">
      <c r="A203" s="14" t="s">
        <v>14</v>
      </c>
      <c r="B203" s="14" t="s">
        <v>420</v>
      </c>
      <c r="C203" s="15" t="s">
        <v>26</v>
      </c>
      <c r="D203" s="16">
        <v>46294</v>
      </c>
      <c r="E203" s="17">
        <v>1558</v>
      </c>
      <c r="F203" s="14">
        <f>ROUNDDOWN(Leche[[#This Row],[N° LATAS]]/48,0)</f>
        <v>32</v>
      </c>
      <c r="G203" s="14">
        <f>Leche[[#This Row],[N° LATAS]]-Leche[[#This Row],[TOTAL CAJAS]]*48</f>
        <v>22</v>
      </c>
      <c r="H203" s="28">
        <v>46280</v>
      </c>
      <c r="I203" s="29" t="s">
        <v>408</v>
      </c>
    </row>
    <row r="204" spans="1:9" hidden="1" x14ac:dyDescent="0.25">
      <c r="A204" s="14" t="s">
        <v>14</v>
      </c>
      <c r="B204" s="14" t="s">
        <v>420</v>
      </c>
      <c r="C204" s="15" t="s">
        <v>27</v>
      </c>
      <c r="D204" s="16">
        <v>46325</v>
      </c>
      <c r="E204" s="17">
        <v>1558</v>
      </c>
      <c r="F204" s="14">
        <f>ROUNDDOWN(Leche[[#This Row],[N° LATAS]]/48,0)</f>
        <v>32</v>
      </c>
      <c r="G204" s="14">
        <f>Leche[[#This Row],[N° LATAS]]-Leche[[#This Row],[TOTAL CAJAS]]*48</f>
        <v>22</v>
      </c>
      <c r="H204" s="28"/>
      <c r="I204" s="29"/>
    </row>
    <row r="205" spans="1:9" hidden="1" x14ac:dyDescent="0.25">
      <c r="A205" s="14" t="s">
        <v>14</v>
      </c>
      <c r="B205" s="14" t="s">
        <v>420</v>
      </c>
      <c r="C205" s="15" t="s">
        <v>28</v>
      </c>
      <c r="D205" s="16">
        <v>46353</v>
      </c>
      <c r="E205" s="17">
        <v>1558</v>
      </c>
      <c r="F205" s="14">
        <f>ROUNDDOWN(Leche[[#This Row],[N° LATAS]]/48,0)</f>
        <v>32</v>
      </c>
      <c r="G205" s="14">
        <f>Leche[[#This Row],[N° LATAS]]-Leche[[#This Row],[TOTAL CAJAS]]*48</f>
        <v>22</v>
      </c>
      <c r="H205" s="28"/>
      <c r="I205" s="29"/>
    </row>
    <row r="206" spans="1:9" hidden="1" x14ac:dyDescent="0.25">
      <c r="A206" s="14" t="s">
        <v>14</v>
      </c>
      <c r="B206" s="14" t="s">
        <v>141</v>
      </c>
      <c r="C206" s="15" t="s">
        <v>18</v>
      </c>
      <c r="D206" s="16">
        <v>46051</v>
      </c>
      <c r="E206" s="17">
        <v>4371</v>
      </c>
      <c r="F206" s="14">
        <f>ROUNDDOWN(Leche[[#This Row],[N° LATAS]]/48,0)</f>
        <v>91</v>
      </c>
      <c r="G206" s="14">
        <f>Leche[[#This Row],[N° LATAS]]-Leche[[#This Row],[TOTAL CAJAS]]*48</f>
        <v>3</v>
      </c>
      <c r="H206" s="28">
        <v>46057</v>
      </c>
      <c r="I206" s="29" t="s">
        <v>408</v>
      </c>
    </row>
    <row r="207" spans="1:9" hidden="1" x14ac:dyDescent="0.25">
      <c r="A207" s="14" t="s">
        <v>14</v>
      </c>
      <c r="B207" s="14" t="s">
        <v>141</v>
      </c>
      <c r="C207" s="15" t="s">
        <v>19</v>
      </c>
      <c r="D207" s="16">
        <v>46080</v>
      </c>
      <c r="E207" s="17">
        <v>3771</v>
      </c>
      <c r="F207" s="14">
        <f>ROUNDDOWN(Leche[[#This Row],[N° LATAS]]/48,0)</f>
        <v>78</v>
      </c>
      <c r="G207" s="14">
        <f>Leche[[#This Row],[N° LATAS]]-Leche[[#This Row],[TOTAL CAJAS]]*48</f>
        <v>27</v>
      </c>
      <c r="H207" s="28">
        <v>46083</v>
      </c>
      <c r="I207" s="29" t="s">
        <v>408</v>
      </c>
    </row>
    <row r="208" spans="1:9" hidden="1" x14ac:dyDescent="0.25">
      <c r="A208" s="14" t="s">
        <v>14</v>
      </c>
      <c r="B208" s="14" t="s">
        <v>141</v>
      </c>
      <c r="C208" s="15" t="s">
        <v>20</v>
      </c>
      <c r="D208" s="16">
        <v>46108</v>
      </c>
      <c r="E208" s="17">
        <v>3771</v>
      </c>
      <c r="F208" s="14">
        <f>ROUNDDOWN(Leche[[#This Row],[N° LATAS]]/48,0)</f>
        <v>78</v>
      </c>
      <c r="G208" s="14">
        <f>Leche[[#This Row],[N° LATAS]]-Leche[[#This Row],[TOTAL CAJAS]]*48</f>
        <v>27</v>
      </c>
      <c r="H208" s="28">
        <v>46111</v>
      </c>
      <c r="I208" s="29" t="s">
        <v>408</v>
      </c>
    </row>
    <row r="209" spans="1:9" hidden="1" x14ac:dyDescent="0.25">
      <c r="A209" s="14" t="s">
        <v>14</v>
      </c>
      <c r="B209" s="14" t="s">
        <v>141</v>
      </c>
      <c r="C209" s="15" t="s">
        <v>21</v>
      </c>
      <c r="D209" s="16">
        <v>46140</v>
      </c>
      <c r="E209" s="17">
        <v>3771</v>
      </c>
      <c r="F209" s="14">
        <f>ROUNDDOWN(Leche[[#This Row],[N° LATAS]]/48,0)</f>
        <v>78</v>
      </c>
      <c r="G209" s="14">
        <f>Leche[[#This Row],[N° LATAS]]-Leche[[#This Row],[TOTAL CAJAS]]*48</f>
        <v>27</v>
      </c>
      <c r="H209" s="28">
        <v>46141</v>
      </c>
      <c r="I209" s="29" t="s">
        <v>408</v>
      </c>
    </row>
    <row r="210" spans="1:9" hidden="1" x14ac:dyDescent="0.25">
      <c r="A210" s="14" t="s">
        <v>14</v>
      </c>
      <c r="B210" s="14" t="s">
        <v>141</v>
      </c>
      <c r="C210" s="15" t="s">
        <v>22</v>
      </c>
      <c r="D210" s="16">
        <v>46171</v>
      </c>
      <c r="E210" s="17">
        <v>3771</v>
      </c>
      <c r="F210" s="14">
        <f>ROUNDDOWN(Leche[[#This Row],[N° LATAS]]/48,0)</f>
        <v>78</v>
      </c>
      <c r="G210" s="14">
        <f>Leche[[#This Row],[N° LATAS]]-Leche[[#This Row],[TOTAL CAJAS]]*48</f>
        <v>27</v>
      </c>
      <c r="H210" s="28">
        <v>46167</v>
      </c>
      <c r="I210" s="29" t="s">
        <v>408</v>
      </c>
    </row>
    <row r="211" spans="1:9" hidden="1" x14ac:dyDescent="0.25">
      <c r="A211" s="14" t="s">
        <v>14</v>
      </c>
      <c r="B211" s="14" t="s">
        <v>141</v>
      </c>
      <c r="C211" s="15" t="s">
        <v>23</v>
      </c>
      <c r="D211" s="16">
        <v>46199</v>
      </c>
      <c r="E211" s="17">
        <v>3771</v>
      </c>
      <c r="F211" s="14">
        <f>ROUNDDOWN(Leche[[#This Row],[N° LATAS]]/48,0)</f>
        <v>78</v>
      </c>
      <c r="G211" s="14">
        <f>Leche[[#This Row],[N° LATAS]]-Leche[[#This Row],[TOTAL CAJAS]]*48</f>
        <v>27</v>
      </c>
      <c r="H211" s="28">
        <v>46199</v>
      </c>
      <c r="I211" s="29" t="s">
        <v>408</v>
      </c>
    </row>
    <row r="212" spans="1:9" hidden="1" x14ac:dyDescent="0.25">
      <c r="A212" s="14" t="s">
        <v>14</v>
      </c>
      <c r="B212" s="14" t="s">
        <v>141</v>
      </c>
      <c r="C212" s="15" t="s">
        <v>24</v>
      </c>
      <c r="D212" s="16">
        <v>46227</v>
      </c>
      <c r="E212" s="17">
        <v>3771</v>
      </c>
      <c r="F212" s="14">
        <f>ROUNDDOWN(Leche[[#This Row],[N° LATAS]]/48,0)</f>
        <v>78</v>
      </c>
      <c r="G212" s="14">
        <f>Leche[[#This Row],[N° LATAS]]-Leche[[#This Row],[TOTAL CAJAS]]*48</f>
        <v>27</v>
      </c>
      <c r="H212" s="28">
        <v>46230</v>
      </c>
      <c r="I212" s="29" t="s">
        <v>408</v>
      </c>
    </row>
    <row r="213" spans="1:9" hidden="1" x14ac:dyDescent="0.25">
      <c r="A213" s="14" t="s">
        <v>14</v>
      </c>
      <c r="B213" s="14" t="s">
        <v>141</v>
      </c>
      <c r="C213" s="15" t="s">
        <v>25</v>
      </c>
      <c r="D213" s="16">
        <v>46262</v>
      </c>
      <c r="E213" s="17">
        <v>3771</v>
      </c>
      <c r="F213" s="14">
        <f>ROUNDDOWN(Leche[[#This Row],[N° LATAS]]/48,0)</f>
        <v>78</v>
      </c>
      <c r="G213" s="14">
        <f>Leche[[#This Row],[N° LATAS]]-Leche[[#This Row],[TOTAL CAJAS]]*48</f>
        <v>27</v>
      </c>
      <c r="H213" s="28">
        <v>46266</v>
      </c>
      <c r="I213" s="29" t="s">
        <v>408</v>
      </c>
    </row>
    <row r="214" spans="1:9" hidden="1" x14ac:dyDescent="0.25">
      <c r="A214" s="14" t="s">
        <v>14</v>
      </c>
      <c r="B214" s="14" t="s">
        <v>141</v>
      </c>
      <c r="C214" s="15" t="s">
        <v>30</v>
      </c>
      <c r="D214" s="16">
        <v>46288</v>
      </c>
      <c r="E214" s="17">
        <v>4480</v>
      </c>
      <c r="F214" s="14">
        <f>ROUNDDOWN(Leche[[#This Row],[N° LATAS]]/48,0)</f>
        <v>93</v>
      </c>
      <c r="G214" s="14">
        <f>Leche[[#This Row],[N° LATAS]]-Leche[[#This Row],[TOTAL CAJAS]]*48</f>
        <v>16</v>
      </c>
      <c r="H214" s="28"/>
      <c r="I214" s="29"/>
    </row>
    <row r="215" spans="1:9" hidden="1" x14ac:dyDescent="0.25">
      <c r="A215" s="14" t="s">
        <v>14</v>
      </c>
      <c r="B215" s="14" t="s">
        <v>141</v>
      </c>
      <c r="C215" s="15" t="s">
        <v>26</v>
      </c>
      <c r="D215" s="16">
        <v>46294</v>
      </c>
      <c r="E215" s="17">
        <v>3771</v>
      </c>
      <c r="F215" s="14">
        <f>ROUNDDOWN(Leche[[#This Row],[N° LATAS]]/48,0)</f>
        <v>78</v>
      </c>
      <c r="G215" s="14">
        <f>Leche[[#This Row],[N° LATAS]]-Leche[[#This Row],[TOTAL CAJAS]]*48</f>
        <v>27</v>
      </c>
      <c r="H215" s="28"/>
      <c r="I215" s="29"/>
    </row>
    <row r="216" spans="1:9" hidden="1" x14ac:dyDescent="0.25">
      <c r="A216" s="14" t="s">
        <v>14</v>
      </c>
      <c r="B216" s="14" t="s">
        <v>141</v>
      </c>
      <c r="C216" s="15" t="s">
        <v>27</v>
      </c>
      <c r="D216" s="16">
        <v>46324</v>
      </c>
      <c r="E216" s="17">
        <v>3771</v>
      </c>
      <c r="F216" s="14">
        <f>ROUNDDOWN(Leche[[#This Row],[N° LATAS]]/48,0)</f>
        <v>78</v>
      </c>
      <c r="G216" s="14">
        <f>Leche[[#This Row],[N° LATAS]]-Leche[[#This Row],[TOTAL CAJAS]]*48</f>
        <v>27</v>
      </c>
      <c r="H216" s="28"/>
      <c r="I216" s="29"/>
    </row>
    <row r="217" spans="1:9" hidden="1" x14ac:dyDescent="0.25">
      <c r="A217" s="14" t="s">
        <v>14</v>
      </c>
      <c r="B217" s="14" t="s">
        <v>141</v>
      </c>
      <c r="C217" s="15" t="s">
        <v>28</v>
      </c>
      <c r="D217" s="16">
        <v>46353</v>
      </c>
      <c r="E217" s="17">
        <v>3771</v>
      </c>
      <c r="F217" s="14">
        <f>ROUNDDOWN(Leche[[#This Row],[N° LATAS]]/48,0)</f>
        <v>78</v>
      </c>
      <c r="G217" s="14">
        <f>Leche[[#This Row],[N° LATAS]]-Leche[[#This Row],[TOTAL CAJAS]]*48</f>
        <v>27</v>
      </c>
      <c r="H217" s="28"/>
      <c r="I217" s="29"/>
    </row>
    <row r="218" spans="1:9" hidden="1" x14ac:dyDescent="0.25">
      <c r="A218" s="14" t="s">
        <v>14</v>
      </c>
      <c r="B218" s="14" t="s">
        <v>153</v>
      </c>
      <c r="C218" s="15" t="s">
        <v>16</v>
      </c>
      <c r="D218" s="16">
        <v>46022</v>
      </c>
      <c r="E218" s="17">
        <v>10470</v>
      </c>
      <c r="F218" s="14">
        <f>ROUNDDOWN(Leche[[#This Row],[N° LATAS]]/48,0)</f>
        <v>218</v>
      </c>
      <c r="G218" s="14">
        <f>Leche[[#This Row],[N° LATAS]]-Leche[[#This Row],[TOTAL CAJAS]]*48</f>
        <v>6</v>
      </c>
      <c r="H218" s="28">
        <v>46044</v>
      </c>
      <c r="I218" s="29" t="s">
        <v>408</v>
      </c>
    </row>
    <row r="219" spans="1:9" hidden="1" x14ac:dyDescent="0.25">
      <c r="A219" s="14" t="s">
        <v>14</v>
      </c>
      <c r="B219" s="14" t="s">
        <v>153</v>
      </c>
      <c r="C219" s="15" t="s">
        <v>18</v>
      </c>
      <c r="D219" s="16">
        <v>46045</v>
      </c>
      <c r="E219" s="17">
        <v>10470</v>
      </c>
      <c r="F219" s="14">
        <f>ROUNDDOWN(Leche[[#This Row],[N° LATAS]]/48,0)</f>
        <v>218</v>
      </c>
      <c r="G219" s="14">
        <f>Leche[[#This Row],[N° LATAS]]-Leche[[#This Row],[TOTAL CAJAS]]*48</f>
        <v>6</v>
      </c>
      <c r="H219" s="28">
        <v>46044</v>
      </c>
      <c r="I219" s="29" t="s">
        <v>408</v>
      </c>
    </row>
    <row r="220" spans="1:9" hidden="1" x14ac:dyDescent="0.25">
      <c r="A220" s="14" t="s">
        <v>14</v>
      </c>
      <c r="B220" s="14" t="s">
        <v>153</v>
      </c>
      <c r="C220" s="15" t="s">
        <v>19</v>
      </c>
      <c r="D220" s="16">
        <v>46073</v>
      </c>
      <c r="E220" s="17">
        <v>10470</v>
      </c>
      <c r="F220" s="14">
        <f>ROUNDDOWN(Leche[[#This Row],[N° LATAS]]/48,0)</f>
        <v>218</v>
      </c>
      <c r="G220" s="14">
        <f>Leche[[#This Row],[N° LATAS]]-Leche[[#This Row],[TOTAL CAJAS]]*48</f>
        <v>6</v>
      </c>
      <c r="H220" s="28">
        <v>46068</v>
      </c>
      <c r="I220" s="29" t="s">
        <v>408</v>
      </c>
    </row>
    <row r="221" spans="1:9" hidden="1" x14ac:dyDescent="0.25">
      <c r="A221" s="14" t="s">
        <v>14</v>
      </c>
      <c r="B221" s="14" t="s">
        <v>153</v>
      </c>
      <c r="C221" s="15" t="s">
        <v>20</v>
      </c>
      <c r="D221" s="16">
        <v>46106</v>
      </c>
      <c r="E221" s="17">
        <v>10470</v>
      </c>
      <c r="F221" s="14">
        <f>ROUNDDOWN(Leche[[#This Row],[N° LATAS]]/48,0)</f>
        <v>218</v>
      </c>
      <c r="G221" s="14">
        <f>Leche[[#This Row],[N° LATAS]]-Leche[[#This Row],[TOTAL CAJAS]]*48</f>
        <v>6</v>
      </c>
      <c r="H221" s="28">
        <v>46105</v>
      </c>
      <c r="I221" s="29" t="s">
        <v>408</v>
      </c>
    </row>
    <row r="222" spans="1:9" hidden="1" x14ac:dyDescent="0.25">
      <c r="A222" s="14" t="s">
        <v>14</v>
      </c>
      <c r="B222" s="14" t="s">
        <v>153</v>
      </c>
      <c r="C222" s="15" t="s">
        <v>21</v>
      </c>
      <c r="D222" s="16">
        <v>46135</v>
      </c>
      <c r="E222" s="17">
        <v>10470</v>
      </c>
      <c r="F222" s="14">
        <f>ROUNDDOWN(Leche[[#This Row],[N° LATAS]]/48,0)</f>
        <v>218</v>
      </c>
      <c r="G222" s="14">
        <f>Leche[[#This Row],[N° LATAS]]-Leche[[#This Row],[TOTAL CAJAS]]*48</f>
        <v>6</v>
      </c>
      <c r="H222" s="28">
        <v>46135</v>
      </c>
      <c r="I222" s="29" t="s">
        <v>408</v>
      </c>
    </row>
    <row r="223" spans="1:9" hidden="1" x14ac:dyDescent="0.25">
      <c r="A223" s="14" t="s">
        <v>14</v>
      </c>
      <c r="B223" s="14" t="s">
        <v>153</v>
      </c>
      <c r="C223" s="15" t="s">
        <v>22</v>
      </c>
      <c r="D223" s="16">
        <v>46164</v>
      </c>
      <c r="E223" s="17">
        <v>10470</v>
      </c>
      <c r="F223" s="14">
        <f>ROUNDDOWN(Leche[[#This Row],[N° LATAS]]/48,0)</f>
        <v>218</v>
      </c>
      <c r="G223" s="14">
        <f>Leche[[#This Row],[N° LATAS]]-Leche[[#This Row],[TOTAL CAJAS]]*48</f>
        <v>6</v>
      </c>
      <c r="H223" s="28">
        <v>46159</v>
      </c>
      <c r="I223" s="29" t="s">
        <v>408</v>
      </c>
    </row>
    <row r="224" spans="1:9" hidden="1" x14ac:dyDescent="0.25">
      <c r="A224" s="14" t="s">
        <v>14</v>
      </c>
      <c r="B224" s="14" t="s">
        <v>153</v>
      </c>
      <c r="C224" s="15" t="s">
        <v>23</v>
      </c>
      <c r="D224" s="16">
        <v>46196</v>
      </c>
      <c r="E224" s="17">
        <v>10470</v>
      </c>
      <c r="F224" s="14">
        <f>ROUNDDOWN(Leche[[#This Row],[N° LATAS]]/48,0)</f>
        <v>218</v>
      </c>
      <c r="G224" s="14">
        <f>Leche[[#This Row],[N° LATAS]]-Leche[[#This Row],[TOTAL CAJAS]]*48</f>
        <v>6</v>
      </c>
      <c r="H224" s="28">
        <v>46195</v>
      </c>
      <c r="I224" s="29" t="s">
        <v>408</v>
      </c>
    </row>
    <row r="225" spans="1:9" hidden="1" x14ac:dyDescent="0.25">
      <c r="A225" s="14" t="s">
        <v>14</v>
      </c>
      <c r="B225" s="14" t="s">
        <v>153</v>
      </c>
      <c r="C225" s="15" t="s">
        <v>24</v>
      </c>
      <c r="D225" s="16">
        <v>46227</v>
      </c>
      <c r="E225" s="17">
        <v>10470</v>
      </c>
      <c r="F225" s="14">
        <f>ROUNDDOWN(Leche[[#This Row],[N° LATAS]]/48,0)</f>
        <v>218</v>
      </c>
      <c r="G225" s="14">
        <f>Leche[[#This Row],[N° LATAS]]-Leche[[#This Row],[TOTAL CAJAS]]*48</f>
        <v>6</v>
      </c>
      <c r="H225" s="28">
        <v>46226</v>
      </c>
      <c r="I225" s="29" t="s">
        <v>408</v>
      </c>
    </row>
    <row r="226" spans="1:9" hidden="1" x14ac:dyDescent="0.25">
      <c r="A226" s="14" t="s">
        <v>14</v>
      </c>
      <c r="B226" s="14" t="s">
        <v>153</v>
      </c>
      <c r="C226" s="15" t="s">
        <v>25</v>
      </c>
      <c r="D226" s="16">
        <v>46258</v>
      </c>
      <c r="E226" s="17">
        <v>10470</v>
      </c>
      <c r="F226" s="14">
        <f>ROUNDDOWN(Leche[[#This Row],[N° LATAS]]/48,0)</f>
        <v>218</v>
      </c>
      <c r="G226" s="14">
        <f>Leche[[#This Row],[N° LATAS]]-Leche[[#This Row],[TOTAL CAJAS]]*48</f>
        <v>6</v>
      </c>
      <c r="H226" s="28">
        <v>46254</v>
      </c>
      <c r="I226" s="29" t="s">
        <v>408</v>
      </c>
    </row>
    <row r="227" spans="1:9" hidden="1" x14ac:dyDescent="0.25">
      <c r="A227" s="14" t="s">
        <v>14</v>
      </c>
      <c r="B227" s="14" t="s">
        <v>153</v>
      </c>
      <c r="C227" s="15" t="s">
        <v>26</v>
      </c>
      <c r="D227" s="16">
        <v>46290</v>
      </c>
      <c r="E227" s="17">
        <v>10470</v>
      </c>
      <c r="F227" s="14">
        <f>ROUNDDOWN(Leche[[#This Row],[N° LATAS]]/48,0)</f>
        <v>218</v>
      </c>
      <c r="G227" s="14">
        <f>Leche[[#This Row],[N° LATAS]]-Leche[[#This Row],[TOTAL CAJAS]]*48</f>
        <v>6</v>
      </c>
      <c r="H227" s="28">
        <v>46289</v>
      </c>
      <c r="I227" s="29" t="s">
        <v>408</v>
      </c>
    </row>
    <row r="228" spans="1:9" hidden="1" x14ac:dyDescent="0.25">
      <c r="A228" s="14" t="s">
        <v>14</v>
      </c>
      <c r="B228" s="14" t="s">
        <v>153</v>
      </c>
      <c r="C228" s="15" t="s">
        <v>27</v>
      </c>
      <c r="D228" s="16">
        <v>46318</v>
      </c>
      <c r="E228" s="17">
        <v>10470</v>
      </c>
      <c r="F228" s="14">
        <f>ROUNDDOWN(Leche[[#This Row],[N° LATAS]]/48,0)</f>
        <v>218</v>
      </c>
      <c r="G228" s="14">
        <f>Leche[[#This Row],[N° LATAS]]-Leche[[#This Row],[TOTAL CAJAS]]*48</f>
        <v>6</v>
      </c>
      <c r="H228" s="28"/>
      <c r="I228" s="29"/>
    </row>
    <row r="229" spans="1:9" hidden="1" x14ac:dyDescent="0.25">
      <c r="A229" s="14" t="s">
        <v>14</v>
      </c>
      <c r="B229" s="14" t="s">
        <v>153</v>
      </c>
      <c r="C229" s="15" t="s">
        <v>28</v>
      </c>
      <c r="D229" s="16">
        <v>46349</v>
      </c>
      <c r="E229" s="17">
        <v>10470</v>
      </c>
      <c r="F229" s="14">
        <f>ROUNDDOWN(Leche[[#This Row],[N° LATAS]]/48,0)</f>
        <v>218</v>
      </c>
      <c r="G229" s="14">
        <f>Leche[[#This Row],[N° LATAS]]-Leche[[#This Row],[TOTAL CAJAS]]*48</f>
        <v>6</v>
      </c>
      <c r="H229" s="28"/>
      <c r="I229" s="29"/>
    </row>
    <row r="230" spans="1:9" hidden="1" x14ac:dyDescent="0.25">
      <c r="A230" s="14" t="s">
        <v>14</v>
      </c>
      <c r="B230" s="14" t="s">
        <v>155</v>
      </c>
      <c r="C230" s="15" t="s">
        <v>121</v>
      </c>
      <c r="D230" s="16">
        <v>46045</v>
      </c>
      <c r="E230" s="17">
        <v>5136</v>
      </c>
      <c r="F230" s="14">
        <f>ROUNDDOWN(Leche[[#This Row],[N° LATAS]]/48,0)</f>
        <v>107</v>
      </c>
      <c r="G230" s="14">
        <f>Leche[[#This Row],[N° LATAS]]-Leche[[#This Row],[TOTAL CAJAS]]*48</f>
        <v>0</v>
      </c>
      <c r="H230" s="28">
        <v>46049</v>
      </c>
      <c r="I230" s="29" t="s">
        <v>408</v>
      </c>
    </row>
    <row r="231" spans="1:9" hidden="1" x14ac:dyDescent="0.25">
      <c r="A231" s="14" t="s">
        <v>14</v>
      </c>
      <c r="B231" s="14" t="s">
        <v>155</v>
      </c>
      <c r="C231" s="15" t="s">
        <v>122</v>
      </c>
      <c r="D231" s="16">
        <v>46072</v>
      </c>
      <c r="E231" s="17">
        <v>5136</v>
      </c>
      <c r="F231" s="14">
        <f>ROUNDDOWN(Leche[[#This Row],[N° LATAS]]/48,0)</f>
        <v>107</v>
      </c>
      <c r="G231" s="14">
        <f>Leche[[#This Row],[N° LATAS]]-Leche[[#This Row],[TOTAL CAJAS]]*48</f>
        <v>0</v>
      </c>
      <c r="H231" s="28">
        <v>46065</v>
      </c>
      <c r="I231" s="29" t="s">
        <v>408</v>
      </c>
    </row>
    <row r="232" spans="1:9" hidden="1" x14ac:dyDescent="0.25">
      <c r="A232" s="14" t="s">
        <v>14</v>
      </c>
      <c r="B232" s="14" t="s">
        <v>155</v>
      </c>
      <c r="C232" s="15" t="s">
        <v>43</v>
      </c>
      <c r="D232" s="16">
        <v>46135</v>
      </c>
      <c r="E232" s="17">
        <v>5136</v>
      </c>
      <c r="F232" s="14">
        <f>ROUNDDOWN(Leche[[#This Row],[N° LATAS]]/48,0)</f>
        <v>107</v>
      </c>
      <c r="G232" s="14">
        <f>Leche[[#This Row],[N° LATAS]]-Leche[[#This Row],[TOTAL CAJAS]]*48</f>
        <v>0</v>
      </c>
      <c r="H232" s="28">
        <v>46138</v>
      </c>
      <c r="I232" s="29" t="s">
        <v>408</v>
      </c>
    </row>
    <row r="233" spans="1:9" hidden="1" x14ac:dyDescent="0.25">
      <c r="A233" s="14" t="s">
        <v>14</v>
      </c>
      <c r="B233" s="14" t="s">
        <v>155</v>
      </c>
      <c r="C233" s="15" t="s">
        <v>44</v>
      </c>
      <c r="D233" s="16">
        <v>46197</v>
      </c>
      <c r="E233" s="17">
        <v>5136</v>
      </c>
      <c r="F233" s="14">
        <f>ROUNDDOWN(Leche[[#This Row],[N° LATAS]]/48,0)</f>
        <v>107</v>
      </c>
      <c r="G233" s="14">
        <f>Leche[[#This Row],[N° LATAS]]-Leche[[#This Row],[TOTAL CAJAS]]*48</f>
        <v>0</v>
      </c>
      <c r="H233" s="28">
        <v>46194</v>
      </c>
      <c r="I233" s="29" t="s">
        <v>408</v>
      </c>
    </row>
    <row r="234" spans="1:9" hidden="1" x14ac:dyDescent="0.25">
      <c r="A234" s="14" t="s">
        <v>14</v>
      </c>
      <c r="B234" s="14" t="s">
        <v>155</v>
      </c>
      <c r="C234" s="15" t="s">
        <v>67</v>
      </c>
      <c r="D234" s="16">
        <v>46260</v>
      </c>
      <c r="E234" s="17">
        <v>2568</v>
      </c>
      <c r="F234" s="14">
        <f>ROUNDDOWN(Leche[[#This Row],[N° LATAS]]/48,0)</f>
        <v>53</v>
      </c>
      <c r="G234" s="14">
        <f>Leche[[#This Row],[N° LATAS]]-Leche[[#This Row],[TOTAL CAJAS]]*48</f>
        <v>24</v>
      </c>
      <c r="H234" s="28">
        <v>46254</v>
      </c>
      <c r="I234" s="29" t="s">
        <v>408</v>
      </c>
    </row>
    <row r="235" spans="1:9" hidden="1" x14ac:dyDescent="0.25">
      <c r="A235" s="14" t="s">
        <v>14</v>
      </c>
      <c r="B235" s="14" t="s">
        <v>155</v>
      </c>
      <c r="C235" s="15" t="s">
        <v>26</v>
      </c>
      <c r="D235" s="16">
        <v>46260</v>
      </c>
      <c r="E235" s="17">
        <v>2568</v>
      </c>
      <c r="F235" s="14">
        <f>ROUNDDOWN(Leche[[#This Row],[N° LATAS]]/48,0)</f>
        <v>53</v>
      </c>
      <c r="G235" s="14">
        <f>Leche[[#This Row],[N° LATAS]]-Leche[[#This Row],[TOTAL CAJAS]]*48</f>
        <v>24</v>
      </c>
      <c r="H235" s="28">
        <v>46266</v>
      </c>
      <c r="I235" s="29" t="s">
        <v>408</v>
      </c>
    </row>
    <row r="236" spans="1:9" hidden="1" x14ac:dyDescent="0.25">
      <c r="A236" s="14" t="s">
        <v>14</v>
      </c>
      <c r="B236" s="14" t="s">
        <v>155</v>
      </c>
      <c r="C236" s="15" t="s">
        <v>46</v>
      </c>
      <c r="D236" s="16">
        <v>46316</v>
      </c>
      <c r="E236" s="17">
        <v>5136</v>
      </c>
      <c r="F236" s="14">
        <f>ROUNDDOWN(Leche[[#This Row],[N° LATAS]]/48,0)</f>
        <v>107</v>
      </c>
      <c r="G236" s="14">
        <f>Leche[[#This Row],[N° LATAS]]-Leche[[#This Row],[TOTAL CAJAS]]*48</f>
        <v>0</v>
      </c>
      <c r="H236" s="28"/>
      <c r="I236" s="29"/>
    </row>
    <row r="237" spans="1:9" hidden="1" x14ac:dyDescent="0.25">
      <c r="A237" s="14" t="s">
        <v>14</v>
      </c>
      <c r="B237" s="14" t="s">
        <v>159</v>
      </c>
      <c r="C237" s="15" t="s">
        <v>16</v>
      </c>
      <c r="D237" s="16">
        <v>46006</v>
      </c>
      <c r="E237" s="17">
        <v>888</v>
      </c>
      <c r="F237" s="14">
        <f>ROUNDDOWN(Leche[[#This Row],[N° LATAS]]/48,0)</f>
        <v>18</v>
      </c>
      <c r="G237" s="14">
        <f>Leche[[#This Row],[N° LATAS]]-Leche[[#This Row],[TOTAL CAJAS]]*48</f>
        <v>24</v>
      </c>
      <c r="H237" s="28">
        <v>46027</v>
      </c>
      <c r="I237" s="29" t="s">
        <v>408</v>
      </c>
    </row>
    <row r="238" spans="1:9" hidden="1" x14ac:dyDescent="0.25">
      <c r="A238" s="14" t="s">
        <v>14</v>
      </c>
      <c r="B238" s="14" t="s">
        <v>159</v>
      </c>
      <c r="C238" s="15" t="s">
        <v>18</v>
      </c>
      <c r="D238" s="16">
        <v>46006</v>
      </c>
      <c r="E238" s="17">
        <v>888</v>
      </c>
      <c r="F238" s="14">
        <f>ROUNDDOWN(Leche[[#This Row],[N° LATAS]]/48,0)</f>
        <v>18</v>
      </c>
      <c r="G238" s="14">
        <f>Leche[[#This Row],[N° LATAS]]-Leche[[#This Row],[TOTAL CAJAS]]*48</f>
        <v>24</v>
      </c>
      <c r="H238" s="28">
        <v>46027</v>
      </c>
      <c r="I238" s="29" t="s">
        <v>408</v>
      </c>
    </row>
    <row r="239" spans="1:9" hidden="1" x14ac:dyDescent="0.25">
      <c r="A239" s="14" t="s">
        <v>14</v>
      </c>
      <c r="B239" s="14" t="s">
        <v>159</v>
      </c>
      <c r="C239" s="15" t="s">
        <v>19</v>
      </c>
      <c r="D239" s="16">
        <v>46006</v>
      </c>
      <c r="E239" s="17">
        <v>888</v>
      </c>
      <c r="F239" s="14">
        <f>ROUNDDOWN(Leche[[#This Row],[N° LATAS]]/48,0)</f>
        <v>18</v>
      </c>
      <c r="G239" s="14">
        <f>Leche[[#This Row],[N° LATAS]]-Leche[[#This Row],[TOTAL CAJAS]]*48</f>
        <v>24</v>
      </c>
      <c r="H239" s="28">
        <v>46027</v>
      </c>
      <c r="I239" s="29" t="s">
        <v>408</v>
      </c>
    </row>
    <row r="240" spans="1:9" hidden="1" x14ac:dyDescent="0.25">
      <c r="A240" s="14" t="s">
        <v>14</v>
      </c>
      <c r="B240" s="14" t="s">
        <v>159</v>
      </c>
      <c r="C240" s="15" t="s">
        <v>20</v>
      </c>
      <c r="D240" s="16">
        <v>46096</v>
      </c>
      <c r="E240" s="17">
        <v>888</v>
      </c>
      <c r="F240" s="14">
        <f>ROUNDDOWN(Leche[[#This Row],[N° LATAS]]/48,0)</f>
        <v>18</v>
      </c>
      <c r="G240" s="14">
        <f>Leche[[#This Row],[N° LATAS]]-Leche[[#This Row],[TOTAL CAJAS]]*48</f>
        <v>24</v>
      </c>
      <c r="H240" s="28">
        <v>46117</v>
      </c>
      <c r="I240" s="29" t="s">
        <v>408</v>
      </c>
    </row>
    <row r="241" spans="1:9" hidden="1" x14ac:dyDescent="0.25">
      <c r="A241" s="14" t="s">
        <v>14</v>
      </c>
      <c r="B241" s="14" t="s">
        <v>159</v>
      </c>
      <c r="C241" s="15" t="s">
        <v>22</v>
      </c>
      <c r="D241" s="16">
        <v>46096</v>
      </c>
      <c r="E241" s="17">
        <v>888</v>
      </c>
      <c r="F241" s="14">
        <f>ROUNDDOWN(Leche[[#This Row],[N° LATAS]]/48,0)</f>
        <v>18</v>
      </c>
      <c r="G241" s="14">
        <f>Leche[[#This Row],[N° LATAS]]-Leche[[#This Row],[TOTAL CAJAS]]*48</f>
        <v>24</v>
      </c>
      <c r="H241" s="28">
        <v>46117</v>
      </c>
      <c r="I241" s="29" t="s">
        <v>408</v>
      </c>
    </row>
    <row r="242" spans="1:9" hidden="1" x14ac:dyDescent="0.25">
      <c r="A242" s="14" t="s">
        <v>14</v>
      </c>
      <c r="B242" s="14" t="s">
        <v>159</v>
      </c>
      <c r="C242" s="15" t="s">
        <v>21</v>
      </c>
      <c r="D242" s="16">
        <v>46096</v>
      </c>
      <c r="E242" s="17">
        <v>888</v>
      </c>
      <c r="F242" s="14">
        <f>ROUNDDOWN(Leche[[#This Row],[N° LATAS]]/48,0)</f>
        <v>18</v>
      </c>
      <c r="G242" s="14">
        <f>Leche[[#This Row],[N° LATAS]]-Leche[[#This Row],[TOTAL CAJAS]]*48</f>
        <v>24</v>
      </c>
      <c r="H242" s="28">
        <v>46117</v>
      </c>
      <c r="I242" s="29" t="s">
        <v>408</v>
      </c>
    </row>
    <row r="243" spans="1:9" hidden="1" x14ac:dyDescent="0.25">
      <c r="A243" s="14" t="s">
        <v>14</v>
      </c>
      <c r="B243" s="14" t="s">
        <v>159</v>
      </c>
      <c r="C243" s="15" t="s">
        <v>24</v>
      </c>
      <c r="D243" s="16">
        <v>46188</v>
      </c>
      <c r="E243" s="17">
        <v>888</v>
      </c>
      <c r="F243" s="14">
        <f>ROUNDDOWN(Leche[[#This Row],[N° LATAS]]/48,0)</f>
        <v>18</v>
      </c>
      <c r="G243" s="14">
        <f>Leche[[#This Row],[N° LATAS]]-Leche[[#This Row],[TOTAL CAJAS]]*48</f>
        <v>24</v>
      </c>
      <c r="H243" s="28">
        <v>46208</v>
      </c>
      <c r="I243" s="29" t="s">
        <v>408</v>
      </c>
    </row>
    <row r="244" spans="1:9" hidden="1" x14ac:dyDescent="0.25">
      <c r="A244" s="14" t="s">
        <v>14</v>
      </c>
      <c r="B244" s="14" t="s">
        <v>159</v>
      </c>
      <c r="C244" s="15" t="s">
        <v>23</v>
      </c>
      <c r="D244" s="16">
        <v>46188</v>
      </c>
      <c r="E244" s="17">
        <v>888</v>
      </c>
      <c r="F244" s="14">
        <f>ROUNDDOWN(Leche[[#This Row],[N° LATAS]]/48,0)</f>
        <v>18</v>
      </c>
      <c r="G244" s="14">
        <f>Leche[[#This Row],[N° LATAS]]-Leche[[#This Row],[TOTAL CAJAS]]*48</f>
        <v>24</v>
      </c>
      <c r="H244" s="28">
        <v>46208</v>
      </c>
      <c r="I244" s="29" t="s">
        <v>408</v>
      </c>
    </row>
    <row r="245" spans="1:9" hidden="1" x14ac:dyDescent="0.25">
      <c r="A245" s="14" t="s">
        <v>14</v>
      </c>
      <c r="B245" s="14" t="s">
        <v>159</v>
      </c>
      <c r="C245" s="15" t="s">
        <v>25</v>
      </c>
      <c r="D245" s="16">
        <v>46188</v>
      </c>
      <c r="E245" s="17">
        <v>888</v>
      </c>
      <c r="F245" s="14">
        <f>ROUNDDOWN(Leche[[#This Row],[N° LATAS]]/48,0)</f>
        <v>18</v>
      </c>
      <c r="G245" s="14">
        <f>Leche[[#This Row],[N° LATAS]]-Leche[[#This Row],[TOTAL CAJAS]]*48</f>
        <v>24</v>
      </c>
      <c r="H245" s="28">
        <v>46208</v>
      </c>
      <c r="I245" s="29" t="s">
        <v>408</v>
      </c>
    </row>
    <row r="246" spans="1:9" hidden="1" x14ac:dyDescent="0.25">
      <c r="A246" s="14" t="s">
        <v>14</v>
      </c>
      <c r="B246" s="14" t="s">
        <v>159</v>
      </c>
      <c r="C246" s="15" t="s">
        <v>30</v>
      </c>
      <c r="D246" s="16">
        <v>46188</v>
      </c>
      <c r="E246" s="17">
        <v>4013</v>
      </c>
      <c r="F246" s="14">
        <f>ROUNDDOWN(Leche[[#This Row],[N° LATAS]]/48,0)</f>
        <v>83</v>
      </c>
      <c r="G246" s="14">
        <f>Leche[[#This Row],[N° LATAS]]-Leche[[#This Row],[TOTAL CAJAS]]*48</f>
        <v>29</v>
      </c>
      <c r="H246" s="28">
        <v>46220</v>
      </c>
      <c r="I246" s="29" t="s">
        <v>408</v>
      </c>
    </row>
    <row r="247" spans="1:9" hidden="1" x14ac:dyDescent="0.25">
      <c r="A247" s="14" t="s">
        <v>14</v>
      </c>
      <c r="B247" s="14" t="s">
        <v>159</v>
      </c>
      <c r="C247" s="15" t="s">
        <v>28</v>
      </c>
      <c r="D247" s="16">
        <v>46280</v>
      </c>
      <c r="E247" s="17">
        <v>888</v>
      </c>
      <c r="F247" s="14">
        <f>ROUNDDOWN(Leche[[#This Row],[N° LATAS]]/48,0)</f>
        <v>18</v>
      </c>
      <c r="G247" s="14">
        <f>Leche[[#This Row],[N° LATAS]]-Leche[[#This Row],[TOTAL CAJAS]]*48</f>
        <v>24</v>
      </c>
      <c r="H247" s="28">
        <v>46286</v>
      </c>
      <c r="I247" s="29" t="s">
        <v>408</v>
      </c>
    </row>
    <row r="248" spans="1:9" hidden="1" x14ac:dyDescent="0.25">
      <c r="A248" s="14" t="s">
        <v>14</v>
      </c>
      <c r="B248" s="14" t="s">
        <v>159</v>
      </c>
      <c r="C248" s="15" t="s">
        <v>27</v>
      </c>
      <c r="D248" s="16">
        <v>46280</v>
      </c>
      <c r="E248" s="17">
        <v>888</v>
      </c>
      <c r="F248" s="14">
        <f>ROUNDDOWN(Leche[[#This Row],[N° LATAS]]/48,0)</f>
        <v>18</v>
      </c>
      <c r="G248" s="14">
        <f>Leche[[#This Row],[N° LATAS]]-Leche[[#This Row],[TOTAL CAJAS]]*48</f>
        <v>24</v>
      </c>
      <c r="H248" s="28">
        <v>46286</v>
      </c>
      <c r="I248" s="29" t="s">
        <v>408</v>
      </c>
    </row>
    <row r="249" spans="1:9" hidden="1" x14ac:dyDescent="0.25">
      <c r="A249" s="14" t="s">
        <v>14</v>
      </c>
      <c r="B249" s="14" t="s">
        <v>159</v>
      </c>
      <c r="C249" s="15" t="s">
        <v>26</v>
      </c>
      <c r="D249" s="16">
        <v>46280</v>
      </c>
      <c r="E249" s="17">
        <v>888</v>
      </c>
      <c r="F249" s="14">
        <f>ROUNDDOWN(Leche[[#This Row],[N° LATAS]]/48,0)</f>
        <v>18</v>
      </c>
      <c r="G249" s="14">
        <f>Leche[[#This Row],[N° LATAS]]-Leche[[#This Row],[TOTAL CAJAS]]*48</f>
        <v>24</v>
      </c>
      <c r="H249" s="28">
        <v>46286</v>
      </c>
      <c r="I249" s="29" t="s">
        <v>408</v>
      </c>
    </row>
    <row r="250" spans="1:9" hidden="1" x14ac:dyDescent="0.25">
      <c r="A250" s="14" t="s">
        <v>14</v>
      </c>
      <c r="B250" s="14" t="s">
        <v>161</v>
      </c>
      <c r="C250" s="15" t="s">
        <v>121</v>
      </c>
      <c r="D250" s="16">
        <v>46054</v>
      </c>
      <c r="E250" s="17">
        <v>12354</v>
      </c>
      <c r="F250" s="14">
        <f>ROUNDDOWN(Leche[[#This Row],[N° LATAS]]/48,0)</f>
        <v>257</v>
      </c>
      <c r="G250" s="14">
        <f>Leche[[#This Row],[N° LATAS]]-Leche[[#This Row],[TOTAL CAJAS]]*48</f>
        <v>18</v>
      </c>
      <c r="H250" s="28">
        <v>46089</v>
      </c>
      <c r="I250" s="29" t="s">
        <v>408</v>
      </c>
    </row>
    <row r="251" spans="1:9" hidden="1" x14ac:dyDescent="0.25">
      <c r="A251" s="14" t="s">
        <v>14</v>
      </c>
      <c r="B251" s="14" t="s">
        <v>161</v>
      </c>
      <c r="C251" s="15" t="s">
        <v>122</v>
      </c>
      <c r="D251" s="16">
        <v>46068</v>
      </c>
      <c r="E251" s="17">
        <v>12354</v>
      </c>
      <c r="F251" s="14">
        <f>ROUNDDOWN(Leche[[#This Row],[N° LATAS]]/48,0)</f>
        <v>257</v>
      </c>
      <c r="G251" s="14">
        <f>Leche[[#This Row],[N° LATAS]]-Leche[[#This Row],[TOTAL CAJAS]]*48</f>
        <v>18</v>
      </c>
      <c r="H251" s="28">
        <v>46089</v>
      </c>
      <c r="I251" s="29" t="s">
        <v>408</v>
      </c>
    </row>
    <row r="252" spans="1:9" hidden="1" x14ac:dyDescent="0.25">
      <c r="A252" s="14" t="s">
        <v>14</v>
      </c>
      <c r="B252" s="14" t="s">
        <v>161</v>
      </c>
      <c r="C252" s="15" t="s">
        <v>43</v>
      </c>
      <c r="D252" s="16">
        <v>46171</v>
      </c>
      <c r="E252" s="17">
        <v>12354</v>
      </c>
      <c r="F252" s="14">
        <f>ROUNDDOWN(Leche[[#This Row],[N° LATAS]]/48,0)</f>
        <v>257</v>
      </c>
      <c r="G252" s="14">
        <f>Leche[[#This Row],[N° LATAS]]-Leche[[#This Row],[TOTAL CAJAS]]*48</f>
        <v>18</v>
      </c>
      <c r="H252" s="28">
        <v>46166</v>
      </c>
      <c r="I252" s="29" t="s">
        <v>408</v>
      </c>
    </row>
    <row r="253" spans="1:9" hidden="1" x14ac:dyDescent="0.25">
      <c r="A253" s="14" t="s">
        <v>14</v>
      </c>
      <c r="B253" s="14" t="s">
        <v>161</v>
      </c>
      <c r="C253" s="15" t="s">
        <v>44</v>
      </c>
      <c r="D253" s="16">
        <v>46188</v>
      </c>
      <c r="E253" s="17">
        <v>12354</v>
      </c>
      <c r="F253" s="14">
        <f>ROUNDDOWN(Leche[[#This Row],[N° LATAS]]/48,0)</f>
        <v>257</v>
      </c>
      <c r="G253" s="14">
        <f>Leche[[#This Row],[N° LATAS]]-Leche[[#This Row],[TOTAL CAJAS]]*48</f>
        <v>18</v>
      </c>
      <c r="H253" s="28">
        <v>46181</v>
      </c>
      <c r="I253" s="29" t="s">
        <v>408</v>
      </c>
    </row>
    <row r="254" spans="1:9" hidden="1" x14ac:dyDescent="0.25">
      <c r="A254" s="14" t="s">
        <v>14</v>
      </c>
      <c r="B254" s="14" t="s">
        <v>161</v>
      </c>
      <c r="C254" s="15" t="s">
        <v>45</v>
      </c>
      <c r="D254" s="16">
        <v>46249</v>
      </c>
      <c r="E254" s="17">
        <v>12354</v>
      </c>
      <c r="F254" s="14">
        <f>ROUNDDOWN(Leche[[#This Row],[N° LATAS]]/48,0)</f>
        <v>257</v>
      </c>
      <c r="G254" s="14">
        <f>Leche[[#This Row],[N° LATAS]]-Leche[[#This Row],[TOTAL CAJAS]]*48</f>
        <v>18</v>
      </c>
      <c r="H254" s="28">
        <v>46243</v>
      </c>
      <c r="I254" s="29" t="s">
        <v>408</v>
      </c>
    </row>
    <row r="255" spans="1:9" hidden="1" x14ac:dyDescent="0.25">
      <c r="A255" s="14" t="s">
        <v>14</v>
      </c>
      <c r="B255" s="14" t="s">
        <v>30</v>
      </c>
      <c r="C255" s="15" t="s">
        <v>27</v>
      </c>
      <c r="D255" s="16">
        <v>46310</v>
      </c>
      <c r="E255" s="17">
        <v>14</v>
      </c>
      <c r="F255" s="14">
        <f>ROUNDDOWN(Leche[[#This Row],[N° LATAS]]/48,0)</f>
        <v>0</v>
      </c>
      <c r="G255" s="14">
        <f>Leche[[#This Row],[N° LATAS]]-Leche[[#This Row],[TOTAL CAJAS]]*48</f>
        <v>14</v>
      </c>
      <c r="H255" s="28"/>
      <c r="I255" s="29"/>
    </row>
    <row r="256" spans="1:9" hidden="1" x14ac:dyDescent="0.25">
      <c r="A256" s="14" t="s">
        <v>14</v>
      </c>
      <c r="B256" s="14" t="s">
        <v>161</v>
      </c>
      <c r="C256" s="15" t="s">
        <v>46</v>
      </c>
      <c r="D256" s="16">
        <v>46310</v>
      </c>
      <c r="E256" s="17">
        <v>12354</v>
      </c>
      <c r="F256" s="14">
        <f>ROUNDDOWN(Leche[[#This Row],[N° LATAS]]/48,0)</f>
        <v>257</v>
      </c>
      <c r="G256" s="14">
        <f>Leche[[#This Row],[N° LATAS]]-Leche[[#This Row],[TOTAL CAJAS]]*48</f>
        <v>18</v>
      </c>
      <c r="H256" s="28"/>
      <c r="I256" s="29"/>
    </row>
    <row r="257" spans="1:9" hidden="1" x14ac:dyDescent="0.25">
      <c r="A257" s="14" t="s">
        <v>58</v>
      </c>
      <c r="B257" s="14" t="s">
        <v>168</v>
      </c>
      <c r="C257" s="15" t="s">
        <v>20</v>
      </c>
      <c r="D257" s="16">
        <v>46150</v>
      </c>
      <c r="E257" s="17">
        <v>1240</v>
      </c>
      <c r="F257" s="14">
        <f>ROUNDDOWN(Leche[[#This Row],[N° LATAS]]/48,0)</f>
        <v>25</v>
      </c>
      <c r="G257" s="14">
        <f>Leche[[#This Row],[N° LATAS]]-Leche[[#This Row],[TOTAL CAJAS]]*48</f>
        <v>40</v>
      </c>
      <c r="H257" s="28">
        <v>46163</v>
      </c>
      <c r="I257" s="29" t="s">
        <v>408</v>
      </c>
    </row>
    <row r="258" spans="1:9" hidden="1" x14ac:dyDescent="0.25">
      <c r="A258" s="14" t="s">
        <v>58</v>
      </c>
      <c r="B258" s="14" t="s">
        <v>168</v>
      </c>
      <c r="C258" s="15" t="s">
        <v>21</v>
      </c>
      <c r="D258" s="16">
        <v>46150</v>
      </c>
      <c r="E258" s="17">
        <v>1240</v>
      </c>
      <c r="F258" s="14">
        <f>ROUNDDOWN(Leche[[#This Row],[N° LATAS]]/48,0)</f>
        <v>25</v>
      </c>
      <c r="G258" s="14">
        <f>Leche[[#This Row],[N° LATAS]]-Leche[[#This Row],[TOTAL CAJAS]]*48</f>
        <v>40</v>
      </c>
      <c r="H258" s="28">
        <v>46163</v>
      </c>
      <c r="I258" s="29" t="s">
        <v>408</v>
      </c>
    </row>
    <row r="259" spans="1:9" hidden="1" x14ac:dyDescent="0.25">
      <c r="A259" s="14" t="s">
        <v>58</v>
      </c>
      <c r="B259" s="14" t="s">
        <v>168</v>
      </c>
      <c r="C259" s="15" t="s">
        <v>22</v>
      </c>
      <c r="D259" s="16">
        <v>46164</v>
      </c>
      <c r="E259" s="17">
        <v>1240</v>
      </c>
      <c r="F259" s="14">
        <f>ROUNDDOWN(Leche[[#This Row],[N° LATAS]]/48,0)</f>
        <v>25</v>
      </c>
      <c r="G259" s="14">
        <f>Leche[[#This Row],[N° LATAS]]-Leche[[#This Row],[TOTAL CAJAS]]*48</f>
        <v>40</v>
      </c>
      <c r="H259" s="28">
        <v>46163</v>
      </c>
      <c r="I259" s="29" t="s">
        <v>408</v>
      </c>
    </row>
    <row r="260" spans="1:9" hidden="1" x14ac:dyDescent="0.25">
      <c r="A260" s="14" t="s">
        <v>58</v>
      </c>
      <c r="B260" s="14" t="s">
        <v>168</v>
      </c>
      <c r="C260" s="15" t="s">
        <v>23</v>
      </c>
      <c r="D260" s="16">
        <v>46197</v>
      </c>
      <c r="E260" s="17">
        <v>1240</v>
      </c>
      <c r="F260" s="14">
        <f>ROUNDDOWN(Leche[[#This Row],[N° LATAS]]/48,0)</f>
        <v>25</v>
      </c>
      <c r="G260" s="14">
        <f>Leche[[#This Row],[N° LATAS]]-Leche[[#This Row],[TOTAL CAJAS]]*48</f>
        <v>40</v>
      </c>
      <c r="H260" s="28">
        <v>46198</v>
      </c>
      <c r="I260" s="29" t="s">
        <v>408</v>
      </c>
    </row>
    <row r="261" spans="1:9" hidden="1" x14ac:dyDescent="0.25">
      <c r="A261" s="14" t="s">
        <v>58</v>
      </c>
      <c r="B261" s="14" t="s">
        <v>168</v>
      </c>
      <c r="C261" s="15" t="s">
        <v>24</v>
      </c>
      <c r="D261" s="16">
        <v>46197</v>
      </c>
      <c r="E261" s="17">
        <v>1240</v>
      </c>
      <c r="F261" s="14">
        <f>ROUNDDOWN(Leche[[#This Row],[N° LATAS]]/48,0)</f>
        <v>25</v>
      </c>
      <c r="G261" s="14">
        <f>Leche[[#This Row],[N° LATAS]]-Leche[[#This Row],[TOTAL CAJAS]]*48</f>
        <v>40</v>
      </c>
      <c r="H261" s="28">
        <v>46198</v>
      </c>
      <c r="I261" s="29" t="s">
        <v>408</v>
      </c>
    </row>
    <row r="262" spans="1:9" hidden="1" x14ac:dyDescent="0.25">
      <c r="A262" s="14" t="s">
        <v>58</v>
      </c>
      <c r="B262" s="14" t="s">
        <v>168</v>
      </c>
      <c r="C262" s="15" t="s">
        <v>25</v>
      </c>
      <c r="D262" s="16">
        <v>46197</v>
      </c>
      <c r="E262" s="17">
        <v>1240</v>
      </c>
      <c r="F262" s="14">
        <f>ROUNDDOWN(Leche[[#This Row],[N° LATAS]]/48,0)</f>
        <v>25</v>
      </c>
      <c r="G262" s="14">
        <f>Leche[[#This Row],[N° LATAS]]-Leche[[#This Row],[TOTAL CAJAS]]*48</f>
        <v>40</v>
      </c>
      <c r="H262" s="28">
        <v>46198</v>
      </c>
      <c r="I262" s="29" t="s">
        <v>408</v>
      </c>
    </row>
    <row r="263" spans="1:9" hidden="1" x14ac:dyDescent="0.25">
      <c r="A263" s="14" t="s">
        <v>58</v>
      </c>
      <c r="B263" s="14" t="s">
        <v>168</v>
      </c>
      <c r="C263" s="15" t="s">
        <v>30</v>
      </c>
      <c r="D263" s="16">
        <v>46223</v>
      </c>
      <c r="E263" s="17">
        <v>1220</v>
      </c>
      <c r="F263" s="14">
        <f>ROUNDDOWN(Leche[[#This Row],[N° LATAS]]/48,0)</f>
        <v>25</v>
      </c>
      <c r="G263" s="14">
        <f>Leche[[#This Row],[N° LATAS]]-Leche[[#This Row],[TOTAL CAJAS]]*48</f>
        <v>20</v>
      </c>
      <c r="H263" s="28">
        <v>46240</v>
      </c>
      <c r="I263" s="29" t="s">
        <v>408</v>
      </c>
    </row>
    <row r="264" spans="1:9" hidden="1" x14ac:dyDescent="0.25">
      <c r="A264" s="14" t="s">
        <v>58</v>
      </c>
      <c r="B264" s="14" t="s">
        <v>168</v>
      </c>
      <c r="C264" s="15" t="s">
        <v>26</v>
      </c>
      <c r="D264" s="16">
        <v>46289</v>
      </c>
      <c r="E264" s="17">
        <v>1240</v>
      </c>
      <c r="F264" s="14">
        <f>ROUNDDOWN(Leche[[#This Row],[N° LATAS]]/48,0)</f>
        <v>25</v>
      </c>
      <c r="G264" s="14">
        <f>Leche[[#This Row],[N° LATAS]]-Leche[[#This Row],[TOTAL CAJAS]]*48</f>
        <v>40</v>
      </c>
      <c r="H264" s="28"/>
      <c r="I264" s="29"/>
    </row>
    <row r="265" spans="1:9" hidden="1" x14ac:dyDescent="0.25">
      <c r="A265" s="14" t="s">
        <v>58</v>
      </c>
      <c r="B265" s="14" t="s">
        <v>168</v>
      </c>
      <c r="C265" s="15" t="s">
        <v>27</v>
      </c>
      <c r="D265" s="16">
        <v>46289</v>
      </c>
      <c r="E265" s="17">
        <v>1240</v>
      </c>
      <c r="F265" s="14">
        <f>ROUNDDOWN(Leche[[#This Row],[N° LATAS]]/48,0)</f>
        <v>25</v>
      </c>
      <c r="G265" s="14">
        <f>Leche[[#This Row],[N° LATAS]]-Leche[[#This Row],[TOTAL CAJAS]]*48</f>
        <v>40</v>
      </c>
      <c r="H265" s="28"/>
      <c r="I265" s="29"/>
    </row>
    <row r="266" spans="1:9" hidden="1" x14ac:dyDescent="0.25">
      <c r="A266" s="14" t="s">
        <v>58</v>
      </c>
      <c r="B266" s="14" t="s">
        <v>168</v>
      </c>
      <c r="C266" s="15" t="s">
        <v>28</v>
      </c>
      <c r="D266" s="16">
        <v>46289</v>
      </c>
      <c r="E266" s="17">
        <v>1240</v>
      </c>
      <c r="F266" s="14">
        <f>ROUNDDOWN(Leche[[#This Row],[N° LATAS]]/48,0)</f>
        <v>25</v>
      </c>
      <c r="G266" s="14">
        <f>Leche[[#This Row],[N° LATAS]]-Leche[[#This Row],[TOTAL CAJAS]]*48</f>
        <v>40</v>
      </c>
      <c r="H266" s="28"/>
      <c r="I266" s="29"/>
    </row>
    <row r="267" spans="1:9" hidden="1" x14ac:dyDescent="0.25">
      <c r="A267" s="14" t="s">
        <v>14</v>
      </c>
      <c r="B267" s="14" t="s">
        <v>421</v>
      </c>
      <c r="C267" s="15" t="s">
        <v>30</v>
      </c>
      <c r="D267" s="16">
        <v>46203</v>
      </c>
      <c r="E267" s="17">
        <v>4038</v>
      </c>
      <c r="F267" s="14">
        <f>ROUNDDOWN(Leche[[#This Row],[N° LATAS]]/48,0)</f>
        <v>84</v>
      </c>
      <c r="G267" s="14">
        <f>Leche[[#This Row],[N° LATAS]]-Leche[[#This Row],[TOTAL CAJAS]]*48</f>
        <v>6</v>
      </c>
      <c r="H267" s="28">
        <v>46202</v>
      </c>
      <c r="I267" s="29" t="s">
        <v>408</v>
      </c>
    </row>
    <row r="268" spans="1:9" hidden="1" x14ac:dyDescent="0.25">
      <c r="A268" s="14" t="s">
        <v>14</v>
      </c>
      <c r="B268" s="14" t="s">
        <v>183</v>
      </c>
      <c r="C268" s="15" t="s">
        <v>30</v>
      </c>
      <c r="D268" s="16">
        <v>46112</v>
      </c>
      <c r="E268" s="17">
        <v>4866</v>
      </c>
      <c r="F268" s="14">
        <f>ROUNDDOWN(Leche[[#This Row],[N° LATAS]]/48,0)</f>
        <v>101</v>
      </c>
      <c r="G268" s="14">
        <f>Leche[[#This Row],[N° LATAS]]-Leche[[#This Row],[TOTAL CAJAS]]*48</f>
        <v>18</v>
      </c>
      <c r="H268" s="28">
        <v>46117</v>
      </c>
      <c r="I268" s="29" t="s">
        <v>408</v>
      </c>
    </row>
    <row r="269" spans="1:9" hidden="1" x14ac:dyDescent="0.25">
      <c r="A269" s="14" t="s">
        <v>14</v>
      </c>
      <c r="B269" s="14" t="s">
        <v>183</v>
      </c>
      <c r="C269" s="15" t="s">
        <v>38</v>
      </c>
      <c r="D269" s="16">
        <v>46203</v>
      </c>
      <c r="E269" s="17">
        <v>2433</v>
      </c>
      <c r="F269" s="14">
        <f>ROUNDDOWN(Leche[[#This Row],[N° LATAS]]/48,0)</f>
        <v>50</v>
      </c>
      <c r="G269" s="14">
        <f>Leche[[#This Row],[N° LATAS]]-Leche[[#This Row],[TOTAL CAJAS]]*48</f>
        <v>33</v>
      </c>
      <c r="H269" s="28">
        <v>46209</v>
      </c>
      <c r="I269" s="29" t="s">
        <v>408</v>
      </c>
    </row>
    <row r="270" spans="1:9" ht="22.5" hidden="1" x14ac:dyDescent="0.25">
      <c r="A270" s="14" t="s">
        <v>14</v>
      </c>
      <c r="B270" s="14" t="s">
        <v>183</v>
      </c>
      <c r="C270" s="15" t="s">
        <v>39</v>
      </c>
      <c r="D270" s="16">
        <v>46295</v>
      </c>
      <c r="E270" s="17">
        <v>2433</v>
      </c>
      <c r="F270" s="14">
        <f>ROUNDDOWN(Leche[[#This Row],[N° LATAS]]/48,0)</f>
        <v>50</v>
      </c>
      <c r="G270" s="14">
        <f>Leche[[#This Row],[N° LATAS]]-Leche[[#This Row],[TOTAL CAJAS]]*48</f>
        <v>33</v>
      </c>
      <c r="H270" s="28"/>
      <c r="I270" s="29"/>
    </row>
    <row r="271" spans="1:9" hidden="1" x14ac:dyDescent="0.25">
      <c r="A271" s="14" t="s">
        <v>14</v>
      </c>
      <c r="B271" s="14" t="s">
        <v>422</v>
      </c>
      <c r="C271" s="15" t="s">
        <v>19</v>
      </c>
      <c r="D271" s="16">
        <v>46127</v>
      </c>
      <c r="E271" s="17">
        <v>17585</v>
      </c>
      <c r="F271" s="14">
        <f>ROUNDDOWN(Leche[[#This Row],[N° LATAS]]/48,0)</f>
        <v>366</v>
      </c>
      <c r="G271" s="14">
        <f>Leche[[#This Row],[N° LATAS]]-Leche[[#This Row],[TOTAL CAJAS]]*48</f>
        <v>17</v>
      </c>
      <c r="H271" s="28">
        <v>46117</v>
      </c>
      <c r="I271" s="29" t="s">
        <v>408</v>
      </c>
    </row>
    <row r="272" spans="1:9" hidden="1" x14ac:dyDescent="0.25">
      <c r="A272" s="14" t="s">
        <v>14</v>
      </c>
      <c r="B272" s="14" t="s">
        <v>422</v>
      </c>
      <c r="C272" s="15" t="s">
        <v>20</v>
      </c>
      <c r="D272" s="16">
        <v>46127</v>
      </c>
      <c r="E272" s="17">
        <v>17018</v>
      </c>
      <c r="F272" s="14">
        <f>ROUNDDOWN(Leche[[#This Row],[N° LATAS]]/48,0)</f>
        <v>354</v>
      </c>
      <c r="G272" s="14">
        <f>Leche[[#This Row],[N° LATAS]]-Leche[[#This Row],[TOTAL CAJAS]]*48</f>
        <v>26</v>
      </c>
      <c r="H272" s="28">
        <v>46117</v>
      </c>
      <c r="I272" s="29" t="s">
        <v>408</v>
      </c>
    </row>
    <row r="273" spans="1:9" hidden="1" x14ac:dyDescent="0.25">
      <c r="A273" s="14" t="s">
        <v>14</v>
      </c>
      <c r="B273" s="14" t="s">
        <v>422</v>
      </c>
      <c r="C273" s="15" t="s">
        <v>21</v>
      </c>
      <c r="D273" s="16">
        <v>46127</v>
      </c>
      <c r="E273" s="17">
        <v>17585</v>
      </c>
      <c r="F273" s="14">
        <f>ROUNDDOWN(Leche[[#This Row],[N° LATAS]]/48,0)</f>
        <v>366</v>
      </c>
      <c r="G273" s="14">
        <f>Leche[[#This Row],[N° LATAS]]-Leche[[#This Row],[TOTAL CAJAS]]*48</f>
        <v>17</v>
      </c>
      <c r="H273" s="28">
        <v>46138</v>
      </c>
      <c r="I273" s="29" t="s">
        <v>408</v>
      </c>
    </row>
    <row r="274" spans="1:9" hidden="1" x14ac:dyDescent="0.25">
      <c r="A274" s="14" t="s">
        <v>14</v>
      </c>
      <c r="B274" s="14" t="s">
        <v>422</v>
      </c>
      <c r="C274" s="15" t="s">
        <v>22</v>
      </c>
      <c r="D274" s="16">
        <v>46160</v>
      </c>
      <c r="E274" s="17">
        <v>17018</v>
      </c>
      <c r="F274" s="14">
        <f>ROUNDDOWN(Leche[[#This Row],[N° LATAS]]/48,0)</f>
        <v>354</v>
      </c>
      <c r="G274" s="14">
        <f>Leche[[#This Row],[N° LATAS]]-Leche[[#This Row],[TOTAL CAJAS]]*48</f>
        <v>26</v>
      </c>
      <c r="H274" s="28">
        <v>46160</v>
      </c>
      <c r="I274" s="29" t="s">
        <v>408</v>
      </c>
    </row>
    <row r="275" spans="1:9" hidden="1" x14ac:dyDescent="0.25">
      <c r="A275" s="14" t="s">
        <v>14</v>
      </c>
      <c r="B275" s="14" t="s">
        <v>422</v>
      </c>
      <c r="C275" s="15" t="s">
        <v>23</v>
      </c>
      <c r="D275" s="16">
        <v>46190</v>
      </c>
      <c r="E275" s="17">
        <v>17585</v>
      </c>
      <c r="F275" s="14">
        <f>ROUNDDOWN(Leche[[#This Row],[N° LATAS]]/48,0)</f>
        <v>366</v>
      </c>
      <c r="G275" s="14">
        <f>Leche[[#This Row],[N° LATAS]]-Leche[[#This Row],[TOTAL CAJAS]]*48</f>
        <v>17</v>
      </c>
      <c r="H275" s="28">
        <v>46188</v>
      </c>
      <c r="I275" s="29" t="s">
        <v>408</v>
      </c>
    </row>
    <row r="276" spans="1:9" hidden="1" x14ac:dyDescent="0.25">
      <c r="A276" s="14" t="s">
        <v>14</v>
      </c>
      <c r="B276" s="14" t="s">
        <v>422</v>
      </c>
      <c r="C276" s="15" t="s">
        <v>24</v>
      </c>
      <c r="D276" s="16">
        <v>46218</v>
      </c>
      <c r="E276" s="17">
        <v>17585</v>
      </c>
      <c r="F276" s="14">
        <f>ROUNDDOWN(Leche[[#This Row],[N° LATAS]]/48,0)</f>
        <v>366</v>
      </c>
      <c r="G276" s="14">
        <f>Leche[[#This Row],[N° LATAS]]-Leche[[#This Row],[TOTAL CAJAS]]*48</f>
        <v>17</v>
      </c>
      <c r="H276" s="28">
        <v>46218</v>
      </c>
      <c r="I276" s="29" t="s">
        <v>408</v>
      </c>
    </row>
    <row r="277" spans="1:9" hidden="1" x14ac:dyDescent="0.25">
      <c r="A277" s="14" t="s">
        <v>14</v>
      </c>
      <c r="B277" s="14" t="s">
        <v>422</v>
      </c>
      <c r="C277" s="15" t="s">
        <v>25</v>
      </c>
      <c r="D277" s="16">
        <v>46253</v>
      </c>
      <c r="E277" s="17">
        <v>17018</v>
      </c>
      <c r="F277" s="14">
        <f>ROUNDDOWN(Leche[[#This Row],[N° LATAS]]/48,0)</f>
        <v>354</v>
      </c>
      <c r="G277" s="14">
        <f>Leche[[#This Row],[N° LATAS]]-Leche[[#This Row],[TOTAL CAJAS]]*48</f>
        <v>26</v>
      </c>
      <c r="H277" s="28">
        <v>46253</v>
      </c>
      <c r="I277" s="29" t="s">
        <v>408</v>
      </c>
    </row>
    <row r="278" spans="1:9" hidden="1" x14ac:dyDescent="0.25">
      <c r="A278" s="14" t="s">
        <v>14</v>
      </c>
      <c r="B278" s="14" t="s">
        <v>422</v>
      </c>
      <c r="C278" s="15" t="s">
        <v>26</v>
      </c>
      <c r="D278" s="16">
        <v>46281</v>
      </c>
      <c r="E278" s="17">
        <v>17585</v>
      </c>
      <c r="F278" s="14">
        <f>ROUNDDOWN(Leche[[#This Row],[N° LATAS]]/48,0)</f>
        <v>366</v>
      </c>
      <c r="G278" s="14">
        <f>Leche[[#This Row],[N° LATAS]]-Leche[[#This Row],[TOTAL CAJAS]]*48</f>
        <v>17</v>
      </c>
      <c r="H278" s="28">
        <v>46280</v>
      </c>
      <c r="I278" s="29" t="s">
        <v>408</v>
      </c>
    </row>
    <row r="279" spans="1:9" hidden="1" x14ac:dyDescent="0.25">
      <c r="A279" s="14" t="s">
        <v>14</v>
      </c>
      <c r="B279" s="14" t="s">
        <v>422</v>
      </c>
      <c r="C279" s="15" t="s">
        <v>27</v>
      </c>
      <c r="D279" s="16">
        <v>46309</v>
      </c>
      <c r="E279" s="17">
        <v>17018</v>
      </c>
      <c r="F279" s="14">
        <f>ROUNDDOWN(Leche[[#This Row],[N° LATAS]]/48,0)</f>
        <v>354</v>
      </c>
      <c r="G279" s="14">
        <f>Leche[[#This Row],[N° LATAS]]-Leche[[#This Row],[TOTAL CAJAS]]*48</f>
        <v>26</v>
      </c>
      <c r="H279" s="28"/>
      <c r="I279" s="29"/>
    </row>
    <row r="280" spans="1:9" hidden="1" x14ac:dyDescent="0.25">
      <c r="A280" s="14" t="s">
        <v>14</v>
      </c>
      <c r="B280" s="14" t="s">
        <v>422</v>
      </c>
      <c r="C280" s="15" t="s">
        <v>28</v>
      </c>
      <c r="D280" s="16">
        <v>46344</v>
      </c>
      <c r="E280" s="17">
        <v>17585</v>
      </c>
      <c r="F280" s="14">
        <f>ROUNDDOWN(Leche[[#This Row],[N° LATAS]]/48,0)</f>
        <v>366</v>
      </c>
      <c r="G280" s="14">
        <f>Leche[[#This Row],[N° LATAS]]-Leche[[#This Row],[TOTAL CAJAS]]*48</f>
        <v>17</v>
      </c>
      <c r="H280" s="28"/>
      <c r="I280" s="29"/>
    </row>
    <row r="281" spans="1:9" hidden="1" x14ac:dyDescent="0.25">
      <c r="A281" s="14" t="s">
        <v>14</v>
      </c>
      <c r="B281" s="14" t="s">
        <v>188</v>
      </c>
      <c r="C281" s="15" t="s">
        <v>16</v>
      </c>
      <c r="D281" s="16">
        <v>46048</v>
      </c>
      <c r="E281" s="17">
        <v>1140</v>
      </c>
      <c r="F281" s="14">
        <f>ROUNDDOWN(Leche[[#This Row],[N° LATAS]]/48,0)</f>
        <v>23</v>
      </c>
      <c r="G281" s="14">
        <f>Leche[[#This Row],[N° LATAS]]-Leche[[#This Row],[TOTAL CAJAS]]*48</f>
        <v>36</v>
      </c>
      <c r="H281" s="28">
        <v>46041</v>
      </c>
      <c r="I281" s="29" t="s">
        <v>408</v>
      </c>
    </row>
    <row r="282" spans="1:9" hidden="1" x14ac:dyDescent="0.25">
      <c r="A282" s="14" t="s">
        <v>14</v>
      </c>
      <c r="B282" s="14" t="s">
        <v>188</v>
      </c>
      <c r="C282" s="15" t="s">
        <v>18</v>
      </c>
      <c r="D282" s="16">
        <v>46048</v>
      </c>
      <c r="E282" s="17">
        <v>1140</v>
      </c>
      <c r="F282" s="14">
        <f>ROUNDDOWN(Leche[[#This Row],[N° LATAS]]/48,0)</f>
        <v>23</v>
      </c>
      <c r="G282" s="14">
        <f>Leche[[#This Row],[N° LATAS]]-Leche[[#This Row],[TOTAL CAJAS]]*48</f>
        <v>36</v>
      </c>
      <c r="H282" s="28">
        <v>46041</v>
      </c>
      <c r="I282" s="29" t="s">
        <v>408</v>
      </c>
    </row>
    <row r="283" spans="1:9" hidden="1" x14ac:dyDescent="0.25">
      <c r="A283" s="14" t="s">
        <v>14</v>
      </c>
      <c r="B283" s="14" t="s">
        <v>188</v>
      </c>
      <c r="C283" s="15" t="s">
        <v>20</v>
      </c>
      <c r="D283" s="16">
        <v>46076</v>
      </c>
      <c r="E283" s="17">
        <v>1140</v>
      </c>
      <c r="F283" s="14">
        <f>ROUNDDOWN(Leche[[#This Row],[N° LATAS]]/48,0)</f>
        <v>23</v>
      </c>
      <c r="G283" s="14">
        <f>Leche[[#This Row],[N° LATAS]]-Leche[[#This Row],[TOTAL CAJAS]]*48</f>
        <v>36</v>
      </c>
      <c r="H283" s="16">
        <v>46075</v>
      </c>
      <c r="I283" s="29" t="s">
        <v>408</v>
      </c>
    </row>
    <row r="284" spans="1:9" hidden="1" x14ac:dyDescent="0.25">
      <c r="A284" s="14" t="s">
        <v>14</v>
      </c>
      <c r="B284" s="14" t="s">
        <v>188</v>
      </c>
      <c r="C284" s="15" t="s">
        <v>19</v>
      </c>
      <c r="D284" s="16">
        <v>46076</v>
      </c>
      <c r="E284" s="17">
        <v>1140</v>
      </c>
      <c r="F284" s="14">
        <f>ROUNDDOWN(Leche[[#This Row],[N° LATAS]]/48,0)</f>
        <v>23</v>
      </c>
      <c r="G284" s="14">
        <f>Leche[[#This Row],[N° LATAS]]-Leche[[#This Row],[TOTAL CAJAS]]*48</f>
        <v>36</v>
      </c>
      <c r="H284" s="16">
        <v>46075</v>
      </c>
      <c r="I284" s="29" t="s">
        <v>408</v>
      </c>
    </row>
    <row r="285" spans="1:9" hidden="1" x14ac:dyDescent="0.25">
      <c r="A285" s="14" t="s">
        <v>14</v>
      </c>
      <c r="B285" s="14" t="s">
        <v>188</v>
      </c>
      <c r="C285" s="15" t="s">
        <v>22</v>
      </c>
      <c r="D285" s="16">
        <v>46139</v>
      </c>
      <c r="E285" s="17">
        <v>1140</v>
      </c>
      <c r="F285" s="14">
        <f>ROUNDDOWN(Leche[[#This Row],[N° LATAS]]/48,0)</f>
        <v>23</v>
      </c>
      <c r="G285" s="14">
        <f>Leche[[#This Row],[N° LATAS]]-Leche[[#This Row],[TOTAL CAJAS]]*48</f>
        <v>36</v>
      </c>
      <c r="H285" s="28">
        <v>46140</v>
      </c>
      <c r="I285" s="29" t="s">
        <v>408</v>
      </c>
    </row>
    <row r="286" spans="1:9" hidden="1" x14ac:dyDescent="0.25">
      <c r="A286" s="14" t="s">
        <v>14</v>
      </c>
      <c r="B286" s="14" t="s">
        <v>188</v>
      </c>
      <c r="C286" s="15" t="s">
        <v>21</v>
      </c>
      <c r="D286" s="16">
        <v>46139</v>
      </c>
      <c r="E286" s="17">
        <v>1140</v>
      </c>
      <c r="F286" s="14">
        <f>ROUNDDOWN(Leche[[#This Row],[N° LATAS]]/48,0)</f>
        <v>23</v>
      </c>
      <c r="G286" s="14">
        <f>Leche[[#This Row],[N° LATAS]]-Leche[[#This Row],[TOTAL CAJAS]]*48</f>
        <v>36</v>
      </c>
      <c r="H286" s="28">
        <v>46140</v>
      </c>
      <c r="I286" s="29" t="s">
        <v>408</v>
      </c>
    </row>
    <row r="287" spans="1:9" hidden="1" x14ac:dyDescent="0.25">
      <c r="A287" s="14" t="s">
        <v>14</v>
      </c>
      <c r="B287" s="14" t="s">
        <v>188</v>
      </c>
      <c r="C287" s="15" t="s">
        <v>24</v>
      </c>
      <c r="D287" s="16">
        <v>46195</v>
      </c>
      <c r="E287" s="17">
        <v>1140</v>
      </c>
      <c r="F287" s="14">
        <f>ROUNDDOWN(Leche[[#This Row],[N° LATAS]]/48,0)</f>
        <v>23</v>
      </c>
      <c r="G287" s="14">
        <f>Leche[[#This Row],[N° LATAS]]-Leche[[#This Row],[TOTAL CAJAS]]*48</f>
        <v>36</v>
      </c>
      <c r="H287" s="28">
        <v>46191</v>
      </c>
      <c r="I287" s="29" t="s">
        <v>408</v>
      </c>
    </row>
    <row r="288" spans="1:9" hidden="1" x14ac:dyDescent="0.25">
      <c r="A288" s="14" t="s">
        <v>14</v>
      </c>
      <c r="B288" s="14" t="s">
        <v>188</v>
      </c>
      <c r="C288" s="15" t="s">
        <v>23</v>
      </c>
      <c r="D288" s="16">
        <v>46195</v>
      </c>
      <c r="E288" s="17">
        <v>1140</v>
      </c>
      <c r="F288" s="14">
        <f>ROUNDDOWN(Leche[[#This Row],[N° LATAS]]/48,0)</f>
        <v>23</v>
      </c>
      <c r="G288" s="14">
        <f>Leche[[#This Row],[N° LATAS]]-Leche[[#This Row],[TOTAL CAJAS]]*48</f>
        <v>36</v>
      </c>
      <c r="H288" s="28">
        <v>46191</v>
      </c>
      <c r="I288" s="29" t="s">
        <v>408</v>
      </c>
    </row>
    <row r="289" spans="1:9" hidden="1" x14ac:dyDescent="0.25">
      <c r="A289" s="14" t="s">
        <v>14</v>
      </c>
      <c r="B289" s="14" t="s">
        <v>188</v>
      </c>
      <c r="C289" s="15" t="s">
        <v>30</v>
      </c>
      <c r="D289" s="16">
        <v>46258</v>
      </c>
      <c r="E289" s="17">
        <v>1140</v>
      </c>
      <c r="F289" s="14">
        <f>ROUNDDOWN(Leche[[#This Row],[N° LATAS]]/48,0)</f>
        <v>23</v>
      </c>
      <c r="G289" s="14">
        <f>Leche[[#This Row],[N° LATAS]]-Leche[[#This Row],[TOTAL CAJAS]]*48</f>
        <v>36</v>
      </c>
      <c r="H289" s="28">
        <v>46271</v>
      </c>
      <c r="I289" s="29" t="s">
        <v>408</v>
      </c>
    </row>
    <row r="290" spans="1:9" hidden="1" x14ac:dyDescent="0.25">
      <c r="A290" s="14" t="s">
        <v>14</v>
      </c>
      <c r="B290" s="14" t="s">
        <v>188</v>
      </c>
      <c r="C290" s="15" t="s">
        <v>26</v>
      </c>
      <c r="D290" s="16">
        <v>46258</v>
      </c>
      <c r="E290" s="17">
        <v>1140</v>
      </c>
      <c r="F290" s="14">
        <f>ROUNDDOWN(Leche[[#This Row],[N° LATAS]]/48,0)</f>
        <v>23</v>
      </c>
      <c r="G290" s="14">
        <f>Leche[[#This Row],[N° LATAS]]-Leche[[#This Row],[TOTAL CAJAS]]*48</f>
        <v>36</v>
      </c>
      <c r="H290" s="28">
        <v>46271</v>
      </c>
      <c r="I290" s="29" t="s">
        <v>408</v>
      </c>
    </row>
    <row r="291" spans="1:9" hidden="1" x14ac:dyDescent="0.25">
      <c r="A291" s="14" t="s">
        <v>14</v>
      </c>
      <c r="B291" s="14" t="s">
        <v>188</v>
      </c>
      <c r="C291" s="15" t="s">
        <v>25</v>
      </c>
      <c r="D291" s="16">
        <v>46258</v>
      </c>
      <c r="E291" s="17">
        <v>1140</v>
      </c>
      <c r="F291" s="14">
        <f>ROUNDDOWN(Leche[[#This Row],[N° LATAS]]/48,0)</f>
        <v>23</v>
      </c>
      <c r="G291" s="14">
        <f>Leche[[#This Row],[N° LATAS]]-Leche[[#This Row],[TOTAL CAJAS]]*48</f>
        <v>36</v>
      </c>
      <c r="H291" s="28">
        <v>46271</v>
      </c>
      <c r="I291" s="29" t="s">
        <v>408</v>
      </c>
    </row>
    <row r="292" spans="1:9" hidden="1" x14ac:dyDescent="0.25">
      <c r="A292" s="14" t="s">
        <v>14</v>
      </c>
      <c r="B292" s="14" t="s">
        <v>188</v>
      </c>
      <c r="C292" s="15" t="s">
        <v>28</v>
      </c>
      <c r="D292" s="16">
        <v>46321</v>
      </c>
      <c r="E292" s="17">
        <v>1140</v>
      </c>
      <c r="F292" s="14">
        <f>ROUNDDOWN(Leche[[#This Row],[N° LATAS]]/48,0)</f>
        <v>23</v>
      </c>
      <c r="G292" s="14">
        <f>Leche[[#This Row],[N° LATAS]]-Leche[[#This Row],[TOTAL CAJAS]]*48</f>
        <v>36</v>
      </c>
      <c r="H292" s="28"/>
      <c r="I292" s="29"/>
    </row>
    <row r="293" spans="1:9" hidden="1" x14ac:dyDescent="0.25">
      <c r="A293" s="14" t="s">
        <v>14</v>
      </c>
      <c r="B293" s="14" t="s">
        <v>188</v>
      </c>
      <c r="C293" s="15" t="s">
        <v>27</v>
      </c>
      <c r="D293" s="16">
        <v>46321</v>
      </c>
      <c r="E293" s="17">
        <v>1140</v>
      </c>
      <c r="F293" s="14">
        <f>ROUNDDOWN(Leche[[#This Row],[N° LATAS]]/48,0)</f>
        <v>23</v>
      </c>
      <c r="G293" s="14">
        <f>Leche[[#This Row],[N° LATAS]]-Leche[[#This Row],[TOTAL CAJAS]]*48</f>
        <v>36</v>
      </c>
      <c r="H293" s="28"/>
      <c r="I293" s="29"/>
    </row>
    <row r="294" spans="1:9" hidden="1" x14ac:dyDescent="0.25">
      <c r="A294" s="14" t="s">
        <v>58</v>
      </c>
      <c r="B294" s="14" t="s">
        <v>192</v>
      </c>
      <c r="C294" s="15" t="s">
        <v>16</v>
      </c>
      <c r="D294" s="16">
        <v>46010</v>
      </c>
      <c r="E294" s="17">
        <v>2230</v>
      </c>
      <c r="F294" s="14">
        <f>ROUNDDOWN(Leche[[#This Row],[N° LATAS]]/48,0)</f>
        <v>46</v>
      </c>
      <c r="G294" s="14">
        <f>Leche[[#This Row],[N° LATAS]]-Leche[[#This Row],[TOTAL CAJAS]]*48</f>
        <v>22</v>
      </c>
      <c r="H294" s="28">
        <v>46007</v>
      </c>
      <c r="I294" s="29" t="s">
        <v>408</v>
      </c>
    </row>
    <row r="295" spans="1:9" hidden="1" x14ac:dyDescent="0.25">
      <c r="A295" s="14" t="s">
        <v>58</v>
      </c>
      <c r="B295" s="14" t="s">
        <v>192</v>
      </c>
      <c r="C295" s="15" t="s">
        <v>18</v>
      </c>
      <c r="D295" s="16">
        <v>46042</v>
      </c>
      <c r="E295" s="17">
        <v>2014</v>
      </c>
      <c r="F295" s="14">
        <f>ROUNDDOWN(Leche[[#This Row],[N° LATAS]]/48,0)</f>
        <v>41</v>
      </c>
      <c r="G295" s="14">
        <f>Leche[[#This Row],[N° LATAS]]-Leche[[#This Row],[TOTAL CAJAS]]*48</f>
        <v>46</v>
      </c>
      <c r="H295" s="28">
        <v>46032</v>
      </c>
      <c r="I295" s="29" t="s">
        <v>408</v>
      </c>
    </row>
    <row r="296" spans="1:9" hidden="1" x14ac:dyDescent="0.25">
      <c r="A296" s="14" t="s">
        <v>58</v>
      </c>
      <c r="B296" s="14" t="s">
        <v>192</v>
      </c>
      <c r="C296" s="15" t="s">
        <v>19</v>
      </c>
      <c r="D296" s="16">
        <v>46072</v>
      </c>
      <c r="E296" s="17">
        <v>2230</v>
      </c>
      <c r="F296" s="14">
        <f>ROUNDDOWN(Leche[[#This Row],[N° LATAS]]/48,0)</f>
        <v>46</v>
      </c>
      <c r="G296" s="14">
        <f>Leche[[#This Row],[N° LATAS]]-Leche[[#This Row],[TOTAL CAJAS]]*48</f>
        <v>22</v>
      </c>
      <c r="H296" s="28">
        <v>46063</v>
      </c>
      <c r="I296" s="29" t="s">
        <v>408</v>
      </c>
    </row>
    <row r="297" spans="1:9" hidden="1" x14ac:dyDescent="0.25">
      <c r="A297" s="14" t="s">
        <v>58</v>
      </c>
      <c r="B297" s="14" t="s">
        <v>192</v>
      </c>
      <c r="C297" s="15" t="s">
        <v>20</v>
      </c>
      <c r="D297" s="16">
        <v>46101</v>
      </c>
      <c r="E297" s="17">
        <v>2158</v>
      </c>
      <c r="F297" s="14">
        <f>ROUNDDOWN(Leche[[#This Row],[N° LATAS]]/48,0)</f>
        <v>44</v>
      </c>
      <c r="G297" s="14">
        <f>Leche[[#This Row],[N° LATAS]]-Leche[[#This Row],[TOTAL CAJAS]]*48</f>
        <v>46</v>
      </c>
      <c r="H297" s="28">
        <v>46087</v>
      </c>
      <c r="I297" s="29" t="s">
        <v>408</v>
      </c>
    </row>
    <row r="298" spans="1:9" hidden="1" x14ac:dyDescent="0.25">
      <c r="A298" s="14" t="s">
        <v>58</v>
      </c>
      <c r="B298" s="14" t="s">
        <v>192</v>
      </c>
      <c r="C298" s="15" t="s">
        <v>21</v>
      </c>
      <c r="D298" s="16">
        <v>46132</v>
      </c>
      <c r="E298" s="17">
        <v>2230</v>
      </c>
      <c r="F298" s="14">
        <f>ROUNDDOWN(Leche[[#This Row],[N° LATAS]]/48,0)</f>
        <v>46</v>
      </c>
      <c r="G298" s="14">
        <f>Leche[[#This Row],[N° LATAS]]-Leche[[#This Row],[TOTAL CAJAS]]*48</f>
        <v>22</v>
      </c>
      <c r="H298" s="28">
        <v>46121</v>
      </c>
      <c r="I298" s="29" t="s">
        <v>408</v>
      </c>
    </row>
    <row r="299" spans="1:9" hidden="1" x14ac:dyDescent="0.25">
      <c r="A299" s="14" t="s">
        <v>58</v>
      </c>
      <c r="B299" s="14" t="s">
        <v>192</v>
      </c>
      <c r="C299" s="15" t="s">
        <v>22</v>
      </c>
      <c r="D299" s="16">
        <v>46164</v>
      </c>
      <c r="E299" s="17">
        <v>2158</v>
      </c>
      <c r="F299" s="14">
        <f>ROUNDDOWN(Leche[[#This Row],[N° LATAS]]/48,0)</f>
        <v>44</v>
      </c>
      <c r="G299" s="14">
        <f>Leche[[#This Row],[N° LATAS]]-Leche[[#This Row],[TOTAL CAJAS]]*48</f>
        <v>46</v>
      </c>
      <c r="H299" s="28">
        <v>46162</v>
      </c>
      <c r="I299" s="29" t="s">
        <v>408</v>
      </c>
    </row>
    <row r="300" spans="1:9" hidden="1" x14ac:dyDescent="0.25">
      <c r="A300" s="14" t="s">
        <v>58</v>
      </c>
      <c r="B300" s="14" t="s">
        <v>192</v>
      </c>
      <c r="C300" s="15" t="s">
        <v>23</v>
      </c>
      <c r="D300" s="16">
        <v>46192</v>
      </c>
      <c r="E300" s="17">
        <v>2230</v>
      </c>
      <c r="F300" s="14">
        <f>ROUNDDOWN(Leche[[#This Row],[N° LATAS]]/48,0)</f>
        <v>46</v>
      </c>
      <c r="G300" s="14">
        <f>Leche[[#This Row],[N° LATAS]]-Leche[[#This Row],[TOTAL CAJAS]]*48</f>
        <v>22</v>
      </c>
      <c r="H300" s="28">
        <v>46178</v>
      </c>
      <c r="I300" s="29" t="s">
        <v>408</v>
      </c>
    </row>
    <row r="301" spans="1:9" hidden="1" x14ac:dyDescent="0.25">
      <c r="A301" s="14" t="s">
        <v>58</v>
      </c>
      <c r="B301" s="14" t="s">
        <v>192</v>
      </c>
      <c r="C301" s="15" t="s">
        <v>24</v>
      </c>
      <c r="D301" s="16">
        <v>46224</v>
      </c>
      <c r="E301" s="17">
        <v>2230</v>
      </c>
      <c r="F301" s="14">
        <f>ROUNDDOWN(Leche[[#This Row],[N° LATAS]]/48,0)</f>
        <v>46</v>
      </c>
      <c r="G301" s="14">
        <f>Leche[[#This Row],[N° LATAS]]-Leche[[#This Row],[TOTAL CAJAS]]*48</f>
        <v>22</v>
      </c>
      <c r="H301" s="28">
        <v>46214</v>
      </c>
      <c r="I301" s="29" t="s">
        <v>408</v>
      </c>
    </row>
    <row r="302" spans="1:9" hidden="1" x14ac:dyDescent="0.25">
      <c r="A302" s="14" t="s">
        <v>58</v>
      </c>
      <c r="B302" s="14" t="s">
        <v>192</v>
      </c>
      <c r="C302" s="15" t="s">
        <v>25</v>
      </c>
      <c r="D302" s="16">
        <v>46253</v>
      </c>
      <c r="E302" s="17">
        <v>2158</v>
      </c>
      <c r="F302" s="14">
        <f>ROUNDDOWN(Leche[[#This Row],[N° LATAS]]/48,0)</f>
        <v>44</v>
      </c>
      <c r="G302" s="14">
        <f>Leche[[#This Row],[N° LATAS]]-Leche[[#This Row],[TOTAL CAJAS]]*48</f>
        <v>46</v>
      </c>
      <c r="H302" s="28">
        <v>46234</v>
      </c>
      <c r="I302" s="29" t="s">
        <v>408</v>
      </c>
    </row>
    <row r="303" spans="1:9" hidden="1" x14ac:dyDescent="0.25">
      <c r="A303" s="14" t="s">
        <v>58</v>
      </c>
      <c r="B303" s="14" t="s">
        <v>192</v>
      </c>
      <c r="C303" s="15" t="s">
        <v>26</v>
      </c>
      <c r="D303" s="16">
        <v>46284</v>
      </c>
      <c r="E303" s="17">
        <v>2230</v>
      </c>
      <c r="F303" s="14">
        <f>ROUNDDOWN(Leche[[#This Row],[N° LATAS]]/48,0)</f>
        <v>46</v>
      </c>
      <c r="G303" s="14">
        <f>Leche[[#This Row],[N° LATAS]]-Leche[[#This Row],[TOTAL CAJAS]]*48</f>
        <v>22</v>
      </c>
      <c r="H303" s="28">
        <v>46273</v>
      </c>
      <c r="I303" s="29" t="s">
        <v>408</v>
      </c>
    </row>
    <row r="304" spans="1:9" hidden="1" x14ac:dyDescent="0.25">
      <c r="A304" s="14" t="s">
        <v>58</v>
      </c>
      <c r="B304" s="14" t="s">
        <v>192</v>
      </c>
      <c r="C304" s="15" t="s">
        <v>27</v>
      </c>
      <c r="D304" s="16">
        <v>46316</v>
      </c>
      <c r="E304" s="17">
        <v>2158</v>
      </c>
      <c r="F304" s="14">
        <f>ROUNDDOWN(Leche[[#This Row],[N° LATAS]]/48,0)</f>
        <v>44</v>
      </c>
      <c r="G304" s="14">
        <f>Leche[[#This Row],[N° LATAS]]-Leche[[#This Row],[TOTAL CAJAS]]*48</f>
        <v>46</v>
      </c>
      <c r="H304" s="28"/>
      <c r="I304" s="29"/>
    </row>
    <row r="305" spans="1:9" hidden="1" x14ac:dyDescent="0.25">
      <c r="A305" s="14" t="s">
        <v>58</v>
      </c>
      <c r="B305" s="14" t="s">
        <v>192</v>
      </c>
      <c r="C305" s="15" t="s">
        <v>28</v>
      </c>
      <c r="D305" s="16">
        <v>46346</v>
      </c>
      <c r="E305" s="17">
        <v>2230</v>
      </c>
      <c r="F305" s="14">
        <f>ROUNDDOWN(Leche[[#This Row],[N° LATAS]]/48,0)</f>
        <v>46</v>
      </c>
      <c r="G305" s="14">
        <f>Leche[[#This Row],[N° LATAS]]-Leche[[#This Row],[TOTAL CAJAS]]*48</f>
        <v>22</v>
      </c>
      <c r="H305" s="28"/>
      <c r="I305" s="29"/>
    </row>
    <row r="306" spans="1:9" hidden="1" x14ac:dyDescent="0.25">
      <c r="A306" s="14" t="s">
        <v>14</v>
      </c>
      <c r="B306" s="14" t="s">
        <v>194</v>
      </c>
      <c r="C306" s="15" t="s">
        <v>16</v>
      </c>
      <c r="D306" s="16">
        <v>46044</v>
      </c>
      <c r="E306" s="17">
        <v>12882</v>
      </c>
      <c r="F306" s="14">
        <f>ROUNDDOWN(Leche[[#This Row],[N° LATAS]]/48,0)</f>
        <v>268</v>
      </c>
      <c r="G306" s="14">
        <f>Leche[[#This Row],[N° LATAS]]-Leche[[#This Row],[TOTAL CAJAS]]*48</f>
        <v>18</v>
      </c>
      <c r="H306" s="28">
        <v>46051</v>
      </c>
      <c r="I306" s="29" t="s">
        <v>408</v>
      </c>
    </row>
    <row r="307" spans="1:9" hidden="1" x14ac:dyDescent="0.25">
      <c r="A307" s="14" t="s">
        <v>14</v>
      </c>
      <c r="B307" s="14" t="s">
        <v>194</v>
      </c>
      <c r="C307" s="15" t="s">
        <v>18</v>
      </c>
      <c r="D307" s="16">
        <v>46048</v>
      </c>
      <c r="E307" s="17">
        <v>11635</v>
      </c>
      <c r="F307" s="14">
        <f>ROUNDDOWN(Leche[[#This Row],[N° LATAS]]/48,0)</f>
        <v>242</v>
      </c>
      <c r="G307" s="14">
        <f>Leche[[#This Row],[N° LATAS]]-Leche[[#This Row],[TOTAL CAJAS]]*48</f>
        <v>19</v>
      </c>
      <c r="H307" s="28">
        <v>46051</v>
      </c>
      <c r="I307" s="29" t="s">
        <v>408</v>
      </c>
    </row>
    <row r="308" spans="1:9" hidden="1" x14ac:dyDescent="0.25">
      <c r="A308" s="14" t="s">
        <v>198</v>
      </c>
      <c r="B308" s="14" t="s">
        <v>199</v>
      </c>
      <c r="C308" s="15" t="s">
        <v>30</v>
      </c>
      <c r="D308" s="16">
        <v>46063</v>
      </c>
      <c r="E308" s="17">
        <v>1980</v>
      </c>
      <c r="F308" s="14">
        <f>ROUNDDOWN(Leche[[#This Row],[N° LATAS]]/48,0)</f>
        <v>41</v>
      </c>
      <c r="G308" s="14">
        <f>Leche[[#This Row],[N° LATAS]]-Leche[[#This Row],[TOTAL CAJAS]]*48</f>
        <v>12</v>
      </c>
      <c r="H308" s="28">
        <v>46058</v>
      </c>
      <c r="I308" s="29" t="s">
        <v>408</v>
      </c>
    </row>
    <row r="309" spans="1:9" hidden="1" x14ac:dyDescent="0.25">
      <c r="A309" s="14" t="s">
        <v>14</v>
      </c>
      <c r="B309" s="14" t="s">
        <v>199</v>
      </c>
      <c r="C309" s="15" t="s">
        <v>37</v>
      </c>
      <c r="D309" s="16">
        <v>46096</v>
      </c>
      <c r="E309" s="17">
        <v>1980</v>
      </c>
      <c r="F309" s="14">
        <f>ROUNDDOWN(Leche[[#This Row],[N° LATAS]]/48,0)</f>
        <v>41</v>
      </c>
      <c r="G309" s="14">
        <f>Leche[[#This Row],[N° LATAS]]-Leche[[#This Row],[TOTAL CAJAS]]*48</f>
        <v>12</v>
      </c>
      <c r="H309" s="28">
        <v>46091</v>
      </c>
      <c r="I309" s="29" t="s">
        <v>408</v>
      </c>
    </row>
    <row r="310" spans="1:9" hidden="1" x14ac:dyDescent="0.25">
      <c r="A310" s="14" t="s">
        <v>14</v>
      </c>
      <c r="B310" s="14" t="s">
        <v>199</v>
      </c>
      <c r="C310" s="15" t="s">
        <v>38</v>
      </c>
      <c r="D310" s="16">
        <v>46188</v>
      </c>
      <c r="E310" s="17">
        <v>1980</v>
      </c>
      <c r="F310" s="14">
        <f>ROUNDDOWN(Leche[[#This Row],[N° LATAS]]/48,0)</f>
        <v>41</v>
      </c>
      <c r="G310" s="14">
        <f>Leche[[#This Row],[N° LATAS]]-Leche[[#This Row],[TOTAL CAJAS]]*48</f>
        <v>12</v>
      </c>
      <c r="H310" s="28">
        <v>46205</v>
      </c>
      <c r="I310" s="29" t="s">
        <v>408</v>
      </c>
    </row>
    <row r="311" spans="1:9" ht="22.5" hidden="1" x14ac:dyDescent="0.25">
      <c r="A311" s="14" t="s">
        <v>14</v>
      </c>
      <c r="B311" s="14" t="s">
        <v>199</v>
      </c>
      <c r="C311" s="15" t="s">
        <v>39</v>
      </c>
      <c r="D311" s="16">
        <v>46280</v>
      </c>
      <c r="E311" s="17">
        <v>1980</v>
      </c>
      <c r="F311" s="14">
        <f>ROUNDDOWN(Leche[[#This Row],[N° LATAS]]/48,0)</f>
        <v>41</v>
      </c>
      <c r="G311" s="14">
        <f>Leche[[#This Row],[N° LATAS]]-Leche[[#This Row],[TOTAL CAJAS]]*48</f>
        <v>12</v>
      </c>
      <c r="H311" s="28">
        <v>46276</v>
      </c>
      <c r="I311" s="29" t="s">
        <v>408</v>
      </c>
    </row>
    <row r="312" spans="1:9" hidden="1" x14ac:dyDescent="0.25">
      <c r="A312" s="14" t="s">
        <v>14</v>
      </c>
      <c r="B312" s="14" t="s">
        <v>201</v>
      </c>
      <c r="C312" s="15" t="s">
        <v>16</v>
      </c>
      <c r="D312" s="16">
        <v>46022</v>
      </c>
      <c r="E312" s="17">
        <v>1130</v>
      </c>
      <c r="F312" s="14">
        <f>ROUNDDOWN(Leche[[#This Row],[N° LATAS]]/48,0)</f>
        <v>23</v>
      </c>
      <c r="G312" s="14">
        <f>Leche[[#This Row],[N° LATAS]]-Leche[[#This Row],[TOTAL CAJAS]]*48</f>
        <v>26</v>
      </c>
      <c r="H312" s="28">
        <v>46009</v>
      </c>
      <c r="I312" s="29" t="s">
        <v>408</v>
      </c>
    </row>
    <row r="313" spans="1:9" hidden="1" x14ac:dyDescent="0.25">
      <c r="A313" s="14" t="s">
        <v>14</v>
      </c>
      <c r="B313" s="14" t="s">
        <v>201</v>
      </c>
      <c r="C313" s="15" t="s">
        <v>18</v>
      </c>
      <c r="D313" s="16">
        <v>46049</v>
      </c>
      <c r="E313" s="17">
        <v>1130</v>
      </c>
      <c r="F313" s="14">
        <f>ROUNDDOWN(Leche[[#This Row],[N° LATAS]]/48,0)</f>
        <v>23</v>
      </c>
      <c r="G313" s="14">
        <f>Leche[[#This Row],[N° LATAS]]-Leche[[#This Row],[TOTAL CAJAS]]*48</f>
        <v>26</v>
      </c>
      <c r="H313" s="28">
        <v>46034</v>
      </c>
      <c r="I313" s="29" t="s">
        <v>408</v>
      </c>
    </row>
    <row r="314" spans="1:9" hidden="1" x14ac:dyDescent="0.25">
      <c r="A314" s="14" t="s">
        <v>14</v>
      </c>
      <c r="B314" s="14" t="s">
        <v>201</v>
      </c>
      <c r="C314" s="15" t="s">
        <v>19</v>
      </c>
      <c r="D314" s="16">
        <v>46077</v>
      </c>
      <c r="E314" s="17">
        <v>1130</v>
      </c>
      <c r="F314" s="14">
        <f>ROUNDDOWN(Leche[[#This Row],[N° LATAS]]/48,0)</f>
        <v>23</v>
      </c>
      <c r="G314" s="14">
        <f>Leche[[#This Row],[N° LATAS]]-Leche[[#This Row],[TOTAL CAJAS]]*48</f>
        <v>26</v>
      </c>
      <c r="H314" s="28">
        <v>46068</v>
      </c>
      <c r="I314" s="29" t="s">
        <v>408</v>
      </c>
    </row>
    <row r="315" spans="1:9" hidden="1" x14ac:dyDescent="0.25">
      <c r="A315" s="14" t="s">
        <v>14</v>
      </c>
      <c r="B315" s="14" t="s">
        <v>201</v>
      </c>
      <c r="C315" s="15" t="s">
        <v>20</v>
      </c>
      <c r="D315" s="16">
        <v>46105</v>
      </c>
      <c r="E315" s="17">
        <v>1130</v>
      </c>
      <c r="F315" s="14">
        <f>ROUNDDOWN(Leche[[#This Row],[N° LATAS]]/48,0)</f>
        <v>23</v>
      </c>
      <c r="G315" s="14">
        <f>Leche[[#This Row],[N° LATAS]]-Leche[[#This Row],[TOTAL CAJAS]]*48</f>
        <v>26</v>
      </c>
      <c r="H315" s="28">
        <v>46096</v>
      </c>
      <c r="I315" s="29" t="s">
        <v>408</v>
      </c>
    </row>
    <row r="316" spans="1:9" hidden="1" x14ac:dyDescent="0.25">
      <c r="A316" s="14" t="s">
        <v>14</v>
      </c>
      <c r="B316" s="14" t="s">
        <v>201</v>
      </c>
      <c r="C316" s="15" t="s">
        <v>21</v>
      </c>
      <c r="D316" s="16">
        <v>46140</v>
      </c>
      <c r="E316" s="17">
        <v>1130</v>
      </c>
      <c r="F316" s="14">
        <f>ROUNDDOWN(Leche[[#This Row],[N° LATAS]]/48,0)</f>
        <v>23</v>
      </c>
      <c r="G316" s="14">
        <f>Leche[[#This Row],[N° LATAS]]-Leche[[#This Row],[TOTAL CAJAS]]*48</f>
        <v>26</v>
      </c>
      <c r="H316" s="28">
        <v>46140</v>
      </c>
      <c r="I316" s="29" t="s">
        <v>408</v>
      </c>
    </row>
    <row r="317" spans="1:9" hidden="1" x14ac:dyDescent="0.25">
      <c r="A317" s="14" t="s">
        <v>14</v>
      </c>
      <c r="B317" s="14" t="s">
        <v>201</v>
      </c>
      <c r="C317" s="15" t="s">
        <v>22</v>
      </c>
      <c r="D317" s="16">
        <v>46168</v>
      </c>
      <c r="E317" s="17">
        <v>1130</v>
      </c>
      <c r="F317" s="14">
        <f>ROUNDDOWN(Leche[[#This Row],[N° LATAS]]/48,0)</f>
        <v>23</v>
      </c>
      <c r="G317" s="14">
        <f>Leche[[#This Row],[N° LATAS]]-Leche[[#This Row],[TOTAL CAJAS]]*48</f>
        <v>26</v>
      </c>
      <c r="H317" s="28">
        <v>46155</v>
      </c>
      <c r="I317" s="29" t="s">
        <v>408</v>
      </c>
    </row>
    <row r="318" spans="1:9" hidden="1" x14ac:dyDescent="0.25">
      <c r="A318" s="14" t="s">
        <v>14</v>
      </c>
      <c r="B318" s="14" t="s">
        <v>201</v>
      </c>
      <c r="C318" s="15" t="s">
        <v>23</v>
      </c>
      <c r="D318" s="16">
        <v>46196</v>
      </c>
      <c r="E318" s="17">
        <v>1130</v>
      </c>
      <c r="F318" s="14">
        <f>ROUNDDOWN(Leche[[#This Row],[N° LATAS]]/48,0)</f>
        <v>23</v>
      </c>
      <c r="G318" s="14">
        <f>Leche[[#This Row],[N° LATAS]]-Leche[[#This Row],[TOTAL CAJAS]]*48</f>
        <v>26</v>
      </c>
      <c r="H318" s="28">
        <v>46179</v>
      </c>
      <c r="I318" s="29" t="s">
        <v>408</v>
      </c>
    </row>
    <row r="319" spans="1:9" hidden="1" x14ac:dyDescent="0.25">
      <c r="A319" s="14" t="s">
        <v>14</v>
      </c>
      <c r="B319" s="14" t="s">
        <v>201</v>
      </c>
      <c r="C319" s="15" t="s">
        <v>30</v>
      </c>
      <c r="D319" s="16">
        <v>46200</v>
      </c>
      <c r="E319" s="17">
        <v>1130</v>
      </c>
      <c r="F319" s="14">
        <f>ROUNDDOWN(Leche[[#This Row],[N° LATAS]]/48,0)</f>
        <v>23</v>
      </c>
      <c r="G319" s="14">
        <f>Leche[[#This Row],[N° LATAS]]-Leche[[#This Row],[TOTAL CAJAS]]*48</f>
        <v>26</v>
      </c>
      <c r="H319" s="28">
        <v>46222</v>
      </c>
      <c r="I319" s="29" t="s">
        <v>408</v>
      </c>
    </row>
    <row r="320" spans="1:9" hidden="1" x14ac:dyDescent="0.25">
      <c r="A320" s="14" t="s">
        <v>14</v>
      </c>
      <c r="B320" s="14" t="s">
        <v>201</v>
      </c>
      <c r="C320" s="15" t="s">
        <v>24</v>
      </c>
      <c r="D320" s="16">
        <v>46224</v>
      </c>
      <c r="E320" s="17">
        <v>1130</v>
      </c>
      <c r="F320" s="14">
        <f>ROUNDDOWN(Leche[[#This Row],[N° LATAS]]/48,0)</f>
        <v>23</v>
      </c>
      <c r="G320" s="14">
        <f>Leche[[#This Row],[N° LATAS]]-Leche[[#This Row],[TOTAL CAJAS]]*48</f>
        <v>26</v>
      </c>
      <c r="H320" s="28">
        <v>46222</v>
      </c>
      <c r="I320" s="29" t="s">
        <v>408</v>
      </c>
    </row>
    <row r="321" spans="1:9" hidden="1" x14ac:dyDescent="0.25">
      <c r="A321" s="14" t="s">
        <v>14</v>
      </c>
      <c r="B321" s="14" t="s">
        <v>201</v>
      </c>
      <c r="C321" s="15" t="s">
        <v>25</v>
      </c>
      <c r="D321" s="16">
        <v>46259</v>
      </c>
      <c r="E321" s="17">
        <v>1130</v>
      </c>
      <c r="F321" s="14">
        <f>ROUNDDOWN(Leche[[#This Row],[N° LATAS]]/48,0)</f>
        <v>23</v>
      </c>
      <c r="G321" s="14">
        <f>Leche[[#This Row],[N° LATAS]]-Leche[[#This Row],[TOTAL CAJAS]]*48</f>
        <v>26</v>
      </c>
      <c r="H321" s="28">
        <v>46251</v>
      </c>
      <c r="I321" s="29" t="s">
        <v>408</v>
      </c>
    </row>
    <row r="322" spans="1:9" hidden="1" x14ac:dyDescent="0.25">
      <c r="A322" s="14" t="s">
        <v>14</v>
      </c>
      <c r="B322" s="14" t="s">
        <v>201</v>
      </c>
      <c r="C322" s="15" t="s">
        <v>26</v>
      </c>
      <c r="D322" s="16">
        <v>46287</v>
      </c>
      <c r="E322" s="17">
        <v>1130</v>
      </c>
      <c r="F322" s="14">
        <f>ROUNDDOWN(Leche[[#This Row],[N° LATAS]]/48,0)</f>
        <v>23</v>
      </c>
      <c r="G322" s="14">
        <f>Leche[[#This Row],[N° LATAS]]-Leche[[#This Row],[TOTAL CAJAS]]*48</f>
        <v>26</v>
      </c>
      <c r="H322" s="28">
        <v>46285</v>
      </c>
      <c r="I322" s="29" t="s">
        <v>408</v>
      </c>
    </row>
    <row r="323" spans="1:9" hidden="1" x14ac:dyDescent="0.25">
      <c r="A323" s="14" t="s">
        <v>14</v>
      </c>
      <c r="B323" s="14" t="s">
        <v>201</v>
      </c>
      <c r="C323" s="15" t="s">
        <v>27</v>
      </c>
      <c r="D323" s="16">
        <v>46322</v>
      </c>
      <c r="E323" s="17">
        <v>1130</v>
      </c>
      <c r="F323" s="14">
        <f>ROUNDDOWN(Leche[[#This Row],[N° LATAS]]/48,0)</f>
        <v>23</v>
      </c>
      <c r="G323" s="14">
        <f>Leche[[#This Row],[N° LATAS]]-Leche[[#This Row],[TOTAL CAJAS]]*48</f>
        <v>26</v>
      </c>
      <c r="H323" s="28"/>
      <c r="I323" s="29"/>
    </row>
    <row r="324" spans="1:9" hidden="1" x14ac:dyDescent="0.25">
      <c r="A324" s="14" t="s">
        <v>14</v>
      </c>
      <c r="B324" s="14" t="s">
        <v>201</v>
      </c>
      <c r="C324" s="15" t="s">
        <v>28</v>
      </c>
      <c r="D324" s="16">
        <v>46350</v>
      </c>
      <c r="E324" s="17">
        <v>1130</v>
      </c>
      <c r="F324" s="14">
        <f>ROUNDDOWN(Leche[[#This Row],[N° LATAS]]/48,0)</f>
        <v>23</v>
      </c>
      <c r="G324" s="14">
        <f>Leche[[#This Row],[N° LATAS]]-Leche[[#This Row],[TOTAL CAJAS]]*48</f>
        <v>26</v>
      </c>
      <c r="H324" s="28"/>
      <c r="I324" s="29"/>
    </row>
    <row r="325" spans="1:9" hidden="1" x14ac:dyDescent="0.25">
      <c r="A325" s="14" t="s">
        <v>58</v>
      </c>
      <c r="B325" s="14" t="s">
        <v>203</v>
      </c>
      <c r="C325" s="15" t="s">
        <v>16</v>
      </c>
      <c r="D325" s="16">
        <v>46037</v>
      </c>
      <c r="E325" s="17">
        <v>1838</v>
      </c>
      <c r="F325" s="14">
        <f>ROUNDDOWN(Leche[[#This Row],[N° LATAS]]/48,0)</f>
        <v>38</v>
      </c>
      <c r="G325" s="14">
        <f>Leche[[#This Row],[N° LATAS]]-Leche[[#This Row],[TOTAL CAJAS]]*48</f>
        <v>14</v>
      </c>
      <c r="H325" s="28">
        <v>46033</v>
      </c>
      <c r="I325" s="29" t="s">
        <v>408</v>
      </c>
    </row>
    <row r="326" spans="1:9" hidden="1" x14ac:dyDescent="0.25">
      <c r="A326" s="14" t="s">
        <v>58</v>
      </c>
      <c r="B326" s="14" t="s">
        <v>203</v>
      </c>
      <c r="C326" s="15" t="s">
        <v>18</v>
      </c>
      <c r="D326" s="16">
        <v>46037</v>
      </c>
      <c r="E326" s="17">
        <v>1838</v>
      </c>
      <c r="F326" s="14">
        <f>ROUNDDOWN(Leche[[#This Row],[N° LATAS]]/48,0)</f>
        <v>38</v>
      </c>
      <c r="G326" s="14">
        <f>Leche[[#This Row],[N° LATAS]]-Leche[[#This Row],[TOTAL CAJAS]]*48</f>
        <v>14</v>
      </c>
      <c r="H326" s="28">
        <v>46033</v>
      </c>
      <c r="I326" s="29" t="s">
        <v>408</v>
      </c>
    </row>
    <row r="327" spans="1:9" hidden="1" x14ac:dyDescent="0.25">
      <c r="A327" s="14" t="s">
        <v>58</v>
      </c>
      <c r="B327" s="14" t="s">
        <v>203</v>
      </c>
      <c r="C327" s="15" t="s">
        <v>20</v>
      </c>
      <c r="D327" s="16">
        <v>46068</v>
      </c>
      <c r="E327" s="17">
        <v>1838</v>
      </c>
      <c r="F327" s="14">
        <f>ROUNDDOWN(Leche[[#This Row],[N° LATAS]]/48,0)</f>
        <v>38</v>
      </c>
      <c r="G327" s="14">
        <f>Leche[[#This Row],[N° LATAS]]-Leche[[#This Row],[TOTAL CAJAS]]*48</f>
        <v>14</v>
      </c>
      <c r="H327" s="28">
        <v>46065</v>
      </c>
      <c r="I327" s="29" t="s">
        <v>408</v>
      </c>
    </row>
    <row r="328" spans="1:9" hidden="1" x14ac:dyDescent="0.25">
      <c r="A328" s="14" t="s">
        <v>58</v>
      </c>
      <c r="B328" s="14" t="s">
        <v>203</v>
      </c>
      <c r="C328" s="15" t="s">
        <v>19</v>
      </c>
      <c r="D328" s="16">
        <v>46068</v>
      </c>
      <c r="E328" s="17">
        <v>1838</v>
      </c>
      <c r="F328" s="14">
        <f>ROUNDDOWN(Leche[[#This Row],[N° LATAS]]/48,0)</f>
        <v>38</v>
      </c>
      <c r="G328" s="14">
        <f>Leche[[#This Row],[N° LATAS]]-Leche[[#This Row],[TOTAL CAJAS]]*48</f>
        <v>14</v>
      </c>
      <c r="H328" s="28">
        <v>46065</v>
      </c>
      <c r="I328" s="29" t="s">
        <v>408</v>
      </c>
    </row>
    <row r="329" spans="1:9" hidden="1" x14ac:dyDescent="0.25">
      <c r="A329" s="14" t="s">
        <v>58</v>
      </c>
      <c r="B329" s="14" t="s">
        <v>203</v>
      </c>
      <c r="C329" s="15" t="s">
        <v>21</v>
      </c>
      <c r="D329" s="16">
        <v>46127</v>
      </c>
      <c r="E329" s="17">
        <v>1838</v>
      </c>
      <c r="F329" s="14">
        <f>ROUNDDOWN(Leche[[#This Row],[N° LATAS]]/48,0)</f>
        <v>38</v>
      </c>
      <c r="G329" s="14">
        <f>Leche[[#This Row],[N° LATAS]]-Leche[[#This Row],[TOTAL CAJAS]]*48</f>
        <v>14</v>
      </c>
      <c r="H329" s="28">
        <v>46138</v>
      </c>
      <c r="I329" s="29" t="s">
        <v>408</v>
      </c>
    </row>
    <row r="330" spans="1:9" hidden="1" x14ac:dyDescent="0.25">
      <c r="A330" s="14" t="s">
        <v>58</v>
      </c>
      <c r="B330" s="14" t="s">
        <v>203</v>
      </c>
      <c r="C330" s="15" t="s">
        <v>22</v>
      </c>
      <c r="D330" s="16">
        <v>46127</v>
      </c>
      <c r="E330" s="17">
        <v>1838</v>
      </c>
      <c r="F330" s="14">
        <f>ROUNDDOWN(Leche[[#This Row],[N° LATAS]]/48,0)</f>
        <v>38</v>
      </c>
      <c r="G330" s="14">
        <f>Leche[[#This Row],[N° LATAS]]-Leche[[#This Row],[TOTAL CAJAS]]*48</f>
        <v>14</v>
      </c>
      <c r="H330" s="28">
        <v>46138</v>
      </c>
      <c r="I330" s="29" t="s">
        <v>408</v>
      </c>
    </row>
    <row r="331" spans="1:9" hidden="1" x14ac:dyDescent="0.25">
      <c r="A331" s="14" t="s">
        <v>58</v>
      </c>
      <c r="B331" s="14" t="s">
        <v>203</v>
      </c>
      <c r="C331" s="15" t="s">
        <v>23</v>
      </c>
      <c r="D331" s="16">
        <v>46188</v>
      </c>
      <c r="E331" s="17">
        <v>1838</v>
      </c>
      <c r="F331" s="14">
        <f>ROUNDDOWN(Leche[[#This Row],[N° LATAS]]/48,0)</f>
        <v>38</v>
      </c>
      <c r="G331" s="14">
        <f>Leche[[#This Row],[N° LATAS]]-Leche[[#This Row],[TOTAL CAJAS]]*48</f>
        <v>14</v>
      </c>
      <c r="H331" s="28">
        <v>46194</v>
      </c>
      <c r="I331" s="29" t="s">
        <v>408</v>
      </c>
    </row>
    <row r="332" spans="1:9" hidden="1" x14ac:dyDescent="0.25">
      <c r="A332" s="14" t="s">
        <v>58</v>
      </c>
      <c r="B332" s="14" t="s">
        <v>203</v>
      </c>
      <c r="C332" s="15" t="s">
        <v>24</v>
      </c>
      <c r="D332" s="16">
        <v>46188</v>
      </c>
      <c r="E332" s="17">
        <v>1838</v>
      </c>
      <c r="F332" s="14">
        <f>ROUNDDOWN(Leche[[#This Row],[N° LATAS]]/48,0)</f>
        <v>38</v>
      </c>
      <c r="G332" s="14">
        <f>Leche[[#This Row],[N° LATAS]]-Leche[[#This Row],[TOTAL CAJAS]]*48</f>
        <v>14</v>
      </c>
      <c r="H332" s="28">
        <v>46194</v>
      </c>
      <c r="I332" s="29" t="s">
        <v>408</v>
      </c>
    </row>
    <row r="333" spans="1:9" hidden="1" x14ac:dyDescent="0.25">
      <c r="A333" s="14" t="s">
        <v>58</v>
      </c>
      <c r="B333" s="14" t="s">
        <v>203</v>
      </c>
      <c r="C333" s="15" t="s">
        <v>25</v>
      </c>
      <c r="D333" s="16">
        <v>46249</v>
      </c>
      <c r="E333" s="17">
        <v>1838</v>
      </c>
      <c r="F333" s="14">
        <f>ROUNDDOWN(Leche[[#This Row],[N° LATAS]]/48,0)</f>
        <v>38</v>
      </c>
      <c r="G333" s="14">
        <f>Leche[[#This Row],[N° LATAS]]-Leche[[#This Row],[TOTAL CAJAS]]*48</f>
        <v>14</v>
      </c>
      <c r="H333" s="28">
        <v>46254</v>
      </c>
      <c r="I333" s="29" t="s">
        <v>408</v>
      </c>
    </row>
    <row r="334" spans="1:9" hidden="1" x14ac:dyDescent="0.25">
      <c r="A334" s="14" t="s">
        <v>58</v>
      </c>
      <c r="B334" s="14" t="s">
        <v>203</v>
      </c>
      <c r="C334" s="15" t="s">
        <v>26</v>
      </c>
      <c r="D334" s="16">
        <v>46249</v>
      </c>
      <c r="E334" s="17">
        <v>1838</v>
      </c>
      <c r="F334" s="14">
        <f>ROUNDDOWN(Leche[[#This Row],[N° LATAS]]/48,0)</f>
        <v>38</v>
      </c>
      <c r="G334" s="14">
        <f>Leche[[#This Row],[N° LATAS]]-Leche[[#This Row],[TOTAL CAJAS]]*48</f>
        <v>14</v>
      </c>
      <c r="H334" s="28">
        <v>46254</v>
      </c>
      <c r="I334" s="29" t="s">
        <v>408</v>
      </c>
    </row>
    <row r="335" spans="1:9" hidden="1" x14ac:dyDescent="0.25">
      <c r="A335" s="14" t="s">
        <v>58</v>
      </c>
      <c r="B335" s="14" t="s">
        <v>203</v>
      </c>
      <c r="C335" s="15" t="s">
        <v>27</v>
      </c>
      <c r="D335" s="16">
        <v>46310</v>
      </c>
      <c r="E335" s="17">
        <v>1838</v>
      </c>
      <c r="F335" s="14">
        <f>ROUNDDOWN(Leche[[#This Row],[N° LATAS]]/48,0)</f>
        <v>38</v>
      </c>
      <c r="G335" s="14">
        <f>Leche[[#This Row],[N° LATAS]]-Leche[[#This Row],[TOTAL CAJAS]]*48</f>
        <v>14</v>
      </c>
      <c r="H335" s="28"/>
      <c r="I335" s="29"/>
    </row>
    <row r="336" spans="1:9" hidden="1" x14ac:dyDescent="0.25">
      <c r="A336" s="14" t="s">
        <v>58</v>
      </c>
      <c r="B336" s="14" t="s">
        <v>203</v>
      </c>
      <c r="C336" s="15" t="s">
        <v>28</v>
      </c>
      <c r="D336" s="16">
        <v>46310</v>
      </c>
      <c r="E336" s="17">
        <v>1838</v>
      </c>
      <c r="F336" s="14">
        <f>ROUNDDOWN(Leche[[#This Row],[N° LATAS]]/48,0)</f>
        <v>38</v>
      </c>
      <c r="G336" s="14">
        <f>Leche[[#This Row],[N° LATAS]]-Leche[[#This Row],[TOTAL CAJAS]]*48</f>
        <v>14</v>
      </c>
      <c r="H336" s="28"/>
      <c r="I336" s="29"/>
    </row>
    <row r="337" spans="1:9" hidden="1" x14ac:dyDescent="0.25">
      <c r="A337" s="14" t="s">
        <v>14</v>
      </c>
      <c r="B337" s="14" t="s">
        <v>205</v>
      </c>
      <c r="C337" s="15" t="s">
        <v>35</v>
      </c>
      <c r="D337" s="16">
        <v>46090</v>
      </c>
      <c r="E337" s="17">
        <v>1098</v>
      </c>
      <c r="F337" s="14">
        <f>ROUNDDOWN(Leche[[#This Row],[N° LATAS]]/48,0)</f>
        <v>22</v>
      </c>
      <c r="G337" s="14">
        <f>Leche[[#This Row],[N° LATAS]]-Leche[[#This Row],[TOTAL CAJAS]]*48</f>
        <v>42</v>
      </c>
      <c r="H337" s="28">
        <v>46103</v>
      </c>
      <c r="I337" s="29" t="s">
        <v>408</v>
      </c>
    </row>
    <row r="338" spans="1:9" hidden="1" x14ac:dyDescent="0.25">
      <c r="A338" s="14" t="s">
        <v>14</v>
      </c>
      <c r="B338" s="14" t="s">
        <v>205</v>
      </c>
      <c r="C338" s="15" t="s">
        <v>37</v>
      </c>
      <c r="D338" s="16">
        <v>46108</v>
      </c>
      <c r="E338" s="17">
        <v>1098</v>
      </c>
      <c r="F338" s="14">
        <f>ROUNDDOWN(Leche[[#This Row],[N° LATAS]]/48,0)</f>
        <v>22</v>
      </c>
      <c r="G338" s="14">
        <f>Leche[[#This Row],[N° LATAS]]-Leche[[#This Row],[TOTAL CAJAS]]*48</f>
        <v>42</v>
      </c>
      <c r="H338" s="28">
        <v>46103</v>
      </c>
      <c r="I338" s="29" t="s">
        <v>408</v>
      </c>
    </row>
    <row r="339" spans="1:9" hidden="1" x14ac:dyDescent="0.25">
      <c r="A339" s="14" t="s">
        <v>14</v>
      </c>
      <c r="B339" s="14" t="s">
        <v>205</v>
      </c>
      <c r="C339" s="15" t="s">
        <v>38</v>
      </c>
      <c r="D339" s="16">
        <v>46200</v>
      </c>
      <c r="E339" s="17">
        <v>1098</v>
      </c>
      <c r="F339" s="14">
        <f>ROUNDDOWN(Leche[[#This Row],[N° LATAS]]/48,0)</f>
        <v>22</v>
      </c>
      <c r="G339" s="14">
        <f>Leche[[#This Row],[N° LATAS]]-Leche[[#This Row],[TOTAL CAJAS]]*48</f>
        <v>42</v>
      </c>
      <c r="H339" s="28">
        <v>46197</v>
      </c>
      <c r="I339" s="29" t="s">
        <v>408</v>
      </c>
    </row>
    <row r="340" spans="1:9" hidden="1" x14ac:dyDescent="0.25">
      <c r="A340" s="14" t="s">
        <v>14</v>
      </c>
      <c r="B340" s="14" t="s">
        <v>205</v>
      </c>
      <c r="C340" s="15" t="s">
        <v>30</v>
      </c>
      <c r="D340" s="16">
        <v>46200</v>
      </c>
      <c r="E340" s="17">
        <v>452</v>
      </c>
      <c r="F340" s="14">
        <f>ROUNDDOWN(Leche[[#This Row],[N° LATAS]]/48,0)</f>
        <v>9</v>
      </c>
      <c r="G340" s="14">
        <f>Leche[[#This Row],[N° LATAS]]-Leche[[#This Row],[TOTAL CAJAS]]*48</f>
        <v>20</v>
      </c>
      <c r="H340" s="28">
        <v>46197</v>
      </c>
      <c r="I340" s="29" t="s">
        <v>408</v>
      </c>
    </row>
    <row r="341" spans="1:9" ht="22.5" hidden="1" x14ac:dyDescent="0.25">
      <c r="A341" s="14" t="s">
        <v>14</v>
      </c>
      <c r="B341" s="14" t="s">
        <v>205</v>
      </c>
      <c r="C341" s="15" t="s">
        <v>39</v>
      </c>
      <c r="D341" s="16">
        <v>46292</v>
      </c>
      <c r="E341" s="17">
        <v>1098</v>
      </c>
      <c r="F341" s="14">
        <f>ROUNDDOWN(Leche[[#This Row],[N° LATAS]]/48,0)</f>
        <v>22</v>
      </c>
      <c r="G341" s="14">
        <f>Leche[[#This Row],[N° LATAS]]-Leche[[#This Row],[TOTAL CAJAS]]*48</f>
        <v>42</v>
      </c>
      <c r="H341" s="28">
        <v>46288</v>
      </c>
      <c r="I341" s="29" t="s">
        <v>408</v>
      </c>
    </row>
    <row r="342" spans="1:9" hidden="1" x14ac:dyDescent="0.25">
      <c r="A342" s="14" t="s">
        <v>14</v>
      </c>
      <c r="B342" s="14" t="s">
        <v>213</v>
      </c>
      <c r="C342" s="15" t="s">
        <v>35</v>
      </c>
      <c r="D342" s="16">
        <v>46117</v>
      </c>
      <c r="E342" s="17">
        <v>1953</v>
      </c>
      <c r="F342" s="14">
        <f>ROUNDDOWN(Leche[[#This Row],[N° LATAS]]/48,0)</f>
        <v>40</v>
      </c>
      <c r="G342" s="14">
        <f>Leche[[#This Row],[N° LATAS]]-Leche[[#This Row],[TOTAL CAJAS]]*48</f>
        <v>33</v>
      </c>
      <c r="H342" s="28">
        <v>46118</v>
      </c>
      <c r="I342" s="29" t="s">
        <v>408</v>
      </c>
    </row>
    <row r="343" spans="1:9" hidden="1" x14ac:dyDescent="0.25">
      <c r="A343" s="14" t="s">
        <v>14</v>
      </c>
      <c r="B343" s="14" t="s">
        <v>213</v>
      </c>
      <c r="C343" s="15" t="s">
        <v>37</v>
      </c>
      <c r="D343" s="16">
        <v>46152</v>
      </c>
      <c r="E343" s="17">
        <v>1953</v>
      </c>
      <c r="F343" s="14">
        <f>ROUNDDOWN(Leche[[#This Row],[N° LATAS]]/48,0)</f>
        <v>40</v>
      </c>
      <c r="G343" s="14">
        <f>Leche[[#This Row],[N° LATAS]]-Leche[[#This Row],[TOTAL CAJAS]]*48</f>
        <v>33</v>
      </c>
      <c r="H343" s="28">
        <v>46149</v>
      </c>
      <c r="I343" s="29" t="s">
        <v>408</v>
      </c>
    </row>
    <row r="344" spans="1:9" hidden="1" x14ac:dyDescent="0.25">
      <c r="A344" s="14" t="s">
        <v>14</v>
      </c>
      <c r="B344" s="14" t="s">
        <v>213</v>
      </c>
      <c r="C344" s="15" t="s">
        <v>38</v>
      </c>
      <c r="D344" s="16">
        <v>46203</v>
      </c>
      <c r="E344" s="17">
        <v>1953</v>
      </c>
      <c r="F344" s="14">
        <f>ROUNDDOWN(Leche[[#This Row],[N° LATAS]]/48,0)</f>
        <v>40</v>
      </c>
      <c r="G344" s="14">
        <f>Leche[[#This Row],[N° LATAS]]-Leche[[#This Row],[TOTAL CAJAS]]*48</f>
        <v>33</v>
      </c>
      <c r="H344" s="28">
        <v>46227</v>
      </c>
      <c r="I344" s="29" t="s">
        <v>408</v>
      </c>
    </row>
    <row r="345" spans="1:9" ht="22.5" hidden="1" x14ac:dyDescent="0.25">
      <c r="A345" s="14" t="s">
        <v>14</v>
      </c>
      <c r="B345" s="14" t="s">
        <v>213</v>
      </c>
      <c r="C345" s="15" t="s">
        <v>39</v>
      </c>
      <c r="D345" s="16">
        <v>46295</v>
      </c>
      <c r="E345" s="17">
        <v>1953</v>
      </c>
      <c r="F345" s="14">
        <f>ROUNDDOWN(Leche[[#This Row],[N° LATAS]]/48,0)</f>
        <v>40</v>
      </c>
      <c r="G345" s="14">
        <f>Leche[[#This Row],[N° LATAS]]-Leche[[#This Row],[TOTAL CAJAS]]*48</f>
        <v>33</v>
      </c>
      <c r="H345" s="28"/>
      <c r="I345" s="29"/>
    </row>
    <row r="346" spans="1:9" hidden="1" x14ac:dyDescent="0.25">
      <c r="A346" s="14" t="s">
        <v>14</v>
      </c>
      <c r="B346" s="14" t="s">
        <v>217</v>
      </c>
      <c r="C346" s="15" t="s">
        <v>16</v>
      </c>
      <c r="D346" s="16">
        <v>46042</v>
      </c>
      <c r="E346" s="17">
        <v>480</v>
      </c>
      <c r="F346" s="14">
        <f>ROUNDDOWN(Leche[[#This Row],[N° LATAS]]/48,0)</f>
        <v>10</v>
      </c>
      <c r="G346" s="14">
        <f>Leche[[#This Row],[N° LATAS]]-Leche[[#This Row],[TOTAL CAJAS]]*48</f>
        <v>0</v>
      </c>
      <c r="H346" s="28">
        <v>46055</v>
      </c>
      <c r="I346" s="29" t="s">
        <v>408</v>
      </c>
    </row>
    <row r="347" spans="1:9" hidden="1" x14ac:dyDescent="0.25">
      <c r="A347" s="14" t="s">
        <v>14</v>
      </c>
      <c r="B347" s="14" t="s">
        <v>217</v>
      </c>
      <c r="C347" s="15" t="s">
        <v>18</v>
      </c>
      <c r="D347" s="16">
        <v>46042</v>
      </c>
      <c r="E347" s="17">
        <v>480</v>
      </c>
      <c r="F347" s="14">
        <f>ROUNDDOWN(Leche[[#This Row],[N° LATAS]]/48,0)</f>
        <v>10</v>
      </c>
      <c r="G347" s="14">
        <f>Leche[[#This Row],[N° LATAS]]-Leche[[#This Row],[TOTAL CAJAS]]*48</f>
        <v>0</v>
      </c>
      <c r="H347" s="28">
        <v>46055</v>
      </c>
      <c r="I347" s="29" t="s">
        <v>408</v>
      </c>
    </row>
    <row r="348" spans="1:9" hidden="1" x14ac:dyDescent="0.25">
      <c r="A348" s="14" t="s">
        <v>14</v>
      </c>
      <c r="B348" s="14" t="s">
        <v>217</v>
      </c>
      <c r="C348" s="15" t="s">
        <v>20</v>
      </c>
      <c r="D348" s="16">
        <v>46101</v>
      </c>
      <c r="E348" s="17">
        <v>480</v>
      </c>
      <c r="F348" s="14">
        <f>ROUNDDOWN(Leche[[#This Row],[N° LATAS]]/48,0)</f>
        <v>10</v>
      </c>
      <c r="G348" s="14">
        <f>Leche[[#This Row],[N° LATAS]]-Leche[[#This Row],[TOTAL CAJAS]]*48</f>
        <v>0</v>
      </c>
      <c r="H348" s="28">
        <v>46105</v>
      </c>
      <c r="I348" s="29" t="s">
        <v>408</v>
      </c>
    </row>
    <row r="349" spans="1:9" hidden="1" x14ac:dyDescent="0.25">
      <c r="A349" s="14" t="s">
        <v>14</v>
      </c>
      <c r="B349" s="14" t="s">
        <v>217</v>
      </c>
      <c r="C349" s="15" t="s">
        <v>19</v>
      </c>
      <c r="D349" s="16">
        <v>46101</v>
      </c>
      <c r="E349" s="17">
        <v>480</v>
      </c>
      <c r="F349" s="14">
        <f>ROUNDDOWN(Leche[[#This Row],[N° LATAS]]/48,0)</f>
        <v>10</v>
      </c>
      <c r="G349" s="14">
        <f>Leche[[#This Row],[N° LATAS]]-Leche[[#This Row],[TOTAL CAJAS]]*48</f>
        <v>0</v>
      </c>
      <c r="H349" s="28">
        <v>46105</v>
      </c>
      <c r="I349" s="29" t="s">
        <v>408</v>
      </c>
    </row>
    <row r="350" spans="1:9" hidden="1" x14ac:dyDescent="0.25">
      <c r="A350" s="14" t="s">
        <v>14</v>
      </c>
      <c r="B350" s="14" t="s">
        <v>217</v>
      </c>
      <c r="C350" s="15" t="s">
        <v>21</v>
      </c>
      <c r="D350" s="16">
        <v>46132</v>
      </c>
      <c r="E350" s="17">
        <v>480</v>
      </c>
      <c r="F350" s="14">
        <f>ROUNDDOWN(Leche[[#This Row],[N° LATAS]]/48,0)</f>
        <v>10</v>
      </c>
      <c r="G350" s="14">
        <f>Leche[[#This Row],[N° LATAS]]-Leche[[#This Row],[TOTAL CAJAS]]*48</f>
        <v>0</v>
      </c>
      <c r="H350" s="28">
        <v>46132</v>
      </c>
      <c r="I350" s="29" t="s">
        <v>408</v>
      </c>
    </row>
    <row r="351" spans="1:9" hidden="1" x14ac:dyDescent="0.25">
      <c r="A351" s="14" t="s">
        <v>14</v>
      </c>
      <c r="B351" s="14" t="s">
        <v>217</v>
      </c>
      <c r="C351" s="15" t="s">
        <v>22</v>
      </c>
      <c r="D351" s="16">
        <v>46162</v>
      </c>
      <c r="E351" s="17">
        <v>480</v>
      </c>
      <c r="F351" s="14">
        <f>ROUNDDOWN(Leche[[#This Row],[N° LATAS]]/48,0)</f>
        <v>10</v>
      </c>
      <c r="G351" s="14">
        <f>Leche[[#This Row],[N° LATAS]]-Leche[[#This Row],[TOTAL CAJAS]]*48</f>
        <v>0</v>
      </c>
      <c r="H351" s="28">
        <v>46162</v>
      </c>
      <c r="I351" s="29" t="s">
        <v>408</v>
      </c>
    </row>
    <row r="352" spans="1:9" hidden="1" x14ac:dyDescent="0.25">
      <c r="A352" s="14" t="s">
        <v>14</v>
      </c>
      <c r="B352" s="14" t="s">
        <v>217</v>
      </c>
      <c r="C352" s="15" t="s">
        <v>23</v>
      </c>
      <c r="D352" s="16">
        <v>46192</v>
      </c>
      <c r="E352" s="17">
        <v>480</v>
      </c>
      <c r="F352" s="14">
        <f>ROUNDDOWN(Leche[[#This Row],[N° LATAS]]/48,0)</f>
        <v>10</v>
      </c>
      <c r="G352" s="14">
        <f>Leche[[#This Row],[N° LATAS]]-Leche[[#This Row],[TOTAL CAJAS]]*48</f>
        <v>0</v>
      </c>
      <c r="H352" s="28">
        <v>46192</v>
      </c>
      <c r="I352" s="29" t="s">
        <v>408</v>
      </c>
    </row>
    <row r="353" spans="1:9" hidden="1" x14ac:dyDescent="0.25">
      <c r="A353" s="14" t="s">
        <v>14</v>
      </c>
      <c r="B353" s="14" t="s">
        <v>217</v>
      </c>
      <c r="C353" s="15" t="s">
        <v>24</v>
      </c>
      <c r="D353" s="16">
        <v>46223</v>
      </c>
      <c r="E353" s="17">
        <v>480</v>
      </c>
      <c r="F353" s="14">
        <f>ROUNDDOWN(Leche[[#This Row],[N° LATAS]]/48,0)</f>
        <v>10</v>
      </c>
      <c r="G353" s="14">
        <f>Leche[[#This Row],[N° LATAS]]-Leche[[#This Row],[TOTAL CAJAS]]*48</f>
        <v>0</v>
      </c>
      <c r="H353" s="28">
        <v>46223</v>
      </c>
      <c r="I353" s="29" t="s">
        <v>408</v>
      </c>
    </row>
    <row r="354" spans="1:9" hidden="1" x14ac:dyDescent="0.25">
      <c r="A354" s="14" t="s">
        <v>14</v>
      </c>
      <c r="B354" s="14" t="s">
        <v>217</v>
      </c>
      <c r="C354" s="15" t="s">
        <v>30</v>
      </c>
      <c r="D354" s="16">
        <v>46254</v>
      </c>
      <c r="E354" s="17">
        <v>480</v>
      </c>
      <c r="F354" s="14">
        <f>ROUNDDOWN(Leche[[#This Row],[N° LATAS]]/48,0)</f>
        <v>10</v>
      </c>
      <c r="G354" s="14">
        <f>Leche[[#This Row],[N° LATAS]]-Leche[[#This Row],[TOTAL CAJAS]]*48</f>
        <v>0</v>
      </c>
      <c r="H354" s="28">
        <v>46246</v>
      </c>
      <c r="I354" s="29" t="s">
        <v>408</v>
      </c>
    </row>
    <row r="355" spans="1:9" hidden="1" x14ac:dyDescent="0.25">
      <c r="A355" s="14" t="s">
        <v>14</v>
      </c>
      <c r="B355" s="14" t="s">
        <v>217</v>
      </c>
      <c r="C355" s="15" t="s">
        <v>25</v>
      </c>
      <c r="D355" s="16">
        <v>46254</v>
      </c>
      <c r="E355" s="17">
        <v>480</v>
      </c>
      <c r="F355" s="14">
        <f>ROUNDDOWN(Leche[[#This Row],[N° LATAS]]/48,0)</f>
        <v>10</v>
      </c>
      <c r="G355" s="14">
        <f>Leche[[#This Row],[N° LATAS]]-Leche[[#This Row],[TOTAL CAJAS]]*48</f>
        <v>0</v>
      </c>
      <c r="H355" s="28">
        <v>46246</v>
      </c>
      <c r="I355" s="29" t="s">
        <v>408</v>
      </c>
    </row>
    <row r="356" spans="1:9" hidden="1" x14ac:dyDescent="0.25">
      <c r="A356" s="14" t="s">
        <v>14</v>
      </c>
      <c r="B356" s="14" t="s">
        <v>217</v>
      </c>
      <c r="C356" s="15" t="s">
        <v>26</v>
      </c>
      <c r="D356" s="16">
        <v>46286</v>
      </c>
      <c r="E356" s="17">
        <v>480</v>
      </c>
      <c r="F356" s="14">
        <f>ROUNDDOWN(Leche[[#This Row],[N° LATAS]]/48,0)</f>
        <v>10</v>
      </c>
      <c r="G356" s="14">
        <f>Leche[[#This Row],[N° LATAS]]-Leche[[#This Row],[TOTAL CAJAS]]*48</f>
        <v>0</v>
      </c>
      <c r="H356" s="28">
        <v>46283</v>
      </c>
      <c r="I356" s="29" t="s">
        <v>408</v>
      </c>
    </row>
    <row r="357" spans="1:9" hidden="1" x14ac:dyDescent="0.25">
      <c r="A357" s="14" t="s">
        <v>14</v>
      </c>
      <c r="B357" s="14" t="s">
        <v>217</v>
      </c>
      <c r="C357" s="15" t="s">
        <v>27</v>
      </c>
      <c r="D357" s="16">
        <v>46315</v>
      </c>
      <c r="E357" s="17">
        <v>480</v>
      </c>
      <c r="F357" s="14">
        <f>ROUNDDOWN(Leche[[#This Row],[N° LATAS]]/48,0)</f>
        <v>10</v>
      </c>
      <c r="G357" s="14">
        <f>Leche[[#This Row],[N° LATAS]]-Leche[[#This Row],[TOTAL CAJAS]]*48</f>
        <v>0</v>
      </c>
      <c r="H357" s="28"/>
      <c r="I357" s="29"/>
    </row>
    <row r="358" spans="1:9" hidden="1" x14ac:dyDescent="0.25">
      <c r="A358" s="14" t="s">
        <v>14</v>
      </c>
      <c r="B358" s="14" t="s">
        <v>217</v>
      </c>
      <c r="C358" s="15" t="s">
        <v>28</v>
      </c>
      <c r="D358" s="16">
        <v>46346</v>
      </c>
      <c r="E358" s="17">
        <v>480</v>
      </c>
      <c r="F358" s="14">
        <f>ROUNDDOWN(Leche[[#This Row],[N° LATAS]]/48,0)</f>
        <v>10</v>
      </c>
      <c r="G358" s="14">
        <f>Leche[[#This Row],[N° LATAS]]-Leche[[#This Row],[TOTAL CAJAS]]*48</f>
        <v>0</v>
      </c>
      <c r="H358" s="28"/>
      <c r="I358" s="29"/>
    </row>
    <row r="359" spans="1:9" hidden="1" x14ac:dyDescent="0.25">
      <c r="A359" s="14" t="s">
        <v>14</v>
      </c>
      <c r="B359" s="14" t="s">
        <v>219</v>
      </c>
      <c r="C359" s="15" t="s">
        <v>121</v>
      </c>
      <c r="D359" s="16">
        <v>46081</v>
      </c>
      <c r="E359" s="17">
        <v>3400</v>
      </c>
      <c r="F359" s="14">
        <f>ROUNDDOWN(Leche[[#This Row],[N° LATAS]]/48,0)</f>
        <v>70</v>
      </c>
      <c r="G359" s="14">
        <f>Leche[[#This Row],[N° LATAS]]-Leche[[#This Row],[TOTAL CAJAS]]*48</f>
        <v>40</v>
      </c>
      <c r="H359" s="28">
        <v>46068</v>
      </c>
      <c r="I359" s="29" t="s">
        <v>408</v>
      </c>
    </row>
    <row r="360" spans="1:9" hidden="1" x14ac:dyDescent="0.25">
      <c r="A360" s="14" t="s">
        <v>14</v>
      </c>
      <c r="B360" s="14" t="s">
        <v>219</v>
      </c>
      <c r="C360" s="15" t="s">
        <v>122</v>
      </c>
      <c r="D360" s="16">
        <v>46082</v>
      </c>
      <c r="E360" s="17">
        <v>3400</v>
      </c>
      <c r="F360" s="14">
        <f>ROUNDDOWN(Leche[[#This Row],[N° LATAS]]/48,0)</f>
        <v>70</v>
      </c>
      <c r="G360" s="14">
        <f>Leche[[#This Row],[N° LATAS]]-Leche[[#This Row],[TOTAL CAJAS]]*48</f>
        <v>40</v>
      </c>
      <c r="H360" s="28">
        <v>46098</v>
      </c>
      <c r="I360" s="29" t="s">
        <v>408</v>
      </c>
    </row>
    <row r="361" spans="1:9" hidden="1" x14ac:dyDescent="0.25">
      <c r="A361" s="14" t="s">
        <v>14</v>
      </c>
      <c r="B361" s="14" t="s">
        <v>219</v>
      </c>
      <c r="C361" s="15" t="s">
        <v>43</v>
      </c>
      <c r="D361" s="16">
        <v>46143</v>
      </c>
      <c r="E361" s="17">
        <v>3400</v>
      </c>
      <c r="F361" s="14">
        <f>ROUNDDOWN(Leche[[#This Row],[N° LATAS]]/48,0)</f>
        <v>70</v>
      </c>
      <c r="G361" s="14">
        <f>Leche[[#This Row],[N° LATAS]]-Leche[[#This Row],[TOTAL CAJAS]]*48</f>
        <v>40</v>
      </c>
      <c r="H361" s="28">
        <v>46160</v>
      </c>
      <c r="I361" s="29" t="s">
        <v>408</v>
      </c>
    </row>
    <row r="362" spans="1:9" hidden="1" x14ac:dyDescent="0.25">
      <c r="A362" s="14" t="s">
        <v>14</v>
      </c>
      <c r="B362" s="14" t="s">
        <v>219</v>
      </c>
      <c r="C362" s="15" t="s">
        <v>23</v>
      </c>
      <c r="D362" s="16">
        <v>46143</v>
      </c>
      <c r="E362" s="17">
        <v>1700</v>
      </c>
      <c r="F362" s="14">
        <f>ROUNDDOWN(Leche[[#This Row],[N° LATAS]]/48,0)</f>
        <v>35</v>
      </c>
      <c r="G362" s="14">
        <f>Leche[[#This Row],[N° LATAS]]-Leche[[#This Row],[TOTAL CAJAS]]*48</f>
        <v>20</v>
      </c>
      <c r="H362" s="28">
        <v>46160</v>
      </c>
      <c r="I362" s="29" t="s">
        <v>408</v>
      </c>
    </row>
    <row r="363" spans="1:9" hidden="1" x14ac:dyDescent="0.25">
      <c r="A363" s="14" t="s">
        <v>14</v>
      </c>
      <c r="B363" s="14" t="s">
        <v>219</v>
      </c>
      <c r="C363" s="15" t="s">
        <v>30</v>
      </c>
      <c r="D363" s="16">
        <v>46241</v>
      </c>
      <c r="E363" s="17">
        <v>850</v>
      </c>
      <c r="F363" s="14">
        <f>ROUNDDOWN(Leche[[#This Row],[N° LATAS]]/48,0)</f>
        <v>17</v>
      </c>
      <c r="G363" s="14">
        <f>Leche[[#This Row],[N° LATAS]]-Leche[[#This Row],[TOTAL CAJAS]]*48</f>
        <v>34</v>
      </c>
      <c r="H363" s="16">
        <v>46240</v>
      </c>
      <c r="I363" s="29" t="s">
        <v>408</v>
      </c>
    </row>
    <row r="364" spans="1:9" hidden="1" x14ac:dyDescent="0.25">
      <c r="A364" s="14" t="s">
        <v>14</v>
      </c>
      <c r="B364" s="14" t="s">
        <v>219</v>
      </c>
      <c r="C364" s="15" t="s">
        <v>24</v>
      </c>
      <c r="D364" s="16">
        <v>46241</v>
      </c>
      <c r="E364" s="17">
        <v>1700</v>
      </c>
      <c r="F364" s="14">
        <f>ROUNDDOWN(Leche[[#This Row],[N° LATAS]]/48,0)</f>
        <v>35</v>
      </c>
      <c r="G364" s="14">
        <f>Leche[[#This Row],[N° LATAS]]-Leche[[#This Row],[TOTAL CAJAS]]*48</f>
        <v>20</v>
      </c>
      <c r="H364" s="16">
        <v>46240</v>
      </c>
      <c r="I364" s="29" t="s">
        <v>408</v>
      </c>
    </row>
    <row r="365" spans="1:9" hidden="1" x14ac:dyDescent="0.25">
      <c r="A365" s="14" t="s">
        <v>14</v>
      </c>
      <c r="B365" s="14" t="s">
        <v>219</v>
      </c>
      <c r="C365" s="15" t="s">
        <v>45</v>
      </c>
      <c r="D365" s="16">
        <v>46241</v>
      </c>
      <c r="E365" s="17">
        <v>3400</v>
      </c>
      <c r="F365" s="14">
        <f>ROUNDDOWN(Leche[[#This Row],[N° LATAS]]/48,0)</f>
        <v>70</v>
      </c>
      <c r="G365" s="14">
        <f>Leche[[#This Row],[N° LATAS]]-Leche[[#This Row],[TOTAL CAJAS]]*48</f>
        <v>40</v>
      </c>
      <c r="H365" s="16">
        <v>46240</v>
      </c>
      <c r="I365" s="29" t="s">
        <v>408</v>
      </c>
    </row>
    <row r="366" spans="1:9" hidden="1" x14ac:dyDescent="0.25">
      <c r="A366" s="14" t="s">
        <v>14</v>
      </c>
      <c r="B366" s="14" t="s">
        <v>219</v>
      </c>
      <c r="C366" s="15" t="s">
        <v>46</v>
      </c>
      <c r="D366" s="16">
        <v>46327</v>
      </c>
      <c r="E366" s="17">
        <v>3400</v>
      </c>
      <c r="F366" s="14">
        <f>ROUNDDOWN(Leche[[#This Row],[N° LATAS]]/48,0)</f>
        <v>70</v>
      </c>
      <c r="G366" s="14">
        <f>Leche[[#This Row],[N° LATAS]]-Leche[[#This Row],[TOTAL CAJAS]]*48</f>
        <v>40</v>
      </c>
      <c r="H366" s="28"/>
      <c r="I366" s="29"/>
    </row>
    <row r="367" spans="1:9" hidden="1" x14ac:dyDescent="0.25">
      <c r="A367" s="14" t="s">
        <v>14</v>
      </c>
      <c r="B367" s="14" t="s">
        <v>221</v>
      </c>
      <c r="C367" s="15" t="s">
        <v>20</v>
      </c>
      <c r="D367" s="16">
        <v>46097</v>
      </c>
      <c r="E367" s="17">
        <v>2070</v>
      </c>
      <c r="F367" s="14">
        <f>ROUNDDOWN(Leche[[#This Row],[N° LATAS]]/48,0)</f>
        <v>43</v>
      </c>
      <c r="G367" s="14">
        <f>Leche[[#This Row],[N° LATAS]]-Leche[[#This Row],[TOTAL CAJAS]]*48</f>
        <v>6</v>
      </c>
      <c r="H367" s="28">
        <v>46100</v>
      </c>
      <c r="I367" s="29" t="s">
        <v>408</v>
      </c>
    </row>
    <row r="368" spans="1:9" hidden="1" x14ac:dyDescent="0.25">
      <c r="A368" s="14" t="s">
        <v>14</v>
      </c>
      <c r="B368" s="14" t="s">
        <v>221</v>
      </c>
      <c r="C368" s="15" t="s">
        <v>16</v>
      </c>
      <c r="D368" s="16">
        <v>46097</v>
      </c>
      <c r="E368" s="17">
        <v>2070</v>
      </c>
      <c r="F368" s="14">
        <f>ROUNDDOWN(Leche[[#This Row],[N° LATAS]]/48,0)</f>
        <v>43</v>
      </c>
      <c r="G368" s="14">
        <f>Leche[[#This Row],[N° LATAS]]-Leche[[#This Row],[TOTAL CAJAS]]*48</f>
        <v>6</v>
      </c>
      <c r="H368" s="28">
        <v>46100</v>
      </c>
      <c r="I368" s="29" t="s">
        <v>408</v>
      </c>
    </row>
    <row r="369" spans="1:9" hidden="1" x14ac:dyDescent="0.25">
      <c r="A369" s="14" t="s">
        <v>14</v>
      </c>
      <c r="B369" s="14" t="s">
        <v>221</v>
      </c>
      <c r="C369" s="15" t="s">
        <v>18</v>
      </c>
      <c r="D369" s="16">
        <v>46097</v>
      </c>
      <c r="E369" s="17">
        <v>2070</v>
      </c>
      <c r="F369" s="14">
        <f>ROUNDDOWN(Leche[[#This Row],[N° LATAS]]/48,0)</f>
        <v>43</v>
      </c>
      <c r="G369" s="14">
        <f>Leche[[#This Row],[N° LATAS]]-Leche[[#This Row],[TOTAL CAJAS]]*48</f>
        <v>6</v>
      </c>
      <c r="H369" s="28">
        <v>46100</v>
      </c>
      <c r="I369" s="29" t="s">
        <v>408</v>
      </c>
    </row>
    <row r="370" spans="1:9" hidden="1" x14ac:dyDescent="0.25">
      <c r="A370" s="14" t="s">
        <v>14</v>
      </c>
      <c r="B370" s="14" t="s">
        <v>221</v>
      </c>
      <c r="C370" s="15" t="s">
        <v>19</v>
      </c>
      <c r="D370" s="16">
        <v>46097</v>
      </c>
      <c r="E370" s="17">
        <v>2070</v>
      </c>
      <c r="F370" s="14">
        <f>ROUNDDOWN(Leche[[#This Row],[N° LATAS]]/48,0)</f>
        <v>43</v>
      </c>
      <c r="G370" s="14">
        <f>Leche[[#This Row],[N° LATAS]]-Leche[[#This Row],[TOTAL CAJAS]]*48</f>
        <v>6</v>
      </c>
      <c r="H370" s="28">
        <v>46100</v>
      </c>
      <c r="I370" s="29" t="s">
        <v>408</v>
      </c>
    </row>
    <row r="371" spans="1:9" hidden="1" x14ac:dyDescent="0.25">
      <c r="A371" s="14" t="s">
        <v>14</v>
      </c>
      <c r="B371" s="14" t="s">
        <v>221</v>
      </c>
      <c r="C371" s="15" t="s">
        <v>21</v>
      </c>
      <c r="D371" s="16">
        <v>46137</v>
      </c>
      <c r="E371" s="17">
        <v>2070</v>
      </c>
      <c r="F371" s="14">
        <f>ROUNDDOWN(Leche[[#This Row],[N° LATAS]]/48,0)</f>
        <v>43</v>
      </c>
      <c r="G371" s="14">
        <f>Leche[[#This Row],[N° LATAS]]-Leche[[#This Row],[TOTAL CAJAS]]*48</f>
        <v>6</v>
      </c>
      <c r="H371" s="28">
        <v>46146</v>
      </c>
      <c r="I371" s="29" t="s">
        <v>408</v>
      </c>
    </row>
    <row r="372" spans="1:9" hidden="1" x14ac:dyDescent="0.25">
      <c r="A372" s="14" t="s">
        <v>14</v>
      </c>
      <c r="B372" s="14" t="s">
        <v>221</v>
      </c>
      <c r="C372" s="15" t="s">
        <v>22</v>
      </c>
      <c r="D372" s="16">
        <v>46168</v>
      </c>
      <c r="E372" s="17">
        <v>2070</v>
      </c>
      <c r="F372" s="14">
        <f>ROUNDDOWN(Leche[[#This Row],[N° LATAS]]/48,0)</f>
        <v>43</v>
      </c>
      <c r="G372" s="14">
        <f>Leche[[#This Row],[N° LATAS]]-Leche[[#This Row],[TOTAL CAJAS]]*48</f>
        <v>6</v>
      </c>
      <c r="H372" s="28">
        <v>46154</v>
      </c>
      <c r="I372" s="29" t="s">
        <v>408</v>
      </c>
    </row>
    <row r="373" spans="1:9" hidden="1" x14ac:dyDescent="0.25">
      <c r="A373" s="14" t="s">
        <v>14</v>
      </c>
      <c r="B373" s="14" t="s">
        <v>221</v>
      </c>
      <c r="C373" s="15" t="s">
        <v>23</v>
      </c>
      <c r="D373" s="16">
        <v>46196</v>
      </c>
      <c r="E373" s="17">
        <v>2070</v>
      </c>
      <c r="F373" s="14">
        <f>ROUNDDOWN(Leche[[#This Row],[N° LATAS]]/48,0)</f>
        <v>43</v>
      </c>
      <c r="G373" s="14">
        <f>Leche[[#This Row],[N° LATAS]]-Leche[[#This Row],[TOTAL CAJAS]]*48</f>
        <v>6</v>
      </c>
      <c r="H373" s="28">
        <v>46182</v>
      </c>
      <c r="I373" s="29" t="s">
        <v>408</v>
      </c>
    </row>
    <row r="374" spans="1:9" hidden="1" x14ac:dyDescent="0.25">
      <c r="A374" s="14" t="s">
        <v>14</v>
      </c>
      <c r="B374" s="14" t="s">
        <v>221</v>
      </c>
      <c r="C374" s="15" t="s">
        <v>24</v>
      </c>
      <c r="D374" s="16">
        <v>46227</v>
      </c>
      <c r="E374" s="17">
        <v>2070</v>
      </c>
      <c r="F374" s="14">
        <f>ROUNDDOWN(Leche[[#This Row],[N° LATAS]]/48,0)</f>
        <v>43</v>
      </c>
      <c r="G374" s="14">
        <f>Leche[[#This Row],[N° LATAS]]-Leche[[#This Row],[TOTAL CAJAS]]*48</f>
        <v>6</v>
      </c>
      <c r="H374" s="28">
        <v>46226</v>
      </c>
      <c r="I374" s="29" t="s">
        <v>408</v>
      </c>
    </row>
    <row r="375" spans="1:9" hidden="1" x14ac:dyDescent="0.25">
      <c r="A375" s="14" t="s">
        <v>14</v>
      </c>
      <c r="B375" s="14" t="s">
        <v>221</v>
      </c>
      <c r="C375" s="15" t="s">
        <v>30</v>
      </c>
      <c r="D375" s="16">
        <v>46260</v>
      </c>
      <c r="E375" s="17">
        <v>1035</v>
      </c>
      <c r="F375" s="14">
        <f>ROUNDDOWN(Leche[[#This Row],[N° LATAS]]/48,0)</f>
        <v>21</v>
      </c>
      <c r="G375" s="14">
        <f>Leche[[#This Row],[N° LATAS]]-Leche[[#This Row],[TOTAL CAJAS]]*48</f>
        <v>27</v>
      </c>
      <c r="H375" s="28">
        <v>46257</v>
      </c>
      <c r="I375" s="29" t="s">
        <v>408</v>
      </c>
    </row>
    <row r="376" spans="1:9" hidden="1" x14ac:dyDescent="0.25">
      <c r="A376" s="14" t="s">
        <v>14</v>
      </c>
      <c r="B376" s="14" t="s">
        <v>221</v>
      </c>
      <c r="C376" s="15" t="s">
        <v>25</v>
      </c>
      <c r="D376" s="16">
        <v>46260</v>
      </c>
      <c r="E376" s="17">
        <v>2070</v>
      </c>
      <c r="F376" s="14">
        <f>ROUNDDOWN(Leche[[#This Row],[N° LATAS]]/48,0)</f>
        <v>43</v>
      </c>
      <c r="G376" s="14">
        <f>Leche[[#This Row],[N° LATAS]]-Leche[[#This Row],[TOTAL CAJAS]]*48</f>
        <v>6</v>
      </c>
      <c r="H376" s="28">
        <v>46257</v>
      </c>
      <c r="I376" s="29" t="s">
        <v>408</v>
      </c>
    </row>
    <row r="377" spans="1:9" hidden="1" x14ac:dyDescent="0.25">
      <c r="A377" s="14" t="s">
        <v>14</v>
      </c>
      <c r="B377" s="14" t="s">
        <v>221</v>
      </c>
      <c r="C377" s="15" t="s">
        <v>26</v>
      </c>
      <c r="D377" s="16">
        <v>46290</v>
      </c>
      <c r="E377" s="17">
        <v>2070</v>
      </c>
      <c r="F377" s="14">
        <f>ROUNDDOWN(Leche[[#This Row],[N° LATAS]]/48,0)</f>
        <v>43</v>
      </c>
      <c r="G377" s="14">
        <f>Leche[[#This Row],[N° LATAS]]-Leche[[#This Row],[TOTAL CAJAS]]*48</f>
        <v>6</v>
      </c>
      <c r="H377" s="28"/>
      <c r="I377" s="29"/>
    </row>
    <row r="378" spans="1:9" hidden="1" x14ac:dyDescent="0.25">
      <c r="A378" s="14" t="s">
        <v>14</v>
      </c>
      <c r="B378" s="14" t="s">
        <v>221</v>
      </c>
      <c r="C378" s="15" t="s">
        <v>27</v>
      </c>
      <c r="D378" s="16">
        <v>46322</v>
      </c>
      <c r="E378" s="17">
        <v>2070</v>
      </c>
      <c r="F378" s="14">
        <f>ROUNDDOWN(Leche[[#This Row],[N° LATAS]]/48,0)</f>
        <v>43</v>
      </c>
      <c r="G378" s="14">
        <f>Leche[[#This Row],[N° LATAS]]-Leche[[#This Row],[TOTAL CAJAS]]*48</f>
        <v>6</v>
      </c>
      <c r="H378" s="28"/>
      <c r="I378" s="29"/>
    </row>
    <row r="379" spans="1:9" hidden="1" x14ac:dyDescent="0.25">
      <c r="A379" s="14" t="s">
        <v>14</v>
      </c>
      <c r="B379" s="14" t="s">
        <v>221</v>
      </c>
      <c r="C379" s="15" t="s">
        <v>28</v>
      </c>
      <c r="D379" s="16">
        <v>46351</v>
      </c>
      <c r="E379" s="17">
        <v>2070</v>
      </c>
      <c r="F379" s="14">
        <f>ROUNDDOWN(Leche[[#This Row],[N° LATAS]]/48,0)</f>
        <v>43</v>
      </c>
      <c r="G379" s="14">
        <f>Leche[[#This Row],[N° LATAS]]-Leche[[#This Row],[TOTAL CAJAS]]*48</f>
        <v>6</v>
      </c>
      <c r="H379" s="28"/>
      <c r="I379" s="29"/>
    </row>
    <row r="380" spans="1:9" hidden="1" x14ac:dyDescent="0.25">
      <c r="A380" s="14" t="s">
        <v>193</v>
      </c>
      <c r="B380" s="14" t="s">
        <v>223</v>
      </c>
      <c r="C380" s="15" t="s">
        <v>30</v>
      </c>
      <c r="D380" s="16">
        <v>46022</v>
      </c>
      <c r="E380" s="17">
        <v>2540</v>
      </c>
      <c r="F380" s="14">
        <f>ROUNDDOWN(Leche[[#This Row],[N° LATAS]]/48,0)</f>
        <v>52</v>
      </c>
      <c r="G380" s="14">
        <f>Leche[[#This Row],[N° LATAS]]-Leche[[#This Row],[TOTAL CAJAS]]*48</f>
        <v>44</v>
      </c>
      <c r="H380" s="28">
        <v>46386</v>
      </c>
      <c r="I380" s="29" t="s">
        <v>408</v>
      </c>
    </row>
    <row r="381" spans="1:9" hidden="1" x14ac:dyDescent="0.25">
      <c r="A381" s="14" t="s">
        <v>193</v>
      </c>
      <c r="B381" s="14" t="s">
        <v>223</v>
      </c>
      <c r="C381" s="15" t="s">
        <v>30</v>
      </c>
      <c r="D381" s="16">
        <v>46037</v>
      </c>
      <c r="E381" s="17">
        <v>2540</v>
      </c>
      <c r="F381" s="14">
        <f>ROUNDDOWN(Leche[[#This Row],[N° LATAS]]/48,0)</f>
        <v>52</v>
      </c>
      <c r="G381" s="14">
        <f>Leche[[#This Row],[N° LATAS]]-Leche[[#This Row],[TOTAL CAJAS]]*48</f>
        <v>44</v>
      </c>
      <c r="H381" s="28">
        <v>46034</v>
      </c>
      <c r="I381" s="29" t="s">
        <v>408</v>
      </c>
    </row>
    <row r="382" spans="1:9" hidden="1" x14ac:dyDescent="0.25">
      <c r="A382" s="14" t="s">
        <v>193</v>
      </c>
      <c r="B382" s="14" t="s">
        <v>223</v>
      </c>
      <c r="C382" s="15" t="s">
        <v>19</v>
      </c>
      <c r="D382" s="16">
        <v>46068</v>
      </c>
      <c r="E382" s="17">
        <v>2540</v>
      </c>
      <c r="F382" s="14">
        <f>ROUNDDOWN(Leche[[#This Row],[N° LATAS]]/48,0)</f>
        <v>52</v>
      </c>
      <c r="G382" s="14">
        <f>Leche[[#This Row],[N° LATAS]]-Leche[[#This Row],[TOTAL CAJAS]]*48</f>
        <v>44</v>
      </c>
      <c r="H382" s="28">
        <v>46063</v>
      </c>
      <c r="I382" s="29" t="s">
        <v>408</v>
      </c>
    </row>
    <row r="383" spans="1:9" hidden="1" x14ac:dyDescent="0.25">
      <c r="A383" s="14" t="s">
        <v>193</v>
      </c>
      <c r="B383" s="14" t="s">
        <v>223</v>
      </c>
      <c r="C383" s="15" t="s">
        <v>20</v>
      </c>
      <c r="D383" s="16">
        <v>46096</v>
      </c>
      <c r="E383" s="17">
        <v>2540</v>
      </c>
      <c r="F383" s="14">
        <f>ROUNDDOWN(Leche[[#This Row],[N° LATAS]]/48,0)</f>
        <v>52</v>
      </c>
      <c r="G383" s="14">
        <f>Leche[[#This Row],[N° LATAS]]-Leche[[#This Row],[TOTAL CAJAS]]*48</f>
        <v>44</v>
      </c>
      <c r="H383" s="28">
        <v>46105</v>
      </c>
      <c r="I383" s="29" t="s">
        <v>408</v>
      </c>
    </row>
    <row r="384" spans="1:9" hidden="1" x14ac:dyDescent="0.25">
      <c r="A384" s="14" t="s">
        <v>193</v>
      </c>
      <c r="B384" s="14" t="s">
        <v>223</v>
      </c>
      <c r="C384" s="15" t="s">
        <v>21</v>
      </c>
      <c r="D384" s="16">
        <v>46127</v>
      </c>
      <c r="E384" s="17">
        <v>2540</v>
      </c>
      <c r="F384" s="14">
        <f>ROUNDDOWN(Leche[[#This Row],[N° LATAS]]/48,0)</f>
        <v>52</v>
      </c>
      <c r="G384" s="14">
        <f>Leche[[#This Row],[N° LATAS]]-Leche[[#This Row],[TOTAL CAJAS]]*48</f>
        <v>44</v>
      </c>
      <c r="H384" s="28">
        <v>46135</v>
      </c>
      <c r="I384" s="29" t="s">
        <v>408</v>
      </c>
    </row>
    <row r="385" spans="1:9" hidden="1" x14ac:dyDescent="0.25">
      <c r="A385" s="14" t="s">
        <v>193</v>
      </c>
      <c r="B385" s="14" t="s">
        <v>223</v>
      </c>
      <c r="C385" s="15" t="s">
        <v>22</v>
      </c>
      <c r="D385" s="16">
        <v>46157</v>
      </c>
      <c r="E385" s="17">
        <v>2540</v>
      </c>
      <c r="F385" s="14">
        <f>ROUNDDOWN(Leche[[#This Row],[N° LATAS]]/48,0)</f>
        <v>52</v>
      </c>
      <c r="G385" s="14">
        <f>Leche[[#This Row],[N° LATAS]]-Leche[[#This Row],[TOTAL CAJAS]]*48</f>
        <v>44</v>
      </c>
      <c r="H385" s="28">
        <v>46159</v>
      </c>
      <c r="I385" s="29" t="s">
        <v>408</v>
      </c>
    </row>
    <row r="386" spans="1:9" hidden="1" x14ac:dyDescent="0.25">
      <c r="A386" s="14" t="s">
        <v>193</v>
      </c>
      <c r="B386" s="14" t="s">
        <v>223</v>
      </c>
      <c r="C386" s="15" t="s">
        <v>23</v>
      </c>
      <c r="D386" s="16">
        <v>46188</v>
      </c>
      <c r="E386" s="17">
        <v>2540</v>
      </c>
      <c r="F386" s="14">
        <f>ROUNDDOWN(Leche[[#This Row],[N° LATAS]]/48,0)</f>
        <v>52</v>
      </c>
      <c r="G386" s="14">
        <f>Leche[[#This Row],[N° LATAS]]-Leche[[#This Row],[TOTAL CAJAS]]*48</f>
        <v>44</v>
      </c>
      <c r="H386" s="28">
        <v>46195</v>
      </c>
      <c r="I386" s="29" t="s">
        <v>408</v>
      </c>
    </row>
    <row r="387" spans="1:9" hidden="1" x14ac:dyDescent="0.25">
      <c r="A387" s="14" t="s">
        <v>193</v>
      </c>
      <c r="B387" s="14" t="s">
        <v>223</v>
      </c>
      <c r="C387" s="15" t="s">
        <v>24</v>
      </c>
      <c r="D387" s="16">
        <v>46218</v>
      </c>
      <c r="E387" s="17">
        <v>2540</v>
      </c>
      <c r="F387" s="14">
        <f>ROUNDDOWN(Leche[[#This Row],[N° LATAS]]/48,0)</f>
        <v>52</v>
      </c>
      <c r="G387" s="14">
        <f>Leche[[#This Row],[N° LATAS]]-Leche[[#This Row],[TOTAL CAJAS]]*48</f>
        <v>44</v>
      </c>
      <c r="H387" s="28">
        <v>46226</v>
      </c>
      <c r="I387" s="29" t="s">
        <v>408</v>
      </c>
    </row>
    <row r="388" spans="1:9" hidden="1" x14ac:dyDescent="0.25">
      <c r="A388" s="14" t="s">
        <v>193</v>
      </c>
      <c r="B388" s="14" t="s">
        <v>223</v>
      </c>
      <c r="C388" s="15" t="s">
        <v>30</v>
      </c>
      <c r="D388" s="16">
        <v>46249</v>
      </c>
      <c r="E388" s="17">
        <v>1064</v>
      </c>
      <c r="F388" s="14">
        <f>ROUNDDOWN(Leche[[#This Row],[N° LATAS]]/48,0)</f>
        <v>22</v>
      </c>
      <c r="G388" s="14">
        <f>Leche[[#This Row],[N° LATAS]]-Leche[[#This Row],[TOTAL CAJAS]]*48</f>
        <v>8</v>
      </c>
      <c r="H388" s="28">
        <v>46257</v>
      </c>
      <c r="I388" s="29" t="s">
        <v>408</v>
      </c>
    </row>
    <row r="389" spans="1:9" hidden="1" x14ac:dyDescent="0.25">
      <c r="A389" s="14" t="s">
        <v>193</v>
      </c>
      <c r="B389" s="14" t="s">
        <v>223</v>
      </c>
      <c r="C389" s="15" t="s">
        <v>25</v>
      </c>
      <c r="D389" s="16">
        <v>46249</v>
      </c>
      <c r="E389" s="17">
        <v>2540</v>
      </c>
      <c r="F389" s="14">
        <f>ROUNDDOWN(Leche[[#This Row],[N° LATAS]]/48,0)</f>
        <v>52</v>
      </c>
      <c r="G389" s="14">
        <f>Leche[[#This Row],[N° LATAS]]-Leche[[#This Row],[TOTAL CAJAS]]*48</f>
        <v>44</v>
      </c>
      <c r="H389" s="28">
        <v>46257</v>
      </c>
      <c r="I389" s="29" t="s">
        <v>408</v>
      </c>
    </row>
    <row r="390" spans="1:9" hidden="1" x14ac:dyDescent="0.25">
      <c r="A390" s="14" t="s">
        <v>193</v>
      </c>
      <c r="B390" s="14" t="s">
        <v>223</v>
      </c>
      <c r="C390" s="15" t="s">
        <v>26</v>
      </c>
      <c r="D390" s="16">
        <v>46280</v>
      </c>
      <c r="E390" s="17">
        <v>2540</v>
      </c>
      <c r="F390" s="14">
        <f>ROUNDDOWN(Leche[[#This Row],[N° LATAS]]/48,0)</f>
        <v>52</v>
      </c>
      <c r="G390" s="14">
        <f>Leche[[#This Row],[N° LATAS]]-Leche[[#This Row],[TOTAL CAJAS]]*48</f>
        <v>44</v>
      </c>
      <c r="H390" s="28">
        <v>46289</v>
      </c>
      <c r="I390" s="29" t="s">
        <v>408</v>
      </c>
    </row>
    <row r="391" spans="1:9" hidden="1" x14ac:dyDescent="0.25">
      <c r="A391" s="14" t="s">
        <v>193</v>
      </c>
      <c r="B391" s="14" t="s">
        <v>223</v>
      </c>
      <c r="C391" s="15" t="s">
        <v>27</v>
      </c>
      <c r="D391" s="16">
        <v>46310</v>
      </c>
      <c r="E391" s="17">
        <v>2540</v>
      </c>
      <c r="F391" s="14">
        <f>ROUNDDOWN(Leche[[#This Row],[N° LATAS]]/48,0)</f>
        <v>52</v>
      </c>
      <c r="G391" s="14">
        <f>Leche[[#This Row],[N° LATAS]]-Leche[[#This Row],[TOTAL CAJAS]]*48</f>
        <v>44</v>
      </c>
      <c r="H391" s="28"/>
      <c r="I391" s="29"/>
    </row>
    <row r="392" spans="1:9" hidden="1" x14ac:dyDescent="0.25">
      <c r="A392" s="14" t="s">
        <v>193</v>
      </c>
      <c r="B392" s="14" t="s">
        <v>223</v>
      </c>
      <c r="C392" s="15" t="s">
        <v>28</v>
      </c>
      <c r="D392" s="16">
        <v>46341</v>
      </c>
      <c r="E392" s="17">
        <v>2540</v>
      </c>
      <c r="F392" s="14">
        <f>ROUNDDOWN(Leche[[#This Row],[N° LATAS]]/48,0)</f>
        <v>52</v>
      </c>
      <c r="G392" s="14">
        <f>Leche[[#This Row],[N° LATAS]]-Leche[[#This Row],[TOTAL CAJAS]]*48</f>
        <v>44</v>
      </c>
      <c r="H392" s="28"/>
      <c r="I392" s="29"/>
    </row>
    <row r="393" spans="1:9" x14ac:dyDescent="0.25">
      <c r="A393" s="14" t="s">
        <v>14</v>
      </c>
      <c r="B393" s="14" t="s">
        <v>225</v>
      </c>
      <c r="C393" s="15" t="s">
        <v>35</v>
      </c>
      <c r="D393" s="16">
        <v>46117</v>
      </c>
      <c r="E393" s="17">
        <v>7020</v>
      </c>
      <c r="F393" s="14">
        <f>ROUNDDOWN(Leche[[#This Row],[N° LATAS]]/48,0)</f>
        <v>146</v>
      </c>
      <c r="G393" s="14">
        <f>Leche[[#This Row],[N° LATAS]]-Leche[[#This Row],[TOTAL CAJAS]]*48</f>
        <v>12</v>
      </c>
      <c r="H393" s="28">
        <v>46120</v>
      </c>
      <c r="I393" s="29" t="s">
        <v>408</v>
      </c>
    </row>
    <row r="394" spans="1:9" x14ac:dyDescent="0.25">
      <c r="A394" s="14" t="s">
        <v>14</v>
      </c>
      <c r="B394" s="14" t="s">
        <v>225</v>
      </c>
      <c r="C394" s="15" t="s">
        <v>37</v>
      </c>
      <c r="D394" s="16">
        <v>46154</v>
      </c>
      <c r="E394" s="17">
        <v>7020</v>
      </c>
      <c r="F394" s="14">
        <f>ROUNDDOWN(Leche[[#This Row],[N° LATAS]]/48,0)</f>
        <v>146</v>
      </c>
      <c r="G394" s="14">
        <f>Leche[[#This Row],[N° LATAS]]-Leche[[#This Row],[TOTAL CAJAS]]*48</f>
        <v>12</v>
      </c>
      <c r="H394" s="28">
        <v>46153</v>
      </c>
      <c r="I394" s="29" t="s">
        <v>408</v>
      </c>
    </row>
    <row r="395" spans="1:9" x14ac:dyDescent="0.25">
      <c r="A395" s="14" t="s">
        <v>14</v>
      </c>
      <c r="B395" s="14" t="s">
        <v>225</v>
      </c>
      <c r="C395" s="15" t="s">
        <v>38</v>
      </c>
      <c r="D395" s="16">
        <v>46203</v>
      </c>
      <c r="E395" s="17">
        <v>7020</v>
      </c>
      <c r="F395" s="14">
        <f>ROUNDDOWN(Leche[[#This Row],[N° LATAS]]/48,0)</f>
        <v>146</v>
      </c>
      <c r="G395" s="14">
        <f>Leche[[#This Row],[N° LATAS]]-Leche[[#This Row],[TOTAL CAJAS]]*48</f>
        <v>12</v>
      </c>
      <c r="H395" s="28">
        <v>46204</v>
      </c>
      <c r="I395" s="29" t="s">
        <v>408</v>
      </c>
    </row>
    <row r="396" spans="1:9" x14ac:dyDescent="0.25">
      <c r="A396" s="14" t="s">
        <v>14</v>
      </c>
      <c r="B396" s="14" t="s">
        <v>225</v>
      </c>
      <c r="C396" s="15" t="s">
        <v>30</v>
      </c>
      <c r="D396" s="16">
        <v>46203</v>
      </c>
      <c r="E396" s="17">
        <v>4680</v>
      </c>
      <c r="F396" s="14">
        <f>ROUNDDOWN(Leche[[#This Row],[N° LATAS]]/48,0)</f>
        <v>97</v>
      </c>
      <c r="G396" s="14">
        <f>Leche[[#This Row],[N° LATAS]]-Leche[[#This Row],[TOTAL CAJAS]]*48</f>
        <v>24</v>
      </c>
      <c r="H396" s="28">
        <v>46204</v>
      </c>
      <c r="I396" s="29" t="s">
        <v>408</v>
      </c>
    </row>
    <row r="397" spans="1:9" ht="22.5" x14ac:dyDescent="0.25">
      <c r="A397" s="14" t="s">
        <v>14</v>
      </c>
      <c r="B397" s="14" t="s">
        <v>225</v>
      </c>
      <c r="C397" s="15" t="s">
        <v>39</v>
      </c>
      <c r="D397" s="16">
        <v>46295</v>
      </c>
      <c r="E397" s="17">
        <v>7020</v>
      </c>
      <c r="F397" s="14">
        <f>ROUNDDOWN(Leche[[#This Row],[N° LATAS]]/48,0)</f>
        <v>146</v>
      </c>
      <c r="G397" s="14">
        <f>Leche[[#This Row],[N° LATAS]]-Leche[[#This Row],[TOTAL CAJAS]]*48</f>
        <v>12</v>
      </c>
      <c r="H397" s="28">
        <v>46294</v>
      </c>
      <c r="I397" s="29" t="s">
        <v>408</v>
      </c>
    </row>
    <row r="398" spans="1:9" hidden="1" x14ac:dyDescent="0.25">
      <c r="A398" s="14" t="s">
        <v>14</v>
      </c>
      <c r="B398" s="14" t="s">
        <v>423</v>
      </c>
      <c r="C398" s="15" t="s">
        <v>30</v>
      </c>
      <c r="D398" s="16">
        <v>46112</v>
      </c>
      <c r="E398" s="17">
        <f>3960*2</f>
        <v>7920</v>
      </c>
      <c r="F398" s="14">
        <f>ROUNDDOWN(Leche[[#This Row],[N° LATAS]]/48,0)</f>
        <v>165</v>
      </c>
      <c r="G398" s="14">
        <f>Leche[[#This Row],[N° LATAS]]-Leche[[#This Row],[TOTAL CAJAS]]*48</f>
        <v>0</v>
      </c>
      <c r="H398" s="28">
        <v>46116</v>
      </c>
      <c r="I398" s="29" t="s">
        <v>408</v>
      </c>
    </row>
    <row r="399" spans="1:9" hidden="1" x14ac:dyDescent="0.25">
      <c r="A399" s="14" t="s">
        <v>14</v>
      </c>
      <c r="B399" s="14" t="s">
        <v>423</v>
      </c>
      <c r="C399" s="15" t="s">
        <v>30</v>
      </c>
      <c r="D399" s="16">
        <v>46203</v>
      </c>
      <c r="E399" s="17">
        <v>3960</v>
      </c>
      <c r="F399" s="14">
        <f>ROUNDDOWN(Leche[[#This Row],[N° LATAS]]/48,0)</f>
        <v>82</v>
      </c>
      <c r="G399" s="14">
        <f>Leche[[#This Row],[N° LATAS]]-Leche[[#This Row],[TOTAL CAJAS]]*48</f>
        <v>24</v>
      </c>
      <c r="H399" s="28">
        <v>46185</v>
      </c>
      <c r="I399" s="29" t="s">
        <v>408</v>
      </c>
    </row>
    <row r="400" spans="1:9" hidden="1" x14ac:dyDescent="0.25">
      <c r="A400" s="14" t="s">
        <v>14</v>
      </c>
      <c r="B400" s="14" t="s">
        <v>423</v>
      </c>
      <c r="C400" s="15" t="s">
        <v>30</v>
      </c>
      <c r="D400" s="16">
        <v>46295</v>
      </c>
      <c r="E400" s="17">
        <v>3960</v>
      </c>
      <c r="F400" s="14">
        <f>ROUNDDOWN(Leche[[#This Row],[N° LATAS]]/48,0)</f>
        <v>82</v>
      </c>
      <c r="G400" s="14">
        <f>Leche[[#This Row],[N° LATAS]]-Leche[[#This Row],[TOTAL CAJAS]]*48</f>
        <v>24</v>
      </c>
      <c r="H400" s="28">
        <v>46280</v>
      </c>
      <c r="I400" s="29" t="s">
        <v>408</v>
      </c>
    </row>
    <row r="401" spans="1:9" hidden="1" x14ac:dyDescent="0.25">
      <c r="A401" s="14" t="s">
        <v>14</v>
      </c>
      <c r="B401" s="14" t="s">
        <v>231</v>
      </c>
      <c r="C401" s="15" t="s">
        <v>16</v>
      </c>
      <c r="D401" s="16">
        <v>46027</v>
      </c>
      <c r="E401" s="17">
        <v>4537</v>
      </c>
      <c r="F401" s="14">
        <f>ROUNDDOWN(Leche[[#This Row],[N° LATAS]]/48,0)</f>
        <v>94</v>
      </c>
      <c r="G401" s="14">
        <f>Leche[[#This Row],[N° LATAS]]-Leche[[#This Row],[TOTAL CAJAS]]*48</f>
        <v>25</v>
      </c>
      <c r="H401" s="28">
        <v>46032</v>
      </c>
      <c r="I401" s="29" t="s">
        <v>408</v>
      </c>
    </row>
    <row r="402" spans="1:9" hidden="1" x14ac:dyDescent="0.25">
      <c r="A402" s="14" t="s">
        <v>14</v>
      </c>
      <c r="B402" s="14" t="s">
        <v>231</v>
      </c>
      <c r="C402" s="15" t="s">
        <v>18</v>
      </c>
      <c r="D402" s="16">
        <v>46045</v>
      </c>
      <c r="E402" s="17">
        <v>4098</v>
      </c>
      <c r="F402" s="14">
        <f>ROUNDDOWN(Leche[[#This Row],[N° LATAS]]/48,0)</f>
        <v>85</v>
      </c>
      <c r="G402" s="14">
        <f>Leche[[#This Row],[N° LATAS]]-Leche[[#This Row],[TOTAL CAJAS]]*48</f>
        <v>18</v>
      </c>
      <c r="H402" s="28">
        <v>46041</v>
      </c>
      <c r="I402" s="29" t="s">
        <v>408</v>
      </c>
    </row>
    <row r="403" spans="1:9" hidden="1" x14ac:dyDescent="0.25">
      <c r="A403" s="14" t="s">
        <v>14</v>
      </c>
      <c r="B403" s="14" t="s">
        <v>231</v>
      </c>
      <c r="C403" s="15" t="s">
        <v>19</v>
      </c>
      <c r="D403" s="16">
        <v>46073</v>
      </c>
      <c r="E403" s="17">
        <v>4537</v>
      </c>
      <c r="F403" s="14">
        <f>ROUNDDOWN(Leche[[#This Row],[N° LATAS]]/48,0)</f>
        <v>94</v>
      </c>
      <c r="G403" s="14">
        <f>Leche[[#This Row],[N° LATAS]]-Leche[[#This Row],[TOTAL CAJAS]]*48</f>
        <v>25</v>
      </c>
      <c r="H403" s="28">
        <v>46063</v>
      </c>
      <c r="I403" s="29" t="s">
        <v>408</v>
      </c>
    </row>
    <row r="404" spans="1:9" hidden="1" x14ac:dyDescent="0.25">
      <c r="A404" s="14" t="s">
        <v>14</v>
      </c>
      <c r="B404" s="14" t="s">
        <v>231</v>
      </c>
      <c r="C404" s="15" t="s">
        <v>20</v>
      </c>
      <c r="D404" s="16">
        <v>46101</v>
      </c>
      <c r="E404" s="17">
        <v>4390</v>
      </c>
      <c r="F404" s="14">
        <f>ROUNDDOWN(Leche[[#This Row],[N° LATAS]]/48,0)</f>
        <v>91</v>
      </c>
      <c r="G404" s="14">
        <f>Leche[[#This Row],[N° LATAS]]-Leche[[#This Row],[TOTAL CAJAS]]*48</f>
        <v>22</v>
      </c>
      <c r="H404" s="28">
        <v>46109</v>
      </c>
      <c r="I404" s="29" t="s">
        <v>408</v>
      </c>
    </row>
    <row r="405" spans="1:9" hidden="1" x14ac:dyDescent="0.25">
      <c r="A405" s="14" t="s">
        <v>14</v>
      </c>
      <c r="B405" s="14" t="s">
        <v>231</v>
      </c>
      <c r="C405" s="15" t="s">
        <v>21</v>
      </c>
      <c r="D405" s="16">
        <v>46133</v>
      </c>
      <c r="E405" s="17">
        <v>4537</v>
      </c>
      <c r="F405" s="14">
        <f>ROUNDDOWN(Leche[[#This Row],[N° LATAS]]/48,0)</f>
        <v>94</v>
      </c>
      <c r="G405" s="14">
        <f>Leche[[#This Row],[N° LATAS]]-Leche[[#This Row],[TOTAL CAJAS]]*48</f>
        <v>25</v>
      </c>
      <c r="H405" s="28">
        <v>46121</v>
      </c>
      <c r="I405" s="29" t="s">
        <v>408</v>
      </c>
    </row>
    <row r="406" spans="1:9" hidden="1" x14ac:dyDescent="0.25">
      <c r="A406" s="14" t="s">
        <v>14</v>
      </c>
      <c r="B406" s="14" t="s">
        <v>231</v>
      </c>
      <c r="C406" s="15" t="s">
        <v>22</v>
      </c>
      <c r="D406" s="16">
        <v>46162</v>
      </c>
      <c r="E406" s="17">
        <v>4390</v>
      </c>
      <c r="F406" s="14">
        <f>ROUNDDOWN(Leche[[#This Row],[N° LATAS]]/48,0)</f>
        <v>91</v>
      </c>
      <c r="G406" s="14">
        <f>Leche[[#This Row],[N° LATAS]]-Leche[[#This Row],[TOTAL CAJAS]]*48</f>
        <v>22</v>
      </c>
      <c r="H406" s="28">
        <v>46162</v>
      </c>
      <c r="I406" s="29" t="s">
        <v>408</v>
      </c>
    </row>
    <row r="407" spans="1:9" hidden="1" x14ac:dyDescent="0.25">
      <c r="A407" s="14" t="s">
        <v>14</v>
      </c>
      <c r="B407" s="14" t="s">
        <v>231</v>
      </c>
      <c r="C407" s="15" t="s">
        <v>23</v>
      </c>
      <c r="D407" s="16">
        <v>46195</v>
      </c>
      <c r="E407" s="17">
        <v>4537</v>
      </c>
      <c r="F407" s="14">
        <f>ROUNDDOWN(Leche[[#This Row],[N° LATAS]]/48,0)</f>
        <v>94</v>
      </c>
      <c r="G407" s="14">
        <f>Leche[[#This Row],[N° LATAS]]-Leche[[#This Row],[TOTAL CAJAS]]*48</f>
        <v>25</v>
      </c>
      <c r="H407" s="28">
        <v>46178</v>
      </c>
      <c r="I407" s="29" t="s">
        <v>408</v>
      </c>
    </row>
    <row r="408" spans="1:9" hidden="1" x14ac:dyDescent="0.25">
      <c r="A408" s="14" t="s">
        <v>14</v>
      </c>
      <c r="B408" s="14" t="s">
        <v>231</v>
      </c>
      <c r="C408" s="15" t="s">
        <v>24</v>
      </c>
      <c r="D408" s="16">
        <v>46224</v>
      </c>
      <c r="E408" s="17">
        <v>4537</v>
      </c>
      <c r="F408" s="14">
        <f>ROUNDDOWN(Leche[[#This Row],[N° LATAS]]/48,0)</f>
        <v>94</v>
      </c>
      <c r="G408" s="14">
        <f>Leche[[#This Row],[N° LATAS]]-Leche[[#This Row],[TOTAL CAJAS]]*48</f>
        <v>25</v>
      </c>
      <c r="H408" s="28">
        <v>46214</v>
      </c>
      <c r="I408" s="29" t="s">
        <v>408</v>
      </c>
    </row>
    <row r="409" spans="1:9" hidden="1" x14ac:dyDescent="0.25">
      <c r="A409" s="14" t="s">
        <v>14</v>
      </c>
      <c r="B409" s="14" t="s">
        <v>231</v>
      </c>
      <c r="C409" s="15" t="s">
        <v>25</v>
      </c>
      <c r="D409" s="16">
        <v>46253</v>
      </c>
      <c r="E409" s="17">
        <v>4390</v>
      </c>
      <c r="F409" s="14">
        <f>ROUNDDOWN(Leche[[#This Row],[N° LATAS]]/48,0)</f>
        <v>91</v>
      </c>
      <c r="G409" s="14">
        <f>Leche[[#This Row],[N° LATAS]]-Leche[[#This Row],[TOTAL CAJAS]]*48</f>
        <v>22</v>
      </c>
      <c r="H409" s="28">
        <v>46234</v>
      </c>
      <c r="I409" s="29" t="s">
        <v>408</v>
      </c>
    </row>
    <row r="410" spans="1:9" hidden="1" x14ac:dyDescent="0.25">
      <c r="A410" s="14" t="s">
        <v>14</v>
      </c>
      <c r="B410" s="14" t="s">
        <v>231</v>
      </c>
      <c r="C410" s="15" t="s">
        <v>26</v>
      </c>
      <c r="D410" s="16">
        <v>46286</v>
      </c>
      <c r="E410" s="17">
        <v>4537</v>
      </c>
      <c r="F410" s="14">
        <f>ROUNDDOWN(Leche[[#This Row],[N° LATAS]]/48,0)</f>
        <v>94</v>
      </c>
      <c r="G410" s="14">
        <f>Leche[[#This Row],[N° LATAS]]-Leche[[#This Row],[TOTAL CAJAS]]*48</f>
        <v>25</v>
      </c>
      <c r="H410" s="28">
        <v>46273</v>
      </c>
      <c r="I410" s="29" t="s">
        <v>408</v>
      </c>
    </row>
    <row r="411" spans="1:9" hidden="1" x14ac:dyDescent="0.25">
      <c r="A411" s="14" t="s">
        <v>14</v>
      </c>
      <c r="B411" s="14" t="s">
        <v>231</v>
      </c>
      <c r="C411" s="15" t="s">
        <v>27</v>
      </c>
      <c r="D411" s="16">
        <v>46315</v>
      </c>
      <c r="E411" s="17">
        <v>4390</v>
      </c>
      <c r="F411" s="14">
        <f>ROUNDDOWN(Leche[[#This Row],[N° LATAS]]/48,0)</f>
        <v>91</v>
      </c>
      <c r="G411" s="14">
        <f>Leche[[#This Row],[N° LATAS]]-Leche[[#This Row],[TOTAL CAJAS]]*48</f>
        <v>22</v>
      </c>
      <c r="H411" s="28"/>
      <c r="I411" s="29"/>
    </row>
    <row r="412" spans="1:9" hidden="1" x14ac:dyDescent="0.25">
      <c r="A412" s="14" t="s">
        <v>14</v>
      </c>
      <c r="B412" s="14" t="s">
        <v>231</v>
      </c>
      <c r="C412" s="15" t="s">
        <v>28</v>
      </c>
      <c r="D412" s="16">
        <v>46346</v>
      </c>
      <c r="E412" s="17">
        <v>4525</v>
      </c>
      <c r="F412" s="14">
        <f>ROUNDDOWN(Leche[[#This Row],[N° LATAS]]/48,0)</f>
        <v>94</v>
      </c>
      <c r="G412" s="14">
        <f>Leche[[#This Row],[N° LATAS]]-Leche[[#This Row],[TOTAL CAJAS]]*48</f>
        <v>13</v>
      </c>
      <c r="H412" s="28"/>
      <c r="I412" s="29"/>
    </row>
    <row r="413" spans="1:9" hidden="1" x14ac:dyDescent="0.25">
      <c r="A413" s="14" t="s">
        <v>14</v>
      </c>
      <c r="B413" s="14" t="s">
        <v>236</v>
      </c>
      <c r="C413" s="15" t="s">
        <v>122</v>
      </c>
      <c r="D413" s="16">
        <v>46081</v>
      </c>
      <c r="E413" s="17">
        <v>5840</v>
      </c>
      <c r="F413" s="14">
        <f>ROUNDDOWN(Leche[[#This Row],[N° LATAS]]/48,0)</f>
        <v>121</v>
      </c>
      <c r="G413" s="14">
        <f>Leche[[#This Row],[N° LATAS]]-Leche[[#This Row],[TOTAL CAJAS]]*48</f>
        <v>32</v>
      </c>
      <c r="H413" s="28">
        <v>46084</v>
      </c>
      <c r="I413" s="29" t="s">
        <v>408</v>
      </c>
    </row>
    <row r="414" spans="1:9" hidden="1" x14ac:dyDescent="0.25">
      <c r="A414" s="14" t="s">
        <v>14</v>
      </c>
      <c r="B414" s="14" t="s">
        <v>236</v>
      </c>
      <c r="C414" s="15" t="s">
        <v>43</v>
      </c>
      <c r="D414" s="16">
        <v>46136</v>
      </c>
      <c r="E414" s="17">
        <v>5840</v>
      </c>
      <c r="F414" s="14">
        <f>ROUNDDOWN(Leche[[#This Row],[N° LATAS]]/48,0)</f>
        <v>121</v>
      </c>
      <c r="G414" s="14">
        <f>Leche[[#This Row],[N° LATAS]]-Leche[[#This Row],[TOTAL CAJAS]]*48</f>
        <v>32</v>
      </c>
      <c r="H414" s="28">
        <v>46135</v>
      </c>
      <c r="I414" s="29" t="s">
        <v>408</v>
      </c>
    </row>
    <row r="415" spans="1:9" hidden="1" x14ac:dyDescent="0.25">
      <c r="A415" s="14" t="s">
        <v>14</v>
      </c>
      <c r="B415" s="14" t="s">
        <v>236</v>
      </c>
      <c r="C415" s="15" t="s">
        <v>44</v>
      </c>
      <c r="D415" s="16">
        <v>46199</v>
      </c>
      <c r="E415" s="17">
        <v>5840</v>
      </c>
      <c r="F415" s="14">
        <f>ROUNDDOWN(Leche[[#This Row],[N° LATAS]]/48,0)</f>
        <v>121</v>
      </c>
      <c r="G415" s="14">
        <f>Leche[[#This Row],[N° LATAS]]-Leche[[#This Row],[TOTAL CAJAS]]*48</f>
        <v>32</v>
      </c>
      <c r="H415" s="28">
        <v>46198</v>
      </c>
      <c r="I415" s="29" t="s">
        <v>408</v>
      </c>
    </row>
    <row r="416" spans="1:9" hidden="1" x14ac:dyDescent="0.25">
      <c r="A416" s="14" t="s">
        <v>14</v>
      </c>
      <c r="B416" s="14" t="s">
        <v>236</v>
      </c>
      <c r="C416" s="15" t="s">
        <v>30</v>
      </c>
      <c r="D416" s="16">
        <v>46216</v>
      </c>
      <c r="E416" s="17">
        <v>1460</v>
      </c>
      <c r="F416" s="14">
        <f>ROUNDDOWN(Leche[[#This Row],[N° LATAS]]/48,0)</f>
        <v>30</v>
      </c>
      <c r="G416" s="14">
        <f>Leche[[#This Row],[N° LATAS]]-Leche[[#This Row],[TOTAL CAJAS]]*48</f>
        <v>20</v>
      </c>
      <c r="H416" s="28">
        <v>46251</v>
      </c>
      <c r="I416" s="29" t="s">
        <v>408</v>
      </c>
    </row>
    <row r="417" spans="1:9" hidden="1" x14ac:dyDescent="0.25">
      <c r="A417" s="14" t="s">
        <v>14</v>
      </c>
      <c r="B417" s="14" t="s">
        <v>236</v>
      </c>
      <c r="C417" s="15" t="s">
        <v>45</v>
      </c>
      <c r="D417" s="16">
        <v>46262</v>
      </c>
      <c r="E417" s="17">
        <v>5840</v>
      </c>
      <c r="F417" s="14">
        <f>ROUNDDOWN(Leche[[#This Row],[N° LATAS]]/48,0)</f>
        <v>121</v>
      </c>
      <c r="G417" s="14">
        <f>Leche[[#This Row],[N° LATAS]]-Leche[[#This Row],[TOTAL CAJAS]]*48</f>
        <v>32</v>
      </c>
      <c r="H417" s="28">
        <v>46251</v>
      </c>
      <c r="I417" s="29" t="s">
        <v>408</v>
      </c>
    </row>
    <row r="418" spans="1:9" hidden="1" x14ac:dyDescent="0.25">
      <c r="A418" s="14" t="s">
        <v>14</v>
      </c>
      <c r="B418" s="14" t="s">
        <v>236</v>
      </c>
      <c r="C418" s="15" t="s">
        <v>46</v>
      </c>
      <c r="D418" s="16">
        <v>46325</v>
      </c>
      <c r="E418" s="17">
        <v>5840</v>
      </c>
      <c r="F418" s="14">
        <f>ROUNDDOWN(Leche[[#This Row],[N° LATAS]]/48,0)</f>
        <v>121</v>
      </c>
      <c r="G418" s="14">
        <f>Leche[[#This Row],[N° LATAS]]-Leche[[#This Row],[TOTAL CAJAS]]*48</f>
        <v>32</v>
      </c>
      <c r="H418" s="28"/>
      <c r="I418" s="29"/>
    </row>
    <row r="419" spans="1:9" hidden="1" x14ac:dyDescent="0.25">
      <c r="A419" s="14" t="s">
        <v>14</v>
      </c>
      <c r="B419" s="14" t="s">
        <v>241</v>
      </c>
      <c r="C419" s="15" t="s">
        <v>121</v>
      </c>
      <c r="D419" s="16">
        <v>46091</v>
      </c>
      <c r="E419" s="17">
        <v>1192</v>
      </c>
      <c r="F419" s="14">
        <f>ROUNDDOWN(Leche[[#This Row],[N° LATAS]]/48,0)</f>
        <v>24</v>
      </c>
      <c r="G419" s="14">
        <f>Leche[[#This Row],[N° LATAS]]-Leche[[#This Row],[TOTAL CAJAS]]*48</f>
        <v>40</v>
      </c>
      <c r="H419" s="28">
        <v>46091</v>
      </c>
      <c r="I419" s="29" t="s">
        <v>408</v>
      </c>
    </row>
    <row r="420" spans="1:9" hidden="1" x14ac:dyDescent="0.25">
      <c r="A420" s="14" t="s">
        <v>14</v>
      </c>
      <c r="B420" s="14" t="s">
        <v>241</v>
      </c>
      <c r="C420" s="15" t="s">
        <v>19</v>
      </c>
      <c r="D420" s="16">
        <v>46091</v>
      </c>
      <c r="E420" s="17">
        <v>596</v>
      </c>
      <c r="F420" s="14">
        <f>ROUNDDOWN(Leche[[#This Row],[N° LATAS]]/48,0)</f>
        <v>12</v>
      </c>
      <c r="G420" s="14">
        <f>Leche[[#This Row],[N° LATAS]]-Leche[[#This Row],[TOTAL CAJAS]]*48</f>
        <v>20</v>
      </c>
      <c r="H420" s="28">
        <v>46091</v>
      </c>
      <c r="I420" s="29" t="s">
        <v>408</v>
      </c>
    </row>
    <row r="421" spans="1:9" hidden="1" x14ac:dyDescent="0.25">
      <c r="A421" s="14" t="s">
        <v>14</v>
      </c>
      <c r="B421" s="14" t="s">
        <v>241</v>
      </c>
      <c r="C421" s="15" t="s">
        <v>20</v>
      </c>
      <c r="D421" s="16">
        <v>46091</v>
      </c>
      <c r="E421" s="17">
        <v>596</v>
      </c>
      <c r="F421" s="14">
        <f>ROUNDDOWN(Leche[[#This Row],[N° LATAS]]/48,0)</f>
        <v>12</v>
      </c>
      <c r="G421" s="14">
        <f>Leche[[#This Row],[N° LATAS]]-Leche[[#This Row],[TOTAL CAJAS]]*48</f>
        <v>20</v>
      </c>
      <c r="H421" s="28">
        <v>46091</v>
      </c>
      <c r="I421" s="29" t="s">
        <v>408</v>
      </c>
    </row>
    <row r="422" spans="1:9" hidden="1" x14ac:dyDescent="0.25">
      <c r="A422" s="14" t="s">
        <v>14</v>
      </c>
      <c r="B422" s="14" t="s">
        <v>241</v>
      </c>
      <c r="C422" s="15" t="s">
        <v>21</v>
      </c>
      <c r="D422" s="16">
        <v>46152</v>
      </c>
      <c r="E422" s="17">
        <v>596</v>
      </c>
      <c r="F422" s="14">
        <f>ROUNDDOWN(Leche[[#This Row],[N° LATAS]]/48,0)</f>
        <v>12</v>
      </c>
      <c r="G422" s="14">
        <f>Leche[[#This Row],[N° LATAS]]-Leche[[#This Row],[TOTAL CAJAS]]*48</f>
        <v>20</v>
      </c>
      <c r="H422" s="28">
        <v>46152</v>
      </c>
      <c r="I422" s="29" t="s">
        <v>408</v>
      </c>
    </row>
    <row r="423" spans="1:9" hidden="1" x14ac:dyDescent="0.25">
      <c r="A423" s="14" t="s">
        <v>14</v>
      </c>
      <c r="B423" s="14" t="s">
        <v>241</v>
      </c>
      <c r="C423" s="15" t="s">
        <v>22</v>
      </c>
      <c r="D423" s="16">
        <v>46152</v>
      </c>
      <c r="E423" s="17">
        <v>596</v>
      </c>
      <c r="F423" s="14">
        <f>ROUNDDOWN(Leche[[#This Row],[N° LATAS]]/48,0)</f>
        <v>12</v>
      </c>
      <c r="G423" s="14">
        <f>Leche[[#This Row],[N° LATAS]]-Leche[[#This Row],[TOTAL CAJAS]]*48</f>
        <v>20</v>
      </c>
      <c r="H423" s="28">
        <v>46152</v>
      </c>
      <c r="I423" s="29" t="s">
        <v>408</v>
      </c>
    </row>
    <row r="424" spans="1:9" hidden="1" x14ac:dyDescent="0.25">
      <c r="A424" s="14" t="s">
        <v>14</v>
      </c>
      <c r="B424" s="14" t="s">
        <v>241</v>
      </c>
      <c r="C424" s="15" t="s">
        <v>23</v>
      </c>
      <c r="D424" s="16">
        <v>46203</v>
      </c>
      <c r="E424" s="17">
        <v>596</v>
      </c>
      <c r="F424" s="14">
        <f>ROUNDDOWN(Leche[[#This Row],[N° LATAS]]/48,0)</f>
        <v>12</v>
      </c>
      <c r="G424" s="14">
        <f>Leche[[#This Row],[N° LATAS]]-Leche[[#This Row],[TOTAL CAJAS]]*48</f>
        <v>20</v>
      </c>
      <c r="H424" s="28">
        <v>46205</v>
      </c>
      <c r="I424" s="29" t="s">
        <v>408</v>
      </c>
    </row>
    <row r="425" spans="1:9" hidden="1" x14ac:dyDescent="0.25">
      <c r="A425" s="14" t="s">
        <v>14</v>
      </c>
      <c r="B425" s="14" t="s">
        <v>241</v>
      </c>
      <c r="C425" s="15" t="s">
        <v>24</v>
      </c>
      <c r="D425" s="16">
        <v>46203</v>
      </c>
      <c r="E425" s="17">
        <v>596</v>
      </c>
      <c r="F425" s="14">
        <f>ROUNDDOWN(Leche[[#This Row],[N° LATAS]]/48,0)</f>
        <v>12</v>
      </c>
      <c r="G425" s="14">
        <f>Leche[[#This Row],[N° LATAS]]-Leche[[#This Row],[TOTAL CAJAS]]*48</f>
        <v>20</v>
      </c>
      <c r="H425" s="28">
        <v>46205</v>
      </c>
      <c r="I425" s="29" t="s">
        <v>408</v>
      </c>
    </row>
    <row r="426" spans="1:9" hidden="1" x14ac:dyDescent="0.25">
      <c r="A426" s="14" t="s">
        <v>14</v>
      </c>
      <c r="B426" s="14" t="s">
        <v>241</v>
      </c>
      <c r="C426" s="15" t="s">
        <v>25</v>
      </c>
      <c r="D426" s="16">
        <v>46265</v>
      </c>
      <c r="E426" s="17">
        <v>596</v>
      </c>
      <c r="F426" s="14">
        <f>ROUNDDOWN(Leche[[#This Row],[N° LATAS]]/48,0)</f>
        <v>12</v>
      </c>
      <c r="G426" s="14">
        <f>Leche[[#This Row],[N° LATAS]]-Leche[[#This Row],[TOTAL CAJAS]]*48</f>
        <v>20</v>
      </c>
      <c r="H426" s="28">
        <v>46276</v>
      </c>
      <c r="I426" s="29" t="s">
        <v>408</v>
      </c>
    </row>
    <row r="427" spans="1:9" hidden="1" x14ac:dyDescent="0.25">
      <c r="A427" s="14" t="s">
        <v>14</v>
      </c>
      <c r="B427" s="14" t="s">
        <v>241</v>
      </c>
      <c r="C427" s="15" t="s">
        <v>26</v>
      </c>
      <c r="D427" s="16">
        <v>46265</v>
      </c>
      <c r="E427" s="17">
        <v>596</v>
      </c>
      <c r="F427" s="14">
        <f>ROUNDDOWN(Leche[[#This Row],[N° LATAS]]/48,0)</f>
        <v>12</v>
      </c>
      <c r="G427" s="14">
        <f>Leche[[#This Row],[N° LATAS]]-Leche[[#This Row],[TOTAL CAJAS]]*48</f>
        <v>20</v>
      </c>
      <c r="H427" s="28">
        <v>46276</v>
      </c>
      <c r="I427" s="29" t="s">
        <v>408</v>
      </c>
    </row>
    <row r="428" spans="1:9" hidden="1" x14ac:dyDescent="0.25">
      <c r="A428" s="14" t="s">
        <v>14</v>
      </c>
      <c r="B428" s="14" t="s">
        <v>241</v>
      </c>
      <c r="C428" s="15" t="s">
        <v>27</v>
      </c>
      <c r="D428" s="16">
        <v>46326</v>
      </c>
      <c r="E428" s="17">
        <v>596</v>
      </c>
      <c r="F428" s="14">
        <f>ROUNDDOWN(Leche[[#This Row],[N° LATAS]]/48,0)</f>
        <v>12</v>
      </c>
      <c r="G428" s="14">
        <f>Leche[[#This Row],[N° LATAS]]-Leche[[#This Row],[TOTAL CAJAS]]*48</f>
        <v>20</v>
      </c>
      <c r="H428" s="28"/>
      <c r="I428" s="29"/>
    </row>
    <row r="429" spans="1:9" hidden="1" x14ac:dyDescent="0.25">
      <c r="A429" s="14" t="s">
        <v>14</v>
      </c>
      <c r="B429" s="14" t="s">
        <v>241</v>
      </c>
      <c r="C429" s="15" t="s">
        <v>28</v>
      </c>
      <c r="D429" s="16">
        <v>46326</v>
      </c>
      <c r="E429" s="17">
        <v>596</v>
      </c>
      <c r="F429" s="14">
        <f>ROUNDDOWN(Leche[[#This Row],[N° LATAS]]/48,0)</f>
        <v>12</v>
      </c>
      <c r="G429" s="14">
        <f>Leche[[#This Row],[N° LATAS]]-Leche[[#This Row],[TOTAL CAJAS]]*48</f>
        <v>20</v>
      </c>
      <c r="H429" s="28"/>
      <c r="I429" s="29"/>
    </row>
    <row r="430" spans="1:9" hidden="1" x14ac:dyDescent="0.25">
      <c r="A430" s="14" t="s">
        <v>14</v>
      </c>
      <c r="B430" s="14" t="s">
        <v>245</v>
      </c>
      <c r="C430" s="15" t="s">
        <v>30</v>
      </c>
      <c r="D430" s="16">
        <v>46052</v>
      </c>
      <c r="E430" s="17">
        <v>2640</v>
      </c>
      <c r="F430" s="14">
        <f>ROUNDDOWN(Leche[[#This Row],[N° LATAS]]/48,0)</f>
        <v>55</v>
      </c>
      <c r="G430" s="14">
        <f>Leche[[#This Row],[N° LATAS]]-Leche[[#This Row],[TOTAL CAJAS]]*48</f>
        <v>0</v>
      </c>
      <c r="H430" s="28">
        <v>46054</v>
      </c>
      <c r="I430" s="29" t="s">
        <v>408</v>
      </c>
    </row>
    <row r="431" spans="1:9" hidden="1" x14ac:dyDescent="0.25">
      <c r="A431" s="14" t="s">
        <v>14</v>
      </c>
      <c r="B431" s="14" t="s">
        <v>245</v>
      </c>
      <c r="C431" s="15" t="s">
        <v>20</v>
      </c>
      <c r="D431" s="16">
        <v>46128</v>
      </c>
      <c r="E431" s="17">
        <v>880</v>
      </c>
      <c r="F431" s="14">
        <f>ROUNDDOWN(Leche[[#This Row],[N° LATAS]]/48,0)</f>
        <v>18</v>
      </c>
      <c r="G431" s="14">
        <f>Leche[[#This Row],[N° LATAS]]-Leche[[#This Row],[TOTAL CAJAS]]*48</f>
        <v>16</v>
      </c>
      <c r="H431" s="28">
        <v>46128</v>
      </c>
      <c r="I431" s="29" t="s">
        <v>408</v>
      </c>
    </row>
    <row r="432" spans="1:9" hidden="1" x14ac:dyDescent="0.25">
      <c r="A432" s="14" t="s">
        <v>14</v>
      </c>
      <c r="B432" s="14" t="s">
        <v>245</v>
      </c>
      <c r="C432" s="15" t="s">
        <v>21</v>
      </c>
      <c r="D432" s="16">
        <v>46128</v>
      </c>
      <c r="E432" s="17">
        <v>880</v>
      </c>
      <c r="F432" s="14">
        <f>ROUNDDOWN(Leche[[#This Row],[N° LATAS]]/48,0)</f>
        <v>18</v>
      </c>
      <c r="G432" s="14">
        <f>Leche[[#This Row],[N° LATAS]]-Leche[[#This Row],[TOTAL CAJAS]]*48</f>
        <v>16</v>
      </c>
      <c r="H432" s="28">
        <v>46141</v>
      </c>
      <c r="I432" s="29" t="s">
        <v>408</v>
      </c>
    </row>
    <row r="433" spans="1:9" hidden="1" x14ac:dyDescent="0.25">
      <c r="A433" s="14" t="s">
        <v>14</v>
      </c>
      <c r="B433" s="14" t="s">
        <v>245</v>
      </c>
      <c r="C433" s="15" t="s">
        <v>22</v>
      </c>
      <c r="D433" s="16">
        <v>46128</v>
      </c>
      <c r="E433" s="17">
        <v>880</v>
      </c>
      <c r="F433" s="14">
        <f>ROUNDDOWN(Leche[[#This Row],[N° LATAS]]/48,0)</f>
        <v>18</v>
      </c>
      <c r="G433" s="14">
        <f>Leche[[#This Row],[N° LATAS]]-Leche[[#This Row],[TOTAL CAJAS]]*48</f>
        <v>16</v>
      </c>
      <c r="H433" s="28">
        <v>46141</v>
      </c>
      <c r="I433" s="29" t="s">
        <v>408</v>
      </c>
    </row>
    <row r="434" spans="1:9" hidden="1" x14ac:dyDescent="0.25">
      <c r="A434" s="14" t="s">
        <v>14</v>
      </c>
      <c r="B434" s="14" t="s">
        <v>245</v>
      </c>
      <c r="C434" s="15" t="s">
        <v>23</v>
      </c>
      <c r="D434" s="16">
        <v>46189</v>
      </c>
      <c r="E434" s="17">
        <v>880</v>
      </c>
      <c r="F434" s="14">
        <f>ROUNDDOWN(Leche[[#This Row],[N° LATAS]]/48,0)</f>
        <v>18</v>
      </c>
      <c r="G434" s="14">
        <f>Leche[[#This Row],[N° LATAS]]-Leche[[#This Row],[TOTAL CAJAS]]*48</f>
        <v>16</v>
      </c>
      <c r="H434" s="28">
        <v>46198</v>
      </c>
      <c r="I434" s="29" t="s">
        <v>408</v>
      </c>
    </row>
    <row r="435" spans="1:9" hidden="1" x14ac:dyDescent="0.25">
      <c r="A435" s="14" t="s">
        <v>14</v>
      </c>
      <c r="B435" s="14" t="s">
        <v>245</v>
      </c>
      <c r="C435" s="15" t="s">
        <v>24</v>
      </c>
      <c r="D435" s="16">
        <v>46189</v>
      </c>
      <c r="E435" s="17">
        <v>880</v>
      </c>
      <c r="F435" s="14">
        <f>ROUNDDOWN(Leche[[#This Row],[N° LATAS]]/48,0)</f>
        <v>18</v>
      </c>
      <c r="G435" s="14">
        <f>Leche[[#This Row],[N° LATAS]]-Leche[[#This Row],[TOTAL CAJAS]]*48</f>
        <v>16</v>
      </c>
      <c r="H435" s="28">
        <v>46198</v>
      </c>
      <c r="I435" s="29" t="s">
        <v>408</v>
      </c>
    </row>
    <row r="436" spans="1:9" hidden="1" x14ac:dyDescent="0.25">
      <c r="A436" s="14" t="s">
        <v>14</v>
      </c>
      <c r="B436" s="14" t="s">
        <v>245</v>
      </c>
      <c r="C436" s="15" t="s">
        <v>67</v>
      </c>
      <c r="D436" s="16">
        <v>46189</v>
      </c>
      <c r="E436" s="17">
        <v>880</v>
      </c>
      <c r="F436" s="14">
        <f>ROUNDDOWN(Leche[[#This Row],[N° LATAS]]/48,0)</f>
        <v>18</v>
      </c>
      <c r="G436" s="14">
        <f>Leche[[#This Row],[N° LATAS]]-Leche[[#This Row],[TOTAL CAJAS]]*48</f>
        <v>16</v>
      </c>
      <c r="H436" s="28">
        <v>46198</v>
      </c>
      <c r="I436" s="29" t="s">
        <v>408</v>
      </c>
    </row>
    <row r="437" spans="1:9" hidden="1" x14ac:dyDescent="0.25">
      <c r="A437" s="14" t="s">
        <v>14</v>
      </c>
      <c r="B437" s="14" t="s">
        <v>245</v>
      </c>
      <c r="C437" s="15" t="s">
        <v>26</v>
      </c>
      <c r="D437" s="16">
        <v>46281</v>
      </c>
      <c r="E437" s="17">
        <v>880</v>
      </c>
      <c r="F437" s="14">
        <f>ROUNDDOWN(Leche[[#This Row],[N° LATAS]]/48,0)</f>
        <v>18</v>
      </c>
      <c r="G437" s="14">
        <f>Leche[[#This Row],[N° LATAS]]-Leche[[#This Row],[TOTAL CAJAS]]*48</f>
        <v>16</v>
      </c>
      <c r="H437" s="28">
        <v>46294</v>
      </c>
      <c r="I437" s="29" t="s">
        <v>408</v>
      </c>
    </row>
    <row r="438" spans="1:9" hidden="1" x14ac:dyDescent="0.25">
      <c r="A438" s="14" t="s">
        <v>14</v>
      </c>
      <c r="B438" s="14" t="s">
        <v>245</v>
      </c>
      <c r="C438" s="15" t="s">
        <v>27</v>
      </c>
      <c r="D438" s="16">
        <v>46281</v>
      </c>
      <c r="E438" s="17">
        <v>880</v>
      </c>
      <c r="F438" s="14">
        <f>ROUNDDOWN(Leche[[#This Row],[N° LATAS]]/48,0)</f>
        <v>18</v>
      </c>
      <c r="G438" s="14">
        <f>Leche[[#This Row],[N° LATAS]]-Leche[[#This Row],[TOTAL CAJAS]]*48</f>
        <v>16</v>
      </c>
      <c r="H438" s="28"/>
      <c r="I438" s="29"/>
    </row>
    <row r="439" spans="1:9" hidden="1" x14ac:dyDescent="0.25">
      <c r="A439" s="14" t="s">
        <v>14</v>
      </c>
      <c r="B439" s="14" t="s">
        <v>245</v>
      </c>
      <c r="C439" s="15" t="s">
        <v>28</v>
      </c>
      <c r="D439" s="16">
        <v>46281</v>
      </c>
      <c r="E439" s="17">
        <v>880</v>
      </c>
      <c r="F439" s="14">
        <f>ROUNDDOWN(Leche[[#This Row],[N° LATAS]]/48,0)</f>
        <v>18</v>
      </c>
      <c r="G439" s="14">
        <f>Leche[[#This Row],[N° LATAS]]-Leche[[#This Row],[TOTAL CAJAS]]*48</f>
        <v>16</v>
      </c>
      <c r="H439" s="28"/>
      <c r="I439" s="29"/>
    </row>
    <row r="440" spans="1:9" hidden="1" x14ac:dyDescent="0.25">
      <c r="A440" s="14" t="s">
        <v>14</v>
      </c>
      <c r="B440" s="14" t="s">
        <v>247</v>
      </c>
      <c r="C440" s="15" t="s">
        <v>30</v>
      </c>
      <c r="D440" s="16">
        <v>46255</v>
      </c>
      <c r="E440" s="17">
        <v>9476</v>
      </c>
      <c r="F440" s="14">
        <f>ROUNDDOWN(Leche[[#This Row],[N° LATAS]]/48,0)</f>
        <v>197</v>
      </c>
      <c r="G440" s="14">
        <f>Leche[[#This Row],[N° LATAS]]-Leche[[#This Row],[TOTAL CAJAS]]*48</f>
        <v>20</v>
      </c>
      <c r="H440" s="28">
        <v>46251</v>
      </c>
      <c r="I440" s="29" t="s">
        <v>408</v>
      </c>
    </row>
    <row r="441" spans="1:9" hidden="1" x14ac:dyDescent="0.25">
      <c r="A441" s="14" t="s">
        <v>14</v>
      </c>
      <c r="B441" s="14" t="s">
        <v>249</v>
      </c>
      <c r="C441" s="15" t="s">
        <v>250</v>
      </c>
      <c r="D441" s="16">
        <v>46182</v>
      </c>
      <c r="E441" s="17">
        <v>2689.35</v>
      </c>
      <c r="F441" s="14">
        <f>ROUNDDOWN(Leche[[#This Row],[N° LATAS]]/48,0)</f>
        <v>56</v>
      </c>
      <c r="G441" s="14">
        <f>Leche[[#This Row],[N° LATAS]]-Leche[[#This Row],[TOTAL CAJAS]]*48</f>
        <v>1.3499999999999091</v>
      </c>
      <c r="H441" s="28">
        <v>46177</v>
      </c>
      <c r="I441" s="29" t="s">
        <v>408</v>
      </c>
    </row>
    <row r="442" spans="1:9" hidden="1" x14ac:dyDescent="0.25">
      <c r="A442" s="14" t="s">
        <v>14</v>
      </c>
      <c r="B442" s="14" t="s">
        <v>249</v>
      </c>
      <c r="C442" s="15" t="s">
        <v>252</v>
      </c>
      <c r="D442" s="16">
        <v>46182</v>
      </c>
      <c r="E442" s="17">
        <v>2602.6</v>
      </c>
      <c r="F442" s="14">
        <f>ROUNDDOWN(Leche[[#This Row],[N° LATAS]]/48,0)</f>
        <v>54</v>
      </c>
      <c r="G442" s="14">
        <f>Leche[[#This Row],[N° LATAS]]-Leche[[#This Row],[TOTAL CAJAS]]*48</f>
        <v>10.599999999999909</v>
      </c>
      <c r="H442" s="28">
        <v>46177</v>
      </c>
      <c r="I442" s="29" t="s">
        <v>408</v>
      </c>
    </row>
    <row r="443" spans="1:9" hidden="1" x14ac:dyDescent="0.25">
      <c r="A443" s="14" t="s">
        <v>14</v>
      </c>
      <c r="B443" s="14" t="s">
        <v>249</v>
      </c>
      <c r="C443" s="15" t="s">
        <v>30</v>
      </c>
      <c r="D443" s="16">
        <v>46182</v>
      </c>
      <c r="E443" s="17">
        <v>976.62</v>
      </c>
      <c r="F443" s="14">
        <f>ROUNDDOWN(Leche[[#This Row],[N° LATAS]]/48,0)</f>
        <v>20</v>
      </c>
      <c r="G443" s="14">
        <f>Leche[[#This Row],[N° LATAS]]-Leche[[#This Row],[TOTAL CAJAS]]*48</f>
        <v>16.620000000000005</v>
      </c>
      <c r="H443" s="28">
        <v>46234</v>
      </c>
      <c r="I443" s="29" t="s">
        <v>408</v>
      </c>
    </row>
    <row r="444" spans="1:9" hidden="1" x14ac:dyDescent="0.25">
      <c r="A444" s="14" t="s">
        <v>14</v>
      </c>
      <c r="B444" s="14" t="s">
        <v>249</v>
      </c>
      <c r="C444" s="15" t="s">
        <v>253</v>
      </c>
      <c r="D444" s="16">
        <v>46212</v>
      </c>
      <c r="E444" s="17">
        <v>2689.35</v>
      </c>
      <c r="F444" s="14">
        <f>ROUNDDOWN(Leche[[#This Row],[N° LATAS]]/48,0)</f>
        <v>56</v>
      </c>
      <c r="G444" s="14">
        <f>Leche[[#This Row],[N° LATAS]]-Leche[[#This Row],[TOTAL CAJAS]]*48</f>
        <v>1.3499999999999091</v>
      </c>
      <c r="H444" s="28">
        <v>46234</v>
      </c>
      <c r="I444" s="29" t="s">
        <v>408</v>
      </c>
    </row>
    <row r="445" spans="1:9" hidden="1" x14ac:dyDescent="0.25">
      <c r="A445" s="14" t="s">
        <v>14</v>
      </c>
      <c r="B445" s="14" t="s">
        <v>249</v>
      </c>
      <c r="C445" s="15" t="s">
        <v>254</v>
      </c>
      <c r="D445" s="16">
        <v>46243</v>
      </c>
      <c r="E445" s="17">
        <v>2689.35</v>
      </c>
      <c r="F445" s="14">
        <f>ROUNDDOWN(Leche[[#This Row],[N° LATAS]]/48,0)</f>
        <v>56</v>
      </c>
      <c r="G445" s="14">
        <f>Leche[[#This Row],[N° LATAS]]-Leche[[#This Row],[TOTAL CAJAS]]*48</f>
        <v>1.3499999999999091</v>
      </c>
      <c r="H445" s="28">
        <v>46234</v>
      </c>
      <c r="I445" s="29" t="s">
        <v>408</v>
      </c>
    </row>
    <row r="446" spans="1:9" hidden="1" x14ac:dyDescent="0.25">
      <c r="A446" s="14" t="s">
        <v>14</v>
      </c>
      <c r="B446" s="14" t="s">
        <v>249</v>
      </c>
      <c r="C446" s="15" t="s">
        <v>255</v>
      </c>
      <c r="D446" s="16">
        <v>46274</v>
      </c>
      <c r="E446" s="17">
        <v>2602.6</v>
      </c>
      <c r="F446" s="14">
        <f>ROUNDDOWN(Leche[[#This Row],[N° LATAS]]/48,0)</f>
        <v>54</v>
      </c>
      <c r="G446" s="14">
        <f>Leche[[#This Row],[N° LATAS]]-Leche[[#This Row],[TOTAL CAJAS]]*48</f>
        <v>10.599999999999909</v>
      </c>
      <c r="H446" s="28"/>
      <c r="I446" s="29"/>
    </row>
    <row r="447" spans="1:9" hidden="1" x14ac:dyDescent="0.25">
      <c r="A447" s="14" t="s">
        <v>14</v>
      </c>
      <c r="B447" s="14" t="s">
        <v>249</v>
      </c>
      <c r="C447" s="15" t="s">
        <v>256</v>
      </c>
      <c r="D447" s="16">
        <v>46274</v>
      </c>
      <c r="E447" s="17">
        <v>2689.35</v>
      </c>
      <c r="F447" s="14">
        <f>ROUNDDOWN(Leche[[#This Row],[N° LATAS]]/48,0)</f>
        <v>56</v>
      </c>
      <c r="G447" s="14">
        <f>Leche[[#This Row],[N° LATAS]]-Leche[[#This Row],[TOTAL CAJAS]]*48</f>
        <v>1.3499999999999091</v>
      </c>
      <c r="H447" s="28"/>
      <c r="I447" s="29"/>
    </row>
    <row r="448" spans="1:9" hidden="1" x14ac:dyDescent="0.25">
      <c r="A448" s="14" t="s">
        <v>14</v>
      </c>
      <c r="B448" s="14" t="s">
        <v>249</v>
      </c>
      <c r="C448" s="15" t="s">
        <v>257</v>
      </c>
      <c r="D448" s="16">
        <v>46335</v>
      </c>
      <c r="E448" s="17">
        <v>2602.6</v>
      </c>
      <c r="F448" s="14">
        <f>ROUNDDOWN(Leche[[#This Row],[N° LATAS]]/48,0)</f>
        <v>54</v>
      </c>
      <c r="G448" s="14">
        <f>Leche[[#This Row],[N° LATAS]]-Leche[[#This Row],[TOTAL CAJAS]]*48</f>
        <v>10.599999999999909</v>
      </c>
      <c r="H448" s="28"/>
      <c r="I448" s="29"/>
    </row>
    <row r="449" spans="1:9" hidden="1" x14ac:dyDescent="0.25">
      <c r="A449" s="14" t="s">
        <v>14</v>
      </c>
      <c r="B449" s="14" t="s">
        <v>249</v>
      </c>
      <c r="C449" s="15" t="s">
        <v>258</v>
      </c>
      <c r="D449" s="16">
        <v>46335</v>
      </c>
      <c r="E449" s="17">
        <v>2689.35</v>
      </c>
      <c r="F449" s="14">
        <f>ROUNDDOWN(Leche[[#This Row],[N° LATAS]]/48,0)</f>
        <v>56</v>
      </c>
      <c r="G449" s="14">
        <f>Leche[[#This Row],[N° LATAS]]-Leche[[#This Row],[TOTAL CAJAS]]*48</f>
        <v>1.3499999999999091</v>
      </c>
      <c r="H449" s="28"/>
      <c r="I449" s="29"/>
    </row>
    <row r="450" spans="1:9" hidden="1" x14ac:dyDescent="0.25">
      <c r="A450" s="14" t="s">
        <v>14</v>
      </c>
      <c r="B450" s="14" t="s">
        <v>261</v>
      </c>
      <c r="C450" s="15" t="s">
        <v>16</v>
      </c>
      <c r="D450" s="16">
        <v>46023</v>
      </c>
      <c r="E450" s="17">
        <v>1615</v>
      </c>
      <c r="F450" s="14">
        <f>ROUNDDOWN(Leche[[#This Row],[N° LATAS]]/48,0)</f>
        <v>33</v>
      </c>
      <c r="G450" s="14">
        <f>Leche[[#This Row],[N° LATAS]]-Leche[[#This Row],[TOTAL CAJAS]]*48</f>
        <v>31</v>
      </c>
      <c r="H450" s="28">
        <v>46028</v>
      </c>
      <c r="I450" s="29" t="s">
        <v>408</v>
      </c>
    </row>
    <row r="451" spans="1:9" hidden="1" x14ac:dyDescent="0.25">
      <c r="A451" s="14" t="s">
        <v>14</v>
      </c>
      <c r="B451" s="14" t="s">
        <v>261</v>
      </c>
      <c r="C451" s="15" t="s">
        <v>18</v>
      </c>
      <c r="D451" s="16">
        <v>46042</v>
      </c>
      <c r="E451" s="17">
        <v>1614</v>
      </c>
      <c r="F451" s="14">
        <f>ROUNDDOWN(Leche[[#This Row],[N° LATAS]]/48,0)</f>
        <v>33</v>
      </c>
      <c r="G451" s="14">
        <f>Leche[[#This Row],[N° LATAS]]-Leche[[#This Row],[TOTAL CAJAS]]*48</f>
        <v>30</v>
      </c>
      <c r="H451" s="28">
        <v>46028</v>
      </c>
      <c r="I451" s="29" t="s">
        <v>408</v>
      </c>
    </row>
    <row r="452" spans="1:9" hidden="1" x14ac:dyDescent="0.25">
      <c r="A452" s="14" t="s">
        <v>14</v>
      </c>
      <c r="B452" s="14" t="s">
        <v>261</v>
      </c>
      <c r="C452" s="15" t="s">
        <v>20</v>
      </c>
      <c r="D452" s="16">
        <v>46101</v>
      </c>
      <c r="E452" s="17">
        <v>1614</v>
      </c>
      <c r="F452" s="14">
        <f>ROUNDDOWN(Leche[[#This Row],[N° LATAS]]/48,0)</f>
        <v>33</v>
      </c>
      <c r="G452" s="14">
        <f>Leche[[#This Row],[N° LATAS]]-Leche[[#This Row],[TOTAL CAJAS]]*48</f>
        <v>30</v>
      </c>
      <c r="H452" s="28">
        <v>46100</v>
      </c>
      <c r="I452" s="29" t="s">
        <v>408</v>
      </c>
    </row>
    <row r="453" spans="1:9" hidden="1" x14ac:dyDescent="0.25">
      <c r="A453" s="14" t="s">
        <v>14</v>
      </c>
      <c r="B453" s="14" t="s">
        <v>261</v>
      </c>
      <c r="C453" s="15" t="s">
        <v>19</v>
      </c>
      <c r="D453" s="16">
        <v>46101</v>
      </c>
      <c r="E453" s="17">
        <v>1614</v>
      </c>
      <c r="F453" s="14">
        <f>ROUNDDOWN(Leche[[#This Row],[N° LATAS]]/48,0)</f>
        <v>33</v>
      </c>
      <c r="G453" s="14">
        <f>Leche[[#This Row],[N° LATAS]]-Leche[[#This Row],[TOTAL CAJAS]]*48</f>
        <v>30</v>
      </c>
      <c r="H453" s="28">
        <v>46100</v>
      </c>
      <c r="I453" s="29" t="s">
        <v>408</v>
      </c>
    </row>
    <row r="454" spans="1:9" hidden="1" x14ac:dyDescent="0.25">
      <c r="A454" s="14" t="s">
        <v>14</v>
      </c>
      <c r="B454" s="14" t="s">
        <v>261</v>
      </c>
      <c r="C454" s="15" t="s">
        <v>21</v>
      </c>
      <c r="D454" s="16">
        <v>46132</v>
      </c>
      <c r="E454" s="17">
        <v>1614</v>
      </c>
      <c r="F454" s="14">
        <f>ROUNDDOWN(Leche[[#This Row],[N° LATAS]]/48,0)</f>
        <v>33</v>
      </c>
      <c r="G454" s="14">
        <f>Leche[[#This Row],[N° LATAS]]-Leche[[#This Row],[TOTAL CAJAS]]*48</f>
        <v>30</v>
      </c>
      <c r="H454" s="28">
        <v>46135</v>
      </c>
      <c r="I454" s="29" t="s">
        <v>408</v>
      </c>
    </row>
    <row r="455" spans="1:9" hidden="1" x14ac:dyDescent="0.25">
      <c r="A455" s="14" t="s">
        <v>14</v>
      </c>
      <c r="B455" s="14" t="s">
        <v>261</v>
      </c>
      <c r="C455" s="15" t="s">
        <v>22</v>
      </c>
      <c r="D455" s="16">
        <v>46132</v>
      </c>
      <c r="E455" s="17">
        <v>1614</v>
      </c>
      <c r="F455" s="14">
        <f>ROUNDDOWN(Leche[[#This Row],[N° LATAS]]/48,0)</f>
        <v>33</v>
      </c>
      <c r="G455" s="14">
        <f>Leche[[#This Row],[N° LATAS]]-Leche[[#This Row],[TOTAL CAJAS]]*48</f>
        <v>30</v>
      </c>
      <c r="H455" s="28">
        <v>46135</v>
      </c>
      <c r="I455" s="29" t="s">
        <v>408</v>
      </c>
    </row>
    <row r="456" spans="1:9" hidden="1" x14ac:dyDescent="0.25">
      <c r="A456" s="14" t="s">
        <v>14</v>
      </c>
      <c r="B456" s="14" t="s">
        <v>261</v>
      </c>
      <c r="C456" s="15" t="s">
        <v>23</v>
      </c>
      <c r="D456" s="16">
        <v>46193</v>
      </c>
      <c r="E456" s="17">
        <v>1615</v>
      </c>
      <c r="F456" s="14">
        <f>ROUNDDOWN(Leche[[#This Row],[N° LATAS]]/48,0)</f>
        <v>33</v>
      </c>
      <c r="G456" s="14">
        <f>Leche[[#This Row],[N° LATAS]]-Leche[[#This Row],[TOTAL CAJAS]]*48</f>
        <v>31</v>
      </c>
      <c r="H456" s="28">
        <v>46181</v>
      </c>
      <c r="I456" s="29" t="s">
        <v>408</v>
      </c>
    </row>
    <row r="457" spans="1:9" hidden="1" x14ac:dyDescent="0.25">
      <c r="A457" s="14" t="s">
        <v>14</v>
      </c>
      <c r="B457" s="14" t="s">
        <v>261</v>
      </c>
      <c r="C457" s="15" t="s">
        <v>24</v>
      </c>
      <c r="D457" s="16">
        <v>46193</v>
      </c>
      <c r="E457" s="17">
        <v>1615</v>
      </c>
      <c r="F457" s="14">
        <f>ROUNDDOWN(Leche[[#This Row],[N° LATAS]]/48,0)</f>
        <v>33</v>
      </c>
      <c r="G457" s="14">
        <f>Leche[[#This Row],[N° LATAS]]-Leche[[#This Row],[TOTAL CAJAS]]*48</f>
        <v>31</v>
      </c>
      <c r="H457" s="28">
        <v>46181</v>
      </c>
      <c r="I457" s="29" t="s">
        <v>408</v>
      </c>
    </row>
    <row r="458" spans="1:9" hidden="1" x14ac:dyDescent="0.25">
      <c r="A458" s="14" t="s">
        <v>14</v>
      </c>
      <c r="B458" s="14" t="s">
        <v>261</v>
      </c>
      <c r="C458" s="15" t="s">
        <v>25</v>
      </c>
      <c r="D458" s="16">
        <v>46254</v>
      </c>
      <c r="E458" s="17">
        <v>1614</v>
      </c>
      <c r="F458" s="14">
        <f>ROUNDDOWN(Leche[[#This Row],[N° LATAS]]/48,0)</f>
        <v>33</v>
      </c>
      <c r="G458" s="14">
        <f>Leche[[#This Row],[N° LATAS]]-Leche[[#This Row],[TOTAL CAJAS]]*48</f>
        <v>30</v>
      </c>
      <c r="H458" s="28">
        <v>46243</v>
      </c>
      <c r="I458" s="29" t="s">
        <v>408</v>
      </c>
    </row>
    <row r="459" spans="1:9" hidden="1" x14ac:dyDescent="0.25">
      <c r="A459" s="14" t="s">
        <v>14</v>
      </c>
      <c r="B459" s="14" t="s">
        <v>261</v>
      </c>
      <c r="C459" s="15" t="s">
        <v>26</v>
      </c>
      <c r="D459" s="16">
        <v>46254</v>
      </c>
      <c r="E459" s="17">
        <v>1615</v>
      </c>
      <c r="F459" s="14">
        <f>ROUNDDOWN(Leche[[#This Row],[N° LATAS]]/48,0)</f>
        <v>33</v>
      </c>
      <c r="G459" s="14">
        <f>Leche[[#This Row],[N° LATAS]]-Leche[[#This Row],[TOTAL CAJAS]]*48</f>
        <v>31</v>
      </c>
      <c r="H459" s="28">
        <v>46243</v>
      </c>
      <c r="I459" s="29" t="s">
        <v>408</v>
      </c>
    </row>
    <row r="460" spans="1:9" hidden="1" x14ac:dyDescent="0.25">
      <c r="A460" s="14" t="s">
        <v>14</v>
      </c>
      <c r="B460" s="14" t="s">
        <v>261</v>
      </c>
      <c r="C460" s="15" t="s">
        <v>27</v>
      </c>
      <c r="D460" s="16">
        <v>46315</v>
      </c>
      <c r="E460" s="17">
        <v>1614</v>
      </c>
      <c r="F460" s="14">
        <f>ROUNDDOWN(Leche[[#This Row],[N° LATAS]]/48,0)</f>
        <v>33</v>
      </c>
      <c r="G460" s="14">
        <f>Leche[[#This Row],[N° LATAS]]-Leche[[#This Row],[TOTAL CAJAS]]*48</f>
        <v>30</v>
      </c>
      <c r="H460" s="28"/>
      <c r="I460" s="29"/>
    </row>
    <row r="461" spans="1:9" hidden="1" x14ac:dyDescent="0.25">
      <c r="A461" s="14" t="s">
        <v>14</v>
      </c>
      <c r="B461" s="14" t="s">
        <v>261</v>
      </c>
      <c r="C461" s="15" t="s">
        <v>28</v>
      </c>
      <c r="D461" s="16">
        <v>46315</v>
      </c>
      <c r="E461" s="17">
        <v>1615</v>
      </c>
      <c r="F461" s="14">
        <f>ROUNDDOWN(Leche[[#This Row],[N° LATAS]]/48,0)</f>
        <v>33</v>
      </c>
      <c r="G461" s="14">
        <f>Leche[[#This Row],[N° LATAS]]-Leche[[#This Row],[TOTAL CAJAS]]*48</f>
        <v>31</v>
      </c>
      <c r="H461" s="28"/>
      <c r="I461" s="29"/>
    </row>
    <row r="462" spans="1:9" hidden="1" x14ac:dyDescent="0.25">
      <c r="A462" s="14" t="s">
        <v>14</v>
      </c>
      <c r="B462" s="14" t="s">
        <v>424</v>
      </c>
      <c r="C462" s="15" t="s">
        <v>30</v>
      </c>
      <c r="D462" s="16">
        <v>46052</v>
      </c>
      <c r="E462" s="17">
        <v>2700</v>
      </c>
      <c r="F462" s="14">
        <f>ROUNDDOWN(Leche[[#This Row],[N° LATAS]]/48,0)</f>
        <v>56</v>
      </c>
      <c r="G462" s="14">
        <f>Leche[[#This Row],[N° LATAS]]-Leche[[#This Row],[TOTAL CAJAS]]*48</f>
        <v>12</v>
      </c>
      <c r="H462" s="28">
        <v>46048</v>
      </c>
      <c r="I462" s="29" t="s">
        <v>408</v>
      </c>
    </row>
    <row r="463" spans="1:9" hidden="1" x14ac:dyDescent="0.25">
      <c r="A463" s="14" t="s">
        <v>14</v>
      </c>
      <c r="B463" s="14" t="s">
        <v>424</v>
      </c>
      <c r="C463" s="15" t="s">
        <v>30</v>
      </c>
      <c r="D463" s="16">
        <v>46081</v>
      </c>
      <c r="E463" s="17">
        <v>2700</v>
      </c>
      <c r="F463" s="14">
        <f>ROUNDDOWN(Leche[[#This Row],[N° LATAS]]/48,0)</f>
        <v>56</v>
      </c>
      <c r="G463" s="14">
        <f>Leche[[#This Row],[N° LATAS]]-Leche[[#This Row],[TOTAL CAJAS]]*48</f>
        <v>12</v>
      </c>
      <c r="H463" s="28">
        <v>46065</v>
      </c>
      <c r="I463" s="29" t="s">
        <v>408</v>
      </c>
    </row>
    <row r="464" spans="1:9" hidden="1" x14ac:dyDescent="0.25">
      <c r="A464" s="14" t="s">
        <v>14</v>
      </c>
      <c r="B464" s="14" t="s">
        <v>424</v>
      </c>
      <c r="C464" s="15" t="s">
        <v>30</v>
      </c>
      <c r="D464" s="16">
        <v>46112</v>
      </c>
      <c r="E464" s="17">
        <v>2700</v>
      </c>
      <c r="F464" s="14">
        <f>ROUNDDOWN(Leche[[#This Row],[N° LATAS]]/48,0)</f>
        <v>56</v>
      </c>
      <c r="G464" s="14">
        <f>Leche[[#This Row],[N° LATAS]]-Leche[[#This Row],[TOTAL CAJAS]]*48</f>
        <v>12</v>
      </c>
      <c r="H464" s="28">
        <v>46099</v>
      </c>
      <c r="I464" s="29" t="s">
        <v>408</v>
      </c>
    </row>
    <row r="465" spans="1:9" hidden="1" x14ac:dyDescent="0.25">
      <c r="A465" s="14" t="s">
        <v>14</v>
      </c>
      <c r="B465" s="14" t="s">
        <v>424</v>
      </c>
      <c r="C465" s="15" t="s">
        <v>30</v>
      </c>
      <c r="D465" s="16">
        <v>46223</v>
      </c>
      <c r="E465" s="17">
        <v>1800</v>
      </c>
      <c r="F465" s="14">
        <f>ROUNDDOWN(Leche[[#This Row],[N° LATAS]]/48,0)</f>
        <v>37</v>
      </c>
      <c r="G465" s="14">
        <f>Leche[[#This Row],[N° LATAS]]-Leche[[#This Row],[TOTAL CAJAS]]*48</f>
        <v>24</v>
      </c>
      <c r="H465" s="28">
        <v>46211</v>
      </c>
      <c r="I465" s="29" t="s">
        <v>408</v>
      </c>
    </row>
    <row r="466" spans="1:9" hidden="1" x14ac:dyDescent="0.25">
      <c r="A466" s="14" t="s">
        <v>14</v>
      </c>
      <c r="B466" s="14" t="s">
        <v>425</v>
      </c>
      <c r="C466" s="15" t="s">
        <v>30</v>
      </c>
      <c r="D466" s="16">
        <v>46231</v>
      </c>
      <c r="E466" s="17">
        <v>5400</v>
      </c>
      <c r="F466" s="14">
        <f>ROUNDDOWN(Leche[[#This Row],[N° LATAS]]/48,0)</f>
        <v>112</v>
      </c>
      <c r="G466" s="14">
        <f>Leche[[#This Row],[N° LATAS]]-Leche[[#This Row],[TOTAL CAJAS]]*48</f>
        <v>24</v>
      </c>
      <c r="H466" s="28">
        <v>46233</v>
      </c>
      <c r="I466" s="29" t="s">
        <v>408</v>
      </c>
    </row>
    <row r="467" spans="1:9" hidden="1" x14ac:dyDescent="0.25">
      <c r="A467" s="14" t="s">
        <v>14</v>
      </c>
      <c r="B467" s="14" t="s">
        <v>286</v>
      </c>
      <c r="C467" s="15" t="s">
        <v>16</v>
      </c>
      <c r="D467" s="16">
        <v>46012</v>
      </c>
      <c r="E467" s="17">
        <v>5673</v>
      </c>
      <c r="F467" s="14">
        <f>ROUNDDOWN(Leche[[#This Row],[N° LATAS]]/48,0)</f>
        <v>118</v>
      </c>
      <c r="G467" s="14">
        <f>Leche[[#This Row],[N° LATAS]]-Leche[[#This Row],[TOTAL CAJAS]]*48</f>
        <v>9</v>
      </c>
      <c r="H467" s="28">
        <v>46020</v>
      </c>
      <c r="I467" s="29" t="s">
        <v>408</v>
      </c>
    </row>
    <row r="468" spans="1:9" hidden="1" x14ac:dyDescent="0.25">
      <c r="A468" s="14" t="s">
        <v>14</v>
      </c>
      <c r="B468" s="14" t="s">
        <v>286</v>
      </c>
      <c r="C468" s="15" t="s">
        <v>18</v>
      </c>
      <c r="D468" s="16">
        <v>46043</v>
      </c>
      <c r="E468" s="17">
        <v>5673</v>
      </c>
      <c r="F468" s="14">
        <f>ROUNDDOWN(Leche[[#This Row],[N° LATAS]]/48,0)</f>
        <v>118</v>
      </c>
      <c r="G468" s="14">
        <f>Leche[[#This Row],[N° LATAS]]-Leche[[#This Row],[TOTAL CAJAS]]*48</f>
        <v>9</v>
      </c>
      <c r="H468" s="28">
        <v>46033</v>
      </c>
      <c r="I468" s="29" t="s">
        <v>408</v>
      </c>
    </row>
    <row r="469" spans="1:9" hidden="1" x14ac:dyDescent="0.25">
      <c r="A469" s="14" t="s">
        <v>14</v>
      </c>
      <c r="B469" s="14" t="s">
        <v>286</v>
      </c>
      <c r="C469" s="15" t="s">
        <v>19</v>
      </c>
      <c r="D469" s="16">
        <v>46074</v>
      </c>
      <c r="E469" s="17">
        <v>5673</v>
      </c>
      <c r="F469" s="14">
        <f>ROUNDDOWN(Leche[[#This Row],[N° LATAS]]/48,0)</f>
        <v>118</v>
      </c>
      <c r="G469" s="14">
        <f>Leche[[#This Row],[N° LATAS]]-Leche[[#This Row],[TOTAL CAJAS]]*48</f>
        <v>9</v>
      </c>
      <c r="H469" s="28">
        <v>46065</v>
      </c>
      <c r="I469" s="29" t="s">
        <v>408</v>
      </c>
    </row>
    <row r="470" spans="1:9" hidden="1" x14ac:dyDescent="0.25">
      <c r="A470" s="14" t="s">
        <v>14</v>
      </c>
      <c r="B470" s="14" t="s">
        <v>286</v>
      </c>
      <c r="C470" s="15" t="s">
        <v>20</v>
      </c>
      <c r="D470" s="16">
        <v>46115</v>
      </c>
      <c r="E470" s="17">
        <v>5673</v>
      </c>
      <c r="F470" s="14">
        <f>ROUNDDOWN(Leche[[#This Row],[N° LATAS]]/48,0)</f>
        <v>118</v>
      </c>
      <c r="G470" s="14">
        <f>Leche[[#This Row],[N° LATAS]]-Leche[[#This Row],[TOTAL CAJAS]]*48</f>
        <v>9</v>
      </c>
      <c r="H470" s="28">
        <v>46140</v>
      </c>
      <c r="I470" s="29" t="s">
        <v>408</v>
      </c>
    </row>
    <row r="471" spans="1:9" hidden="1" x14ac:dyDescent="0.25">
      <c r="A471" s="14" t="s">
        <v>14</v>
      </c>
      <c r="B471" s="14" t="s">
        <v>286</v>
      </c>
      <c r="C471" s="15" t="s">
        <v>21</v>
      </c>
      <c r="D471" s="16">
        <v>46115</v>
      </c>
      <c r="E471" s="17">
        <v>5673</v>
      </c>
      <c r="F471" s="14">
        <f>ROUNDDOWN(Leche[[#This Row],[N° LATAS]]/48,0)</f>
        <v>118</v>
      </c>
      <c r="G471" s="14">
        <f>Leche[[#This Row],[N° LATAS]]-Leche[[#This Row],[TOTAL CAJAS]]*48</f>
        <v>9</v>
      </c>
      <c r="H471" s="28">
        <v>46140</v>
      </c>
      <c r="I471" s="29" t="s">
        <v>408</v>
      </c>
    </row>
    <row r="472" spans="1:9" hidden="1" x14ac:dyDescent="0.25">
      <c r="A472" s="14" t="s">
        <v>14</v>
      </c>
      <c r="B472" s="14" t="s">
        <v>286</v>
      </c>
      <c r="C472" s="15" t="s">
        <v>22</v>
      </c>
      <c r="D472" s="16">
        <v>46115</v>
      </c>
      <c r="E472" s="17">
        <v>5673</v>
      </c>
      <c r="F472" s="14">
        <f>ROUNDDOWN(Leche[[#This Row],[N° LATAS]]/48,0)</f>
        <v>118</v>
      </c>
      <c r="G472" s="14">
        <f>Leche[[#This Row],[N° LATAS]]-Leche[[#This Row],[TOTAL CAJAS]]*48</f>
        <v>9</v>
      </c>
      <c r="H472" s="28">
        <v>46140</v>
      </c>
      <c r="I472" s="29" t="s">
        <v>408</v>
      </c>
    </row>
    <row r="473" spans="1:9" hidden="1" x14ac:dyDescent="0.25">
      <c r="A473" s="14" t="s">
        <v>14</v>
      </c>
      <c r="B473" s="14" t="s">
        <v>286</v>
      </c>
      <c r="C473" s="15" t="s">
        <v>23</v>
      </c>
      <c r="D473" s="16">
        <v>46224</v>
      </c>
      <c r="E473" s="17">
        <v>5673</v>
      </c>
      <c r="F473" s="14">
        <f>ROUNDDOWN(Leche[[#This Row],[N° LATAS]]/48,0)</f>
        <v>118</v>
      </c>
      <c r="G473" s="14">
        <f>Leche[[#This Row],[N° LATAS]]-Leche[[#This Row],[TOTAL CAJAS]]*48</f>
        <v>9</v>
      </c>
      <c r="H473" s="28">
        <v>46218</v>
      </c>
      <c r="I473" s="29" t="s">
        <v>408</v>
      </c>
    </row>
    <row r="474" spans="1:9" hidden="1" x14ac:dyDescent="0.25">
      <c r="A474" s="14" t="s">
        <v>14</v>
      </c>
      <c r="B474" s="14" t="s">
        <v>286</v>
      </c>
      <c r="C474" s="15" t="s">
        <v>24</v>
      </c>
      <c r="D474" s="16">
        <v>46224</v>
      </c>
      <c r="E474" s="17">
        <v>5673</v>
      </c>
      <c r="F474" s="14">
        <f>ROUNDDOWN(Leche[[#This Row],[N° LATAS]]/48,0)</f>
        <v>118</v>
      </c>
      <c r="G474" s="14">
        <f>Leche[[#This Row],[N° LATAS]]-Leche[[#This Row],[TOTAL CAJAS]]*48</f>
        <v>9</v>
      </c>
      <c r="H474" s="28">
        <v>46218</v>
      </c>
      <c r="I474" s="29" t="s">
        <v>408</v>
      </c>
    </row>
    <row r="475" spans="1:9" hidden="1" x14ac:dyDescent="0.25">
      <c r="A475" s="14" t="s">
        <v>14</v>
      </c>
      <c r="B475" s="14" t="s">
        <v>286</v>
      </c>
      <c r="C475" s="15" t="s">
        <v>25</v>
      </c>
      <c r="D475" s="16">
        <v>46224</v>
      </c>
      <c r="E475" s="17">
        <v>5673</v>
      </c>
      <c r="F475" s="14">
        <f>ROUNDDOWN(Leche[[#This Row],[N° LATAS]]/48,0)</f>
        <v>118</v>
      </c>
      <c r="G475" s="14">
        <f>Leche[[#This Row],[N° LATAS]]-Leche[[#This Row],[TOTAL CAJAS]]*48</f>
        <v>9</v>
      </c>
      <c r="H475" s="28">
        <v>46218</v>
      </c>
      <c r="I475" s="29" t="s">
        <v>408</v>
      </c>
    </row>
    <row r="476" spans="1:9" hidden="1" x14ac:dyDescent="0.25">
      <c r="A476" s="14" t="s">
        <v>14</v>
      </c>
      <c r="B476" s="14" t="s">
        <v>286</v>
      </c>
      <c r="C476" s="15" t="s">
        <v>30</v>
      </c>
      <c r="D476" s="16">
        <v>46241</v>
      </c>
      <c r="E476" s="17">
        <v>2134</v>
      </c>
      <c r="F476" s="14">
        <f>ROUNDDOWN(Leche[[#This Row],[N° LATAS]]/48,0)</f>
        <v>44</v>
      </c>
      <c r="G476" s="14">
        <f>Leche[[#This Row],[N° LATAS]]-Leche[[#This Row],[TOTAL CAJAS]]*48</f>
        <v>22</v>
      </c>
      <c r="H476" s="28">
        <v>46266</v>
      </c>
      <c r="I476" s="29" t="s">
        <v>408</v>
      </c>
    </row>
    <row r="477" spans="1:9" hidden="1" x14ac:dyDescent="0.25">
      <c r="A477" s="14" t="s">
        <v>14</v>
      </c>
      <c r="B477" s="14" t="s">
        <v>286</v>
      </c>
      <c r="C477" s="15" t="s">
        <v>26</v>
      </c>
      <c r="D477" s="16">
        <v>46288</v>
      </c>
      <c r="E477" s="17">
        <v>5673</v>
      </c>
      <c r="F477" s="14">
        <f>ROUNDDOWN(Leche[[#This Row],[N° LATAS]]/48,0)</f>
        <v>118</v>
      </c>
      <c r="G477" s="14">
        <f>Leche[[#This Row],[N° LATAS]]-Leche[[#This Row],[TOTAL CAJAS]]*48</f>
        <v>9</v>
      </c>
      <c r="H477" s="28"/>
      <c r="I477" s="29"/>
    </row>
    <row r="478" spans="1:9" hidden="1" x14ac:dyDescent="0.25">
      <c r="A478" s="14" t="s">
        <v>14</v>
      </c>
      <c r="B478" s="14" t="s">
        <v>286</v>
      </c>
      <c r="C478" s="15" t="s">
        <v>27</v>
      </c>
      <c r="D478" s="16">
        <v>46288</v>
      </c>
      <c r="E478" s="17">
        <v>5673</v>
      </c>
      <c r="F478" s="14">
        <f>ROUNDDOWN(Leche[[#This Row],[N° LATAS]]/48,0)</f>
        <v>118</v>
      </c>
      <c r="G478" s="14">
        <f>Leche[[#This Row],[N° LATAS]]-Leche[[#This Row],[TOTAL CAJAS]]*48</f>
        <v>9</v>
      </c>
      <c r="H478" s="28"/>
      <c r="I478" s="29"/>
    </row>
    <row r="479" spans="1:9" hidden="1" x14ac:dyDescent="0.25">
      <c r="A479" s="14" t="s">
        <v>14</v>
      </c>
      <c r="B479" s="14" t="s">
        <v>286</v>
      </c>
      <c r="C479" s="15" t="s">
        <v>28</v>
      </c>
      <c r="D479" s="16">
        <v>46288</v>
      </c>
      <c r="E479" s="17">
        <v>5673</v>
      </c>
      <c r="F479" s="14">
        <f>ROUNDDOWN(Leche[[#This Row],[N° LATAS]]/48,0)</f>
        <v>118</v>
      </c>
      <c r="G479" s="14">
        <f>Leche[[#This Row],[N° LATAS]]-Leche[[#This Row],[TOTAL CAJAS]]*48</f>
        <v>9</v>
      </c>
      <c r="H479" s="28"/>
      <c r="I479" s="29"/>
    </row>
    <row r="480" spans="1:9" hidden="1" x14ac:dyDescent="0.25">
      <c r="A480" s="14" t="s">
        <v>14</v>
      </c>
      <c r="B480" s="14" t="s">
        <v>288</v>
      </c>
      <c r="C480" s="15" t="s">
        <v>16</v>
      </c>
      <c r="D480" s="16">
        <v>46037</v>
      </c>
      <c r="E480" s="17">
        <v>3000</v>
      </c>
      <c r="F480" s="14">
        <f>ROUNDDOWN(Leche[[#This Row],[N° LATAS]]/48,0)</f>
        <v>62</v>
      </c>
      <c r="G480" s="14">
        <f>Leche[[#This Row],[N° LATAS]]-Leche[[#This Row],[TOTAL CAJAS]]*48</f>
        <v>24</v>
      </c>
      <c r="H480" s="28">
        <v>46034</v>
      </c>
      <c r="I480" s="29" t="s">
        <v>408</v>
      </c>
    </row>
    <row r="481" spans="1:9" hidden="1" x14ac:dyDescent="0.25">
      <c r="A481" s="14" t="s">
        <v>14</v>
      </c>
      <c r="B481" s="14" t="s">
        <v>288</v>
      </c>
      <c r="C481" s="15" t="s">
        <v>18</v>
      </c>
      <c r="D481" s="16">
        <v>46037</v>
      </c>
      <c r="E481" s="17">
        <v>3000</v>
      </c>
      <c r="F481" s="14">
        <f>ROUNDDOWN(Leche[[#This Row],[N° LATAS]]/48,0)</f>
        <v>62</v>
      </c>
      <c r="G481" s="14">
        <f>Leche[[#This Row],[N° LATAS]]-Leche[[#This Row],[TOTAL CAJAS]]*48</f>
        <v>24</v>
      </c>
      <c r="H481" s="28">
        <v>46034</v>
      </c>
      <c r="I481" s="29" t="s">
        <v>408</v>
      </c>
    </row>
    <row r="482" spans="1:9" hidden="1" x14ac:dyDescent="0.25">
      <c r="A482" s="14" t="s">
        <v>14</v>
      </c>
      <c r="B482" s="14" t="s">
        <v>288</v>
      </c>
      <c r="C482" s="15" t="s">
        <v>19</v>
      </c>
      <c r="D482" s="16">
        <v>46068</v>
      </c>
      <c r="E482" s="17">
        <v>3000</v>
      </c>
      <c r="F482" s="14">
        <f>ROUNDDOWN(Leche[[#This Row],[N° LATAS]]/48,0)</f>
        <v>62</v>
      </c>
      <c r="G482" s="14">
        <f>Leche[[#This Row],[N° LATAS]]-Leche[[#This Row],[TOTAL CAJAS]]*48</f>
        <v>24</v>
      </c>
      <c r="H482" s="28">
        <v>46065</v>
      </c>
      <c r="I482" s="29" t="s">
        <v>408</v>
      </c>
    </row>
    <row r="483" spans="1:9" hidden="1" x14ac:dyDescent="0.25">
      <c r="A483" s="14" t="s">
        <v>14</v>
      </c>
      <c r="B483" s="14" t="s">
        <v>288</v>
      </c>
      <c r="C483" s="15" t="s">
        <v>20</v>
      </c>
      <c r="D483" s="16">
        <v>46096</v>
      </c>
      <c r="E483" s="17">
        <v>3000</v>
      </c>
      <c r="F483" s="14">
        <f>ROUNDDOWN(Leche[[#This Row],[N° LATAS]]/48,0)</f>
        <v>62</v>
      </c>
      <c r="G483" s="14">
        <f>Leche[[#This Row],[N° LATAS]]-Leche[[#This Row],[TOTAL CAJAS]]*48</f>
        <v>24</v>
      </c>
      <c r="H483" s="28">
        <v>46111</v>
      </c>
      <c r="I483" s="29" t="s">
        <v>408</v>
      </c>
    </row>
    <row r="484" spans="1:9" hidden="1" x14ac:dyDescent="0.25">
      <c r="A484" s="14" t="s">
        <v>14</v>
      </c>
      <c r="B484" s="14" t="s">
        <v>288</v>
      </c>
      <c r="C484" s="15" t="s">
        <v>21</v>
      </c>
      <c r="D484" s="16">
        <v>46127</v>
      </c>
      <c r="E484" s="17">
        <v>3000</v>
      </c>
      <c r="F484" s="14">
        <f>ROUNDDOWN(Leche[[#This Row],[N° LATAS]]/48,0)</f>
        <v>62</v>
      </c>
      <c r="G484" s="14">
        <f>Leche[[#This Row],[N° LATAS]]-Leche[[#This Row],[TOTAL CAJAS]]*48</f>
        <v>24</v>
      </c>
      <c r="H484" s="28">
        <v>46140</v>
      </c>
      <c r="I484" s="29" t="s">
        <v>408</v>
      </c>
    </row>
    <row r="485" spans="1:9" hidden="1" x14ac:dyDescent="0.25">
      <c r="A485" s="14" t="s">
        <v>14</v>
      </c>
      <c r="B485" s="14" t="s">
        <v>288</v>
      </c>
      <c r="C485" s="15" t="s">
        <v>22</v>
      </c>
      <c r="D485" s="16">
        <v>46157</v>
      </c>
      <c r="E485" s="17">
        <v>3000</v>
      </c>
      <c r="F485" s="14">
        <f>ROUNDDOWN(Leche[[#This Row],[N° LATAS]]/48,0)</f>
        <v>62</v>
      </c>
      <c r="G485" s="14">
        <f>Leche[[#This Row],[N° LATAS]]-Leche[[#This Row],[TOTAL CAJAS]]*48</f>
        <v>24</v>
      </c>
      <c r="H485" s="28">
        <v>46169</v>
      </c>
      <c r="I485" s="29" t="s">
        <v>408</v>
      </c>
    </row>
    <row r="486" spans="1:9" hidden="1" x14ac:dyDescent="0.25">
      <c r="A486" s="14" t="s">
        <v>14</v>
      </c>
      <c r="B486" s="14" t="s">
        <v>288</v>
      </c>
      <c r="C486" s="15" t="s">
        <v>23</v>
      </c>
      <c r="D486" s="16">
        <v>46188</v>
      </c>
      <c r="E486" s="17">
        <v>3000</v>
      </c>
      <c r="F486" s="14">
        <f>ROUNDDOWN(Leche[[#This Row],[N° LATAS]]/48,0)</f>
        <v>62</v>
      </c>
      <c r="G486" s="14">
        <f>Leche[[#This Row],[N° LATAS]]-Leche[[#This Row],[TOTAL CAJAS]]*48</f>
        <v>24</v>
      </c>
      <c r="H486" s="28">
        <v>46198</v>
      </c>
      <c r="I486" s="29" t="s">
        <v>408</v>
      </c>
    </row>
    <row r="487" spans="1:9" hidden="1" x14ac:dyDescent="0.25">
      <c r="A487" s="14" t="s">
        <v>14</v>
      </c>
      <c r="B487" s="14" t="s">
        <v>288</v>
      </c>
      <c r="C487" s="15" t="s">
        <v>24</v>
      </c>
      <c r="D487" s="16">
        <v>46218</v>
      </c>
      <c r="E487" s="17">
        <v>3000</v>
      </c>
      <c r="F487" s="14">
        <f>ROUNDDOWN(Leche[[#This Row],[N° LATAS]]/48,0)</f>
        <v>62</v>
      </c>
      <c r="G487" s="14">
        <f>Leche[[#This Row],[N° LATAS]]-Leche[[#This Row],[TOTAL CAJAS]]*48</f>
        <v>24</v>
      </c>
      <c r="H487" s="28">
        <v>46233</v>
      </c>
      <c r="I487" s="29" t="s">
        <v>408</v>
      </c>
    </row>
    <row r="488" spans="1:9" hidden="1" x14ac:dyDescent="0.25">
      <c r="A488" s="14" t="s">
        <v>14</v>
      </c>
      <c r="B488" s="14" t="s">
        <v>288</v>
      </c>
      <c r="C488" s="15" t="s">
        <v>30</v>
      </c>
      <c r="D488" s="16">
        <v>46248</v>
      </c>
      <c r="E488" s="17">
        <v>1000</v>
      </c>
      <c r="F488" s="14">
        <f>ROUNDDOWN(Leche[[#This Row],[N° LATAS]]/48,0)</f>
        <v>20</v>
      </c>
      <c r="G488" s="14">
        <f>Leche[[#This Row],[N° LATAS]]-Leche[[#This Row],[TOTAL CAJAS]]*48</f>
        <v>40</v>
      </c>
      <c r="H488" s="28">
        <v>46246</v>
      </c>
      <c r="I488" s="29" t="s">
        <v>408</v>
      </c>
    </row>
    <row r="489" spans="1:9" hidden="1" x14ac:dyDescent="0.25">
      <c r="A489" s="14" t="s">
        <v>14</v>
      </c>
      <c r="B489" s="14" t="s">
        <v>288</v>
      </c>
      <c r="C489" s="15" t="s">
        <v>25</v>
      </c>
      <c r="D489" s="16">
        <v>46249</v>
      </c>
      <c r="E489" s="17">
        <v>3000</v>
      </c>
      <c r="F489" s="14">
        <f>ROUNDDOWN(Leche[[#This Row],[N° LATAS]]/48,0)</f>
        <v>62</v>
      </c>
      <c r="G489" s="14">
        <f>Leche[[#This Row],[N° LATAS]]-Leche[[#This Row],[TOTAL CAJAS]]*48</f>
        <v>24</v>
      </c>
      <c r="H489" s="28">
        <v>46246</v>
      </c>
      <c r="I489" s="29" t="s">
        <v>408</v>
      </c>
    </row>
    <row r="490" spans="1:9" hidden="1" x14ac:dyDescent="0.25">
      <c r="A490" s="14" t="s">
        <v>14</v>
      </c>
      <c r="B490" s="14" t="s">
        <v>288</v>
      </c>
      <c r="C490" s="15" t="s">
        <v>26</v>
      </c>
      <c r="D490" s="16">
        <v>46280</v>
      </c>
      <c r="E490" s="17">
        <v>3000</v>
      </c>
      <c r="F490" s="14">
        <f>ROUNDDOWN(Leche[[#This Row],[N° LATAS]]/48,0)</f>
        <v>62</v>
      </c>
      <c r="G490" s="14">
        <f>Leche[[#This Row],[N° LATAS]]-Leche[[#This Row],[TOTAL CAJAS]]*48</f>
        <v>24</v>
      </c>
      <c r="H490" s="28"/>
      <c r="I490" s="29"/>
    </row>
    <row r="491" spans="1:9" hidden="1" x14ac:dyDescent="0.25">
      <c r="A491" s="14" t="s">
        <v>14</v>
      </c>
      <c r="B491" s="14" t="s">
        <v>288</v>
      </c>
      <c r="C491" s="15" t="s">
        <v>27</v>
      </c>
      <c r="D491" s="16">
        <v>46310</v>
      </c>
      <c r="E491" s="17">
        <v>3000</v>
      </c>
      <c r="F491" s="14">
        <f>ROUNDDOWN(Leche[[#This Row],[N° LATAS]]/48,0)</f>
        <v>62</v>
      </c>
      <c r="G491" s="14">
        <f>Leche[[#This Row],[N° LATAS]]-Leche[[#This Row],[TOTAL CAJAS]]*48</f>
        <v>24</v>
      </c>
      <c r="H491" s="28"/>
      <c r="I491" s="29"/>
    </row>
    <row r="492" spans="1:9" hidden="1" x14ac:dyDescent="0.25">
      <c r="A492" s="14" t="s">
        <v>14</v>
      </c>
      <c r="B492" s="14" t="s">
        <v>288</v>
      </c>
      <c r="C492" s="15" t="s">
        <v>28</v>
      </c>
      <c r="D492" s="16">
        <v>46341</v>
      </c>
      <c r="E492" s="17">
        <v>3000</v>
      </c>
      <c r="F492" s="14">
        <f>ROUNDDOWN(Leche[[#This Row],[N° LATAS]]/48,0)</f>
        <v>62</v>
      </c>
      <c r="G492" s="14">
        <f>Leche[[#This Row],[N° LATAS]]-Leche[[#This Row],[TOTAL CAJAS]]*48</f>
        <v>24</v>
      </c>
      <c r="H492" s="28"/>
      <c r="I492" s="29"/>
    </row>
    <row r="493" spans="1:9" hidden="1" x14ac:dyDescent="0.25">
      <c r="A493" s="14" t="s">
        <v>14</v>
      </c>
      <c r="B493" s="14" t="s">
        <v>291</v>
      </c>
      <c r="C493" s="15" t="s">
        <v>16</v>
      </c>
      <c r="D493" s="16">
        <v>46023</v>
      </c>
      <c r="E493" s="17">
        <v>1137</v>
      </c>
      <c r="F493" s="14">
        <f>ROUNDDOWN(Leche[[#This Row],[N° LATAS]]/48,0)</f>
        <v>23</v>
      </c>
      <c r="G493" s="14">
        <f>Leche[[#This Row],[N° LATAS]]-Leche[[#This Row],[TOTAL CAJAS]]*48</f>
        <v>33</v>
      </c>
      <c r="H493" s="28">
        <v>46028</v>
      </c>
      <c r="I493" s="29" t="s">
        <v>408</v>
      </c>
    </row>
    <row r="494" spans="1:9" hidden="1" x14ac:dyDescent="0.25">
      <c r="A494" s="14" t="s">
        <v>14</v>
      </c>
      <c r="B494" s="14" t="s">
        <v>291</v>
      </c>
      <c r="C494" s="15" t="s">
        <v>18</v>
      </c>
      <c r="D494" s="16">
        <v>46052</v>
      </c>
      <c r="E494" s="17">
        <v>1027</v>
      </c>
      <c r="F494" s="14">
        <f>ROUNDDOWN(Leche[[#This Row],[N° LATAS]]/48,0)</f>
        <v>21</v>
      </c>
      <c r="G494" s="14">
        <f>Leche[[#This Row],[N° LATAS]]-Leche[[#This Row],[TOTAL CAJAS]]*48</f>
        <v>19</v>
      </c>
      <c r="H494" s="28">
        <v>46051</v>
      </c>
      <c r="I494" s="29" t="s">
        <v>408</v>
      </c>
    </row>
    <row r="495" spans="1:9" hidden="1" x14ac:dyDescent="0.25">
      <c r="A495" s="14" t="s">
        <v>14</v>
      </c>
      <c r="B495" s="14" t="s">
        <v>291</v>
      </c>
      <c r="C495" s="15" t="s">
        <v>19</v>
      </c>
      <c r="D495" s="16">
        <v>46081</v>
      </c>
      <c r="E495" s="17">
        <v>1137</v>
      </c>
      <c r="F495" s="14">
        <f>ROUNDDOWN(Leche[[#This Row],[N° LATAS]]/48,0)</f>
        <v>23</v>
      </c>
      <c r="G495" s="14">
        <f>Leche[[#This Row],[N° LATAS]]-Leche[[#This Row],[TOTAL CAJAS]]*48</f>
        <v>33</v>
      </c>
      <c r="H495" s="28">
        <v>46080</v>
      </c>
      <c r="I495" s="29" t="s">
        <v>408</v>
      </c>
    </row>
    <row r="496" spans="1:9" hidden="1" x14ac:dyDescent="0.25">
      <c r="A496" s="14" t="s">
        <v>14</v>
      </c>
      <c r="B496" s="14" t="s">
        <v>291</v>
      </c>
      <c r="C496" s="15" t="s">
        <v>20</v>
      </c>
      <c r="D496" s="16">
        <v>46082</v>
      </c>
      <c r="E496" s="17">
        <v>1100</v>
      </c>
      <c r="F496" s="14">
        <f>ROUNDDOWN(Leche[[#This Row],[N° LATAS]]/48,0)</f>
        <v>22</v>
      </c>
      <c r="G496" s="14">
        <f>Leche[[#This Row],[N° LATAS]]-Leche[[#This Row],[TOTAL CAJAS]]*48</f>
        <v>44</v>
      </c>
      <c r="H496" s="28">
        <v>46111</v>
      </c>
      <c r="I496" s="29" t="s">
        <v>408</v>
      </c>
    </row>
    <row r="497" spans="1:9" hidden="1" x14ac:dyDescent="0.25">
      <c r="A497" s="14" t="s">
        <v>14</v>
      </c>
      <c r="B497" s="14" t="s">
        <v>291</v>
      </c>
      <c r="C497" s="15" t="s">
        <v>21</v>
      </c>
      <c r="D497" s="16">
        <v>46113</v>
      </c>
      <c r="E497" s="17">
        <v>1137</v>
      </c>
      <c r="F497" s="14">
        <f>ROUNDDOWN(Leche[[#This Row],[N° LATAS]]/48,0)</f>
        <v>23</v>
      </c>
      <c r="G497" s="14">
        <f>Leche[[#This Row],[N° LATAS]]-Leche[[#This Row],[TOTAL CAJAS]]*48</f>
        <v>33</v>
      </c>
      <c r="H497" s="28">
        <v>46139</v>
      </c>
      <c r="I497" s="29" t="s">
        <v>408</v>
      </c>
    </row>
    <row r="498" spans="1:9" hidden="1" x14ac:dyDescent="0.25">
      <c r="A498" s="14" t="s">
        <v>14</v>
      </c>
      <c r="B498" s="14" t="s">
        <v>291</v>
      </c>
      <c r="C498" s="15" t="s">
        <v>22</v>
      </c>
      <c r="D498" s="16">
        <v>46143</v>
      </c>
      <c r="E498" s="17">
        <v>1100</v>
      </c>
      <c r="F498" s="14">
        <f>ROUNDDOWN(Leche[[#This Row],[N° LATAS]]/48,0)</f>
        <v>22</v>
      </c>
      <c r="G498" s="14">
        <f>Leche[[#This Row],[N° LATAS]]-Leche[[#This Row],[TOTAL CAJAS]]*48</f>
        <v>44</v>
      </c>
      <c r="H498" s="28">
        <v>46164</v>
      </c>
      <c r="I498" s="29" t="s">
        <v>408</v>
      </c>
    </row>
    <row r="499" spans="1:9" hidden="1" x14ac:dyDescent="0.25">
      <c r="A499" s="14" t="s">
        <v>14</v>
      </c>
      <c r="B499" s="14" t="s">
        <v>291</v>
      </c>
      <c r="C499" s="15" t="s">
        <v>23</v>
      </c>
      <c r="D499" s="16">
        <v>46174</v>
      </c>
      <c r="E499" s="17">
        <v>1137</v>
      </c>
      <c r="F499" s="14">
        <f>ROUNDDOWN(Leche[[#This Row],[N° LATAS]]/48,0)</f>
        <v>23</v>
      </c>
      <c r="G499" s="14">
        <f>Leche[[#This Row],[N° LATAS]]-Leche[[#This Row],[TOTAL CAJAS]]*48</f>
        <v>33</v>
      </c>
      <c r="H499" s="28">
        <v>46202</v>
      </c>
      <c r="I499" s="29" t="s">
        <v>408</v>
      </c>
    </row>
    <row r="500" spans="1:9" hidden="1" x14ac:dyDescent="0.25">
      <c r="A500" s="14" t="s">
        <v>14</v>
      </c>
      <c r="B500" s="14" t="s">
        <v>291</v>
      </c>
      <c r="C500" s="15" t="s">
        <v>24</v>
      </c>
      <c r="D500" s="16">
        <v>46204</v>
      </c>
      <c r="E500" s="17">
        <v>1137</v>
      </c>
      <c r="F500" s="14">
        <f>ROUNDDOWN(Leche[[#This Row],[N° LATAS]]/48,0)</f>
        <v>23</v>
      </c>
      <c r="G500" s="14">
        <f>Leche[[#This Row],[N° LATAS]]-Leche[[#This Row],[TOTAL CAJAS]]*48</f>
        <v>33</v>
      </c>
      <c r="H500" s="28">
        <v>46233</v>
      </c>
      <c r="I500" s="29" t="s">
        <v>408</v>
      </c>
    </row>
    <row r="501" spans="1:9" hidden="1" x14ac:dyDescent="0.25">
      <c r="A501" s="14" t="s">
        <v>14</v>
      </c>
      <c r="B501" s="14" t="s">
        <v>291</v>
      </c>
      <c r="C501" s="15" t="s">
        <v>30</v>
      </c>
      <c r="D501" s="16">
        <v>46235</v>
      </c>
      <c r="E501" s="17">
        <v>748.54</v>
      </c>
      <c r="F501" s="14">
        <f>ROUNDDOWN(Leche[[#This Row],[N° LATAS]]/48,0)</f>
        <v>15</v>
      </c>
      <c r="G501" s="14">
        <f>Leche[[#This Row],[N° LATAS]]-Leche[[#This Row],[TOTAL CAJAS]]*48</f>
        <v>28.539999999999964</v>
      </c>
      <c r="H501" s="28">
        <v>46239</v>
      </c>
      <c r="I501" s="29" t="s">
        <v>408</v>
      </c>
    </row>
    <row r="502" spans="1:9" hidden="1" x14ac:dyDescent="0.25">
      <c r="A502" s="14" t="s">
        <v>14</v>
      </c>
      <c r="B502" s="14" t="s">
        <v>291</v>
      </c>
      <c r="C502" s="15" t="s">
        <v>25</v>
      </c>
      <c r="D502" s="16">
        <v>46235</v>
      </c>
      <c r="E502" s="17">
        <v>1100</v>
      </c>
      <c r="F502" s="14">
        <f>ROUNDDOWN(Leche[[#This Row],[N° LATAS]]/48,0)</f>
        <v>22</v>
      </c>
      <c r="G502" s="14">
        <f>Leche[[#This Row],[N° LATAS]]-Leche[[#This Row],[TOTAL CAJAS]]*48</f>
        <v>44</v>
      </c>
      <c r="H502" s="28">
        <v>46266</v>
      </c>
      <c r="I502" s="29" t="s">
        <v>408</v>
      </c>
    </row>
    <row r="503" spans="1:9" hidden="1" x14ac:dyDescent="0.25">
      <c r="A503" s="14" t="s">
        <v>14</v>
      </c>
      <c r="B503" s="14" t="s">
        <v>291</v>
      </c>
      <c r="C503" s="15" t="s">
        <v>26</v>
      </c>
      <c r="D503" s="16">
        <v>46266</v>
      </c>
      <c r="E503" s="17">
        <v>1137</v>
      </c>
      <c r="F503" s="14">
        <f>ROUNDDOWN(Leche[[#This Row],[N° LATAS]]/48,0)</f>
        <v>23</v>
      </c>
      <c r="G503" s="14">
        <f>Leche[[#This Row],[N° LATAS]]-Leche[[#This Row],[TOTAL CAJAS]]*48</f>
        <v>33</v>
      </c>
      <c r="H503" s="28"/>
      <c r="I503" s="29"/>
    </row>
    <row r="504" spans="1:9" hidden="1" x14ac:dyDescent="0.25">
      <c r="A504" s="14" t="s">
        <v>14</v>
      </c>
      <c r="B504" s="14" t="s">
        <v>291</v>
      </c>
      <c r="C504" s="15" t="s">
        <v>27</v>
      </c>
      <c r="D504" s="16">
        <v>46296</v>
      </c>
      <c r="E504" s="17">
        <v>1100</v>
      </c>
      <c r="F504" s="14">
        <f>ROUNDDOWN(Leche[[#This Row],[N° LATAS]]/48,0)</f>
        <v>22</v>
      </c>
      <c r="G504" s="14">
        <f>Leche[[#This Row],[N° LATAS]]-Leche[[#This Row],[TOTAL CAJAS]]*48</f>
        <v>44</v>
      </c>
      <c r="H504" s="28"/>
      <c r="I504" s="29"/>
    </row>
    <row r="505" spans="1:9" hidden="1" x14ac:dyDescent="0.25">
      <c r="A505" s="14" t="s">
        <v>14</v>
      </c>
      <c r="B505" s="14" t="s">
        <v>291</v>
      </c>
      <c r="C505" s="15" t="s">
        <v>28</v>
      </c>
      <c r="D505" s="16">
        <v>46327</v>
      </c>
      <c r="E505" s="17">
        <v>1137</v>
      </c>
      <c r="F505" s="14">
        <f>ROUNDDOWN(Leche[[#This Row],[N° LATAS]]/48,0)</f>
        <v>23</v>
      </c>
      <c r="G505" s="14">
        <f>Leche[[#This Row],[N° LATAS]]-Leche[[#This Row],[TOTAL CAJAS]]*48</f>
        <v>33</v>
      </c>
      <c r="H505" s="28"/>
      <c r="I505" s="29"/>
    </row>
    <row r="506" spans="1:9" hidden="1" x14ac:dyDescent="0.25">
      <c r="A506" s="14" t="s">
        <v>14</v>
      </c>
      <c r="B506" s="14" t="s">
        <v>293</v>
      </c>
      <c r="C506" s="15" t="s">
        <v>16</v>
      </c>
      <c r="D506" s="16">
        <v>46027</v>
      </c>
      <c r="E506" s="17">
        <v>1368</v>
      </c>
      <c r="F506" s="14">
        <f>ROUNDDOWN(Leche[[#This Row],[N° LATAS]]/48,0)</f>
        <v>28</v>
      </c>
      <c r="G506" s="14">
        <f>Leche[[#This Row],[N° LATAS]]-Leche[[#This Row],[TOTAL CAJAS]]*48</f>
        <v>24</v>
      </c>
      <c r="H506" s="28">
        <v>46026</v>
      </c>
      <c r="I506" s="29" t="s">
        <v>408</v>
      </c>
    </row>
    <row r="507" spans="1:9" hidden="1" x14ac:dyDescent="0.25">
      <c r="A507" s="14" t="s">
        <v>14</v>
      </c>
      <c r="B507" s="14" t="s">
        <v>293</v>
      </c>
      <c r="C507" s="15" t="s">
        <v>18</v>
      </c>
      <c r="D507" s="16">
        <v>46027</v>
      </c>
      <c r="E507" s="17">
        <v>1368</v>
      </c>
      <c r="F507" s="14">
        <f>ROUNDDOWN(Leche[[#This Row],[N° LATAS]]/48,0)</f>
        <v>28</v>
      </c>
      <c r="G507" s="14">
        <f>Leche[[#This Row],[N° LATAS]]-Leche[[#This Row],[TOTAL CAJAS]]*48</f>
        <v>24</v>
      </c>
      <c r="H507" s="28">
        <v>46026</v>
      </c>
      <c r="I507" s="29" t="s">
        <v>408</v>
      </c>
    </row>
    <row r="508" spans="1:9" hidden="1" x14ac:dyDescent="0.25">
      <c r="A508" s="14" t="s">
        <v>14</v>
      </c>
      <c r="B508" s="14" t="s">
        <v>293</v>
      </c>
      <c r="C508" s="15" t="s">
        <v>20</v>
      </c>
      <c r="D508" s="16">
        <v>46081</v>
      </c>
      <c r="E508" s="17">
        <v>1368</v>
      </c>
      <c r="F508" s="14">
        <f>ROUNDDOWN(Leche[[#This Row],[N° LATAS]]/48,0)</f>
        <v>28</v>
      </c>
      <c r="G508" s="14">
        <f>Leche[[#This Row],[N° LATAS]]-Leche[[#This Row],[TOTAL CAJAS]]*48</f>
        <v>24</v>
      </c>
      <c r="H508" s="28">
        <v>46076</v>
      </c>
      <c r="I508" s="29" t="s">
        <v>408</v>
      </c>
    </row>
    <row r="509" spans="1:9" hidden="1" x14ac:dyDescent="0.25">
      <c r="A509" s="14" t="s">
        <v>14</v>
      </c>
      <c r="B509" s="14" t="s">
        <v>293</v>
      </c>
      <c r="C509" s="15" t="s">
        <v>19</v>
      </c>
      <c r="D509" s="16">
        <v>46081</v>
      </c>
      <c r="E509" s="17">
        <v>1368</v>
      </c>
      <c r="F509" s="14">
        <f>ROUNDDOWN(Leche[[#This Row],[N° LATAS]]/48,0)</f>
        <v>28</v>
      </c>
      <c r="G509" s="14">
        <f>Leche[[#This Row],[N° LATAS]]-Leche[[#This Row],[TOTAL CAJAS]]*48</f>
        <v>24</v>
      </c>
      <c r="H509" s="28">
        <v>46076</v>
      </c>
      <c r="I509" s="29" t="s">
        <v>408</v>
      </c>
    </row>
    <row r="510" spans="1:9" hidden="1" x14ac:dyDescent="0.25">
      <c r="A510" s="14" t="s">
        <v>14</v>
      </c>
      <c r="B510" s="14" t="s">
        <v>293</v>
      </c>
      <c r="C510" s="15" t="s">
        <v>21</v>
      </c>
      <c r="D510" s="16">
        <v>46152</v>
      </c>
      <c r="E510" s="17">
        <v>1368</v>
      </c>
      <c r="F510" s="14">
        <f>ROUNDDOWN(Leche[[#This Row],[N° LATAS]]/48,0)</f>
        <v>28</v>
      </c>
      <c r="G510" s="14">
        <f>Leche[[#This Row],[N° LATAS]]-Leche[[#This Row],[TOTAL CAJAS]]*48</f>
        <v>24</v>
      </c>
      <c r="H510" s="28">
        <v>46152</v>
      </c>
      <c r="I510" s="29" t="s">
        <v>408</v>
      </c>
    </row>
    <row r="511" spans="1:9" hidden="1" x14ac:dyDescent="0.25">
      <c r="A511" s="14" t="s">
        <v>14</v>
      </c>
      <c r="B511" s="14" t="s">
        <v>293</v>
      </c>
      <c r="C511" s="15" t="s">
        <v>22</v>
      </c>
      <c r="D511" s="16">
        <v>46152</v>
      </c>
      <c r="E511" s="17">
        <v>1368</v>
      </c>
      <c r="F511" s="14">
        <f>ROUNDDOWN(Leche[[#This Row],[N° LATAS]]/48,0)</f>
        <v>28</v>
      </c>
      <c r="G511" s="14">
        <f>Leche[[#This Row],[N° LATAS]]-Leche[[#This Row],[TOTAL CAJAS]]*48</f>
        <v>24</v>
      </c>
      <c r="H511" s="28">
        <v>46152</v>
      </c>
      <c r="I511" s="29" t="s">
        <v>408</v>
      </c>
    </row>
    <row r="512" spans="1:9" hidden="1" x14ac:dyDescent="0.25">
      <c r="A512" s="14" t="s">
        <v>14</v>
      </c>
      <c r="B512" s="14" t="s">
        <v>293</v>
      </c>
      <c r="C512" s="15" t="s">
        <v>23</v>
      </c>
      <c r="D512" s="16">
        <v>46203</v>
      </c>
      <c r="E512" s="17">
        <v>1368</v>
      </c>
      <c r="F512" s="14">
        <f>ROUNDDOWN(Leche[[#This Row],[N° LATAS]]/48,0)</f>
        <v>28</v>
      </c>
      <c r="G512" s="14">
        <f>Leche[[#This Row],[N° LATAS]]-Leche[[#This Row],[TOTAL CAJAS]]*48</f>
        <v>24</v>
      </c>
      <c r="H512" s="28">
        <v>46183</v>
      </c>
      <c r="I512" s="29" t="s">
        <v>408</v>
      </c>
    </row>
    <row r="513" spans="1:9" hidden="1" x14ac:dyDescent="0.25">
      <c r="A513" s="14" t="s">
        <v>14</v>
      </c>
      <c r="B513" s="14" t="s">
        <v>293</v>
      </c>
      <c r="C513" s="15" t="s">
        <v>24</v>
      </c>
      <c r="D513" s="16">
        <v>46203</v>
      </c>
      <c r="E513" s="17">
        <v>1368</v>
      </c>
      <c r="F513" s="14">
        <f>ROUNDDOWN(Leche[[#This Row],[N° LATAS]]/48,0)</f>
        <v>28</v>
      </c>
      <c r="G513" s="14">
        <f>Leche[[#This Row],[N° LATAS]]-Leche[[#This Row],[TOTAL CAJAS]]*48</f>
        <v>24</v>
      </c>
      <c r="H513" s="28">
        <v>46183</v>
      </c>
      <c r="I513" s="29" t="s">
        <v>408</v>
      </c>
    </row>
    <row r="514" spans="1:9" hidden="1" x14ac:dyDescent="0.25">
      <c r="A514" s="14" t="s">
        <v>14</v>
      </c>
      <c r="B514" s="14" t="s">
        <v>293</v>
      </c>
      <c r="C514" s="15" t="s">
        <v>25</v>
      </c>
      <c r="D514" s="16">
        <v>46265</v>
      </c>
      <c r="E514" s="17">
        <v>1368</v>
      </c>
      <c r="F514" s="14">
        <f>ROUNDDOWN(Leche[[#This Row],[N° LATAS]]/48,0)</f>
        <v>28</v>
      </c>
      <c r="G514" s="14">
        <f>Leche[[#This Row],[N° LATAS]]-Leche[[#This Row],[TOTAL CAJAS]]*48</f>
        <v>24</v>
      </c>
      <c r="H514" s="28">
        <v>46267</v>
      </c>
      <c r="I514" s="29" t="s">
        <v>408</v>
      </c>
    </row>
    <row r="515" spans="1:9" hidden="1" x14ac:dyDescent="0.25">
      <c r="A515" s="14" t="s">
        <v>14</v>
      </c>
      <c r="B515" s="14" t="s">
        <v>293</v>
      </c>
      <c r="C515" s="15" t="s">
        <v>26</v>
      </c>
      <c r="D515" s="16">
        <v>46265</v>
      </c>
      <c r="E515" s="17">
        <v>1368</v>
      </c>
      <c r="F515" s="14">
        <f>ROUNDDOWN(Leche[[#This Row],[N° LATAS]]/48,0)</f>
        <v>28</v>
      </c>
      <c r="G515" s="14">
        <f>Leche[[#This Row],[N° LATAS]]-Leche[[#This Row],[TOTAL CAJAS]]*48</f>
        <v>24</v>
      </c>
      <c r="H515" s="28">
        <v>46267</v>
      </c>
      <c r="I515" s="29" t="s">
        <v>408</v>
      </c>
    </row>
    <row r="516" spans="1:9" hidden="1" x14ac:dyDescent="0.25">
      <c r="A516" s="14" t="s">
        <v>14</v>
      </c>
      <c r="B516" s="14" t="s">
        <v>293</v>
      </c>
      <c r="C516" s="15" t="s">
        <v>30</v>
      </c>
      <c r="D516" s="16">
        <v>46276</v>
      </c>
      <c r="E516" s="17">
        <v>1535</v>
      </c>
      <c r="F516" s="14">
        <f>ROUNDDOWN(Leche[[#This Row],[N° LATAS]]/48,0)</f>
        <v>31</v>
      </c>
      <c r="G516" s="14">
        <f>Leche[[#This Row],[N° LATAS]]-Leche[[#This Row],[TOTAL CAJAS]]*48</f>
        <v>47</v>
      </c>
      <c r="H516" s="28">
        <v>46279</v>
      </c>
      <c r="I516" s="29" t="s">
        <v>408</v>
      </c>
    </row>
    <row r="517" spans="1:9" hidden="1" x14ac:dyDescent="0.25">
      <c r="A517" s="14" t="s">
        <v>14</v>
      </c>
      <c r="B517" s="14" t="s">
        <v>293</v>
      </c>
      <c r="C517" s="15" t="s">
        <v>27</v>
      </c>
      <c r="D517" s="16">
        <v>46326</v>
      </c>
      <c r="E517" s="17">
        <v>1368</v>
      </c>
      <c r="F517" s="14">
        <f>ROUNDDOWN(Leche[[#This Row],[N° LATAS]]/48,0)</f>
        <v>28</v>
      </c>
      <c r="G517" s="14">
        <f>Leche[[#This Row],[N° LATAS]]-Leche[[#This Row],[TOTAL CAJAS]]*48</f>
        <v>24</v>
      </c>
      <c r="H517" s="28"/>
      <c r="I517" s="29"/>
    </row>
    <row r="518" spans="1:9" hidden="1" x14ac:dyDescent="0.25">
      <c r="A518" s="14" t="s">
        <v>14</v>
      </c>
      <c r="B518" s="14" t="s">
        <v>293</v>
      </c>
      <c r="C518" s="15" t="s">
        <v>28</v>
      </c>
      <c r="D518" s="16">
        <v>46326</v>
      </c>
      <c r="E518" s="17">
        <v>1368</v>
      </c>
      <c r="F518" s="14">
        <f>ROUNDDOWN(Leche[[#This Row],[N° LATAS]]/48,0)</f>
        <v>28</v>
      </c>
      <c r="G518" s="14">
        <f>Leche[[#This Row],[N° LATAS]]-Leche[[#This Row],[TOTAL CAJAS]]*48</f>
        <v>24</v>
      </c>
      <c r="H518" s="28"/>
      <c r="I518" s="29"/>
    </row>
    <row r="519" spans="1:9" hidden="1" x14ac:dyDescent="0.25">
      <c r="A519" s="14" t="s">
        <v>14</v>
      </c>
      <c r="B519" s="14" t="s">
        <v>295</v>
      </c>
      <c r="C519" s="15" t="s">
        <v>30</v>
      </c>
      <c r="D519" s="16">
        <v>46196</v>
      </c>
      <c r="E519" s="17">
        <v>2585</v>
      </c>
      <c r="F519" s="14">
        <f>ROUNDDOWN(Leche[[#This Row],[N° LATAS]]/48,0)</f>
        <v>53</v>
      </c>
      <c r="G519" s="14">
        <f>Leche[[#This Row],[N° LATAS]]-Leche[[#This Row],[TOTAL CAJAS]]*48</f>
        <v>41</v>
      </c>
      <c r="H519" s="28">
        <v>46205</v>
      </c>
      <c r="I519" s="29" t="s">
        <v>408</v>
      </c>
    </row>
    <row r="520" spans="1:9" hidden="1" x14ac:dyDescent="0.25">
      <c r="A520" s="14" t="s">
        <v>14</v>
      </c>
      <c r="B520" s="14" t="s">
        <v>298</v>
      </c>
      <c r="C520" s="15" t="s">
        <v>35</v>
      </c>
      <c r="D520" s="16">
        <v>46101</v>
      </c>
      <c r="E520" s="17">
        <v>3600</v>
      </c>
      <c r="F520" s="14">
        <f>ROUNDDOWN(Leche[[#This Row],[N° LATAS]]/48,0)</f>
        <v>75</v>
      </c>
      <c r="G520" s="14">
        <f>Leche[[#This Row],[N° LATAS]]-Leche[[#This Row],[TOTAL CAJAS]]*48</f>
        <v>0</v>
      </c>
      <c r="H520" s="28">
        <v>46099</v>
      </c>
      <c r="I520" s="29" t="s">
        <v>408</v>
      </c>
    </row>
    <row r="521" spans="1:9" hidden="1" x14ac:dyDescent="0.25">
      <c r="A521" s="14" t="s">
        <v>14</v>
      </c>
      <c r="B521" s="14" t="s">
        <v>298</v>
      </c>
      <c r="C521" s="15" t="s">
        <v>37</v>
      </c>
      <c r="D521" s="16">
        <v>46101</v>
      </c>
      <c r="E521" s="17">
        <v>3600</v>
      </c>
      <c r="F521" s="14">
        <f>ROUNDDOWN(Leche[[#This Row],[N° LATAS]]/48,0)</f>
        <v>75</v>
      </c>
      <c r="G521" s="14">
        <f>Leche[[#This Row],[N° LATAS]]-Leche[[#This Row],[TOTAL CAJAS]]*48</f>
        <v>0</v>
      </c>
      <c r="H521" s="28">
        <v>46106</v>
      </c>
      <c r="I521" s="29" t="s">
        <v>408</v>
      </c>
    </row>
    <row r="522" spans="1:9" hidden="1" x14ac:dyDescent="0.25">
      <c r="A522" s="14" t="s">
        <v>14</v>
      </c>
      <c r="B522" s="14" t="s">
        <v>298</v>
      </c>
      <c r="C522" s="15" t="s">
        <v>38</v>
      </c>
      <c r="D522" s="16">
        <v>46192</v>
      </c>
      <c r="E522" s="17">
        <v>3600</v>
      </c>
      <c r="F522" s="14">
        <f>ROUNDDOWN(Leche[[#This Row],[N° LATAS]]/48,0)</f>
        <v>75</v>
      </c>
      <c r="G522" s="14">
        <f>Leche[[#This Row],[N° LATAS]]-Leche[[#This Row],[TOTAL CAJAS]]*48</f>
        <v>0</v>
      </c>
      <c r="H522" s="28">
        <v>46195</v>
      </c>
      <c r="I522" s="29" t="s">
        <v>408</v>
      </c>
    </row>
    <row r="523" spans="1:9" ht="22.5" hidden="1" x14ac:dyDescent="0.25">
      <c r="A523" s="14" t="s">
        <v>14</v>
      </c>
      <c r="B523" s="14" t="s">
        <v>298</v>
      </c>
      <c r="C523" s="15" t="s">
        <v>39</v>
      </c>
      <c r="D523" s="16">
        <v>46287</v>
      </c>
      <c r="E523" s="17">
        <v>3600</v>
      </c>
      <c r="F523" s="14">
        <f>ROUNDDOWN(Leche[[#This Row],[N° LATAS]]/48,0)</f>
        <v>75</v>
      </c>
      <c r="G523" s="14">
        <f>Leche[[#This Row],[N° LATAS]]-Leche[[#This Row],[TOTAL CAJAS]]*48</f>
        <v>0</v>
      </c>
      <c r="H523" s="28">
        <v>46287</v>
      </c>
      <c r="I523" s="29" t="s">
        <v>408</v>
      </c>
    </row>
    <row r="524" spans="1:9" hidden="1" x14ac:dyDescent="0.25">
      <c r="A524" s="14" t="s">
        <v>14</v>
      </c>
      <c r="B524" s="14" t="s">
        <v>305</v>
      </c>
      <c r="C524" s="15" t="s">
        <v>16</v>
      </c>
      <c r="D524" s="16">
        <v>46015</v>
      </c>
      <c r="E524" s="17">
        <v>1704</v>
      </c>
      <c r="F524" s="14">
        <f>ROUNDDOWN(Leche[[#This Row],[N° LATAS]]/48,0)</f>
        <v>35</v>
      </c>
      <c r="G524" s="14">
        <f>Leche[[#This Row],[N° LATAS]]-Leche[[#This Row],[TOTAL CAJAS]]*48</f>
        <v>24</v>
      </c>
      <c r="H524" s="28">
        <v>46009</v>
      </c>
      <c r="I524" s="29" t="s">
        <v>408</v>
      </c>
    </row>
    <row r="525" spans="1:9" hidden="1" x14ac:dyDescent="0.25">
      <c r="A525" s="14" t="s">
        <v>14</v>
      </c>
      <c r="B525" s="14" t="s">
        <v>305</v>
      </c>
      <c r="C525" s="15" t="s">
        <v>18</v>
      </c>
      <c r="D525" s="16">
        <v>46046</v>
      </c>
      <c r="E525" s="17">
        <v>1539</v>
      </c>
      <c r="F525" s="14">
        <f>ROUNDDOWN(Leche[[#This Row],[N° LATAS]]/48,0)</f>
        <v>32</v>
      </c>
      <c r="G525" s="14">
        <f>Leche[[#This Row],[N° LATAS]]-Leche[[#This Row],[TOTAL CAJAS]]*48</f>
        <v>3</v>
      </c>
      <c r="H525" s="28">
        <v>46044</v>
      </c>
      <c r="I525" s="29" t="s">
        <v>408</v>
      </c>
    </row>
    <row r="526" spans="1:9" hidden="1" x14ac:dyDescent="0.25">
      <c r="A526" s="14" t="s">
        <v>14</v>
      </c>
      <c r="B526" s="14" t="s">
        <v>305</v>
      </c>
      <c r="C526" s="15" t="s">
        <v>19</v>
      </c>
      <c r="D526" s="16">
        <v>46077</v>
      </c>
      <c r="E526" s="17">
        <v>1704</v>
      </c>
      <c r="F526" s="14">
        <f>ROUNDDOWN(Leche[[#This Row],[N° LATAS]]/48,0)</f>
        <v>35</v>
      </c>
      <c r="G526" s="14">
        <f>Leche[[#This Row],[N° LATAS]]-Leche[[#This Row],[TOTAL CAJAS]]*48</f>
        <v>24</v>
      </c>
      <c r="H526" s="28">
        <v>46073</v>
      </c>
      <c r="I526" s="29" t="s">
        <v>408</v>
      </c>
    </row>
    <row r="527" spans="1:9" hidden="1" x14ac:dyDescent="0.25">
      <c r="A527" s="14" t="s">
        <v>14</v>
      </c>
      <c r="B527" s="14" t="s">
        <v>305</v>
      </c>
      <c r="C527" s="15" t="s">
        <v>20</v>
      </c>
      <c r="D527" s="16">
        <v>46105</v>
      </c>
      <c r="E527" s="17">
        <v>1649</v>
      </c>
      <c r="F527" s="14">
        <f>ROUNDDOWN(Leche[[#This Row],[N° LATAS]]/48,0)</f>
        <v>34</v>
      </c>
      <c r="G527" s="14">
        <f>Leche[[#This Row],[N° LATAS]]-Leche[[#This Row],[TOTAL CAJAS]]*48</f>
        <v>17</v>
      </c>
      <c r="H527" s="28">
        <v>46107</v>
      </c>
      <c r="I527" s="29" t="s">
        <v>408</v>
      </c>
    </row>
    <row r="528" spans="1:9" hidden="1" x14ac:dyDescent="0.25">
      <c r="A528" s="14" t="s">
        <v>14</v>
      </c>
      <c r="B528" s="14" t="s">
        <v>305</v>
      </c>
      <c r="C528" s="15" t="s">
        <v>21</v>
      </c>
      <c r="D528" s="16">
        <v>46136</v>
      </c>
      <c r="E528" s="17">
        <v>1704</v>
      </c>
      <c r="F528" s="14">
        <f>ROUNDDOWN(Leche[[#This Row],[N° LATAS]]/48,0)</f>
        <v>35</v>
      </c>
      <c r="G528" s="14">
        <f>Leche[[#This Row],[N° LATAS]]-Leche[[#This Row],[TOTAL CAJAS]]*48</f>
        <v>24</v>
      </c>
      <c r="H528" s="28">
        <v>46141</v>
      </c>
      <c r="I528" s="29" t="s">
        <v>408</v>
      </c>
    </row>
    <row r="529" spans="1:9" hidden="1" x14ac:dyDescent="0.25">
      <c r="A529" s="14" t="s">
        <v>14</v>
      </c>
      <c r="B529" s="14" t="s">
        <v>305</v>
      </c>
      <c r="C529" s="15" t="s">
        <v>22</v>
      </c>
      <c r="D529" s="16">
        <v>46166</v>
      </c>
      <c r="E529" s="17">
        <v>1649</v>
      </c>
      <c r="F529" s="14">
        <f>ROUNDDOWN(Leche[[#This Row],[N° LATAS]]/48,0)</f>
        <v>34</v>
      </c>
      <c r="G529" s="14">
        <f>Leche[[#This Row],[N° LATAS]]-Leche[[#This Row],[TOTAL CAJAS]]*48</f>
        <v>17</v>
      </c>
      <c r="H529" s="28">
        <v>46162</v>
      </c>
      <c r="I529" s="29" t="s">
        <v>408</v>
      </c>
    </row>
    <row r="530" spans="1:9" hidden="1" x14ac:dyDescent="0.25">
      <c r="A530" s="14" t="s">
        <v>14</v>
      </c>
      <c r="B530" s="14" t="s">
        <v>305</v>
      </c>
      <c r="C530" s="15" t="s">
        <v>23</v>
      </c>
      <c r="D530" s="16">
        <v>46197</v>
      </c>
      <c r="E530" s="17">
        <v>1704</v>
      </c>
      <c r="F530" s="14">
        <f>ROUNDDOWN(Leche[[#This Row],[N° LATAS]]/48,0)</f>
        <v>35</v>
      </c>
      <c r="G530" s="14">
        <f>Leche[[#This Row],[N° LATAS]]-Leche[[#This Row],[TOTAL CAJAS]]*48</f>
        <v>24</v>
      </c>
      <c r="H530" s="28">
        <v>46202</v>
      </c>
      <c r="I530" s="29" t="s">
        <v>408</v>
      </c>
    </row>
    <row r="531" spans="1:9" hidden="1" x14ac:dyDescent="0.25">
      <c r="A531" s="14" t="s">
        <v>14</v>
      </c>
      <c r="B531" s="14" t="s">
        <v>305</v>
      </c>
      <c r="C531" s="15" t="s">
        <v>30</v>
      </c>
      <c r="D531" s="16">
        <v>46227</v>
      </c>
      <c r="E531" s="17">
        <v>1502</v>
      </c>
      <c r="F531" s="14">
        <f>ROUNDDOWN(Leche[[#This Row],[N° LATAS]]/48,0)</f>
        <v>31</v>
      </c>
      <c r="G531" s="14">
        <f>Leche[[#This Row],[N° LATAS]]-Leche[[#This Row],[TOTAL CAJAS]]*48</f>
        <v>14</v>
      </c>
      <c r="H531" s="28">
        <v>46233</v>
      </c>
      <c r="I531" s="29" t="s">
        <v>408</v>
      </c>
    </row>
    <row r="532" spans="1:9" hidden="1" x14ac:dyDescent="0.25">
      <c r="A532" s="14" t="s">
        <v>14</v>
      </c>
      <c r="B532" s="14" t="s">
        <v>305</v>
      </c>
      <c r="C532" s="15" t="s">
        <v>24</v>
      </c>
      <c r="D532" s="16">
        <v>46227</v>
      </c>
      <c r="E532" s="17">
        <v>1704</v>
      </c>
      <c r="F532" s="14">
        <f>ROUNDDOWN(Leche[[#This Row],[N° LATAS]]/48,0)</f>
        <v>35</v>
      </c>
      <c r="G532" s="14">
        <f>Leche[[#This Row],[N° LATAS]]-Leche[[#This Row],[TOTAL CAJAS]]*48</f>
        <v>24</v>
      </c>
      <c r="H532" s="28">
        <v>46233</v>
      </c>
      <c r="I532" s="29" t="s">
        <v>408</v>
      </c>
    </row>
    <row r="533" spans="1:9" hidden="1" x14ac:dyDescent="0.25">
      <c r="A533" s="14" t="s">
        <v>14</v>
      </c>
      <c r="B533" s="14" t="s">
        <v>305</v>
      </c>
      <c r="C533" s="15" t="s">
        <v>25</v>
      </c>
      <c r="D533" s="16">
        <v>46258</v>
      </c>
      <c r="E533" s="17">
        <v>1649</v>
      </c>
      <c r="F533" s="14">
        <f>ROUNDDOWN(Leche[[#This Row],[N° LATAS]]/48,0)</f>
        <v>34</v>
      </c>
      <c r="G533" s="14">
        <f>Leche[[#This Row],[N° LATAS]]-Leche[[#This Row],[TOTAL CAJAS]]*48</f>
        <v>17</v>
      </c>
      <c r="H533" s="28">
        <v>46266</v>
      </c>
      <c r="I533" s="29" t="s">
        <v>408</v>
      </c>
    </row>
    <row r="534" spans="1:9" hidden="1" x14ac:dyDescent="0.25">
      <c r="A534" s="14" t="s">
        <v>14</v>
      </c>
      <c r="B534" s="14" t="s">
        <v>305</v>
      </c>
      <c r="C534" s="15" t="s">
        <v>26</v>
      </c>
      <c r="D534" s="16">
        <v>46289</v>
      </c>
      <c r="E534" s="17">
        <v>1704</v>
      </c>
      <c r="F534" s="14">
        <f>ROUNDDOWN(Leche[[#This Row],[N° LATAS]]/48,0)</f>
        <v>35</v>
      </c>
      <c r="G534" s="14">
        <f>Leche[[#This Row],[N° LATAS]]-Leche[[#This Row],[TOTAL CAJAS]]*48</f>
        <v>24</v>
      </c>
      <c r="H534" s="28"/>
      <c r="I534" s="29"/>
    </row>
    <row r="535" spans="1:9" hidden="1" x14ac:dyDescent="0.25">
      <c r="A535" s="14" t="s">
        <v>14</v>
      </c>
      <c r="B535" s="14" t="s">
        <v>305</v>
      </c>
      <c r="C535" s="15" t="s">
        <v>27</v>
      </c>
      <c r="D535" s="16">
        <v>46319</v>
      </c>
      <c r="E535" s="17">
        <v>1649</v>
      </c>
      <c r="F535" s="14">
        <f>ROUNDDOWN(Leche[[#This Row],[N° LATAS]]/48,0)</f>
        <v>34</v>
      </c>
      <c r="G535" s="14">
        <f>Leche[[#This Row],[N° LATAS]]-Leche[[#This Row],[TOTAL CAJAS]]*48</f>
        <v>17</v>
      </c>
      <c r="H535" s="28"/>
      <c r="I535" s="29"/>
    </row>
    <row r="536" spans="1:9" hidden="1" x14ac:dyDescent="0.25">
      <c r="A536" s="14" t="s">
        <v>14</v>
      </c>
      <c r="B536" s="14" t="s">
        <v>305</v>
      </c>
      <c r="C536" s="15" t="s">
        <v>28</v>
      </c>
      <c r="D536" s="16">
        <v>46350</v>
      </c>
      <c r="E536" s="17">
        <v>1704</v>
      </c>
      <c r="F536" s="14">
        <f>ROUNDDOWN(Leche[[#This Row],[N° LATAS]]/48,0)</f>
        <v>35</v>
      </c>
      <c r="G536" s="14">
        <f>Leche[[#This Row],[N° LATAS]]-Leche[[#This Row],[TOTAL CAJAS]]*48</f>
        <v>24</v>
      </c>
      <c r="H536" s="28"/>
      <c r="I536" s="29"/>
    </row>
    <row r="537" spans="1:9" hidden="1" x14ac:dyDescent="0.25">
      <c r="A537" s="14" t="s">
        <v>14</v>
      </c>
      <c r="B537" s="14" t="s">
        <v>426</v>
      </c>
      <c r="C537" s="15" t="s">
        <v>30</v>
      </c>
      <c r="D537" s="16">
        <v>46045</v>
      </c>
      <c r="E537" s="17">
        <v>780</v>
      </c>
      <c r="F537" s="14">
        <f>ROUNDDOWN(Leche[[#This Row],[N° LATAS]]/48,0)</f>
        <v>16</v>
      </c>
      <c r="G537" s="14">
        <f>Leche[[#This Row],[N° LATAS]]-Leche[[#This Row],[TOTAL CAJAS]]*48</f>
        <v>12</v>
      </c>
      <c r="H537" s="28">
        <v>46044</v>
      </c>
      <c r="I537" s="29" t="s">
        <v>408</v>
      </c>
    </row>
    <row r="538" spans="1:9" hidden="1" x14ac:dyDescent="0.25">
      <c r="A538" s="14" t="s">
        <v>14</v>
      </c>
      <c r="B538" s="14" t="s">
        <v>426</v>
      </c>
      <c r="C538" s="15" t="s">
        <v>30</v>
      </c>
      <c r="D538" s="16">
        <v>46112</v>
      </c>
      <c r="E538" s="17">
        <v>780</v>
      </c>
      <c r="F538" s="14">
        <f>ROUNDDOWN(Leche[[#This Row],[N° LATAS]]/48,0)</f>
        <v>16</v>
      </c>
      <c r="G538" s="14">
        <f>Leche[[#This Row],[N° LATAS]]-Leche[[#This Row],[TOTAL CAJAS]]*48</f>
        <v>12</v>
      </c>
      <c r="H538" s="28">
        <v>46111</v>
      </c>
      <c r="I538" s="29" t="s">
        <v>408</v>
      </c>
    </row>
    <row r="539" spans="1:9" hidden="1" x14ac:dyDescent="0.25">
      <c r="A539" s="14" t="s">
        <v>14</v>
      </c>
      <c r="B539" s="14" t="s">
        <v>426</v>
      </c>
      <c r="C539" s="15" t="s">
        <v>30</v>
      </c>
      <c r="D539" s="16">
        <v>46203</v>
      </c>
      <c r="E539" s="17">
        <v>910</v>
      </c>
      <c r="F539" s="14">
        <f>ROUNDDOWN(Leche[[#This Row],[N° LATAS]]/48,0)</f>
        <v>18</v>
      </c>
      <c r="G539" s="14">
        <f>Leche[[#This Row],[N° LATAS]]-Leche[[#This Row],[TOTAL CAJAS]]*48</f>
        <v>46</v>
      </c>
      <c r="H539" s="28">
        <v>46205</v>
      </c>
      <c r="I539" s="29" t="s">
        <v>408</v>
      </c>
    </row>
    <row r="540" spans="1:9" hidden="1" x14ac:dyDescent="0.25">
      <c r="A540" s="14" t="s">
        <v>14</v>
      </c>
      <c r="B540" s="14" t="s">
        <v>427</v>
      </c>
      <c r="C540" s="15" t="s">
        <v>20</v>
      </c>
      <c r="D540" s="16">
        <v>46106</v>
      </c>
      <c r="E540" s="17">
        <v>5796</v>
      </c>
      <c r="F540" s="14">
        <f>ROUNDDOWN(Leche[[#This Row],[N° LATAS]]/48,0)</f>
        <v>120</v>
      </c>
      <c r="G540" s="14">
        <f>Leche[[#This Row],[N° LATAS]]-Leche[[#This Row],[TOTAL CAJAS]]*48</f>
        <v>36</v>
      </c>
      <c r="H540" s="28">
        <v>46098</v>
      </c>
      <c r="I540" s="29" t="s">
        <v>408</v>
      </c>
    </row>
    <row r="541" spans="1:9" hidden="1" x14ac:dyDescent="0.25">
      <c r="A541" s="14" t="s">
        <v>14</v>
      </c>
      <c r="B541" s="14" t="s">
        <v>427</v>
      </c>
      <c r="C541" s="15" t="s">
        <v>19</v>
      </c>
      <c r="D541" s="16">
        <v>46106</v>
      </c>
      <c r="E541" s="17">
        <v>5796</v>
      </c>
      <c r="F541" s="14">
        <f>ROUNDDOWN(Leche[[#This Row],[N° LATAS]]/48,0)</f>
        <v>120</v>
      </c>
      <c r="G541" s="14">
        <f>Leche[[#This Row],[N° LATAS]]-Leche[[#This Row],[TOTAL CAJAS]]*48</f>
        <v>36</v>
      </c>
      <c r="H541" s="28">
        <v>46098</v>
      </c>
      <c r="I541" s="29" t="s">
        <v>408</v>
      </c>
    </row>
    <row r="542" spans="1:9" hidden="1" x14ac:dyDescent="0.25">
      <c r="A542" s="14" t="s">
        <v>14</v>
      </c>
      <c r="B542" s="14" t="s">
        <v>427</v>
      </c>
      <c r="C542" s="15" t="s">
        <v>21</v>
      </c>
      <c r="D542" s="16">
        <v>46137</v>
      </c>
      <c r="E542" s="17">
        <v>5796</v>
      </c>
      <c r="F542" s="14">
        <f>ROUNDDOWN(Leche[[#This Row],[N° LATAS]]/48,0)</f>
        <v>120</v>
      </c>
      <c r="G542" s="14">
        <f>Leche[[#This Row],[N° LATAS]]-Leche[[#This Row],[TOTAL CAJAS]]*48</f>
        <v>36</v>
      </c>
      <c r="H542" s="28">
        <v>46141</v>
      </c>
      <c r="I542" s="29" t="s">
        <v>408</v>
      </c>
    </row>
    <row r="543" spans="1:9" hidden="1" x14ac:dyDescent="0.25">
      <c r="A543" s="14" t="s">
        <v>14</v>
      </c>
      <c r="B543" s="14" t="s">
        <v>427</v>
      </c>
      <c r="C543" s="15" t="s">
        <v>22</v>
      </c>
      <c r="D543" s="16">
        <v>46137</v>
      </c>
      <c r="E543" s="17">
        <v>5796</v>
      </c>
      <c r="F543" s="14">
        <f>ROUNDDOWN(Leche[[#This Row],[N° LATAS]]/48,0)</f>
        <v>120</v>
      </c>
      <c r="G543" s="14">
        <f>Leche[[#This Row],[N° LATAS]]-Leche[[#This Row],[TOTAL CAJAS]]*48</f>
        <v>36</v>
      </c>
      <c r="H543" s="28">
        <v>46141</v>
      </c>
      <c r="I543" s="29" t="s">
        <v>408</v>
      </c>
    </row>
    <row r="544" spans="1:9" hidden="1" x14ac:dyDescent="0.25">
      <c r="A544" s="14" t="s">
        <v>14</v>
      </c>
      <c r="B544" s="14" t="s">
        <v>427</v>
      </c>
      <c r="C544" s="15" t="s">
        <v>23</v>
      </c>
      <c r="D544" s="16">
        <v>46198</v>
      </c>
      <c r="E544" s="17">
        <v>5796</v>
      </c>
      <c r="F544" s="14">
        <f>ROUNDDOWN(Leche[[#This Row],[N° LATAS]]/48,0)</f>
        <v>120</v>
      </c>
      <c r="G544" s="14">
        <f>Leche[[#This Row],[N° LATAS]]-Leche[[#This Row],[TOTAL CAJAS]]*48</f>
        <v>36</v>
      </c>
      <c r="H544" s="28">
        <v>46202</v>
      </c>
      <c r="I544" s="29" t="s">
        <v>408</v>
      </c>
    </row>
    <row r="545" spans="1:9" hidden="1" x14ac:dyDescent="0.25">
      <c r="A545" s="14" t="s">
        <v>14</v>
      </c>
      <c r="B545" s="14" t="s">
        <v>427</v>
      </c>
      <c r="C545" s="15" t="s">
        <v>24</v>
      </c>
      <c r="D545" s="16">
        <v>46198</v>
      </c>
      <c r="E545" s="17">
        <v>5796</v>
      </c>
      <c r="F545" s="14">
        <f>ROUNDDOWN(Leche[[#This Row],[N° LATAS]]/48,0)</f>
        <v>120</v>
      </c>
      <c r="G545" s="14">
        <f>Leche[[#This Row],[N° LATAS]]-Leche[[#This Row],[TOTAL CAJAS]]*48</f>
        <v>36</v>
      </c>
      <c r="H545" s="28">
        <v>46202</v>
      </c>
      <c r="I545" s="29" t="s">
        <v>408</v>
      </c>
    </row>
    <row r="546" spans="1:9" hidden="1" x14ac:dyDescent="0.25">
      <c r="A546" s="14" t="s">
        <v>14</v>
      </c>
      <c r="B546" s="14" t="s">
        <v>427</v>
      </c>
      <c r="C546" s="15" t="s">
        <v>25</v>
      </c>
      <c r="D546" s="16">
        <v>46259</v>
      </c>
      <c r="E546" s="17">
        <v>5796</v>
      </c>
      <c r="F546" s="14">
        <f>ROUNDDOWN(Leche[[#This Row],[N° LATAS]]/48,0)</f>
        <v>120</v>
      </c>
      <c r="G546" s="14">
        <f>Leche[[#This Row],[N° LATAS]]-Leche[[#This Row],[TOTAL CAJAS]]*48</f>
        <v>36</v>
      </c>
      <c r="H546" s="28">
        <v>46266</v>
      </c>
      <c r="I546" s="29" t="s">
        <v>408</v>
      </c>
    </row>
    <row r="547" spans="1:9" hidden="1" x14ac:dyDescent="0.25">
      <c r="A547" s="14" t="s">
        <v>14</v>
      </c>
      <c r="B547" s="14" t="s">
        <v>427</v>
      </c>
      <c r="C547" s="15" t="s">
        <v>26</v>
      </c>
      <c r="D547" s="16">
        <v>46259</v>
      </c>
      <c r="E547" s="17">
        <v>5796</v>
      </c>
      <c r="F547" s="14">
        <f>ROUNDDOWN(Leche[[#This Row],[N° LATAS]]/48,0)</f>
        <v>120</v>
      </c>
      <c r="G547" s="14">
        <f>Leche[[#This Row],[N° LATAS]]-Leche[[#This Row],[TOTAL CAJAS]]*48</f>
        <v>36</v>
      </c>
      <c r="H547" s="28">
        <v>46266</v>
      </c>
      <c r="I547" s="29" t="s">
        <v>408</v>
      </c>
    </row>
    <row r="548" spans="1:9" hidden="1" x14ac:dyDescent="0.25">
      <c r="A548" s="14" t="s">
        <v>14</v>
      </c>
      <c r="B548" s="14" t="s">
        <v>427</v>
      </c>
      <c r="C548" s="15" t="s">
        <v>30</v>
      </c>
      <c r="D548" s="16">
        <v>46259</v>
      </c>
      <c r="E548" s="17">
        <v>5796</v>
      </c>
      <c r="F548" s="14">
        <f>ROUNDDOWN(Leche[[#This Row],[N° LATAS]]/48,0)</f>
        <v>120</v>
      </c>
      <c r="G548" s="14">
        <f>Leche[[#This Row],[N° LATAS]]-Leche[[#This Row],[TOTAL CAJAS]]*48</f>
        <v>36</v>
      </c>
      <c r="H548" s="28">
        <v>46266</v>
      </c>
      <c r="I548" s="29" t="s">
        <v>408</v>
      </c>
    </row>
    <row r="549" spans="1:9" hidden="1" x14ac:dyDescent="0.25">
      <c r="A549" s="14" t="s">
        <v>14</v>
      </c>
      <c r="B549" s="14" t="s">
        <v>427</v>
      </c>
      <c r="C549" s="15" t="s">
        <v>27</v>
      </c>
      <c r="D549" s="16">
        <v>46320</v>
      </c>
      <c r="E549" s="17">
        <v>5796</v>
      </c>
      <c r="F549" s="14">
        <f>ROUNDDOWN(Leche[[#This Row],[N° LATAS]]/48,0)</f>
        <v>120</v>
      </c>
      <c r="G549" s="14">
        <f>Leche[[#This Row],[N° LATAS]]-Leche[[#This Row],[TOTAL CAJAS]]*48</f>
        <v>36</v>
      </c>
      <c r="H549" s="28"/>
      <c r="I549" s="29"/>
    </row>
    <row r="550" spans="1:9" hidden="1" x14ac:dyDescent="0.25">
      <c r="A550" s="14" t="s">
        <v>14</v>
      </c>
      <c r="B550" s="14" t="s">
        <v>427</v>
      </c>
      <c r="C550" s="15" t="s">
        <v>28</v>
      </c>
      <c r="D550" s="16">
        <v>46320</v>
      </c>
      <c r="E550" s="17">
        <v>5844</v>
      </c>
      <c r="F550" s="14">
        <f>ROUNDDOWN(Leche[[#This Row],[N° LATAS]]/48,0)</f>
        <v>121</v>
      </c>
      <c r="G550" s="14">
        <f>Leche[[#This Row],[N° LATAS]]-Leche[[#This Row],[TOTAL CAJAS]]*48</f>
        <v>36</v>
      </c>
      <c r="H550" s="28"/>
      <c r="I550" s="29"/>
    </row>
    <row r="551" spans="1:9" hidden="1" x14ac:dyDescent="0.25">
      <c r="A551" s="14" t="s">
        <v>14</v>
      </c>
      <c r="B551" s="14" t="s">
        <v>428</v>
      </c>
      <c r="C551" s="15" t="s">
        <v>16</v>
      </c>
      <c r="D551" s="16">
        <v>46037</v>
      </c>
      <c r="E551" s="17">
        <f>3312+1758+657</f>
        <v>5727</v>
      </c>
      <c r="F551" s="14">
        <f>ROUNDDOWN(Leche[[#This Row],[N° LATAS]]/48,0)</f>
        <v>119</v>
      </c>
      <c r="G551" s="14">
        <f>Leche[[#This Row],[N° LATAS]]-Leche[[#This Row],[TOTAL CAJAS]]*48</f>
        <v>15</v>
      </c>
      <c r="H551" s="28">
        <v>46042</v>
      </c>
      <c r="I551" s="29" t="s">
        <v>408</v>
      </c>
    </row>
    <row r="552" spans="1:9" hidden="1" x14ac:dyDescent="0.25">
      <c r="A552" s="14" t="s">
        <v>14</v>
      </c>
      <c r="B552" s="14" t="s">
        <v>428</v>
      </c>
      <c r="C552" s="15" t="s">
        <v>18</v>
      </c>
      <c r="D552" s="16">
        <v>46037</v>
      </c>
      <c r="E552" s="17">
        <f>3312+1758+657</f>
        <v>5727</v>
      </c>
      <c r="F552" s="14">
        <f>ROUNDDOWN(Leche[[#This Row],[N° LATAS]]/48,0)</f>
        <v>119</v>
      </c>
      <c r="G552" s="14">
        <f>Leche[[#This Row],[N° LATAS]]-Leche[[#This Row],[TOTAL CAJAS]]*48</f>
        <v>15</v>
      </c>
      <c r="H552" s="28">
        <v>46042</v>
      </c>
      <c r="I552" s="29" t="s">
        <v>408</v>
      </c>
    </row>
    <row r="553" spans="1:9" hidden="1" x14ac:dyDescent="0.25">
      <c r="A553" s="14" t="s">
        <v>14</v>
      </c>
      <c r="B553" s="14" t="s">
        <v>326</v>
      </c>
      <c r="C553" s="15" t="s">
        <v>35</v>
      </c>
      <c r="D553" s="16">
        <v>46039</v>
      </c>
      <c r="E553" s="17">
        <v>8940</v>
      </c>
      <c r="F553" s="14">
        <f>ROUNDDOWN(Leche[[#This Row],[N° LATAS]]/48,0)</f>
        <v>186</v>
      </c>
      <c r="G553" s="14">
        <f>Leche[[#This Row],[N° LATAS]]-Leche[[#This Row],[TOTAL CAJAS]]*48</f>
        <v>12</v>
      </c>
      <c r="H553" s="28">
        <v>46058</v>
      </c>
      <c r="I553" s="29" t="s">
        <v>408</v>
      </c>
    </row>
    <row r="554" spans="1:9" hidden="1" x14ac:dyDescent="0.25">
      <c r="A554" s="14" t="s">
        <v>14</v>
      </c>
      <c r="B554" s="14" t="s">
        <v>326</v>
      </c>
      <c r="C554" s="15" t="s">
        <v>37</v>
      </c>
      <c r="D554" s="16">
        <v>46106</v>
      </c>
      <c r="E554" s="17">
        <v>8940</v>
      </c>
      <c r="F554" s="14">
        <f>ROUNDDOWN(Leche[[#This Row],[N° LATAS]]/48,0)</f>
        <v>186</v>
      </c>
      <c r="G554" s="14">
        <f>Leche[[#This Row],[N° LATAS]]-Leche[[#This Row],[TOTAL CAJAS]]*48</f>
        <v>12</v>
      </c>
      <c r="H554" s="28">
        <v>46106</v>
      </c>
      <c r="I554" s="29" t="s">
        <v>408</v>
      </c>
    </row>
    <row r="555" spans="1:9" hidden="1" x14ac:dyDescent="0.25">
      <c r="A555" s="14" t="s">
        <v>14</v>
      </c>
      <c r="B555" s="14" t="s">
        <v>326</v>
      </c>
      <c r="C555" s="15" t="s">
        <v>38</v>
      </c>
      <c r="D555" s="16">
        <v>46198</v>
      </c>
      <c r="E555" s="17">
        <v>8940</v>
      </c>
      <c r="F555" s="14">
        <f>ROUNDDOWN(Leche[[#This Row],[N° LATAS]]/48,0)</f>
        <v>186</v>
      </c>
      <c r="G555" s="14">
        <f>Leche[[#This Row],[N° LATAS]]-Leche[[#This Row],[TOTAL CAJAS]]*48</f>
        <v>12</v>
      </c>
      <c r="H555" s="28">
        <v>46202</v>
      </c>
      <c r="I555" s="29" t="s">
        <v>408</v>
      </c>
    </row>
    <row r="556" spans="1:9" ht="22.5" hidden="1" x14ac:dyDescent="0.25">
      <c r="A556" s="14" t="s">
        <v>14</v>
      </c>
      <c r="B556" s="14" t="s">
        <v>326</v>
      </c>
      <c r="C556" s="15" t="s">
        <v>39</v>
      </c>
      <c r="D556" s="16">
        <v>46290</v>
      </c>
      <c r="E556" s="17">
        <v>8940</v>
      </c>
      <c r="F556" s="14">
        <f>ROUNDDOWN(Leche[[#This Row],[N° LATAS]]/48,0)</f>
        <v>186</v>
      </c>
      <c r="G556" s="14">
        <f>Leche[[#This Row],[N° LATAS]]-Leche[[#This Row],[TOTAL CAJAS]]*48</f>
        <v>12</v>
      </c>
      <c r="H556" s="28"/>
      <c r="I556" s="29"/>
    </row>
    <row r="557" spans="1:9" hidden="1" x14ac:dyDescent="0.25">
      <c r="A557" s="14" t="s">
        <v>14</v>
      </c>
      <c r="B557" s="14" t="s">
        <v>330</v>
      </c>
      <c r="C557" s="15" t="s">
        <v>16</v>
      </c>
      <c r="D557" s="16">
        <v>46037</v>
      </c>
      <c r="E557" s="17">
        <v>1008</v>
      </c>
      <c r="F557" s="14">
        <f>ROUNDDOWN(Leche[[#This Row],[N° LATAS]]/48,0)</f>
        <v>21</v>
      </c>
      <c r="G557" s="14">
        <f>Leche[[#This Row],[N° LATAS]]-Leche[[#This Row],[TOTAL CAJAS]]*48</f>
        <v>0</v>
      </c>
      <c r="H557" s="28">
        <v>46037</v>
      </c>
      <c r="I557" s="29" t="s">
        <v>408</v>
      </c>
    </row>
    <row r="558" spans="1:9" hidden="1" x14ac:dyDescent="0.25">
      <c r="A558" s="14" t="s">
        <v>14</v>
      </c>
      <c r="B558" s="14" t="s">
        <v>330</v>
      </c>
      <c r="C558" s="15" t="s">
        <v>18</v>
      </c>
      <c r="D558" s="16">
        <v>46042</v>
      </c>
      <c r="E558" s="17">
        <v>911</v>
      </c>
      <c r="F558" s="14">
        <f>ROUNDDOWN(Leche[[#This Row],[N° LATAS]]/48,0)</f>
        <v>18</v>
      </c>
      <c r="G558" s="14">
        <f>Leche[[#This Row],[N° LATAS]]-Leche[[#This Row],[TOTAL CAJAS]]*48</f>
        <v>47</v>
      </c>
      <c r="H558" s="28">
        <v>46037</v>
      </c>
      <c r="I558" s="29" t="s">
        <v>408</v>
      </c>
    </row>
    <row r="559" spans="1:9" hidden="1" x14ac:dyDescent="0.25">
      <c r="A559" s="14" t="s">
        <v>14</v>
      </c>
      <c r="B559" s="14" t="s">
        <v>330</v>
      </c>
      <c r="C559" s="15" t="s">
        <v>19</v>
      </c>
      <c r="D559" s="16">
        <v>46073</v>
      </c>
      <c r="E559" s="17">
        <v>1008</v>
      </c>
      <c r="F559" s="14">
        <f>ROUNDDOWN(Leche[[#This Row],[N° LATAS]]/48,0)</f>
        <v>21</v>
      </c>
      <c r="G559" s="14">
        <f>Leche[[#This Row],[N° LATAS]]-Leche[[#This Row],[TOTAL CAJAS]]*48</f>
        <v>0</v>
      </c>
      <c r="H559" s="28">
        <v>46073</v>
      </c>
      <c r="I559" s="29" t="s">
        <v>408</v>
      </c>
    </row>
    <row r="560" spans="1:9" hidden="1" x14ac:dyDescent="0.25">
      <c r="A560" s="14" t="s">
        <v>14</v>
      </c>
      <c r="B560" s="14" t="s">
        <v>330</v>
      </c>
      <c r="C560" s="15" t="s">
        <v>20</v>
      </c>
      <c r="D560" s="16">
        <v>46101</v>
      </c>
      <c r="E560" s="17">
        <v>976</v>
      </c>
      <c r="F560" s="14">
        <f>ROUNDDOWN(Leche[[#This Row],[N° LATAS]]/48,0)</f>
        <v>20</v>
      </c>
      <c r="G560" s="14">
        <f>Leche[[#This Row],[N° LATAS]]-Leche[[#This Row],[TOTAL CAJAS]]*48</f>
        <v>16</v>
      </c>
      <c r="H560" s="28">
        <v>46101</v>
      </c>
      <c r="I560" s="29" t="s">
        <v>408</v>
      </c>
    </row>
    <row r="561" spans="1:9" hidden="1" x14ac:dyDescent="0.25">
      <c r="A561" s="14" t="s">
        <v>14</v>
      </c>
      <c r="B561" s="14" t="s">
        <v>330</v>
      </c>
      <c r="C561" s="15" t="s">
        <v>21</v>
      </c>
      <c r="D561" s="16">
        <v>46132</v>
      </c>
      <c r="E561" s="17">
        <v>1008</v>
      </c>
      <c r="F561" s="14">
        <f>ROUNDDOWN(Leche[[#This Row],[N° LATAS]]/48,0)</f>
        <v>21</v>
      </c>
      <c r="G561" s="14">
        <f>Leche[[#This Row],[N° LATAS]]-Leche[[#This Row],[TOTAL CAJAS]]*48</f>
        <v>0</v>
      </c>
      <c r="H561" s="28">
        <v>46135</v>
      </c>
      <c r="I561" s="29" t="s">
        <v>408</v>
      </c>
    </row>
    <row r="562" spans="1:9" hidden="1" x14ac:dyDescent="0.25">
      <c r="A562" s="14" t="s">
        <v>14</v>
      </c>
      <c r="B562" s="14" t="s">
        <v>330</v>
      </c>
      <c r="C562" s="15" t="s">
        <v>22</v>
      </c>
      <c r="D562" s="16">
        <v>46162</v>
      </c>
      <c r="E562" s="17">
        <v>976</v>
      </c>
      <c r="F562" s="14">
        <f>ROUNDDOWN(Leche[[#This Row],[N° LATAS]]/48,0)</f>
        <v>20</v>
      </c>
      <c r="G562" s="14">
        <f>Leche[[#This Row],[N° LATAS]]-Leche[[#This Row],[TOTAL CAJAS]]*48</f>
        <v>16</v>
      </c>
      <c r="H562" s="28">
        <v>46162</v>
      </c>
      <c r="I562" s="29" t="s">
        <v>408</v>
      </c>
    </row>
    <row r="563" spans="1:9" hidden="1" x14ac:dyDescent="0.25">
      <c r="A563" s="14" t="s">
        <v>14</v>
      </c>
      <c r="B563" s="14" t="s">
        <v>330</v>
      </c>
      <c r="C563" s="15" t="s">
        <v>23</v>
      </c>
      <c r="D563" s="16">
        <v>46192</v>
      </c>
      <c r="E563" s="17">
        <v>1008</v>
      </c>
      <c r="F563" s="14">
        <f>ROUNDDOWN(Leche[[#This Row],[N° LATAS]]/48,0)</f>
        <v>21</v>
      </c>
      <c r="G563" s="14">
        <f>Leche[[#This Row],[N° LATAS]]-Leche[[#This Row],[TOTAL CAJAS]]*48</f>
        <v>0</v>
      </c>
      <c r="H563" s="28">
        <v>46185</v>
      </c>
      <c r="I563" s="29" t="s">
        <v>408</v>
      </c>
    </row>
    <row r="564" spans="1:9" hidden="1" x14ac:dyDescent="0.25">
      <c r="A564" s="14" t="s">
        <v>14</v>
      </c>
      <c r="B564" s="14" t="s">
        <v>330</v>
      </c>
      <c r="C564" s="15" t="s">
        <v>24</v>
      </c>
      <c r="D564" s="16">
        <v>46223</v>
      </c>
      <c r="E564" s="17">
        <v>1008</v>
      </c>
      <c r="F564" s="14">
        <f>ROUNDDOWN(Leche[[#This Row],[N° LATAS]]/48,0)</f>
        <v>21</v>
      </c>
      <c r="G564" s="14">
        <f>Leche[[#This Row],[N° LATAS]]-Leche[[#This Row],[TOTAL CAJAS]]*48</f>
        <v>0</v>
      </c>
      <c r="H564" s="28">
        <v>46223</v>
      </c>
      <c r="I564" s="29" t="s">
        <v>408</v>
      </c>
    </row>
    <row r="565" spans="1:9" hidden="1" x14ac:dyDescent="0.25">
      <c r="A565" s="14" t="s">
        <v>14</v>
      </c>
      <c r="B565" s="14" t="s">
        <v>330</v>
      </c>
      <c r="C565" s="15" t="s">
        <v>25</v>
      </c>
      <c r="D565" s="16">
        <v>46254</v>
      </c>
      <c r="E565" s="17">
        <v>976</v>
      </c>
      <c r="F565" s="14">
        <f>ROUNDDOWN(Leche[[#This Row],[N° LATAS]]/48,0)</f>
        <v>20</v>
      </c>
      <c r="G565" s="14">
        <f>Leche[[#This Row],[N° LATAS]]-Leche[[#This Row],[TOTAL CAJAS]]*48</f>
        <v>16</v>
      </c>
      <c r="H565" s="28">
        <v>46253</v>
      </c>
      <c r="I565" s="29" t="s">
        <v>408</v>
      </c>
    </row>
    <row r="566" spans="1:9" hidden="1" x14ac:dyDescent="0.25">
      <c r="A566" s="14" t="s">
        <v>14</v>
      </c>
      <c r="B566" s="14" t="s">
        <v>330</v>
      </c>
      <c r="C566" s="15" t="s">
        <v>26</v>
      </c>
      <c r="D566" s="16">
        <v>46283</v>
      </c>
      <c r="E566" s="17">
        <v>1008</v>
      </c>
      <c r="F566" s="14">
        <f>ROUNDDOWN(Leche[[#This Row],[N° LATAS]]/48,0)</f>
        <v>21</v>
      </c>
      <c r="G566" s="14">
        <f>Leche[[#This Row],[N° LATAS]]-Leche[[#This Row],[TOTAL CAJAS]]*48</f>
        <v>0</v>
      </c>
      <c r="H566" s="28">
        <v>46283</v>
      </c>
      <c r="I566" s="29" t="s">
        <v>408</v>
      </c>
    </row>
    <row r="567" spans="1:9" hidden="1" x14ac:dyDescent="0.25">
      <c r="A567" s="14" t="s">
        <v>14</v>
      </c>
      <c r="B567" s="14" t="s">
        <v>330</v>
      </c>
      <c r="C567" s="15" t="s">
        <v>27</v>
      </c>
      <c r="D567" s="16">
        <v>46315</v>
      </c>
      <c r="E567" s="17">
        <v>976</v>
      </c>
      <c r="F567" s="14">
        <f>ROUNDDOWN(Leche[[#This Row],[N° LATAS]]/48,0)</f>
        <v>20</v>
      </c>
      <c r="G567" s="14">
        <f>Leche[[#This Row],[N° LATAS]]-Leche[[#This Row],[TOTAL CAJAS]]*48</f>
        <v>16</v>
      </c>
      <c r="H567" s="28"/>
      <c r="I567" s="29"/>
    </row>
    <row r="568" spans="1:9" hidden="1" x14ac:dyDescent="0.25">
      <c r="A568" s="14" t="s">
        <v>14</v>
      </c>
      <c r="B568" s="14" t="s">
        <v>330</v>
      </c>
      <c r="C568" s="15" t="s">
        <v>28</v>
      </c>
      <c r="D568" s="16">
        <v>46346</v>
      </c>
      <c r="E568" s="17">
        <v>1008</v>
      </c>
      <c r="F568" s="14">
        <f>ROUNDDOWN(Leche[[#This Row],[N° LATAS]]/48,0)</f>
        <v>21</v>
      </c>
      <c r="G568" s="14">
        <f>Leche[[#This Row],[N° LATAS]]-Leche[[#This Row],[TOTAL CAJAS]]*48</f>
        <v>0</v>
      </c>
      <c r="H568" s="28"/>
      <c r="I568" s="29"/>
    </row>
    <row r="569" spans="1:9" hidden="1" x14ac:dyDescent="0.25">
      <c r="A569" s="14" t="s">
        <v>14</v>
      </c>
      <c r="B569" s="14" t="s">
        <v>429</v>
      </c>
      <c r="C569" s="15" t="s">
        <v>250</v>
      </c>
      <c r="D569" s="16">
        <v>46086</v>
      </c>
      <c r="E569" s="17">
        <v>960</v>
      </c>
      <c r="F569" s="14">
        <f>ROUNDDOWN(Leche[[#This Row],[N° LATAS]]/48,0)</f>
        <v>20</v>
      </c>
      <c r="G569" s="14">
        <f>Leche[[#This Row],[N° LATAS]]-Leche[[#This Row],[TOTAL CAJAS]]*48</f>
        <v>0</v>
      </c>
      <c r="H569" s="28">
        <v>46087</v>
      </c>
      <c r="I569" s="29" t="s">
        <v>408</v>
      </c>
    </row>
    <row r="570" spans="1:9" hidden="1" x14ac:dyDescent="0.25">
      <c r="A570" s="14" t="s">
        <v>14</v>
      </c>
      <c r="B570" s="14" t="s">
        <v>429</v>
      </c>
      <c r="C570" s="15" t="s">
        <v>252</v>
      </c>
      <c r="D570" s="16">
        <v>46147</v>
      </c>
      <c r="E570" s="17">
        <v>960</v>
      </c>
      <c r="F570" s="14">
        <f>ROUNDDOWN(Leche[[#This Row],[N° LATAS]]/48,0)</f>
        <v>20</v>
      </c>
      <c r="G570" s="14">
        <f>Leche[[#This Row],[N° LATAS]]-Leche[[#This Row],[TOTAL CAJAS]]*48</f>
        <v>0</v>
      </c>
      <c r="H570" s="28">
        <v>46162</v>
      </c>
      <c r="I570" s="29" t="s">
        <v>408</v>
      </c>
    </row>
    <row r="571" spans="1:9" hidden="1" x14ac:dyDescent="0.25">
      <c r="A571" s="14" t="s">
        <v>14</v>
      </c>
      <c r="B571" s="14" t="s">
        <v>429</v>
      </c>
      <c r="C571" s="15" t="s">
        <v>253</v>
      </c>
      <c r="D571" s="16">
        <v>46208</v>
      </c>
      <c r="E571" s="17">
        <v>960</v>
      </c>
      <c r="F571" s="14">
        <f>ROUNDDOWN(Leche[[#This Row],[N° LATAS]]/48,0)</f>
        <v>20</v>
      </c>
      <c r="G571" s="14">
        <f>Leche[[#This Row],[N° LATAS]]-Leche[[#This Row],[TOTAL CAJAS]]*48</f>
        <v>0</v>
      </c>
      <c r="H571" s="28">
        <v>46223</v>
      </c>
      <c r="I571" s="29" t="s">
        <v>408</v>
      </c>
    </row>
    <row r="572" spans="1:9" hidden="1" x14ac:dyDescent="0.25">
      <c r="A572" s="14" t="s">
        <v>14</v>
      </c>
      <c r="B572" s="14" t="s">
        <v>429</v>
      </c>
      <c r="C572" s="15" t="s">
        <v>254</v>
      </c>
      <c r="D572" s="16">
        <v>46270</v>
      </c>
      <c r="E572" s="17">
        <v>960</v>
      </c>
      <c r="F572" s="14">
        <f>ROUNDDOWN(Leche[[#This Row],[N° LATAS]]/48,0)</f>
        <v>20</v>
      </c>
      <c r="G572" s="14">
        <f>Leche[[#This Row],[N° LATAS]]-Leche[[#This Row],[TOTAL CAJAS]]*48</f>
        <v>0</v>
      </c>
      <c r="H572" s="28"/>
      <c r="I572" s="29"/>
    </row>
    <row r="573" spans="1:9" hidden="1" x14ac:dyDescent="0.25">
      <c r="A573" s="14" t="s">
        <v>14</v>
      </c>
      <c r="B573" s="14" t="s">
        <v>430</v>
      </c>
      <c r="C573" s="15" t="s">
        <v>250</v>
      </c>
      <c r="D573" s="16">
        <v>46086</v>
      </c>
      <c r="E573" s="17">
        <v>2040</v>
      </c>
      <c r="F573" s="14">
        <f>ROUNDDOWN(Leche[[#This Row],[N° LATAS]]/48,0)</f>
        <v>42</v>
      </c>
      <c r="G573" s="14">
        <f>Leche[[#This Row],[N° LATAS]]-Leche[[#This Row],[TOTAL CAJAS]]*48</f>
        <v>24</v>
      </c>
      <c r="H573" s="28">
        <v>46087</v>
      </c>
      <c r="I573" s="29" t="s">
        <v>408</v>
      </c>
    </row>
    <row r="574" spans="1:9" hidden="1" x14ac:dyDescent="0.25">
      <c r="A574" s="14" t="s">
        <v>14</v>
      </c>
      <c r="B574" s="14" t="s">
        <v>430</v>
      </c>
      <c r="C574" s="15" t="s">
        <v>252</v>
      </c>
      <c r="D574" s="16">
        <v>46147</v>
      </c>
      <c r="E574" s="17">
        <v>2040</v>
      </c>
      <c r="F574" s="14">
        <f>ROUNDDOWN(Leche[[#This Row],[N° LATAS]]/48,0)</f>
        <v>42</v>
      </c>
      <c r="G574" s="14">
        <f>Leche[[#This Row],[N° LATAS]]-Leche[[#This Row],[TOTAL CAJAS]]*48</f>
        <v>24</v>
      </c>
      <c r="H574" s="28">
        <v>46162</v>
      </c>
      <c r="I574" s="29" t="s">
        <v>408</v>
      </c>
    </row>
    <row r="575" spans="1:9" hidden="1" x14ac:dyDescent="0.25">
      <c r="A575" s="14" t="s">
        <v>14</v>
      </c>
      <c r="B575" s="14" t="s">
        <v>430</v>
      </c>
      <c r="C575" s="15" t="s">
        <v>253</v>
      </c>
      <c r="D575" s="16">
        <v>46208</v>
      </c>
      <c r="E575" s="17">
        <v>2040</v>
      </c>
      <c r="F575" s="14">
        <f>ROUNDDOWN(Leche[[#This Row],[N° LATAS]]/48,0)</f>
        <v>42</v>
      </c>
      <c r="G575" s="14">
        <f>Leche[[#This Row],[N° LATAS]]-Leche[[#This Row],[TOTAL CAJAS]]*48</f>
        <v>24</v>
      </c>
      <c r="H575" s="28">
        <v>46223</v>
      </c>
      <c r="I575" s="29" t="s">
        <v>408</v>
      </c>
    </row>
    <row r="576" spans="1:9" hidden="1" x14ac:dyDescent="0.25">
      <c r="A576" s="14" t="s">
        <v>14</v>
      </c>
      <c r="B576" s="14" t="s">
        <v>430</v>
      </c>
      <c r="C576" s="15" t="s">
        <v>254</v>
      </c>
      <c r="D576" s="16">
        <v>46270</v>
      </c>
      <c r="E576" s="17">
        <v>2040</v>
      </c>
      <c r="F576" s="14">
        <f>ROUNDDOWN(Leche[[#This Row],[N° LATAS]]/48,0)</f>
        <v>42</v>
      </c>
      <c r="G576" s="14">
        <f>Leche[[#This Row],[N° LATAS]]-Leche[[#This Row],[TOTAL CAJAS]]*48</f>
        <v>24</v>
      </c>
      <c r="H576" s="28">
        <v>46283</v>
      </c>
      <c r="I576" s="29" t="s">
        <v>408</v>
      </c>
    </row>
    <row r="577" spans="1:9" hidden="1" x14ac:dyDescent="0.25">
      <c r="A577" s="14" t="s">
        <v>14</v>
      </c>
      <c r="B577" s="14" t="s">
        <v>332</v>
      </c>
      <c r="C577" s="15" t="s">
        <v>16</v>
      </c>
      <c r="D577" s="16">
        <v>46042</v>
      </c>
      <c r="E577" s="17">
        <v>289</v>
      </c>
      <c r="F577" s="14">
        <f>ROUNDDOWN(Leche[[#This Row],[N° LATAS]]/48,0)</f>
        <v>6</v>
      </c>
      <c r="G577" s="14">
        <f>Leche[[#This Row],[N° LATAS]]-Leche[[#This Row],[TOTAL CAJAS]]*48</f>
        <v>1</v>
      </c>
      <c r="H577" s="28">
        <v>46041</v>
      </c>
      <c r="I577" s="29" t="s">
        <v>408</v>
      </c>
    </row>
    <row r="578" spans="1:9" hidden="1" x14ac:dyDescent="0.25">
      <c r="A578" s="14" t="s">
        <v>14</v>
      </c>
      <c r="B578" s="14" t="s">
        <v>332</v>
      </c>
      <c r="C578" s="15" t="s">
        <v>18</v>
      </c>
      <c r="D578" s="16">
        <v>46042</v>
      </c>
      <c r="E578" s="17">
        <v>260</v>
      </c>
      <c r="F578" s="14">
        <f>ROUNDDOWN(Leche[[#This Row],[N° LATAS]]/48,0)</f>
        <v>5</v>
      </c>
      <c r="G578" s="14">
        <f>Leche[[#This Row],[N° LATAS]]-Leche[[#This Row],[TOTAL CAJAS]]*48</f>
        <v>20</v>
      </c>
      <c r="H578" s="28">
        <v>46041</v>
      </c>
      <c r="I578" s="29" t="s">
        <v>408</v>
      </c>
    </row>
    <row r="579" spans="1:9" hidden="1" x14ac:dyDescent="0.25">
      <c r="A579" s="14" t="s">
        <v>14</v>
      </c>
      <c r="B579" s="14" t="s">
        <v>332</v>
      </c>
      <c r="C579" s="15" t="s">
        <v>19</v>
      </c>
      <c r="D579" s="16">
        <v>46042</v>
      </c>
      <c r="E579" s="17">
        <v>289</v>
      </c>
      <c r="F579" s="14">
        <f>ROUNDDOWN(Leche[[#This Row],[N° LATAS]]/48,0)</f>
        <v>6</v>
      </c>
      <c r="G579" s="14">
        <f>Leche[[#This Row],[N° LATAS]]-Leche[[#This Row],[TOTAL CAJAS]]*48</f>
        <v>1</v>
      </c>
      <c r="H579" s="28">
        <v>46041</v>
      </c>
      <c r="I579" s="29" t="s">
        <v>408</v>
      </c>
    </row>
    <row r="580" spans="1:9" hidden="1" x14ac:dyDescent="0.25">
      <c r="A580" s="14" t="s">
        <v>14</v>
      </c>
      <c r="B580" s="14" t="s">
        <v>332</v>
      </c>
      <c r="C580" s="15" t="s">
        <v>20</v>
      </c>
      <c r="D580" s="16">
        <v>46106</v>
      </c>
      <c r="E580" s="17">
        <v>279</v>
      </c>
      <c r="F580" s="14">
        <f>ROUNDDOWN(Leche[[#This Row],[N° LATAS]]/48,0)</f>
        <v>5</v>
      </c>
      <c r="G580" s="14">
        <f>Leche[[#This Row],[N° LATAS]]-Leche[[#This Row],[TOTAL CAJAS]]*48</f>
        <v>39</v>
      </c>
      <c r="H580" s="28">
        <v>46092</v>
      </c>
      <c r="I580" s="29" t="s">
        <v>408</v>
      </c>
    </row>
    <row r="581" spans="1:9" hidden="1" x14ac:dyDescent="0.25">
      <c r="A581" s="14" t="s">
        <v>14</v>
      </c>
      <c r="B581" s="14" t="s">
        <v>332</v>
      </c>
      <c r="C581" s="15" t="s">
        <v>22</v>
      </c>
      <c r="D581" s="16">
        <v>46106</v>
      </c>
      <c r="E581" s="17">
        <v>279</v>
      </c>
      <c r="F581" s="14">
        <f>ROUNDDOWN(Leche[[#This Row],[N° LATAS]]/48,0)</f>
        <v>5</v>
      </c>
      <c r="G581" s="14">
        <f>Leche[[#This Row],[N° LATAS]]-Leche[[#This Row],[TOTAL CAJAS]]*48</f>
        <v>39</v>
      </c>
      <c r="H581" s="28">
        <v>46092</v>
      </c>
      <c r="I581" s="29" t="s">
        <v>408</v>
      </c>
    </row>
    <row r="582" spans="1:9" hidden="1" x14ac:dyDescent="0.25">
      <c r="A582" s="14" t="s">
        <v>14</v>
      </c>
      <c r="B582" s="14" t="s">
        <v>332</v>
      </c>
      <c r="C582" s="15" t="s">
        <v>21</v>
      </c>
      <c r="D582" s="16">
        <v>46106</v>
      </c>
      <c r="E582" s="17">
        <v>289</v>
      </c>
      <c r="F582" s="14">
        <f>ROUNDDOWN(Leche[[#This Row],[N° LATAS]]/48,0)</f>
        <v>6</v>
      </c>
      <c r="G582" s="14">
        <f>Leche[[#This Row],[N° LATAS]]-Leche[[#This Row],[TOTAL CAJAS]]*48</f>
        <v>1</v>
      </c>
      <c r="H582" s="28">
        <v>46092</v>
      </c>
      <c r="I582" s="29" t="s">
        <v>408</v>
      </c>
    </row>
    <row r="583" spans="1:9" hidden="1" x14ac:dyDescent="0.25">
      <c r="A583" s="14" t="s">
        <v>14</v>
      </c>
      <c r="B583" s="14" t="s">
        <v>332</v>
      </c>
      <c r="C583" s="15" t="s">
        <v>23</v>
      </c>
      <c r="D583" s="16">
        <v>46198</v>
      </c>
      <c r="E583" s="17">
        <v>289</v>
      </c>
      <c r="F583" s="14">
        <f>ROUNDDOWN(Leche[[#This Row],[N° LATAS]]/48,0)</f>
        <v>6</v>
      </c>
      <c r="G583" s="14">
        <f>Leche[[#This Row],[N° LATAS]]-Leche[[#This Row],[TOTAL CAJAS]]*48</f>
        <v>1</v>
      </c>
      <c r="H583" s="28">
        <v>46171</v>
      </c>
      <c r="I583" s="29" t="s">
        <v>408</v>
      </c>
    </row>
    <row r="584" spans="1:9" hidden="1" x14ac:dyDescent="0.25">
      <c r="A584" s="14" t="s">
        <v>14</v>
      </c>
      <c r="B584" s="14" t="s">
        <v>332</v>
      </c>
      <c r="C584" s="15" t="s">
        <v>24</v>
      </c>
      <c r="D584" s="16">
        <v>46228</v>
      </c>
      <c r="E584" s="17">
        <v>289</v>
      </c>
      <c r="F584" s="14">
        <f>ROUNDDOWN(Leche[[#This Row],[N° LATAS]]/48,0)</f>
        <v>6</v>
      </c>
      <c r="G584" s="14">
        <f>Leche[[#This Row],[N° LATAS]]-Leche[[#This Row],[TOTAL CAJAS]]*48</f>
        <v>1</v>
      </c>
      <c r="H584" s="28">
        <v>46171</v>
      </c>
      <c r="I584" s="29" t="s">
        <v>408</v>
      </c>
    </row>
    <row r="585" spans="1:9" hidden="1" x14ac:dyDescent="0.25">
      <c r="A585" s="14" t="s">
        <v>14</v>
      </c>
      <c r="B585" s="14" t="s">
        <v>332</v>
      </c>
      <c r="C585" s="15" t="s">
        <v>25</v>
      </c>
      <c r="D585" s="16">
        <v>46259</v>
      </c>
      <c r="E585" s="17">
        <v>279</v>
      </c>
      <c r="F585" s="14">
        <f>ROUNDDOWN(Leche[[#This Row],[N° LATAS]]/48,0)</f>
        <v>5</v>
      </c>
      <c r="G585" s="14">
        <f>Leche[[#This Row],[N° LATAS]]-Leche[[#This Row],[TOTAL CAJAS]]*48</f>
        <v>39</v>
      </c>
      <c r="H585" s="28">
        <v>46171</v>
      </c>
      <c r="I585" s="29" t="s">
        <v>408</v>
      </c>
    </row>
    <row r="586" spans="1:9" hidden="1" x14ac:dyDescent="0.25">
      <c r="A586" s="14" t="s">
        <v>14</v>
      </c>
      <c r="B586" s="14" t="s">
        <v>332</v>
      </c>
      <c r="C586" s="15" t="s">
        <v>26</v>
      </c>
      <c r="D586" s="16">
        <v>46290</v>
      </c>
      <c r="E586" s="17">
        <v>289</v>
      </c>
      <c r="F586" s="14">
        <f>ROUNDDOWN(Leche[[#This Row],[N° LATAS]]/48,0)</f>
        <v>6</v>
      </c>
      <c r="G586" s="14">
        <f>Leche[[#This Row],[N° LATAS]]-Leche[[#This Row],[TOTAL CAJAS]]*48</f>
        <v>1</v>
      </c>
      <c r="H586" s="28">
        <v>46276</v>
      </c>
      <c r="I586" s="28" t="s">
        <v>408</v>
      </c>
    </row>
    <row r="587" spans="1:9" hidden="1" x14ac:dyDescent="0.25">
      <c r="A587" s="14" t="s">
        <v>14</v>
      </c>
      <c r="B587" s="14" t="s">
        <v>332</v>
      </c>
      <c r="C587" s="15" t="s">
        <v>27</v>
      </c>
      <c r="D587" s="16">
        <v>46290</v>
      </c>
      <c r="E587" s="17">
        <v>279</v>
      </c>
      <c r="F587" s="14">
        <f>ROUNDDOWN(Leche[[#This Row],[N° LATAS]]/48,0)</f>
        <v>5</v>
      </c>
      <c r="G587" s="14">
        <f>Leche[[#This Row],[N° LATAS]]-Leche[[#This Row],[TOTAL CAJAS]]*48</f>
        <v>39</v>
      </c>
      <c r="H587" s="28">
        <v>46276</v>
      </c>
      <c r="I587" s="29" t="s">
        <v>408</v>
      </c>
    </row>
    <row r="588" spans="1:9" hidden="1" x14ac:dyDescent="0.25">
      <c r="A588" s="14" t="s">
        <v>14</v>
      </c>
      <c r="B588" s="14" t="s">
        <v>332</v>
      </c>
      <c r="C588" s="15" t="s">
        <v>28</v>
      </c>
      <c r="D588" s="16">
        <v>46290</v>
      </c>
      <c r="E588" s="17">
        <v>289</v>
      </c>
      <c r="F588" s="14">
        <f>ROUNDDOWN(Leche[[#This Row],[N° LATAS]]/48,0)</f>
        <v>6</v>
      </c>
      <c r="G588" s="14">
        <f>Leche[[#This Row],[N° LATAS]]-Leche[[#This Row],[TOTAL CAJAS]]*48</f>
        <v>1</v>
      </c>
      <c r="H588" s="28">
        <v>46276</v>
      </c>
      <c r="I588" s="29" t="s">
        <v>408</v>
      </c>
    </row>
    <row r="589" spans="1:9" hidden="1" x14ac:dyDescent="0.25">
      <c r="A589" s="14" t="s">
        <v>14</v>
      </c>
      <c r="B589" s="14" t="s">
        <v>333</v>
      </c>
      <c r="C589" s="15" t="s">
        <v>16</v>
      </c>
      <c r="D589" s="16">
        <v>46020</v>
      </c>
      <c r="E589" s="17">
        <v>1481</v>
      </c>
      <c r="F589" s="14">
        <f>ROUNDDOWN(Leche[[#This Row],[N° LATAS]]/48,0)</f>
        <v>30</v>
      </c>
      <c r="G589" s="14">
        <f>Leche[[#This Row],[N° LATAS]]-Leche[[#This Row],[TOTAL CAJAS]]*48</f>
        <v>41</v>
      </c>
      <c r="H589" s="28">
        <v>46020</v>
      </c>
      <c r="I589" s="29" t="s">
        <v>408</v>
      </c>
    </row>
    <row r="590" spans="1:9" hidden="1" x14ac:dyDescent="0.25">
      <c r="A590" s="14" t="s">
        <v>14</v>
      </c>
      <c r="B590" s="14" t="s">
        <v>333</v>
      </c>
      <c r="C590" s="15" t="s">
        <v>18</v>
      </c>
      <c r="D590" s="16">
        <v>46048</v>
      </c>
      <c r="E590" s="17">
        <v>1481</v>
      </c>
      <c r="F590" s="14">
        <f>ROUNDDOWN(Leche[[#This Row],[N° LATAS]]/48,0)</f>
        <v>30</v>
      </c>
      <c r="G590" s="14">
        <f>Leche[[#This Row],[N° LATAS]]-Leche[[#This Row],[TOTAL CAJAS]]*48</f>
        <v>41</v>
      </c>
      <c r="H590" s="28">
        <v>46048</v>
      </c>
      <c r="I590" s="29" t="s">
        <v>408</v>
      </c>
    </row>
    <row r="591" spans="1:9" hidden="1" x14ac:dyDescent="0.25">
      <c r="A591" s="14" t="s">
        <v>14</v>
      </c>
      <c r="B591" s="14" t="s">
        <v>333</v>
      </c>
      <c r="C591" s="15" t="s">
        <v>19</v>
      </c>
      <c r="D591" s="16">
        <v>46076</v>
      </c>
      <c r="E591" s="17">
        <v>1481</v>
      </c>
      <c r="F591" s="14">
        <f>ROUNDDOWN(Leche[[#This Row],[N° LATAS]]/48,0)</f>
        <v>30</v>
      </c>
      <c r="G591" s="14">
        <f>Leche[[#This Row],[N° LATAS]]-Leche[[#This Row],[TOTAL CAJAS]]*48</f>
        <v>41</v>
      </c>
      <c r="H591" s="28">
        <v>46076</v>
      </c>
      <c r="I591" s="29" t="s">
        <v>408</v>
      </c>
    </row>
    <row r="592" spans="1:9" hidden="1" x14ac:dyDescent="0.25">
      <c r="A592" s="14" t="s">
        <v>14</v>
      </c>
      <c r="B592" s="14" t="s">
        <v>333</v>
      </c>
      <c r="C592" s="15" t="s">
        <v>20</v>
      </c>
      <c r="D592" s="16">
        <v>46106</v>
      </c>
      <c r="E592" s="17">
        <v>1481</v>
      </c>
      <c r="F592" s="14">
        <f>ROUNDDOWN(Leche[[#This Row],[N° LATAS]]/48,0)</f>
        <v>30</v>
      </c>
      <c r="G592" s="14">
        <f>Leche[[#This Row],[N° LATAS]]-Leche[[#This Row],[TOTAL CAJAS]]*48</f>
        <v>41</v>
      </c>
      <c r="H592" s="28">
        <v>46105</v>
      </c>
      <c r="I592" s="29" t="s">
        <v>408</v>
      </c>
    </row>
    <row r="593" spans="1:9" hidden="1" x14ac:dyDescent="0.25">
      <c r="A593" s="14" t="s">
        <v>14</v>
      </c>
      <c r="B593" s="14" t="s">
        <v>333</v>
      </c>
      <c r="C593" s="15" t="s">
        <v>21</v>
      </c>
      <c r="D593" s="16">
        <v>46136</v>
      </c>
      <c r="E593" s="17">
        <v>1481</v>
      </c>
      <c r="F593" s="14">
        <f>ROUNDDOWN(Leche[[#This Row],[N° LATAS]]/48,0)</f>
        <v>30</v>
      </c>
      <c r="G593" s="14">
        <f>Leche[[#This Row],[N° LATAS]]-Leche[[#This Row],[TOTAL CAJAS]]*48</f>
        <v>41</v>
      </c>
      <c r="H593" s="28">
        <v>46136</v>
      </c>
      <c r="I593" s="29" t="s">
        <v>408</v>
      </c>
    </row>
    <row r="594" spans="1:9" hidden="1" x14ac:dyDescent="0.25">
      <c r="A594" s="14" t="s">
        <v>14</v>
      </c>
      <c r="B594" s="14" t="s">
        <v>333</v>
      </c>
      <c r="C594" s="15" t="s">
        <v>22</v>
      </c>
      <c r="D594" s="16">
        <v>46167</v>
      </c>
      <c r="E594" s="17">
        <v>1481</v>
      </c>
      <c r="F594" s="14">
        <f>ROUNDDOWN(Leche[[#This Row],[N° LATAS]]/48,0)</f>
        <v>30</v>
      </c>
      <c r="G594" s="14">
        <f>Leche[[#This Row],[N° LATAS]]-Leche[[#This Row],[TOTAL CAJAS]]*48</f>
        <v>41</v>
      </c>
      <c r="H594" s="28">
        <v>46167</v>
      </c>
      <c r="I594" s="29" t="s">
        <v>408</v>
      </c>
    </row>
    <row r="595" spans="1:9" hidden="1" x14ac:dyDescent="0.25">
      <c r="A595" s="14" t="s">
        <v>14</v>
      </c>
      <c r="B595" s="14" t="s">
        <v>333</v>
      </c>
      <c r="C595" s="15" t="s">
        <v>23</v>
      </c>
      <c r="D595" s="16">
        <v>46198</v>
      </c>
      <c r="E595" s="17">
        <v>1481</v>
      </c>
      <c r="F595" s="14">
        <f>ROUNDDOWN(Leche[[#This Row],[N° LATAS]]/48,0)</f>
        <v>30</v>
      </c>
      <c r="G595" s="14">
        <f>Leche[[#This Row],[N° LATAS]]-Leche[[#This Row],[TOTAL CAJAS]]*48</f>
        <v>41</v>
      </c>
      <c r="H595" s="28">
        <v>46196</v>
      </c>
      <c r="I595" s="29" t="s">
        <v>408</v>
      </c>
    </row>
    <row r="596" spans="1:9" hidden="1" x14ac:dyDescent="0.25">
      <c r="A596" s="14" t="s">
        <v>14</v>
      </c>
      <c r="B596" s="14" t="s">
        <v>333</v>
      </c>
      <c r="C596" s="15" t="s">
        <v>24</v>
      </c>
      <c r="D596" s="16">
        <v>46227</v>
      </c>
      <c r="E596" s="17">
        <v>1481</v>
      </c>
      <c r="F596" s="14">
        <f>ROUNDDOWN(Leche[[#This Row],[N° LATAS]]/48,0)</f>
        <v>30</v>
      </c>
      <c r="G596" s="14">
        <f>Leche[[#This Row],[N° LATAS]]-Leche[[#This Row],[TOTAL CAJAS]]*48</f>
        <v>41</v>
      </c>
      <c r="H596" s="28">
        <v>46225</v>
      </c>
      <c r="I596" s="29" t="s">
        <v>408</v>
      </c>
    </row>
    <row r="597" spans="1:9" hidden="1" x14ac:dyDescent="0.25">
      <c r="A597" s="14" t="s">
        <v>14</v>
      </c>
      <c r="B597" s="14" t="s">
        <v>333</v>
      </c>
      <c r="C597" s="15" t="s">
        <v>30</v>
      </c>
      <c r="D597" s="16">
        <v>46255</v>
      </c>
      <c r="E597" s="17">
        <v>2842</v>
      </c>
      <c r="F597" s="14">
        <f>ROUNDDOWN(Leche[[#This Row],[N° LATAS]]/48,0)</f>
        <v>59</v>
      </c>
      <c r="G597" s="14">
        <f>Leche[[#This Row],[N° LATAS]]-Leche[[#This Row],[TOTAL CAJAS]]*48</f>
        <v>10</v>
      </c>
      <c r="H597" s="28">
        <v>46258</v>
      </c>
      <c r="I597" s="29" t="s">
        <v>408</v>
      </c>
    </row>
    <row r="598" spans="1:9" hidden="1" x14ac:dyDescent="0.25">
      <c r="A598" s="14" t="s">
        <v>14</v>
      </c>
      <c r="B598" s="14" t="s">
        <v>333</v>
      </c>
      <c r="C598" s="15" t="s">
        <v>25</v>
      </c>
      <c r="D598" s="16">
        <v>46259</v>
      </c>
      <c r="E598" s="17">
        <v>1481</v>
      </c>
      <c r="F598" s="14">
        <f>ROUNDDOWN(Leche[[#This Row],[N° LATAS]]/48,0)</f>
        <v>30</v>
      </c>
      <c r="G598" s="14">
        <f>Leche[[#This Row],[N° LATAS]]-Leche[[#This Row],[TOTAL CAJAS]]*48</f>
        <v>41</v>
      </c>
      <c r="H598" s="28">
        <v>46258</v>
      </c>
      <c r="I598" s="29" t="s">
        <v>408</v>
      </c>
    </row>
    <row r="599" spans="1:9" hidden="1" x14ac:dyDescent="0.25">
      <c r="A599" s="14" t="s">
        <v>14</v>
      </c>
      <c r="B599" s="14" t="s">
        <v>333</v>
      </c>
      <c r="C599" s="15" t="s">
        <v>26</v>
      </c>
      <c r="D599" s="16">
        <v>46290</v>
      </c>
      <c r="E599" s="17">
        <v>1481</v>
      </c>
      <c r="F599" s="14">
        <f>ROUNDDOWN(Leche[[#This Row],[N° LATAS]]/48,0)</f>
        <v>30</v>
      </c>
      <c r="G599" s="14">
        <f>Leche[[#This Row],[N° LATAS]]-Leche[[#This Row],[TOTAL CAJAS]]*48</f>
        <v>41</v>
      </c>
      <c r="H599" s="28"/>
      <c r="I599" s="29"/>
    </row>
    <row r="600" spans="1:9" hidden="1" x14ac:dyDescent="0.25">
      <c r="A600" s="14" t="s">
        <v>14</v>
      </c>
      <c r="B600" s="14" t="s">
        <v>333</v>
      </c>
      <c r="C600" s="15" t="s">
        <v>27</v>
      </c>
      <c r="D600" s="16">
        <v>46318</v>
      </c>
      <c r="E600" s="17">
        <v>1481</v>
      </c>
      <c r="F600" s="14">
        <f>ROUNDDOWN(Leche[[#This Row],[N° LATAS]]/48,0)</f>
        <v>30</v>
      </c>
      <c r="G600" s="14">
        <f>Leche[[#This Row],[N° LATAS]]-Leche[[#This Row],[TOTAL CAJAS]]*48</f>
        <v>41</v>
      </c>
      <c r="H600" s="28"/>
      <c r="I600" s="29"/>
    </row>
    <row r="601" spans="1:9" hidden="1" x14ac:dyDescent="0.25">
      <c r="A601" s="14" t="s">
        <v>14</v>
      </c>
      <c r="B601" s="14" t="s">
        <v>333</v>
      </c>
      <c r="C601" s="15" t="s">
        <v>28</v>
      </c>
      <c r="D601" s="16">
        <v>46350</v>
      </c>
      <c r="E601" s="17">
        <v>1481</v>
      </c>
      <c r="F601" s="14">
        <f>ROUNDDOWN(Leche[[#This Row],[N° LATAS]]/48,0)</f>
        <v>30</v>
      </c>
      <c r="G601" s="14">
        <f>Leche[[#This Row],[N° LATAS]]-Leche[[#This Row],[TOTAL CAJAS]]*48</f>
        <v>41</v>
      </c>
      <c r="H601" s="28"/>
      <c r="I601" s="29"/>
    </row>
    <row r="602" spans="1:9" hidden="1" x14ac:dyDescent="0.25">
      <c r="A602" s="14" t="s">
        <v>14</v>
      </c>
      <c r="B602" s="14" t="s">
        <v>335</v>
      </c>
      <c r="C602" s="15" t="s">
        <v>30</v>
      </c>
      <c r="D602" s="16">
        <v>46208</v>
      </c>
      <c r="E602" s="17">
        <v>8333</v>
      </c>
      <c r="F602" s="14">
        <f>ROUNDDOWN(Leche[[#This Row],[N° LATAS]]/48,0)</f>
        <v>173</v>
      </c>
      <c r="G602" s="14">
        <f>Leche[[#This Row],[N° LATAS]]-Leche[[#This Row],[TOTAL CAJAS]]*48</f>
        <v>29</v>
      </c>
      <c r="H602" s="28">
        <v>46216</v>
      </c>
      <c r="I602" s="126" t="s">
        <v>408</v>
      </c>
    </row>
    <row r="603" spans="1:9" hidden="1" x14ac:dyDescent="0.25">
      <c r="A603" s="14" t="s">
        <v>14</v>
      </c>
      <c r="B603" s="14" t="s">
        <v>337</v>
      </c>
      <c r="C603" s="15" t="s">
        <v>35</v>
      </c>
      <c r="D603" s="16">
        <v>46049</v>
      </c>
      <c r="E603" s="17">
        <f>171*2+155</f>
        <v>497</v>
      </c>
      <c r="F603" s="14">
        <f>ROUNDDOWN(Leche[[#This Row],[N° LATAS]]/48,0)</f>
        <v>10</v>
      </c>
      <c r="G603" s="14">
        <f>Leche[[#This Row],[N° LATAS]]-Leche[[#This Row],[TOTAL CAJAS]]*48</f>
        <v>17</v>
      </c>
      <c r="H603" s="28">
        <v>46051</v>
      </c>
      <c r="I603" s="29" t="s">
        <v>408</v>
      </c>
    </row>
    <row r="604" spans="1:9" hidden="1" x14ac:dyDescent="0.25">
      <c r="A604" s="14" t="s">
        <v>14</v>
      </c>
      <c r="B604" s="14" t="s">
        <v>337</v>
      </c>
      <c r="C604" s="15" t="s">
        <v>37</v>
      </c>
      <c r="D604" s="16">
        <v>46106</v>
      </c>
      <c r="E604" s="17">
        <f>165*2+171</f>
        <v>501</v>
      </c>
      <c r="F604" s="14">
        <f>ROUNDDOWN(Leche[[#This Row],[N° LATAS]]/48,0)</f>
        <v>10</v>
      </c>
      <c r="G604" s="14">
        <f>Leche[[#This Row],[N° LATAS]]-Leche[[#This Row],[TOTAL CAJAS]]*48</f>
        <v>21</v>
      </c>
      <c r="H604" s="28">
        <v>46091</v>
      </c>
      <c r="I604" s="29" t="s">
        <v>408</v>
      </c>
    </row>
    <row r="605" spans="1:9" hidden="1" x14ac:dyDescent="0.25">
      <c r="A605" s="14" t="s">
        <v>14</v>
      </c>
      <c r="B605" s="14" t="s">
        <v>337</v>
      </c>
      <c r="C605" s="15" t="s">
        <v>38</v>
      </c>
      <c r="D605" s="16">
        <v>46198</v>
      </c>
      <c r="E605" s="17">
        <f>171*2+166</f>
        <v>508</v>
      </c>
      <c r="F605" s="14">
        <f>ROUNDDOWN(Leche[[#This Row],[N° LATAS]]/48,0)</f>
        <v>10</v>
      </c>
      <c r="G605" s="14">
        <f>Leche[[#This Row],[N° LATAS]]-Leche[[#This Row],[TOTAL CAJAS]]*48</f>
        <v>28</v>
      </c>
      <c r="H605" s="28">
        <v>46171</v>
      </c>
      <c r="I605" s="29" t="s">
        <v>408</v>
      </c>
    </row>
    <row r="606" spans="1:9" ht="22.5" hidden="1" x14ac:dyDescent="0.25">
      <c r="A606" s="14" t="s">
        <v>14</v>
      </c>
      <c r="B606" s="14" t="s">
        <v>337</v>
      </c>
      <c r="C606" s="15" t="s">
        <v>39</v>
      </c>
      <c r="D606" s="16">
        <v>46291</v>
      </c>
      <c r="E606" s="17">
        <f>172*2+166</f>
        <v>510</v>
      </c>
      <c r="F606" s="14">
        <f>ROUNDDOWN(Leche[[#This Row],[N° LATAS]]/48,0)</f>
        <v>10</v>
      </c>
      <c r="G606" s="14">
        <f>Leche[[#This Row],[N° LATAS]]-Leche[[#This Row],[TOTAL CAJAS]]*48</f>
        <v>30</v>
      </c>
      <c r="H606" s="28">
        <v>46276</v>
      </c>
      <c r="I606" s="29" t="s">
        <v>408</v>
      </c>
    </row>
    <row r="607" spans="1:9" hidden="1" x14ac:dyDescent="0.25">
      <c r="A607" s="14" t="s">
        <v>14</v>
      </c>
      <c r="B607" s="14" t="s">
        <v>338</v>
      </c>
      <c r="C607" s="15" t="s">
        <v>16</v>
      </c>
      <c r="D607" s="16">
        <v>46022</v>
      </c>
      <c r="E607" s="17">
        <v>1078</v>
      </c>
      <c r="F607" s="14">
        <f>ROUNDDOWN(Leche[[#This Row],[N° LATAS]]/48,0)</f>
        <v>22</v>
      </c>
      <c r="G607" s="14">
        <f>Leche[[#This Row],[N° LATAS]]-Leche[[#This Row],[TOTAL CAJAS]]*48</f>
        <v>22</v>
      </c>
      <c r="H607" s="28">
        <v>46001</v>
      </c>
      <c r="I607" s="29" t="s">
        <v>408</v>
      </c>
    </row>
    <row r="608" spans="1:9" hidden="1" x14ac:dyDescent="0.25">
      <c r="A608" s="14" t="s">
        <v>14</v>
      </c>
      <c r="B608" s="14" t="s">
        <v>338</v>
      </c>
      <c r="C608" s="15" t="s">
        <v>18</v>
      </c>
      <c r="D608" s="16">
        <v>46022</v>
      </c>
      <c r="E608" s="17">
        <v>1078</v>
      </c>
      <c r="F608" s="14">
        <f>ROUNDDOWN(Leche[[#This Row],[N° LATAS]]/48,0)</f>
        <v>22</v>
      </c>
      <c r="G608" s="14">
        <f>Leche[[#This Row],[N° LATAS]]-Leche[[#This Row],[TOTAL CAJAS]]*48</f>
        <v>22</v>
      </c>
      <c r="H608" s="28">
        <v>46001</v>
      </c>
      <c r="I608" s="29" t="s">
        <v>408</v>
      </c>
    </row>
    <row r="609" spans="1:9" hidden="1" x14ac:dyDescent="0.25">
      <c r="A609" s="14" t="s">
        <v>14</v>
      </c>
      <c r="B609" s="14" t="s">
        <v>338</v>
      </c>
      <c r="C609" s="15" t="s">
        <v>20</v>
      </c>
      <c r="D609" s="16">
        <v>46070</v>
      </c>
      <c r="E609" s="17">
        <v>1078</v>
      </c>
      <c r="F609" s="14">
        <f>ROUNDDOWN(Leche[[#This Row],[N° LATAS]]/48,0)</f>
        <v>22</v>
      </c>
      <c r="G609" s="14">
        <f>Leche[[#This Row],[N° LATAS]]-Leche[[#This Row],[TOTAL CAJAS]]*48</f>
        <v>22</v>
      </c>
      <c r="H609" s="28">
        <v>46068</v>
      </c>
      <c r="I609" s="29" t="s">
        <v>408</v>
      </c>
    </row>
    <row r="610" spans="1:9" hidden="1" x14ac:dyDescent="0.25">
      <c r="A610" s="14" t="s">
        <v>14</v>
      </c>
      <c r="B610" s="14" t="s">
        <v>338</v>
      </c>
      <c r="C610" s="15" t="s">
        <v>19</v>
      </c>
      <c r="D610" s="16">
        <v>46070</v>
      </c>
      <c r="E610" s="17">
        <v>1078</v>
      </c>
      <c r="F610" s="14">
        <f>ROUNDDOWN(Leche[[#This Row],[N° LATAS]]/48,0)</f>
        <v>22</v>
      </c>
      <c r="G610" s="14">
        <f>Leche[[#This Row],[N° LATAS]]-Leche[[#This Row],[TOTAL CAJAS]]*48</f>
        <v>22</v>
      </c>
      <c r="H610" s="28">
        <v>46068</v>
      </c>
      <c r="I610" s="29" t="s">
        <v>408</v>
      </c>
    </row>
    <row r="611" spans="1:9" hidden="1" x14ac:dyDescent="0.25">
      <c r="A611" s="14" t="s">
        <v>14</v>
      </c>
      <c r="B611" s="14" t="s">
        <v>338</v>
      </c>
      <c r="C611" s="15" t="s">
        <v>22</v>
      </c>
      <c r="D611" s="16">
        <v>46133</v>
      </c>
      <c r="E611" s="17">
        <v>1078</v>
      </c>
      <c r="F611" s="14">
        <f>ROUNDDOWN(Leche[[#This Row],[N° LATAS]]/48,0)</f>
        <v>22</v>
      </c>
      <c r="G611" s="14">
        <f>Leche[[#This Row],[N° LATAS]]-Leche[[#This Row],[TOTAL CAJAS]]*48</f>
        <v>22</v>
      </c>
      <c r="H611" s="28">
        <v>46135</v>
      </c>
      <c r="I611" s="29" t="s">
        <v>408</v>
      </c>
    </row>
    <row r="612" spans="1:9" hidden="1" x14ac:dyDescent="0.25">
      <c r="A612" s="14" t="s">
        <v>14</v>
      </c>
      <c r="B612" s="14" t="s">
        <v>338</v>
      </c>
      <c r="C612" s="15" t="s">
        <v>21</v>
      </c>
      <c r="D612" s="16">
        <v>46133</v>
      </c>
      <c r="E612" s="17">
        <v>1078</v>
      </c>
      <c r="F612" s="14">
        <f>ROUNDDOWN(Leche[[#This Row],[N° LATAS]]/48,0)</f>
        <v>22</v>
      </c>
      <c r="G612" s="14">
        <f>Leche[[#This Row],[N° LATAS]]-Leche[[#This Row],[TOTAL CAJAS]]*48</f>
        <v>22</v>
      </c>
      <c r="H612" s="28">
        <v>46135</v>
      </c>
      <c r="I612" s="29" t="s">
        <v>408</v>
      </c>
    </row>
    <row r="613" spans="1:9" hidden="1" x14ac:dyDescent="0.25">
      <c r="A613" s="14" t="s">
        <v>14</v>
      </c>
      <c r="B613" s="14" t="s">
        <v>338</v>
      </c>
      <c r="C613" s="15" t="s">
        <v>24</v>
      </c>
      <c r="D613" s="16">
        <v>46192</v>
      </c>
      <c r="E613" s="17">
        <v>1078</v>
      </c>
      <c r="F613" s="14">
        <f>ROUNDDOWN(Leche[[#This Row],[N° LATAS]]/48,0)</f>
        <v>22</v>
      </c>
      <c r="G613" s="14">
        <f>Leche[[#This Row],[N° LATAS]]-Leche[[#This Row],[TOTAL CAJAS]]*48</f>
        <v>22</v>
      </c>
      <c r="H613" s="28">
        <v>46187</v>
      </c>
      <c r="I613" s="29" t="s">
        <v>408</v>
      </c>
    </row>
    <row r="614" spans="1:9" hidden="1" x14ac:dyDescent="0.25">
      <c r="A614" s="14" t="s">
        <v>14</v>
      </c>
      <c r="B614" s="14" t="s">
        <v>338</v>
      </c>
      <c r="C614" s="15" t="s">
        <v>23</v>
      </c>
      <c r="D614" s="16">
        <v>46192</v>
      </c>
      <c r="E614" s="17">
        <v>1078</v>
      </c>
      <c r="F614" s="14">
        <f>ROUNDDOWN(Leche[[#This Row],[N° LATAS]]/48,0)</f>
        <v>22</v>
      </c>
      <c r="G614" s="14">
        <f>Leche[[#This Row],[N° LATAS]]-Leche[[#This Row],[TOTAL CAJAS]]*48</f>
        <v>22</v>
      </c>
      <c r="H614" s="28">
        <v>46187</v>
      </c>
      <c r="I614" s="29" t="s">
        <v>408</v>
      </c>
    </row>
    <row r="615" spans="1:9" hidden="1" x14ac:dyDescent="0.25">
      <c r="A615" s="14" t="s">
        <v>14</v>
      </c>
      <c r="B615" s="14" t="s">
        <v>338</v>
      </c>
      <c r="C615" s="15" t="s">
        <v>30</v>
      </c>
      <c r="D615" s="16">
        <v>46219</v>
      </c>
      <c r="E615" s="17">
        <v>3254</v>
      </c>
      <c r="F615" s="14">
        <f>ROUNDDOWN(Leche[[#This Row],[N° LATAS]]/48,0)</f>
        <v>67</v>
      </c>
      <c r="G615" s="14">
        <f>Leche[[#This Row],[N° LATAS]]-Leche[[#This Row],[TOTAL CAJAS]]*48</f>
        <v>38</v>
      </c>
      <c r="H615" s="28">
        <v>46222</v>
      </c>
      <c r="I615" s="29" t="s">
        <v>408</v>
      </c>
    </row>
    <row r="616" spans="1:9" hidden="1" x14ac:dyDescent="0.25">
      <c r="A616" s="14" t="s">
        <v>14</v>
      </c>
      <c r="B616" s="14" t="s">
        <v>338</v>
      </c>
      <c r="C616" s="15" t="s">
        <v>26</v>
      </c>
      <c r="D616" s="16">
        <v>46254</v>
      </c>
      <c r="E616" s="17">
        <v>1078</v>
      </c>
      <c r="F616" s="14">
        <f>ROUNDDOWN(Leche[[#This Row],[N° LATAS]]/48,0)</f>
        <v>22</v>
      </c>
      <c r="G616" s="14">
        <f>Leche[[#This Row],[N° LATAS]]-Leche[[#This Row],[TOTAL CAJAS]]*48</f>
        <v>22</v>
      </c>
      <c r="H616" s="28">
        <v>46251</v>
      </c>
      <c r="I616" s="29" t="s">
        <v>408</v>
      </c>
    </row>
    <row r="617" spans="1:9" hidden="1" x14ac:dyDescent="0.25">
      <c r="A617" s="14" t="s">
        <v>14</v>
      </c>
      <c r="B617" s="14" t="s">
        <v>338</v>
      </c>
      <c r="C617" s="15" t="s">
        <v>25</v>
      </c>
      <c r="D617" s="16">
        <v>46254</v>
      </c>
      <c r="E617" s="17">
        <v>1078</v>
      </c>
      <c r="F617" s="14">
        <f>ROUNDDOWN(Leche[[#This Row],[N° LATAS]]/48,0)</f>
        <v>22</v>
      </c>
      <c r="G617" s="14">
        <f>Leche[[#This Row],[N° LATAS]]-Leche[[#This Row],[TOTAL CAJAS]]*48</f>
        <v>22</v>
      </c>
      <c r="H617" s="28">
        <v>46251</v>
      </c>
      <c r="I617" s="29" t="s">
        <v>408</v>
      </c>
    </row>
    <row r="618" spans="1:9" hidden="1" x14ac:dyDescent="0.25">
      <c r="A618" s="14" t="s">
        <v>14</v>
      </c>
      <c r="B618" s="14" t="s">
        <v>338</v>
      </c>
      <c r="C618" s="15" t="s">
        <v>28</v>
      </c>
      <c r="D618" s="16">
        <v>46315</v>
      </c>
      <c r="E618" s="17">
        <v>1078</v>
      </c>
      <c r="F618" s="14">
        <f>ROUNDDOWN(Leche[[#This Row],[N° LATAS]]/48,0)</f>
        <v>22</v>
      </c>
      <c r="G618" s="14">
        <f>Leche[[#This Row],[N° LATAS]]-Leche[[#This Row],[TOTAL CAJAS]]*48</f>
        <v>22</v>
      </c>
      <c r="H618" s="28"/>
      <c r="I618" s="29"/>
    </row>
    <row r="619" spans="1:9" hidden="1" x14ac:dyDescent="0.25">
      <c r="A619" s="14" t="s">
        <v>14</v>
      </c>
      <c r="B619" s="14" t="s">
        <v>338</v>
      </c>
      <c r="C619" s="15" t="s">
        <v>27</v>
      </c>
      <c r="D619" s="16">
        <v>46315</v>
      </c>
      <c r="E619" s="17">
        <v>1078</v>
      </c>
      <c r="F619" s="14">
        <f>ROUNDDOWN(Leche[[#This Row],[N° LATAS]]/48,0)</f>
        <v>22</v>
      </c>
      <c r="G619" s="14">
        <f>Leche[[#This Row],[N° LATAS]]-Leche[[#This Row],[TOTAL CAJAS]]*48</f>
        <v>22</v>
      </c>
      <c r="H619" s="28"/>
      <c r="I619" s="29"/>
    </row>
    <row r="620" spans="1:9" hidden="1" x14ac:dyDescent="0.25">
      <c r="A620" s="14" t="s">
        <v>14</v>
      </c>
      <c r="B620" s="14" t="s">
        <v>344</v>
      </c>
      <c r="C620" s="15" t="s">
        <v>30</v>
      </c>
      <c r="D620" s="16">
        <v>46254</v>
      </c>
      <c r="E620" s="17">
        <v>2639</v>
      </c>
      <c r="F620" s="14">
        <f>ROUNDDOWN(Leche[[#This Row],[N° LATAS]]/48,0)</f>
        <v>54</v>
      </c>
      <c r="G620" s="14">
        <f>Leche[[#This Row],[N° LATAS]]-Leche[[#This Row],[TOTAL CAJAS]]*48</f>
        <v>47</v>
      </c>
      <c r="H620" s="28">
        <v>46253</v>
      </c>
      <c r="I620" s="29" t="s">
        <v>408</v>
      </c>
    </row>
    <row r="621" spans="1:9" hidden="1" x14ac:dyDescent="0.25">
      <c r="A621" s="14" t="s">
        <v>14</v>
      </c>
      <c r="B621" s="14" t="s">
        <v>348</v>
      </c>
      <c r="C621" s="15" t="s">
        <v>16</v>
      </c>
      <c r="D621" s="16">
        <v>46032</v>
      </c>
      <c r="E621" s="17">
        <v>534</v>
      </c>
      <c r="F621" s="14">
        <f>ROUNDDOWN(Leche[[#This Row],[N° LATAS]]/48,0)</f>
        <v>11</v>
      </c>
      <c r="G621" s="14">
        <f>Leche[[#This Row],[N° LATAS]]-Leche[[#This Row],[TOTAL CAJAS]]*48</f>
        <v>6</v>
      </c>
      <c r="H621" s="28">
        <v>46056</v>
      </c>
      <c r="I621" s="29" t="s">
        <v>408</v>
      </c>
    </row>
    <row r="622" spans="1:9" hidden="1" x14ac:dyDescent="0.25">
      <c r="A622" s="14" t="s">
        <v>14</v>
      </c>
      <c r="B622" s="14" t="s">
        <v>348</v>
      </c>
      <c r="C622" s="15" t="s">
        <v>18</v>
      </c>
      <c r="D622" s="16">
        <v>46032</v>
      </c>
      <c r="E622" s="17">
        <v>534</v>
      </c>
      <c r="F622" s="14">
        <f>ROUNDDOWN(Leche[[#This Row],[N° LATAS]]/48,0)</f>
        <v>11</v>
      </c>
      <c r="G622" s="14">
        <f>Leche[[#This Row],[N° LATAS]]-Leche[[#This Row],[TOTAL CAJAS]]*48</f>
        <v>6</v>
      </c>
      <c r="H622" s="28">
        <v>46056</v>
      </c>
      <c r="I622" s="29" t="s">
        <v>408</v>
      </c>
    </row>
    <row r="623" spans="1:9" hidden="1" x14ac:dyDescent="0.25">
      <c r="A623" s="14" t="s">
        <v>14</v>
      </c>
      <c r="B623" s="14" t="s">
        <v>348</v>
      </c>
      <c r="C623" s="15" t="s">
        <v>20</v>
      </c>
      <c r="D623" s="16">
        <v>46091</v>
      </c>
      <c r="E623" s="17">
        <v>534</v>
      </c>
      <c r="F623" s="14">
        <f>ROUNDDOWN(Leche[[#This Row],[N° LATAS]]/48,0)</f>
        <v>11</v>
      </c>
      <c r="G623" s="14">
        <f>Leche[[#This Row],[N° LATAS]]-Leche[[#This Row],[TOTAL CAJAS]]*48</f>
        <v>6</v>
      </c>
      <c r="H623" s="28">
        <v>46093</v>
      </c>
      <c r="I623" s="29" t="s">
        <v>408</v>
      </c>
    </row>
    <row r="624" spans="1:9" hidden="1" x14ac:dyDescent="0.25">
      <c r="A624" s="14" t="s">
        <v>14</v>
      </c>
      <c r="B624" s="14" t="s">
        <v>348</v>
      </c>
      <c r="C624" s="15" t="s">
        <v>22</v>
      </c>
      <c r="D624" s="16">
        <v>46091</v>
      </c>
      <c r="E624" s="17">
        <v>534</v>
      </c>
      <c r="F624" s="14">
        <f>ROUNDDOWN(Leche[[#This Row],[N° LATAS]]/48,0)</f>
        <v>11</v>
      </c>
      <c r="G624" s="14">
        <f>Leche[[#This Row],[N° LATAS]]-Leche[[#This Row],[TOTAL CAJAS]]*48</f>
        <v>6</v>
      </c>
      <c r="H624" s="28">
        <v>46093</v>
      </c>
      <c r="I624" s="29" t="s">
        <v>408</v>
      </c>
    </row>
    <row r="625" spans="1:9" hidden="1" x14ac:dyDescent="0.25">
      <c r="A625" s="14" t="s">
        <v>14</v>
      </c>
      <c r="B625" s="14" t="s">
        <v>348</v>
      </c>
      <c r="C625" s="15" t="s">
        <v>19</v>
      </c>
      <c r="D625" s="16">
        <v>46091</v>
      </c>
      <c r="E625" s="17">
        <v>534</v>
      </c>
      <c r="F625" s="14">
        <f>ROUNDDOWN(Leche[[#This Row],[N° LATAS]]/48,0)</f>
        <v>11</v>
      </c>
      <c r="G625" s="14">
        <f>Leche[[#This Row],[N° LATAS]]-Leche[[#This Row],[TOTAL CAJAS]]*48</f>
        <v>6</v>
      </c>
      <c r="H625" s="28">
        <v>46093</v>
      </c>
      <c r="I625" s="29" t="s">
        <v>408</v>
      </c>
    </row>
    <row r="626" spans="1:9" hidden="1" x14ac:dyDescent="0.25">
      <c r="A626" s="14" t="s">
        <v>14</v>
      </c>
      <c r="B626" s="14" t="s">
        <v>348</v>
      </c>
      <c r="C626" s="15" t="s">
        <v>21</v>
      </c>
      <c r="D626" s="16">
        <v>46091</v>
      </c>
      <c r="E626" s="17">
        <v>534</v>
      </c>
      <c r="F626" s="14">
        <f>ROUNDDOWN(Leche[[#This Row],[N° LATAS]]/48,0)</f>
        <v>11</v>
      </c>
      <c r="G626" s="14">
        <f>Leche[[#This Row],[N° LATAS]]-Leche[[#This Row],[TOTAL CAJAS]]*48</f>
        <v>6</v>
      </c>
      <c r="H626" s="28">
        <v>46093</v>
      </c>
      <c r="I626" s="29" t="s">
        <v>408</v>
      </c>
    </row>
    <row r="627" spans="1:9" hidden="1" x14ac:dyDescent="0.25">
      <c r="A627" s="14" t="s">
        <v>14</v>
      </c>
      <c r="B627" s="14" t="s">
        <v>348</v>
      </c>
      <c r="C627" s="15" t="s">
        <v>23</v>
      </c>
      <c r="D627" s="16">
        <v>46203</v>
      </c>
      <c r="E627" s="17">
        <v>534</v>
      </c>
      <c r="F627" s="14">
        <f>ROUNDDOWN(Leche[[#This Row],[N° LATAS]]/48,0)</f>
        <v>11</v>
      </c>
      <c r="G627" s="14">
        <f>Leche[[#This Row],[N° LATAS]]-Leche[[#This Row],[TOTAL CAJAS]]*48</f>
        <v>6</v>
      </c>
      <c r="H627" s="28">
        <v>46198</v>
      </c>
      <c r="I627" s="29" t="s">
        <v>408</v>
      </c>
    </row>
    <row r="628" spans="1:9" hidden="1" x14ac:dyDescent="0.25">
      <c r="A628" s="14" t="s">
        <v>14</v>
      </c>
      <c r="B628" s="14" t="s">
        <v>348</v>
      </c>
      <c r="C628" s="15" t="s">
        <v>24</v>
      </c>
      <c r="D628" s="16">
        <v>46203</v>
      </c>
      <c r="E628" s="17">
        <v>534</v>
      </c>
      <c r="F628" s="14">
        <f>ROUNDDOWN(Leche[[#This Row],[N° LATAS]]/48,0)</f>
        <v>11</v>
      </c>
      <c r="G628" s="14">
        <f>Leche[[#This Row],[N° LATAS]]-Leche[[#This Row],[TOTAL CAJAS]]*48</f>
        <v>6</v>
      </c>
      <c r="H628" s="28">
        <v>46198</v>
      </c>
      <c r="I628" s="29" t="s">
        <v>408</v>
      </c>
    </row>
    <row r="629" spans="1:9" hidden="1" x14ac:dyDescent="0.25">
      <c r="A629" s="14" t="s">
        <v>14</v>
      </c>
      <c r="B629" s="14" t="s">
        <v>348</v>
      </c>
      <c r="C629" s="15" t="s">
        <v>25</v>
      </c>
      <c r="D629" s="16">
        <v>46203</v>
      </c>
      <c r="E629" s="17">
        <v>534</v>
      </c>
      <c r="F629" s="14">
        <f>ROUNDDOWN(Leche[[#This Row],[N° LATAS]]/48,0)</f>
        <v>11</v>
      </c>
      <c r="G629" s="14">
        <f>Leche[[#This Row],[N° LATAS]]-Leche[[#This Row],[TOTAL CAJAS]]*48</f>
        <v>6</v>
      </c>
      <c r="H629" s="28">
        <v>46198</v>
      </c>
      <c r="I629" s="29" t="s">
        <v>408</v>
      </c>
    </row>
    <row r="630" spans="1:9" hidden="1" x14ac:dyDescent="0.25">
      <c r="A630" s="14" t="s">
        <v>14</v>
      </c>
      <c r="B630" s="14" t="s">
        <v>348</v>
      </c>
      <c r="C630" s="15" t="s">
        <v>30</v>
      </c>
      <c r="D630" s="16">
        <v>46259</v>
      </c>
      <c r="E630" s="17">
        <v>1797</v>
      </c>
      <c r="F630" s="14">
        <f>ROUNDDOWN(Leche[[#This Row],[N° LATAS]]/48,0)</f>
        <v>37</v>
      </c>
      <c r="G630" s="14">
        <f>Leche[[#This Row],[N° LATAS]]-Leche[[#This Row],[TOTAL CAJAS]]*48</f>
        <v>21</v>
      </c>
      <c r="H630" s="28">
        <v>46262</v>
      </c>
      <c r="I630" s="29" t="s">
        <v>408</v>
      </c>
    </row>
    <row r="631" spans="1:9" hidden="1" x14ac:dyDescent="0.25">
      <c r="A631" s="14" t="s">
        <v>14</v>
      </c>
      <c r="B631" s="14" t="s">
        <v>348</v>
      </c>
      <c r="C631" s="15" t="s">
        <v>26</v>
      </c>
      <c r="D631" s="16">
        <v>46295</v>
      </c>
      <c r="E631" s="17">
        <v>534</v>
      </c>
      <c r="F631" s="14">
        <f>ROUNDDOWN(Leche[[#This Row],[N° LATAS]]/48,0)</f>
        <v>11</v>
      </c>
      <c r="G631" s="14">
        <f>Leche[[#This Row],[N° LATAS]]-Leche[[#This Row],[TOTAL CAJAS]]*48</f>
        <v>6</v>
      </c>
      <c r="H631" s="28"/>
      <c r="I631" s="29"/>
    </row>
    <row r="632" spans="1:9" hidden="1" x14ac:dyDescent="0.25">
      <c r="A632" s="14" t="s">
        <v>14</v>
      </c>
      <c r="B632" s="14" t="s">
        <v>348</v>
      </c>
      <c r="C632" s="15" t="s">
        <v>27</v>
      </c>
      <c r="D632" s="16">
        <v>46295</v>
      </c>
      <c r="E632" s="17">
        <v>534</v>
      </c>
      <c r="F632" s="14">
        <f>ROUNDDOWN(Leche[[#This Row],[N° LATAS]]/48,0)</f>
        <v>11</v>
      </c>
      <c r="G632" s="14">
        <f>Leche[[#This Row],[N° LATAS]]-Leche[[#This Row],[TOTAL CAJAS]]*48</f>
        <v>6</v>
      </c>
      <c r="H632" s="28"/>
      <c r="I632" s="29"/>
    </row>
    <row r="633" spans="1:9" hidden="1" x14ac:dyDescent="0.25">
      <c r="A633" s="14" t="s">
        <v>14</v>
      </c>
      <c r="B633" s="14" t="s">
        <v>348</v>
      </c>
      <c r="C633" s="15" t="s">
        <v>28</v>
      </c>
      <c r="D633" s="16">
        <v>46295</v>
      </c>
      <c r="E633" s="17">
        <v>533</v>
      </c>
      <c r="F633" s="14">
        <f>ROUNDDOWN(Leche[[#This Row],[N° LATAS]]/48,0)</f>
        <v>11</v>
      </c>
      <c r="G633" s="14">
        <f>Leche[[#This Row],[N° LATAS]]-Leche[[#This Row],[TOTAL CAJAS]]*48</f>
        <v>5</v>
      </c>
      <c r="H633" s="28"/>
      <c r="I633" s="29"/>
    </row>
    <row r="634" spans="1:9" hidden="1" x14ac:dyDescent="0.25">
      <c r="A634" s="14" t="s">
        <v>193</v>
      </c>
      <c r="B634" s="14" t="s">
        <v>357</v>
      </c>
      <c r="C634" s="15" t="s">
        <v>35</v>
      </c>
      <c r="D634" s="16">
        <v>46016</v>
      </c>
      <c r="E634" s="17">
        <v>2905</v>
      </c>
      <c r="F634" s="14">
        <f>ROUNDDOWN(Leche[[#This Row],[N° LATAS]]/48,0)</f>
        <v>60</v>
      </c>
      <c r="G634" s="14">
        <f>Leche[[#This Row],[N° LATAS]]-Leche[[#This Row],[TOTAL CAJAS]]*48</f>
        <v>25</v>
      </c>
      <c r="H634" s="28">
        <v>46056</v>
      </c>
      <c r="I634" s="29" t="s">
        <v>408</v>
      </c>
    </row>
    <row r="635" spans="1:9" hidden="1" x14ac:dyDescent="0.25">
      <c r="A635" s="14" t="s">
        <v>193</v>
      </c>
      <c r="B635" s="14" t="s">
        <v>357</v>
      </c>
      <c r="C635" s="15" t="s">
        <v>37</v>
      </c>
      <c r="D635" s="16">
        <v>46108</v>
      </c>
      <c r="E635" s="17">
        <v>2905</v>
      </c>
      <c r="F635" s="14">
        <f>ROUNDDOWN(Leche[[#This Row],[N° LATAS]]/48,0)</f>
        <v>60</v>
      </c>
      <c r="G635" s="14">
        <f>Leche[[#This Row],[N° LATAS]]-Leche[[#This Row],[TOTAL CAJAS]]*48</f>
        <v>25</v>
      </c>
      <c r="H635" s="28">
        <v>46093</v>
      </c>
      <c r="I635" s="29" t="s">
        <v>408</v>
      </c>
    </row>
    <row r="636" spans="1:9" hidden="1" x14ac:dyDescent="0.25">
      <c r="A636" s="14" t="s">
        <v>193</v>
      </c>
      <c r="B636" s="14" t="s">
        <v>357</v>
      </c>
      <c r="C636" s="15" t="s">
        <v>38</v>
      </c>
      <c r="D636" s="16">
        <v>46198</v>
      </c>
      <c r="E636" s="17">
        <v>2905</v>
      </c>
      <c r="F636" s="14">
        <f>ROUNDDOWN(Leche[[#This Row],[N° LATAS]]/48,0)</f>
        <v>60</v>
      </c>
      <c r="G636" s="14">
        <f>Leche[[#This Row],[N° LATAS]]-Leche[[#This Row],[TOTAL CAJAS]]*48</f>
        <v>25</v>
      </c>
      <c r="H636" s="28">
        <v>46198</v>
      </c>
      <c r="I636" s="29" t="s">
        <v>408</v>
      </c>
    </row>
    <row r="637" spans="1:9" ht="22.5" hidden="1" x14ac:dyDescent="0.25">
      <c r="A637" s="14" t="s">
        <v>193</v>
      </c>
      <c r="B637" s="14" t="s">
        <v>357</v>
      </c>
      <c r="C637" s="15" t="s">
        <v>39</v>
      </c>
      <c r="D637" s="16">
        <v>46288</v>
      </c>
      <c r="E637" s="17">
        <v>2905</v>
      </c>
      <c r="F637" s="14">
        <f>ROUNDDOWN(Leche[[#This Row],[N° LATAS]]/48,0)</f>
        <v>60</v>
      </c>
      <c r="G637" s="14">
        <f>Leche[[#This Row],[N° LATAS]]-Leche[[#This Row],[TOTAL CAJAS]]*48</f>
        <v>25</v>
      </c>
      <c r="H637" s="28"/>
      <c r="I637" s="29"/>
    </row>
    <row r="638" spans="1:9" hidden="1" x14ac:dyDescent="0.25">
      <c r="A638" s="14" t="s">
        <v>14</v>
      </c>
      <c r="B638" s="14" t="s">
        <v>394</v>
      </c>
      <c r="C638" s="15" t="s">
        <v>16</v>
      </c>
      <c r="D638" s="16">
        <v>46023</v>
      </c>
      <c r="E638" s="17">
        <v>5503</v>
      </c>
      <c r="F638" s="14">
        <f>ROUNDDOWN(Leche[[#This Row],[N° LATAS]]/48,0)</f>
        <v>114</v>
      </c>
      <c r="G638" s="14">
        <f>Leche[[#This Row],[N° LATAS]]-Leche[[#This Row],[TOTAL CAJAS]]*48</f>
        <v>31</v>
      </c>
      <c r="H638" s="28">
        <v>46043</v>
      </c>
      <c r="I638" s="29" t="s">
        <v>408</v>
      </c>
    </row>
    <row r="639" spans="1:9" hidden="1" x14ac:dyDescent="0.25">
      <c r="A639" s="14" t="s">
        <v>14</v>
      </c>
      <c r="B639" s="14" t="s">
        <v>394</v>
      </c>
      <c r="C639" s="15" t="s">
        <v>18</v>
      </c>
      <c r="D639" s="16">
        <v>46050</v>
      </c>
      <c r="E639" s="17">
        <v>4970</v>
      </c>
      <c r="F639" s="14">
        <f>ROUNDDOWN(Leche[[#This Row],[N° LATAS]]/48,0)</f>
        <v>103</v>
      </c>
      <c r="G639" s="14">
        <f>Leche[[#This Row],[N° LATAS]]-Leche[[#This Row],[TOTAL CAJAS]]*48</f>
        <v>26</v>
      </c>
      <c r="H639" s="28">
        <v>46051</v>
      </c>
      <c r="I639" s="29" t="s">
        <v>408</v>
      </c>
    </row>
    <row r="640" spans="1:9" hidden="1" x14ac:dyDescent="0.25">
      <c r="A640" s="14" t="s">
        <v>14</v>
      </c>
      <c r="B640" s="14" t="s">
        <v>394</v>
      </c>
      <c r="C640" s="15" t="s">
        <v>19</v>
      </c>
      <c r="D640" s="16">
        <v>46078</v>
      </c>
      <c r="E640" s="17">
        <v>5503</v>
      </c>
      <c r="F640" s="14">
        <f>ROUNDDOWN(Leche[[#This Row],[N° LATAS]]/48,0)</f>
        <v>114</v>
      </c>
      <c r="G640" s="14">
        <f>Leche[[#This Row],[N° LATAS]]-Leche[[#This Row],[TOTAL CAJAS]]*48</f>
        <v>31</v>
      </c>
      <c r="H640" s="28">
        <v>46078</v>
      </c>
      <c r="I640" s="29" t="s">
        <v>408</v>
      </c>
    </row>
    <row r="641" spans="1:11" hidden="1" x14ac:dyDescent="0.25">
      <c r="A641" s="14" t="s">
        <v>14</v>
      </c>
      <c r="B641" s="14" t="s">
        <v>394</v>
      </c>
      <c r="C641" s="15" t="s">
        <v>20</v>
      </c>
      <c r="D641" s="16">
        <v>46109</v>
      </c>
      <c r="E641" s="17">
        <v>5325</v>
      </c>
      <c r="F641" s="14">
        <f>ROUNDDOWN(Leche[[#This Row],[N° LATAS]]/48,0)</f>
        <v>110</v>
      </c>
      <c r="G641" s="14">
        <f>Leche[[#This Row],[N° LATAS]]-Leche[[#This Row],[TOTAL CAJAS]]*48</f>
        <v>45</v>
      </c>
      <c r="H641" s="28">
        <v>46106</v>
      </c>
      <c r="I641" s="29" t="s">
        <v>408</v>
      </c>
    </row>
    <row r="642" spans="1:11" hidden="1" x14ac:dyDescent="0.25">
      <c r="A642" s="14" t="s">
        <v>14</v>
      </c>
      <c r="B642" s="14" t="s">
        <v>394</v>
      </c>
      <c r="C642" s="15" t="s">
        <v>21</v>
      </c>
      <c r="D642" s="16">
        <v>46139</v>
      </c>
      <c r="E642" s="17">
        <v>5503</v>
      </c>
      <c r="F642" s="14">
        <f>ROUNDDOWN(Leche[[#This Row],[N° LATAS]]/48,0)</f>
        <v>114</v>
      </c>
      <c r="G642" s="14">
        <f>Leche[[#This Row],[N° LATAS]]-Leche[[#This Row],[TOTAL CAJAS]]*48</f>
        <v>31</v>
      </c>
      <c r="H642" s="28">
        <v>46139</v>
      </c>
      <c r="I642" s="29" t="s">
        <v>408</v>
      </c>
      <c r="K642" t="s">
        <v>431</v>
      </c>
    </row>
    <row r="643" spans="1:11" hidden="1" x14ac:dyDescent="0.25">
      <c r="A643" s="14" t="s">
        <v>14</v>
      </c>
      <c r="B643" s="14" t="s">
        <v>394</v>
      </c>
      <c r="C643" s="15" t="s">
        <v>22</v>
      </c>
      <c r="D643" s="16">
        <v>46170</v>
      </c>
      <c r="E643" s="17">
        <v>5325</v>
      </c>
      <c r="F643" s="14">
        <f>ROUNDDOWN(Leche[[#This Row],[N° LATAS]]/48,0)</f>
        <v>110</v>
      </c>
      <c r="G643" s="14">
        <f>Leche[[#This Row],[N° LATAS]]-Leche[[#This Row],[TOTAL CAJAS]]*48</f>
        <v>45</v>
      </c>
      <c r="H643" s="28">
        <v>46164</v>
      </c>
      <c r="I643" s="29" t="s">
        <v>408</v>
      </c>
    </row>
    <row r="644" spans="1:11" hidden="1" x14ac:dyDescent="0.25">
      <c r="A644" s="14" t="s">
        <v>14</v>
      </c>
      <c r="B644" s="14" t="s">
        <v>394</v>
      </c>
      <c r="C644" s="15" t="s">
        <v>23</v>
      </c>
      <c r="D644" s="16">
        <v>46200</v>
      </c>
      <c r="E644" s="17">
        <v>5503</v>
      </c>
      <c r="F644" s="14">
        <f>ROUNDDOWN(Leche[[#This Row],[N° LATAS]]/48,0)</f>
        <v>114</v>
      </c>
      <c r="G644" s="14">
        <f>Leche[[#This Row],[N° LATAS]]-Leche[[#This Row],[TOTAL CAJAS]]*48</f>
        <v>31</v>
      </c>
      <c r="H644" s="28">
        <v>46198</v>
      </c>
      <c r="I644" s="29" t="s">
        <v>408</v>
      </c>
    </row>
    <row r="645" spans="1:11" hidden="1" x14ac:dyDescent="0.25">
      <c r="A645" s="14" t="s">
        <v>14</v>
      </c>
      <c r="B645" s="14" t="s">
        <v>394</v>
      </c>
      <c r="C645" s="15" t="s">
        <v>24</v>
      </c>
      <c r="D645" s="16">
        <v>46231</v>
      </c>
      <c r="E645" s="17">
        <v>5503</v>
      </c>
      <c r="F645" s="14">
        <f>ROUNDDOWN(Leche[[#This Row],[N° LATAS]]/48,0)</f>
        <v>114</v>
      </c>
      <c r="G645" s="14">
        <f>Leche[[#This Row],[N° LATAS]]-Leche[[#This Row],[TOTAL CAJAS]]*48</f>
        <v>31</v>
      </c>
      <c r="H645" s="28">
        <v>46225</v>
      </c>
      <c r="I645" s="29" t="s">
        <v>408</v>
      </c>
    </row>
    <row r="646" spans="1:11" hidden="1" x14ac:dyDescent="0.25">
      <c r="A646" s="14" t="s">
        <v>14</v>
      </c>
      <c r="B646" s="14" t="s">
        <v>394</v>
      </c>
      <c r="C646" s="15" t="s">
        <v>25</v>
      </c>
      <c r="D646" s="16">
        <v>46262</v>
      </c>
      <c r="E646" s="17">
        <v>5325</v>
      </c>
      <c r="F646" s="14">
        <f>ROUNDDOWN(Leche[[#This Row],[N° LATAS]]/48,0)</f>
        <v>110</v>
      </c>
      <c r="G646" s="14">
        <f>Leche[[#This Row],[N° LATAS]]-Leche[[#This Row],[TOTAL CAJAS]]*48</f>
        <v>45</v>
      </c>
      <c r="H646" s="28">
        <v>46259</v>
      </c>
      <c r="I646" s="29" t="s">
        <v>408</v>
      </c>
    </row>
    <row r="647" spans="1:11" hidden="1" x14ac:dyDescent="0.25">
      <c r="A647" s="14" t="s">
        <v>14</v>
      </c>
      <c r="B647" s="14" t="s">
        <v>394</v>
      </c>
      <c r="C647" s="15" t="s">
        <v>26</v>
      </c>
      <c r="D647" s="16">
        <v>46292</v>
      </c>
      <c r="E647" s="17">
        <v>5503</v>
      </c>
      <c r="F647" s="14">
        <f>ROUNDDOWN(Leche[[#This Row],[N° LATAS]]/48,0)</f>
        <v>114</v>
      </c>
      <c r="G647" s="14">
        <f>Leche[[#This Row],[N° LATAS]]-Leche[[#This Row],[TOTAL CAJAS]]*48</f>
        <v>31</v>
      </c>
      <c r="H647" s="28">
        <v>46294</v>
      </c>
      <c r="I647" s="29" t="s">
        <v>408</v>
      </c>
    </row>
    <row r="648" spans="1:11" hidden="1" x14ac:dyDescent="0.25">
      <c r="A648" s="14" t="s">
        <v>14</v>
      </c>
      <c r="B648" s="14" t="s">
        <v>394</v>
      </c>
      <c r="C648" s="15" t="s">
        <v>27</v>
      </c>
      <c r="D648" s="16">
        <v>46323</v>
      </c>
      <c r="E648" s="17">
        <v>5325</v>
      </c>
      <c r="F648" s="14">
        <f>ROUNDDOWN(Leche[[#This Row],[N° LATAS]]/48,0)</f>
        <v>110</v>
      </c>
      <c r="G648" s="14">
        <f>Leche[[#This Row],[N° LATAS]]-Leche[[#This Row],[TOTAL CAJAS]]*48</f>
        <v>45</v>
      </c>
      <c r="H648" s="28"/>
      <c r="I648" s="29"/>
    </row>
    <row r="649" spans="1:11" hidden="1" x14ac:dyDescent="0.25">
      <c r="A649" s="14" t="s">
        <v>14</v>
      </c>
      <c r="B649" s="14" t="s">
        <v>394</v>
      </c>
      <c r="C649" s="15" t="s">
        <v>28</v>
      </c>
      <c r="D649" s="16">
        <v>46353</v>
      </c>
      <c r="E649" s="17">
        <v>5503</v>
      </c>
      <c r="F649" s="14">
        <f>ROUNDDOWN(Leche[[#This Row],[N° LATAS]]/48,0)</f>
        <v>114</v>
      </c>
      <c r="G649" s="14">
        <f>Leche[[#This Row],[N° LATAS]]-Leche[[#This Row],[TOTAL CAJAS]]*48</f>
        <v>31</v>
      </c>
      <c r="H649" s="28"/>
      <c r="I649" s="29"/>
    </row>
    <row r="650" spans="1:11" hidden="1" x14ac:dyDescent="0.25">
      <c r="A650" s="14" t="s">
        <v>14</v>
      </c>
      <c r="B650" s="14" t="s">
        <v>396</v>
      </c>
      <c r="C650" s="15" t="s">
        <v>18</v>
      </c>
      <c r="D650" s="16">
        <v>46048</v>
      </c>
      <c r="E650" s="17">
        <v>2762</v>
      </c>
      <c r="F650" s="14">
        <f>ROUNDDOWN(Leche[[#This Row],[N° LATAS]]/48,0)</f>
        <v>57</v>
      </c>
      <c r="G650" s="14">
        <f>Leche[[#This Row],[N° LATAS]]-Leche[[#This Row],[TOTAL CAJAS]]*48</f>
        <v>26</v>
      </c>
      <c r="H650" s="28">
        <v>46048</v>
      </c>
      <c r="I650" s="29" t="s">
        <v>408</v>
      </c>
    </row>
    <row r="651" spans="1:11" hidden="1" x14ac:dyDescent="0.25">
      <c r="A651" s="14" t="s">
        <v>14</v>
      </c>
      <c r="B651" s="14" t="s">
        <v>396</v>
      </c>
      <c r="C651" s="15" t="s">
        <v>19</v>
      </c>
      <c r="D651" s="16">
        <v>46077</v>
      </c>
      <c r="E651" s="17">
        <v>3058</v>
      </c>
      <c r="F651" s="14">
        <f>ROUNDDOWN(Leche[[#This Row],[N° LATAS]]/48,0)</f>
        <v>63</v>
      </c>
      <c r="G651" s="14">
        <f>Leche[[#This Row],[N° LATAS]]-Leche[[#This Row],[TOTAL CAJAS]]*48</f>
        <v>34</v>
      </c>
      <c r="H651" s="28">
        <v>46076</v>
      </c>
      <c r="I651" s="29" t="s">
        <v>408</v>
      </c>
    </row>
    <row r="652" spans="1:11" hidden="1" x14ac:dyDescent="0.25">
      <c r="A652" s="14" t="s">
        <v>14</v>
      </c>
      <c r="B652" s="14" t="s">
        <v>396</v>
      </c>
      <c r="C652" s="15" t="s">
        <v>20</v>
      </c>
      <c r="D652" s="16">
        <v>46105</v>
      </c>
      <c r="E652" s="17">
        <v>2960</v>
      </c>
      <c r="F652" s="14">
        <f>ROUNDDOWN(Leche[[#This Row],[N° LATAS]]/48,0)</f>
        <v>61</v>
      </c>
      <c r="G652" s="14">
        <f>Leche[[#This Row],[N° LATAS]]-Leche[[#This Row],[TOTAL CAJAS]]*48</f>
        <v>32</v>
      </c>
      <c r="H652" s="28">
        <v>46105</v>
      </c>
      <c r="I652" s="29" t="s">
        <v>408</v>
      </c>
    </row>
    <row r="653" spans="1:11" hidden="1" x14ac:dyDescent="0.25">
      <c r="A653" s="14" t="s">
        <v>14</v>
      </c>
      <c r="B653" s="14" t="s">
        <v>396</v>
      </c>
      <c r="C653" s="15" t="s">
        <v>21</v>
      </c>
      <c r="D653" s="16">
        <v>46136</v>
      </c>
      <c r="E653" s="17">
        <v>3058</v>
      </c>
      <c r="F653" s="14">
        <f>ROUNDDOWN(Leche[[#This Row],[N° LATAS]]/48,0)</f>
        <v>63</v>
      </c>
      <c r="G653" s="14">
        <f>Leche[[#This Row],[N° LATAS]]-Leche[[#This Row],[TOTAL CAJAS]]*48</f>
        <v>34</v>
      </c>
      <c r="H653" s="28">
        <v>46136</v>
      </c>
      <c r="I653" s="29" t="s">
        <v>408</v>
      </c>
    </row>
    <row r="654" spans="1:11" hidden="1" x14ac:dyDescent="0.25">
      <c r="A654" s="14" t="s">
        <v>14</v>
      </c>
      <c r="B654" s="14" t="s">
        <v>396</v>
      </c>
      <c r="C654" s="15" t="s">
        <v>22</v>
      </c>
      <c r="D654" s="16">
        <v>46168</v>
      </c>
      <c r="E654" s="17">
        <v>2960</v>
      </c>
      <c r="F654" s="14">
        <f>ROUNDDOWN(Leche[[#This Row],[N° LATAS]]/48,0)</f>
        <v>61</v>
      </c>
      <c r="G654" s="14">
        <f>Leche[[#This Row],[N° LATAS]]-Leche[[#This Row],[TOTAL CAJAS]]*48</f>
        <v>32</v>
      </c>
      <c r="H654" s="28">
        <v>46167</v>
      </c>
      <c r="I654" s="29" t="s">
        <v>408</v>
      </c>
    </row>
    <row r="655" spans="1:11" hidden="1" x14ac:dyDescent="0.25">
      <c r="A655" s="14" t="s">
        <v>14</v>
      </c>
      <c r="B655" s="14" t="s">
        <v>396</v>
      </c>
      <c r="C655" s="15" t="s">
        <v>23</v>
      </c>
      <c r="D655" s="16">
        <v>46198</v>
      </c>
      <c r="E655" s="17">
        <v>3058</v>
      </c>
      <c r="F655" s="14">
        <f>ROUNDDOWN(Leche[[#This Row],[N° LATAS]]/48,0)</f>
        <v>63</v>
      </c>
      <c r="G655" s="14">
        <f>Leche[[#This Row],[N° LATAS]]-Leche[[#This Row],[TOTAL CAJAS]]*48</f>
        <v>34</v>
      </c>
      <c r="H655" s="28">
        <v>46196</v>
      </c>
      <c r="I655" s="29" t="s">
        <v>408</v>
      </c>
    </row>
    <row r="656" spans="1:11" hidden="1" x14ac:dyDescent="0.25">
      <c r="A656" s="14" t="s">
        <v>14</v>
      </c>
      <c r="B656" s="14" t="s">
        <v>396</v>
      </c>
      <c r="C656" s="15" t="s">
        <v>24</v>
      </c>
      <c r="D656" s="16">
        <v>46230</v>
      </c>
      <c r="E656" s="17">
        <v>3058</v>
      </c>
      <c r="F656" s="14">
        <f>ROUNDDOWN(Leche[[#This Row],[N° LATAS]]/48,0)</f>
        <v>63</v>
      </c>
      <c r="G656" s="14">
        <f>Leche[[#This Row],[N° LATAS]]-Leche[[#This Row],[TOTAL CAJAS]]*48</f>
        <v>34</v>
      </c>
      <c r="H656" s="28">
        <v>46225</v>
      </c>
      <c r="I656" s="29" t="s">
        <v>408</v>
      </c>
    </row>
    <row r="657" spans="1:9" hidden="1" x14ac:dyDescent="0.25">
      <c r="A657" s="14" t="s">
        <v>14</v>
      </c>
      <c r="B657" s="14" t="s">
        <v>396</v>
      </c>
      <c r="C657" s="15" t="s">
        <v>25</v>
      </c>
      <c r="D657" s="16">
        <v>46260</v>
      </c>
      <c r="E657" s="17">
        <v>2960</v>
      </c>
      <c r="F657" s="14">
        <f>ROUNDDOWN(Leche[[#This Row],[N° LATAS]]/48,0)</f>
        <v>61</v>
      </c>
      <c r="G657" s="14">
        <f>Leche[[#This Row],[N° LATAS]]-Leche[[#This Row],[TOTAL CAJAS]]*48</f>
        <v>32</v>
      </c>
      <c r="H657" s="28">
        <v>46258</v>
      </c>
      <c r="I657" s="29" t="s">
        <v>408</v>
      </c>
    </row>
    <row r="658" spans="1:9" hidden="1" x14ac:dyDescent="0.25">
      <c r="A658" s="14" t="s">
        <v>14</v>
      </c>
      <c r="B658" s="14" t="s">
        <v>396</v>
      </c>
      <c r="C658" s="15" t="s">
        <v>30</v>
      </c>
      <c r="D658" s="16">
        <v>46265</v>
      </c>
      <c r="E658" s="17">
        <v>13586</v>
      </c>
      <c r="F658" s="14">
        <f>ROUNDDOWN(Leche[[#This Row],[N° LATAS]]/48,0)</f>
        <v>283</v>
      </c>
      <c r="G658" s="14">
        <f>Leche[[#This Row],[N° LATAS]]-Leche[[#This Row],[TOTAL CAJAS]]*48</f>
        <v>2</v>
      </c>
      <c r="H658" s="28">
        <v>46258</v>
      </c>
      <c r="I658" s="29" t="s">
        <v>408</v>
      </c>
    </row>
    <row r="659" spans="1:9" hidden="1" x14ac:dyDescent="0.25">
      <c r="A659" s="14" t="s">
        <v>14</v>
      </c>
      <c r="B659" s="14" t="s">
        <v>396</v>
      </c>
      <c r="C659" s="15" t="s">
        <v>26</v>
      </c>
      <c r="D659" s="16">
        <v>46290</v>
      </c>
      <c r="E659" s="17">
        <v>3058</v>
      </c>
      <c r="F659" s="14">
        <f>ROUNDDOWN(Leche[[#This Row],[N° LATAS]]/48,0)</f>
        <v>63</v>
      </c>
      <c r="G659" s="14">
        <f>Leche[[#This Row],[N° LATAS]]-Leche[[#This Row],[TOTAL CAJAS]]*48</f>
        <v>34</v>
      </c>
      <c r="H659" s="28"/>
      <c r="I659" s="29"/>
    </row>
    <row r="660" spans="1:9" hidden="1" x14ac:dyDescent="0.25">
      <c r="A660" s="14" t="s">
        <v>14</v>
      </c>
      <c r="B660" s="14" t="s">
        <v>396</v>
      </c>
      <c r="C660" s="15" t="s">
        <v>27</v>
      </c>
      <c r="D660" s="16">
        <v>46321</v>
      </c>
      <c r="E660" s="17">
        <v>2960</v>
      </c>
      <c r="F660" s="14">
        <f>ROUNDDOWN(Leche[[#This Row],[N° LATAS]]/48,0)</f>
        <v>61</v>
      </c>
      <c r="G660" s="14">
        <f>Leche[[#This Row],[N° LATAS]]-Leche[[#This Row],[TOTAL CAJAS]]*48</f>
        <v>32</v>
      </c>
      <c r="H660" s="28"/>
      <c r="I660" s="29"/>
    </row>
    <row r="661" spans="1:9" hidden="1" x14ac:dyDescent="0.25">
      <c r="A661" s="14" t="s">
        <v>14</v>
      </c>
      <c r="B661" s="14" t="s">
        <v>396</v>
      </c>
      <c r="C661" s="15" t="s">
        <v>28</v>
      </c>
      <c r="D661" s="16">
        <v>46350</v>
      </c>
      <c r="E661" s="17">
        <v>3058</v>
      </c>
      <c r="F661" s="14">
        <f>ROUNDDOWN(Leche[[#This Row],[N° LATAS]]/48,0)</f>
        <v>63</v>
      </c>
      <c r="G661" s="14">
        <f>Leche[[#This Row],[N° LATAS]]-Leche[[#This Row],[TOTAL CAJAS]]*48</f>
        <v>34</v>
      </c>
      <c r="H661" s="28"/>
      <c r="I661" s="29"/>
    </row>
    <row r="662" spans="1:9" hidden="1" x14ac:dyDescent="0.25">
      <c r="A662" s="14" t="s">
        <v>14</v>
      </c>
      <c r="B662" s="14" t="s">
        <v>396</v>
      </c>
      <c r="C662" s="88">
        <v>46388</v>
      </c>
      <c r="D662" s="16">
        <v>46379</v>
      </c>
      <c r="E662" s="17">
        <v>3058</v>
      </c>
      <c r="F662" s="14">
        <f>ROUNDDOWN(Leche[[#This Row],[N° LATAS]]/48,0)</f>
        <v>63</v>
      </c>
      <c r="G662" s="14">
        <f>Leche[[#This Row],[N° LATAS]]-Leche[[#This Row],[TOTAL CAJAS]]*48</f>
        <v>34</v>
      </c>
      <c r="H662" s="28"/>
      <c r="I662" s="29"/>
    </row>
    <row r="663" spans="1:9" hidden="1" x14ac:dyDescent="0.25">
      <c r="A663" s="14" t="s">
        <v>14</v>
      </c>
      <c r="B663" s="14" t="s">
        <v>432</v>
      </c>
      <c r="C663" s="15" t="s">
        <v>30</v>
      </c>
      <c r="D663" s="16">
        <v>46052</v>
      </c>
      <c r="E663" s="17">
        <v>6400</v>
      </c>
      <c r="F663" s="14">
        <f>ROUNDDOWN(Leche[[#This Row],[N° LATAS]]/48,0)</f>
        <v>133</v>
      </c>
      <c r="G663" s="14">
        <f>Leche[[#This Row],[N° LATAS]]-Leche[[#This Row],[TOTAL CAJAS]]*48</f>
        <v>16</v>
      </c>
      <c r="H663" s="28">
        <v>46048</v>
      </c>
      <c r="I663" s="29" t="s">
        <v>408</v>
      </c>
    </row>
    <row r="664" spans="1:9" hidden="1" x14ac:dyDescent="0.25">
      <c r="A664" s="14" t="s">
        <v>14</v>
      </c>
      <c r="B664" s="14" t="s">
        <v>399</v>
      </c>
      <c r="C664" s="15" t="s">
        <v>35</v>
      </c>
      <c r="D664" s="16">
        <v>46055</v>
      </c>
      <c r="E664" s="17">
        <v>5967</v>
      </c>
      <c r="F664" s="14">
        <f>ROUNDDOWN(Leche[[#This Row],[N° LATAS]]/48,0)</f>
        <v>124</v>
      </c>
      <c r="G664" s="14">
        <f>Leche[[#This Row],[N° LATAS]]-Leche[[#This Row],[TOTAL CAJAS]]*48</f>
        <v>15</v>
      </c>
      <c r="H664" s="28">
        <v>46084</v>
      </c>
      <c r="I664" s="29" t="s">
        <v>408</v>
      </c>
    </row>
    <row r="665" spans="1:9" hidden="1" x14ac:dyDescent="0.25">
      <c r="A665" s="14" t="s">
        <v>14</v>
      </c>
      <c r="B665" s="14" t="s">
        <v>399</v>
      </c>
      <c r="C665" s="15" t="s">
        <v>37</v>
      </c>
      <c r="D665" s="16">
        <v>46152</v>
      </c>
      <c r="E665" s="17">
        <v>5967</v>
      </c>
      <c r="F665" s="14">
        <f>ROUNDDOWN(Leche[[#This Row],[N° LATAS]]/48,0)</f>
        <v>124</v>
      </c>
      <c r="G665" s="14">
        <f>Leche[[#This Row],[N° LATAS]]-Leche[[#This Row],[TOTAL CAJAS]]*48</f>
        <v>15</v>
      </c>
      <c r="H665" s="28">
        <v>46156</v>
      </c>
      <c r="I665" s="29" t="s">
        <v>408</v>
      </c>
    </row>
    <row r="666" spans="1:9" hidden="1" x14ac:dyDescent="0.25">
      <c r="A666" s="14" t="s">
        <v>14</v>
      </c>
      <c r="B666" s="14" t="s">
        <v>399</v>
      </c>
      <c r="C666" s="15" t="s">
        <v>38</v>
      </c>
      <c r="D666" s="16">
        <v>46203</v>
      </c>
      <c r="E666" s="17">
        <v>5967</v>
      </c>
      <c r="F666" s="14">
        <f>ROUNDDOWN(Leche[[#This Row],[N° LATAS]]/48,0)</f>
        <v>124</v>
      </c>
      <c r="G666" s="14">
        <f>Leche[[#This Row],[N° LATAS]]-Leche[[#This Row],[TOTAL CAJAS]]*48</f>
        <v>15</v>
      </c>
      <c r="H666" s="28">
        <v>46245</v>
      </c>
      <c r="I666" s="29" t="s">
        <v>408</v>
      </c>
    </row>
    <row r="667" spans="1:9" hidden="1" x14ac:dyDescent="0.25">
      <c r="A667" s="14" t="s">
        <v>14</v>
      </c>
      <c r="B667" s="14" t="s">
        <v>399</v>
      </c>
      <c r="C667" s="15" t="s">
        <v>30</v>
      </c>
      <c r="D667" s="16">
        <v>46255</v>
      </c>
      <c r="E667" s="17">
        <v>2190</v>
      </c>
      <c r="F667" s="14">
        <f>ROUNDDOWN(Leche[[#This Row],[N° LATAS]]/48,0)</f>
        <v>45</v>
      </c>
      <c r="G667" s="14">
        <f>Leche[[#This Row],[N° LATAS]]-Leche[[#This Row],[TOTAL CAJAS]]*48</f>
        <v>30</v>
      </c>
      <c r="H667" s="28"/>
      <c r="I667" s="29"/>
    </row>
    <row r="668" spans="1:9" ht="22.5" hidden="1" x14ac:dyDescent="0.25">
      <c r="A668" s="14" t="s">
        <v>14</v>
      </c>
      <c r="B668" s="14" t="s">
        <v>399</v>
      </c>
      <c r="C668" s="15" t="s">
        <v>39</v>
      </c>
      <c r="D668" s="16">
        <v>46295</v>
      </c>
      <c r="E668" s="17">
        <v>5967</v>
      </c>
      <c r="F668" s="14">
        <f>ROUNDDOWN(Leche[[#This Row],[N° LATAS]]/48,0)</f>
        <v>124</v>
      </c>
      <c r="G668" s="14">
        <f>Leche[[#This Row],[N° LATAS]]-Leche[[#This Row],[TOTAL CAJAS]]*48</f>
        <v>15</v>
      </c>
      <c r="H668" s="28"/>
      <c r="I668" s="29"/>
    </row>
    <row r="669" spans="1:9" hidden="1" x14ac:dyDescent="0.25">
      <c r="A669" s="14" t="s">
        <v>14</v>
      </c>
      <c r="B669" s="14" t="s">
        <v>403</v>
      </c>
      <c r="C669" s="15" t="s">
        <v>121</v>
      </c>
      <c r="D669" s="16">
        <v>46081</v>
      </c>
      <c r="E669" s="17">
        <v>2824</v>
      </c>
      <c r="F669" s="14">
        <f>ROUNDDOWN(Leche[[#This Row],[N° LATAS]]/48,0)</f>
        <v>58</v>
      </c>
      <c r="G669" s="14">
        <f>Leche[[#This Row],[N° LATAS]]-Leche[[#This Row],[TOTAL CAJAS]]*48</f>
        <v>40</v>
      </c>
      <c r="H669" s="28">
        <v>46079</v>
      </c>
      <c r="I669" s="29" t="s">
        <v>408</v>
      </c>
    </row>
    <row r="670" spans="1:9" hidden="1" x14ac:dyDescent="0.25">
      <c r="A670" s="14" t="s">
        <v>14</v>
      </c>
      <c r="B670" s="14" t="s">
        <v>403</v>
      </c>
      <c r="C670" s="15" t="s">
        <v>19</v>
      </c>
      <c r="D670" s="16">
        <v>46081</v>
      </c>
      <c r="E670" s="17">
        <v>1482</v>
      </c>
      <c r="F670" s="14">
        <f>ROUNDDOWN(Leche[[#This Row],[N° LATAS]]/48,0)</f>
        <v>30</v>
      </c>
      <c r="G670" s="14">
        <f>Leche[[#This Row],[N° LATAS]]-Leche[[#This Row],[TOTAL CAJAS]]*48</f>
        <v>42</v>
      </c>
      <c r="H670" s="28">
        <v>46079</v>
      </c>
      <c r="I670" s="29" t="s">
        <v>408</v>
      </c>
    </row>
    <row r="671" spans="1:9" hidden="1" x14ac:dyDescent="0.25">
      <c r="A671" s="14" t="s">
        <v>14</v>
      </c>
      <c r="B671" s="14" t="s">
        <v>403</v>
      </c>
      <c r="C671" s="15" t="s">
        <v>20</v>
      </c>
      <c r="D671" s="16">
        <v>46101</v>
      </c>
      <c r="E671" s="17">
        <v>1437</v>
      </c>
      <c r="F671" s="14">
        <f>ROUNDDOWN(Leche[[#This Row],[N° LATAS]]/48,0)</f>
        <v>29</v>
      </c>
      <c r="G671" s="14">
        <f>Leche[[#This Row],[N° LATAS]]-Leche[[#This Row],[TOTAL CAJAS]]*48</f>
        <v>45</v>
      </c>
      <c r="H671" s="28">
        <v>46109</v>
      </c>
      <c r="I671" s="29" t="s">
        <v>408</v>
      </c>
    </row>
    <row r="672" spans="1:9" hidden="1" x14ac:dyDescent="0.25">
      <c r="A672" s="14" t="s">
        <v>14</v>
      </c>
      <c r="B672" s="14" t="s">
        <v>403</v>
      </c>
      <c r="C672" s="15" t="s">
        <v>21</v>
      </c>
      <c r="D672" s="16">
        <v>46133</v>
      </c>
      <c r="E672" s="17">
        <v>1482</v>
      </c>
      <c r="F672" s="14">
        <f>ROUNDDOWN(Leche[[#This Row],[N° LATAS]]/48,0)</f>
        <v>30</v>
      </c>
      <c r="G672" s="14">
        <f>Leche[[#This Row],[N° LATAS]]-Leche[[#This Row],[TOTAL CAJAS]]*48</f>
        <v>42</v>
      </c>
      <c r="H672" s="28">
        <v>46147</v>
      </c>
      <c r="I672" s="29" t="s">
        <v>408</v>
      </c>
    </row>
    <row r="673" spans="1:9" hidden="1" x14ac:dyDescent="0.25">
      <c r="A673" s="14" t="s">
        <v>14</v>
      </c>
      <c r="B673" s="14" t="s">
        <v>403</v>
      </c>
      <c r="C673" s="15" t="s">
        <v>22</v>
      </c>
      <c r="D673" s="16">
        <v>46162</v>
      </c>
      <c r="E673" s="17">
        <v>1437</v>
      </c>
      <c r="F673" s="14">
        <f>ROUNDDOWN(Leche[[#This Row],[N° LATAS]]/48,0)</f>
        <v>29</v>
      </c>
      <c r="G673" s="14">
        <f>Leche[[#This Row],[N° LATAS]]-Leche[[#This Row],[TOTAL CAJAS]]*48</f>
        <v>45</v>
      </c>
      <c r="H673" s="28">
        <v>46147</v>
      </c>
      <c r="I673" s="29" t="s">
        <v>408</v>
      </c>
    </row>
    <row r="674" spans="1:9" hidden="1" x14ac:dyDescent="0.25">
      <c r="A674" s="14" t="s">
        <v>14</v>
      </c>
      <c r="B674" s="14" t="s">
        <v>403</v>
      </c>
      <c r="C674" s="15" t="s">
        <v>23</v>
      </c>
      <c r="D674" s="16">
        <v>46195</v>
      </c>
      <c r="E674" s="17">
        <v>1482</v>
      </c>
      <c r="F674" s="14">
        <f>ROUNDDOWN(Leche[[#This Row],[N° LATAS]]/48,0)</f>
        <v>30</v>
      </c>
      <c r="G674" s="14">
        <f>Leche[[#This Row],[N° LATAS]]-Leche[[#This Row],[TOTAL CAJAS]]*48</f>
        <v>42</v>
      </c>
      <c r="H674" s="28">
        <v>46168</v>
      </c>
      <c r="I674" s="29" t="s">
        <v>408</v>
      </c>
    </row>
    <row r="675" spans="1:9" hidden="1" x14ac:dyDescent="0.25">
      <c r="A675" s="14" t="s">
        <v>14</v>
      </c>
      <c r="B675" s="14" t="s">
        <v>403</v>
      </c>
      <c r="C675" s="15" t="s">
        <v>24</v>
      </c>
      <c r="D675" s="16">
        <v>46224</v>
      </c>
      <c r="E675" s="17">
        <v>1484</v>
      </c>
      <c r="F675" s="14">
        <f>ROUNDDOWN(Leche[[#This Row],[N° LATAS]]/48,0)</f>
        <v>30</v>
      </c>
      <c r="G675" s="14">
        <f>Leche[[#This Row],[N° LATAS]]-Leche[[#This Row],[TOTAL CAJAS]]*48</f>
        <v>44</v>
      </c>
      <c r="H675" s="28">
        <v>46222</v>
      </c>
      <c r="I675" s="29" t="s">
        <v>408</v>
      </c>
    </row>
    <row r="676" spans="1:9" hidden="1" x14ac:dyDescent="0.25">
      <c r="A676" s="14" t="s">
        <v>14</v>
      </c>
      <c r="B676" s="14" t="s">
        <v>403</v>
      </c>
      <c r="C676" s="15" t="s">
        <v>25</v>
      </c>
      <c r="D676" s="16">
        <v>46253</v>
      </c>
      <c r="E676" s="17">
        <v>1441</v>
      </c>
      <c r="F676" s="14">
        <f>ROUNDDOWN(Leche[[#This Row],[N° LATAS]]/48,0)</f>
        <v>30</v>
      </c>
      <c r="G676" s="14">
        <f>Leche[[#This Row],[N° LATAS]]-Leche[[#This Row],[TOTAL CAJAS]]*48</f>
        <v>1</v>
      </c>
      <c r="H676" s="28">
        <v>46253</v>
      </c>
      <c r="I676" s="29" t="s">
        <v>408</v>
      </c>
    </row>
    <row r="677" spans="1:9" hidden="1" x14ac:dyDescent="0.25">
      <c r="A677" s="14" t="s">
        <v>14</v>
      </c>
      <c r="B677" s="14" t="s">
        <v>403</v>
      </c>
      <c r="C677" s="15" t="s">
        <v>26</v>
      </c>
      <c r="D677" s="16">
        <v>46286</v>
      </c>
      <c r="E677" s="17">
        <v>1485</v>
      </c>
      <c r="F677" s="14">
        <f>ROUNDDOWN(Leche[[#This Row],[N° LATAS]]/48,0)</f>
        <v>30</v>
      </c>
      <c r="G677" s="14">
        <f>Leche[[#This Row],[N° LATAS]]-Leche[[#This Row],[TOTAL CAJAS]]*48</f>
        <v>45</v>
      </c>
      <c r="H677" s="28">
        <v>46273</v>
      </c>
      <c r="I677" s="29" t="s">
        <v>408</v>
      </c>
    </row>
    <row r="678" spans="1:9" hidden="1" x14ac:dyDescent="0.25">
      <c r="A678" s="14" t="s">
        <v>14</v>
      </c>
      <c r="B678" s="14" t="s">
        <v>403</v>
      </c>
      <c r="C678" s="15" t="s">
        <v>30</v>
      </c>
      <c r="D678" s="16">
        <v>46281</v>
      </c>
      <c r="E678" s="17">
        <v>1148</v>
      </c>
      <c r="F678" s="14">
        <f>ROUNDDOWN(Leche[[#This Row],[N° LATAS]]/48,0)</f>
        <v>23</v>
      </c>
      <c r="G678" s="14">
        <f>Leche[[#This Row],[N° LATAS]]-Leche[[#This Row],[TOTAL CAJAS]]*48</f>
        <v>44</v>
      </c>
      <c r="H678" s="28">
        <v>46276</v>
      </c>
      <c r="I678" s="29" t="s">
        <v>408</v>
      </c>
    </row>
    <row r="679" spans="1:9" hidden="1" x14ac:dyDescent="0.25">
      <c r="A679" s="14" t="s">
        <v>14</v>
      </c>
      <c r="B679" s="14" t="s">
        <v>403</v>
      </c>
      <c r="C679" s="15" t="s">
        <v>27</v>
      </c>
      <c r="D679" s="16">
        <v>46315</v>
      </c>
      <c r="E679" s="17">
        <v>1441</v>
      </c>
      <c r="F679" s="14">
        <f>ROUNDDOWN(Leche[[#This Row],[N° LATAS]]/48,0)</f>
        <v>30</v>
      </c>
      <c r="G679" s="14">
        <f>Leche[[#This Row],[N° LATAS]]-Leche[[#This Row],[TOTAL CAJAS]]*48</f>
        <v>1</v>
      </c>
      <c r="H679" s="28"/>
      <c r="I679" s="29"/>
    </row>
    <row r="680" spans="1:9" hidden="1" x14ac:dyDescent="0.25">
      <c r="A680" s="14" t="s">
        <v>14</v>
      </c>
      <c r="B680" s="14" t="s">
        <v>403</v>
      </c>
      <c r="C680" s="15" t="s">
        <v>28</v>
      </c>
      <c r="D680" s="16">
        <v>46346</v>
      </c>
      <c r="E680" s="17">
        <v>1485</v>
      </c>
      <c r="F680" s="14">
        <f>ROUNDDOWN(Leche[[#This Row],[N° LATAS]]/48,0)</f>
        <v>30</v>
      </c>
      <c r="G680" s="14">
        <f>Leche[[#This Row],[N° LATAS]]-Leche[[#This Row],[TOTAL CAJAS]]*48</f>
        <v>45</v>
      </c>
      <c r="H680" s="28"/>
      <c r="I680" s="29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F318-D025-4498-976B-D1A7AA9B112B}">
  <sheetPr filterMode="1"/>
  <dimension ref="A1:X1219"/>
  <sheetViews>
    <sheetView workbookViewId="0">
      <pane ySplit="1" topLeftCell="A2" activePane="bottomLeft" state="frozen"/>
      <selection activeCell="D1" sqref="D1"/>
      <selection pane="bottomLeft" activeCell="F1222" sqref="F1222"/>
    </sheetView>
  </sheetViews>
  <sheetFormatPr baseColWidth="10" defaultColWidth="10.7109375" defaultRowHeight="15" x14ac:dyDescent="0.25"/>
  <cols>
    <col min="1" max="1" width="11.42578125" style="80"/>
    <col min="2" max="2" width="13.7109375" style="80" bestFit="1" customWidth="1"/>
    <col min="3" max="3" width="11.42578125" style="80"/>
    <col min="4" max="4" width="11.42578125" style="81"/>
    <col min="5" max="5" width="11.42578125" style="79"/>
    <col min="6" max="6" width="11.42578125" style="80"/>
    <col min="7" max="23" width="11.42578125" style="79"/>
    <col min="24" max="24" width="10.7109375" style="90"/>
  </cols>
  <sheetData>
    <row r="1" spans="1:24" s="75" customFormat="1" ht="12.75" x14ac:dyDescent="0.2">
      <c r="A1" s="76" t="s">
        <v>433</v>
      </c>
      <c r="B1" s="76" t="s">
        <v>434</v>
      </c>
      <c r="C1" s="76" t="s">
        <v>435</v>
      </c>
      <c r="D1" s="77" t="s">
        <v>436</v>
      </c>
      <c r="E1" s="78" t="s">
        <v>437</v>
      </c>
      <c r="F1" s="76" t="s">
        <v>438</v>
      </c>
      <c r="G1" s="78" t="str" cm="1">
        <f t="array" ref="G1:X1">TRANSPOSE(_xlfn.ANCHORARRAY(Almacen!B9))</f>
        <v>Trigo</v>
      </c>
      <c r="H1" s="78" t="str">
        <v>Avena</v>
      </c>
      <c r="I1" s="78" t="str">
        <v>Quinua</v>
      </c>
      <c r="J1" s="78" t="str">
        <v>Soya</v>
      </c>
      <c r="K1" s="78" t="str">
        <v>Maiz pollo</v>
      </c>
      <c r="L1" s="78" t="str">
        <v>Maiz Chufla</v>
      </c>
      <c r="M1" s="78" t="str">
        <v>Maca</v>
      </c>
      <c r="N1" s="78" t="str">
        <v>Leche en Polvo</v>
      </c>
      <c r="O1" s="78" t="str">
        <v>Azucar</v>
      </c>
      <c r="P1" s="78" t="str">
        <v>Quinua Qaliwarma</v>
      </c>
      <c r="Q1" s="78" t="str">
        <v>Kiwicha</v>
      </c>
      <c r="R1" s="78" t="str">
        <v>Cocoa</v>
      </c>
      <c r="S1" s="78" t="str">
        <v>Sorbato</v>
      </c>
      <c r="T1" s="78" t="str">
        <v>S. Canela</v>
      </c>
      <c r="U1" s="78" t="str">
        <v>S. Leche</v>
      </c>
      <c r="V1" s="78" t="str">
        <v>S. Platano</v>
      </c>
      <c r="W1" s="78" t="str">
        <v>S. Vainilla</v>
      </c>
      <c r="X1" s="89" t="str">
        <v>S. Lucuma</v>
      </c>
    </row>
    <row r="2" spans="1:24" s="75" customFormat="1" ht="12.75" hidden="1" x14ac:dyDescent="0.2">
      <c r="A2" s="80" t="str" cm="1">
        <f t="array" ref="A2:D1219">Cereal[[EMPRESA]:[FECHA]]</f>
        <v>PENDIENTE</v>
      </c>
      <c r="B2" s="80" t="str">
        <v>Agua Blanca</v>
      </c>
      <c r="C2" s="80" t="str">
        <v>Enero</v>
      </c>
      <c r="D2" s="81">
        <v>46081</v>
      </c>
      <c r="E2" s="79" cm="1">
        <f t="array" ref="E2:E1219">Cereal[TOTAL (KG)]</f>
        <v>816.59519999999998</v>
      </c>
      <c r="F2" s="81" cm="1">
        <f t="array" ref="F2:F1219">Cereal[PRODUCCIÓN]</f>
        <v>46075</v>
      </c>
      <c r="G2" s="79" cm="1">
        <f t="array" ref="G2:X2">_xlfn._xlws.FILTER(Formulas!$C$2:$T$201, ISNUMBER(MATCH(Formulas!$B$2:$B$201, B2, 0)),0) * E2</f>
        <v>163.31904</v>
      </c>
      <c r="H2" s="79">
        <v>555.28473600000007</v>
      </c>
      <c r="I2" s="79">
        <v>32.663808000000003</v>
      </c>
      <c r="J2" s="79">
        <v>32.663808000000003</v>
      </c>
      <c r="K2" s="79">
        <v>0</v>
      </c>
      <c r="L2" s="79">
        <v>0</v>
      </c>
      <c r="M2" s="79">
        <v>32.663808000000003</v>
      </c>
      <c r="N2" s="79">
        <v>0</v>
      </c>
      <c r="O2" s="79">
        <v>0</v>
      </c>
      <c r="P2" s="79">
        <v>0</v>
      </c>
      <c r="Q2" s="79">
        <v>0</v>
      </c>
      <c r="R2" s="79">
        <v>0</v>
      </c>
      <c r="S2" s="79">
        <v>0</v>
      </c>
      <c r="T2" s="79">
        <v>0</v>
      </c>
      <c r="U2" s="79">
        <v>0</v>
      </c>
      <c r="V2" s="79">
        <v>0</v>
      </c>
      <c r="W2" s="79">
        <v>0</v>
      </c>
      <c r="X2" s="90">
        <v>0</v>
      </c>
    </row>
    <row r="3" spans="1:24" s="75" customFormat="1" ht="12.75" hidden="1" x14ac:dyDescent="0.2">
      <c r="A3" s="80" t="str">
        <v>PENDIENTE</v>
      </c>
      <c r="B3" s="80" t="str">
        <v>Agua Blanca</v>
      </c>
      <c r="C3" s="80" t="str">
        <v>Febrero</v>
      </c>
      <c r="D3" s="81">
        <v>46081</v>
      </c>
      <c r="E3" s="79">
        <v>816.59519999999998</v>
      </c>
      <c r="F3" s="81">
        <v>46075</v>
      </c>
      <c r="G3" s="79" cm="1">
        <f t="array" ref="G3:X3">_xlfn._xlws.FILTER(Formulas!$C$2:$T$201, ISNUMBER(MATCH(Formulas!$B$2:$B$201, B3, 0)),0) * E3</f>
        <v>163.31904</v>
      </c>
      <c r="H3" s="79">
        <v>555.28473600000007</v>
      </c>
      <c r="I3" s="79">
        <v>32.663808000000003</v>
      </c>
      <c r="J3" s="79">
        <v>32.663808000000003</v>
      </c>
      <c r="K3" s="79">
        <v>0</v>
      </c>
      <c r="L3" s="79">
        <v>0</v>
      </c>
      <c r="M3" s="79">
        <v>32.663808000000003</v>
      </c>
      <c r="N3" s="79">
        <v>0</v>
      </c>
      <c r="O3" s="79">
        <v>0</v>
      </c>
      <c r="P3" s="79">
        <v>0</v>
      </c>
      <c r="Q3" s="79">
        <v>0</v>
      </c>
      <c r="R3" s="79">
        <v>0</v>
      </c>
      <c r="S3" s="79">
        <v>0</v>
      </c>
      <c r="T3" s="79">
        <v>0</v>
      </c>
      <c r="U3" s="79">
        <v>0</v>
      </c>
      <c r="V3" s="79">
        <v>0</v>
      </c>
      <c r="W3" s="79">
        <v>0</v>
      </c>
      <c r="X3" s="90">
        <v>0</v>
      </c>
    </row>
    <row r="4" spans="1:24" hidden="1" x14ac:dyDescent="0.25">
      <c r="A4" s="80" t="str">
        <v>PENDIENTE</v>
      </c>
      <c r="B4" s="80" t="str">
        <v>Agua Blanca</v>
      </c>
      <c r="C4" s="80" t="str">
        <v>Marzo</v>
      </c>
      <c r="D4" s="81">
        <v>46081</v>
      </c>
      <c r="E4" s="79">
        <v>816.59519999999998</v>
      </c>
      <c r="F4" s="81">
        <v>46075</v>
      </c>
      <c r="G4" s="79" cm="1">
        <f t="array" ref="G4:X4">_xlfn._xlws.FILTER(Formulas!$C$2:$T$201, ISNUMBER(MATCH(Formulas!$B$2:$B$201, B4, 0)),0) * E4</f>
        <v>163.31904</v>
      </c>
      <c r="H4" s="79">
        <v>555.28473600000007</v>
      </c>
      <c r="I4" s="79">
        <v>32.663808000000003</v>
      </c>
      <c r="J4" s="79">
        <v>32.663808000000003</v>
      </c>
      <c r="K4" s="79">
        <v>0</v>
      </c>
      <c r="L4" s="79">
        <v>0</v>
      </c>
      <c r="M4" s="79">
        <v>32.663808000000003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  <c r="V4" s="79">
        <v>0</v>
      </c>
      <c r="W4" s="79">
        <v>0</v>
      </c>
      <c r="X4" s="90">
        <v>0</v>
      </c>
    </row>
    <row r="5" spans="1:24" hidden="1" x14ac:dyDescent="0.25">
      <c r="A5" s="80" t="str">
        <v>PENDIENTE</v>
      </c>
      <c r="B5" s="80" t="str">
        <v>Agua Blanca</v>
      </c>
      <c r="C5" s="80" t="str">
        <v>Abril</v>
      </c>
      <c r="D5" s="81">
        <v>46081</v>
      </c>
      <c r="E5" s="79">
        <v>816.59519999999998</v>
      </c>
      <c r="F5" s="81">
        <v>46075</v>
      </c>
      <c r="G5" s="79" cm="1">
        <f t="array" ref="G5:X5">_xlfn._xlws.FILTER(Formulas!$C$2:$T$201, ISNUMBER(MATCH(Formulas!$B$2:$B$201, B5, 0)),0) * E5</f>
        <v>163.31904</v>
      </c>
      <c r="H5" s="79">
        <v>555.28473600000007</v>
      </c>
      <c r="I5" s="79">
        <v>32.663808000000003</v>
      </c>
      <c r="J5" s="79">
        <v>32.663808000000003</v>
      </c>
      <c r="K5" s="79">
        <v>0</v>
      </c>
      <c r="L5" s="79">
        <v>0</v>
      </c>
      <c r="M5" s="79">
        <v>32.663808000000003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79">
        <v>0</v>
      </c>
      <c r="T5" s="79">
        <v>0</v>
      </c>
      <c r="U5" s="79">
        <v>0</v>
      </c>
      <c r="V5" s="79">
        <v>0</v>
      </c>
      <c r="W5" s="79">
        <v>0</v>
      </c>
      <c r="X5" s="90">
        <v>0</v>
      </c>
    </row>
    <row r="6" spans="1:24" hidden="1" x14ac:dyDescent="0.25">
      <c r="A6" s="80" t="str">
        <v>PENDIENTE</v>
      </c>
      <c r="B6" s="80" t="str">
        <v>Agua Blanca</v>
      </c>
      <c r="C6" s="80" t="str">
        <v>Mayo</v>
      </c>
      <c r="D6" s="81">
        <v>46140</v>
      </c>
      <c r="E6" s="79">
        <v>816.59519999999998</v>
      </c>
      <c r="F6" s="81">
        <v>46147</v>
      </c>
      <c r="G6" s="79" cm="1">
        <f t="array" ref="G6:X6">_xlfn._xlws.FILTER(Formulas!$C$2:$T$201, ISNUMBER(MATCH(Formulas!$B$2:$B$201, B6, 0)),0) * E6</f>
        <v>163.31904</v>
      </c>
      <c r="H6" s="79">
        <v>555.28473600000007</v>
      </c>
      <c r="I6" s="79">
        <v>32.663808000000003</v>
      </c>
      <c r="J6" s="79">
        <v>32.663808000000003</v>
      </c>
      <c r="K6" s="79">
        <v>0</v>
      </c>
      <c r="L6" s="79">
        <v>0</v>
      </c>
      <c r="M6" s="79">
        <v>32.663808000000003</v>
      </c>
      <c r="N6" s="79">
        <v>0</v>
      </c>
      <c r="O6" s="79">
        <v>0</v>
      </c>
      <c r="P6" s="79">
        <v>0</v>
      </c>
      <c r="Q6" s="79">
        <v>0</v>
      </c>
      <c r="R6" s="79">
        <v>0</v>
      </c>
      <c r="S6" s="79">
        <v>0</v>
      </c>
      <c r="T6" s="79">
        <v>0</v>
      </c>
      <c r="U6" s="79">
        <v>0</v>
      </c>
      <c r="V6" s="79">
        <v>0</v>
      </c>
      <c r="W6" s="79">
        <v>0</v>
      </c>
      <c r="X6" s="90">
        <v>0</v>
      </c>
    </row>
    <row r="7" spans="1:24" hidden="1" x14ac:dyDescent="0.25">
      <c r="A7" s="80" t="str">
        <v>PENDIENTE</v>
      </c>
      <c r="B7" s="80" t="str">
        <v>Agua Blanca</v>
      </c>
      <c r="C7" s="80" t="str">
        <v>Junio</v>
      </c>
      <c r="D7" s="81">
        <v>46140</v>
      </c>
      <c r="E7" s="79">
        <v>816.59519999999998</v>
      </c>
      <c r="F7" s="81">
        <v>46147</v>
      </c>
      <c r="G7" s="79" cm="1">
        <f t="array" ref="G7:X7">_xlfn._xlws.FILTER(Formulas!$C$2:$T$201, ISNUMBER(MATCH(Formulas!$B$2:$B$201, B7, 0)),0) * E7</f>
        <v>163.31904</v>
      </c>
      <c r="H7" s="79">
        <v>555.28473600000007</v>
      </c>
      <c r="I7" s="79">
        <v>32.663808000000003</v>
      </c>
      <c r="J7" s="79">
        <v>32.663808000000003</v>
      </c>
      <c r="K7" s="79">
        <v>0</v>
      </c>
      <c r="L7" s="79">
        <v>0</v>
      </c>
      <c r="M7" s="79">
        <v>32.663808000000003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79">
        <v>0</v>
      </c>
      <c r="T7" s="79">
        <v>0</v>
      </c>
      <c r="U7" s="79">
        <v>0</v>
      </c>
      <c r="V7" s="79">
        <v>0</v>
      </c>
      <c r="W7" s="79">
        <v>0</v>
      </c>
      <c r="X7" s="90">
        <v>0</v>
      </c>
    </row>
    <row r="8" spans="1:24" hidden="1" x14ac:dyDescent="0.25">
      <c r="A8" s="80" t="str">
        <v>PENDIENTE</v>
      </c>
      <c r="B8" s="80" t="str">
        <v>Agua Blanca</v>
      </c>
      <c r="C8" s="80" t="str">
        <v>Julio</v>
      </c>
      <c r="D8" s="81">
        <v>46199</v>
      </c>
      <c r="E8" s="79">
        <v>816.59519999999998</v>
      </c>
      <c r="F8" s="81">
        <v>46202</v>
      </c>
      <c r="G8" s="79" cm="1">
        <f t="array" ref="G8:X8">_xlfn._xlws.FILTER(Formulas!$C$2:$T$201, ISNUMBER(MATCH(Formulas!$B$2:$B$201, B8, 0)),0) * E8</f>
        <v>163.31904</v>
      </c>
      <c r="H8" s="79">
        <v>555.28473600000007</v>
      </c>
      <c r="I8" s="79">
        <v>32.663808000000003</v>
      </c>
      <c r="J8" s="79">
        <v>32.663808000000003</v>
      </c>
      <c r="K8" s="79">
        <v>0</v>
      </c>
      <c r="L8" s="79">
        <v>0</v>
      </c>
      <c r="M8" s="79">
        <v>32.663808000000003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90">
        <v>0</v>
      </c>
    </row>
    <row r="9" spans="1:24" hidden="1" x14ac:dyDescent="0.25">
      <c r="A9" s="80" t="str">
        <v>PENDIENTE</v>
      </c>
      <c r="B9" s="80" t="str">
        <v>Agua Blanca</v>
      </c>
      <c r="C9" s="80" t="str">
        <v>Agosto</v>
      </c>
      <c r="D9" s="81">
        <v>46199</v>
      </c>
      <c r="E9" s="79">
        <v>816.59519999999998</v>
      </c>
      <c r="F9" s="81">
        <v>46202</v>
      </c>
      <c r="G9" s="79" cm="1">
        <f t="array" ref="G9:X9">_xlfn._xlws.FILTER(Formulas!$C$2:$T$201, ISNUMBER(MATCH(Formulas!$B$2:$B$201, B9, 0)),0) * E9</f>
        <v>163.31904</v>
      </c>
      <c r="H9" s="79">
        <v>555.28473600000007</v>
      </c>
      <c r="I9" s="79">
        <v>32.663808000000003</v>
      </c>
      <c r="J9" s="79">
        <v>32.663808000000003</v>
      </c>
      <c r="K9" s="79">
        <v>0</v>
      </c>
      <c r="L9" s="79">
        <v>0</v>
      </c>
      <c r="M9" s="79">
        <v>32.663808000000003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0</v>
      </c>
      <c r="X9" s="90">
        <v>0</v>
      </c>
    </row>
    <row r="10" spans="1:24" hidden="1" x14ac:dyDescent="0.25">
      <c r="A10" s="80" t="str">
        <v>PENDIENTE</v>
      </c>
      <c r="B10" s="80" t="str">
        <v>Agua Blanca</v>
      </c>
      <c r="C10" s="80" t="str">
        <v>Setiembre</v>
      </c>
      <c r="D10" s="81">
        <v>46262</v>
      </c>
      <c r="E10" s="79">
        <v>816.59519999999998</v>
      </c>
      <c r="F10" s="81">
        <v>46263</v>
      </c>
      <c r="G10" s="79" cm="1">
        <f t="array" ref="G10:X10">_xlfn._xlws.FILTER(Formulas!$C$2:$T$201, ISNUMBER(MATCH(Formulas!$B$2:$B$201, B10, 0)),0) * E10</f>
        <v>163.31904</v>
      </c>
      <c r="H10" s="79">
        <v>555.28473600000007</v>
      </c>
      <c r="I10" s="79">
        <v>32.663808000000003</v>
      </c>
      <c r="J10" s="79">
        <v>32.663808000000003</v>
      </c>
      <c r="K10" s="79">
        <v>0</v>
      </c>
      <c r="L10" s="79">
        <v>0</v>
      </c>
      <c r="M10" s="79">
        <v>32.663808000000003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0</v>
      </c>
      <c r="X10" s="90">
        <v>0</v>
      </c>
    </row>
    <row r="11" spans="1:24" hidden="1" x14ac:dyDescent="0.25">
      <c r="A11" s="80" t="str">
        <v>PENDIENTE</v>
      </c>
      <c r="B11" s="80" t="str">
        <v>Agua Blanca</v>
      </c>
      <c r="C11" s="80" t="str">
        <v>Octubre</v>
      </c>
      <c r="D11" s="81">
        <v>46262</v>
      </c>
      <c r="E11" s="79">
        <v>816.59519999999998</v>
      </c>
      <c r="F11" s="81">
        <v>46263</v>
      </c>
      <c r="G11" s="79" cm="1">
        <f t="array" ref="G11:X11">_xlfn._xlws.FILTER(Formulas!$C$2:$T$201, ISNUMBER(MATCH(Formulas!$B$2:$B$201, B11, 0)),0) * E11</f>
        <v>163.31904</v>
      </c>
      <c r="H11" s="79">
        <v>555.28473600000007</v>
      </c>
      <c r="I11" s="79">
        <v>32.663808000000003</v>
      </c>
      <c r="J11" s="79">
        <v>32.663808000000003</v>
      </c>
      <c r="K11" s="79">
        <v>0</v>
      </c>
      <c r="L11" s="79">
        <v>0</v>
      </c>
      <c r="M11" s="79">
        <v>32.663808000000003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0</v>
      </c>
      <c r="W11" s="79">
        <v>0</v>
      </c>
      <c r="X11" s="90">
        <v>0</v>
      </c>
    </row>
    <row r="12" spans="1:24" hidden="1" x14ac:dyDescent="0.25">
      <c r="A12" s="80" t="str">
        <v>PENDIENTE</v>
      </c>
      <c r="B12" s="80" t="str">
        <v>Agua Blanca</v>
      </c>
      <c r="C12" s="80" t="str">
        <v>Noviembre</v>
      </c>
      <c r="D12" s="81">
        <v>46322</v>
      </c>
      <c r="E12" s="79">
        <v>816.59519999999998</v>
      </c>
      <c r="F12" s="80">
        <v>0</v>
      </c>
      <c r="G12" s="79" cm="1">
        <f t="array" ref="G12:X12">_xlfn._xlws.FILTER(Formulas!$C$2:$T$201, ISNUMBER(MATCH(Formulas!$B$2:$B$201, B12, 0)),0) * E12</f>
        <v>163.31904</v>
      </c>
      <c r="H12" s="79">
        <v>555.28473600000007</v>
      </c>
      <c r="I12" s="79">
        <v>32.663808000000003</v>
      </c>
      <c r="J12" s="79">
        <v>32.663808000000003</v>
      </c>
      <c r="K12" s="79">
        <v>0</v>
      </c>
      <c r="L12" s="79">
        <v>0</v>
      </c>
      <c r="M12" s="79">
        <v>32.663808000000003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90">
        <v>0</v>
      </c>
    </row>
    <row r="13" spans="1:24" hidden="1" x14ac:dyDescent="0.25">
      <c r="A13" s="80" t="str">
        <v>PENDIENTE</v>
      </c>
      <c r="B13" s="80" t="str">
        <v>Agua Blanca</v>
      </c>
      <c r="C13" s="80" t="str">
        <v>Diciembre</v>
      </c>
      <c r="D13" s="81">
        <v>46322</v>
      </c>
      <c r="E13" s="79">
        <v>816.59519999999998</v>
      </c>
      <c r="F13" s="80">
        <v>0</v>
      </c>
      <c r="G13" s="79" cm="1">
        <f t="array" ref="G13:X13">_xlfn._xlws.FILTER(Formulas!$C$2:$T$201, ISNUMBER(MATCH(Formulas!$B$2:$B$201, B13, 0)),0) * E13</f>
        <v>163.31904</v>
      </c>
      <c r="H13" s="79">
        <v>555.28473600000007</v>
      </c>
      <c r="I13" s="79">
        <v>32.663808000000003</v>
      </c>
      <c r="J13" s="79">
        <v>32.663808000000003</v>
      </c>
      <c r="K13" s="79">
        <v>0</v>
      </c>
      <c r="L13" s="79">
        <v>0</v>
      </c>
      <c r="M13" s="79">
        <v>32.663808000000003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0</v>
      </c>
      <c r="X13" s="90">
        <v>0</v>
      </c>
    </row>
    <row r="14" spans="1:24" hidden="1" x14ac:dyDescent="0.25">
      <c r="A14" s="80" t="str">
        <v>PENDIENTE</v>
      </c>
      <c r="B14" s="80" t="str">
        <v>Alto Biavo</v>
      </c>
      <c r="C14" s="80" t="str">
        <v>O.C.</v>
      </c>
      <c r="D14" s="81">
        <v>46052</v>
      </c>
      <c r="E14" s="79">
        <v>1041</v>
      </c>
      <c r="F14" s="81">
        <v>46051</v>
      </c>
      <c r="G14" s="79" cm="1">
        <f t="array" ref="G14:X14">_xlfn._xlws.FILTER(Formulas!$C$2:$T$201, ISNUMBER(MATCH(Formulas!$B$2:$B$201, B14, 0)),0) * E14</f>
        <v>208.20000000000002</v>
      </c>
      <c r="H14" s="79">
        <v>333.12</v>
      </c>
      <c r="I14" s="79">
        <v>41.64</v>
      </c>
      <c r="J14" s="79">
        <v>0</v>
      </c>
      <c r="K14" s="79">
        <v>0</v>
      </c>
      <c r="L14" s="79">
        <v>0</v>
      </c>
      <c r="M14" s="79">
        <v>52.050000000000004</v>
      </c>
      <c r="N14" s="79">
        <v>0</v>
      </c>
      <c r="O14" s="79">
        <v>405.99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90">
        <v>0</v>
      </c>
    </row>
    <row r="15" spans="1:24" hidden="1" x14ac:dyDescent="0.25">
      <c r="A15" s="80" t="str">
        <v>PENDIENTE</v>
      </c>
      <c r="B15" s="80" t="str">
        <v>Alto Biavo</v>
      </c>
      <c r="C15" s="80" t="str">
        <v>Marzo</v>
      </c>
      <c r="D15" s="81">
        <v>46112</v>
      </c>
      <c r="E15" s="79">
        <v>547</v>
      </c>
      <c r="F15" s="81">
        <v>46109</v>
      </c>
      <c r="G15" s="79" cm="1">
        <f t="array" ref="G15:X15">_xlfn._xlws.FILTER(Formulas!$C$2:$T$201, ISNUMBER(MATCH(Formulas!$B$2:$B$201, B15, 0)),0) * E15</f>
        <v>109.4</v>
      </c>
      <c r="H15" s="79">
        <v>175.04</v>
      </c>
      <c r="I15" s="79">
        <v>21.88</v>
      </c>
      <c r="J15" s="79">
        <v>0</v>
      </c>
      <c r="K15" s="79">
        <v>0</v>
      </c>
      <c r="L15" s="79">
        <v>0</v>
      </c>
      <c r="M15" s="79">
        <v>27.35</v>
      </c>
      <c r="N15" s="79">
        <v>0</v>
      </c>
      <c r="O15" s="79">
        <v>213.33</v>
      </c>
      <c r="P15" s="79">
        <v>0</v>
      </c>
      <c r="Q15" s="79">
        <v>0</v>
      </c>
      <c r="R15" s="79"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90">
        <v>0</v>
      </c>
    </row>
    <row r="16" spans="1:24" hidden="1" x14ac:dyDescent="0.25">
      <c r="A16" s="80" t="str">
        <v>PENDIENTE</v>
      </c>
      <c r="B16" s="80" t="str">
        <v>Alto Biavo</v>
      </c>
      <c r="C16" s="80" t="str">
        <v>Abril</v>
      </c>
      <c r="D16" s="81">
        <v>46112</v>
      </c>
      <c r="E16" s="79">
        <v>528</v>
      </c>
      <c r="F16" s="81">
        <v>46109</v>
      </c>
      <c r="G16" s="79" cm="1">
        <f t="array" ref="G16:X16">_xlfn._xlws.FILTER(Formulas!$C$2:$T$201, ISNUMBER(MATCH(Formulas!$B$2:$B$201, B16, 0)),0) * E16</f>
        <v>105.60000000000001</v>
      </c>
      <c r="H16" s="79">
        <v>168.96</v>
      </c>
      <c r="I16" s="79">
        <v>21.12</v>
      </c>
      <c r="J16" s="79">
        <v>0</v>
      </c>
      <c r="K16" s="79">
        <v>0</v>
      </c>
      <c r="L16" s="79">
        <v>0</v>
      </c>
      <c r="M16" s="79">
        <v>26.400000000000002</v>
      </c>
      <c r="N16" s="79">
        <v>0</v>
      </c>
      <c r="O16" s="79">
        <v>205.92000000000002</v>
      </c>
      <c r="P16" s="79">
        <v>0</v>
      </c>
      <c r="Q16" s="79">
        <v>0</v>
      </c>
      <c r="R16" s="79"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90">
        <v>0</v>
      </c>
    </row>
    <row r="17" spans="1:24" hidden="1" x14ac:dyDescent="0.25">
      <c r="A17" s="80" t="str">
        <v>PENDIENTE</v>
      </c>
      <c r="B17" s="80" t="str">
        <v>Alto Biavo</v>
      </c>
      <c r="C17" s="80" t="str">
        <v>Mayo</v>
      </c>
      <c r="D17" s="81">
        <v>46127</v>
      </c>
      <c r="E17" s="79">
        <v>547</v>
      </c>
      <c r="F17" s="81">
        <v>46136</v>
      </c>
      <c r="G17" s="79" cm="1">
        <f t="array" ref="G17:X17">_xlfn._xlws.FILTER(Formulas!$C$2:$T$201, ISNUMBER(MATCH(Formulas!$B$2:$B$201, B17, 0)),0) * E17</f>
        <v>109.4</v>
      </c>
      <c r="H17" s="79">
        <v>175.04</v>
      </c>
      <c r="I17" s="79">
        <v>21.88</v>
      </c>
      <c r="J17" s="79">
        <v>0</v>
      </c>
      <c r="K17" s="79">
        <v>0</v>
      </c>
      <c r="L17" s="79">
        <v>0</v>
      </c>
      <c r="M17" s="79">
        <v>27.35</v>
      </c>
      <c r="N17" s="79">
        <v>0</v>
      </c>
      <c r="O17" s="79">
        <v>213.33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90">
        <v>0</v>
      </c>
    </row>
    <row r="18" spans="1:24" hidden="1" x14ac:dyDescent="0.25">
      <c r="A18" s="80" t="str">
        <v>PENDIENTE</v>
      </c>
      <c r="B18" s="80" t="str">
        <v>Alto Biavo</v>
      </c>
      <c r="C18" s="80" t="str">
        <v>Junio</v>
      </c>
      <c r="D18" s="81">
        <v>46127</v>
      </c>
      <c r="E18" s="79">
        <v>528</v>
      </c>
      <c r="F18" s="81">
        <v>46136</v>
      </c>
      <c r="G18" s="79" cm="1">
        <f t="array" ref="G18:X18">_xlfn._xlws.FILTER(Formulas!$C$2:$T$201, ISNUMBER(MATCH(Formulas!$B$2:$B$201, B18, 0)),0) * E18</f>
        <v>105.60000000000001</v>
      </c>
      <c r="H18" s="79">
        <v>168.96</v>
      </c>
      <c r="I18" s="79">
        <v>21.12</v>
      </c>
      <c r="J18" s="79">
        <v>0</v>
      </c>
      <c r="K18" s="79">
        <v>0</v>
      </c>
      <c r="L18" s="79">
        <v>0</v>
      </c>
      <c r="M18" s="79">
        <v>26.400000000000002</v>
      </c>
      <c r="N18" s="79">
        <v>0</v>
      </c>
      <c r="O18" s="79">
        <v>205.92000000000002</v>
      </c>
      <c r="P18" s="79">
        <v>0</v>
      </c>
      <c r="Q18" s="79">
        <v>0</v>
      </c>
      <c r="R18" s="79">
        <v>0</v>
      </c>
      <c r="S18" s="79">
        <v>0</v>
      </c>
      <c r="T18" s="79">
        <v>0</v>
      </c>
      <c r="U18" s="79">
        <v>0</v>
      </c>
      <c r="V18" s="79">
        <v>0</v>
      </c>
      <c r="W18" s="79">
        <v>0</v>
      </c>
      <c r="X18" s="90">
        <v>0</v>
      </c>
    </row>
    <row r="19" spans="1:24" hidden="1" x14ac:dyDescent="0.25">
      <c r="A19" s="80" t="str">
        <v>PENDIENTE</v>
      </c>
      <c r="B19" s="80" t="str">
        <v>Alto Biavo</v>
      </c>
      <c r="C19" s="80" t="str">
        <v>Julio</v>
      </c>
      <c r="D19" s="81">
        <v>46188</v>
      </c>
      <c r="E19" s="79">
        <v>547</v>
      </c>
      <c r="F19" s="81">
        <v>46175</v>
      </c>
      <c r="G19" s="79" cm="1">
        <f t="array" ref="G19:X19">_xlfn._xlws.FILTER(Formulas!$C$2:$T$201, ISNUMBER(MATCH(Formulas!$B$2:$B$201, B19, 0)),0) * E19</f>
        <v>109.4</v>
      </c>
      <c r="H19" s="79">
        <v>175.04</v>
      </c>
      <c r="I19" s="79">
        <v>21.88</v>
      </c>
      <c r="J19" s="79">
        <v>0</v>
      </c>
      <c r="K19" s="79">
        <v>0</v>
      </c>
      <c r="L19" s="79">
        <v>0</v>
      </c>
      <c r="M19" s="79">
        <v>27.35</v>
      </c>
      <c r="N19" s="79">
        <v>0</v>
      </c>
      <c r="O19" s="79">
        <v>213.33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90">
        <v>0</v>
      </c>
    </row>
    <row r="20" spans="1:24" hidden="1" x14ac:dyDescent="0.25">
      <c r="A20" s="80" t="str">
        <v>PENDIENTE</v>
      </c>
      <c r="B20" s="80" t="str">
        <v>Alto Biavo</v>
      </c>
      <c r="C20" s="80" t="str">
        <v>Agosto</v>
      </c>
      <c r="D20" s="81">
        <v>46188</v>
      </c>
      <c r="E20" s="79">
        <v>547</v>
      </c>
      <c r="F20" s="81">
        <v>46175</v>
      </c>
      <c r="G20" s="79" cm="1">
        <f t="array" ref="G20:X20">_xlfn._xlws.FILTER(Formulas!$C$2:$T$201, ISNUMBER(MATCH(Formulas!$B$2:$B$201, B20, 0)),0) * E20</f>
        <v>109.4</v>
      </c>
      <c r="H20" s="79">
        <v>175.04</v>
      </c>
      <c r="I20" s="79">
        <v>21.88</v>
      </c>
      <c r="J20" s="79">
        <v>0</v>
      </c>
      <c r="K20" s="79">
        <v>0</v>
      </c>
      <c r="L20" s="79">
        <v>0</v>
      </c>
      <c r="M20" s="79">
        <v>27.35</v>
      </c>
      <c r="N20" s="79">
        <v>0</v>
      </c>
      <c r="O20" s="79">
        <v>213.33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90">
        <v>0</v>
      </c>
    </row>
    <row r="21" spans="1:24" hidden="1" x14ac:dyDescent="0.25">
      <c r="A21" s="80" t="str">
        <v>PENDIENTE</v>
      </c>
      <c r="B21" s="80" t="str">
        <v>Alto Biavo</v>
      </c>
      <c r="C21" s="80" t="str">
        <v>Setiembre</v>
      </c>
      <c r="D21" s="81">
        <v>46249</v>
      </c>
      <c r="E21" s="79">
        <v>530</v>
      </c>
      <c r="F21" s="81">
        <v>46241</v>
      </c>
      <c r="G21" s="79" cm="1">
        <f t="array" ref="G21:X21">_xlfn._xlws.FILTER(Formulas!$C$2:$T$201, ISNUMBER(MATCH(Formulas!$B$2:$B$201, B21, 0)),0) * E21</f>
        <v>106</v>
      </c>
      <c r="H21" s="79">
        <v>169.6</v>
      </c>
      <c r="I21" s="79">
        <v>21.2</v>
      </c>
      <c r="J21" s="79">
        <v>0</v>
      </c>
      <c r="K21" s="79">
        <v>0</v>
      </c>
      <c r="L21" s="79">
        <v>0</v>
      </c>
      <c r="M21" s="79">
        <v>26.5</v>
      </c>
      <c r="N21" s="79">
        <v>0</v>
      </c>
      <c r="O21" s="79">
        <v>206.70000000000002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90">
        <v>0</v>
      </c>
    </row>
    <row r="22" spans="1:24" hidden="1" x14ac:dyDescent="0.25">
      <c r="A22" s="80" t="str">
        <v>PENDIENTE</v>
      </c>
      <c r="B22" s="80" t="str">
        <v>Alto Biavo</v>
      </c>
      <c r="C22" s="80" t="str">
        <v>Octubre</v>
      </c>
      <c r="D22" s="81">
        <v>46249</v>
      </c>
      <c r="E22" s="79">
        <v>548</v>
      </c>
      <c r="F22" s="81">
        <v>46241</v>
      </c>
      <c r="G22" s="79" cm="1">
        <f t="array" ref="G22:X22">_xlfn._xlws.FILTER(Formulas!$C$2:$T$201, ISNUMBER(MATCH(Formulas!$B$2:$B$201, B22, 0)),0) * E22</f>
        <v>109.60000000000001</v>
      </c>
      <c r="H22" s="79">
        <v>175.36</v>
      </c>
      <c r="I22" s="79">
        <v>21.92</v>
      </c>
      <c r="J22" s="79">
        <v>0</v>
      </c>
      <c r="K22" s="79">
        <v>0</v>
      </c>
      <c r="L22" s="79">
        <v>0</v>
      </c>
      <c r="M22" s="79">
        <v>27.400000000000002</v>
      </c>
      <c r="N22" s="79">
        <v>0</v>
      </c>
      <c r="O22" s="79">
        <v>213.72</v>
      </c>
      <c r="P22" s="79">
        <v>0</v>
      </c>
      <c r="Q22" s="79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0</v>
      </c>
      <c r="X22" s="90">
        <v>0</v>
      </c>
    </row>
    <row r="23" spans="1:24" hidden="1" x14ac:dyDescent="0.25">
      <c r="A23" s="80" t="str">
        <v>PENDIENTE</v>
      </c>
      <c r="B23" s="80" t="str">
        <v>Alto Biavo</v>
      </c>
      <c r="C23" s="80" t="str">
        <v>Noviembre</v>
      </c>
      <c r="D23" s="81">
        <v>46310</v>
      </c>
      <c r="E23" s="79">
        <v>530</v>
      </c>
      <c r="F23" s="80">
        <v>0</v>
      </c>
      <c r="G23" s="79" cm="1">
        <f t="array" ref="G23:X23">_xlfn._xlws.FILTER(Formulas!$C$2:$T$201, ISNUMBER(MATCH(Formulas!$B$2:$B$201, B23, 0)),0) * E23</f>
        <v>106</v>
      </c>
      <c r="H23" s="79">
        <v>169.6</v>
      </c>
      <c r="I23" s="79">
        <v>21.2</v>
      </c>
      <c r="J23" s="79">
        <v>0</v>
      </c>
      <c r="K23" s="79">
        <v>0</v>
      </c>
      <c r="L23" s="79">
        <v>0</v>
      </c>
      <c r="M23" s="79">
        <v>26.5</v>
      </c>
      <c r="N23" s="79">
        <v>0</v>
      </c>
      <c r="O23" s="79">
        <v>206.70000000000002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90">
        <v>0</v>
      </c>
    </row>
    <row r="24" spans="1:24" hidden="1" x14ac:dyDescent="0.25">
      <c r="A24" s="80" t="str">
        <v>PENDIENTE</v>
      </c>
      <c r="B24" s="80" t="str">
        <v>Alto Biavo</v>
      </c>
      <c r="C24" s="80" t="str">
        <v>Diciembre</v>
      </c>
      <c r="D24" s="81">
        <v>46310</v>
      </c>
      <c r="E24" s="79">
        <v>548</v>
      </c>
      <c r="F24" s="80">
        <v>0</v>
      </c>
      <c r="G24" s="79" cm="1">
        <f t="array" ref="G24:X24">_xlfn._xlws.FILTER(Formulas!$C$2:$T$201, ISNUMBER(MATCH(Formulas!$B$2:$B$201, B24, 0)),0) * E24</f>
        <v>109.60000000000001</v>
      </c>
      <c r="H24" s="79">
        <v>175.36</v>
      </c>
      <c r="I24" s="79">
        <v>21.92</v>
      </c>
      <c r="J24" s="79">
        <v>0</v>
      </c>
      <c r="K24" s="79">
        <v>0</v>
      </c>
      <c r="L24" s="79">
        <v>0</v>
      </c>
      <c r="M24" s="79">
        <v>27.400000000000002</v>
      </c>
      <c r="N24" s="79">
        <v>0</v>
      </c>
      <c r="O24" s="79">
        <v>213.72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90">
        <v>0</v>
      </c>
    </row>
    <row r="25" spans="1:24" hidden="1" x14ac:dyDescent="0.25">
      <c r="A25" s="80" t="str">
        <v>PENDIENTE</v>
      </c>
      <c r="B25" s="80" t="str">
        <v>Alto Trujillo</v>
      </c>
      <c r="C25" s="80" t="str">
        <v>Abril</v>
      </c>
      <c r="D25" s="81">
        <v>46112</v>
      </c>
      <c r="E25" s="79">
        <v>2968.5551999999998</v>
      </c>
      <c r="F25" s="81">
        <v>46105</v>
      </c>
      <c r="G25" s="79" cm="1">
        <f t="array" ref="G25:X25">_xlfn._xlws.FILTER(Formulas!$C$2:$T$201, ISNUMBER(MATCH(Formulas!$B$2:$B$201, B25, 0)),0) * E25</f>
        <v>534.73974141414146</v>
      </c>
      <c r="H25" s="79">
        <v>2225.9166432323232</v>
      </c>
      <c r="I25" s="79">
        <v>207.89881535353533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90">
        <v>0</v>
      </c>
    </row>
    <row r="26" spans="1:24" hidden="1" x14ac:dyDescent="0.25">
      <c r="A26" s="80" t="str">
        <v>PENDIENTE</v>
      </c>
      <c r="B26" s="80" t="str">
        <v>Alto Trujillo</v>
      </c>
      <c r="C26" s="80" t="str">
        <v>Mayo</v>
      </c>
      <c r="D26" s="81">
        <v>46142</v>
      </c>
      <c r="E26" s="79">
        <v>2968.5551999999998</v>
      </c>
      <c r="F26" s="81">
        <v>46139</v>
      </c>
      <c r="G26" s="79" cm="1">
        <f t="array" ref="G26:X26">_xlfn._xlws.FILTER(Formulas!$C$2:$T$201, ISNUMBER(MATCH(Formulas!$B$2:$B$201, B26, 0)),0) * E26</f>
        <v>534.73974141414146</v>
      </c>
      <c r="H26" s="79">
        <v>2225.9166432323232</v>
      </c>
      <c r="I26" s="79">
        <v>207.89881535353533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90">
        <v>0</v>
      </c>
    </row>
    <row r="27" spans="1:24" hidden="1" x14ac:dyDescent="0.25">
      <c r="A27" s="80" t="str">
        <v>PENDIENTE</v>
      </c>
      <c r="B27" s="80" t="str">
        <v>Alto Trujillo</v>
      </c>
      <c r="C27" s="80" t="str">
        <v>Junio</v>
      </c>
      <c r="D27" s="81">
        <v>46173</v>
      </c>
      <c r="E27" s="79">
        <v>2968.5551999999998</v>
      </c>
      <c r="F27" s="81">
        <v>46161</v>
      </c>
      <c r="G27" s="79" cm="1">
        <f t="array" ref="G27:X27">_xlfn._xlws.FILTER(Formulas!$C$2:$T$201, ISNUMBER(MATCH(Formulas!$B$2:$B$201, B27, 0)),0) * E27</f>
        <v>534.73974141414146</v>
      </c>
      <c r="H27" s="79">
        <v>2225.9166432323232</v>
      </c>
      <c r="I27" s="79">
        <v>207.89881535353533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90">
        <v>0</v>
      </c>
    </row>
    <row r="28" spans="1:24" hidden="1" x14ac:dyDescent="0.25">
      <c r="A28" s="80" t="str">
        <v>PENDIENTE</v>
      </c>
      <c r="B28" s="80" t="str">
        <v>Alto Trujillo</v>
      </c>
      <c r="C28" s="80" t="str">
        <v>Julio</v>
      </c>
      <c r="D28" s="81">
        <v>46203</v>
      </c>
      <c r="E28" s="79">
        <v>2968.5551999999998</v>
      </c>
      <c r="F28" s="81">
        <v>46197</v>
      </c>
      <c r="G28" s="79" cm="1">
        <f t="array" ref="G28:X28">_xlfn._xlws.FILTER(Formulas!$C$2:$T$201, ISNUMBER(MATCH(Formulas!$B$2:$B$201, B28, 0)),0) * E28</f>
        <v>534.73974141414146</v>
      </c>
      <c r="H28" s="79">
        <v>2225.9166432323232</v>
      </c>
      <c r="I28" s="79">
        <v>207.89881535353533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90">
        <v>0</v>
      </c>
    </row>
    <row r="29" spans="1:24" hidden="1" x14ac:dyDescent="0.25">
      <c r="A29" s="80" t="str">
        <v>PENDIENTE</v>
      </c>
      <c r="B29" s="80" t="str">
        <v>Alto Trujillo</v>
      </c>
      <c r="C29" s="80" t="str">
        <v>Agosto</v>
      </c>
      <c r="D29" s="81">
        <v>46234</v>
      </c>
      <c r="E29" s="79">
        <v>2968.5551999999998</v>
      </c>
      <c r="F29" s="81">
        <v>46225</v>
      </c>
      <c r="G29" s="79" cm="1">
        <f t="array" ref="G29:X29">_xlfn._xlws.FILTER(Formulas!$C$2:$T$201, ISNUMBER(MATCH(Formulas!$B$2:$B$201, B29, 0)),0) * E29</f>
        <v>534.73974141414146</v>
      </c>
      <c r="H29" s="79">
        <v>2225.9166432323232</v>
      </c>
      <c r="I29" s="79">
        <v>207.89881535353533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90">
        <v>0</v>
      </c>
    </row>
    <row r="30" spans="1:24" hidden="1" x14ac:dyDescent="0.25">
      <c r="A30" s="80" t="str">
        <v>PENDIENTE</v>
      </c>
      <c r="B30" s="80" t="str">
        <v>Alto Trujillo</v>
      </c>
      <c r="C30" s="80" t="str">
        <v>O.C.</v>
      </c>
      <c r="D30" s="81">
        <v>46265</v>
      </c>
      <c r="E30" s="79">
        <v>3697.5744</v>
      </c>
      <c r="F30" s="81">
        <v>46244</v>
      </c>
      <c r="G30" s="79" cm="1">
        <f t="array" ref="G30:X30">_xlfn._xlws.FILTER(Formulas!$C$2:$T$201, ISNUMBER(MATCH(Formulas!$B$2:$B$201, B30, 0)),0) * E30</f>
        <v>666.06138181818187</v>
      </c>
      <c r="H30" s="79">
        <v>2772.5583127272726</v>
      </c>
      <c r="I30" s="79">
        <v>258.95470545454543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90">
        <v>0</v>
      </c>
    </row>
    <row r="31" spans="1:24" hidden="1" x14ac:dyDescent="0.25">
      <c r="A31" s="80" t="str">
        <v>PENDIENTE</v>
      </c>
      <c r="B31" s="80" t="str">
        <v>Alto Trujillo</v>
      </c>
      <c r="C31" s="80" t="str">
        <v>Setiembre</v>
      </c>
      <c r="D31" s="81">
        <v>46265</v>
      </c>
      <c r="E31" s="79">
        <v>2968.5551999999998</v>
      </c>
      <c r="F31" s="81">
        <v>46251</v>
      </c>
      <c r="G31" s="79" cm="1">
        <f t="array" ref="G31:X31">_xlfn._xlws.FILTER(Formulas!$C$2:$T$201, ISNUMBER(MATCH(Formulas!$B$2:$B$201, B31, 0)),0) * E31</f>
        <v>534.73974141414146</v>
      </c>
      <c r="H31" s="79">
        <v>2225.9166432323232</v>
      </c>
      <c r="I31" s="79">
        <v>207.89881535353533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90">
        <v>0</v>
      </c>
    </row>
    <row r="32" spans="1:24" hidden="1" x14ac:dyDescent="0.25">
      <c r="A32" s="80" t="str">
        <v>PENDIENTE</v>
      </c>
      <c r="B32" s="80" t="str">
        <v>Alto Trujillo</v>
      </c>
      <c r="C32" s="80" t="str">
        <v>Octubre</v>
      </c>
      <c r="D32" s="81">
        <v>46295</v>
      </c>
      <c r="E32" s="79">
        <v>2968.5551999999998</v>
      </c>
      <c r="F32" s="80">
        <v>46290</v>
      </c>
      <c r="G32" s="79" cm="1">
        <f t="array" ref="G32:X32">_xlfn._xlws.FILTER(Formulas!$C$2:$T$201, ISNUMBER(MATCH(Formulas!$B$2:$B$201, B32, 0)),0) * E32</f>
        <v>534.73974141414146</v>
      </c>
      <c r="H32" s="79">
        <v>2225.9166432323232</v>
      </c>
      <c r="I32" s="79">
        <v>207.89881535353533</v>
      </c>
      <c r="J32" s="79">
        <v>0</v>
      </c>
      <c r="K32" s="79">
        <v>0</v>
      </c>
      <c r="L32" s="79">
        <v>0</v>
      </c>
      <c r="M32" s="79">
        <v>0</v>
      </c>
      <c r="N32" s="79">
        <v>0</v>
      </c>
      <c r="O32" s="79">
        <v>0</v>
      </c>
      <c r="P32" s="79">
        <v>0</v>
      </c>
      <c r="Q32" s="79">
        <v>0</v>
      </c>
      <c r="R32" s="79">
        <v>0</v>
      </c>
      <c r="S32" s="79">
        <v>0</v>
      </c>
      <c r="T32" s="79">
        <v>0</v>
      </c>
      <c r="U32" s="79">
        <v>0</v>
      </c>
      <c r="V32" s="79">
        <v>0</v>
      </c>
      <c r="W32" s="79">
        <v>0</v>
      </c>
      <c r="X32" s="90">
        <v>0</v>
      </c>
    </row>
    <row r="33" spans="1:24" hidden="1" x14ac:dyDescent="0.25">
      <c r="A33" s="80" t="str">
        <v>PENDIENTE</v>
      </c>
      <c r="B33" s="80" t="str">
        <v>Alto Trujillo</v>
      </c>
      <c r="C33" s="80" t="str">
        <v>Noviembre</v>
      </c>
      <c r="D33" s="81">
        <v>46326</v>
      </c>
      <c r="E33" s="79">
        <v>2968.5551999999998</v>
      </c>
      <c r="F33" s="80">
        <v>0</v>
      </c>
      <c r="G33" s="79" cm="1">
        <f t="array" ref="G33:X33">_xlfn._xlws.FILTER(Formulas!$C$2:$T$201, ISNUMBER(MATCH(Formulas!$B$2:$B$201, B33, 0)),0) * E33</f>
        <v>534.73974141414146</v>
      </c>
      <c r="H33" s="79">
        <v>2225.9166432323232</v>
      </c>
      <c r="I33" s="79">
        <v>207.89881535353533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>
        <v>0</v>
      </c>
      <c r="R33" s="79">
        <v>0</v>
      </c>
      <c r="S33" s="79">
        <v>0</v>
      </c>
      <c r="T33" s="79">
        <v>0</v>
      </c>
      <c r="U33" s="79">
        <v>0</v>
      </c>
      <c r="V33" s="79">
        <v>0</v>
      </c>
      <c r="W33" s="79">
        <v>0</v>
      </c>
      <c r="X33" s="90">
        <v>0</v>
      </c>
    </row>
    <row r="34" spans="1:24" hidden="1" x14ac:dyDescent="0.25">
      <c r="A34" s="80" t="str">
        <v>PENDIENTE</v>
      </c>
      <c r="B34" s="80" t="str">
        <v>Alto Trujillo</v>
      </c>
      <c r="C34" s="80" t="str">
        <v>Diciembre</v>
      </c>
      <c r="D34" s="81">
        <v>46356</v>
      </c>
      <c r="E34" s="79">
        <v>2968.5551999999998</v>
      </c>
      <c r="F34" s="80">
        <v>0</v>
      </c>
      <c r="G34" s="79" cm="1">
        <f t="array" ref="G34:X34">_xlfn._xlws.FILTER(Formulas!$C$2:$T$201, ISNUMBER(MATCH(Formulas!$B$2:$B$201, B34, 0)),0) * E34</f>
        <v>534.73974141414146</v>
      </c>
      <c r="H34" s="79">
        <v>2225.9166432323232</v>
      </c>
      <c r="I34" s="79">
        <v>207.89881535353533</v>
      </c>
      <c r="J34" s="79">
        <v>0</v>
      </c>
      <c r="K34" s="79">
        <v>0</v>
      </c>
      <c r="L34" s="79">
        <v>0</v>
      </c>
      <c r="M34" s="79">
        <v>0</v>
      </c>
      <c r="N34" s="79">
        <v>0</v>
      </c>
      <c r="O34" s="79">
        <v>0</v>
      </c>
      <c r="P34" s="79">
        <v>0</v>
      </c>
      <c r="Q34" s="79">
        <v>0</v>
      </c>
      <c r="R34" s="79">
        <v>0</v>
      </c>
      <c r="S34" s="79">
        <v>0</v>
      </c>
      <c r="T34" s="79">
        <v>0</v>
      </c>
      <c r="U34" s="79">
        <v>0</v>
      </c>
      <c r="V34" s="79">
        <v>0</v>
      </c>
      <c r="W34" s="79">
        <v>0</v>
      </c>
      <c r="X34" s="90">
        <v>0</v>
      </c>
    </row>
    <row r="35" spans="1:24" hidden="1" x14ac:dyDescent="0.25">
      <c r="A35" s="80" t="str">
        <v>PENDIENTE</v>
      </c>
      <c r="B35" s="80" t="str">
        <v>Alto Trujillo</v>
      </c>
      <c r="C35" s="80">
        <v>46388</v>
      </c>
      <c r="D35" s="81">
        <v>46387</v>
      </c>
      <c r="E35" s="79">
        <v>2968.5551999999998</v>
      </c>
      <c r="F35" s="80">
        <v>0</v>
      </c>
      <c r="G35" s="79" cm="1">
        <f t="array" ref="G35:X35">_xlfn._xlws.FILTER(Formulas!$C$2:$T$201, ISNUMBER(MATCH(Formulas!$B$2:$B$201, B35, 0)),0) * E35</f>
        <v>534.73974141414146</v>
      </c>
      <c r="H35" s="79">
        <v>2225.9166432323232</v>
      </c>
      <c r="I35" s="79">
        <v>207.89881535353533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90">
        <v>0</v>
      </c>
    </row>
    <row r="36" spans="1:24" hidden="1" x14ac:dyDescent="0.25">
      <c r="A36" s="80" t="str">
        <v>PENDIENTE</v>
      </c>
      <c r="B36" s="80" t="str">
        <v>Alto Trujillo</v>
      </c>
      <c r="C36" s="80">
        <v>46419</v>
      </c>
      <c r="D36" s="81">
        <v>46418</v>
      </c>
      <c r="E36" s="79">
        <v>2968.5551999999998</v>
      </c>
      <c r="F36" s="80">
        <v>0</v>
      </c>
      <c r="G36" s="79" cm="1">
        <f t="array" ref="G36:X36">_xlfn._xlws.FILTER(Formulas!$C$2:$T$201, ISNUMBER(MATCH(Formulas!$B$2:$B$201, B36, 0)),0) * E36</f>
        <v>534.73974141414146</v>
      </c>
      <c r="H36" s="79">
        <v>2225.9166432323232</v>
      </c>
      <c r="I36" s="79">
        <v>207.89881535353533</v>
      </c>
      <c r="J36" s="79">
        <v>0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0</v>
      </c>
      <c r="Q36" s="79">
        <v>0</v>
      </c>
      <c r="R36" s="79">
        <v>0</v>
      </c>
      <c r="S36" s="79">
        <v>0</v>
      </c>
      <c r="T36" s="79">
        <v>0</v>
      </c>
      <c r="U36" s="79">
        <v>0</v>
      </c>
      <c r="V36" s="79">
        <v>0</v>
      </c>
      <c r="W36" s="79">
        <v>0</v>
      </c>
      <c r="X36" s="90">
        <v>0</v>
      </c>
    </row>
    <row r="37" spans="1:24" hidden="1" x14ac:dyDescent="0.25">
      <c r="A37" s="80" t="str">
        <v>PENDIENTE</v>
      </c>
      <c r="B37" s="80" t="str">
        <v>Alto Trujillo</v>
      </c>
      <c r="C37" s="80">
        <v>46447</v>
      </c>
      <c r="D37" s="81">
        <v>46446</v>
      </c>
      <c r="E37" s="79">
        <v>2968.5551999999998</v>
      </c>
      <c r="F37" s="80">
        <v>0</v>
      </c>
      <c r="G37" s="79" cm="1">
        <f t="array" ref="G37:X37">_xlfn._xlws.FILTER(Formulas!$C$2:$T$201, ISNUMBER(MATCH(Formulas!$B$2:$B$201, B37, 0)),0) * E37</f>
        <v>534.73974141414146</v>
      </c>
      <c r="H37" s="79">
        <v>2225.9166432323232</v>
      </c>
      <c r="I37" s="79">
        <v>207.89881535353533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0</v>
      </c>
      <c r="X37" s="90">
        <v>0</v>
      </c>
    </row>
    <row r="38" spans="1:24" hidden="1" x14ac:dyDescent="0.25">
      <c r="A38" s="80" t="str">
        <v>PENDIENTE</v>
      </c>
      <c r="B38" s="80" t="str">
        <v>Ascope</v>
      </c>
      <c r="C38" s="80" t="str">
        <v>Enero / Febrero / Marzo</v>
      </c>
      <c r="D38" s="81">
        <v>46037</v>
      </c>
      <c r="E38" s="79">
        <v>1867.2</v>
      </c>
      <c r="F38" s="81">
        <v>46039</v>
      </c>
      <c r="G38" s="79" cm="1">
        <f t="array" ref="G38:X38">_xlfn._xlws.FILTER(Formulas!$C$2:$T$201, ISNUMBER(MATCH(Formulas!$B$2:$B$201, B38, 0)),0) * E38</f>
        <v>279.88008565310491</v>
      </c>
      <c r="H38" s="79">
        <v>708.69635974304072</v>
      </c>
      <c r="I38" s="79">
        <v>74.967880085653107</v>
      </c>
      <c r="J38" s="79">
        <v>74.967880085653107</v>
      </c>
      <c r="K38" s="79">
        <v>0</v>
      </c>
      <c r="L38" s="79">
        <v>0</v>
      </c>
      <c r="M38" s="79">
        <v>74.967880085653107</v>
      </c>
      <c r="N38" s="79">
        <v>0</v>
      </c>
      <c r="O38" s="79">
        <v>653.71991434689505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  <c r="U38" s="79">
        <v>0</v>
      </c>
      <c r="V38" s="79">
        <v>0</v>
      </c>
      <c r="W38" s="79">
        <v>0</v>
      </c>
      <c r="X38" s="90">
        <v>0</v>
      </c>
    </row>
    <row r="39" spans="1:24" hidden="1" x14ac:dyDescent="0.25">
      <c r="A39" s="80" t="str">
        <v>PENDIENTE</v>
      </c>
      <c r="B39" s="80" t="str">
        <v>Ascope</v>
      </c>
      <c r="C39" s="80" t="str">
        <v>Abril / Mayo / Junio</v>
      </c>
      <c r="D39" s="81">
        <v>46096</v>
      </c>
      <c r="E39" s="79">
        <v>1867.2</v>
      </c>
      <c r="F39" s="81">
        <v>46101</v>
      </c>
      <c r="G39" s="79" cm="1">
        <f t="array" ref="G39:X39">_xlfn._xlws.FILTER(Formulas!$C$2:$T$201, ISNUMBER(MATCH(Formulas!$B$2:$B$201, B39, 0)),0) * E39</f>
        <v>279.88008565310491</v>
      </c>
      <c r="H39" s="79">
        <v>708.69635974304072</v>
      </c>
      <c r="I39" s="79">
        <v>74.967880085653107</v>
      </c>
      <c r="J39" s="79">
        <v>74.967880085653107</v>
      </c>
      <c r="K39" s="79">
        <v>0</v>
      </c>
      <c r="L39" s="79">
        <v>0</v>
      </c>
      <c r="M39" s="79">
        <v>74.967880085653107</v>
      </c>
      <c r="N39" s="79">
        <v>0</v>
      </c>
      <c r="O39" s="79">
        <v>653.71991434689505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90">
        <v>0</v>
      </c>
    </row>
    <row r="40" spans="1:24" hidden="1" x14ac:dyDescent="0.25">
      <c r="A40" s="80" t="str">
        <v>PENDIENTE</v>
      </c>
      <c r="B40" s="80" t="str">
        <v>Ascope</v>
      </c>
      <c r="C40" s="80" t="str">
        <v>Julio / Agosto / Septiembre</v>
      </c>
      <c r="D40" s="81">
        <v>46188</v>
      </c>
      <c r="E40" s="79">
        <v>1867.2</v>
      </c>
      <c r="F40" s="81">
        <v>46192</v>
      </c>
      <c r="G40" s="79" cm="1">
        <f t="array" ref="G40:X40">_xlfn._xlws.FILTER(Formulas!$C$2:$T$201, ISNUMBER(MATCH(Formulas!$B$2:$B$201, B40, 0)),0) * E40</f>
        <v>279.88008565310491</v>
      </c>
      <c r="H40" s="79">
        <v>708.69635974304072</v>
      </c>
      <c r="I40" s="79">
        <v>74.967880085653107</v>
      </c>
      <c r="J40" s="79">
        <v>74.967880085653107</v>
      </c>
      <c r="K40" s="79">
        <v>0</v>
      </c>
      <c r="L40" s="79">
        <v>0</v>
      </c>
      <c r="M40" s="79">
        <v>74.967880085653107</v>
      </c>
      <c r="N40" s="79">
        <v>0</v>
      </c>
      <c r="O40" s="79">
        <v>653.71991434689505</v>
      </c>
      <c r="P40" s="79">
        <v>0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90">
        <v>0</v>
      </c>
    </row>
    <row r="41" spans="1:24" hidden="1" x14ac:dyDescent="0.25">
      <c r="A41" s="80" t="str">
        <v>PENDIENTE</v>
      </c>
      <c r="B41" s="80" t="str">
        <v>Ascope</v>
      </c>
      <c r="C41" s="80" t="str">
        <v>Octubre / Noviembre / Diciembre</v>
      </c>
      <c r="D41" s="81">
        <v>46280</v>
      </c>
      <c r="E41" s="79">
        <v>1867.2</v>
      </c>
      <c r="F41" s="80">
        <v>46281</v>
      </c>
      <c r="G41" s="79" cm="1">
        <f t="array" ref="G41:X41">_xlfn._xlws.FILTER(Formulas!$C$2:$T$201, ISNUMBER(MATCH(Formulas!$B$2:$B$201, B41, 0)),0) * E41</f>
        <v>279.88008565310491</v>
      </c>
      <c r="H41" s="79">
        <v>708.69635974304072</v>
      </c>
      <c r="I41" s="79">
        <v>74.967880085653107</v>
      </c>
      <c r="J41" s="79">
        <v>74.967880085653107</v>
      </c>
      <c r="K41" s="79">
        <v>0</v>
      </c>
      <c r="L41" s="79">
        <v>0</v>
      </c>
      <c r="M41" s="79">
        <v>74.967880085653107</v>
      </c>
      <c r="N41" s="79">
        <v>0</v>
      </c>
      <c r="O41" s="79">
        <v>653.71991434689505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  <c r="X41" s="90">
        <v>0</v>
      </c>
    </row>
    <row r="42" spans="1:24" hidden="1" x14ac:dyDescent="0.25">
      <c r="A42" s="80" t="str">
        <v>PENDIENTE</v>
      </c>
      <c r="B42" s="80" t="str">
        <v>Asuncion</v>
      </c>
      <c r="C42" s="80" t="str">
        <v>Enero / Febrero / Marzo / Abril</v>
      </c>
      <c r="D42" s="81">
        <v>46097</v>
      </c>
      <c r="E42" s="79">
        <v>9390</v>
      </c>
      <c r="F42" s="81">
        <v>46096</v>
      </c>
      <c r="G42" s="79" cm="1">
        <f t="array" ref="G42:X42">_xlfn._xlws.FILTER(Formulas!$C$2:$T$201, ISNUMBER(MATCH(Formulas!$B$2:$B$201, B42, 0)),0) * E42</f>
        <v>1878</v>
      </c>
      <c r="H42" s="79">
        <v>6523.7903743315501</v>
      </c>
      <c r="I42" s="79">
        <v>329.40320855614971</v>
      </c>
      <c r="J42" s="79">
        <v>329.40320855614971</v>
      </c>
      <c r="K42" s="79">
        <v>0</v>
      </c>
      <c r="L42" s="79">
        <v>0</v>
      </c>
      <c r="M42" s="79">
        <v>329.40320855614971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0</v>
      </c>
      <c r="X42" s="90">
        <v>0</v>
      </c>
    </row>
    <row r="43" spans="1:24" hidden="1" x14ac:dyDescent="0.25">
      <c r="A43" s="80" t="str">
        <v>PENDIENTE</v>
      </c>
      <c r="B43" s="80" t="str">
        <v>Asuncion</v>
      </c>
      <c r="C43" s="80" t="str">
        <v>Mayo / Junio</v>
      </c>
      <c r="D43" s="81">
        <v>46133</v>
      </c>
      <c r="E43" s="79">
        <v>4696.5</v>
      </c>
      <c r="F43" s="81">
        <v>46130</v>
      </c>
      <c r="G43" s="79" cm="1">
        <f t="array" ref="G43:X43">_xlfn._xlws.FILTER(Formulas!$C$2:$T$201, ISNUMBER(MATCH(Formulas!$B$2:$B$201, B43, 0)),0) * E43</f>
        <v>939.30000000000007</v>
      </c>
      <c r="H43" s="79">
        <v>3262.9373262032082</v>
      </c>
      <c r="I43" s="79">
        <v>164.75422459893048</v>
      </c>
      <c r="J43" s="79">
        <v>164.75422459893048</v>
      </c>
      <c r="K43" s="79">
        <v>0</v>
      </c>
      <c r="L43" s="79">
        <v>0</v>
      </c>
      <c r="M43" s="79">
        <v>164.75422459893048</v>
      </c>
      <c r="N43" s="79">
        <v>0</v>
      </c>
      <c r="O43" s="79">
        <v>0</v>
      </c>
      <c r="P43" s="79">
        <v>0</v>
      </c>
      <c r="Q43" s="79">
        <v>0</v>
      </c>
      <c r="R43" s="79">
        <v>0</v>
      </c>
      <c r="S43" s="79">
        <v>0</v>
      </c>
      <c r="T43" s="79">
        <v>0</v>
      </c>
      <c r="U43" s="79">
        <v>0</v>
      </c>
      <c r="V43" s="79">
        <v>0</v>
      </c>
      <c r="W43" s="79">
        <v>0</v>
      </c>
      <c r="X43" s="90">
        <v>0</v>
      </c>
    </row>
    <row r="44" spans="1:24" hidden="1" x14ac:dyDescent="0.25">
      <c r="A44" s="80" t="str">
        <v>PENDIENTE</v>
      </c>
      <c r="B44" s="80" t="str">
        <v>Asuncion</v>
      </c>
      <c r="C44" s="80" t="str">
        <v>Julio / Agosto</v>
      </c>
      <c r="D44" s="81">
        <v>46181</v>
      </c>
      <c r="E44" s="79">
        <v>4696.5</v>
      </c>
      <c r="F44" s="81">
        <v>46179</v>
      </c>
      <c r="G44" s="79" cm="1">
        <f t="array" ref="G44:X44">_xlfn._xlws.FILTER(Formulas!$C$2:$T$201, ISNUMBER(MATCH(Formulas!$B$2:$B$201, B44, 0)),0) * E44</f>
        <v>939.30000000000007</v>
      </c>
      <c r="H44" s="79">
        <v>3262.9373262032082</v>
      </c>
      <c r="I44" s="79">
        <v>164.75422459893048</v>
      </c>
      <c r="J44" s="79">
        <v>164.75422459893048</v>
      </c>
      <c r="K44" s="79">
        <v>0</v>
      </c>
      <c r="L44" s="79">
        <v>0</v>
      </c>
      <c r="M44" s="79">
        <v>164.75422459893048</v>
      </c>
      <c r="N44" s="79">
        <v>0</v>
      </c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  <c r="U44" s="79">
        <v>0</v>
      </c>
      <c r="V44" s="79">
        <v>0</v>
      </c>
      <c r="W44" s="79">
        <v>0</v>
      </c>
      <c r="X44" s="90">
        <v>0</v>
      </c>
    </row>
    <row r="45" spans="1:24" hidden="1" x14ac:dyDescent="0.25">
      <c r="A45" s="80" t="str">
        <v>PENDIENTE</v>
      </c>
      <c r="B45" s="80" t="str">
        <v>Asuncion</v>
      </c>
      <c r="C45" s="80" t="str">
        <v>O.C.</v>
      </c>
      <c r="D45" s="81">
        <v>46254</v>
      </c>
      <c r="E45" s="79">
        <v>3032.9199999999996</v>
      </c>
      <c r="F45" s="81">
        <v>46237</v>
      </c>
      <c r="G45" s="79" cm="1">
        <f t="array" ref="G45:X45">_xlfn._xlws.FILTER(Formulas!$C$2:$T$201, ISNUMBER(MATCH(Formulas!$B$2:$B$201, B45, 0)),0) * E45</f>
        <v>606.58399999999995</v>
      </c>
      <c r="H45" s="79">
        <v>2107.1495529411759</v>
      </c>
      <c r="I45" s="79">
        <v>106.39548235294116</v>
      </c>
      <c r="J45" s="79">
        <v>106.39548235294116</v>
      </c>
      <c r="K45" s="79">
        <v>0</v>
      </c>
      <c r="L45" s="79">
        <v>0</v>
      </c>
      <c r="M45" s="79">
        <v>106.39548235294116</v>
      </c>
      <c r="N45" s="79">
        <v>0</v>
      </c>
      <c r="O45" s="79">
        <v>0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  <c r="U45" s="79">
        <v>0</v>
      </c>
      <c r="V45" s="79">
        <v>0</v>
      </c>
      <c r="W45" s="79">
        <v>0</v>
      </c>
      <c r="X45" s="90">
        <v>0</v>
      </c>
    </row>
    <row r="46" spans="1:24" hidden="1" x14ac:dyDescent="0.25">
      <c r="A46" s="80" t="str">
        <v>PENDIENTE</v>
      </c>
      <c r="B46" s="80" t="str">
        <v>Asuncion</v>
      </c>
      <c r="C46" s="80" t="str">
        <v>Septiembre / Octubre</v>
      </c>
      <c r="D46" s="81">
        <v>46254</v>
      </c>
      <c r="E46" s="79">
        <v>4696.5</v>
      </c>
      <c r="F46" s="81">
        <v>46253</v>
      </c>
      <c r="G46" s="79" cm="1">
        <f t="array" ref="G46:X46">_xlfn._xlws.FILTER(Formulas!$C$2:$T$201, ISNUMBER(MATCH(Formulas!$B$2:$B$201, B46, 0)),0) * E46</f>
        <v>939.30000000000007</v>
      </c>
      <c r="H46" s="79">
        <v>3262.9373262032082</v>
      </c>
      <c r="I46" s="79">
        <v>164.75422459893048</v>
      </c>
      <c r="J46" s="79">
        <v>164.75422459893048</v>
      </c>
      <c r="K46" s="79">
        <v>0</v>
      </c>
      <c r="L46" s="79">
        <v>0</v>
      </c>
      <c r="M46" s="79">
        <v>164.75422459893048</v>
      </c>
      <c r="N46" s="79">
        <v>0</v>
      </c>
      <c r="O46" s="79">
        <v>0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  <c r="U46" s="79">
        <v>0</v>
      </c>
      <c r="V46" s="79">
        <v>0</v>
      </c>
      <c r="W46" s="79">
        <v>0</v>
      </c>
      <c r="X46" s="90">
        <v>0</v>
      </c>
    </row>
    <row r="47" spans="1:24" hidden="1" x14ac:dyDescent="0.25">
      <c r="A47" s="80" t="str">
        <v>PENDIENTE</v>
      </c>
      <c r="B47" s="80" t="str">
        <v>Asuncion</v>
      </c>
      <c r="C47" s="80" t="str">
        <v>Noviembre / Diciembre</v>
      </c>
      <c r="D47" s="81">
        <v>46322</v>
      </c>
      <c r="E47" s="79">
        <v>4696.5</v>
      </c>
      <c r="F47" s="80">
        <v>0</v>
      </c>
      <c r="G47" s="79" cm="1">
        <f t="array" ref="G47:X47">_xlfn._xlws.FILTER(Formulas!$C$2:$T$201, ISNUMBER(MATCH(Formulas!$B$2:$B$201, B47, 0)),0) * E47</f>
        <v>939.30000000000007</v>
      </c>
      <c r="H47" s="79">
        <v>3262.9373262032082</v>
      </c>
      <c r="I47" s="79">
        <v>164.75422459893048</v>
      </c>
      <c r="J47" s="79">
        <v>164.75422459893048</v>
      </c>
      <c r="K47" s="79">
        <v>0</v>
      </c>
      <c r="L47" s="79">
        <v>0</v>
      </c>
      <c r="M47" s="79">
        <v>164.75422459893048</v>
      </c>
      <c r="N47" s="79">
        <v>0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0</v>
      </c>
      <c r="X47" s="90">
        <v>0</v>
      </c>
    </row>
    <row r="48" spans="1:24" hidden="1" x14ac:dyDescent="0.25">
      <c r="A48" s="80" t="str">
        <v>PENDIENTE</v>
      </c>
      <c r="B48" s="80" t="str">
        <v>Asuncion - Chacas</v>
      </c>
      <c r="C48" s="80" t="str">
        <v>Enero / Febrero / Marzo</v>
      </c>
      <c r="D48" s="81">
        <v>46127</v>
      </c>
      <c r="E48" s="79">
        <v>1525.5</v>
      </c>
      <c r="F48" s="81">
        <v>46128</v>
      </c>
      <c r="G48" s="79" cm="1">
        <f t="array" ref="G48:X48">_xlfn._xlws.FILTER(Formulas!$C$2:$T$201, ISNUMBER(MATCH(Formulas!$B$2:$B$201, B48, 0)),0) * E48</f>
        <v>305.10000000000002</v>
      </c>
      <c r="H48" s="79">
        <v>1052.595</v>
      </c>
      <c r="I48" s="79">
        <v>91.53</v>
      </c>
      <c r="J48" s="79">
        <v>0</v>
      </c>
      <c r="K48" s="79">
        <v>0</v>
      </c>
      <c r="L48" s="79">
        <v>0</v>
      </c>
      <c r="M48" s="79">
        <v>76.275000000000006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0</v>
      </c>
      <c r="X48" s="90">
        <v>0</v>
      </c>
    </row>
    <row r="49" spans="1:24" hidden="1" x14ac:dyDescent="0.25">
      <c r="A49" s="80" t="str">
        <v>PENDIENTE</v>
      </c>
      <c r="B49" s="80" t="str">
        <v>Asuncion - Chacas</v>
      </c>
      <c r="C49" s="80" t="str">
        <v>Abril / Mayo / Junio</v>
      </c>
      <c r="D49" s="81">
        <v>46127</v>
      </c>
      <c r="E49" s="79">
        <v>1525.5</v>
      </c>
      <c r="F49" s="81">
        <v>46128</v>
      </c>
      <c r="G49" s="79" cm="1">
        <f t="array" ref="G49:X49">_xlfn._xlws.FILTER(Formulas!$C$2:$T$201, ISNUMBER(MATCH(Formulas!$B$2:$B$201, B49, 0)),0) * E49</f>
        <v>305.10000000000002</v>
      </c>
      <c r="H49" s="79">
        <v>1052.595</v>
      </c>
      <c r="I49" s="79">
        <v>91.53</v>
      </c>
      <c r="J49" s="79">
        <v>0</v>
      </c>
      <c r="K49" s="79">
        <v>0</v>
      </c>
      <c r="L49" s="79">
        <v>0</v>
      </c>
      <c r="M49" s="79">
        <v>76.275000000000006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  <c r="U49" s="79">
        <v>0</v>
      </c>
      <c r="V49" s="79">
        <v>0</v>
      </c>
      <c r="W49" s="79">
        <v>0</v>
      </c>
      <c r="X49" s="90">
        <v>0</v>
      </c>
    </row>
    <row r="50" spans="1:24" hidden="1" x14ac:dyDescent="0.25">
      <c r="A50" s="80" t="str">
        <v>PENDIENTE</v>
      </c>
      <c r="B50" s="80" t="str">
        <v>Asuncion - Chacas</v>
      </c>
      <c r="C50" s="80" t="str">
        <v>Julio / Agosto / Septiembre</v>
      </c>
      <c r="D50" s="81">
        <v>46199</v>
      </c>
      <c r="E50" s="79">
        <v>1525.5</v>
      </c>
      <c r="F50" s="81">
        <v>46198</v>
      </c>
      <c r="G50" s="79" cm="1">
        <f t="array" ref="G50:X50">_xlfn._xlws.FILTER(Formulas!$C$2:$T$201, ISNUMBER(MATCH(Formulas!$B$2:$B$201, B50, 0)),0) * E50</f>
        <v>305.10000000000002</v>
      </c>
      <c r="H50" s="79">
        <v>1052.595</v>
      </c>
      <c r="I50" s="79">
        <v>91.53</v>
      </c>
      <c r="J50" s="79">
        <v>0</v>
      </c>
      <c r="K50" s="79">
        <v>0</v>
      </c>
      <c r="L50" s="79">
        <v>0</v>
      </c>
      <c r="M50" s="79">
        <v>76.275000000000006</v>
      </c>
      <c r="N50" s="79">
        <v>0</v>
      </c>
      <c r="O50" s="79">
        <v>0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  <c r="U50" s="79">
        <v>0</v>
      </c>
      <c r="V50" s="79">
        <v>0</v>
      </c>
      <c r="W50" s="79">
        <v>0</v>
      </c>
      <c r="X50" s="90">
        <v>0</v>
      </c>
    </row>
    <row r="51" spans="1:24" hidden="1" x14ac:dyDescent="0.25">
      <c r="A51" s="80" t="str">
        <v>PENDIENTE</v>
      </c>
      <c r="B51" s="80" t="str">
        <v>Asuncion - Chacas</v>
      </c>
      <c r="C51" s="80" t="str">
        <v>Octubre / Noviembre / Diciembre</v>
      </c>
      <c r="D51" s="81">
        <v>46290</v>
      </c>
      <c r="E51" s="79">
        <v>1525.5</v>
      </c>
      <c r="F51" s="80">
        <v>0</v>
      </c>
      <c r="G51" s="79" cm="1">
        <f t="array" ref="G51:X51">_xlfn._xlws.FILTER(Formulas!$C$2:$T$201, ISNUMBER(MATCH(Formulas!$B$2:$B$201, B51, 0)),0) * E51</f>
        <v>305.10000000000002</v>
      </c>
      <c r="H51" s="79">
        <v>1052.595</v>
      </c>
      <c r="I51" s="79">
        <v>91.53</v>
      </c>
      <c r="J51" s="79">
        <v>0</v>
      </c>
      <c r="K51" s="79">
        <v>0</v>
      </c>
      <c r="L51" s="79">
        <v>0</v>
      </c>
      <c r="M51" s="79">
        <v>76.275000000000006</v>
      </c>
      <c r="N51" s="79">
        <v>0</v>
      </c>
      <c r="O51" s="79">
        <v>0</v>
      </c>
      <c r="P51" s="79">
        <v>0</v>
      </c>
      <c r="Q51" s="79">
        <v>0</v>
      </c>
      <c r="R51" s="79">
        <v>0</v>
      </c>
      <c r="S51" s="79">
        <v>0</v>
      </c>
      <c r="T51" s="79">
        <v>0</v>
      </c>
      <c r="U51" s="79">
        <v>0</v>
      </c>
      <c r="V51" s="79">
        <v>0</v>
      </c>
      <c r="W51" s="79">
        <v>0</v>
      </c>
      <c r="X51" s="90">
        <v>0</v>
      </c>
    </row>
    <row r="52" spans="1:24" hidden="1" x14ac:dyDescent="0.25">
      <c r="A52" s="80" t="str">
        <v>PENDIENTE</v>
      </c>
      <c r="B52" s="80" t="str">
        <v>Barranquita</v>
      </c>
      <c r="C52" s="80" t="str">
        <v>Enero</v>
      </c>
      <c r="D52" s="81">
        <v>46022</v>
      </c>
      <c r="E52" s="79">
        <v>802</v>
      </c>
      <c r="F52" s="81">
        <v>46026</v>
      </c>
      <c r="G52" s="79" cm="1">
        <f t="array" ref="G52:X52">_xlfn._xlws.FILTER(Formulas!$C$2:$T$201, ISNUMBER(MATCH(Formulas!$B$2:$B$201, B52, 0)),0) * E52</f>
        <v>144</v>
      </c>
      <c r="H52" s="79">
        <v>269</v>
      </c>
      <c r="I52" s="79">
        <v>27.999999999999996</v>
      </c>
      <c r="J52" s="79">
        <v>27.999999999999996</v>
      </c>
      <c r="K52" s="79">
        <v>0</v>
      </c>
      <c r="L52" s="79">
        <v>0</v>
      </c>
      <c r="M52" s="79">
        <v>27.999999999999996</v>
      </c>
      <c r="N52" s="79">
        <v>0</v>
      </c>
      <c r="O52" s="79">
        <v>305</v>
      </c>
      <c r="P52" s="79">
        <v>0</v>
      </c>
      <c r="Q52" s="79">
        <v>0</v>
      </c>
      <c r="R52" s="79">
        <v>0</v>
      </c>
      <c r="S52" s="79">
        <v>0</v>
      </c>
      <c r="T52" s="79">
        <v>0</v>
      </c>
      <c r="U52" s="79">
        <v>0</v>
      </c>
      <c r="V52" s="79">
        <v>0</v>
      </c>
      <c r="W52" s="79">
        <v>0</v>
      </c>
      <c r="X52" s="90">
        <v>0</v>
      </c>
    </row>
    <row r="53" spans="1:24" hidden="1" x14ac:dyDescent="0.25">
      <c r="A53" s="80" t="str">
        <v>PENDIENTE</v>
      </c>
      <c r="B53" s="80" t="str">
        <v>Barranquita</v>
      </c>
      <c r="C53" s="80" t="str">
        <v>Febrero</v>
      </c>
      <c r="D53" s="81">
        <v>46045</v>
      </c>
      <c r="E53" s="79">
        <v>723</v>
      </c>
      <c r="F53" s="81">
        <v>46026</v>
      </c>
      <c r="G53" s="79" cm="1">
        <f t="array" ref="G53:X53">_xlfn._xlws.FILTER(Formulas!$C$2:$T$201, ISNUMBER(MATCH(Formulas!$B$2:$B$201, B53, 0)),0) * E53</f>
        <v>129.81546134663341</v>
      </c>
      <c r="H53" s="79">
        <v>242.50249376558602</v>
      </c>
      <c r="I53" s="79">
        <v>25.241895261845386</v>
      </c>
      <c r="J53" s="79">
        <v>25.241895261845386</v>
      </c>
      <c r="K53" s="79">
        <v>0</v>
      </c>
      <c r="L53" s="79">
        <v>0</v>
      </c>
      <c r="M53" s="79">
        <v>25.241895261845386</v>
      </c>
      <c r="N53" s="79">
        <v>0</v>
      </c>
      <c r="O53" s="79">
        <v>274.95635910224439</v>
      </c>
      <c r="P53" s="79">
        <v>0</v>
      </c>
      <c r="Q53" s="79">
        <v>0</v>
      </c>
      <c r="R53" s="79">
        <v>0</v>
      </c>
      <c r="S53" s="79">
        <v>0</v>
      </c>
      <c r="T53" s="79">
        <v>0</v>
      </c>
      <c r="U53" s="79">
        <v>0</v>
      </c>
      <c r="V53" s="79">
        <v>0</v>
      </c>
      <c r="W53" s="79">
        <v>0</v>
      </c>
      <c r="X53" s="90">
        <v>0</v>
      </c>
    </row>
    <row r="54" spans="1:24" hidden="1" x14ac:dyDescent="0.25">
      <c r="A54" s="80" t="str">
        <v>PENDIENTE</v>
      </c>
      <c r="B54" s="80" t="str">
        <v>Barranquita</v>
      </c>
      <c r="C54" s="80" t="str">
        <v>Marzo</v>
      </c>
      <c r="D54" s="81">
        <v>46073</v>
      </c>
      <c r="E54" s="79">
        <v>802</v>
      </c>
      <c r="F54" s="81">
        <v>46063</v>
      </c>
      <c r="G54" s="79" cm="1">
        <f t="array" ref="G54:X54">_xlfn._xlws.FILTER(Formulas!$C$2:$T$201, ISNUMBER(MATCH(Formulas!$B$2:$B$201, B54, 0)),0) * E54</f>
        <v>144</v>
      </c>
      <c r="H54" s="79">
        <v>269</v>
      </c>
      <c r="I54" s="79">
        <v>27.999999999999996</v>
      </c>
      <c r="J54" s="79">
        <v>27.999999999999996</v>
      </c>
      <c r="K54" s="79">
        <v>0</v>
      </c>
      <c r="L54" s="79">
        <v>0</v>
      </c>
      <c r="M54" s="79">
        <v>27.999999999999996</v>
      </c>
      <c r="N54" s="79">
        <v>0</v>
      </c>
      <c r="O54" s="79">
        <v>305</v>
      </c>
      <c r="P54" s="79">
        <v>0</v>
      </c>
      <c r="Q54" s="79">
        <v>0</v>
      </c>
      <c r="R54" s="79">
        <v>0</v>
      </c>
      <c r="S54" s="79">
        <v>0</v>
      </c>
      <c r="T54" s="79">
        <v>0</v>
      </c>
      <c r="U54" s="79">
        <v>0</v>
      </c>
      <c r="V54" s="79">
        <v>0</v>
      </c>
      <c r="W54" s="79">
        <v>0</v>
      </c>
      <c r="X54" s="90">
        <v>0</v>
      </c>
    </row>
    <row r="55" spans="1:24" hidden="1" x14ac:dyDescent="0.25">
      <c r="A55" s="80" t="str">
        <v>PENDIENTE</v>
      </c>
      <c r="B55" s="80" t="str">
        <v>Barranquita</v>
      </c>
      <c r="C55" s="80" t="str">
        <v>Abril</v>
      </c>
      <c r="D55" s="81">
        <v>46073</v>
      </c>
      <c r="E55" s="79">
        <v>775</v>
      </c>
      <c r="F55" s="81">
        <v>46063</v>
      </c>
      <c r="G55" s="79" cm="1">
        <f t="array" ref="G55:X55">_xlfn._xlws.FILTER(Formulas!$C$2:$T$201, ISNUMBER(MATCH(Formulas!$B$2:$B$201, B55, 0)),0) * E55</f>
        <v>139.15211970074813</v>
      </c>
      <c r="H55" s="79">
        <v>259.94389027431419</v>
      </c>
      <c r="I55" s="79">
        <v>27.057356608478802</v>
      </c>
      <c r="J55" s="79">
        <v>27.057356608478802</v>
      </c>
      <c r="K55" s="79">
        <v>0</v>
      </c>
      <c r="L55" s="79">
        <v>0</v>
      </c>
      <c r="M55" s="79">
        <v>27.057356608478802</v>
      </c>
      <c r="N55" s="79">
        <v>0</v>
      </c>
      <c r="O55" s="79">
        <v>294.73192019950125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  <c r="U55" s="79">
        <v>0</v>
      </c>
      <c r="V55" s="79">
        <v>0</v>
      </c>
      <c r="W55" s="79">
        <v>0</v>
      </c>
      <c r="X55" s="90">
        <v>0</v>
      </c>
    </row>
    <row r="56" spans="1:24" hidden="1" x14ac:dyDescent="0.25">
      <c r="A56" s="80" t="str">
        <v>PENDIENTE</v>
      </c>
      <c r="B56" s="80" t="str">
        <v>Barranquita</v>
      </c>
      <c r="C56" s="80" t="str">
        <v>Mayo</v>
      </c>
      <c r="D56" s="81">
        <v>46133</v>
      </c>
      <c r="E56" s="79">
        <v>802</v>
      </c>
      <c r="F56" s="81">
        <v>46121</v>
      </c>
      <c r="G56" s="79" cm="1">
        <f t="array" ref="G56:X56">_xlfn._xlws.FILTER(Formulas!$C$2:$T$201, ISNUMBER(MATCH(Formulas!$B$2:$B$201, B56, 0)),0) * E56</f>
        <v>144</v>
      </c>
      <c r="H56" s="79">
        <v>269</v>
      </c>
      <c r="I56" s="79">
        <v>27.999999999999996</v>
      </c>
      <c r="J56" s="79">
        <v>27.999999999999996</v>
      </c>
      <c r="K56" s="79">
        <v>0</v>
      </c>
      <c r="L56" s="79">
        <v>0</v>
      </c>
      <c r="M56" s="79">
        <v>27.999999999999996</v>
      </c>
      <c r="N56" s="79">
        <v>0</v>
      </c>
      <c r="O56" s="79">
        <v>305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90">
        <v>0</v>
      </c>
    </row>
    <row r="57" spans="1:24" hidden="1" x14ac:dyDescent="0.25">
      <c r="A57" s="80" t="str">
        <v>PENDIENTE</v>
      </c>
      <c r="B57" s="80" t="str">
        <v>Barranquita</v>
      </c>
      <c r="C57" s="80" t="str">
        <v>Junio</v>
      </c>
      <c r="D57" s="81">
        <v>46133</v>
      </c>
      <c r="E57" s="79">
        <v>775</v>
      </c>
      <c r="F57" s="81">
        <v>46121</v>
      </c>
      <c r="G57" s="79" cm="1">
        <f t="array" ref="G57:X57">_xlfn._xlws.FILTER(Formulas!$C$2:$T$201, ISNUMBER(MATCH(Formulas!$B$2:$B$201, B57, 0)),0) * E57</f>
        <v>139.15211970074813</v>
      </c>
      <c r="H57" s="79">
        <v>259.94389027431419</v>
      </c>
      <c r="I57" s="79">
        <v>27.057356608478802</v>
      </c>
      <c r="J57" s="79">
        <v>27.057356608478802</v>
      </c>
      <c r="K57" s="79">
        <v>0</v>
      </c>
      <c r="L57" s="79">
        <v>0</v>
      </c>
      <c r="M57" s="79">
        <v>27.057356608478802</v>
      </c>
      <c r="N57" s="79">
        <v>0</v>
      </c>
      <c r="O57" s="79">
        <v>294.73192019950125</v>
      </c>
      <c r="P57" s="79">
        <v>0</v>
      </c>
      <c r="Q57" s="79">
        <v>0</v>
      </c>
      <c r="R57" s="79">
        <v>0</v>
      </c>
      <c r="S57" s="79">
        <v>0</v>
      </c>
      <c r="T57" s="79">
        <v>0</v>
      </c>
      <c r="U57" s="79">
        <v>0</v>
      </c>
      <c r="V57" s="79">
        <v>0</v>
      </c>
      <c r="W57" s="79">
        <v>0</v>
      </c>
      <c r="X57" s="90">
        <v>0</v>
      </c>
    </row>
    <row r="58" spans="1:24" hidden="1" x14ac:dyDescent="0.25">
      <c r="A58" s="80" t="str">
        <v>PENDIENTE</v>
      </c>
      <c r="B58" s="80" t="str">
        <v>Barranquita</v>
      </c>
      <c r="C58" s="80" t="str">
        <v>Julio</v>
      </c>
      <c r="D58" s="81">
        <v>46195</v>
      </c>
      <c r="E58" s="79">
        <v>802</v>
      </c>
      <c r="F58" s="81">
        <v>46177</v>
      </c>
      <c r="G58" s="79" cm="1">
        <f t="array" ref="G58:X58">_xlfn._xlws.FILTER(Formulas!$C$2:$T$201, ISNUMBER(MATCH(Formulas!$B$2:$B$201, B58, 0)),0) * E58</f>
        <v>144</v>
      </c>
      <c r="H58" s="79">
        <v>269</v>
      </c>
      <c r="I58" s="79">
        <v>27.999999999999996</v>
      </c>
      <c r="J58" s="79">
        <v>27.999999999999996</v>
      </c>
      <c r="K58" s="79">
        <v>0</v>
      </c>
      <c r="L58" s="79">
        <v>0</v>
      </c>
      <c r="M58" s="79">
        <v>27.999999999999996</v>
      </c>
      <c r="N58" s="79">
        <v>0</v>
      </c>
      <c r="O58" s="79">
        <v>305</v>
      </c>
      <c r="P58" s="79">
        <v>0</v>
      </c>
      <c r="Q58" s="79">
        <v>0</v>
      </c>
      <c r="R58" s="79">
        <v>0</v>
      </c>
      <c r="S58" s="79">
        <v>0</v>
      </c>
      <c r="T58" s="79">
        <v>0</v>
      </c>
      <c r="U58" s="79">
        <v>0</v>
      </c>
      <c r="V58" s="79">
        <v>0</v>
      </c>
      <c r="W58" s="79">
        <v>0</v>
      </c>
      <c r="X58" s="90">
        <v>0</v>
      </c>
    </row>
    <row r="59" spans="1:24" hidden="1" x14ac:dyDescent="0.25">
      <c r="A59" s="80" t="str">
        <v>PENDIENTE</v>
      </c>
      <c r="B59" s="80" t="str">
        <v>Barranquita</v>
      </c>
      <c r="C59" s="80" t="str">
        <v>Agosto</v>
      </c>
      <c r="D59" s="81">
        <v>46195</v>
      </c>
      <c r="E59" s="79">
        <v>802</v>
      </c>
      <c r="F59" s="81">
        <v>46177</v>
      </c>
      <c r="G59" s="79" cm="1">
        <f t="array" ref="G59:X59">_xlfn._xlws.FILTER(Formulas!$C$2:$T$201, ISNUMBER(MATCH(Formulas!$B$2:$B$201, B59, 0)),0) * E59</f>
        <v>144</v>
      </c>
      <c r="H59" s="79">
        <v>269</v>
      </c>
      <c r="I59" s="79">
        <v>27.999999999999996</v>
      </c>
      <c r="J59" s="79">
        <v>27.999999999999996</v>
      </c>
      <c r="K59" s="79">
        <v>0</v>
      </c>
      <c r="L59" s="79">
        <v>0</v>
      </c>
      <c r="M59" s="79">
        <v>27.999999999999996</v>
      </c>
      <c r="N59" s="79">
        <v>0</v>
      </c>
      <c r="O59" s="79">
        <v>305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90">
        <v>0</v>
      </c>
    </row>
    <row r="60" spans="1:24" hidden="1" x14ac:dyDescent="0.25">
      <c r="A60" s="80" t="str">
        <v>PENDIENTE</v>
      </c>
      <c r="B60" s="80" t="str">
        <v>Barranquita</v>
      </c>
      <c r="C60" s="80" t="str">
        <v>Setiembre</v>
      </c>
      <c r="D60" s="81">
        <v>46253</v>
      </c>
      <c r="E60" s="79">
        <v>775</v>
      </c>
      <c r="F60" s="81">
        <v>46234</v>
      </c>
      <c r="G60" s="79" cm="1">
        <f t="array" ref="G60:X60">_xlfn._xlws.FILTER(Formulas!$C$2:$T$201, ISNUMBER(MATCH(Formulas!$B$2:$B$201, B60, 0)),0) * E60</f>
        <v>139.15211970074813</v>
      </c>
      <c r="H60" s="79">
        <v>259.94389027431419</v>
      </c>
      <c r="I60" s="79">
        <v>27.057356608478802</v>
      </c>
      <c r="J60" s="79">
        <v>27.057356608478802</v>
      </c>
      <c r="K60" s="79">
        <v>0</v>
      </c>
      <c r="L60" s="79">
        <v>0</v>
      </c>
      <c r="M60" s="79">
        <v>27.057356608478802</v>
      </c>
      <c r="N60" s="79">
        <v>0</v>
      </c>
      <c r="O60" s="79">
        <v>294.73192019950125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  <c r="U60" s="79">
        <v>0</v>
      </c>
      <c r="V60" s="79">
        <v>0</v>
      </c>
      <c r="W60" s="79">
        <v>0</v>
      </c>
      <c r="X60" s="90">
        <v>0</v>
      </c>
    </row>
    <row r="61" spans="1:24" hidden="1" x14ac:dyDescent="0.25">
      <c r="A61" s="80" t="str">
        <v>PENDIENTE</v>
      </c>
      <c r="B61" s="80" t="str">
        <v>Barranquita</v>
      </c>
      <c r="C61" s="80" t="str">
        <v>Octubre</v>
      </c>
      <c r="D61" s="81">
        <v>46253</v>
      </c>
      <c r="E61" s="79">
        <v>802</v>
      </c>
      <c r="F61" s="81">
        <v>46237</v>
      </c>
      <c r="G61" s="79" cm="1">
        <f t="array" ref="G61:X61">_xlfn._xlws.FILTER(Formulas!$C$2:$T$201, ISNUMBER(MATCH(Formulas!$B$2:$B$201, B61, 0)),0) * E61</f>
        <v>144</v>
      </c>
      <c r="H61" s="79">
        <v>269</v>
      </c>
      <c r="I61" s="79">
        <v>27.999999999999996</v>
      </c>
      <c r="J61" s="79">
        <v>27.999999999999996</v>
      </c>
      <c r="K61" s="79">
        <v>0</v>
      </c>
      <c r="L61" s="79">
        <v>0</v>
      </c>
      <c r="M61" s="79">
        <v>27.999999999999996</v>
      </c>
      <c r="N61" s="79">
        <v>0</v>
      </c>
      <c r="O61" s="79">
        <v>305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90">
        <v>0</v>
      </c>
    </row>
    <row r="62" spans="1:24" hidden="1" x14ac:dyDescent="0.25">
      <c r="A62" s="80" t="str">
        <v>PENDIENTE</v>
      </c>
      <c r="B62" s="80" t="str">
        <v>Barranquita</v>
      </c>
      <c r="C62" s="80" t="str">
        <v>Noviembre</v>
      </c>
      <c r="D62" s="81">
        <v>46315</v>
      </c>
      <c r="E62" s="79">
        <v>778</v>
      </c>
      <c r="F62" s="80">
        <v>0</v>
      </c>
      <c r="G62" s="79" cm="1">
        <f t="array" ref="G62:X62">_xlfn._xlws.FILTER(Formulas!$C$2:$T$201, ISNUMBER(MATCH(Formulas!$B$2:$B$201, B62, 0)),0) * E62</f>
        <v>139.69077306733166</v>
      </c>
      <c r="H62" s="79">
        <v>260.95012468827929</v>
      </c>
      <c r="I62" s="79">
        <v>27.162094763092266</v>
      </c>
      <c r="J62" s="79">
        <v>27.162094763092266</v>
      </c>
      <c r="K62" s="79">
        <v>0</v>
      </c>
      <c r="L62" s="79">
        <v>0</v>
      </c>
      <c r="M62" s="79">
        <v>27.162094763092266</v>
      </c>
      <c r="N62" s="79">
        <v>0</v>
      </c>
      <c r="O62" s="79">
        <v>295.87281795511223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90">
        <v>0</v>
      </c>
    </row>
    <row r="63" spans="1:24" hidden="1" x14ac:dyDescent="0.25">
      <c r="A63" s="80" t="str">
        <v>PENDIENTE</v>
      </c>
      <c r="B63" s="80" t="str">
        <v>Barranquita</v>
      </c>
      <c r="C63" s="80" t="str">
        <v>Diciembre</v>
      </c>
      <c r="D63" s="81">
        <v>46315</v>
      </c>
      <c r="E63" s="79">
        <v>804.5</v>
      </c>
      <c r="F63" s="80">
        <v>0</v>
      </c>
      <c r="G63" s="79" cm="1">
        <f t="array" ref="G63:X63">_xlfn._xlws.FILTER(Formulas!$C$2:$T$201, ISNUMBER(MATCH(Formulas!$B$2:$B$201, B63, 0)),0) * E63</f>
        <v>144.44887780548629</v>
      </c>
      <c r="H63" s="79">
        <v>269.83852867830421</v>
      </c>
      <c r="I63" s="79">
        <v>28.08728179551122</v>
      </c>
      <c r="J63" s="79">
        <v>28.08728179551122</v>
      </c>
      <c r="K63" s="79">
        <v>0</v>
      </c>
      <c r="L63" s="79">
        <v>0</v>
      </c>
      <c r="M63" s="79">
        <v>28.08728179551122</v>
      </c>
      <c r="N63" s="79">
        <v>0</v>
      </c>
      <c r="O63" s="79">
        <v>305.95074812967584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90">
        <v>0</v>
      </c>
    </row>
    <row r="64" spans="1:24" hidden="1" x14ac:dyDescent="0.25">
      <c r="A64" s="80" t="str">
        <v>PENDIENTE</v>
      </c>
      <c r="B64" s="80" t="str">
        <v>Buenaventura</v>
      </c>
      <c r="C64" s="80" t="str">
        <v>O.C.</v>
      </c>
      <c r="D64" s="81">
        <v>46208</v>
      </c>
      <c r="E64" s="79">
        <v>5996</v>
      </c>
      <c r="F64" s="81">
        <v>46207</v>
      </c>
      <c r="G64" s="79" cm="1">
        <f t="array" ref="G64:X64">_xlfn._xlws.FILTER(Formulas!$C$2:$T$201, ISNUMBER(MATCH(Formulas!$B$2:$B$201, B64, 0)),0) * E64</f>
        <v>1124.25</v>
      </c>
      <c r="H64" s="79">
        <v>2533.31</v>
      </c>
      <c r="I64" s="79">
        <v>239.84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2098.6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90">
        <v>0</v>
      </c>
    </row>
    <row r="65" spans="1:24" hidden="1" x14ac:dyDescent="0.25">
      <c r="A65" s="80" t="str">
        <v>PENDIENTE</v>
      </c>
      <c r="B65" s="80" t="str">
        <v>Buenavista</v>
      </c>
      <c r="C65" s="80" t="str">
        <v>Enero / Febrero / Marzo</v>
      </c>
      <c r="D65" s="81">
        <v>46055</v>
      </c>
      <c r="E65" s="79">
        <v>1350</v>
      </c>
      <c r="F65" s="81">
        <v>46079</v>
      </c>
      <c r="G65" s="79" cm="1">
        <f t="array" ref="G65:X65">_xlfn._xlws.FILTER(Formulas!$C$2:$T$201, ISNUMBER(MATCH(Formulas!$B$2:$B$201, B65, 0)),0) * E65</f>
        <v>270</v>
      </c>
      <c r="H65" s="79">
        <v>958</v>
      </c>
      <c r="I65" s="79">
        <v>68</v>
      </c>
      <c r="J65" s="79">
        <v>0</v>
      </c>
      <c r="K65" s="79">
        <v>0</v>
      </c>
      <c r="L65" s="79">
        <v>54</v>
      </c>
      <c r="M65" s="79">
        <v>0</v>
      </c>
      <c r="N65" s="79">
        <v>0</v>
      </c>
      <c r="O65" s="79">
        <v>0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90">
        <v>0</v>
      </c>
    </row>
    <row r="66" spans="1:24" hidden="1" x14ac:dyDescent="0.25">
      <c r="A66" s="80" t="str">
        <v>PENDIENTE</v>
      </c>
      <c r="B66" s="80" t="str">
        <v>Buenavista</v>
      </c>
      <c r="C66" s="80" t="str">
        <v>Abril / Mayo / Junio</v>
      </c>
      <c r="D66" s="81">
        <v>46137</v>
      </c>
      <c r="E66" s="79">
        <v>1350</v>
      </c>
      <c r="F66" s="81">
        <v>46138</v>
      </c>
      <c r="G66" s="79" cm="1">
        <f t="array" ref="G66:X66">_xlfn._xlws.FILTER(Formulas!$C$2:$T$201, ISNUMBER(MATCH(Formulas!$B$2:$B$201, B66, 0)),0) * E66</f>
        <v>270</v>
      </c>
      <c r="H66" s="79">
        <v>958</v>
      </c>
      <c r="I66" s="79">
        <v>68</v>
      </c>
      <c r="J66" s="79">
        <v>0</v>
      </c>
      <c r="K66" s="79">
        <v>0</v>
      </c>
      <c r="L66" s="79">
        <v>54</v>
      </c>
      <c r="M66" s="79">
        <v>0</v>
      </c>
      <c r="N66" s="79">
        <v>0</v>
      </c>
      <c r="O66" s="79">
        <v>0</v>
      </c>
      <c r="P66" s="79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90">
        <v>0</v>
      </c>
    </row>
    <row r="67" spans="1:24" hidden="1" x14ac:dyDescent="0.25">
      <c r="A67" s="80" t="str">
        <v>PENDIENTE</v>
      </c>
      <c r="B67" s="80" t="str">
        <v>Buenavista</v>
      </c>
      <c r="C67" s="80" t="str">
        <v>Julio / Agosto / Septiembre</v>
      </c>
      <c r="D67" s="81">
        <v>46203</v>
      </c>
      <c r="E67" s="79">
        <v>1350</v>
      </c>
      <c r="F67" s="81">
        <v>46220</v>
      </c>
      <c r="G67" s="79" cm="1">
        <f t="array" ref="G67:X67">_xlfn._xlws.FILTER(Formulas!$C$2:$T$201, ISNUMBER(MATCH(Formulas!$B$2:$B$201, B67, 0)),0) * E67</f>
        <v>270</v>
      </c>
      <c r="H67" s="79">
        <v>958</v>
      </c>
      <c r="I67" s="79">
        <v>68</v>
      </c>
      <c r="J67" s="79">
        <v>0</v>
      </c>
      <c r="K67" s="79">
        <v>0</v>
      </c>
      <c r="L67" s="79">
        <v>54</v>
      </c>
      <c r="M67" s="79">
        <v>0</v>
      </c>
      <c r="N67" s="79">
        <v>0</v>
      </c>
      <c r="O67" s="79">
        <v>0</v>
      </c>
      <c r="P67" s="79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90">
        <v>0</v>
      </c>
    </row>
    <row r="68" spans="1:24" hidden="1" x14ac:dyDescent="0.25">
      <c r="A68" s="80" t="str">
        <v>PENDIENTE</v>
      </c>
      <c r="B68" s="80" t="str">
        <v>Buenavista</v>
      </c>
      <c r="C68" s="80" t="str">
        <v>O.C.</v>
      </c>
      <c r="D68" s="81">
        <v>46241</v>
      </c>
      <c r="E68" s="79">
        <v>191.25</v>
      </c>
      <c r="F68" s="81">
        <v>46238</v>
      </c>
      <c r="G68" s="79" cm="1">
        <f t="array" ref="G68:X68">_xlfn._xlws.FILTER(Formulas!$C$2:$T$201, ISNUMBER(MATCH(Formulas!$B$2:$B$201, B68, 0)),0) * E68</f>
        <v>38.25</v>
      </c>
      <c r="H68" s="79">
        <v>135.71666666666667</v>
      </c>
      <c r="I68" s="79">
        <v>9.6333333333333329</v>
      </c>
      <c r="J68" s="79">
        <v>0</v>
      </c>
      <c r="K68" s="79">
        <v>0</v>
      </c>
      <c r="L68" s="79">
        <v>7.65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90">
        <v>0</v>
      </c>
    </row>
    <row r="69" spans="1:24" hidden="1" x14ac:dyDescent="0.25">
      <c r="A69" s="80" t="str">
        <v>PENDIENTE</v>
      </c>
      <c r="B69" s="80" t="str">
        <v>Buenavista</v>
      </c>
      <c r="C69" s="80" t="str">
        <v>Octubre / Noviembre / Diciembre</v>
      </c>
      <c r="D69" s="81">
        <v>46295</v>
      </c>
      <c r="E69" s="79">
        <v>1350</v>
      </c>
      <c r="F69" s="80">
        <v>0</v>
      </c>
      <c r="G69" s="79" cm="1">
        <f t="array" ref="G69:X69">_xlfn._xlws.FILTER(Formulas!$C$2:$T$201, ISNUMBER(MATCH(Formulas!$B$2:$B$201, B69, 0)),0) * E69</f>
        <v>270</v>
      </c>
      <c r="H69" s="79">
        <v>958</v>
      </c>
      <c r="I69" s="79">
        <v>68</v>
      </c>
      <c r="J69" s="79">
        <v>0</v>
      </c>
      <c r="K69" s="79">
        <v>0</v>
      </c>
      <c r="L69" s="79">
        <v>54</v>
      </c>
      <c r="M69" s="79">
        <v>0</v>
      </c>
      <c r="N69" s="79">
        <v>0</v>
      </c>
      <c r="O69" s="79">
        <v>0</v>
      </c>
      <c r="P69" s="79">
        <v>0</v>
      </c>
      <c r="Q69" s="79">
        <v>0</v>
      </c>
      <c r="R69" s="79">
        <v>0</v>
      </c>
      <c r="S69" s="79">
        <v>0</v>
      </c>
      <c r="T69" s="79">
        <v>0</v>
      </c>
      <c r="U69" s="79">
        <v>0</v>
      </c>
      <c r="V69" s="79">
        <v>0</v>
      </c>
      <c r="W69" s="79">
        <v>0</v>
      </c>
      <c r="X69" s="90">
        <v>0</v>
      </c>
    </row>
    <row r="70" spans="1:24" hidden="1" x14ac:dyDescent="0.25">
      <c r="A70" s="80" t="str">
        <v>PENDIENTE</v>
      </c>
      <c r="B70" s="80" t="str">
        <v>Caceres</v>
      </c>
      <c r="C70" s="80" t="str">
        <v>Enero</v>
      </c>
      <c r="D70" s="81">
        <v>46053</v>
      </c>
      <c r="E70" s="79">
        <v>1710</v>
      </c>
      <c r="F70" s="81">
        <v>46036</v>
      </c>
      <c r="G70" s="79" cm="1">
        <f t="array" ref="G70:X70">_xlfn._xlws.FILTER(Formulas!$C$2:$T$201, ISNUMBER(MATCH(Formulas!$B$2:$B$201, B70, 0)),0) * E70</f>
        <v>342</v>
      </c>
      <c r="H70" s="79">
        <v>1231</v>
      </c>
      <c r="I70" s="79">
        <v>68.5</v>
      </c>
      <c r="J70" s="79">
        <v>0</v>
      </c>
      <c r="K70" s="79">
        <v>0</v>
      </c>
      <c r="L70" s="79">
        <v>68.5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90">
        <v>0</v>
      </c>
    </row>
    <row r="71" spans="1:24" hidden="1" x14ac:dyDescent="0.25">
      <c r="A71" s="80" t="str">
        <v>PENDIENTE</v>
      </c>
      <c r="B71" s="80" t="str">
        <v>Caceres</v>
      </c>
      <c r="C71" s="80" t="str">
        <v>Marzo</v>
      </c>
      <c r="D71" s="81">
        <v>46080</v>
      </c>
      <c r="E71" s="79">
        <v>855</v>
      </c>
      <c r="F71" s="81">
        <v>46091</v>
      </c>
      <c r="G71" s="79" cm="1">
        <f t="array" ref="G71:X71">_xlfn._xlws.FILTER(Formulas!$C$2:$T$201, ISNUMBER(MATCH(Formulas!$B$2:$B$201, B71, 0)),0) * E71</f>
        <v>171</v>
      </c>
      <c r="H71" s="79">
        <v>615.5</v>
      </c>
      <c r="I71" s="79">
        <v>34.25</v>
      </c>
      <c r="J71" s="79">
        <v>0</v>
      </c>
      <c r="K71" s="79">
        <v>0</v>
      </c>
      <c r="L71" s="79">
        <v>34.25</v>
      </c>
      <c r="M71" s="79">
        <v>0</v>
      </c>
      <c r="N71" s="79">
        <v>0</v>
      </c>
      <c r="O71" s="79">
        <v>0</v>
      </c>
      <c r="P71" s="79">
        <v>0</v>
      </c>
      <c r="Q71" s="79">
        <v>0</v>
      </c>
      <c r="R71" s="79">
        <v>0</v>
      </c>
      <c r="S71" s="79">
        <v>0</v>
      </c>
      <c r="T71" s="79">
        <v>0</v>
      </c>
      <c r="U71" s="79">
        <v>0</v>
      </c>
      <c r="V71" s="79">
        <v>0</v>
      </c>
      <c r="W71" s="79">
        <v>0</v>
      </c>
      <c r="X71" s="90">
        <v>0</v>
      </c>
    </row>
    <row r="72" spans="1:24" hidden="1" x14ac:dyDescent="0.25">
      <c r="A72" s="80" t="str">
        <v>PENDIENTE</v>
      </c>
      <c r="B72" s="80" t="str">
        <v>Caceres</v>
      </c>
      <c r="C72" s="80" t="str">
        <v>Abril</v>
      </c>
      <c r="D72" s="81">
        <v>46108</v>
      </c>
      <c r="E72" s="79">
        <v>855</v>
      </c>
      <c r="F72" s="81">
        <v>46091</v>
      </c>
      <c r="G72" s="79" cm="1">
        <f t="array" ref="G72:X72">_xlfn._xlws.FILTER(Formulas!$C$2:$T$201, ISNUMBER(MATCH(Formulas!$B$2:$B$201, B72, 0)),0) * E72</f>
        <v>171</v>
      </c>
      <c r="H72" s="79">
        <v>615.5</v>
      </c>
      <c r="I72" s="79">
        <v>34.25</v>
      </c>
      <c r="J72" s="79">
        <v>0</v>
      </c>
      <c r="K72" s="79">
        <v>0</v>
      </c>
      <c r="L72" s="79">
        <v>34.25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90">
        <v>0</v>
      </c>
    </row>
    <row r="73" spans="1:24" hidden="1" x14ac:dyDescent="0.25">
      <c r="A73" s="80" t="str">
        <v>PENDIENTE</v>
      </c>
      <c r="B73" s="80" t="str">
        <v>Caceres</v>
      </c>
      <c r="C73" s="80" t="str">
        <v>Mayo</v>
      </c>
      <c r="D73" s="81">
        <v>46139</v>
      </c>
      <c r="E73" s="79">
        <v>855</v>
      </c>
      <c r="F73" s="81">
        <v>46137</v>
      </c>
      <c r="G73" s="79" cm="1">
        <f t="array" ref="G73:X73">_xlfn._xlws.FILTER(Formulas!$C$2:$T$201, ISNUMBER(MATCH(Formulas!$B$2:$B$201, B73, 0)),0) * E73</f>
        <v>171</v>
      </c>
      <c r="H73" s="79">
        <v>615.5</v>
      </c>
      <c r="I73" s="79">
        <v>34.25</v>
      </c>
      <c r="J73" s="79">
        <v>0</v>
      </c>
      <c r="K73" s="79">
        <v>0</v>
      </c>
      <c r="L73" s="79">
        <v>34.25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90">
        <v>0</v>
      </c>
    </row>
    <row r="74" spans="1:24" hidden="1" x14ac:dyDescent="0.25">
      <c r="A74" s="80" t="str">
        <v>PENDIENTE</v>
      </c>
      <c r="B74" s="80" t="str">
        <v>Caceres</v>
      </c>
      <c r="C74" s="80" t="str">
        <v>Junio</v>
      </c>
      <c r="D74" s="81">
        <v>46139</v>
      </c>
      <c r="E74" s="79">
        <v>855</v>
      </c>
      <c r="F74" s="81">
        <v>46137</v>
      </c>
      <c r="G74" s="79" cm="1">
        <f t="array" ref="G74:X74">_xlfn._xlws.FILTER(Formulas!$C$2:$T$201, ISNUMBER(MATCH(Formulas!$B$2:$B$201, B74, 0)),0) * E74</f>
        <v>171</v>
      </c>
      <c r="H74" s="79">
        <v>615.5</v>
      </c>
      <c r="I74" s="79">
        <v>34.25</v>
      </c>
      <c r="J74" s="79">
        <v>0</v>
      </c>
      <c r="K74" s="79">
        <v>0</v>
      </c>
      <c r="L74" s="79">
        <v>34.25</v>
      </c>
      <c r="M74" s="79">
        <v>0</v>
      </c>
      <c r="N74" s="79">
        <v>0</v>
      </c>
      <c r="O74" s="79">
        <v>0</v>
      </c>
      <c r="P74" s="79">
        <v>0</v>
      </c>
      <c r="Q74" s="79">
        <v>0</v>
      </c>
      <c r="R74" s="79">
        <v>0</v>
      </c>
      <c r="S74" s="79">
        <v>0</v>
      </c>
      <c r="T74" s="79">
        <v>0</v>
      </c>
      <c r="U74" s="79">
        <v>0</v>
      </c>
      <c r="V74" s="79">
        <v>0</v>
      </c>
      <c r="W74" s="79">
        <v>0</v>
      </c>
      <c r="X74" s="90">
        <v>0</v>
      </c>
    </row>
    <row r="75" spans="1:24" hidden="1" x14ac:dyDescent="0.25">
      <c r="A75" s="80" t="str">
        <v>PENDIENTE</v>
      </c>
      <c r="B75" s="80" t="str">
        <v>Caceres</v>
      </c>
      <c r="C75" s="80" t="str">
        <v>Julio</v>
      </c>
      <c r="D75" s="81">
        <v>46200</v>
      </c>
      <c r="E75" s="79">
        <v>855</v>
      </c>
      <c r="F75" s="81">
        <v>46197</v>
      </c>
      <c r="G75" s="79" cm="1">
        <f t="array" ref="G75:X75">_xlfn._xlws.FILTER(Formulas!$C$2:$T$201, ISNUMBER(MATCH(Formulas!$B$2:$B$201, B75, 0)),0) * E75</f>
        <v>171</v>
      </c>
      <c r="H75" s="79">
        <v>615.5</v>
      </c>
      <c r="I75" s="79">
        <v>34.25</v>
      </c>
      <c r="J75" s="79">
        <v>0</v>
      </c>
      <c r="K75" s="79">
        <v>0</v>
      </c>
      <c r="L75" s="79">
        <v>34.25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90">
        <v>0</v>
      </c>
    </row>
    <row r="76" spans="1:24" hidden="1" x14ac:dyDescent="0.25">
      <c r="A76" s="80" t="str">
        <v>PENDIENTE</v>
      </c>
      <c r="B76" s="80" t="str">
        <v>Caceres</v>
      </c>
      <c r="C76" s="80" t="str">
        <v>Agosto</v>
      </c>
      <c r="D76" s="81">
        <v>46200</v>
      </c>
      <c r="E76" s="79">
        <v>855</v>
      </c>
      <c r="F76" s="81">
        <v>46197</v>
      </c>
      <c r="G76" s="79" cm="1">
        <f t="array" ref="G76:X76">_xlfn._xlws.FILTER(Formulas!$C$2:$T$201, ISNUMBER(MATCH(Formulas!$B$2:$B$201, B76, 0)),0) * E76</f>
        <v>171</v>
      </c>
      <c r="H76" s="79">
        <v>615.5</v>
      </c>
      <c r="I76" s="79">
        <v>34.25</v>
      </c>
      <c r="J76" s="79">
        <v>0</v>
      </c>
      <c r="K76" s="79">
        <v>0</v>
      </c>
      <c r="L76" s="79">
        <v>34.25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90">
        <v>0</v>
      </c>
    </row>
    <row r="77" spans="1:24" hidden="1" x14ac:dyDescent="0.25">
      <c r="A77" s="80" t="str">
        <v>PENDIENTE</v>
      </c>
      <c r="B77" s="80" t="str">
        <v>Caceres</v>
      </c>
      <c r="C77" s="80" t="str">
        <v>O.C.</v>
      </c>
      <c r="D77" s="81">
        <v>46230</v>
      </c>
      <c r="E77" s="79">
        <v>1025.29</v>
      </c>
      <c r="F77" s="81">
        <v>46233</v>
      </c>
      <c r="G77" s="79" cm="1">
        <f t="array" ref="G77:X77">_xlfn._xlws.FILTER(Formulas!$C$2:$T$201, ISNUMBER(MATCH(Formulas!$B$2:$B$201, B77, 0)),0) * E77</f>
        <v>205.05799999999999</v>
      </c>
      <c r="H77" s="79">
        <v>738.08888304093568</v>
      </c>
      <c r="I77" s="79">
        <v>41.071558479532165</v>
      </c>
      <c r="J77" s="79">
        <v>0</v>
      </c>
      <c r="K77" s="79">
        <v>0</v>
      </c>
      <c r="L77" s="79">
        <v>41.071558479532165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90">
        <v>0</v>
      </c>
    </row>
    <row r="78" spans="1:24" hidden="1" x14ac:dyDescent="0.25">
      <c r="A78" s="80" t="str">
        <v>PENDIENTE</v>
      </c>
      <c r="B78" s="80" t="str">
        <v>Caceres</v>
      </c>
      <c r="C78" s="80" t="str">
        <v>Setiembre</v>
      </c>
      <c r="D78" s="81">
        <v>46261</v>
      </c>
      <c r="E78" s="79">
        <v>855</v>
      </c>
      <c r="F78" s="81">
        <v>46247</v>
      </c>
      <c r="G78" s="79" cm="1">
        <f t="array" ref="G78:X78">_xlfn._xlws.FILTER(Formulas!$C$2:$T$201, ISNUMBER(MATCH(Formulas!$B$2:$B$201, B78, 0)),0) * E78</f>
        <v>171</v>
      </c>
      <c r="H78" s="79">
        <v>615.5</v>
      </c>
      <c r="I78" s="79">
        <v>34.25</v>
      </c>
      <c r="J78" s="79">
        <v>0</v>
      </c>
      <c r="K78" s="79">
        <v>0</v>
      </c>
      <c r="L78" s="79">
        <v>34.25</v>
      </c>
      <c r="M78" s="79">
        <v>0</v>
      </c>
      <c r="N78" s="79">
        <v>0</v>
      </c>
      <c r="O78" s="79">
        <v>0</v>
      </c>
      <c r="P78" s="79">
        <v>0</v>
      </c>
      <c r="Q78" s="79">
        <v>0</v>
      </c>
      <c r="R78" s="79">
        <v>0</v>
      </c>
      <c r="S78" s="79">
        <v>0</v>
      </c>
      <c r="T78" s="79">
        <v>0</v>
      </c>
      <c r="U78" s="79">
        <v>0</v>
      </c>
      <c r="V78" s="79">
        <v>0</v>
      </c>
      <c r="W78" s="79">
        <v>0</v>
      </c>
      <c r="X78" s="90">
        <v>0</v>
      </c>
    </row>
    <row r="79" spans="1:24" hidden="1" x14ac:dyDescent="0.25">
      <c r="A79" s="80" t="str">
        <v>PENDIENTE</v>
      </c>
      <c r="B79" s="80" t="str">
        <v>Caceres</v>
      </c>
      <c r="C79" s="80" t="str">
        <v>Octubre</v>
      </c>
      <c r="D79" s="81">
        <v>46261</v>
      </c>
      <c r="E79" s="79">
        <v>855</v>
      </c>
      <c r="F79" s="81">
        <v>46247</v>
      </c>
      <c r="G79" s="79" cm="1">
        <f t="array" ref="G79:X79">_xlfn._xlws.FILTER(Formulas!$C$2:$T$201, ISNUMBER(MATCH(Formulas!$B$2:$B$201, B79, 0)),0) * E79</f>
        <v>171</v>
      </c>
      <c r="H79" s="79">
        <v>615.5</v>
      </c>
      <c r="I79" s="79">
        <v>34.25</v>
      </c>
      <c r="J79" s="79">
        <v>0</v>
      </c>
      <c r="K79" s="79">
        <v>0</v>
      </c>
      <c r="L79" s="79">
        <v>34.25</v>
      </c>
      <c r="M79" s="79">
        <v>0</v>
      </c>
      <c r="N79" s="79">
        <v>0</v>
      </c>
      <c r="O79" s="79">
        <v>0</v>
      </c>
      <c r="P79" s="79">
        <v>0</v>
      </c>
      <c r="Q79" s="79">
        <v>0</v>
      </c>
      <c r="R79" s="79">
        <v>0</v>
      </c>
      <c r="S79" s="79">
        <v>0</v>
      </c>
      <c r="T79" s="79">
        <v>0</v>
      </c>
      <c r="U79" s="79">
        <v>0</v>
      </c>
      <c r="V79" s="79">
        <v>0</v>
      </c>
      <c r="W79" s="79">
        <v>0</v>
      </c>
      <c r="X79" s="90">
        <v>0</v>
      </c>
    </row>
    <row r="80" spans="1:24" hidden="1" x14ac:dyDescent="0.25">
      <c r="A80" s="80" t="str">
        <v>PENDIENTE</v>
      </c>
      <c r="B80" s="80" t="str">
        <v>Caceres</v>
      </c>
      <c r="C80" s="80" t="str">
        <v>Noviembre</v>
      </c>
      <c r="D80" s="81">
        <v>46322</v>
      </c>
      <c r="E80" s="79">
        <v>855</v>
      </c>
      <c r="F80" s="80">
        <v>0</v>
      </c>
      <c r="G80" s="79" cm="1">
        <f t="array" ref="G80:X80">_xlfn._xlws.FILTER(Formulas!$C$2:$T$201, ISNUMBER(MATCH(Formulas!$B$2:$B$201, B80, 0)),0) * E80</f>
        <v>171</v>
      </c>
      <c r="H80" s="79">
        <v>615.5</v>
      </c>
      <c r="I80" s="79">
        <v>34.25</v>
      </c>
      <c r="J80" s="79">
        <v>0</v>
      </c>
      <c r="K80" s="79">
        <v>0</v>
      </c>
      <c r="L80" s="79">
        <v>34.25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90">
        <v>0</v>
      </c>
    </row>
    <row r="81" spans="1:24" hidden="1" x14ac:dyDescent="0.25">
      <c r="A81" s="80" t="str">
        <v>PENDIENTE</v>
      </c>
      <c r="B81" s="80" t="str">
        <v>Caceres</v>
      </c>
      <c r="C81" s="80" t="str">
        <v>Diciembre</v>
      </c>
      <c r="D81" s="81">
        <v>46322</v>
      </c>
      <c r="E81" s="79">
        <v>855</v>
      </c>
      <c r="F81" s="80">
        <v>0</v>
      </c>
      <c r="G81" s="79" cm="1">
        <f t="array" ref="G81:X81">_xlfn._xlws.FILTER(Formulas!$C$2:$T$201, ISNUMBER(MATCH(Formulas!$B$2:$B$201, B81, 0)),0) * E81</f>
        <v>171</v>
      </c>
      <c r="H81" s="79">
        <v>615.5</v>
      </c>
      <c r="I81" s="79">
        <v>34.25</v>
      </c>
      <c r="J81" s="79">
        <v>0</v>
      </c>
      <c r="K81" s="79">
        <v>0</v>
      </c>
      <c r="L81" s="79">
        <v>34.25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90">
        <v>0</v>
      </c>
    </row>
    <row r="82" spans="1:24" hidden="1" x14ac:dyDescent="0.25">
      <c r="A82" s="80" t="str">
        <v>CORDELAN</v>
      </c>
      <c r="B82" s="80" t="str">
        <v>Cachachi</v>
      </c>
      <c r="C82" s="80" t="str">
        <v>Enero</v>
      </c>
      <c r="D82" s="81">
        <v>46022</v>
      </c>
      <c r="E82" s="79">
        <v>5200</v>
      </c>
      <c r="F82" s="81">
        <v>45995</v>
      </c>
      <c r="G82" s="79" cm="1">
        <f t="array" ref="G82:X82">_xlfn._xlws.FILTER(Formulas!$C$2:$T$201, ISNUMBER(MATCH(Formulas!$B$2:$B$201, B82, 0)),0) * E82</f>
        <v>746.19999999999993</v>
      </c>
      <c r="H82" s="79">
        <v>2184</v>
      </c>
      <c r="I82" s="79">
        <v>156</v>
      </c>
      <c r="J82" s="79">
        <v>147.16</v>
      </c>
      <c r="K82" s="79">
        <v>0</v>
      </c>
      <c r="L82" s="79">
        <v>0</v>
      </c>
      <c r="M82" s="79">
        <v>147.16</v>
      </c>
      <c r="N82" s="79">
        <v>0</v>
      </c>
      <c r="O82" s="79">
        <v>1819.9999999999998</v>
      </c>
      <c r="P82" s="79">
        <v>0</v>
      </c>
      <c r="Q82" s="79">
        <v>0</v>
      </c>
      <c r="R82" s="79">
        <v>0</v>
      </c>
      <c r="S82" s="79">
        <v>0</v>
      </c>
      <c r="T82" s="79">
        <v>0</v>
      </c>
      <c r="U82" s="79">
        <v>0</v>
      </c>
      <c r="V82" s="79">
        <v>0</v>
      </c>
      <c r="W82" s="79">
        <v>0</v>
      </c>
      <c r="X82" s="90">
        <v>0</v>
      </c>
    </row>
    <row r="83" spans="1:24" hidden="1" x14ac:dyDescent="0.25">
      <c r="A83" s="80" t="str">
        <v>CORDELAN</v>
      </c>
      <c r="B83" s="80" t="str">
        <v>Cachachi</v>
      </c>
      <c r="C83" s="80" t="str">
        <v>Febrero</v>
      </c>
      <c r="D83" s="81">
        <v>46048</v>
      </c>
      <c r="E83" s="79">
        <v>5200</v>
      </c>
      <c r="F83" s="81">
        <v>46020</v>
      </c>
      <c r="G83" s="79" cm="1">
        <f t="array" ref="G83:X83">_xlfn._xlws.FILTER(Formulas!$C$2:$T$201, ISNUMBER(MATCH(Formulas!$B$2:$B$201, B83, 0)),0) * E83</f>
        <v>746.19999999999993</v>
      </c>
      <c r="H83" s="79">
        <v>2184</v>
      </c>
      <c r="I83" s="79">
        <v>156</v>
      </c>
      <c r="J83" s="79">
        <v>147.16</v>
      </c>
      <c r="K83" s="79">
        <v>0</v>
      </c>
      <c r="L83" s="79">
        <v>0</v>
      </c>
      <c r="M83" s="79">
        <v>147.16</v>
      </c>
      <c r="N83" s="79">
        <v>0</v>
      </c>
      <c r="O83" s="79">
        <v>1819.9999999999998</v>
      </c>
      <c r="P83" s="79">
        <v>0</v>
      </c>
      <c r="Q83" s="79">
        <v>0</v>
      </c>
      <c r="R83" s="79">
        <v>0</v>
      </c>
      <c r="S83" s="79">
        <v>0</v>
      </c>
      <c r="T83" s="79">
        <v>0</v>
      </c>
      <c r="U83" s="79">
        <v>0</v>
      </c>
      <c r="V83" s="79">
        <v>0</v>
      </c>
      <c r="W83" s="79">
        <v>0</v>
      </c>
      <c r="X83" s="90">
        <v>0</v>
      </c>
    </row>
    <row r="84" spans="1:24" hidden="1" x14ac:dyDescent="0.25">
      <c r="A84" s="80" t="str">
        <v>CORDELAN</v>
      </c>
      <c r="B84" s="80" t="str">
        <v>Cachachi</v>
      </c>
      <c r="C84" s="80" t="str">
        <v>Marzo</v>
      </c>
      <c r="D84" s="81">
        <v>46077</v>
      </c>
      <c r="E84" s="79">
        <v>5200</v>
      </c>
      <c r="F84" s="81">
        <v>46075</v>
      </c>
      <c r="G84" s="79" cm="1">
        <f t="array" ref="G84:X84">_xlfn._xlws.FILTER(Formulas!$C$2:$T$201, ISNUMBER(MATCH(Formulas!$B$2:$B$201, B84, 0)),0) * E84</f>
        <v>746.19999999999993</v>
      </c>
      <c r="H84" s="79">
        <v>2184</v>
      </c>
      <c r="I84" s="79">
        <v>156</v>
      </c>
      <c r="J84" s="79">
        <v>147.16</v>
      </c>
      <c r="K84" s="79">
        <v>0</v>
      </c>
      <c r="L84" s="79">
        <v>0</v>
      </c>
      <c r="M84" s="79">
        <v>147.16</v>
      </c>
      <c r="N84" s="79">
        <v>0</v>
      </c>
      <c r="O84" s="79">
        <v>1819.9999999999998</v>
      </c>
      <c r="P84" s="79">
        <v>0</v>
      </c>
      <c r="Q84" s="79">
        <v>0</v>
      </c>
      <c r="R84" s="79">
        <v>0</v>
      </c>
      <c r="S84" s="79">
        <v>0</v>
      </c>
      <c r="T84" s="79">
        <v>0</v>
      </c>
      <c r="U84" s="79">
        <v>0</v>
      </c>
      <c r="V84" s="79">
        <v>0</v>
      </c>
      <c r="W84" s="79">
        <v>0</v>
      </c>
      <c r="X84" s="90">
        <v>0</v>
      </c>
    </row>
    <row r="85" spans="1:24" hidden="1" x14ac:dyDescent="0.25">
      <c r="A85" s="80" t="str">
        <v>CORDELAN</v>
      </c>
      <c r="B85" s="80" t="str">
        <v>Cachachi</v>
      </c>
      <c r="C85" s="80" t="str">
        <v>Abril</v>
      </c>
      <c r="D85" s="81">
        <v>46105</v>
      </c>
      <c r="E85" s="79">
        <v>5200</v>
      </c>
      <c r="F85" s="81">
        <v>46104</v>
      </c>
      <c r="G85" s="79" cm="1">
        <f t="array" ref="G85:X85">_xlfn._xlws.FILTER(Formulas!$C$2:$T$201, ISNUMBER(MATCH(Formulas!$B$2:$B$201, B85, 0)),0) * E85</f>
        <v>746.19999999999993</v>
      </c>
      <c r="H85" s="79">
        <v>2184</v>
      </c>
      <c r="I85" s="79">
        <v>156</v>
      </c>
      <c r="J85" s="79">
        <v>147.16</v>
      </c>
      <c r="K85" s="79">
        <v>0</v>
      </c>
      <c r="L85" s="79">
        <v>0</v>
      </c>
      <c r="M85" s="79">
        <v>147.16</v>
      </c>
      <c r="N85" s="79">
        <v>0</v>
      </c>
      <c r="O85" s="79">
        <v>1819.9999999999998</v>
      </c>
      <c r="P85" s="79">
        <v>0</v>
      </c>
      <c r="Q85" s="79">
        <v>0</v>
      </c>
      <c r="R85" s="79">
        <v>0</v>
      </c>
      <c r="S85" s="79">
        <v>0</v>
      </c>
      <c r="T85" s="79">
        <v>0</v>
      </c>
      <c r="U85" s="79">
        <v>0</v>
      </c>
      <c r="V85" s="79">
        <v>0</v>
      </c>
      <c r="W85" s="79">
        <v>0</v>
      </c>
      <c r="X85" s="90">
        <v>0</v>
      </c>
    </row>
    <row r="86" spans="1:24" hidden="1" x14ac:dyDescent="0.25">
      <c r="A86" s="80" t="str">
        <v>CORDELAN</v>
      </c>
      <c r="B86" s="80" t="str">
        <v>Cachachi</v>
      </c>
      <c r="C86" s="80" t="str">
        <v>Mayo</v>
      </c>
      <c r="D86" s="81">
        <v>46135</v>
      </c>
      <c r="E86" s="79">
        <v>5200</v>
      </c>
      <c r="F86" s="81">
        <v>46138</v>
      </c>
      <c r="G86" s="79" cm="1">
        <f t="array" ref="G86:X86">_xlfn._xlws.FILTER(Formulas!$C$2:$T$201, ISNUMBER(MATCH(Formulas!$B$2:$B$201, B86, 0)),0) * E86</f>
        <v>746.19999999999993</v>
      </c>
      <c r="H86" s="79">
        <v>2184</v>
      </c>
      <c r="I86" s="79">
        <v>156</v>
      </c>
      <c r="J86" s="79">
        <v>147.16</v>
      </c>
      <c r="K86" s="79">
        <v>0</v>
      </c>
      <c r="L86" s="79">
        <v>0</v>
      </c>
      <c r="M86" s="79">
        <v>147.16</v>
      </c>
      <c r="N86" s="79">
        <v>0</v>
      </c>
      <c r="O86" s="79">
        <v>1819.9999999999998</v>
      </c>
      <c r="P86" s="79">
        <v>0</v>
      </c>
      <c r="Q86" s="79">
        <v>0</v>
      </c>
      <c r="R86" s="79">
        <v>0</v>
      </c>
      <c r="S86" s="79">
        <v>0</v>
      </c>
      <c r="T86" s="79">
        <v>0</v>
      </c>
      <c r="U86" s="79">
        <v>0</v>
      </c>
      <c r="V86" s="79">
        <v>0</v>
      </c>
      <c r="W86" s="79">
        <v>0</v>
      </c>
      <c r="X86" s="90">
        <v>0</v>
      </c>
    </row>
    <row r="87" spans="1:24" hidden="1" x14ac:dyDescent="0.25">
      <c r="A87" s="80" t="str">
        <v>CORDELAN</v>
      </c>
      <c r="B87" s="80" t="str">
        <v>Cachachi</v>
      </c>
      <c r="C87" s="80" t="str">
        <v>Junio</v>
      </c>
      <c r="D87" s="81">
        <v>46164</v>
      </c>
      <c r="E87" s="79">
        <v>5200</v>
      </c>
      <c r="F87" s="81">
        <v>46161</v>
      </c>
      <c r="G87" s="79" cm="1">
        <f t="array" ref="G87:X87">_xlfn._xlws.FILTER(Formulas!$C$2:$T$201, ISNUMBER(MATCH(Formulas!$B$2:$B$201, B87, 0)),0) * E87</f>
        <v>746.19999999999993</v>
      </c>
      <c r="H87" s="79">
        <v>2184</v>
      </c>
      <c r="I87" s="79">
        <v>156</v>
      </c>
      <c r="J87" s="79">
        <v>147.16</v>
      </c>
      <c r="K87" s="79">
        <v>0</v>
      </c>
      <c r="L87" s="79">
        <v>0</v>
      </c>
      <c r="M87" s="79">
        <v>147.16</v>
      </c>
      <c r="N87" s="79">
        <v>0</v>
      </c>
      <c r="O87" s="79">
        <v>1819.9999999999998</v>
      </c>
      <c r="P87" s="79">
        <v>0</v>
      </c>
      <c r="Q87" s="79">
        <v>0</v>
      </c>
      <c r="R87" s="79">
        <v>0</v>
      </c>
      <c r="S87" s="79">
        <v>0</v>
      </c>
      <c r="T87" s="79">
        <v>0</v>
      </c>
      <c r="U87" s="79">
        <v>0</v>
      </c>
      <c r="V87" s="79">
        <v>0</v>
      </c>
      <c r="W87" s="79">
        <v>0</v>
      </c>
      <c r="X87" s="90">
        <v>0</v>
      </c>
    </row>
    <row r="88" spans="1:24" hidden="1" x14ac:dyDescent="0.25">
      <c r="A88" s="80" t="str">
        <v>CORDELAN</v>
      </c>
      <c r="B88" s="80" t="str">
        <v>Cachachi</v>
      </c>
      <c r="C88" s="80" t="str">
        <v>Julio</v>
      </c>
      <c r="D88" s="81">
        <v>46198</v>
      </c>
      <c r="E88" s="79">
        <v>5200</v>
      </c>
      <c r="F88" s="81">
        <v>46196</v>
      </c>
      <c r="G88" s="79" cm="1">
        <f t="array" ref="G88:X88">_xlfn._xlws.FILTER(Formulas!$C$2:$T$201, ISNUMBER(MATCH(Formulas!$B$2:$B$201, B88, 0)),0) * E88</f>
        <v>746.19999999999993</v>
      </c>
      <c r="H88" s="79">
        <v>2184</v>
      </c>
      <c r="I88" s="79">
        <v>156</v>
      </c>
      <c r="J88" s="79">
        <v>147.16</v>
      </c>
      <c r="K88" s="79">
        <v>0</v>
      </c>
      <c r="L88" s="79">
        <v>0</v>
      </c>
      <c r="M88" s="79">
        <v>147.16</v>
      </c>
      <c r="N88" s="79">
        <v>0</v>
      </c>
      <c r="O88" s="79">
        <v>1819.9999999999998</v>
      </c>
      <c r="P88" s="79">
        <v>0</v>
      </c>
      <c r="Q88" s="79">
        <v>0</v>
      </c>
      <c r="R88" s="79">
        <v>0</v>
      </c>
      <c r="S88" s="79">
        <v>0</v>
      </c>
      <c r="T88" s="79">
        <v>0</v>
      </c>
      <c r="U88" s="79">
        <v>0</v>
      </c>
      <c r="V88" s="79">
        <v>0</v>
      </c>
      <c r="W88" s="79">
        <v>0</v>
      </c>
      <c r="X88" s="90">
        <v>0</v>
      </c>
    </row>
    <row r="89" spans="1:24" hidden="1" x14ac:dyDescent="0.25">
      <c r="A89" s="80" t="str">
        <v>CORDELAN</v>
      </c>
      <c r="B89" s="80" t="str">
        <v>Cachachi</v>
      </c>
      <c r="C89" s="80" t="str">
        <v>Agosto</v>
      </c>
      <c r="D89" s="81">
        <v>46227</v>
      </c>
      <c r="E89" s="79">
        <v>5200</v>
      </c>
      <c r="F89" s="81">
        <v>46230</v>
      </c>
      <c r="G89" s="79" cm="1">
        <f t="array" ref="G89:X89">_xlfn._xlws.FILTER(Formulas!$C$2:$T$201, ISNUMBER(MATCH(Formulas!$B$2:$B$201, B89, 0)),0) * E89</f>
        <v>746.19999999999993</v>
      </c>
      <c r="H89" s="79">
        <v>2184</v>
      </c>
      <c r="I89" s="79">
        <v>156</v>
      </c>
      <c r="J89" s="79">
        <v>147.16</v>
      </c>
      <c r="K89" s="79">
        <v>0</v>
      </c>
      <c r="L89" s="79">
        <v>0</v>
      </c>
      <c r="M89" s="79">
        <v>147.16</v>
      </c>
      <c r="N89" s="79">
        <v>0</v>
      </c>
      <c r="O89" s="79">
        <v>1819.9999999999998</v>
      </c>
      <c r="P89" s="79">
        <v>0</v>
      </c>
      <c r="Q89" s="79">
        <v>0</v>
      </c>
      <c r="R89" s="79">
        <v>0</v>
      </c>
      <c r="S89" s="79">
        <v>0</v>
      </c>
      <c r="T89" s="79">
        <v>0</v>
      </c>
      <c r="U89" s="79">
        <v>0</v>
      </c>
      <c r="V89" s="79">
        <v>0</v>
      </c>
      <c r="W89" s="79">
        <v>0</v>
      </c>
      <c r="X89" s="90">
        <v>0</v>
      </c>
    </row>
    <row r="90" spans="1:24" hidden="1" x14ac:dyDescent="0.25">
      <c r="A90" s="80" t="str">
        <v>CORDELAN</v>
      </c>
      <c r="B90" s="80" t="str">
        <v>Cachachi</v>
      </c>
      <c r="C90" s="80" t="str">
        <v>Setiembre</v>
      </c>
      <c r="D90" s="81">
        <v>46259</v>
      </c>
      <c r="E90" s="79">
        <v>5200</v>
      </c>
      <c r="F90" s="81">
        <v>46241</v>
      </c>
      <c r="G90" s="79" cm="1">
        <f t="array" ref="G90:X90">_xlfn._xlws.FILTER(Formulas!$C$2:$T$201, ISNUMBER(MATCH(Formulas!$B$2:$B$201, B90, 0)),0) * E90</f>
        <v>746.19999999999993</v>
      </c>
      <c r="H90" s="79">
        <v>2184</v>
      </c>
      <c r="I90" s="79">
        <v>156</v>
      </c>
      <c r="J90" s="79">
        <v>147.16</v>
      </c>
      <c r="K90" s="79">
        <v>0</v>
      </c>
      <c r="L90" s="79">
        <v>0</v>
      </c>
      <c r="M90" s="79">
        <v>147.16</v>
      </c>
      <c r="N90" s="79">
        <v>0</v>
      </c>
      <c r="O90" s="79">
        <v>1819.9999999999998</v>
      </c>
      <c r="P90" s="79">
        <v>0</v>
      </c>
      <c r="Q90" s="79">
        <v>0</v>
      </c>
      <c r="R90" s="79">
        <v>0</v>
      </c>
      <c r="S90" s="79">
        <v>0</v>
      </c>
      <c r="T90" s="79">
        <v>0</v>
      </c>
      <c r="U90" s="79">
        <v>0</v>
      </c>
      <c r="V90" s="79">
        <v>0</v>
      </c>
      <c r="W90" s="79">
        <v>0</v>
      </c>
      <c r="X90" s="90">
        <v>0</v>
      </c>
    </row>
    <row r="91" spans="1:24" hidden="1" x14ac:dyDescent="0.25">
      <c r="A91" s="80" t="str">
        <v>CORDELAN</v>
      </c>
      <c r="B91" s="80" t="str">
        <v>Cachachi</v>
      </c>
      <c r="C91" s="80" t="str">
        <v>Octubre</v>
      </c>
      <c r="D91" s="81">
        <v>46290</v>
      </c>
      <c r="E91" s="79">
        <v>5200</v>
      </c>
      <c r="F91" s="80">
        <v>46293</v>
      </c>
      <c r="G91" s="79" cm="1">
        <f t="array" ref="G91:X91">_xlfn._xlws.FILTER(Formulas!$C$2:$T$201, ISNUMBER(MATCH(Formulas!$B$2:$B$201, B91, 0)),0) * E91</f>
        <v>746.19999999999993</v>
      </c>
      <c r="H91" s="79">
        <v>2184</v>
      </c>
      <c r="I91" s="79">
        <v>156</v>
      </c>
      <c r="J91" s="79">
        <v>147.16</v>
      </c>
      <c r="K91" s="79">
        <v>0</v>
      </c>
      <c r="L91" s="79">
        <v>0</v>
      </c>
      <c r="M91" s="79">
        <v>147.16</v>
      </c>
      <c r="N91" s="79">
        <v>0</v>
      </c>
      <c r="O91" s="79">
        <v>1819.9999999999998</v>
      </c>
      <c r="P91" s="79">
        <v>0</v>
      </c>
      <c r="Q91" s="79">
        <v>0</v>
      </c>
      <c r="R91" s="79">
        <v>0</v>
      </c>
      <c r="S91" s="79">
        <v>0</v>
      </c>
      <c r="T91" s="79">
        <v>0</v>
      </c>
      <c r="U91" s="79">
        <v>0</v>
      </c>
      <c r="V91" s="79">
        <v>0</v>
      </c>
      <c r="W91" s="79">
        <v>0</v>
      </c>
      <c r="X91" s="90">
        <v>0</v>
      </c>
    </row>
    <row r="92" spans="1:24" hidden="1" x14ac:dyDescent="0.25">
      <c r="A92" s="80" t="str">
        <v>CORDELAN</v>
      </c>
      <c r="B92" s="80" t="str">
        <v>Cachachi</v>
      </c>
      <c r="C92" s="80" t="str">
        <v>Noviembre</v>
      </c>
      <c r="D92" s="81">
        <v>46317</v>
      </c>
      <c r="E92" s="79">
        <v>5200</v>
      </c>
      <c r="F92" s="80">
        <v>0</v>
      </c>
      <c r="G92" s="79" cm="1">
        <f t="array" ref="G92:X92">_xlfn._xlws.FILTER(Formulas!$C$2:$T$201, ISNUMBER(MATCH(Formulas!$B$2:$B$201, B92, 0)),0) * E92</f>
        <v>746.19999999999993</v>
      </c>
      <c r="H92" s="79">
        <v>2184</v>
      </c>
      <c r="I92" s="79">
        <v>156</v>
      </c>
      <c r="J92" s="79">
        <v>147.16</v>
      </c>
      <c r="K92" s="79">
        <v>0</v>
      </c>
      <c r="L92" s="79">
        <v>0</v>
      </c>
      <c r="M92" s="79">
        <v>147.16</v>
      </c>
      <c r="N92" s="79">
        <v>0</v>
      </c>
      <c r="O92" s="79">
        <v>1819.9999999999998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90">
        <v>0</v>
      </c>
    </row>
    <row r="93" spans="1:24" hidden="1" x14ac:dyDescent="0.25">
      <c r="A93" s="80" t="str">
        <v>CORDELAN</v>
      </c>
      <c r="B93" s="80" t="str">
        <v>Cachachi</v>
      </c>
      <c r="C93" s="80" t="str">
        <v>Diciembre</v>
      </c>
      <c r="D93" s="81">
        <v>46352</v>
      </c>
      <c r="E93" s="79">
        <v>5200</v>
      </c>
      <c r="F93" s="80">
        <v>0</v>
      </c>
      <c r="G93" s="79" cm="1">
        <f t="array" ref="G93:X93">_xlfn._xlws.FILTER(Formulas!$C$2:$T$201, ISNUMBER(MATCH(Formulas!$B$2:$B$201, B93, 0)),0) * E93</f>
        <v>746.19999999999993</v>
      </c>
      <c r="H93" s="79">
        <v>2184</v>
      </c>
      <c r="I93" s="79">
        <v>156</v>
      </c>
      <c r="J93" s="79">
        <v>147.16</v>
      </c>
      <c r="K93" s="79">
        <v>0</v>
      </c>
      <c r="L93" s="79">
        <v>0</v>
      </c>
      <c r="M93" s="79">
        <v>147.16</v>
      </c>
      <c r="N93" s="79">
        <v>0</v>
      </c>
      <c r="O93" s="79">
        <v>1819.9999999999998</v>
      </c>
      <c r="P93" s="79">
        <v>0</v>
      </c>
      <c r="Q93" s="79">
        <v>0</v>
      </c>
      <c r="R93" s="79">
        <v>0</v>
      </c>
      <c r="S93" s="79">
        <v>0</v>
      </c>
      <c r="T93" s="79">
        <v>0</v>
      </c>
      <c r="U93" s="79">
        <v>0</v>
      </c>
      <c r="V93" s="79">
        <v>0</v>
      </c>
      <c r="W93" s="79">
        <v>0</v>
      </c>
      <c r="X93" s="90">
        <v>0</v>
      </c>
    </row>
    <row r="94" spans="1:24" hidden="1" x14ac:dyDescent="0.25">
      <c r="A94" s="80" t="str">
        <v>PENDIENTE</v>
      </c>
      <c r="B94" s="80" t="str">
        <v>Cajabamba</v>
      </c>
      <c r="C94" s="80" t="str">
        <v>Enero</v>
      </c>
      <c r="D94" s="81">
        <v>46022</v>
      </c>
      <c r="E94" s="79">
        <v>1012.86</v>
      </c>
      <c r="F94" s="81">
        <v>46062</v>
      </c>
      <c r="G94" s="79" cm="1">
        <f t="array" ref="G94:X94">_xlfn._xlws.FILTER(Formulas!$C$2:$T$201, ISNUMBER(MATCH(Formulas!$B$2:$B$201, B94, 0)),0) * E94</f>
        <v>263.12114619080302</v>
      </c>
      <c r="H94" s="79">
        <v>678.83170212765958</v>
      </c>
      <c r="I94" s="79">
        <v>70.9071516815374</v>
      </c>
      <c r="J94" s="79">
        <v>0</v>
      </c>
      <c r="K94" s="79">
        <v>0</v>
      </c>
      <c r="L94" s="79">
        <v>0</v>
      </c>
      <c r="M94" s="79">
        <v>0</v>
      </c>
      <c r="N94" s="79">
        <v>0</v>
      </c>
      <c r="O94" s="79">
        <v>0</v>
      </c>
      <c r="P94" s="79">
        <v>0</v>
      </c>
      <c r="Q94" s="79">
        <v>0</v>
      </c>
      <c r="R94" s="79">
        <v>0</v>
      </c>
      <c r="S94" s="79">
        <v>0</v>
      </c>
      <c r="T94" s="79">
        <v>0</v>
      </c>
      <c r="U94" s="79">
        <v>0</v>
      </c>
      <c r="V94" s="79">
        <v>0</v>
      </c>
      <c r="W94" s="79">
        <v>0</v>
      </c>
      <c r="X94" s="90">
        <v>0</v>
      </c>
    </row>
    <row r="95" spans="1:24" hidden="1" x14ac:dyDescent="0.25">
      <c r="A95" s="80" t="str">
        <v>PENDIENTE</v>
      </c>
      <c r="B95" s="80" t="str">
        <v>Cajabamba</v>
      </c>
      <c r="C95" s="80" t="str">
        <v>Febrero</v>
      </c>
      <c r="D95" s="81">
        <v>46022</v>
      </c>
      <c r="E95" s="79">
        <v>914.84</v>
      </c>
      <c r="F95" s="81">
        <v>46062</v>
      </c>
      <c r="G95" s="79" cm="1">
        <f t="array" ref="G95:X95">_xlfn._xlws.FILTER(Formulas!$C$2:$T$201, ISNUMBER(MATCH(Formulas!$B$2:$B$201, B95, 0)),0) * E95</f>
        <v>237.65747426218257</v>
      </c>
      <c r="H95" s="79">
        <v>613.13744680851073</v>
      </c>
      <c r="I95" s="79">
        <v>64.045078929306797</v>
      </c>
      <c r="J95" s="79">
        <v>0</v>
      </c>
      <c r="K95" s="79">
        <v>0</v>
      </c>
      <c r="L95" s="79">
        <v>0</v>
      </c>
      <c r="M95" s="79">
        <v>0</v>
      </c>
      <c r="N95" s="79">
        <v>0</v>
      </c>
      <c r="O95" s="79">
        <v>0</v>
      </c>
      <c r="P95" s="79">
        <v>0</v>
      </c>
      <c r="Q95" s="79">
        <v>0</v>
      </c>
      <c r="R95" s="79">
        <v>0</v>
      </c>
      <c r="S95" s="79">
        <v>0</v>
      </c>
      <c r="T95" s="79">
        <v>0</v>
      </c>
      <c r="U95" s="79">
        <v>0</v>
      </c>
      <c r="V95" s="79">
        <v>0</v>
      </c>
      <c r="W95" s="79">
        <v>0</v>
      </c>
      <c r="X95" s="90">
        <v>0</v>
      </c>
    </row>
    <row r="96" spans="1:24" hidden="1" x14ac:dyDescent="0.25">
      <c r="A96" s="80" t="str">
        <v>PENDIENTE</v>
      </c>
      <c r="B96" s="80" t="str">
        <v>Cajabamba</v>
      </c>
      <c r="C96" s="80" t="str">
        <v>Marzo</v>
      </c>
      <c r="D96" s="81">
        <v>46022</v>
      </c>
      <c r="E96" s="79">
        <v>1012.86</v>
      </c>
      <c r="F96" s="81">
        <v>46062</v>
      </c>
      <c r="G96" s="79" cm="1">
        <f t="array" ref="G96:X96">_xlfn._xlws.FILTER(Formulas!$C$2:$T$201, ISNUMBER(MATCH(Formulas!$B$2:$B$201, B96, 0)),0) * E96</f>
        <v>263.12114619080302</v>
      </c>
      <c r="H96" s="79">
        <v>678.83170212765958</v>
      </c>
      <c r="I96" s="79">
        <v>70.9071516815374</v>
      </c>
      <c r="J96" s="79">
        <v>0</v>
      </c>
      <c r="K96" s="79">
        <v>0</v>
      </c>
      <c r="L96" s="79">
        <v>0</v>
      </c>
      <c r="M96" s="79">
        <v>0</v>
      </c>
      <c r="N96" s="79">
        <v>0</v>
      </c>
      <c r="O96" s="79">
        <v>0</v>
      </c>
      <c r="P96" s="79">
        <v>0</v>
      </c>
      <c r="Q96" s="79">
        <v>0</v>
      </c>
      <c r="R96" s="79">
        <v>0</v>
      </c>
      <c r="S96" s="79">
        <v>0</v>
      </c>
      <c r="T96" s="79">
        <v>0</v>
      </c>
      <c r="U96" s="79">
        <v>0</v>
      </c>
      <c r="V96" s="79">
        <v>0</v>
      </c>
      <c r="W96" s="79">
        <v>0</v>
      </c>
      <c r="X96" s="90">
        <v>0</v>
      </c>
    </row>
    <row r="97" spans="1:24" hidden="1" x14ac:dyDescent="0.25">
      <c r="A97" s="80" t="str">
        <v>PENDIENTE</v>
      </c>
      <c r="B97" s="80" t="str">
        <v>Cajabamba</v>
      </c>
      <c r="C97" s="80" t="str">
        <v>Abril</v>
      </c>
      <c r="D97" s="81">
        <v>46093</v>
      </c>
      <c r="E97" s="79">
        <v>980.18</v>
      </c>
      <c r="F97" s="81">
        <v>46091</v>
      </c>
      <c r="G97" s="79" cm="1">
        <f t="array" ref="G97:X97">_xlfn._xlws.FILTER(Formulas!$C$2:$T$201, ISNUMBER(MATCH(Formulas!$B$2:$B$201, B97, 0)),0) * E97</f>
        <v>254.63152367879204</v>
      </c>
      <c r="H97" s="79">
        <v>656.92914893617024</v>
      </c>
      <c r="I97" s="79">
        <v>68.619327385037735</v>
      </c>
      <c r="J97" s="79">
        <v>0</v>
      </c>
      <c r="K97" s="79">
        <v>0</v>
      </c>
      <c r="L97" s="79">
        <v>0</v>
      </c>
      <c r="M97" s="79">
        <v>0</v>
      </c>
      <c r="N97" s="79">
        <v>0</v>
      </c>
      <c r="O97" s="79">
        <v>0</v>
      </c>
      <c r="P97" s="79">
        <v>0</v>
      </c>
      <c r="Q97" s="79">
        <v>0</v>
      </c>
      <c r="R97" s="79">
        <v>0</v>
      </c>
      <c r="S97" s="79">
        <v>0</v>
      </c>
      <c r="T97" s="79">
        <v>0</v>
      </c>
      <c r="U97" s="79">
        <v>0</v>
      </c>
      <c r="V97" s="79">
        <v>0</v>
      </c>
      <c r="W97" s="79">
        <v>0</v>
      </c>
      <c r="X97" s="90">
        <v>0</v>
      </c>
    </row>
    <row r="98" spans="1:24" hidden="1" x14ac:dyDescent="0.25">
      <c r="A98" s="80" t="str">
        <v>PENDIENTE</v>
      </c>
      <c r="B98" s="80" t="str">
        <v>Cajabamba</v>
      </c>
      <c r="C98" s="80" t="str">
        <v>Mayo</v>
      </c>
      <c r="D98" s="81">
        <v>46093</v>
      </c>
      <c r="E98" s="79">
        <v>1012.86</v>
      </c>
      <c r="F98" s="81">
        <v>46091</v>
      </c>
      <c r="G98" s="79" cm="1">
        <f t="array" ref="G98:X98">_xlfn._xlws.FILTER(Formulas!$C$2:$T$201, ISNUMBER(MATCH(Formulas!$B$2:$B$201, B98, 0)),0) * E98</f>
        <v>263.12114619080302</v>
      </c>
      <c r="H98" s="79">
        <v>678.83170212765958</v>
      </c>
      <c r="I98" s="79">
        <v>70.9071516815374</v>
      </c>
      <c r="J98" s="79">
        <v>0</v>
      </c>
      <c r="K98" s="79">
        <v>0</v>
      </c>
      <c r="L98" s="79">
        <v>0</v>
      </c>
      <c r="M98" s="79">
        <v>0</v>
      </c>
      <c r="N98" s="79">
        <v>0</v>
      </c>
      <c r="O98" s="79">
        <v>0</v>
      </c>
      <c r="P98" s="79">
        <v>0</v>
      </c>
      <c r="Q98" s="79">
        <v>0</v>
      </c>
      <c r="R98" s="79">
        <v>0</v>
      </c>
      <c r="S98" s="79">
        <v>0</v>
      </c>
      <c r="T98" s="79">
        <v>0</v>
      </c>
      <c r="U98" s="79">
        <v>0</v>
      </c>
      <c r="V98" s="79">
        <v>0</v>
      </c>
      <c r="W98" s="79">
        <v>0</v>
      </c>
      <c r="X98" s="90">
        <v>0</v>
      </c>
    </row>
    <row r="99" spans="1:24" hidden="1" x14ac:dyDescent="0.25">
      <c r="A99" s="80" t="str">
        <v>PENDIENTE</v>
      </c>
      <c r="B99" s="80" t="str">
        <v>Cajabamba</v>
      </c>
      <c r="C99" s="80" t="str">
        <v>Junio</v>
      </c>
      <c r="D99" s="81">
        <v>46093</v>
      </c>
      <c r="E99" s="79">
        <v>980.18</v>
      </c>
      <c r="F99" s="81">
        <v>46091</v>
      </c>
      <c r="G99" s="79" cm="1">
        <f t="array" ref="G99:X99">_xlfn._xlws.FILTER(Formulas!$C$2:$T$201, ISNUMBER(MATCH(Formulas!$B$2:$B$201, B99, 0)),0) * E99</f>
        <v>254.63152367879204</v>
      </c>
      <c r="H99" s="79">
        <v>656.92914893617024</v>
      </c>
      <c r="I99" s="79">
        <v>68.619327385037735</v>
      </c>
      <c r="J99" s="79">
        <v>0</v>
      </c>
      <c r="K99" s="79">
        <v>0</v>
      </c>
      <c r="L99" s="79">
        <v>0</v>
      </c>
      <c r="M99" s="79">
        <v>0</v>
      </c>
      <c r="N99" s="79">
        <v>0</v>
      </c>
      <c r="O99" s="79">
        <v>0</v>
      </c>
      <c r="P99" s="79">
        <v>0</v>
      </c>
      <c r="Q99" s="79">
        <v>0</v>
      </c>
      <c r="R99" s="79">
        <v>0</v>
      </c>
      <c r="S99" s="79">
        <v>0</v>
      </c>
      <c r="T99" s="79">
        <v>0</v>
      </c>
      <c r="U99" s="79">
        <v>0</v>
      </c>
      <c r="V99" s="79">
        <v>0</v>
      </c>
      <c r="W99" s="79">
        <v>0</v>
      </c>
      <c r="X99" s="90">
        <v>0</v>
      </c>
    </row>
    <row r="100" spans="1:24" hidden="1" x14ac:dyDescent="0.25">
      <c r="A100" s="80" t="str">
        <v>PENDIENTE</v>
      </c>
      <c r="B100" s="80" t="str">
        <v>Cajabamba</v>
      </c>
      <c r="C100" s="80" t="str">
        <v>Julio</v>
      </c>
      <c r="D100" s="81">
        <v>46188</v>
      </c>
      <c r="E100" s="79">
        <v>1012.86</v>
      </c>
      <c r="F100" s="81">
        <v>46170</v>
      </c>
      <c r="G100" s="79" cm="1">
        <f t="array" ref="G100:X100">_xlfn._xlws.FILTER(Formulas!$C$2:$T$201, ISNUMBER(MATCH(Formulas!$B$2:$B$201, B100, 0)),0) * E100</f>
        <v>263.12114619080302</v>
      </c>
      <c r="H100" s="79">
        <v>678.83170212765958</v>
      </c>
      <c r="I100" s="79">
        <v>70.9071516815374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  <c r="O100" s="79">
        <v>0</v>
      </c>
      <c r="P100" s="79">
        <v>0</v>
      </c>
      <c r="Q100" s="79">
        <v>0</v>
      </c>
      <c r="R100" s="79">
        <v>0</v>
      </c>
      <c r="S100" s="79">
        <v>0</v>
      </c>
      <c r="T100" s="79">
        <v>0</v>
      </c>
      <c r="U100" s="79">
        <v>0</v>
      </c>
      <c r="V100" s="79">
        <v>0</v>
      </c>
      <c r="W100" s="79">
        <v>0</v>
      </c>
      <c r="X100" s="90">
        <v>0</v>
      </c>
    </row>
    <row r="101" spans="1:24" hidden="1" x14ac:dyDescent="0.25">
      <c r="A101" s="80" t="str">
        <v>PENDIENTE</v>
      </c>
      <c r="B101" s="80" t="str">
        <v>Cajabamba</v>
      </c>
      <c r="C101" s="80" t="str">
        <v>Agosto</v>
      </c>
      <c r="D101" s="81">
        <v>46188</v>
      </c>
      <c r="E101" s="79">
        <v>1012.86</v>
      </c>
      <c r="F101" s="81">
        <v>46170</v>
      </c>
      <c r="G101" s="79" cm="1">
        <f t="array" ref="G101:X101">_xlfn._xlws.FILTER(Formulas!$C$2:$T$201, ISNUMBER(MATCH(Formulas!$B$2:$B$201, B101, 0)),0) * E101</f>
        <v>263.12114619080302</v>
      </c>
      <c r="H101" s="79">
        <v>678.83170212765958</v>
      </c>
      <c r="I101" s="79">
        <v>70.9071516815374</v>
      </c>
      <c r="J101" s="79">
        <v>0</v>
      </c>
      <c r="K101" s="79">
        <v>0</v>
      </c>
      <c r="L101" s="79">
        <v>0</v>
      </c>
      <c r="M101" s="79">
        <v>0</v>
      </c>
      <c r="N101" s="79">
        <v>0</v>
      </c>
      <c r="O101" s="79">
        <v>0</v>
      </c>
      <c r="P101" s="79">
        <v>0</v>
      </c>
      <c r="Q101" s="79">
        <v>0</v>
      </c>
      <c r="R101" s="79">
        <v>0</v>
      </c>
      <c r="S101" s="79">
        <v>0</v>
      </c>
      <c r="T101" s="79">
        <v>0</v>
      </c>
      <c r="U101" s="79">
        <v>0</v>
      </c>
      <c r="V101" s="79">
        <v>0</v>
      </c>
      <c r="W101" s="79">
        <v>0</v>
      </c>
      <c r="X101" s="90">
        <v>0</v>
      </c>
    </row>
    <row r="102" spans="1:24" hidden="1" x14ac:dyDescent="0.25">
      <c r="A102" s="80" t="str">
        <v>PENDIENTE</v>
      </c>
      <c r="B102" s="80" t="str">
        <v>Cajabamba</v>
      </c>
      <c r="C102" s="80" t="str">
        <v>Setiembre</v>
      </c>
      <c r="D102" s="81">
        <v>46188</v>
      </c>
      <c r="E102" s="79">
        <v>980.18</v>
      </c>
      <c r="F102" s="81">
        <v>46170</v>
      </c>
      <c r="G102" s="79" cm="1">
        <f t="array" ref="G102:X102">_xlfn._xlws.FILTER(Formulas!$C$2:$T$201, ISNUMBER(MATCH(Formulas!$B$2:$B$201, B102, 0)),0) * E102</f>
        <v>254.63152367879204</v>
      </c>
      <c r="H102" s="79">
        <v>656.92914893617024</v>
      </c>
      <c r="I102" s="79">
        <v>68.619327385037735</v>
      </c>
      <c r="J102" s="79">
        <v>0</v>
      </c>
      <c r="K102" s="79">
        <v>0</v>
      </c>
      <c r="L102" s="79">
        <v>0</v>
      </c>
      <c r="M102" s="79">
        <v>0</v>
      </c>
      <c r="N102" s="79">
        <v>0</v>
      </c>
      <c r="O102" s="79">
        <v>0</v>
      </c>
      <c r="P102" s="79">
        <v>0</v>
      </c>
      <c r="Q102" s="79">
        <v>0</v>
      </c>
      <c r="R102" s="79">
        <v>0</v>
      </c>
      <c r="S102" s="79">
        <v>0</v>
      </c>
      <c r="T102" s="79">
        <v>0</v>
      </c>
      <c r="U102" s="79">
        <v>0</v>
      </c>
      <c r="V102" s="79">
        <v>0</v>
      </c>
      <c r="W102" s="79">
        <v>0</v>
      </c>
      <c r="X102" s="90">
        <v>0</v>
      </c>
    </row>
    <row r="103" spans="1:24" hidden="1" x14ac:dyDescent="0.25">
      <c r="A103" s="80" t="str">
        <v>PENDIENTE</v>
      </c>
      <c r="B103" s="80" t="str">
        <v>Cajabamba</v>
      </c>
      <c r="C103" s="80" t="str">
        <v>Octubre</v>
      </c>
      <c r="D103" s="81">
        <v>46279</v>
      </c>
      <c r="E103" s="79">
        <v>1012.86</v>
      </c>
      <c r="F103" s="81">
        <v>46276</v>
      </c>
      <c r="G103" s="79" cm="1">
        <f t="array" ref="G103:X103">_xlfn._xlws.FILTER(Formulas!$C$2:$T$201, ISNUMBER(MATCH(Formulas!$B$2:$B$201, B103, 0)),0) * E103</f>
        <v>263.12114619080302</v>
      </c>
      <c r="H103" s="79">
        <v>678.83170212765958</v>
      </c>
      <c r="I103" s="79">
        <v>70.9071516815374</v>
      </c>
      <c r="J103" s="79">
        <v>0</v>
      </c>
      <c r="K103" s="79">
        <v>0</v>
      </c>
      <c r="L103" s="79">
        <v>0</v>
      </c>
      <c r="M103" s="79">
        <v>0</v>
      </c>
      <c r="N103" s="79">
        <v>0</v>
      </c>
      <c r="O103" s="79">
        <v>0</v>
      </c>
      <c r="P103" s="79">
        <v>0</v>
      </c>
      <c r="Q103" s="79">
        <v>0</v>
      </c>
      <c r="R103" s="79">
        <v>0</v>
      </c>
      <c r="S103" s="79">
        <v>0</v>
      </c>
      <c r="T103" s="79">
        <v>0</v>
      </c>
      <c r="U103" s="79">
        <v>0</v>
      </c>
      <c r="V103" s="79">
        <v>0</v>
      </c>
      <c r="W103" s="79">
        <v>0</v>
      </c>
      <c r="X103" s="90">
        <v>0</v>
      </c>
    </row>
    <row r="104" spans="1:24" hidden="1" x14ac:dyDescent="0.25">
      <c r="A104" s="80" t="str">
        <v>PENDIENTE</v>
      </c>
      <c r="B104" s="80" t="str">
        <v>Cajabamba</v>
      </c>
      <c r="C104" s="80" t="str">
        <v>Noviembre</v>
      </c>
      <c r="D104" s="81">
        <v>46279</v>
      </c>
      <c r="E104" s="79">
        <v>980.18</v>
      </c>
      <c r="F104" s="81">
        <v>46276</v>
      </c>
      <c r="G104" s="79" cm="1">
        <f t="array" ref="G104:X104">_xlfn._xlws.FILTER(Formulas!$C$2:$T$201, ISNUMBER(MATCH(Formulas!$B$2:$B$201, B104, 0)),0) * E104</f>
        <v>254.63152367879204</v>
      </c>
      <c r="H104" s="79">
        <v>656.92914893617024</v>
      </c>
      <c r="I104" s="79">
        <v>68.619327385037735</v>
      </c>
      <c r="J104" s="79">
        <v>0</v>
      </c>
      <c r="K104" s="79">
        <v>0</v>
      </c>
      <c r="L104" s="79">
        <v>0</v>
      </c>
      <c r="M104" s="79">
        <v>0</v>
      </c>
      <c r="N104" s="79">
        <v>0</v>
      </c>
      <c r="O104" s="79">
        <v>0</v>
      </c>
      <c r="P104" s="79">
        <v>0</v>
      </c>
      <c r="Q104" s="79">
        <v>0</v>
      </c>
      <c r="R104" s="79">
        <v>0</v>
      </c>
      <c r="S104" s="79">
        <v>0</v>
      </c>
      <c r="T104" s="79">
        <v>0</v>
      </c>
      <c r="U104" s="79">
        <v>0</v>
      </c>
      <c r="V104" s="79">
        <v>0</v>
      </c>
      <c r="W104" s="79">
        <v>0</v>
      </c>
      <c r="X104" s="90">
        <v>0</v>
      </c>
    </row>
    <row r="105" spans="1:24" hidden="1" x14ac:dyDescent="0.25">
      <c r="A105" s="80" t="str">
        <v>PENDIENTE</v>
      </c>
      <c r="B105" s="80" t="str">
        <v>Cajabamba</v>
      </c>
      <c r="C105" s="80" t="str">
        <v>Diciembre</v>
      </c>
      <c r="D105" s="81">
        <v>46279</v>
      </c>
      <c r="E105" s="79">
        <v>1012.86</v>
      </c>
      <c r="F105" s="80">
        <v>0</v>
      </c>
      <c r="G105" s="79" cm="1">
        <f t="array" ref="G105:X105">_xlfn._xlws.FILTER(Formulas!$C$2:$T$201, ISNUMBER(MATCH(Formulas!$B$2:$B$201, B105, 0)),0) * E105</f>
        <v>263.12114619080302</v>
      </c>
      <c r="H105" s="79">
        <v>678.83170212765958</v>
      </c>
      <c r="I105" s="79">
        <v>70.9071516815374</v>
      </c>
      <c r="J105" s="79">
        <v>0</v>
      </c>
      <c r="K105" s="79">
        <v>0</v>
      </c>
      <c r="L105" s="79"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v>0</v>
      </c>
      <c r="R105" s="79">
        <v>0</v>
      </c>
      <c r="S105" s="79">
        <v>0</v>
      </c>
      <c r="T105" s="79">
        <v>0</v>
      </c>
      <c r="U105" s="79">
        <v>0</v>
      </c>
      <c r="V105" s="79">
        <v>0</v>
      </c>
      <c r="W105" s="79">
        <v>0</v>
      </c>
      <c r="X105" s="90">
        <v>0</v>
      </c>
    </row>
    <row r="106" spans="1:24" hidden="1" x14ac:dyDescent="0.25">
      <c r="A106" s="80" t="str">
        <v>PENDIENTE</v>
      </c>
      <c r="B106" s="80" t="str">
        <v>Cajabamba Leche</v>
      </c>
      <c r="C106" s="80" t="str">
        <v>Enero</v>
      </c>
      <c r="D106" s="81">
        <v>46022</v>
      </c>
      <c r="E106" s="79">
        <v>3269.81</v>
      </c>
      <c r="F106" s="81">
        <v>46062</v>
      </c>
      <c r="G106" s="79" cm="1">
        <f t="array" ref="G106:X106">_xlfn._xlws.FILTER(Formulas!$C$2:$T$201, ISNUMBER(MATCH(Formulas!$B$2:$B$201, B106, 0)),0) * E106</f>
        <v>752.18717505793131</v>
      </c>
      <c r="H106" s="79">
        <v>2193.8792605856329</v>
      </c>
      <c r="I106" s="79">
        <v>0</v>
      </c>
      <c r="J106" s="79">
        <v>130.87505793132505</v>
      </c>
      <c r="K106" s="79">
        <v>0</v>
      </c>
      <c r="L106" s="79">
        <v>0</v>
      </c>
      <c r="M106" s="79">
        <v>0</v>
      </c>
      <c r="N106" s="79">
        <v>189.42442595323362</v>
      </c>
      <c r="O106" s="79">
        <v>0</v>
      </c>
      <c r="P106" s="79">
        <v>0</v>
      </c>
      <c r="Q106" s="79">
        <v>0</v>
      </c>
      <c r="R106" s="79">
        <v>0</v>
      </c>
      <c r="S106" s="79">
        <v>0</v>
      </c>
      <c r="T106" s="79">
        <v>0</v>
      </c>
      <c r="U106" s="79">
        <v>3.2698100000000001</v>
      </c>
      <c r="V106" s="79">
        <v>0</v>
      </c>
      <c r="W106" s="79">
        <v>0</v>
      </c>
      <c r="X106" s="90">
        <v>0</v>
      </c>
    </row>
    <row r="107" spans="1:24" hidden="1" x14ac:dyDescent="0.25">
      <c r="A107" s="80" t="str">
        <v>PENDIENTE</v>
      </c>
      <c r="B107" s="80" t="str">
        <v>Cajabamba Leche</v>
      </c>
      <c r="C107" s="80" t="str">
        <v>Febrero</v>
      </c>
      <c r="D107" s="81">
        <v>46022</v>
      </c>
      <c r="E107" s="79">
        <v>2953.38</v>
      </c>
      <c r="F107" s="81">
        <v>46062</v>
      </c>
      <c r="G107" s="79" cm="1">
        <f t="array" ref="G107:X107">_xlfn._xlws.FILTER(Formulas!$C$2:$T$201, ISNUMBER(MATCH(Formulas!$B$2:$B$201, B107, 0)),0) * E107</f>
        <v>679.39560985885828</v>
      </c>
      <c r="H107" s="79">
        <v>1981.5705287550031</v>
      </c>
      <c r="I107" s="79">
        <v>0</v>
      </c>
      <c r="J107" s="79">
        <v>118.20985885822626</v>
      </c>
      <c r="K107" s="79">
        <v>0</v>
      </c>
      <c r="L107" s="79">
        <v>0</v>
      </c>
      <c r="M107" s="79">
        <v>0</v>
      </c>
      <c r="N107" s="79">
        <v>171.09321676848535</v>
      </c>
      <c r="O107" s="79">
        <v>0</v>
      </c>
      <c r="P107" s="79">
        <v>0</v>
      </c>
      <c r="Q107" s="79">
        <v>0</v>
      </c>
      <c r="R107" s="79">
        <v>0</v>
      </c>
      <c r="S107" s="79">
        <v>0</v>
      </c>
      <c r="T107" s="79">
        <v>0</v>
      </c>
      <c r="U107" s="79">
        <v>2.9533800000000001</v>
      </c>
      <c r="V107" s="79">
        <v>0</v>
      </c>
      <c r="W107" s="79">
        <v>0</v>
      </c>
      <c r="X107" s="90">
        <v>0</v>
      </c>
    </row>
    <row r="108" spans="1:24" hidden="1" x14ac:dyDescent="0.25">
      <c r="A108" s="80" t="str">
        <v>PENDIENTE</v>
      </c>
      <c r="B108" s="80" t="str">
        <v>Cajabamba Leche</v>
      </c>
      <c r="C108" s="80" t="str">
        <v>Marzo</v>
      </c>
      <c r="D108" s="81">
        <v>46022</v>
      </c>
      <c r="E108" s="79">
        <v>3269.81</v>
      </c>
      <c r="F108" s="81">
        <v>46062</v>
      </c>
      <c r="G108" s="79" cm="1">
        <f t="array" ref="G108:X108">_xlfn._xlws.FILTER(Formulas!$C$2:$T$201, ISNUMBER(MATCH(Formulas!$B$2:$B$201, B108, 0)),0) * E108</f>
        <v>752.18717505793131</v>
      </c>
      <c r="H108" s="79">
        <v>2193.8792605856329</v>
      </c>
      <c r="I108" s="79">
        <v>0</v>
      </c>
      <c r="J108" s="79">
        <v>130.87505793132505</v>
      </c>
      <c r="K108" s="79">
        <v>0</v>
      </c>
      <c r="L108" s="79">
        <v>0</v>
      </c>
      <c r="M108" s="79">
        <v>0</v>
      </c>
      <c r="N108" s="79">
        <v>189.42442595323362</v>
      </c>
      <c r="O108" s="79">
        <v>0</v>
      </c>
      <c r="P108" s="79">
        <v>0</v>
      </c>
      <c r="Q108" s="79">
        <v>0</v>
      </c>
      <c r="R108" s="79">
        <v>0</v>
      </c>
      <c r="S108" s="79">
        <v>0</v>
      </c>
      <c r="T108" s="79">
        <v>0</v>
      </c>
      <c r="U108" s="79">
        <v>3.2698100000000001</v>
      </c>
      <c r="V108" s="79">
        <v>0</v>
      </c>
      <c r="W108" s="79">
        <v>0</v>
      </c>
      <c r="X108" s="90">
        <v>0</v>
      </c>
    </row>
    <row r="109" spans="1:24" hidden="1" x14ac:dyDescent="0.25">
      <c r="A109" s="80" t="str">
        <v>PENDIENTE</v>
      </c>
      <c r="B109" s="80" t="str">
        <v>Cajabamba Leche</v>
      </c>
      <c r="C109" s="80" t="str">
        <v>Abril</v>
      </c>
      <c r="D109" s="81">
        <v>46093</v>
      </c>
      <c r="E109" s="79">
        <v>3164.33</v>
      </c>
      <c r="F109" s="81">
        <v>46095</v>
      </c>
      <c r="G109" s="79" cm="1">
        <f t="array" ref="G109:X109">_xlfn._xlws.FILTER(Formulas!$C$2:$T$201, ISNUMBER(MATCH(Formulas!$B$2:$B$201, B109, 0)),0) * E109</f>
        <v>727.92255319148933</v>
      </c>
      <c r="H109" s="79">
        <v>2123.1074468085103</v>
      </c>
      <c r="I109" s="79">
        <v>0</v>
      </c>
      <c r="J109" s="79">
        <v>126.6531914893617</v>
      </c>
      <c r="K109" s="79">
        <v>0</v>
      </c>
      <c r="L109" s="79">
        <v>0</v>
      </c>
      <c r="M109" s="79">
        <v>0</v>
      </c>
      <c r="N109" s="79">
        <v>183.31382978723403</v>
      </c>
      <c r="O109" s="79">
        <v>0</v>
      </c>
      <c r="P109" s="79">
        <v>0</v>
      </c>
      <c r="Q109" s="79">
        <v>0</v>
      </c>
      <c r="R109" s="79">
        <v>0</v>
      </c>
      <c r="S109" s="79">
        <v>0</v>
      </c>
      <c r="T109" s="79">
        <v>0</v>
      </c>
      <c r="U109" s="79">
        <v>3.1643300000000001</v>
      </c>
      <c r="V109" s="79">
        <v>0</v>
      </c>
      <c r="W109" s="79">
        <v>0</v>
      </c>
      <c r="X109" s="90">
        <v>0</v>
      </c>
    </row>
    <row r="110" spans="1:24" hidden="1" x14ac:dyDescent="0.25">
      <c r="A110" s="80" t="str">
        <v>PENDIENTE</v>
      </c>
      <c r="B110" s="80" t="str">
        <v>Cajabamba Leche</v>
      </c>
      <c r="C110" s="80" t="str">
        <v>Mayo</v>
      </c>
      <c r="D110" s="81">
        <v>46093</v>
      </c>
      <c r="E110" s="79">
        <v>3269.81</v>
      </c>
      <c r="F110" s="81">
        <v>46095</v>
      </c>
      <c r="G110" s="79" cm="1">
        <f t="array" ref="G110:X110">_xlfn._xlws.FILTER(Formulas!$C$2:$T$201, ISNUMBER(MATCH(Formulas!$B$2:$B$201, B110, 0)),0) * E110</f>
        <v>752.18717505793131</v>
      </c>
      <c r="H110" s="79">
        <v>2193.8792605856329</v>
      </c>
      <c r="I110" s="79">
        <v>0</v>
      </c>
      <c r="J110" s="79">
        <v>130.87505793132505</v>
      </c>
      <c r="K110" s="79">
        <v>0</v>
      </c>
      <c r="L110" s="79">
        <v>0</v>
      </c>
      <c r="M110" s="79">
        <v>0</v>
      </c>
      <c r="N110" s="79">
        <v>189.42442595323362</v>
      </c>
      <c r="O110" s="79">
        <v>0</v>
      </c>
      <c r="P110" s="79">
        <v>0</v>
      </c>
      <c r="Q110" s="79">
        <v>0</v>
      </c>
      <c r="R110" s="79">
        <v>0</v>
      </c>
      <c r="S110" s="79">
        <v>0</v>
      </c>
      <c r="T110" s="79">
        <v>0</v>
      </c>
      <c r="U110" s="79">
        <v>3.2698100000000001</v>
      </c>
      <c r="V110" s="79">
        <v>0</v>
      </c>
      <c r="W110" s="79">
        <v>0</v>
      </c>
      <c r="X110" s="90">
        <v>0</v>
      </c>
    </row>
    <row r="111" spans="1:24" hidden="1" x14ac:dyDescent="0.25">
      <c r="A111" s="80" t="str">
        <v>PENDIENTE</v>
      </c>
      <c r="B111" s="80" t="str">
        <v>Cajabamba Leche</v>
      </c>
      <c r="C111" s="80" t="str">
        <v>Junio</v>
      </c>
      <c r="D111" s="81">
        <v>46093</v>
      </c>
      <c r="E111" s="79">
        <v>3164.33</v>
      </c>
      <c r="F111" s="81">
        <v>46095</v>
      </c>
      <c r="G111" s="79" cm="1">
        <f t="array" ref="G111:X111">_xlfn._xlws.FILTER(Formulas!$C$2:$T$201, ISNUMBER(MATCH(Formulas!$B$2:$B$201, B111, 0)),0) * E111</f>
        <v>727.92255319148933</v>
      </c>
      <c r="H111" s="79">
        <v>2123.1074468085103</v>
      </c>
      <c r="I111" s="79">
        <v>0</v>
      </c>
      <c r="J111" s="79">
        <v>126.6531914893617</v>
      </c>
      <c r="K111" s="79">
        <v>0</v>
      </c>
      <c r="L111" s="79">
        <v>0</v>
      </c>
      <c r="M111" s="79">
        <v>0</v>
      </c>
      <c r="N111" s="79">
        <v>183.31382978723403</v>
      </c>
      <c r="O111" s="79">
        <v>0</v>
      </c>
      <c r="P111" s="79">
        <v>0</v>
      </c>
      <c r="Q111" s="79">
        <v>0</v>
      </c>
      <c r="R111" s="79">
        <v>0</v>
      </c>
      <c r="S111" s="79">
        <v>0</v>
      </c>
      <c r="T111" s="79">
        <v>0</v>
      </c>
      <c r="U111" s="79">
        <v>3.1643300000000001</v>
      </c>
      <c r="V111" s="79">
        <v>0</v>
      </c>
      <c r="W111" s="79">
        <v>0</v>
      </c>
      <c r="X111" s="90">
        <v>0</v>
      </c>
    </row>
    <row r="112" spans="1:24" hidden="1" x14ac:dyDescent="0.25">
      <c r="A112" s="80" t="str">
        <v>PENDIENTE</v>
      </c>
      <c r="B112" s="80" t="str">
        <v>Cajabamba Leche</v>
      </c>
      <c r="C112" s="80" t="str">
        <v>Julio</v>
      </c>
      <c r="D112" s="81">
        <v>46188</v>
      </c>
      <c r="E112" s="79">
        <v>3269.81</v>
      </c>
      <c r="F112" s="81">
        <v>46170</v>
      </c>
      <c r="G112" s="79" cm="1">
        <f t="array" ref="G112:X112">_xlfn._xlws.FILTER(Formulas!$C$2:$T$201, ISNUMBER(MATCH(Formulas!$B$2:$B$201, B112, 0)),0) * E112</f>
        <v>752.18717505793131</v>
      </c>
      <c r="H112" s="79">
        <v>2193.8792605856329</v>
      </c>
      <c r="I112" s="79">
        <v>0</v>
      </c>
      <c r="J112" s="79">
        <v>130.87505793132505</v>
      </c>
      <c r="K112" s="79">
        <v>0</v>
      </c>
      <c r="L112" s="79">
        <v>0</v>
      </c>
      <c r="M112" s="79">
        <v>0</v>
      </c>
      <c r="N112" s="79">
        <v>189.42442595323362</v>
      </c>
      <c r="O112" s="79">
        <v>0</v>
      </c>
      <c r="P112" s="79">
        <v>0</v>
      </c>
      <c r="Q112" s="79">
        <v>0</v>
      </c>
      <c r="R112" s="79">
        <v>0</v>
      </c>
      <c r="S112" s="79">
        <v>0</v>
      </c>
      <c r="T112" s="79">
        <v>0</v>
      </c>
      <c r="U112" s="79">
        <v>3.2698100000000001</v>
      </c>
      <c r="V112" s="79">
        <v>0</v>
      </c>
      <c r="W112" s="79">
        <v>0</v>
      </c>
      <c r="X112" s="90">
        <v>0</v>
      </c>
    </row>
    <row r="113" spans="1:24" hidden="1" x14ac:dyDescent="0.25">
      <c r="A113" s="80" t="str">
        <v>PENDIENTE</v>
      </c>
      <c r="B113" s="80" t="str">
        <v>Cajabamba Leche</v>
      </c>
      <c r="C113" s="80" t="str">
        <v>Agosto</v>
      </c>
      <c r="D113" s="81">
        <v>46188</v>
      </c>
      <c r="E113" s="79">
        <v>3269.81</v>
      </c>
      <c r="F113" s="81">
        <v>46170</v>
      </c>
      <c r="G113" s="79" cm="1">
        <f t="array" ref="G113:X113">_xlfn._xlws.FILTER(Formulas!$C$2:$T$201, ISNUMBER(MATCH(Formulas!$B$2:$B$201, B113, 0)),0) * E113</f>
        <v>752.18717505793131</v>
      </c>
      <c r="H113" s="79">
        <v>2193.8792605856329</v>
      </c>
      <c r="I113" s="79">
        <v>0</v>
      </c>
      <c r="J113" s="79">
        <v>130.87505793132505</v>
      </c>
      <c r="K113" s="79">
        <v>0</v>
      </c>
      <c r="L113" s="79">
        <v>0</v>
      </c>
      <c r="M113" s="79">
        <v>0</v>
      </c>
      <c r="N113" s="79">
        <v>189.42442595323362</v>
      </c>
      <c r="O113" s="79">
        <v>0</v>
      </c>
      <c r="P113" s="79">
        <v>0</v>
      </c>
      <c r="Q113" s="79">
        <v>0</v>
      </c>
      <c r="R113" s="79">
        <v>0</v>
      </c>
      <c r="S113" s="79">
        <v>0</v>
      </c>
      <c r="T113" s="79">
        <v>0</v>
      </c>
      <c r="U113" s="79">
        <v>3.2698100000000001</v>
      </c>
      <c r="V113" s="79">
        <v>0</v>
      </c>
      <c r="W113" s="79">
        <v>0</v>
      </c>
      <c r="X113" s="90">
        <v>0</v>
      </c>
    </row>
    <row r="114" spans="1:24" hidden="1" x14ac:dyDescent="0.25">
      <c r="A114" s="80" t="str">
        <v>PENDIENTE</v>
      </c>
      <c r="B114" s="80" t="str">
        <v>Cajabamba Leche</v>
      </c>
      <c r="C114" s="80" t="str">
        <v>Setiembre</v>
      </c>
      <c r="D114" s="81">
        <v>46188</v>
      </c>
      <c r="E114" s="79">
        <v>3164.33</v>
      </c>
      <c r="F114" s="81">
        <v>46170</v>
      </c>
      <c r="G114" s="79" cm="1">
        <f t="array" ref="G114:X114">_xlfn._xlws.FILTER(Formulas!$C$2:$T$201, ISNUMBER(MATCH(Formulas!$B$2:$B$201, B114, 0)),0) * E114</f>
        <v>727.92255319148933</v>
      </c>
      <c r="H114" s="79">
        <v>2123.1074468085103</v>
      </c>
      <c r="I114" s="79">
        <v>0</v>
      </c>
      <c r="J114" s="79">
        <v>126.6531914893617</v>
      </c>
      <c r="K114" s="79">
        <v>0</v>
      </c>
      <c r="L114" s="79">
        <v>0</v>
      </c>
      <c r="M114" s="79">
        <v>0</v>
      </c>
      <c r="N114" s="79">
        <v>183.31382978723403</v>
      </c>
      <c r="O114" s="79">
        <v>0</v>
      </c>
      <c r="P114" s="79">
        <v>0</v>
      </c>
      <c r="Q114" s="79">
        <v>0</v>
      </c>
      <c r="R114" s="79">
        <v>0</v>
      </c>
      <c r="S114" s="79">
        <v>0</v>
      </c>
      <c r="T114" s="79">
        <v>0</v>
      </c>
      <c r="U114" s="79">
        <v>3.1643300000000001</v>
      </c>
      <c r="V114" s="79">
        <v>0</v>
      </c>
      <c r="W114" s="79">
        <v>0</v>
      </c>
      <c r="X114" s="90">
        <v>0</v>
      </c>
    </row>
    <row r="115" spans="1:24" hidden="1" x14ac:dyDescent="0.25">
      <c r="A115" s="80" t="str">
        <v>PENDIENTE</v>
      </c>
      <c r="B115" s="80" t="str">
        <v>Cajabamba Leche</v>
      </c>
      <c r="C115" s="80" t="str">
        <v>Octubre</v>
      </c>
      <c r="D115" s="81">
        <v>46279</v>
      </c>
      <c r="E115" s="79">
        <v>3269.81</v>
      </c>
      <c r="F115" s="81">
        <v>46277</v>
      </c>
      <c r="G115" s="79" cm="1">
        <f t="array" ref="G115:X115">_xlfn._xlws.FILTER(Formulas!$C$2:$T$201, ISNUMBER(MATCH(Formulas!$B$2:$B$201, B115, 0)),0) * E115</f>
        <v>752.18717505793131</v>
      </c>
      <c r="H115" s="79">
        <v>2193.8792605856329</v>
      </c>
      <c r="I115" s="79">
        <v>0</v>
      </c>
      <c r="J115" s="79">
        <v>130.87505793132505</v>
      </c>
      <c r="K115" s="79">
        <v>0</v>
      </c>
      <c r="L115" s="79">
        <v>0</v>
      </c>
      <c r="M115" s="79">
        <v>0</v>
      </c>
      <c r="N115" s="79">
        <v>189.42442595323362</v>
      </c>
      <c r="O115" s="79">
        <v>0</v>
      </c>
      <c r="P115" s="79">
        <v>0</v>
      </c>
      <c r="Q115" s="79">
        <v>0</v>
      </c>
      <c r="R115" s="79">
        <v>0</v>
      </c>
      <c r="S115" s="79">
        <v>0</v>
      </c>
      <c r="T115" s="79">
        <v>0</v>
      </c>
      <c r="U115" s="79">
        <v>3.2698100000000001</v>
      </c>
      <c r="V115" s="79">
        <v>0</v>
      </c>
      <c r="W115" s="79">
        <v>0</v>
      </c>
      <c r="X115" s="90">
        <v>0</v>
      </c>
    </row>
    <row r="116" spans="1:24" hidden="1" x14ac:dyDescent="0.25">
      <c r="A116" s="80" t="str">
        <v>PENDIENTE</v>
      </c>
      <c r="B116" s="80" t="str">
        <v>Cajabamba Leche</v>
      </c>
      <c r="C116" s="80" t="str">
        <v>Noviembre</v>
      </c>
      <c r="D116" s="81">
        <v>46279</v>
      </c>
      <c r="E116" s="79">
        <v>3164.33</v>
      </c>
      <c r="F116" s="81">
        <v>46277</v>
      </c>
      <c r="G116" s="79" cm="1">
        <f t="array" ref="G116:X116">_xlfn._xlws.FILTER(Formulas!$C$2:$T$201, ISNUMBER(MATCH(Formulas!$B$2:$B$201, B116, 0)),0) * E116</f>
        <v>727.92255319148933</v>
      </c>
      <c r="H116" s="79">
        <v>2123.1074468085103</v>
      </c>
      <c r="I116" s="79">
        <v>0</v>
      </c>
      <c r="J116" s="79">
        <v>126.6531914893617</v>
      </c>
      <c r="K116" s="79">
        <v>0</v>
      </c>
      <c r="L116" s="79">
        <v>0</v>
      </c>
      <c r="M116" s="79">
        <v>0</v>
      </c>
      <c r="N116" s="79">
        <v>183.31382978723403</v>
      </c>
      <c r="O116" s="79">
        <v>0</v>
      </c>
      <c r="P116" s="79">
        <v>0</v>
      </c>
      <c r="Q116" s="79">
        <v>0</v>
      </c>
      <c r="R116" s="79">
        <v>0</v>
      </c>
      <c r="S116" s="79">
        <v>0</v>
      </c>
      <c r="T116" s="79">
        <v>0</v>
      </c>
      <c r="U116" s="79">
        <v>3.1643300000000001</v>
      </c>
      <c r="V116" s="79">
        <v>0</v>
      </c>
      <c r="W116" s="79">
        <v>0</v>
      </c>
      <c r="X116" s="90">
        <v>0</v>
      </c>
    </row>
    <row r="117" spans="1:24" hidden="1" x14ac:dyDescent="0.25">
      <c r="A117" s="80" t="str">
        <v>PENDIENTE</v>
      </c>
      <c r="B117" s="80" t="str">
        <v>Cajabamba Leche</v>
      </c>
      <c r="C117" s="80" t="str">
        <v>Diciembre</v>
      </c>
      <c r="D117" s="81">
        <v>46279</v>
      </c>
      <c r="E117" s="79">
        <v>3269.81</v>
      </c>
      <c r="F117" s="80">
        <v>0</v>
      </c>
      <c r="G117" s="79" cm="1">
        <f t="array" ref="G117:X117">_xlfn._xlws.FILTER(Formulas!$C$2:$T$201, ISNUMBER(MATCH(Formulas!$B$2:$B$201, B117, 0)),0) * E117</f>
        <v>752.18717505793131</v>
      </c>
      <c r="H117" s="79">
        <v>2193.8792605856329</v>
      </c>
      <c r="I117" s="79">
        <v>0</v>
      </c>
      <c r="J117" s="79">
        <v>130.87505793132505</v>
      </c>
      <c r="K117" s="79">
        <v>0</v>
      </c>
      <c r="L117" s="79">
        <v>0</v>
      </c>
      <c r="M117" s="79">
        <v>0</v>
      </c>
      <c r="N117" s="79">
        <v>189.42442595323362</v>
      </c>
      <c r="O117" s="79">
        <v>0</v>
      </c>
      <c r="P117" s="79">
        <v>0</v>
      </c>
      <c r="Q117" s="79">
        <v>0</v>
      </c>
      <c r="R117" s="79">
        <v>0</v>
      </c>
      <c r="S117" s="79">
        <v>0</v>
      </c>
      <c r="T117" s="79">
        <v>0</v>
      </c>
      <c r="U117" s="79">
        <v>3.2698100000000001</v>
      </c>
      <c r="V117" s="79">
        <v>0</v>
      </c>
      <c r="W117" s="79">
        <v>0</v>
      </c>
      <c r="X117" s="90">
        <v>0</v>
      </c>
    </row>
    <row r="118" spans="1:24" hidden="1" x14ac:dyDescent="0.25">
      <c r="A118" s="80" t="str">
        <v>PENDIENTE</v>
      </c>
      <c r="B118" s="80" t="str">
        <v>Cajamarca Rur</v>
      </c>
      <c r="C118" s="80" t="str">
        <v>Enero</v>
      </c>
      <c r="D118" s="81">
        <v>46208</v>
      </c>
      <c r="E118" s="79">
        <v>11048.4</v>
      </c>
      <c r="F118" s="81">
        <v>46209</v>
      </c>
      <c r="G118" s="79" cm="1">
        <f t="array" ref="G118:X118">_xlfn._xlws.FILTER(Formulas!$C$2:$T$201, ISNUMBER(MATCH(Formulas!$B$2:$B$201, B118, 0)),0) * E118</f>
        <v>2872.6525065881256</v>
      </c>
      <c r="H118" s="79">
        <v>6739.5068733529679</v>
      </c>
      <c r="I118" s="79">
        <v>552.50563323515735</v>
      </c>
      <c r="J118" s="79">
        <v>0</v>
      </c>
      <c r="K118" s="79">
        <v>0</v>
      </c>
      <c r="L118" s="79">
        <v>441.86749341187414</v>
      </c>
      <c r="M118" s="79">
        <v>441.86749341187414</v>
      </c>
      <c r="N118" s="79">
        <v>0</v>
      </c>
      <c r="O118" s="79">
        <v>0</v>
      </c>
      <c r="P118" s="79">
        <v>0</v>
      </c>
      <c r="Q118" s="79">
        <v>0</v>
      </c>
      <c r="R118" s="79">
        <v>0</v>
      </c>
      <c r="S118" s="79">
        <v>0</v>
      </c>
      <c r="T118" s="79">
        <v>0</v>
      </c>
      <c r="U118" s="79">
        <v>0</v>
      </c>
      <c r="V118" s="79">
        <v>0</v>
      </c>
      <c r="W118" s="79">
        <v>0</v>
      </c>
      <c r="X118" s="90">
        <v>0</v>
      </c>
    </row>
    <row r="119" spans="1:24" hidden="1" x14ac:dyDescent="0.25">
      <c r="A119" s="80" t="str">
        <v>PENDIENTE</v>
      </c>
      <c r="B119" s="80" t="str">
        <v>Cajamarca Rur</v>
      </c>
      <c r="C119" s="80" t="str">
        <v>Marzo</v>
      </c>
      <c r="D119" s="81">
        <v>46208</v>
      </c>
      <c r="E119" s="79">
        <v>11048.4</v>
      </c>
      <c r="F119" s="81">
        <v>46209</v>
      </c>
      <c r="G119" s="79" cm="1">
        <f t="array" ref="G119:X119">_xlfn._xlws.FILTER(Formulas!$C$2:$T$201, ISNUMBER(MATCH(Formulas!$B$2:$B$201, B119, 0)),0) * E119</f>
        <v>2872.6525065881256</v>
      </c>
      <c r="H119" s="79">
        <v>6739.5068733529679</v>
      </c>
      <c r="I119" s="79">
        <v>552.50563323515735</v>
      </c>
      <c r="J119" s="79">
        <v>0</v>
      </c>
      <c r="K119" s="79">
        <v>0</v>
      </c>
      <c r="L119" s="79">
        <v>441.86749341187414</v>
      </c>
      <c r="M119" s="79">
        <v>441.86749341187414</v>
      </c>
      <c r="N119" s="79">
        <v>0</v>
      </c>
      <c r="O119" s="79">
        <v>0</v>
      </c>
      <c r="P119" s="79">
        <v>0</v>
      </c>
      <c r="Q119" s="79">
        <v>0</v>
      </c>
      <c r="R119" s="79">
        <v>0</v>
      </c>
      <c r="S119" s="79">
        <v>0</v>
      </c>
      <c r="T119" s="79">
        <v>0</v>
      </c>
      <c r="U119" s="79">
        <v>0</v>
      </c>
      <c r="V119" s="79">
        <v>0</v>
      </c>
      <c r="W119" s="79">
        <v>0</v>
      </c>
      <c r="X119" s="90">
        <v>0</v>
      </c>
    </row>
    <row r="120" spans="1:24" hidden="1" x14ac:dyDescent="0.25">
      <c r="A120" s="80" t="str">
        <v>PENDIENTE</v>
      </c>
      <c r="B120" s="80" t="str">
        <v>Cajamarca Rur</v>
      </c>
      <c r="C120" s="80" t="str">
        <v>Mayo</v>
      </c>
      <c r="D120" s="81">
        <v>46208</v>
      </c>
      <c r="E120" s="79">
        <v>11048.4</v>
      </c>
      <c r="F120" s="81">
        <v>46210</v>
      </c>
      <c r="G120" s="79" cm="1">
        <f t="array" ref="G120:X120">_xlfn._xlws.FILTER(Formulas!$C$2:$T$201, ISNUMBER(MATCH(Formulas!$B$2:$B$201, B120, 0)),0) * E120</f>
        <v>2872.6525065881256</v>
      </c>
      <c r="H120" s="79">
        <v>6739.5068733529679</v>
      </c>
      <c r="I120" s="79">
        <v>552.50563323515735</v>
      </c>
      <c r="J120" s="79">
        <v>0</v>
      </c>
      <c r="K120" s="79">
        <v>0</v>
      </c>
      <c r="L120" s="79">
        <v>441.86749341187414</v>
      </c>
      <c r="M120" s="79">
        <v>441.86749341187414</v>
      </c>
      <c r="N120" s="79">
        <v>0</v>
      </c>
      <c r="O120" s="79">
        <v>0</v>
      </c>
      <c r="P120" s="79">
        <v>0</v>
      </c>
      <c r="Q120" s="79">
        <v>0</v>
      </c>
      <c r="R120" s="79">
        <v>0</v>
      </c>
      <c r="S120" s="79">
        <v>0</v>
      </c>
      <c r="T120" s="79">
        <v>0</v>
      </c>
      <c r="U120" s="79">
        <v>0</v>
      </c>
      <c r="V120" s="79">
        <v>0</v>
      </c>
      <c r="W120" s="79">
        <v>0</v>
      </c>
      <c r="X120" s="90">
        <v>0</v>
      </c>
    </row>
    <row r="121" spans="1:24" hidden="1" x14ac:dyDescent="0.25">
      <c r="A121" s="80" t="str">
        <v>PENDIENTE</v>
      </c>
      <c r="B121" s="80" t="str">
        <v>Cajamarca Rur</v>
      </c>
      <c r="C121" s="80" t="str">
        <v>Abril</v>
      </c>
      <c r="D121" s="81">
        <v>46208</v>
      </c>
      <c r="E121" s="79">
        <v>10692</v>
      </c>
      <c r="F121" s="81">
        <v>46214</v>
      </c>
      <c r="G121" s="79" cm="1">
        <f t="array" ref="G121:X121">_xlfn._xlws.FILTER(Formulas!$C$2:$T$201, ISNUMBER(MATCH(Formulas!$B$2:$B$201, B121, 0)),0) * E121</f>
        <v>2779.9862966981859</v>
      </c>
      <c r="H121" s="79">
        <v>6522.1034258254531</v>
      </c>
      <c r="I121" s="79">
        <v>534.68287087273291</v>
      </c>
      <c r="J121" s="79">
        <v>0</v>
      </c>
      <c r="K121" s="79">
        <v>0</v>
      </c>
      <c r="L121" s="79">
        <v>427.61370330181364</v>
      </c>
      <c r="M121" s="79">
        <v>427.61370330181364</v>
      </c>
      <c r="N121" s="79">
        <v>0</v>
      </c>
      <c r="O121" s="79">
        <v>0</v>
      </c>
      <c r="P121" s="79">
        <v>0</v>
      </c>
      <c r="Q121" s="79">
        <v>0</v>
      </c>
      <c r="R121" s="79">
        <v>0</v>
      </c>
      <c r="S121" s="79">
        <v>0</v>
      </c>
      <c r="T121" s="79">
        <v>0</v>
      </c>
      <c r="U121" s="79">
        <v>0</v>
      </c>
      <c r="V121" s="79">
        <v>0</v>
      </c>
      <c r="W121" s="79">
        <v>0</v>
      </c>
      <c r="X121" s="90">
        <v>0</v>
      </c>
    </row>
    <row r="122" spans="1:24" hidden="1" x14ac:dyDescent="0.25">
      <c r="A122" s="80" t="str">
        <v>PENDIENTE</v>
      </c>
      <c r="B122" s="80" t="str">
        <v>Cajamarca Rur</v>
      </c>
      <c r="C122" s="80" t="str">
        <v>Febrero</v>
      </c>
      <c r="D122" s="81">
        <v>46208</v>
      </c>
      <c r="E122" s="79">
        <v>9979.2000000000007</v>
      </c>
      <c r="F122" s="81">
        <v>46215</v>
      </c>
      <c r="G122" s="79" cm="1">
        <f t="array" ref="G122:X122">_xlfn._xlws.FILTER(Formulas!$C$2:$T$201, ISNUMBER(MATCH(Formulas!$B$2:$B$201, B122, 0)),0) * E122</f>
        <v>2594.6538769183071</v>
      </c>
      <c r="H122" s="79">
        <v>6087.2965307704235</v>
      </c>
      <c r="I122" s="79">
        <v>499.03734614788414</v>
      </c>
      <c r="J122" s="79">
        <v>0</v>
      </c>
      <c r="K122" s="79">
        <v>0</v>
      </c>
      <c r="L122" s="79">
        <v>399.10612308169277</v>
      </c>
      <c r="M122" s="79">
        <v>399.10612308169277</v>
      </c>
      <c r="N122" s="79">
        <v>0</v>
      </c>
      <c r="O122" s="79">
        <v>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  <c r="U122" s="79">
        <v>0</v>
      </c>
      <c r="V122" s="79">
        <v>0</v>
      </c>
      <c r="W122" s="79">
        <v>0</v>
      </c>
      <c r="X122" s="90">
        <v>0</v>
      </c>
    </row>
    <row r="123" spans="1:24" hidden="1" x14ac:dyDescent="0.25">
      <c r="A123" s="80" t="str">
        <v>PENDIENTE</v>
      </c>
      <c r="B123" s="80" t="str">
        <v>Cajamarca Rur</v>
      </c>
      <c r="C123" s="80" t="str">
        <v>Junio</v>
      </c>
      <c r="D123" s="81">
        <v>46208</v>
      </c>
      <c r="E123" s="79">
        <v>10692</v>
      </c>
      <c r="F123" s="81">
        <v>46215</v>
      </c>
      <c r="G123" s="79" cm="1">
        <f t="array" ref="G123:X123">_xlfn._xlws.FILTER(Formulas!$C$2:$T$201, ISNUMBER(MATCH(Formulas!$B$2:$B$201, B123, 0)),0) * E123</f>
        <v>2779.9862966981859</v>
      </c>
      <c r="H123" s="79">
        <v>6522.1034258254531</v>
      </c>
      <c r="I123" s="79">
        <v>534.68287087273291</v>
      </c>
      <c r="J123" s="79">
        <v>0</v>
      </c>
      <c r="K123" s="79">
        <v>0</v>
      </c>
      <c r="L123" s="79">
        <v>427.61370330181364</v>
      </c>
      <c r="M123" s="79">
        <v>427.61370330181364</v>
      </c>
      <c r="N123" s="79">
        <v>0</v>
      </c>
      <c r="O123" s="79">
        <v>0</v>
      </c>
      <c r="P123" s="79">
        <v>0</v>
      </c>
      <c r="Q123" s="79">
        <v>0</v>
      </c>
      <c r="R123" s="79">
        <v>0</v>
      </c>
      <c r="S123" s="79">
        <v>0</v>
      </c>
      <c r="T123" s="79">
        <v>0</v>
      </c>
      <c r="U123" s="79">
        <v>0</v>
      </c>
      <c r="V123" s="79">
        <v>0</v>
      </c>
      <c r="W123" s="79">
        <v>0</v>
      </c>
      <c r="X123" s="90">
        <v>0</v>
      </c>
    </row>
    <row r="124" spans="1:24" hidden="1" x14ac:dyDescent="0.25">
      <c r="A124" s="80" t="str">
        <v>PENDIENTE</v>
      </c>
      <c r="B124" s="80" t="str">
        <v>Cajamarca Rur</v>
      </c>
      <c r="C124" s="80" t="str">
        <v>Julio</v>
      </c>
      <c r="D124" s="81">
        <v>46219</v>
      </c>
      <c r="E124" s="79">
        <v>11048.4</v>
      </c>
      <c r="F124" s="81">
        <v>46211</v>
      </c>
      <c r="G124" s="79" cm="1">
        <f t="array" ref="G124:X124">_xlfn._xlws.FILTER(Formulas!$C$2:$T$201, ISNUMBER(MATCH(Formulas!$B$2:$B$201, B124, 0)),0) * E124</f>
        <v>2872.6525065881256</v>
      </c>
      <c r="H124" s="79">
        <v>6739.5068733529679</v>
      </c>
      <c r="I124" s="79">
        <v>552.50563323515735</v>
      </c>
      <c r="J124" s="79">
        <v>0</v>
      </c>
      <c r="K124" s="79">
        <v>0</v>
      </c>
      <c r="L124" s="79">
        <v>441.86749341187414</v>
      </c>
      <c r="M124" s="79">
        <v>441.86749341187414</v>
      </c>
      <c r="N124" s="79">
        <v>0</v>
      </c>
      <c r="O124" s="79">
        <v>0</v>
      </c>
      <c r="P124" s="79">
        <v>0</v>
      </c>
      <c r="Q124" s="79">
        <v>0</v>
      </c>
      <c r="R124" s="79">
        <v>0</v>
      </c>
      <c r="S124" s="79">
        <v>0</v>
      </c>
      <c r="T124" s="79">
        <v>0</v>
      </c>
      <c r="U124" s="79">
        <v>0</v>
      </c>
      <c r="V124" s="79">
        <v>0</v>
      </c>
      <c r="W124" s="79">
        <v>0</v>
      </c>
      <c r="X124" s="90">
        <v>0</v>
      </c>
    </row>
    <row r="125" spans="1:24" hidden="1" x14ac:dyDescent="0.25">
      <c r="A125" s="80" t="str">
        <v>PENDIENTE</v>
      </c>
      <c r="B125" s="80" t="str">
        <v>Cajamarca Rur</v>
      </c>
      <c r="C125" s="80" t="str">
        <v>Agosto</v>
      </c>
      <c r="D125" s="81">
        <v>46219</v>
      </c>
      <c r="E125" s="79">
        <v>11048.4</v>
      </c>
      <c r="F125" s="81">
        <v>46212</v>
      </c>
      <c r="G125" s="79" cm="1">
        <f t="array" ref="G125:X125">_xlfn._xlws.FILTER(Formulas!$C$2:$T$201, ISNUMBER(MATCH(Formulas!$B$2:$B$201, B125, 0)),0) * E125</f>
        <v>2872.6525065881256</v>
      </c>
      <c r="H125" s="79">
        <v>6739.5068733529679</v>
      </c>
      <c r="I125" s="79">
        <v>552.50563323515735</v>
      </c>
      <c r="J125" s="79">
        <v>0</v>
      </c>
      <c r="K125" s="79">
        <v>0</v>
      </c>
      <c r="L125" s="79">
        <v>441.86749341187414</v>
      </c>
      <c r="M125" s="79">
        <v>441.86749341187414</v>
      </c>
      <c r="N125" s="79">
        <v>0</v>
      </c>
      <c r="O125" s="79">
        <v>0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  <c r="U125" s="79">
        <v>0</v>
      </c>
      <c r="V125" s="79">
        <v>0</v>
      </c>
      <c r="W125" s="79">
        <v>0</v>
      </c>
      <c r="X125" s="90">
        <v>0</v>
      </c>
    </row>
    <row r="126" spans="1:24" hidden="1" x14ac:dyDescent="0.25">
      <c r="A126" s="80" t="str">
        <v>PENDIENTE</v>
      </c>
      <c r="B126" s="80" t="str">
        <v>Cajamarca Rur</v>
      </c>
      <c r="C126" s="80" t="str">
        <v>Septiembre</v>
      </c>
      <c r="D126" s="81">
        <v>46266</v>
      </c>
      <c r="E126" s="79">
        <v>10692</v>
      </c>
      <c r="F126" s="81">
        <v>46273</v>
      </c>
      <c r="G126" s="79" cm="1">
        <f t="array" ref="G126:X126">_xlfn._xlws.FILTER(Formulas!$C$2:$T$201, ISNUMBER(MATCH(Formulas!$B$2:$B$201, B126, 0)),0) * E126</f>
        <v>2779.9862966981859</v>
      </c>
      <c r="H126" s="79">
        <v>6522.1034258254531</v>
      </c>
      <c r="I126" s="79">
        <v>534.68287087273291</v>
      </c>
      <c r="J126" s="79">
        <v>0</v>
      </c>
      <c r="K126" s="79">
        <v>0</v>
      </c>
      <c r="L126" s="79">
        <v>427.61370330181364</v>
      </c>
      <c r="M126" s="79">
        <v>427.61370330181364</v>
      </c>
      <c r="N126" s="79">
        <v>0</v>
      </c>
      <c r="O126" s="79">
        <v>0</v>
      </c>
      <c r="P126" s="79">
        <v>0</v>
      </c>
      <c r="Q126" s="79">
        <v>0</v>
      </c>
      <c r="R126" s="79">
        <v>0</v>
      </c>
      <c r="S126" s="79">
        <v>0</v>
      </c>
      <c r="T126" s="79">
        <v>0</v>
      </c>
      <c r="U126" s="79">
        <v>0</v>
      </c>
      <c r="V126" s="79">
        <v>0</v>
      </c>
      <c r="W126" s="79">
        <v>0</v>
      </c>
      <c r="X126" s="90">
        <v>0</v>
      </c>
    </row>
    <row r="127" spans="1:24" hidden="1" x14ac:dyDescent="0.25">
      <c r="A127" s="80" t="str">
        <v>PENDIENTE</v>
      </c>
      <c r="B127" s="80" t="str">
        <v>Cajamarca Rur</v>
      </c>
      <c r="C127" s="80" t="str">
        <v>Octubre</v>
      </c>
      <c r="D127" s="81">
        <v>46266</v>
      </c>
      <c r="E127" s="79">
        <v>11048.4</v>
      </c>
      <c r="F127" s="81">
        <v>46273</v>
      </c>
      <c r="G127" s="79" cm="1">
        <f t="array" ref="G127:X127">_xlfn._xlws.FILTER(Formulas!$C$2:$T$201, ISNUMBER(MATCH(Formulas!$B$2:$B$201, B127, 0)),0) * E127</f>
        <v>2872.6525065881256</v>
      </c>
      <c r="H127" s="79">
        <v>6739.5068733529679</v>
      </c>
      <c r="I127" s="79">
        <v>552.50563323515735</v>
      </c>
      <c r="J127" s="79">
        <v>0</v>
      </c>
      <c r="K127" s="79">
        <v>0</v>
      </c>
      <c r="L127" s="79">
        <v>441.86749341187414</v>
      </c>
      <c r="M127" s="79">
        <v>441.86749341187414</v>
      </c>
      <c r="N127" s="79">
        <v>0</v>
      </c>
      <c r="O127" s="79">
        <v>0</v>
      </c>
      <c r="P127" s="79">
        <v>0</v>
      </c>
      <c r="Q127" s="79">
        <v>0</v>
      </c>
      <c r="R127" s="79">
        <v>0</v>
      </c>
      <c r="S127" s="79">
        <v>0</v>
      </c>
      <c r="T127" s="79">
        <v>0</v>
      </c>
      <c r="U127" s="79">
        <v>0</v>
      </c>
      <c r="V127" s="79">
        <v>0</v>
      </c>
      <c r="W127" s="79">
        <v>0</v>
      </c>
      <c r="X127" s="90">
        <v>0</v>
      </c>
    </row>
    <row r="128" spans="1:24" hidden="1" x14ac:dyDescent="0.25">
      <c r="A128" s="80" t="str">
        <v>PENDIENTE</v>
      </c>
      <c r="B128" s="80" t="str">
        <v>Cajamarca Rur</v>
      </c>
      <c r="C128" s="80" t="str">
        <v>Noviembre</v>
      </c>
      <c r="D128" s="81">
        <v>46344</v>
      </c>
      <c r="E128" s="79">
        <v>10692</v>
      </c>
      <c r="F128" s="80">
        <v>0</v>
      </c>
      <c r="G128" s="79" cm="1">
        <f t="array" ref="G128:X128">_xlfn._xlws.FILTER(Formulas!$C$2:$T$201, ISNUMBER(MATCH(Formulas!$B$2:$B$201, B128, 0)),0) * E128</f>
        <v>2779.9862966981859</v>
      </c>
      <c r="H128" s="79">
        <v>6522.1034258254531</v>
      </c>
      <c r="I128" s="79">
        <v>534.68287087273291</v>
      </c>
      <c r="J128" s="79">
        <v>0</v>
      </c>
      <c r="K128" s="79">
        <v>0</v>
      </c>
      <c r="L128" s="79">
        <v>427.61370330181364</v>
      </c>
      <c r="M128" s="79">
        <v>427.61370330181364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  <c r="U128" s="79">
        <v>0</v>
      </c>
      <c r="V128" s="79">
        <v>0</v>
      </c>
      <c r="W128" s="79">
        <v>0</v>
      </c>
      <c r="X128" s="90">
        <v>0</v>
      </c>
    </row>
    <row r="129" spans="1:24" hidden="1" x14ac:dyDescent="0.25">
      <c r="A129" s="80" t="str">
        <v>PENDIENTE</v>
      </c>
      <c r="B129" s="80" t="str">
        <v>Cajamarca Rur</v>
      </c>
      <c r="C129" s="80" t="str">
        <v>Diciembre</v>
      </c>
      <c r="D129" s="81">
        <v>46344</v>
      </c>
      <c r="E129" s="79">
        <v>11048.4</v>
      </c>
      <c r="F129" s="80">
        <v>0</v>
      </c>
      <c r="G129" s="79" cm="1">
        <f t="array" ref="G129:X129">_xlfn._xlws.FILTER(Formulas!$C$2:$T$201, ISNUMBER(MATCH(Formulas!$B$2:$B$201, B129, 0)),0) * E129</f>
        <v>2872.6525065881256</v>
      </c>
      <c r="H129" s="79">
        <v>6739.5068733529679</v>
      </c>
      <c r="I129" s="79">
        <v>552.50563323515735</v>
      </c>
      <c r="J129" s="79">
        <v>0</v>
      </c>
      <c r="K129" s="79">
        <v>0</v>
      </c>
      <c r="L129" s="79">
        <v>441.86749341187414</v>
      </c>
      <c r="M129" s="79">
        <v>441.86749341187414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90">
        <v>0</v>
      </c>
    </row>
    <row r="130" spans="1:24" hidden="1" x14ac:dyDescent="0.25">
      <c r="A130" s="80" t="str">
        <v>PENDIENTE</v>
      </c>
      <c r="B130" s="80" t="str">
        <v>Cajamarca Urb</v>
      </c>
      <c r="C130" s="80" t="str">
        <v>Enero</v>
      </c>
      <c r="D130" s="81">
        <v>46053</v>
      </c>
      <c r="E130" s="79">
        <v>4691.8500000000004</v>
      </c>
      <c r="F130" s="81">
        <v>46071</v>
      </c>
      <c r="G130" s="79" cm="1">
        <f t="array" ref="G130:X130">_xlfn._xlws.FILTER(Formulas!$C$2:$T$201, ISNUMBER(MATCH(Formulas!$B$2:$B$201, B130, 0)),0) * E130</f>
        <v>1174.2760078387457</v>
      </c>
      <c r="H130" s="79">
        <v>2673.7765565509521</v>
      </c>
      <c r="I130" s="79">
        <v>281.09067749160135</v>
      </c>
      <c r="J130" s="79">
        <v>187.56891937290035</v>
      </c>
      <c r="K130" s="79">
        <v>0</v>
      </c>
      <c r="L130" s="79">
        <v>187.56891937290035</v>
      </c>
      <c r="M130" s="79">
        <v>187.56891937290035</v>
      </c>
      <c r="N130" s="79">
        <v>0</v>
      </c>
      <c r="O130" s="79">
        <v>0</v>
      </c>
      <c r="P130" s="79">
        <v>0</v>
      </c>
      <c r="Q130" s="79">
        <v>0</v>
      </c>
      <c r="R130" s="79">
        <v>0</v>
      </c>
      <c r="S130" s="79">
        <v>0</v>
      </c>
      <c r="T130" s="79">
        <v>0</v>
      </c>
      <c r="U130" s="79">
        <v>0</v>
      </c>
      <c r="V130" s="79">
        <v>0</v>
      </c>
      <c r="W130" s="79">
        <v>0</v>
      </c>
      <c r="X130" s="90">
        <v>0</v>
      </c>
    </row>
    <row r="131" spans="1:24" hidden="1" x14ac:dyDescent="0.25">
      <c r="A131" s="80" t="str">
        <v>PENDIENTE</v>
      </c>
      <c r="B131" s="80" t="str">
        <v>Cajamarca Urb</v>
      </c>
      <c r="C131" s="80" t="str">
        <v>Febrero</v>
      </c>
      <c r="D131" s="81">
        <v>46053</v>
      </c>
      <c r="E131" s="79">
        <v>4237.8</v>
      </c>
      <c r="F131" s="81">
        <v>46071</v>
      </c>
      <c r="G131" s="79" cm="1">
        <f t="array" ref="G131:X131">_xlfn._xlws.FILTER(Formulas!$C$2:$T$201, ISNUMBER(MATCH(Formulas!$B$2:$B$201, B131, 0)),0) * E131</f>
        <v>1060.6363941769316</v>
      </c>
      <c r="H131" s="79">
        <v>2415.0239865621502</v>
      </c>
      <c r="I131" s="79">
        <v>253.88835386338187</v>
      </c>
      <c r="J131" s="79">
        <v>169.4170884658455</v>
      </c>
      <c r="K131" s="79">
        <v>0</v>
      </c>
      <c r="L131" s="79">
        <v>169.4170884658455</v>
      </c>
      <c r="M131" s="79">
        <v>169.4170884658455</v>
      </c>
      <c r="N131" s="79">
        <v>0</v>
      </c>
      <c r="O131" s="79">
        <v>0</v>
      </c>
      <c r="P131" s="79">
        <v>0</v>
      </c>
      <c r="Q131" s="79">
        <v>0</v>
      </c>
      <c r="R131" s="79">
        <v>0</v>
      </c>
      <c r="S131" s="79">
        <v>0</v>
      </c>
      <c r="T131" s="79">
        <v>0</v>
      </c>
      <c r="U131" s="79">
        <v>0</v>
      </c>
      <c r="V131" s="79">
        <v>0</v>
      </c>
      <c r="W131" s="79">
        <v>0</v>
      </c>
      <c r="X131" s="90">
        <v>0</v>
      </c>
    </row>
    <row r="132" spans="1:24" hidden="1" x14ac:dyDescent="0.25">
      <c r="A132" s="80" t="str">
        <v>PENDIENTE</v>
      </c>
      <c r="B132" s="80" t="str">
        <v>Cajamarca Urb</v>
      </c>
      <c r="C132" s="80" t="str">
        <v>Marzo</v>
      </c>
      <c r="D132" s="81">
        <v>46098</v>
      </c>
      <c r="E132" s="79">
        <v>4691.8500000000004</v>
      </c>
      <c r="F132" s="81">
        <v>46091</v>
      </c>
      <c r="G132" s="79" cm="1">
        <f t="array" ref="G132:X132">_xlfn._xlws.FILTER(Formulas!$C$2:$T$201, ISNUMBER(MATCH(Formulas!$B$2:$B$201, B132, 0)),0) * E132</f>
        <v>1174.2760078387457</v>
      </c>
      <c r="H132" s="79">
        <v>2673.7765565509521</v>
      </c>
      <c r="I132" s="79">
        <v>281.09067749160135</v>
      </c>
      <c r="J132" s="79">
        <v>187.56891937290035</v>
      </c>
      <c r="K132" s="79">
        <v>0</v>
      </c>
      <c r="L132" s="79">
        <v>187.56891937290035</v>
      </c>
      <c r="M132" s="79">
        <v>187.56891937290035</v>
      </c>
      <c r="N132" s="79">
        <v>0</v>
      </c>
      <c r="O132" s="79">
        <v>0</v>
      </c>
      <c r="P132" s="79">
        <v>0</v>
      </c>
      <c r="Q132" s="79">
        <v>0</v>
      </c>
      <c r="R132" s="79">
        <v>0</v>
      </c>
      <c r="S132" s="79">
        <v>0</v>
      </c>
      <c r="T132" s="79">
        <v>0</v>
      </c>
      <c r="U132" s="79">
        <v>0</v>
      </c>
      <c r="V132" s="79">
        <v>0</v>
      </c>
      <c r="W132" s="79">
        <v>0</v>
      </c>
      <c r="X132" s="90">
        <v>0</v>
      </c>
    </row>
    <row r="133" spans="1:24" hidden="1" x14ac:dyDescent="0.25">
      <c r="A133" s="80" t="str">
        <v>PENDIENTE</v>
      </c>
      <c r="B133" s="80" t="str">
        <v>Cajamarca Urb</v>
      </c>
      <c r="C133" s="80" t="str">
        <v>Abril</v>
      </c>
      <c r="D133" s="81">
        <v>46098</v>
      </c>
      <c r="E133" s="79">
        <v>4540.5</v>
      </c>
      <c r="F133" s="81">
        <v>46092</v>
      </c>
      <c r="G133" s="79" cm="1">
        <f t="array" ref="G133:X133">_xlfn._xlws.FILTER(Formulas!$C$2:$T$201, ISNUMBER(MATCH(Formulas!$B$2:$B$201, B133, 0)),0) * E133</f>
        <v>1136.3961366181411</v>
      </c>
      <c r="H133" s="79">
        <v>2587.5256998880182</v>
      </c>
      <c r="I133" s="79">
        <v>272.02323628219483</v>
      </c>
      <c r="J133" s="79">
        <v>181.51830907054872</v>
      </c>
      <c r="K133" s="79">
        <v>0</v>
      </c>
      <c r="L133" s="79">
        <v>181.51830907054872</v>
      </c>
      <c r="M133" s="79">
        <v>181.51830907054872</v>
      </c>
      <c r="N133" s="79">
        <v>0</v>
      </c>
      <c r="O133" s="79">
        <v>0</v>
      </c>
      <c r="P133" s="79">
        <v>0</v>
      </c>
      <c r="Q133" s="79">
        <v>0</v>
      </c>
      <c r="R133" s="79">
        <v>0</v>
      </c>
      <c r="S133" s="79">
        <v>0</v>
      </c>
      <c r="T133" s="79">
        <v>0</v>
      </c>
      <c r="U133" s="79">
        <v>0</v>
      </c>
      <c r="V133" s="79">
        <v>0</v>
      </c>
      <c r="W133" s="79">
        <v>0</v>
      </c>
      <c r="X133" s="90">
        <v>0</v>
      </c>
    </row>
    <row r="134" spans="1:24" hidden="1" x14ac:dyDescent="0.25">
      <c r="A134" s="80" t="str">
        <v>PENDIENTE</v>
      </c>
      <c r="B134" s="80" t="str">
        <v>Cajamarca Urb</v>
      </c>
      <c r="C134" s="80" t="str">
        <v>Mayo</v>
      </c>
      <c r="D134" s="81">
        <v>46156</v>
      </c>
      <c r="E134" s="79">
        <v>4691.8500000000004</v>
      </c>
      <c r="F134" s="81">
        <v>46155</v>
      </c>
      <c r="G134" s="79" cm="1">
        <f t="array" ref="G134:X134">_xlfn._xlws.FILTER(Formulas!$C$2:$T$201, ISNUMBER(MATCH(Formulas!$B$2:$B$201, B134, 0)),0) * E134</f>
        <v>1174.2760078387457</v>
      </c>
      <c r="H134" s="79">
        <v>2673.7765565509521</v>
      </c>
      <c r="I134" s="79">
        <v>281.09067749160135</v>
      </c>
      <c r="J134" s="79">
        <v>187.56891937290035</v>
      </c>
      <c r="K134" s="79">
        <v>0</v>
      </c>
      <c r="L134" s="79">
        <v>187.56891937290035</v>
      </c>
      <c r="M134" s="79">
        <v>187.56891937290035</v>
      </c>
      <c r="N134" s="79">
        <v>0</v>
      </c>
      <c r="O134" s="79">
        <v>0</v>
      </c>
      <c r="P134" s="79">
        <v>0</v>
      </c>
      <c r="Q134" s="79">
        <v>0</v>
      </c>
      <c r="R134" s="79">
        <v>0</v>
      </c>
      <c r="S134" s="79">
        <v>0</v>
      </c>
      <c r="T134" s="79">
        <v>0</v>
      </c>
      <c r="U134" s="79">
        <v>0</v>
      </c>
      <c r="V134" s="79">
        <v>0</v>
      </c>
      <c r="W134" s="79">
        <v>0</v>
      </c>
      <c r="X134" s="90">
        <v>0</v>
      </c>
    </row>
    <row r="135" spans="1:24" hidden="1" x14ac:dyDescent="0.25">
      <c r="A135" s="80" t="str">
        <v>PENDIENTE</v>
      </c>
      <c r="B135" s="80" t="str">
        <v>Cajamarca Urb</v>
      </c>
      <c r="C135" s="80" t="str">
        <v>Junio</v>
      </c>
      <c r="D135" s="81">
        <v>46156</v>
      </c>
      <c r="E135" s="79">
        <v>4540.5</v>
      </c>
      <c r="F135" s="81">
        <v>46155</v>
      </c>
      <c r="G135" s="79" cm="1">
        <f t="array" ref="G135:X135">_xlfn._xlws.FILTER(Formulas!$C$2:$T$201, ISNUMBER(MATCH(Formulas!$B$2:$B$201, B135, 0)),0) * E135</f>
        <v>1136.3961366181411</v>
      </c>
      <c r="H135" s="79">
        <v>2587.5256998880182</v>
      </c>
      <c r="I135" s="79">
        <v>272.02323628219483</v>
      </c>
      <c r="J135" s="79">
        <v>181.51830907054872</v>
      </c>
      <c r="K135" s="79">
        <v>0</v>
      </c>
      <c r="L135" s="79">
        <v>181.51830907054872</v>
      </c>
      <c r="M135" s="79">
        <v>181.51830907054872</v>
      </c>
      <c r="N135" s="79">
        <v>0</v>
      </c>
      <c r="O135" s="79">
        <v>0</v>
      </c>
      <c r="P135" s="79">
        <v>0</v>
      </c>
      <c r="Q135" s="79">
        <v>0</v>
      </c>
      <c r="R135" s="79">
        <v>0</v>
      </c>
      <c r="S135" s="79">
        <v>0</v>
      </c>
      <c r="T135" s="79">
        <v>0</v>
      </c>
      <c r="U135" s="79">
        <v>0</v>
      </c>
      <c r="V135" s="79">
        <v>0</v>
      </c>
      <c r="W135" s="79">
        <v>0</v>
      </c>
      <c r="X135" s="90">
        <v>0</v>
      </c>
    </row>
    <row r="136" spans="1:24" hidden="1" x14ac:dyDescent="0.25">
      <c r="A136" s="80" t="str">
        <v>PENDIENTE</v>
      </c>
      <c r="B136" s="80" t="str">
        <v>Cajamarca Urb</v>
      </c>
      <c r="C136" s="80" t="str">
        <v>Julio</v>
      </c>
      <c r="D136" s="81">
        <v>46203</v>
      </c>
      <c r="E136" s="79">
        <v>4691.8500000000004</v>
      </c>
      <c r="F136" s="81">
        <v>46219</v>
      </c>
      <c r="G136" s="79" cm="1">
        <f t="array" ref="G136:X136">_xlfn._xlws.FILTER(Formulas!$C$2:$T$201, ISNUMBER(MATCH(Formulas!$B$2:$B$201, B136, 0)),0) * E136</f>
        <v>1174.2760078387457</v>
      </c>
      <c r="H136" s="79">
        <v>2673.7765565509521</v>
      </c>
      <c r="I136" s="79">
        <v>281.09067749160135</v>
      </c>
      <c r="J136" s="79">
        <v>187.56891937290035</v>
      </c>
      <c r="K136" s="79">
        <v>0</v>
      </c>
      <c r="L136" s="79">
        <v>187.56891937290035</v>
      </c>
      <c r="M136" s="79">
        <v>187.56891937290035</v>
      </c>
      <c r="N136" s="79">
        <v>0</v>
      </c>
      <c r="O136" s="79">
        <v>0</v>
      </c>
      <c r="P136" s="79">
        <v>0</v>
      </c>
      <c r="Q136" s="79">
        <v>0</v>
      </c>
      <c r="R136" s="79">
        <v>0</v>
      </c>
      <c r="S136" s="79">
        <v>0</v>
      </c>
      <c r="T136" s="79">
        <v>0</v>
      </c>
      <c r="U136" s="79">
        <v>0</v>
      </c>
      <c r="V136" s="79">
        <v>0</v>
      </c>
      <c r="W136" s="79">
        <v>0</v>
      </c>
      <c r="X136" s="90">
        <v>0</v>
      </c>
    </row>
    <row r="137" spans="1:24" hidden="1" x14ac:dyDescent="0.25">
      <c r="A137" s="80" t="str">
        <v>PENDIENTE</v>
      </c>
      <c r="B137" s="80" t="str">
        <v>Cajamarca Urb</v>
      </c>
      <c r="C137" s="80" t="str">
        <v>Agosto</v>
      </c>
      <c r="D137" s="81">
        <v>46203</v>
      </c>
      <c r="E137" s="79">
        <v>4691.8500000000004</v>
      </c>
      <c r="F137" s="81">
        <v>46219</v>
      </c>
      <c r="G137" s="79" cm="1">
        <f t="array" ref="G137:X137">_xlfn._xlws.FILTER(Formulas!$C$2:$T$201, ISNUMBER(MATCH(Formulas!$B$2:$B$201, B137, 0)),0) * E137</f>
        <v>1174.2760078387457</v>
      </c>
      <c r="H137" s="79">
        <v>2673.7765565509521</v>
      </c>
      <c r="I137" s="79">
        <v>281.09067749160135</v>
      </c>
      <c r="J137" s="79">
        <v>187.56891937290035</v>
      </c>
      <c r="K137" s="79">
        <v>0</v>
      </c>
      <c r="L137" s="79">
        <v>187.56891937290035</v>
      </c>
      <c r="M137" s="79">
        <v>187.56891937290035</v>
      </c>
      <c r="N137" s="79">
        <v>0</v>
      </c>
      <c r="O137" s="79">
        <v>0</v>
      </c>
      <c r="P137" s="79">
        <v>0</v>
      </c>
      <c r="Q137" s="79">
        <v>0</v>
      </c>
      <c r="R137" s="79">
        <v>0</v>
      </c>
      <c r="S137" s="79">
        <v>0</v>
      </c>
      <c r="T137" s="79">
        <v>0</v>
      </c>
      <c r="U137" s="79">
        <v>0</v>
      </c>
      <c r="V137" s="79">
        <v>0</v>
      </c>
      <c r="W137" s="79">
        <v>0</v>
      </c>
      <c r="X137" s="90">
        <v>0</v>
      </c>
    </row>
    <row r="138" spans="1:24" hidden="1" x14ac:dyDescent="0.25">
      <c r="A138" s="80" t="str">
        <v>PENDIENTE</v>
      </c>
      <c r="B138" s="80" t="str">
        <v>Cajamarca Urb</v>
      </c>
      <c r="C138" s="80" t="str">
        <v>Setiembre</v>
      </c>
      <c r="D138" s="81">
        <v>46266</v>
      </c>
      <c r="E138" s="79">
        <v>4540.5</v>
      </c>
      <c r="F138" s="80">
        <v>46280</v>
      </c>
      <c r="G138" s="79" cm="1">
        <f t="array" ref="G138:X138">_xlfn._xlws.FILTER(Formulas!$C$2:$T$201, ISNUMBER(MATCH(Formulas!$B$2:$B$201, B138, 0)),0) * E138</f>
        <v>1136.3961366181411</v>
      </c>
      <c r="H138" s="79">
        <v>2587.5256998880182</v>
      </c>
      <c r="I138" s="79">
        <v>272.02323628219483</v>
      </c>
      <c r="J138" s="79">
        <v>181.51830907054872</v>
      </c>
      <c r="K138" s="79">
        <v>0</v>
      </c>
      <c r="L138" s="79">
        <v>181.51830907054872</v>
      </c>
      <c r="M138" s="79">
        <v>181.51830907054872</v>
      </c>
      <c r="N138" s="79">
        <v>0</v>
      </c>
      <c r="O138" s="79">
        <v>0</v>
      </c>
      <c r="P138" s="79">
        <v>0</v>
      </c>
      <c r="Q138" s="79">
        <v>0</v>
      </c>
      <c r="R138" s="79">
        <v>0</v>
      </c>
      <c r="S138" s="79">
        <v>0</v>
      </c>
      <c r="T138" s="79">
        <v>0</v>
      </c>
      <c r="U138" s="79">
        <v>0</v>
      </c>
      <c r="V138" s="79">
        <v>0</v>
      </c>
      <c r="W138" s="79">
        <v>0</v>
      </c>
      <c r="X138" s="90">
        <v>0</v>
      </c>
    </row>
    <row r="139" spans="1:24" hidden="1" x14ac:dyDescent="0.25">
      <c r="A139" s="80" t="str">
        <v>PENDIENTE</v>
      </c>
      <c r="B139" s="80" t="str">
        <v>Cajamarca Urb</v>
      </c>
      <c r="C139" s="80" t="str">
        <v>Octubre</v>
      </c>
      <c r="D139" s="81">
        <v>46266</v>
      </c>
      <c r="E139" s="79">
        <v>4691.8500000000004</v>
      </c>
      <c r="F139" s="80">
        <v>46280</v>
      </c>
      <c r="G139" s="79" cm="1">
        <f t="array" ref="G139:X139">_xlfn._xlws.FILTER(Formulas!$C$2:$T$201, ISNUMBER(MATCH(Formulas!$B$2:$B$201, B139, 0)),0) * E139</f>
        <v>1174.2760078387457</v>
      </c>
      <c r="H139" s="79">
        <v>2673.7765565509521</v>
      </c>
      <c r="I139" s="79">
        <v>281.09067749160135</v>
      </c>
      <c r="J139" s="79">
        <v>187.56891937290035</v>
      </c>
      <c r="K139" s="79">
        <v>0</v>
      </c>
      <c r="L139" s="79">
        <v>187.56891937290035</v>
      </c>
      <c r="M139" s="79">
        <v>187.56891937290035</v>
      </c>
      <c r="N139" s="79">
        <v>0</v>
      </c>
      <c r="O139" s="79">
        <v>0</v>
      </c>
      <c r="P139" s="79">
        <v>0</v>
      </c>
      <c r="Q139" s="79">
        <v>0</v>
      </c>
      <c r="R139" s="79">
        <v>0</v>
      </c>
      <c r="S139" s="79">
        <v>0</v>
      </c>
      <c r="T139" s="79">
        <v>0</v>
      </c>
      <c r="U139" s="79">
        <v>0</v>
      </c>
      <c r="V139" s="79">
        <v>0</v>
      </c>
      <c r="W139" s="79">
        <v>0</v>
      </c>
      <c r="X139" s="90">
        <v>0</v>
      </c>
    </row>
    <row r="140" spans="1:24" hidden="1" x14ac:dyDescent="0.25">
      <c r="A140" s="80" t="str">
        <v>PENDIENTE</v>
      </c>
      <c r="B140" s="80" t="str">
        <v>Cajamarca Urb</v>
      </c>
      <c r="C140" s="80" t="str">
        <v>Noviembre</v>
      </c>
      <c r="D140" s="81">
        <v>46326</v>
      </c>
      <c r="E140" s="79">
        <v>4540.5</v>
      </c>
      <c r="F140" s="80">
        <v>0</v>
      </c>
      <c r="G140" s="79" cm="1">
        <f t="array" ref="G140:X140">_xlfn._xlws.FILTER(Formulas!$C$2:$T$201, ISNUMBER(MATCH(Formulas!$B$2:$B$201, B140, 0)),0) * E140</f>
        <v>1136.3961366181411</v>
      </c>
      <c r="H140" s="79">
        <v>2587.5256998880182</v>
      </c>
      <c r="I140" s="79">
        <v>272.02323628219483</v>
      </c>
      <c r="J140" s="79">
        <v>181.51830907054872</v>
      </c>
      <c r="K140" s="79">
        <v>0</v>
      </c>
      <c r="L140" s="79">
        <v>181.51830907054872</v>
      </c>
      <c r="M140" s="79">
        <v>181.51830907054872</v>
      </c>
      <c r="N140" s="79">
        <v>0</v>
      </c>
      <c r="O140" s="79">
        <v>0</v>
      </c>
      <c r="P140" s="79">
        <v>0</v>
      </c>
      <c r="Q140" s="79">
        <v>0</v>
      </c>
      <c r="R140" s="79">
        <v>0</v>
      </c>
      <c r="S140" s="79">
        <v>0</v>
      </c>
      <c r="T140" s="79">
        <v>0</v>
      </c>
      <c r="U140" s="79">
        <v>0</v>
      </c>
      <c r="V140" s="79">
        <v>0</v>
      </c>
      <c r="W140" s="79">
        <v>0</v>
      </c>
      <c r="X140" s="90">
        <v>0</v>
      </c>
    </row>
    <row r="141" spans="1:24" hidden="1" x14ac:dyDescent="0.25">
      <c r="A141" s="80" t="str">
        <v>PENDIENTE</v>
      </c>
      <c r="B141" s="80" t="str">
        <v>Cajamarca Urb</v>
      </c>
      <c r="C141" s="80" t="str">
        <v>Diciembre</v>
      </c>
      <c r="D141" s="81">
        <v>46326</v>
      </c>
      <c r="E141" s="79">
        <v>4691.8500000000004</v>
      </c>
      <c r="F141" s="80">
        <v>0</v>
      </c>
      <c r="G141" s="79" cm="1">
        <f t="array" ref="G141:X141">_xlfn._xlws.FILTER(Formulas!$C$2:$T$201, ISNUMBER(MATCH(Formulas!$B$2:$B$201, B141, 0)),0) * E141</f>
        <v>1174.2760078387457</v>
      </c>
      <c r="H141" s="79">
        <v>2673.7765565509521</v>
      </c>
      <c r="I141" s="79">
        <v>281.09067749160135</v>
      </c>
      <c r="J141" s="79">
        <v>187.56891937290035</v>
      </c>
      <c r="K141" s="79">
        <v>0</v>
      </c>
      <c r="L141" s="79">
        <v>187.56891937290035</v>
      </c>
      <c r="M141" s="79">
        <v>187.56891937290035</v>
      </c>
      <c r="N141" s="79">
        <v>0</v>
      </c>
      <c r="O141" s="79">
        <v>0</v>
      </c>
      <c r="P141" s="79">
        <v>0</v>
      </c>
      <c r="Q141" s="79">
        <v>0</v>
      </c>
      <c r="R141" s="79">
        <v>0</v>
      </c>
      <c r="S141" s="79">
        <v>0</v>
      </c>
      <c r="T141" s="79">
        <v>0</v>
      </c>
      <c r="U141" s="79">
        <v>0</v>
      </c>
      <c r="V141" s="79">
        <v>0</v>
      </c>
      <c r="W141" s="79">
        <v>0</v>
      </c>
      <c r="X141" s="90">
        <v>0</v>
      </c>
    </row>
    <row r="142" spans="1:24" hidden="1" x14ac:dyDescent="0.25">
      <c r="A142" s="80" t="str">
        <v>PENDIENTE</v>
      </c>
      <c r="B142" s="80" t="str">
        <v>Cajamarca Urb - 2025</v>
      </c>
      <c r="C142" s="80" t="str">
        <v>O.C.</v>
      </c>
      <c r="D142" s="81">
        <v>46037</v>
      </c>
      <c r="E142" s="79">
        <v>983.80799999999999</v>
      </c>
      <c r="F142" s="81">
        <v>46034</v>
      </c>
      <c r="G142" s="79" cm="1">
        <f t="array" ref="G142:X142">_xlfn._xlws.FILTER(Formulas!$C$2:$T$201, ISNUMBER(MATCH(Formulas!$B$2:$B$201, B142, 0)),0) * E142</f>
        <v>255.79008000000002</v>
      </c>
      <c r="H142" s="79">
        <v>624.68897325443777</v>
      </c>
      <c r="I142" s="79">
        <v>59.028479999999995</v>
      </c>
      <c r="J142" s="79">
        <v>0</v>
      </c>
      <c r="K142" s="79">
        <v>0</v>
      </c>
      <c r="L142" s="79">
        <v>44.300466745562126</v>
      </c>
      <c r="M142" s="79">
        <v>0</v>
      </c>
      <c r="N142" s="79">
        <v>0</v>
      </c>
      <c r="O142" s="79">
        <v>0</v>
      </c>
      <c r="P142" s="79">
        <v>0</v>
      </c>
      <c r="Q142" s="79">
        <v>0</v>
      </c>
      <c r="R142" s="79">
        <v>0</v>
      </c>
      <c r="S142" s="79">
        <v>0</v>
      </c>
      <c r="T142" s="79">
        <v>0</v>
      </c>
      <c r="U142" s="79">
        <v>0</v>
      </c>
      <c r="V142" s="79">
        <v>0</v>
      </c>
      <c r="W142" s="79">
        <v>0</v>
      </c>
      <c r="X142" s="90">
        <v>0</v>
      </c>
    </row>
    <row r="143" spans="1:24" hidden="1" x14ac:dyDescent="0.25">
      <c r="A143" s="80" t="str">
        <v>PENDIENTE</v>
      </c>
      <c r="B143" s="80" t="str">
        <v>Cajatambo</v>
      </c>
      <c r="C143" s="80" t="str">
        <v>Enero / Febrero / Marzo</v>
      </c>
      <c r="D143" s="81">
        <v>46068</v>
      </c>
      <c r="E143" s="79">
        <v>990</v>
      </c>
      <c r="F143" s="81">
        <v>46076</v>
      </c>
      <c r="G143" s="79" cm="1">
        <f t="array" ref="G143:X143">_xlfn._xlws.FILTER(Formulas!$C$2:$T$201, ISNUMBER(MATCH(Formulas!$B$2:$B$201, B143, 0)),0) * E143</f>
        <v>198</v>
      </c>
      <c r="H143" s="79">
        <v>683.09999999999991</v>
      </c>
      <c r="I143" s="79">
        <v>59.4</v>
      </c>
      <c r="J143" s="79">
        <v>0</v>
      </c>
      <c r="K143" s="79">
        <v>0</v>
      </c>
      <c r="L143" s="79">
        <v>0</v>
      </c>
      <c r="M143" s="79">
        <v>49.5</v>
      </c>
      <c r="N143" s="79">
        <v>0</v>
      </c>
      <c r="O143" s="79">
        <v>0</v>
      </c>
      <c r="P143" s="79">
        <v>0</v>
      </c>
      <c r="Q143" s="79">
        <v>0</v>
      </c>
      <c r="R143" s="79">
        <v>0</v>
      </c>
      <c r="S143" s="79">
        <v>0</v>
      </c>
      <c r="T143" s="79">
        <v>0</v>
      </c>
      <c r="U143" s="79">
        <v>0</v>
      </c>
      <c r="V143" s="79">
        <v>0</v>
      </c>
      <c r="W143" s="79">
        <v>0</v>
      </c>
      <c r="X143" s="90">
        <v>0</v>
      </c>
    </row>
    <row r="144" spans="1:24" hidden="1" x14ac:dyDescent="0.25">
      <c r="A144" s="80" t="str">
        <v>PENDIENTE</v>
      </c>
      <c r="B144" s="80" t="str">
        <v>Cajatambo</v>
      </c>
      <c r="C144" s="80" t="str">
        <v>Abril</v>
      </c>
      <c r="D144" s="81">
        <v>46097</v>
      </c>
      <c r="E144" s="79">
        <v>330</v>
      </c>
      <c r="F144" s="81">
        <v>46098</v>
      </c>
      <c r="G144" s="79" cm="1">
        <f t="array" ref="G144:X144">_xlfn._xlws.FILTER(Formulas!$C$2:$T$201, ISNUMBER(MATCH(Formulas!$B$2:$B$201, B144, 0)),0) * E144</f>
        <v>66</v>
      </c>
      <c r="H144" s="79">
        <v>227.7</v>
      </c>
      <c r="I144" s="79">
        <v>19.8</v>
      </c>
      <c r="J144" s="79">
        <v>0</v>
      </c>
      <c r="K144" s="79">
        <v>0</v>
      </c>
      <c r="L144" s="79">
        <v>0</v>
      </c>
      <c r="M144" s="79">
        <v>16.5</v>
      </c>
      <c r="N144" s="79">
        <v>0</v>
      </c>
      <c r="O144" s="79">
        <v>0</v>
      </c>
      <c r="P144" s="79">
        <v>0</v>
      </c>
      <c r="Q144" s="79">
        <v>0</v>
      </c>
      <c r="R144" s="79">
        <v>0</v>
      </c>
      <c r="S144" s="79">
        <v>0</v>
      </c>
      <c r="T144" s="79">
        <v>0</v>
      </c>
      <c r="U144" s="79">
        <v>0</v>
      </c>
      <c r="V144" s="79">
        <v>0</v>
      </c>
      <c r="W144" s="79">
        <v>0</v>
      </c>
      <c r="X144" s="90">
        <v>0</v>
      </c>
    </row>
    <row r="145" spans="1:24" hidden="1" x14ac:dyDescent="0.25">
      <c r="A145" s="80" t="str">
        <v>PENDIENTE</v>
      </c>
      <c r="B145" s="80" t="str">
        <v>Cajatambo</v>
      </c>
      <c r="C145" s="80" t="str">
        <v>Mayo</v>
      </c>
      <c r="D145" s="81">
        <v>46097</v>
      </c>
      <c r="E145" s="79">
        <v>330</v>
      </c>
      <c r="F145" s="81">
        <v>46098</v>
      </c>
      <c r="G145" s="79" cm="1">
        <f t="array" ref="G145:X145">_xlfn._xlws.FILTER(Formulas!$C$2:$T$201, ISNUMBER(MATCH(Formulas!$B$2:$B$201, B145, 0)),0) * E145</f>
        <v>66</v>
      </c>
      <c r="H145" s="79">
        <v>227.7</v>
      </c>
      <c r="I145" s="79">
        <v>19.8</v>
      </c>
      <c r="J145" s="79">
        <v>0</v>
      </c>
      <c r="K145" s="79">
        <v>0</v>
      </c>
      <c r="L145" s="79">
        <v>0</v>
      </c>
      <c r="M145" s="79">
        <v>16.5</v>
      </c>
      <c r="N145" s="79">
        <v>0</v>
      </c>
      <c r="O145" s="79">
        <v>0</v>
      </c>
      <c r="P145" s="79">
        <v>0</v>
      </c>
      <c r="Q145" s="79">
        <v>0</v>
      </c>
      <c r="R145" s="79">
        <v>0</v>
      </c>
      <c r="S145" s="79">
        <v>0</v>
      </c>
      <c r="T145" s="79">
        <v>0</v>
      </c>
      <c r="U145" s="79">
        <v>0</v>
      </c>
      <c r="V145" s="79">
        <v>0</v>
      </c>
      <c r="W145" s="79">
        <v>0</v>
      </c>
      <c r="X145" s="90">
        <v>0</v>
      </c>
    </row>
    <row r="146" spans="1:24" hidden="1" x14ac:dyDescent="0.25">
      <c r="A146" s="80" t="str">
        <v>PENDIENTE</v>
      </c>
      <c r="B146" s="80" t="str">
        <v>Cajatambo</v>
      </c>
      <c r="C146" s="80" t="str">
        <v>Junio</v>
      </c>
      <c r="D146" s="81">
        <v>46097</v>
      </c>
      <c r="E146" s="79">
        <v>330</v>
      </c>
      <c r="F146" s="81">
        <v>46098</v>
      </c>
      <c r="G146" s="79" cm="1">
        <f t="array" ref="G146:X146">_xlfn._xlws.FILTER(Formulas!$C$2:$T$201, ISNUMBER(MATCH(Formulas!$B$2:$B$201, B146, 0)),0) * E146</f>
        <v>66</v>
      </c>
      <c r="H146" s="79">
        <v>227.7</v>
      </c>
      <c r="I146" s="79">
        <v>19.8</v>
      </c>
      <c r="J146" s="79">
        <v>0</v>
      </c>
      <c r="K146" s="79">
        <v>0</v>
      </c>
      <c r="L146" s="79">
        <v>0</v>
      </c>
      <c r="M146" s="79">
        <v>16.5</v>
      </c>
      <c r="N146" s="79">
        <v>0</v>
      </c>
      <c r="O146" s="79">
        <v>0</v>
      </c>
      <c r="P146" s="79">
        <v>0</v>
      </c>
      <c r="Q146" s="79">
        <v>0</v>
      </c>
      <c r="R146" s="79">
        <v>0</v>
      </c>
      <c r="S146" s="79">
        <v>0</v>
      </c>
      <c r="T146" s="79">
        <v>0</v>
      </c>
      <c r="U146" s="79">
        <v>0</v>
      </c>
      <c r="V146" s="79">
        <v>0</v>
      </c>
      <c r="W146" s="79">
        <v>0</v>
      </c>
      <c r="X146" s="90">
        <v>0</v>
      </c>
    </row>
    <row r="147" spans="1:24" hidden="1" x14ac:dyDescent="0.25">
      <c r="A147" s="80" t="str">
        <v>PENDIENTE</v>
      </c>
      <c r="B147" s="80" t="str">
        <v>Cajatambo</v>
      </c>
      <c r="C147" s="80" t="str">
        <v>Julio</v>
      </c>
      <c r="D147" s="81">
        <v>46188</v>
      </c>
      <c r="E147" s="79">
        <v>330</v>
      </c>
      <c r="F147" s="81">
        <v>46182</v>
      </c>
      <c r="G147" s="79" cm="1">
        <f t="array" ref="G147:X147">_xlfn._xlws.FILTER(Formulas!$C$2:$T$201, ISNUMBER(MATCH(Formulas!$B$2:$B$201, B147, 0)),0) * E147</f>
        <v>66</v>
      </c>
      <c r="H147" s="79">
        <v>227.7</v>
      </c>
      <c r="I147" s="79">
        <v>19.8</v>
      </c>
      <c r="J147" s="79">
        <v>0</v>
      </c>
      <c r="K147" s="79">
        <v>0</v>
      </c>
      <c r="L147" s="79">
        <v>0</v>
      </c>
      <c r="M147" s="79">
        <v>16.5</v>
      </c>
      <c r="N147" s="79">
        <v>0</v>
      </c>
      <c r="O147" s="79">
        <v>0</v>
      </c>
      <c r="P147" s="79">
        <v>0</v>
      </c>
      <c r="Q147" s="79">
        <v>0</v>
      </c>
      <c r="R147" s="79">
        <v>0</v>
      </c>
      <c r="S147" s="79">
        <v>0</v>
      </c>
      <c r="T147" s="79">
        <v>0</v>
      </c>
      <c r="U147" s="79">
        <v>0</v>
      </c>
      <c r="V147" s="79">
        <v>0</v>
      </c>
      <c r="W147" s="79">
        <v>0</v>
      </c>
      <c r="X147" s="90">
        <v>0</v>
      </c>
    </row>
    <row r="148" spans="1:24" hidden="1" x14ac:dyDescent="0.25">
      <c r="A148" s="80" t="str">
        <v>PENDIENTE</v>
      </c>
      <c r="B148" s="80" t="str">
        <v>Cajatambo</v>
      </c>
      <c r="C148" s="80" t="str">
        <v>Agosto</v>
      </c>
      <c r="D148" s="81">
        <v>46188</v>
      </c>
      <c r="E148" s="79">
        <v>330</v>
      </c>
      <c r="F148" s="81">
        <v>46182</v>
      </c>
      <c r="G148" s="79" cm="1">
        <f t="array" ref="G148:X148">_xlfn._xlws.FILTER(Formulas!$C$2:$T$201, ISNUMBER(MATCH(Formulas!$B$2:$B$201, B148, 0)),0) * E148</f>
        <v>66</v>
      </c>
      <c r="H148" s="79">
        <v>227.7</v>
      </c>
      <c r="I148" s="79">
        <v>19.8</v>
      </c>
      <c r="J148" s="79">
        <v>0</v>
      </c>
      <c r="K148" s="79">
        <v>0</v>
      </c>
      <c r="L148" s="79">
        <v>0</v>
      </c>
      <c r="M148" s="79">
        <v>16.5</v>
      </c>
      <c r="N148" s="79">
        <v>0</v>
      </c>
      <c r="O148" s="79">
        <v>0</v>
      </c>
      <c r="P148" s="79">
        <v>0</v>
      </c>
      <c r="Q148" s="79">
        <v>0</v>
      </c>
      <c r="R148" s="79">
        <v>0</v>
      </c>
      <c r="S148" s="79">
        <v>0</v>
      </c>
      <c r="T148" s="79">
        <v>0</v>
      </c>
      <c r="U148" s="79">
        <v>0</v>
      </c>
      <c r="V148" s="79">
        <v>0</v>
      </c>
      <c r="W148" s="79">
        <v>0</v>
      </c>
      <c r="X148" s="90">
        <v>0</v>
      </c>
    </row>
    <row r="149" spans="1:24" hidden="1" x14ac:dyDescent="0.25">
      <c r="A149" s="80" t="str">
        <v>PENDIENTE</v>
      </c>
      <c r="B149" s="80" t="str">
        <v>Cajatambo</v>
      </c>
      <c r="C149" s="80" t="str">
        <v>Setiembre</v>
      </c>
      <c r="D149" s="81">
        <v>46188</v>
      </c>
      <c r="E149" s="79">
        <v>330</v>
      </c>
      <c r="F149" s="81">
        <v>46182</v>
      </c>
      <c r="G149" s="79" cm="1">
        <f t="array" ref="G149:X149">_xlfn._xlws.FILTER(Formulas!$C$2:$T$201, ISNUMBER(MATCH(Formulas!$B$2:$B$201, B149, 0)),0) * E149</f>
        <v>66</v>
      </c>
      <c r="H149" s="79">
        <v>227.7</v>
      </c>
      <c r="I149" s="79">
        <v>19.8</v>
      </c>
      <c r="J149" s="79">
        <v>0</v>
      </c>
      <c r="K149" s="79">
        <v>0</v>
      </c>
      <c r="L149" s="79">
        <v>0</v>
      </c>
      <c r="M149" s="79">
        <v>16.5</v>
      </c>
      <c r="N149" s="79">
        <v>0</v>
      </c>
      <c r="O149" s="79">
        <v>0</v>
      </c>
      <c r="P149" s="79">
        <v>0</v>
      </c>
      <c r="Q149" s="79">
        <v>0</v>
      </c>
      <c r="R149" s="79">
        <v>0</v>
      </c>
      <c r="S149" s="79">
        <v>0</v>
      </c>
      <c r="T149" s="79">
        <v>0</v>
      </c>
      <c r="U149" s="79">
        <v>0</v>
      </c>
      <c r="V149" s="79">
        <v>0</v>
      </c>
      <c r="W149" s="79">
        <v>0</v>
      </c>
      <c r="X149" s="90">
        <v>0</v>
      </c>
    </row>
    <row r="150" spans="1:24" hidden="1" x14ac:dyDescent="0.25">
      <c r="A150" s="80" t="str">
        <v>PENDIENTE</v>
      </c>
      <c r="B150" s="80" t="str">
        <v>Cajatambo</v>
      </c>
      <c r="C150" s="80" t="str">
        <v>O.C.</v>
      </c>
      <c r="D150" s="81">
        <v>46276</v>
      </c>
      <c r="E150" s="79">
        <v>420</v>
      </c>
      <c r="F150" s="81">
        <v>46279</v>
      </c>
      <c r="G150" s="79" cm="1">
        <f t="array" ref="G150:X150">_xlfn._xlws.FILTER(Formulas!$C$2:$T$201, ISNUMBER(MATCH(Formulas!$B$2:$B$201, B150, 0)),0) * E150</f>
        <v>84</v>
      </c>
      <c r="H150" s="79">
        <v>289.79999999999995</v>
      </c>
      <c r="I150" s="79">
        <v>25.2</v>
      </c>
      <c r="J150" s="79">
        <v>0</v>
      </c>
      <c r="K150" s="79">
        <v>0</v>
      </c>
      <c r="L150" s="79">
        <v>0</v>
      </c>
      <c r="M150" s="79">
        <v>21</v>
      </c>
      <c r="N150" s="79">
        <v>0</v>
      </c>
      <c r="O150" s="79">
        <v>0</v>
      </c>
      <c r="P150" s="79">
        <v>0</v>
      </c>
      <c r="Q150" s="79">
        <v>0</v>
      </c>
      <c r="R150" s="79">
        <v>0</v>
      </c>
      <c r="S150" s="79">
        <v>0</v>
      </c>
      <c r="T150" s="79">
        <v>0</v>
      </c>
      <c r="U150" s="79">
        <v>0</v>
      </c>
      <c r="V150" s="79">
        <v>0</v>
      </c>
      <c r="W150" s="79">
        <v>0</v>
      </c>
      <c r="X150" s="90">
        <v>0</v>
      </c>
    </row>
    <row r="151" spans="1:24" hidden="1" x14ac:dyDescent="0.25">
      <c r="A151" s="80" t="str">
        <v>PENDIENTE</v>
      </c>
      <c r="B151" s="80" t="str">
        <v>Cajatambo</v>
      </c>
      <c r="C151" s="80" t="str">
        <v>Octubre</v>
      </c>
      <c r="D151" s="81">
        <v>46280</v>
      </c>
      <c r="E151" s="79">
        <v>330</v>
      </c>
      <c r="F151" s="81">
        <v>46277</v>
      </c>
      <c r="G151" s="79" cm="1">
        <f t="array" ref="G151:X151">_xlfn._xlws.FILTER(Formulas!$C$2:$T$201, ISNUMBER(MATCH(Formulas!$B$2:$B$201, B151, 0)),0) * E151</f>
        <v>66</v>
      </c>
      <c r="H151" s="79">
        <v>227.7</v>
      </c>
      <c r="I151" s="79">
        <v>19.8</v>
      </c>
      <c r="J151" s="79">
        <v>0</v>
      </c>
      <c r="K151" s="79">
        <v>0</v>
      </c>
      <c r="L151" s="79">
        <v>0</v>
      </c>
      <c r="M151" s="79">
        <v>16.5</v>
      </c>
      <c r="N151" s="79">
        <v>0</v>
      </c>
      <c r="O151" s="79">
        <v>0</v>
      </c>
      <c r="P151" s="79">
        <v>0</v>
      </c>
      <c r="Q151" s="79">
        <v>0</v>
      </c>
      <c r="R151" s="79">
        <v>0</v>
      </c>
      <c r="S151" s="79">
        <v>0</v>
      </c>
      <c r="T151" s="79">
        <v>0</v>
      </c>
      <c r="U151" s="79">
        <v>0</v>
      </c>
      <c r="V151" s="79">
        <v>0</v>
      </c>
      <c r="W151" s="79">
        <v>0</v>
      </c>
      <c r="X151" s="90">
        <v>0</v>
      </c>
    </row>
    <row r="152" spans="1:24" hidden="1" x14ac:dyDescent="0.25">
      <c r="A152" s="80" t="str">
        <v>PENDIENTE</v>
      </c>
      <c r="B152" s="80" t="str">
        <v>Cajatambo</v>
      </c>
      <c r="C152" s="80" t="str">
        <v>Noviembre</v>
      </c>
      <c r="D152" s="81">
        <v>46280</v>
      </c>
      <c r="E152" s="79">
        <v>330</v>
      </c>
      <c r="F152" s="81">
        <v>46277</v>
      </c>
      <c r="G152" s="79" cm="1">
        <f t="array" ref="G152:X152">_xlfn._xlws.FILTER(Formulas!$C$2:$T$201, ISNUMBER(MATCH(Formulas!$B$2:$B$201, B152, 0)),0) * E152</f>
        <v>66</v>
      </c>
      <c r="H152" s="79">
        <v>227.7</v>
      </c>
      <c r="I152" s="79">
        <v>19.8</v>
      </c>
      <c r="J152" s="79">
        <v>0</v>
      </c>
      <c r="K152" s="79">
        <v>0</v>
      </c>
      <c r="L152" s="79">
        <v>0</v>
      </c>
      <c r="M152" s="79">
        <v>16.5</v>
      </c>
      <c r="N152" s="79">
        <v>0</v>
      </c>
      <c r="O152" s="79">
        <v>0</v>
      </c>
      <c r="P152" s="79">
        <v>0</v>
      </c>
      <c r="Q152" s="79">
        <v>0</v>
      </c>
      <c r="R152" s="79">
        <v>0</v>
      </c>
      <c r="S152" s="79">
        <v>0</v>
      </c>
      <c r="T152" s="79">
        <v>0</v>
      </c>
      <c r="U152" s="79">
        <v>0</v>
      </c>
      <c r="V152" s="79">
        <v>0</v>
      </c>
      <c r="W152" s="79">
        <v>0</v>
      </c>
      <c r="X152" s="90">
        <v>0</v>
      </c>
    </row>
    <row r="153" spans="1:24" hidden="1" x14ac:dyDescent="0.25">
      <c r="A153" s="80" t="str">
        <v>PENDIENTE</v>
      </c>
      <c r="B153" s="80" t="str">
        <v>Cajatambo</v>
      </c>
      <c r="C153" s="80" t="str">
        <v>Diciembre</v>
      </c>
      <c r="D153" s="81">
        <v>46280</v>
      </c>
      <c r="E153" s="79">
        <v>330</v>
      </c>
      <c r="F153" s="81">
        <v>46277</v>
      </c>
      <c r="G153" s="79" cm="1">
        <f t="array" ref="G153:X153">_xlfn._xlws.FILTER(Formulas!$C$2:$T$201, ISNUMBER(MATCH(Formulas!$B$2:$B$201, B153, 0)),0) * E153</f>
        <v>66</v>
      </c>
      <c r="H153" s="79">
        <v>227.7</v>
      </c>
      <c r="I153" s="79">
        <v>19.8</v>
      </c>
      <c r="J153" s="79">
        <v>0</v>
      </c>
      <c r="K153" s="79">
        <v>0</v>
      </c>
      <c r="L153" s="79">
        <v>0</v>
      </c>
      <c r="M153" s="79">
        <v>16.5</v>
      </c>
      <c r="N153" s="79">
        <v>0</v>
      </c>
      <c r="O153" s="79">
        <v>0</v>
      </c>
      <c r="P153" s="79">
        <v>0</v>
      </c>
      <c r="Q153" s="79">
        <v>0</v>
      </c>
      <c r="R153" s="79">
        <v>0</v>
      </c>
      <c r="S153" s="79">
        <v>0</v>
      </c>
      <c r="T153" s="79">
        <v>0</v>
      </c>
      <c r="U153" s="79">
        <v>0</v>
      </c>
      <c r="V153" s="79">
        <v>0</v>
      </c>
      <c r="W153" s="79">
        <v>0</v>
      </c>
      <c r="X153" s="90">
        <v>0</v>
      </c>
    </row>
    <row r="154" spans="1:24" hidden="1" x14ac:dyDescent="0.25">
      <c r="A154" s="80" t="str">
        <v>PENDIENTE</v>
      </c>
      <c r="B154" s="80" t="str">
        <v>Camporredondo</v>
      </c>
      <c r="C154" s="80" t="str">
        <v>O.C.</v>
      </c>
      <c r="D154" s="81">
        <v>46091</v>
      </c>
      <c r="E154" s="79">
        <v>1056.25</v>
      </c>
      <c r="F154" s="81">
        <v>46089</v>
      </c>
      <c r="G154" s="79" cm="1">
        <f t="array" ref="G154:X154">_xlfn._xlws.FILTER(Formulas!$C$2:$T$201, ISNUMBER(MATCH(Formulas!$B$2:$B$201, B154, 0)),0) * E154</f>
        <v>992.875</v>
      </c>
      <c r="H154" s="79">
        <v>0</v>
      </c>
      <c r="I154" s="79">
        <v>63.375</v>
      </c>
      <c r="J154" s="79">
        <v>0</v>
      </c>
      <c r="K154" s="79">
        <v>0</v>
      </c>
      <c r="L154" s="79">
        <v>0</v>
      </c>
      <c r="M154" s="79">
        <v>0</v>
      </c>
      <c r="N154" s="79">
        <v>0</v>
      </c>
      <c r="O154" s="79">
        <v>0</v>
      </c>
      <c r="P154" s="79">
        <v>0</v>
      </c>
      <c r="Q154" s="79">
        <v>0</v>
      </c>
      <c r="R154" s="79">
        <v>0</v>
      </c>
      <c r="S154" s="79">
        <v>0</v>
      </c>
      <c r="T154" s="79">
        <v>0</v>
      </c>
      <c r="U154" s="79">
        <v>0</v>
      </c>
      <c r="V154" s="79">
        <v>0</v>
      </c>
      <c r="W154" s="79">
        <v>0</v>
      </c>
      <c r="X154" s="90">
        <v>0</v>
      </c>
    </row>
    <row r="155" spans="1:24" hidden="1" x14ac:dyDescent="0.25">
      <c r="A155" s="80" t="str">
        <v>PENDIENTE</v>
      </c>
      <c r="B155" s="80" t="str">
        <v>Camporredondo</v>
      </c>
      <c r="C155" s="80" t="str">
        <v>O.C.</v>
      </c>
      <c r="D155" s="81">
        <v>46114</v>
      </c>
      <c r="E155" s="79">
        <v>1320</v>
      </c>
      <c r="F155" s="81">
        <v>46179</v>
      </c>
      <c r="G155" s="79" cm="1">
        <f t="array" ref="G155:X155">_xlfn._xlws.FILTER(Formulas!$C$2:$T$201, ISNUMBER(MATCH(Formulas!$B$2:$B$201, B155, 0)),0) * E155</f>
        <v>1240.8</v>
      </c>
      <c r="H155" s="79">
        <v>0</v>
      </c>
      <c r="I155" s="79">
        <v>79.2</v>
      </c>
      <c r="J155" s="79">
        <v>0</v>
      </c>
      <c r="K155" s="79">
        <v>0</v>
      </c>
      <c r="L155" s="79">
        <v>0</v>
      </c>
      <c r="M155" s="79">
        <v>0</v>
      </c>
      <c r="N155" s="79">
        <v>0</v>
      </c>
      <c r="O155" s="79">
        <v>0</v>
      </c>
      <c r="P155" s="79">
        <v>0</v>
      </c>
      <c r="Q155" s="79">
        <v>0</v>
      </c>
      <c r="R155" s="79">
        <v>0</v>
      </c>
      <c r="S155" s="79">
        <v>0</v>
      </c>
      <c r="T155" s="79">
        <v>0</v>
      </c>
      <c r="U155" s="79">
        <v>0</v>
      </c>
      <c r="V155" s="79">
        <v>0</v>
      </c>
      <c r="W155" s="79">
        <v>0</v>
      </c>
      <c r="X155" s="90">
        <v>0</v>
      </c>
    </row>
    <row r="156" spans="1:24" hidden="1" x14ac:dyDescent="0.25">
      <c r="A156" s="80" t="str">
        <v>CORDELAN</v>
      </c>
      <c r="B156" s="80" t="str">
        <v>Carabamba</v>
      </c>
      <c r="C156" s="80" t="str">
        <v>Enero</v>
      </c>
      <c r="D156" s="81">
        <v>46006</v>
      </c>
      <c r="E156" s="79">
        <v>1606.851604</v>
      </c>
      <c r="F156" s="81">
        <v>45995</v>
      </c>
      <c r="G156" s="79" cm="1">
        <f t="array" ref="G156:X156">_xlfn._xlws.FILTER(Formulas!$C$2:$T$201, ISNUMBER(MATCH(Formulas!$B$2:$B$201, B156, 0)),0) * E156</f>
        <v>288.97331272930927</v>
      </c>
      <c r="H156" s="79">
        <v>1036.9042397934038</v>
      </c>
      <c r="I156" s="79">
        <v>63.994090016179214</v>
      </c>
      <c r="J156" s="79">
        <v>63.994090016179214</v>
      </c>
      <c r="K156" s="79">
        <v>0</v>
      </c>
      <c r="L156" s="79">
        <v>0</v>
      </c>
      <c r="M156" s="79">
        <v>63.994090016179214</v>
      </c>
      <c r="N156" s="79">
        <v>88.991781428749221</v>
      </c>
      <c r="O156" s="79">
        <v>0</v>
      </c>
      <c r="P156" s="79">
        <v>0</v>
      </c>
      <c r="Q156" s="79">
        <v>0</v>
      </c>
      <c r="R156" s="79">
        <v>0</v>
      </c>
      <c r="S156" s="79">
        <v>0</v>
      </c>
      <c r="T156" s="79">
        <v>0</v>
      </c>
      <c r="U156" s="79">
        <v>1.606851604</v>
      </c>
      <c r="V156" s="79">
        <v>0</v>
      </c>
      <c r="W156" s="79">
        <v>0</v>
      </c>
      <c r="X156" s="90">
        <v>0</v>
      </c>
    </row>
    <row r="157" spans="1:24" hidden="1" x14ac:dyDescent="0.25">
      <c r="A157" s="80" t="str">
        <v>CORDELAN</v>
      </c>
      <c r="B157" s="80" t="str">
        <v>Carabamba</v>
      </c>
      <c r="C157" s="80" t="str">
        <v>Febrero</v>
      </c>
      <c r="D157" s="81">
        <v>46042</v>
      </c>
      <c r="E157" s="79">
        <v>1606.851604</v>
      </c>
      <c r="F157" s="81">
        <v>46037</v>
      </c>
      <c r="G157" s="79" cm="1">
        <f t="array" ref="G157:X157">_xlfn._xlws.FILTER(Formulas!$C$2:$T$201, ISNUMBER(MATCH(Formulas!$B$2:$B$201, B157, 0)),0) * E157</f>
        <v>288.97331272930927</v>
      </c>
      <c r="H157" s="79">
        <v>1036.9042397934038</v>
      </c>
      <c r="I157" s="79">
        <v>63.994090016179214</v>
      </c>
      <c r="J157" s="79">
        <v>63.994090016179214</v>
      </c>
      <c r="K157" s="79">
        <v>0</v>
      </c>
      <c r="L157" s="79">
        <v>0</v>
      </c>
      <c r="M157" s="79">
        <v>63.994090016179214</v>
      </c>
      <c r="N157" s="79">
        <v>88.991781428749221</v>
      </c>
      <c r="O157" s="79">
        <v>0</v>
      </c>
      <c r="P157" s="79">
        <v>0</v>
      </c>
      <c r="Q157" s="79">
        <v>0</v>
      </c>
      <c r="R157" s="79">
        <v>0</v>
      </c>
      <c r="S157" s="79">
        <v>0</v>
      </c>
      <c r="T157" s="79">
        <v>0</v>
      </c>
      <c r="U157" s="79">
        <v>1.606851604</v>
      </c>
      <c r="V157" s="79">
        <v>0</v>
      </c>
      <c r="W157" s="79">
        <v>0</v>
      </c>
      <c r="X157" s="90">
        <v>0</v>
      </c>
    </row>
    <row r="158" spans="1:24" hidden="1" x14ac:dyDescent="0.25">
      <c r="A158" s="80" t="str">
        <v>CORDELAN</v>
      </c>
      <c r="B158" s="80" t="str">
        <v>Carabamba</v>
      </c>
      <c r="C158" s="80" t="str">
        <v>Marzo</v>
      </c>
      <c r="D158" s="81">
        <v>46071</v>
      </c>
      <c r="E158" s="79">
        <v>1606.851604</v>
      </c>
      <c r="F158" s="81">
        <v>46069</v>
      </c>
      <c r="G158" s="79" cm="1">
        <f t="array" ref="G158:X158">_xlfn._xlws.FILTER(Formulas!$C$2:$T$201, ISNUMBER(MATCH(Formulas!$B$2:$B$201, B158, 0)),0) * E158</f>
        <v>288.97331272930927</v>
      </c>
      <c r="H158" s="79">
        <v>1036.9042397934038</v>
      </c>
      <c r="I158" s="79">
        <v>63.994090016179214</v>
      </c>
      <c r="J158" s="79">
        <v>63.994090016179214</v>
      </c>
      <c r="K158" s="79">
        <v>0</v>
      </c>
      <c r="L158" s="79">
        <v>0</v>
      </c>
      <c r="M158" s="79">
        <v>63.994090016179214</v>
      </c>
      <c r="N158" s="79">
        <v>88.991781428749221</v>
      </c>
      <c r="O158" s="79">
        <v>0</v>
      </c>
      <c r="P158" s="79">
        <v>0</v>
      </c>
      <c r="Q158" s="79">
        <v>0</v>
      </c>
      <c r="R158" s="79">
        <v>0</v>
      </c>
      <c r="S158" s="79">
        <v>0</v>
      </c>
      <c r="T158" s="79">
        <v>0</v>
      </c>
      <c r="U158" s="79">
        <v>1.606851604</v>
      </c>
      <c r="V158" s="79">
        <v>0</v>
      </c>
      <c r="W158" s="79">
        <v>0</v>
      </c>
      <c r="X158" s="90">
        <v>0</v>
      </c>
    </row>
    <row r="159" spans="1:24" hidden="1" x14ac:dyDescent="0.25">
      <c r="A159" s="80" t="str">
        <v>CORDELAN</v>
      </c>
      <c r="B159" s="80" t="str">
        <v>Carabamba1</v>
      </c>
      <c r="C159" s="80" t="str">
        <v>Abril</v>
      </c>
      <c r="D159" s="81">
        <v>46101</v>
      </c>
      <c r="E159" s="79">
        <v>1606.851604</v>
      </c>
      <c r="F159" s="81">
        <v>46100</v>
      </c>
      <c r="G159" s="79" cm="1">
        <f t="array" ref="G159:X159">_xlfn._xlws.FILTER(Formulas!$C$2:$T$201, ISNUMBER(MATCH(Formulas!$B$2:$B$201, B159, 0)),0) * E159</f>
        <v>241.02774059999999</v>
      </c>
      <c r="H159" s="79">
        <v>682.91193169999997</v>
      </c>
      <c r="I159" s="79">
        <v>64.274064159999995</v>
      </c>
      <c r="J159" s="79">
        <v>64.274064159999995</v>
      </c>
      <c r="K159" s="79">
        <v>0</v>
      </c>
      <c r="L159" s="79">
        <v>0</v>
      </c>
      <c r="M159" s="79">
        <v>64.274064159999995</v>
      </c>
      <c r="N159" s="79">
        <v>88.376838219999996</v>
      </c>
      <c r="O159" s="79">
        <v>401.71290099999999</v>
      </c>
      <c r="P159" s="79">
        <v>0</v>
      </c>
      <c r="Q159" s="79">
        <v>0</v>
      </c>
      <c r="R159" s="79">
        <v>0</v>
      </c>
      <c r="S159" s="79">
        <v>0</v>
      </c>
      <c r="T159" s="79">
        <v>0</v>
      </c>
      <c r="U159" s="79">
        <v>1.606851604</v>
      </c>
      <c r="V159" s="79">
        <v>0</v>
      </c>
      <c r="W159" s="79">
        <v>0</v>
      </c>
      <c r="X159" s="90">
        <v>0</v>
      </c>
    </row>
    <row r="160" spans="1:24" hidden="1" x14ac:dyDescent="0.25">
      <c r="A160" s="80" t="str">
        <v>CORDELAN</v>
      </c>
      <c r="B160" s="80" t="str">
        <v>Carabamba1</v>
      </c>
      <c r="C160" s="80" t="str">
        <v>Mayo</v>
      </c>
      <c r="D160" s="81">
        <v>46132</v>
      </c>
      <c r="E160" s="79">
        <v>1606.851604</v>
      </c>
      <c r="F160" s="81">
        <v>46128</v>
      </c>
      <c r="G160" s="79" cm="1">
        <f t="array" ref="G160:X160">_xlfn._xlws.FILTER(Formulas!$C$2:$T$201, ISNUMBER(MATCH(Formulas!$B$2:$B$201, B160, 0)),0) * E160</f>
        <v>241.02774059999999</v>
      </c>
      <c r="H160" s="79">
        <v>682.91193169999997</v>
      </c>
      <c r="I160" s="79">
        <v>64.274064159999995</v>
      </c>
      <c r="J160" s="79">
        <v>64.274064159999995</v>
      </c>
      <c r="K160" s="79">
        <v>0</v>
      </c>
      <c r="L160" s="79">
        <v>0</v>
      </c>
      <c r="M160" s="79">
        <v>64.274064159999995</v>
      </c>
      <c r="N160" s="79">
        <v>88.376838219999996</v>
      </c>
      <c r="O160" s="79">
        <v>401.71290099999999</v>
      </c>
      <c r="P160" s="79">
        <v>0</v>
      </c>
      <c r="Q160" s="79">
        <v>0</v>
      </c>
      <c r="R160" s="79">
        <v>0</v>
      </c>
      <c r="S160" s="79">
        <v>0</v>
      </c>
      <c r="T160" s="79">
        <v>0</v>
      </c>
      <c r="U160" s="79">
        <v>1.606851604</v>
      </c>
      <c r="V160" s="79">
        <v>0</v>
      </c>
      <c r="W160" s="79">
        <v>0</v>
      </c>
      <c r="X160" s="90">
        <v>0</v>
      </c>
    </row>
    <row r="161" spans="1:24" hidden="1" x14ac:dyDescent="0.25">
      <c r="A161" s="80" t="str">
        <v>CORDELAN</v>
      </c>
      <c r="B161" s="80" t="str">
        <v>Carabamba1</v>
      </c>
      <c r="C161" s="80" t="str">
        <v>Junio</v>
      </c>
      <c r="D161" s="81">
        <v>46163</v>
      </c>
      <c r="E161" s="79">
        <v>1606.851604</v>
      </c>
      <c r="F161" s="81">
        <v>46157</v>
      </c>
      <c r="G161" s="79" cm="1">
        <f t="array" ref="G161:X161">_xlfn._xlws.FILTER(Formulas!$C$2:$T$201, ISNUMBER(MATCH(Formulas!$B$2:$B$201, B161, 0)),0) * E161</f>
        <v>241.02774059999999</v>
      </c>
      <c r="H161" s="79">
        <v>682.91193169999997</v>
      </c>
      <c r="I161" s="79">
        <v>64.274064159999995</v>
      </c>
      <c r="J161" s="79">
        <v>64.274064159999995</v>
      </c>
      <c r="K161" s="79">
        <v>0</v>
      </c>
      <c r="L161" s="79">
        <v>0</v>
      </c>
      <c r="M161" s="79">
        <v>64.274064159999995</v>
      </c>
      <c r="N161" s="79">
        <v>88.376838219999996</v>
      </c>
      <c r="O161" s="79">
        <v>401.71290099999999</v>
      </c>
      <c r="P161" s="79">
        <v>0</v>
      </c>
      <c r="Q161" s="79">
        <v>0</v>
      </c>
      <c r="R161" s="79">
        <v>0</v>
      </c>
      <c r="S161" s="79">
        <v>0</v>
      </c>
      <c r="T161" s="79">
        <v>0</v>
      </c>
      <c r="U161" s="79">
        <v>1.606851604</v>
      </c>
      <c r="V161" s="79">
        <v>0</v>
      </c>
      <c r="W161" s="79">
        <v>0</v>
      </c>
      <c r="X161" s="90">
        <v>0</v>
      </c>
    </row>
    <row r="162" spans="1:24" hidden="1" x14ac:dyDescent="0.25">
      <c r="A162" s="80" t="str">
        <v>CORDELAN</v>
      </c>
      <c r="B162" s="80" t="str">
        <v>Carabamba1</v>
      </c>
      <c r="C162" s="80" t="str">
        <v>Julio</v>
      </c>
      <c r="D162" s="81">
        <v>46195</v>
      </c>
      <c r="E162" s="79">
        <v>1606.851604</v>
      </c>
      <c r="F162" s="81">
        <v>46195</v>
      </c>
      <c r="G162" s="79" cm="1">
        <f t="array" ref="G162:X162">_xlfn._xlws.FILTER(Formulas!$C$2:$T$201, ISNUMBER(MATCH(Formulas!$B$2:$B$201, B162, 0)),0) * E162</f>
        <v>241.02774059999999</v>
      </c>
      <c r="H162" s="79">
        <v>682.91193169999997</v>
      </c>
      <c r="I162" s="79">
        <v>64.274064159999995</v>
      </c>
      <c r="J162" s="79">
        <v>64.274064159999995</v>
      </c>
      <c r="K162" s="79">
        <v>0</v>
      </c>
      <c r="L162" s="79">
        <v>0</v>
      </c>
      <c r="M162" s="79">
        <v>64.274064159999995</v>
      </c>
      <c r="N162" s="79">
        <v>88.376838219999996</v>
      </c>
      <c r="O162" s="79">
        <v>401.71290099999999</v>
      </c>
      <c r="P162" s="79">
        <v>0</v>
      </c>
      <c r="Q162" s="79">
        <v>0</v>
      </c>
      <c r="R162" s="79">
        <v>0</v>
      </c>
      <c r="S162" s="79">
        <v>0</v>
      </c>
      <c r="T162" s="79">
        <v>0</v>
      </c>
      <c r="U162" s="79">
        <v>1.606851604</v>
      </c>
      <c r="V162" s="79">
        <v>0</v>
      </c>
      <c r="W162" s="79">
        <v>0</v>
      </c>
      <c r="X162" s="90">
        <v>0</v>
      </c>
    </row>
    <row r="163" spans="1:24" hidden="1" x14ac:dyDescent="0.25">
      <c r="A163" s="80" t="str">
        <v>CORDELAN</v>
      </c>
      <c r="B163" s="80" t="str">
        <v>Carabamba1</v>
      </c>
      <c r="C163" s="80" t="str">
        <v>Agosto</v>
      </c>
      <c r="D163" s="81">
        <v>46223</v>
      </c>
      <c r="E163" s="79">
        <v>1606.851604</v>
      </c>
      <c r="F163" s="81">
        <v>46221</v>
      </c>
      <c r="G163" s="79" cm="1">
        <f t="array" ref="G163:X163">_xlfn._xlws.FILTER(Formulas!$C$2:$T$201, ISNUMBER(MATCH(Formulas!$B$2:$B$201, B163, 0)),0) * E163</f>
        <v>241.02774059999999</v>
      </c>
      <c r="H163" s="79">
        <v>682.91193169999997</v>
      </c>
      <c r="I163" s="79">
        <v>64.274064159999995</v>
      </c>
      <c r="J163" s="79">
        <v>64.274064159999995</v>
      </c>
      <c r="K163" s="79">
        <v>0</v>
      </c>
      <c r="L163" s="79">
        <v>0</v>
      </c>
      <c r="M163" s="79">
        <v>64.274064159999995</v>
      </c>
      <c r="N163" s="79">
        <v>88.376838219999996</v>
      </c>
      <c r="O163" s="79">
        <v>401.71290099999999</v>
      </c>
      <c r="P163" s="79">
        <v>0</v>
      </c>
      <c r="Q163" s="79">
        <v>0</v>
      </c>
      <c r="R163" s="79">
        <v>0</v>
      </c>
      <c r="S163" s="79">
        <v>0</v>
      </c>
      <c r="T163" s="79">
        <v>0</v>
      </c>
      <c r="U163" s="79">
        <v>1.606851604</v>
      </c>
      <c r="V163" s="79">
        <v>0</v>
      </c>
      <c r="W163" s="79">
        <v>0</v>
      </c>
      <c r="X163" s="90">
        <v>0</v>
      </c>
    </row>
    <row r="164" spans="1:24" hidden="1" x14ac:dyDescent="0.25">
      <c r="A164" s="80" t="str">
        <v>CORDELAN</v>
      </c>
      <c r="B164" s="80" t="str">
        <v>Carabamba1</v>
      </c>
      <c r="C164" s="80" t="str">
        <v>O.C.</v>
      </c>
      <c r="D164" s="81">
        <v>46223</v>
      </c>
      <c r="E164" s="79">
        <v>2319.732</v>
      </c>
      <c r="F164" s="81">
        <v>46221</v>
      </c>
      <c r="G164" s="79" cm="1">
        <f t="array" ref="G164:X164">_xlfn._xlws.FILTER(Formulas!$C$2:$T$201, ISNUMBER(MATCH(Formulas!$B$2:$B$201, B164, 0)),0) * E164</f>
        <v>347.95979999999997</v>
      </c>
      <c r="H164" s="79">
        <v>985.88609999999994</v>
      </c>
      <c r="I164" s="79">
        <v>92.789280000000005</v>
      </c>
      <c r="J164" s="79">
        <v>92.789280000000005</v>
      </c>
      <c r="K164" s="79">
        <v>0</v>
      </c>
      <c r="L164" s="79">
        <v>0</v>
      </c>
      <c r="M164" s="79">
        <v>92.789280000000005</v>
      </c>
      <c r="N164" s="79">
        <v>127.58526000000001</v>
      </c>
      <c r="O164" s="79">
        <v>579.93299999999999</v>
      </c>
      <c r="P164" s="79">
        <v>0</v>
      </c>
      <c r="Q164" s="79">
        <v>0</v>
      </c>
      <c r="R164" s="79">
        <v>0</v>
      </c>
      <c r="S164" s="79">
        <v>0</v>
      </c>
      <c r="T164" s="79">
        <v>0</v>
      </c>
      <c r="U164" s="79">
        <v>2.3197320000000001</v>
      </c>
      <c r="V164" s="79">
        <v>0</v>
      </c>
      <c r="W164" s="79">
        <v>0</v>
      </c>
      <c r="X164" s="90">
        <v>0</v>
      </c>
    </row>
    <row r="165" spans="1:24" hidden="1" x14ac:dyDescent="0.25">
      <c r="A165" s="80" t="str">
        <v>CORDELAN</v>
      </c>
      <c r="B165" s="80" t="str">
        <v>Carabamba1</v>
      </c>
      <c r="C165" s="80" t="str">
        <v>Setiembre</v>
      </c>
      <c r="D165" s="81">
        <v>46254</v>
      </c>
      <c r="E165" s="79">
        <v>1606.851604</v>
      </c>
      <c r="F165" s="81">
        <v>46249</v>
      </c>
      <c r="G165" s="79" cm="1">
        <f t="array" ref="G165:X165">_xlfn._xlws.FILTER(Formulas!$C$2:$T$201, ISNUMBER(MATCH(Formulas!$B$2:$B$201, B165, 0)),0) * E165</f>
        <v>241.02774059999999</v>
      </c>
      <c r="H165" s="79">
        <v>682.91193169999997</v>
      </c>
      <c r="I165" s="79">
        <v>64.274064159999995</v>
      </c>
      <c r="J165" s="79">
        <v>64.274064159999995</v>
      </c>
      <c r="K165" s="79">
        <v>0</v>
      </c>
      <c r="L165" s="79">
        <v>0</v>
      </c>
      <c r="M165" s="79">
        <v>64.274064159999995</v>
      </c>
      <c r="N165" s="79">
        <v>88.376838219999996</v>
      </c>
      <c r="O165" s="79">
        <v>401.71290099999999</v>
      </c>
      <c r="P165" s="79">
        <v>0</v>
      </c>
      <c r="Q165" s="79">
        <v>0</v>
      </c>
      <c r="R165" s="79">
        <v>0</v>
      </c>
      <c r="S165" s="79">
        <v>0</v>
      </c>
      <c r="T165" s="79">
        <v>0</v>
      </c>
      <c r="U165" s="79">
        <v>1.606851604</v>
      </c>
      <c r="V165" s="79">
        <v>0</v>
      </c>
      <c r="W165" s="79">
        <v>0</v>
      </c>
      <c r="X165" s="90">
        <v>0</v>
      </c>
    </row>
    <row r="166" spans="1:24" hidden="1" x14ac:dyDescent="0.25">
      <c r="A166" s="80" t="str">
        <v>CORDELAN</v>
      </c>
      <c r="B166" s="80" t="str">
        <v>Carabamba1</v>
      </c>
      <c r="C166" s="80" t="str">
        <v>Octubre</v>
      </c>
      <c r="D166" s="81">
        <v>46286</v>
      </c>
      <c r="E166" s="79">
        <v>1606.851604</v>
      </c>
      <c r="F166" s="80">
        <v>46286</v>
      </c>
      <c r="G166" s="79" cm="1">
        <f t="array" ref="G166:X166">_xlfn._xlws.FILTER(Formulas!$C$2:$T$201, ISNUMBER(MATCH(Formulas!$B$2:$B$201, B166, 0)),0) * E166</f>
        <v>241.02774059999999</v>
      </c>
      <c r="H166" s="79">
        <v>682.91193169999997</v>
      </c>
      <c r="I166" s="79">
        <v>64.274064159999995</v>
      </c>
      <c r="J166" s="79">
        <v>64.274064159999995</v>
      </c>
      <c r="K166" s="79">
        <v>0</v>
      </c>
      <c r="L166" s="79">
        <v>0</v>
      </c>
      <c r="M166" s="79">
        <v>64.274064159999995</v>
      </c>
      <c r="N166" s="79">
        <v>88.376838219999996</v>
      </c>
      <c r="O166" s="79">
        <v>401.71290099999999</v>
      </c>
      <c r="P166" s="79">
        <v>0</v>
      </c>
      <c r="Q166" s="79">
        <v>0</v>
      </c>
      <c r="R166" s="79">
        <v>0</v>
      </c>
      <c r="S166" s="79">
        <v>0</v>
      </c>
      <c r="T166" s="79">
        <v>0</v>
      </c>
      <c r="U166" s="79">
        <v>1.606851604</v>
      </c>
      <c r="V166" s="79">
        <v>0</v>
      </c>
      <c r="W166" s="79">
        <v>0</v>
      </c>
      <c r="X166" s="90">
        <v>0</v>
      </c>
    </row>
    <row r="167" spans="1:24" hidden="1" x14ac:dyDescent="0.25">
      <c r="A167" s="80" t="str">
        <v>CORDELAN</v>
      </c>
      <c r="B167" s="80" t="str">
        <v>Carabamba1</v>
      </c>
      <c r="C167" s="80" t="str">
        <v>Noviembre</v>
      </c>
      <c r="D167" s="81">
        <v>46315</v>
      </c>
      <c r="E167" s="79">
        <v>1606.851604</v>
      </c>
      <c r="F167" s="80">
        <v>0</v>
      </c>
      <c r="G167" s="79" cm="1">
        <f t="array" ref="G167:X167">_xlfn._xlws.FILTER(Formulas!$C$2:$T$201, ISNUMBER(MATCH(Formulas!$B$2:$B$201, B167, 0)),0) * E167</f>
        <v>241.02774059999999</v>
      </c>
      <c r="H167" s="79">
        <v>682.91193169999997</v>
      </c>
      <c r="I167" s="79">
        <v>64.274064159999995</v>
      </c>
      <c r="J167" s="79">
        <v>64.274064159999995</v>
      </c>
      <c r="K167" s="79">
        <v>0</v>
      </c>
      <c r="L167" s="79">
        <v>0</v>
      </c>
      <c r="M167" s="79">
        <v>64.274064159999995</v>
      </c>
      <c r="N167" s="79">
        <v>88.376838219999996</v>
      </c>
      <c r="O167" s="79">
        <v>401.71290099999999</v>
      </c>
      <c r="P167" s="79">
        <v>0</v>
      </c>
      <c r="Q167" s="79">
        <v>0</v>
      </c>
      <c r="R167" s="79">
        <v>0</v>
      </c>
      <c r="S167" s="79">
        <v>0</v>
      </c>
      <c r="T167" s="79">
        <v>0</v>
      </c>
      <c r="U167" s="79">
        <v>1.606851604</v>
      </c>
      <c r="V167" s="79">
        <v>0</v>
      </c>
      <c r="W167" s="79">
        <v>0</v>
      </c>
      <c r="X167" s="90">
        <v>0</v>
      </c>
    </row>
    <row r="168" spans="1:24" hidden="1" x14ac:dyDescent="0.25">
      <c r="A168" s="80" t="str">
        <v>CORDELAN</v>
      </c>
      <c r="B168" s="80" t="str">
        <v>Carabamba1</v>
      </c>
      <c r="C168" s="80" t="str">
        <v>Diciembre</v>
      </c>
      <c r="D168" s="81">
        <v>46346</v>
      </c>
      <c r="E168" s="79">
        <v>1606.851604</v>
      </c>
      <c r="F168" s="80">
        <v>0</v>
      </c>
      <c r="G168" s="79" cm="1">
        <f t="array" ref="G168:X168">_xlfn._xlws.FILTER(Formulas!$C$2:$T$201, ISNUMBER(MATCH(Formulas!$B$2:$B$201, B168, 0)),0) * E168</f>
        <v>241.02774059999999</v>
      </c>
      <c r="H168" s="79">
        <v>682.91193169999997</v>
      </c>
      <c r="I168" s="79">
        <v>64.274064159999995</v>
      </c>
      <c r="J168" s="79">
        <v>64.274064159999995</v>
      </c>
      <c r="K168" s="79">
        <v>0</v>
      </c>
      <c r="L168" s="79">
        <v>0</v>
      </c>
      <c r="M168" s="79">
        <v>64.274064159999995</v>
      </c>
      <c r="N168" s="79">
        <v>88.376838219999996</v>
      </c>
      <c r="O168" s="79">
        <v>401.71290099999999</v>
      </c>
      <c r="P168" s="79">
        <v>0</v>
      </c>
      <c r="Q168" s="79">
        <v>0</v>
      </c>
      <c r="R168" s="79">
        <v>0</v>
      </c>
      <c r="S168" s="79">
        <v>0</v>
      </c>
      <c r="T168" s="79">
        <v>0</v>
      </c>
      <c r="U168" s="79">
        <v>1.606851604</v>
      </c>
      <c r="V168" s="79">
        <v>0</v>
      </c>
      <c r="W168" s="79">
        <v>0</v>
      </c>
      <c r="X168" s="90">
        <v>0</v>
      </c>
    </row>
    <row r="169" spans="1:24" hidden="1" x14ac:dyDescent="0.25">
      <c r="A169" s="80" t="str">
        <v>MI FORTALEZA</v>
      </c>
      <c r="B169" s="80" t="str">
        <v>Carhuaz</v>
      </c>
      <c r="C169" s="80" t="str">
        <v>O.C.</v>
      </c>
      <c r="D169" s="81">
        <v>46045</v>
      </c>
      <c r="E169" s="79">
        <v>1590.6097600000001</v>
      </c>
      <c r="F169" s="81">
        <v>46043</v>
      </c>
      <c r="G169" s="79" cm="1">
        <f t="array" ref="G169:X169">_xlfn._xlws.FILTER(Formulas!$C$2:$T$201, ISNUMBER(MATCH(Formulas!$B$2:$B$201, B169, 0)),0) * E169</f>
        <v>318.12195200000002</v>
      </c>
      <c r="H169" s="79">
        <v>1080.4141766037735</v>
      </c>
      <c r="I169" s="79">
        <v>96.036815698113216</v>
      </c>
      <c r="J169" s="79">
        <v>96.036815698113216</v>
      </c>
      <c r="K169" s="79">
        <v>0</v>
      </c>
      <c r="L169" s="79">
        <v>0</v>
      </c>
      <c r="M169" s="79">
        <v>0</v>
      </c>
      <c r="N169" s="79">
        <v>0</v>
      </c>
      <c r="O169" s="79">
        <v>0</v>
      </c>
      <c r="P169" s="79">
        <v>0</v>
      </c>
      <c r="Q169" s="79">
        <v>0</v>
      </c>
      <c r="R169" s="79">
        <v>0</v>
      </c>
      <c r="S169" s="79">
        <v>0</v>
      </c>
      <c r="T169" s="79">
        <v>0</v>
      </c>
      <c r="U169" s="79">
        <v>0</v>
      </c>
      <c r="V169" s="79">
        <v>0</v>
      </c>
      <c r="W169" s="79">
        <v>0</v>
      </c>
      <c r="X169" s="90">
        <v>0</v>
      </c>
    </row>
    <row r="170" spans="1:24" hidden="1" x14ac:dyDescent="0.25">
      <c r="A170" s="80" t="str">
        <v>MI FORTALEZA</v>
      </c>
      <c r="B170" s="80" t="str">
        <v>Carhuaz</v>
      </c>
      <c r="C170" s="80" t="str">
        <v>O.C.</v>
      </c>
      <c r="D170" s="81">
        <v>46199</v>
      </c>
      <c r="E170" s="79">
        <v>1059.7745600000001</v>
      </c>
      <c r="F170" s="81">
        <v>46198</v>
      </c>
      <c r="G170" s="79" cm="1">
        <f t="array" ref="G170:X170">_xlfn._xlws.FILTER(Formulas!$C$2:$T$201, ISNUMBER(MATCH(Formulas!$B$2:$B$201, B170, 0)),0) * E170</f>
        <v>211.95491200000004</v>
      </c>
      <c r="H170" s="79">
        <v>719.8468709433962</v>
      </c>
      <c r="I170" s="79">
        <v>63.986388528301894</v>
      </c>
      <c r="J170" s="79">
        <v>63.986388528301894</v>
      </c>
      <c r="K170" s="79">
        <v>0</v>
      </c>
      <c r="L170" s="79">
        <v>0</v>
      </c>
      <c r="M170" s="79">
        <v>0</v>
      </c>
      <c r="N170" s="79">
        <v>0</v>
      </c>
      <c r="O170" s="79">
        <v>0</v>
      </c>
      <c r="P170" s="79">
        <v>0</v>
      </c>
      <c r="Q170" s="79">
        <v>0</v>
      </c>
      <c r="R170" s="79">
        <v>0</v>
      </c>
      <c r="S170" s="79">
        <v>0</v>
      </c>
      <c r="T170" s="79">
        <v>0</v>
      </c>
      <c r="U170" s="79">
        <v>0</v>
      </c>
      <c r="V170" s="79">
        <v>0</v>
      </c>
      <c r="W170" s="79">
        <v>0</v>
      </c>
      <c r="X170" s="90">
        <v>0</v>
      </c>
    </row>
    <row r="171" spans="1:24" hidden="1" x14ac:dyDescent="0.25">
      <c r="A171" s="80" t="str">
        <v>PENDIENTE</v>
      </c>
      <c r="B171" s="80" t="str">
        <v>Casa Grande</v>
      </c>
      <c r="C171" s="80" t="str">
        <v>O.C.</v>
      </c>
      <c r="D171" s="81">
        <v>46038</v>
      </c>
      <c r="E171" s="79">
        <v>1527.56961</v>
      </c>
      <c r="F171" s="81">
        <v>46037</v>
      </c>
      <c r="G171" s="79" cm="1">
        <f t="array" ref="G171:X171">_xlfn._xlws.FILTER(Formulas!$C$2:$T$201, ISNUMBER(MATCH(Formulas!$B$2:$B$201, B171, 0)),0) * E171</f>
        <v>290.84925374400001</v>
      </c>
      <c r="H171" s="79">
        <v>1145.6772074999999</v>
      </c>
      <c r="I171" s="79">
        <v>91.043148756000008</v>
      </c>
      <c r="J171" s="79">
        <v>0</v>
      </c>
      <c r="K171" s="79">
        <v>0</v>
      </c>
      <c r="L171" s="79">
        <v>0</v>
      </c>
      <c r="M171" s="79">
        <v>0</v>
      </c>
      <c r="N171" s="79">
        <v>0</v>
      </c>
      <c r="O171" s="79">
        <v>0</v>
      </c>
      <c r="P171" s="79">
        <v>0</v>
      </c>
      <c r="Q171" s="79">
        <v>0</v>
      </c>
      <c r="R171" s="79">
        <v>0</v>
      </c>
      <c r="S171" s="79">
        <v>0</v>
      </c>
      <c r="T171" s="79">
        <v>0</v>
      </c>
      <c r="U171" s="79">
        <v>0</v>
      </c>
      <c r="V171" s="79">
        <v>0</v>
      </c>
      <c r="W171" s="79">
        <v>0</v>
      </c>
      <c r="X171" s="90">
        <v>0</v>
      </c>
    </row>
    <row r="172" spans="1:24" hidden="1" x14ac:dyDescent="0.25">
      <c r="A172" s="80" t="str">
        <v>PENDIENTE</v>
      </c>
      <c r="B172" s="80" t="str">
        <v>Casa Grande</v>
      </c>
      <c r="C172" s="80" t="str">
        <v>O.C.</v>
      </c>
      <c r="D172" s="81">
        <v>46058</v>
      </c>
      <c r="E172" s="79">
        <v>1527.56961</v>
      </c>
      <c r="F172" s="81">
        <v>46060</v>
      </c>
      <c r="G172" s="79" cm="1">
        <f t="array" ref="G172:X172">_xlfn._xlws.FILTER(Formulas!$C$2:$T$201, ISNUMBER(MATCH(Formulas!$B$2:$B$201, B172, 0)),0) * E172</f>
        <v>290.84925374400001</v>
      </c>
      <c r="H172" s="79">
        <v>1145.6772074999999</v>
      </c>
      <c r="I172" s="79">
        <v>91.043148756000008</v>
      </c>
      <c r="J172" s="79">
        <v>0</v>
      </c>
      <c r="K172" s="79">
        <v>0</v>
      </c>
      <c r="L172" s="79">
        <v>0</v>
      </c>
      <c r="M172" s="79">
        <v>0</v>
      </c>
      <c r="N172" s="79">
        <v>0</v>
      </c>
      <c r="O172" s="79">
        <v>0</v>
      </c>
      <c r="P172" s="79">
        <v>0</v>
      </c>
      <c r="Q172" s="79">
        <v>0</v>
      </c>
      <c r="R172" s="79">
        <v>0</v>
      </c>
      <c r="S172" s="79">
        <v>0</v>
      </c>
      <c r="T172" s="79">
        <v>0</v>
      </c>
      <c r="U172" s="79">
        <v>0</v>
      </c>
      <c r="V172" s="79">
        <v>0</v>
      </c>
      <c r="W172" s="79">
        <v>0</v>
      </c>
      <c r="X172" s="90">
        <v>0</v>
      </c>
    </row>
    <row r="173" spans="1:24" hidden="1" x14ac:dyDescent="0.25">
      <c r="A173" s="80" t="str">
        <v>PENDIENTE</v>
      </c>
      <c r="B173" s="80" t="str">
        <v>Casa Grande</v>
      </c>
      <c r="C173" s="80" t="str">
        <v>Marzo</v>
      </c>
      <c r="D173" s="81">
        <v>46058</v>
      </c>
      <c r="E173" s="79">
        <v>1527.56961</v>
      </c>
      <c r="F173" s="81">
        <v>46060</v>
      </c>
      <c r="G173" s="79" cm="1">
        <f t="array" ref="G173:X173">_xlfn._xlws.FILTER(Formulas!$C$2:$T$201, ISNUMBER(MATCH(Formulas!$B$2:$B$201, B173, 0)),0) * E173</f>
        <v>290.84925374400001</v>
      </c>
      <c r="H173" s="79">
        <v>1145.6772074999999</v>
      </c>
      <c r="I173" s="79">
        <v>91.043148756000008</v>
      </c>
      <c r="J173" s="79">
        <v>0</v>
      </c>
      <c r="K173" s="79">
        <v>0</v>
      </c>
      <c r="L173" s="79">
        <v>0</v>
      </c>
      <c r="M173" s="79">
        <v>0</v>
      </c>
      <c r="N173" s="79">
        <v>0</v>
      </c>
      <c r="O173" s="79">
        <v>0</v>
      </c>
      <c r="P173" s="79">
        <v>0</v>
      </c>
      <c r="Q173" s="79">
        <v>0</v>
      </c>
      <c r="R173" s="79">
        <v>0</v>
      </c>
      <c r="S173" s="79">
        <v>0</v>
      </c>
      <c r="T173" s="79">
        <v>0</v>
      </c>
      <c r="U173" s="79">
        <v>0</v>
      </c>
      <c r="V173" s="79">
        <v>0</v>
      </c>
      <c r="W173" s="79">
        <v>0</v>
      </c>
      <c r="X173" s="90">
        <v>0</v>
      </c>
    </row>
    <row r="174" spans="1:24" hidden="1" x14ac:dyDescent="0.25">
      <c r="A174" s="80" t="str">
        <v>PENDIENTE</v>
      </c>
      <c r="B174" s="80" t="str">
        <v>Casa Grande</v>
      </c>
      <c r="C174" s="80" t="str">
        <v>Abril</v>
      </c>
      <c r="D174" s="81">
        <v>46086</v>
      </c>
      <c r="E174" s="79">
        <v>1527.56961</v>
      </c>
      <c r="F174" s="81">
        <v>46108</v>
      </c>
      <c r="G174" s="79" cm="1">
        <f t="array" ref="G174:X174">_xlfn._xlws.FILTER(Formulas!$C$2:$T$201, ISNUMBER(MATCH(Formulas!$B$2:$B$201, B174, 0)),0) * E174</f>
        <v>290.84925374400001</v>
      </c>
      <c r="H174" s="79">
        <v>1145.6772074999999</v>
      </c>
      <c r="I174" s="79">
        <v>91.043148756000008</v>
      </c>
      <c r="J174" s="79">
        <v>0</v>
      </c>
      <c r="K174" s="79">
        <v>0</v>
      </c>
      <c r="L174" s="79">
        <v>0</v>
      </c>
      <c r="M174" s="79">
        <v>0</v>
      </c>
      <c r="N174" s="79">
        <v>0</v>
      </c>
      <c r="O174" s="79">
        <v>0</v>
      </c>
      <c r="P174" s="79">
        <v>0</v>
      </c>
      <c r="Q174" s="79">
        <v>0</v>
      </c>
      <c r="R174" s="79">
        <v>0</v>
      </c>
      <c r="S174" s="79">
        <v>0</v>
      </c>
      <c r="T174" s="79">
        <v>0</v>
      </c>
      <c r="U174" s="79">
        <v>0</v>
      </c>
      <c r="V174" s="79">
        <v>0</v>
      </c>
      <c r="W174" s="79">
        <v>0</v>
      </c>
      <c r="X174" s="90">
        <v>0</v>
      </c>
    </row>
    <row r="175" spans="1:24" hidden="1" x14ac:dyDescent="0.25">
      <c r="A175" s="80" t="str">
        <v>PENDIENTE</v>
      </c>
      <c r="B175" s="80" t="str">
        <v>Casa Grande</v>
      </c>
      <c r="C175" s="80" t="str">
        <v>Mayo</v>
      </c>
      <c r="D175" s="81">
        <v>46117</v>
      </c>
      <c r="E175" s="79">
        <v>1527.56961</v>
      </c>
      <c r="F175" s="81">
        <v>46136</v>
      </c>
      <c r="G175" s="79" cm="1">
        <f t="array" ref="G175:X175">_xlfn._xlws.FILTER(Formulas!$C$2:$T$201, ISNUMBER(MATCH(Formulas!$B$2:$B$201, B175, 0)),0) * E175</f>
        <v>290.84925374400001</v>
      </c>
      <c r="H175" s="79">
        <v>1145.6772074999999</v>
      </c>
      <c r="I175" s="79">
        <v>91.043148756000008</v>
      </c>
      <c r="J175" s="79">
        <v>0</v>
      </c>
      <c r="K175" s="79">
        <v>0</v>
      </c>
      <c r="L175" s="79">
        <v>0</v>
      </c>
      <c r="M175" s="79">
        <v>0</v>
      </c>
      <c r="N175" s="79">
        <v>0</v>
      </c>
      <c r="O175" s="79">
        <v>0</v>
      </c>
      <c r="P175" s="79">
        <v>0</v>
      </c>
      <c r="Q175" s="79">
        <v>0</v>
      </c>
      <c r="R175" s="79">
        <v>0</v>
      </c>
      <c r="S175" s="79">
        <v>0</v>
      </c>
      <c r="T175" s="79">
        <v>0</v>
      </c>
      <c r="U175" s="79">
        <v>0</v>
      </c>
      <c r="V175" s="79">
        <v>0</v>
      </c>
      <c r="W175" s="79">
        <v>0</v>
      </c>
      <c r="X175" s="90">
        <v>0</v>
      </c>
    </row>
    <row r="176" spans="1:24" hidden="1" x14ac:dyDescent="0.25">
      <c r="A176" s="80" t="str">
        <v>PENDIENTE</v>
      </c>
      <c r="B176" s="80" t="str">
        <v>Casa Grande</v>
      </c>
      <c r="C176" s="80" t="str">
        <v>Junio</v>
      </c>
      <c r="D176" s="81">
        <v>46147</v>
      </c>
      <c r="E176" s="79">
        <v>1527.56961</v>
      </c>
      <c r="F176" s="81">
        <v>46159</v>
      </c>
      <c r="G176" s="79" cm="1">
        <f t="array" ref="G176:X176">_xlfn._xlws.FILTER(Formulas!$C$2:$T$201, ISNUMBER(MATCH(Formulas!$B$2:$B$201, B176, 0)),0) * E176</f>
        <v>290.84925374400001</v>
      </c>
      <c r="H176" s="79">
        <v>1145.6772074999999</v>
      </c>
      <c r="I176" s="79">
        <v>91.043148756000008</v>
      </c>
      <c r="J176" s="79">
        <v>0</v>
      </c>
      <c r="K176" s="79">
        <v>0</v>
      </c>
      <c r="L176" s="79">
        <v>0</v>
      </c>
      <c r="M176" s="79">
        <v>0</v>
      </c>
      <c r="N176" s="79">
        <v>0</v>
      </c>
      <c r="O176" s="79">
        <v>0</v>
      </c>
      <c r="P176" s="79">
        <v>0</v>
      </c>
      <c r="Q176" s="79">
        <v>0</v>
      </c>
      <c r="R176" s="79">
        <v>0</v>
      </c>
      <c r="S176" s="79">
        <v>0</v>
      </c>
      <c r="T176" s="79">
        <v>0</v>
      </c>
      <c r="U176" s="79">
        <v>0</v>
      </c>
      <c r="V176" s="79">
        <v>0</v>
      </c>
      <c r="W176" s="79">
        <v>0</v>
      </c>
      <c r="X176" s="90">
        <v>0</v>
      </c>
    </row>
    <row r="177" spans="1:24" hidden="1" x14ac:dyDescent="0.25">
      <c r="A177" s="80" t="str">
        <v>PENDIENTE</v>
      </c>
      <c r="B177" s="80" t="str">
        <v>Casa Grande</v>
      </c>
      <c r="C177" s="80" t="str">
        <v>Julio</v>
      </c>
      <c r="D177" s="81">
        <v>46178</v>
      </c>
      <c r="E177" s="79">
        <v>1527.56961</v>
      </c>
      <c r="F177" s="81">
        <v>46198</v>
      </c>
      <c r="G177" s="79" cm="1">
        <f t="array" ref="G177:X177">_xlfn._xlws.FILTER(Formulas!$C$2:$T$201, ISNUMBER(MATCH(Formulas!$B$2:$B$201, B177, 0)),0) * E177</f>
        <v>290.84925374400001</v>
      </c>
      <c r="H177" s="79">
        <v>1145.6772074999999</v>
      </c>
      <c r="I177" s="79">
        <v>91.043148756000008</v>
      </c>
      <c r="J177" s="79">
        <v>0</v>
      </c>
      <c r="K177" s="79">
        <v>0</v>
      </c>
      <c r="L177" s="79">
        <v>0</v>
      </c>
      <c r="M177" s="79">
        <v>0</v>
      </c>
      <c r="N177" s="79">
        <v>0</v>
      </c>
      <c r="O177" s="79">
        <v>0</v>
      </c>
      <c r="P177" s="79">
        <v>0</v>
      </c>
      <c r="Q177" s="79">
        <v>0</v>
      </c>
      <c r="R177" s="79">
        <v>0</v>
      </c>
      <c r="S177" s="79">
        <v>0</v>
      </c>
      <c r="T177" s="79">
        <v>0</v>
      </c>
      <c r="U177" s="79">
        <v>0</v>
      </c>
      <c r="V177" s="79">
        <v>0</v>
      </c>
      <c r="W177" s="79">
        <v>0</v>
      </c>
      <c r="X177" s="90">
        <v>0</v>
      </c>
    </row>
    <row r="178" spans="1:24" hidden="1" x14ac:dyDescent="0.25">
      <c r="A178" s="80" t="str">
        <v>PENDIENTE</v>
      </c>
      <c r="B178" s="80" t="str">
        <v>Casa Grande</v>
      </c>
      <c r="C178" s="80" t="str">
        <v>Agosto</v>
      </c>
      <c r="D178" s="81">
        <v>46208</v>
      </c>
      <c r="E178" s="79">
        <v>1527.56961</v>
      </c>
      <c r="F178" s="81">
        <v>46227</v>
      </c>
      <c r="G178" s="79" cm="1">
        <f t="array" ref="G178:X178">_xlfn._xlws.FILTER(Formulas!$C$2:$T$201, ISNUMBER(MATCH(Formulas!$B$2:$B$201, B178, 0)),0) * E178</f>
        <v>290.84925374400001</v>
      </c>
      <c r="H178" s="79">
        <v>1145.6772074999999</v>
      </c>
      <c r="I178" s="79">
        <v>91.043148756000008</v>
      </c>
      <c r="J178" s="79">
        <v>0</v>
      </c>
      <c r="K178" s="79">
        <v>0</v>
      </c>
      <c r="L178" s="79">
        <v>0</v>
      </c>
      <c r="M178" s="79">
        <v>0</v>
      </c>
      <c r="N178" s="79">
        <v>0</v>
      </c>
      <c r="O178" s="79">
        <v>0</v>
      </c>
      <c r="P178" s="79">
        <v>0</v>
      </c>
      <c r="Q178" s="79">
        <v>0</v>
      </c>
      <c r="R178" s="79">
        <v>0</v>
      </c>
      <c r="S178" s="79">
        <v>0</v>
      </c>
      <c r="T178" s="79">
        <v>0</v>
      </c>
      <c r="U178" s="79">
        <v>0</v>
      </c>
      <c r="V178" s="79">
        <v>0</v>
      </c>
      <c r="W178" s="79">
        <v>0</v>
      </c>
      <c r="X178" s="90">
        <v>0</v>
      </c>
    </row>
    <row r="179" spans="1:24" hidden="1" x14ac:dyDescent="0.25">
      <c r="A179" s="80" t="str">
        <v>PENDIENTE</v>
      </c>
      <c r="B179" s="80" t="str">
        <v>Casa Grande</v>
      </c>
      <c r="C179" s="80" t="str">
        <v>Setiembre</v>
      </c>
      <c r="D179" s="81">
        <v>46239</v>
      </c>
      <c r="E179" s="79">
        <v>1527.56961</v>
      </c>
      <c r="F179" s="81">
        <v>46259</v>
      </c>
      <c r="G179" s="79" cm="1">
        <f t="array" ref="G179:X179">_xlfn._xlws.FILTER(Formulas!$C$2:$T$201, ISNUMBER(MATCH(Formulas!$B$2:$B$201, B179, 0)),0) * E179</f>
        <v>290.84925374400001</v>
      </c>
      <c r="H179" s="79">
        <v>1145.6772074999999</v>
      </c>
      <c r="I179" s="79">
        <v>91.043148756000008</v>
      </c>
      <c r="J179" s="79">
        <v>0</v>
      </c>
      <c r="K179" s="79">
        <v>0</v>
      </c>
      <c r="L179" s="79">
        <v>0</v>
      </c>
      <c r="M179" s="79">
        <v>0</v>
      </c>
      <c r="N179" s="79">
        <v>0</v>
      </c>
      <c r="O179" s="79">
        <v>0</v>
      </c>
      <c r="P179" s="79">
        <v>0</v>
      </c>
      <c r="Q179" s="79">
        <v>0</v>
      </c>
      <c r="R179" s="79">
        <v>0</v>
      </c>
      <c r="S179" s="79">
        <v>0</v>
      </c>
      <c r="T179" s="79">
        <v>0</v>
      </c>
      <c r="U179" s="79">
        <v>0</v>
      </c>
      <c r="V179" s="79">
        <v>0</v>
      </c>
      <c r="W179" s="79">
        <v>0</v>
      </c>
      <c r="X179" s="90">
        <v>0</v>
      </c>
    </row>
    <row r="180" spans="1:24" hidden="1" x14ac:dyDescent="0.25">
      <c r="A180" s="80" t="str">
        <v>PENDIENTE</v>
      </c>
      <c r="B180" s="80" t="str">
        <v>Casa Grande</v>
      </c>
      <c r="C180" s="80" t="str">
        <v>Octubre</v>
      </c>
      <c r="D180" s="81">
        <v>46270</v>
      </c>
      <c r="E180" s="79">
        <v>1527.56961</v>
      </c>
      <c r="F180" s="80">
        <v>46294</v>
      </c>
      <c r="G180" s="79" cm="1">
        <f t="array" ref="G180:X180">_xlfn._xlws.FILTER(Formulas!$C$2:$T$201, ISNUMBER(MATCH(Formulas!$B$2:$B$201, B180, 0)),0) * E180</f>
        <v>290.84925374400001</v>
      </c>
      <c r="H180" s="79">
        <v>1145.6772074999999</v>
      </c>
      <c r="I180" s="79">
        <v>91.043148756000008</v>
      </c>
      <c r="J180" s="79">
        <v>0</v>
      </c>
      <c r="K180" s="79">
        <v>0</v>
      </c>
      <c r="L180" s="79">
        <v>0</v>
      </c>
      <c r="M180" s="79">
        <v>0</v>
      </c>
      <c r="N180" s="79">
        <v>0</v>
      </c>
      <c r="O180" s="79">
        <v>0</v>
      </c>
      <c r="P180" s="79">
        <v>0</v>
      </c>
      <c r="Q180" s="79">
        <v>0</v>
      </c>
      <c r="R180" s="79">
        <v>0</v>
      </c>
      <c r="S180" s="79">
        <v>0</v>
      </c>
      <c r="T180" s="79">
        <v>0</v>
      </c>
      <c r="U180" s="79">
        <v>0</v>
      </c>
      <c r="V180" s="79">
        <v>0</v>
      </c>
      <c r="W180" s="79">
        <v>0</v>
      </c>
      <c r="X180" s="90">
        <v>0</v>
      </c>
    </row>
    <row r="181" spans="1:24" hidden="1" x14ac:dyDescent="0.25">
      <c r="A181" s="80" t="str">
        <v>PENDIENTE</v>
      </c>
      <c r="B181" s="80" t="str">
        <v>Casa Grande</v>
      </c>
      <c r="C181" s="80" t="str">
        <v>Noviembre</v>
      </c>
      <c r="D181" s="81">
        <v>46300</v>
      </c>
      <c r="E181" s="79">
        <v>1527.56961</v>
      </c>
      <c r="F181" s="80">
        <v>0</v>
      </c>
      <c r="G181" s="79" cm="1">
        <f t="array" ref="G181:X181">_xlfn._xlws.FILTER(Formulas!$C$2:$T$201, ISNUMBER(MATCH(Formulas!$B$2:$B$201, B181, 0)),0) * E181</f>
        <v>290.84925374400001</v>
      </c>
      <c r="H181" s="79">
        <v>1145.6772074999999</v>
      </c>
      <c r="I181" s="79">
        <v>91.043148756000008</v>
      </c>
      <c r="J181" s="79">
        <v>0</v>
      </c>
      <c r="K181" s="79">
        <v>0</v>
      </c>
      <c r="L181" s="79">
        <v>0</v>
      </c>
      <c r="M181" s="79">
        <v>0</v>
      </c>
      <c r="N181" s="79">
        <v>0</v>
      </c>
      <c r="O181" s="79">
        <v>0</v>
      </c>
      <c r="P181" s="79">
        <v>0</v>
      </c>
      <c r="Q181" s="79">
        <v>0</v>
      </c>
      <c r="R181" s="79">
        <v>0</v>
      </c>
      <c r="S181" s="79">
        <v>0</v>
      </c>
      <c r="T181" s="79">
        <v>0</v>
      </c>
      <c r="U181" s="79">
        <v>0</v>
      </c>
      <c r="V181" s="79">
        <v>0</v>
      </c>
      <c r="W181" s="79">
        <v>0</v>
      </c>
      <c r="X181" s="90">
        <v>0</v>
      </c>
    </row>
    <row r="182" spans="1:24" hidden="1" x14ac:dyDescent="0.25">
      <c r="A182" s="80" t="str">
        <v>PENDIENTE</v>
      </c>
      <c r="B182" s="80" t="str">
        <v>Casa Grande</v>
      </c>
      <c r="C182" s="80" t="str">
        <v>Diciembre</v>
      </c>
      <c r="D182" s="81">
        <v>46331</v>
      </c>
      <c r="E182" s="79">
        <v>1527.56961</v>
      </c>
      <c r="F182" s="80">
        <v>0</v>
      </c>
      <c r="G182" s="79" cm="1">
        <f t="array" ref="G182:X182">_xlfn._xlws.FILTER(Formulas!$C$2:$T$201, ISNUMBER(MATCH(Formulas!$B$2:$B$201, B182, 0)),0) * E182</f>
        <v>290.84925374400001</v>
      </c>
      <c r="H182" s="79">
        <v>1145.6772074999999</v>
      </c>
      <c r="I182" s="79">
        <v>91.043148756000008</v>
      </c>
      <c r="J182" s="79">
        <v>0</v>
      </c>
      <c r="K182" s="79">
        <v>0</v>
      </c>
      <c r="L182" s="79">
        <v>0</v>
      </c>
      <c r="M182" s="79">
        <v>0</v>
      </c>
      <c r="N182" s="79">
        <v>0</v>
      </c>
      <c r="O182" s="79">
        <v>0</v>
      </c>
      <c r="P182" s="79">
        <v>0</v>
      </c>
      <c r="Q182" s="79">
        <v>0</v>
      </c>
      <c r="R182" s="79">
        <v>0</v>
      </c>
      <c r="S182" s="79">
        <v>0</v>
      </c>
      <c r="T182" s="79">
        <v>0</v>
      </c>
      <c r="U182" s="79">
        <v>0</v>
      </c>
      <c r="V182" s="79">
        <v>0</v>
      </c>
      <c r="W182" s="79">
        <v>0</v>
      </c>
      <c r="X182" s="90">
        <v>0</v>
      </c>
    </row>
    <row r="183" spans="1:24" hidden="1" x14ac:dyDescent="0.25">
      <c r="A183" s="80" t="str">
        <v>PENDIENTE</v>
      </c>
      <c r="B183" s="80" t="str">
        <v>Catilluc</v>
      </c>
      <c r="C183" s="80" t="str">
        <v>Enero / Febrero / Marzo</v>
      </c>
      <c r="D183" s="81">
        <v>46073</v>
      </c>
      <c r="E183" s="79">
        <v>2866.8240000000001</v>
      </c>
      <c r="F183" s="81">
        <v>46086</v>
      </c>
      <c r="G183" s="79" cm="1">
        <f t="array" ref="G183:X183">_xlfn._xlws.FILTER(Formulas!$C$2:$T$201, ISNUMBER(MATCH(Formulas!$B$2:$B$201, B183, 0)),0) * E183</f>
        <v>400.97538332752003</v>
      </c>
      <c r="H183" s="79">
        <v>1203.9260885943495</v>
      </c>
      <c r="I183" s="79">
        <v>171.98944122776422</v>
      </c>
      <c r="J183" s="79">
        <v>114.99294035577259</v>
      </c>
      <c r="K183" s="79">
        <v>0</v>
      </c>
      <c r="L183" s="79">
        <v>0</v>
      </c>
      <c r="M183" s="79">
        <v>114.99294035577259</v>
      </c>
      <c r="N183" s="79">
        <v>0</v>
      </c>
      <c r="O183" s="79">
        <v>859.94720613882112</v>
      </c>
      <c r="P183" s="79">
        <v>0</v>
      </c>
      <c r="Q183" s="79">
        <v>0</v>
      </c>
      <c r="R183" s="79">
        <v>0</v>
      </c>
      <c r="S183" s="79">
        <v>0</v>
      </c>
      <c r="T183" s="79">
        <v>0</v>
      </c>
      <c r="U183" s="79">
        <v>0</v>
      </c>
      <c r="V183" s="79">
        <v>0</v>
      </c>
      <c r="W183" s="79">
        <v>0</v>
      </c>
      <c r="X183" s="90">
        <v>0</v>
      </c>
    </row>
    <row r="184" spans="1:24" hidden="1" x14ac:dyDescent="0.25">
      <c r="A184" s="80" t="str">
        <v>PENDIENTE</v>
      </c>
      <c r="B184" s="80" t="str">
        <v>Catilluc</v>
      </c>
      <c r="C184" s="80" t="str">
        <v>Abril / Mayo / Junio</v>
      </c>
      <c r="D184" s="81">
        <v>46120</v>
      </c>
      <c r="E184" s="79">
        <v>2866.8240000000001</v>
      </c>
      <c r="F184" s="81">
        <v>46168</v>
      </c>
      <c r="G184" s="79" cm="1">
        <f t="array" ref="G184:X184">_xlfn._xlws.FILTER(Formulas!$C$2:$T$201, ISNUMBER(MATCH(Formulas!$B$2:$B$201, B184, 0)),0) * E184</f>
        <v>400.97538332752003</v>
      </c>
      <c r="H184" s="79">
        <v>1203.9260885943495</v>
      </c>
      <c r="I184" s="79">
        <v>171.98944122776422</v>
      </c>
      <c r="J184" s="79">
        <v>114.99294035577259</v>
      </c>
      <c r="K184" s="79">
        <v>0</v>
      </c>
      <c r="L184" s="79">
        <v>0</v>
      </c>
      <c r="M184" s="79">
        <v>114.99294035577259</v>
      </c>
      <c r="N184" s="79">
        <v>0</v>
      </c>
      <c r="O184" s="79">
        <v>859.94720613882112</v>
      </c>
      <c r="P184" s="79">
        <v>0</v>
      </c>
      <c r="Q184" s="79">
        <v>0</v>
      </c>
      <c r="R184" s="79">
        <v>0</v>
      </c>
      <c r="S184" s="79">
        <v>0</v>
      </c>
      <c r="T184" s="79">
        <v>0</v>
      </c>
      <c r="U184" s="79">
        <v>0</v>
      </c>
      <c r="V184" s="79">
        <v>0</v>
      </c>
      <c r="W184" s="79">
        <v>0</v>
      </c>
      <c r="X184" s="90">
        <v>0</v>
      </c>
    </row>
    <row r="185" spans="1:24" hidden="1" x14ac:dyDescent="0.25">
      <c r="A185" s="80" t="str">
        <v>PENDIENTE</v>
      </c>
      <c r="B185" s="80" t="str">
        <v>Catilluc</v>
      </c>
      <c r="C185" s="80" t="str">
        <v>Julio / Agosto / Septiembre</v>
      </c>
      <c r="D185" s="81">
        <v>46203</v>
      </c>
      <c r="E185" s="79">
        <v>2866.8240000000001</v>
      </c>
      <c r="F185" s="81">
        <v>46266</v>
      </c>
      <c r="G185" s="79" cm="1">
        <f t="array" ref="G185:X185">_xlfn._xlws.FILTER(Formulas!$C$2:$T$201, ISNUMBER(MATCH(Formulas!$B$2:$B$201, B185, 0)),0) * E185</f>
        <v>400.97538332752003</v>
      </c>
      <c r="H185" s="79">
        <v>1203.9260885943495</v>
      </c>
      <c r="I185" s="79">
        <v>171.98944122776422</v>
      </c>
      <c r="J185" s="79">
        <v>114.99294035577259</v>
      </c>
      <c r="K185" s="79">
        <v>0</v>
      </c>
      <c r="L185" s="79">
        <v>0</v>
      </c>
      <c r="M185" s="79">
        <v>114.99294035577259</v>
      </c>
      <c r="N185" s="79">
        <v>0</v>
      </c>
      <c r="O185" s="79">
        <v>859.94720613882112</v>
      </c>
      <c r="P185" s="79">
        <v>0</v>
      </c>
      <c r="Q185" s="79">
        <v>0</v>
      </c>
      <c r="R185" s="79">
        <v>0</v>
      </c>
      <c r="S185" s="79">
        <v>0</v>
      </c>
      <c r="T185" s="79">
        <v>0</v>
      </c>
      <c r="U185" s="79">
        <v>0</v>
      </c>
      <c r="V185" s="79">
        <v>0</v>
      </c>
      <c r="W185" s="79">
        <v>0</v>
      </c>
      <c r="X185" s="90">
        <v>0</v>
      </c>
    </row>
    <row r="186" spans="1:24" hidden="1" x14ac:dyDescent="0.25">
      <c r="A186" s="80" t="str">
        <v>PENDIENTE</v>
      </c>
      <c r="B186" s="80" t="str">
        <v>Catilluc</v>
      </c>
      <c r="C186" s="80" t="str">
        <v>O.C.</v>
      </c>
      <c r="D186" s="81">
        <v>46234</v>
      </c>
      <c r="E186" s="79">
        <v>1123.3440000000001</v>
      </c>
      <c r="F186" s="81">
        <v>46266</v>
      </c>
      <c r="G186" s="79" cm="1">
        <f t="array" ref="G186:X186">_xlfn._xlws.FILTER(Formulas!$C$2:$T$201, ISNUMBER(MATCH(Formulas!$B$2:$B$201, B186, 0)),0) * E186</f>
        <v>157.11926892221834</v>
      </c>
      <c r="H186" s="79">
        <v>471.7496253923963</v>
      </c>
      <c r="I186" s="79">
        <v>67.392803627485179</v>
      </c>
      <c r="J186" s="79">
        <v>45.059141960237184</v>
      </c>
      <c r="K186" s="79">
        <v>0</v>
      </c>
      <c r="L186" s="79">
        <v>0</v>
      </c>
      <c r="M186" s="79">
        <v>45.059141960237184</v>
      </c>
      <c r="N186" s="79">
        <v>0</v>
      </c>
      <c r="O186" s="79">
        <v>336.96401813742591</v>
      </c>
      <c r="P186" s="79">
        <v>0</v>
      </c>
      <c r="Q186" s="79">
        <v>0</v>
      </c>
      <c r="R186" s="79">
        <v>0</v>
      </c>
      <c r="S186" s="79">
        <v>0</v>
      </c>
      <c r="T186" s="79">
        <v>0</v>
      </c>
      <c r="U186" s="79">
        <v>0</v>
      </c>
      <c r="V186" s="79">
        <v>0</v>
      </c>
      <c r="W186" s="79">
        <v>0</v>
      </c>
      <c r="X186" s="90">
        <v>0</v>
      </c>
    </row>
    <row r="187" spans="1:24" hidden="1" x14ac:dyDescent="0.25">
      <c r="A187" s="80" t="str">
        <v>PENDIENTE</v>
      </c>
      <c r="B187" s="80" t="str">
        <v>Catilluc</v>
      </c>
      <c r="C187" s="80" t="str">
        <v>Octubre / Noviembre / Diciembre</v>
      </c>
      <c r="D187" s="81">
        <v>46302</v>
      </c>
      <c r="E187" s="79">
        <v>2866.8240000000001</v>
      </c>
      <c r="F187" s="80">
        <v>0</v>
      </c>
      <c r="G187" s="79" cm="1">
        <f t="array" ref="G187:X187">_xlfn._xlws.FILTER(Formulas!$C$2:$T$201, ISNUMBER(MATCH(Formulas!$B$2:$B$201, B187, 0)),0) * E187</f>
        <v>400.97538332752003</v>
      </c>
      <c r="H187" s="79">
        <v>1203.9260885943495</v>
      </c>
      <c r="I187" s="79">
        <v>171.98944122776422</v>
      </c>
      <c r="J187" s="79">
        <v>114.99294035577259</v>
      </c>
      <c r="K187" s="79">
        <v>0</v>
      </c>
      <c r="L187" s="79">
        <v>0</v>
      </c>
      <c r="M187" s="79">
        <v>114.99294035577259</v>
      </c>
      <c r="N187" s="79">
        <v>0</v>
      </c>
      <c r="O187" s="79">
        <v>859.94720613882112</v>
      </c>
      <c r="P187" s="79">
        <v>0</v>
      </c>
      <c r="Q187" s="79">
        <v>0</v>
      </c>
      <c r="R187" s="79">
        <v>0</v>
      </c>
      <c r="S187" s="79">
        <v>0</v>
      </c>
      <c r="T187" s="79">
        <v>0</v>
      </c>
      <c r="U187" s="79">
        <v>0</v>
      </c>
      <c r="V187" s="79">
        <v>0</v>
      </c>
      <c r="W187" s="79">
        <v>0</v>
      </c>
      <c r="X187" s="90">
        <v>0</v>
      </c>
    </row>
    <row r="188" spans="1:24" hidden="1" x14ac:dyDescent="0.25">
      <c r="A188" s="80" t="str">
        <v>PENDIENTE</v>
      </c>
      <c r="B188" s="80" t="str">
        <v>Chao</v>
      </c>
      <c r="C188" s="80" t="str">
        <v>Enero</v>
      </c>
      <c r="D188" s="81">
        <v>46022</v>
      </c>
      <c r="E188" s="79">
        <v>1405.68</v>
      </c>
      <c r="F188" s="81">
        <v>45997</v>
      </c>
      <c r="G188" s="79" cm="1">
        <f t="array" ref="G188:X188">_xlfn._xlws.FILTER(Formulas!$C$2:$T$201, ISNUMBER(MATCH(Formulas!$B$2:$B$201, B188, 0)),0) * E188</f>
        <v>301.94006400000001</v>
      </c>
      <c r="H188" s="79">
        <v>949.81797600000004</v>
      </c>
      <c r="I188" s="79">
        <v>42.029831999999999</v>
      </c>
      <c r="J188" s="79">
        <v>55.946064000000007</v>
      </c>
      <c r="K188" s="79">
        <v>0</v>
      </c>
      <c r="L188" s="79">
        <v>0</v>
      </c>
      <c r="M188" s="79">
        <v>55.946064000000007</v>
      </c>
      <c r="N188" s="79">
        <v>0</v>
      </c>
      <c r="O188" s="79">
        <v>0</v>
      </c>
      <c r="P188" s="79">
        <v>0</v>
      </c>
      <c r="Q188" s="79">
        <v>0</v>
      </c>
      <c r="R188" s="79">
        <v>0</v>
      </c>
      <c r="S188" s="79">
        <v>0</v>
      </c>
      <c r="T188" s="79">
        <v>0</v>
      </c>
      <c r="U188" s="79">
        <v>0</v>
      </c>
      <c r="V188" s="79">
        <v>0</v>
      </c>
      <c r="W188" s="79">
        <v>0</v>
      </c>
      <c r="X188" s="90">
        <v>0</v>
      </c>
    </row>
    <row r="189" spans="1:24" hidden="1" x14ac:dyDescent="0.25">
      <c r="A189" s="80" t="str">
        <v>PENDIENTE</v>
      </c>
      <c r="B189" s="80" t="str">
        <v>Chao</v>
      </c>
      <c r="C189" s="80" t="str">
        <v>Febrero</v>
      </c>
      <c r="D189" s="81">
        <v>46050</v>
      </c>
      <c r="E189" s="79">
        <v>1405.68</v>
      </c>
      <c r="F189" s="81">
        <v>46044</v>
      </c>
      <c r="G189" s="79" cm="1">
        <f t="array" ref="G189:X189">_xlfn._xlws.FILTER(Formulas!$C$2:$T$201, ISNUMBER(MATCH(Formulas!$B$2:$B$201, B189, 0)),0) * E189</f>
        <v>301.94006400000001</v>
      </c>
      <c r="H189" s="79">
        <v>949.81797600000004</v>
      </c>
      <c r="I189" s="79">
        <v>42.029831999999999</v>
      </c>
      <c r="J189" s="79">
        <v>55.946064000000007</v>
      </c>
      <c r="K189" s="79">
        <v>0</v>
      </c>
      <c r="L189" s="79">
        <v>0</v>
      </c>
      <c r="M189" s="79">
        <v>55.946064000000007</v>
      </c>
      <c r="N189" s="79">
        <v>0</v>
      </c>
      <c r="O189" s="79">
        <v>0</v>
      </c>
      <c r="P189" s="79">
        <v>0</v>
      </c>
      <c r="Q189" s="79">
        <v>0</v>
      </c>
      <c r="R189" s="79">
        <v>0</v>
      </c>
      <c r="S189" s="79">
        <v>0</v>
      </c>
      <c r="T189" s="79">
        <v>0</v>
      </c>
      <c r="U189" s="79">
        <v>0</v>
      </c>
      <c r="V189" s="79">
        <v>0</v>
      </c>
      <c r="W189" s="79">
        <v>0</v>
      </c>
      <c r="X189" s="90">
        <v>0</v>
      </c>
    </row>
    <row r="190" spans="1:24" hidden="1" x14ac:dyDescent="0.25">
      <c r="A190" s="80" t="str">
        <v>PENDIENTE</v>
      </c>
      <c r="B190" s="80" t="str">
        <v>Chao</v>
      </c>
      <c r="C190" s="80" t="str">
        <v>Marzo</v>
      </c>
      <c r="D190" s="81">
        <v>46078</v>
      </c>
      <c r="E190" s="79">
        <v>1405.68</v>
      </c>
      <c r="F190" s="81">
        <v>46073</v>
      </c>
      <c r="G190" s="79" cm="1">
        <f t="array" ref="G190:X190">_xlfn._xlws.FILTER(Formulas!$C$2:$T$201, ISNUMBER(MATCH(Formulas!$B$2:$B$201, B190, 0)),0) * E190</f>
        <v>301.94006400000001</v>
      </c>
      <c r="H190" s="79">
        <v>949.81797600000004</v>
      </c>
      <c r="I190" s="79">
        <v>42.029831999999999</v>
      </c>
      <c r="J190" s="79">
        <v>55.946064000000007</v>
      </c>
      <c r="K190" s="79">
        <v>0</v>
      </c>
      <c r="L190" s="79">
        <v>0</v>
      </c>
      <c r="M190" s="79">
        <v>55.946064000000007</v>
      </c>
      <c r="N190" s="79">
        <v>0</v>
      </c>
      <c r="O190" s="79">
        <v>0</v>
      </c>
      <c r="P190" s="79">
        <v>0</v>
      </c>
      <c r="Q190" s="79">
        <v>0</v>
      </c>
      <c r="R190" s="79">
        <v>0</v>
      </c>
      <c r="S190" s="79">
        <v>0</v>
      </c>
      <c r="T190" s="79">
        <v>0</v>
      </c>
      <c r="U190" s="79">
        <v>0</v>
      </c>
      <c r="V190" s="79">
        <v>0</v>
      </c>
      <c r="W190" s="79">
        <v>0</v>
      </c>
      <c r="X190" s="90">
        <v>0</v>
      </c>
    </row>
    <row r="191" spans="1:24" hidden="1" x14ac:dyDescent="0.25">
      <c r="A191" s="80" t="str">
        <v>PENDIENTE</v>
      </c>
      <c r="B191" s="80" t="str">
        <v>Chao</v>
      </c>
      <c r="C191" s="80" t="str">
        <v>Abril</v>
      </c>
      <c r="D191" s="81">
        <v>46106</v>
      </c>
      <c r="E191" s="79">
        <v>1405.68</v>
      </c>
      <c r="F191" s="81">
        <v>46104</v>
      </c>
      <c r="G191" s="79" cm="1">
        <f t="array" ref="G191:X191">_xlfn._xlws.FILTER(Formulas!$C$2:$T$201, ISNUMBER(MATCH(Formulas!$B$2:$B$201, B191, 0)),0) * E191</f>
        <v>301.94006400000001</v>
      </c>
      <c r="H191" s="79">
        <v>949.81797600000004</v>
      </c>
      <c r="I191" s="79">
        <v>42.029831999999999</v>
      </c>
      <c r="J191" s="79">
        <v>55.946064000000007</v>
      </c>
      <c r="K191" s="79">
        <v>0</v>
      </c>
      <c r="L191" s="79">
        <v>0</v>
      </c>
      <c r="M191" s="79">
        <v>55.946064000000007</v>
      </c>
      <c r="N191" s="79">
        <v>0</v>
      </c>
      <c r="O191" s="79">
        <v>0</v>
      </c>
      <c r="P191" s="79">
        <v>0</v>
      </c>
      <c r="Q191" s="79">
        <v>0</v>
      </c>
      <c r="R191" s="79">
        <v>0</v>
      </c>
      <c r="S191" s="79">
        <v>0</v>
      </c>
      <c r="T191" s="79">
        <v>0</v>
      </c>
      <c r="U191" s="79">
        <v>0</v>
      </c>
      <c r="V191" s="79">
        <v>0</v>
      </c>
      <c r="W191" s="79">
        <v>0</v>
      </c>
      <c r="X191" s="90">
        <v>0</v>
      </c>
    </row>
    <row r="192" spans="1:24" hidden="1" x14ac:dyDescent="0.25">
      <c r="A192" s="80" t="str">
        <v>PENDIENTE</v>
      </c>
      <c r="B192" s="80" t="str">
        <v>Chao</v>
      </c>
      <c r="C192" s="80" t="str">
        <v>Mayo</v>
      </c>
      <c r="D192" s="81">
        <v>46134</v>
      </c>
      <c r="E192" s="79">
        <v>1405.68</v>
      </c>
      <c r="F192" s="81">
        <v>46133</v>
      </c>
      <c r="G192" s="79" cm="1">
        <f t="array" ref="G192:X192">_xlfn._xlws.FILTER(Formulas!$C$2:$T$201, ISNUMBER(MATCH(Formulas!$B$2:$B$201, B192, 0)),0) * E192</f>
        <v>301.94006400000001</v>
      </c>
      <c r="H192" s="79">
        <v>949.81797600000004</v>
      </c>
      <c r="I192" s="79">
        <v>42.029831999999999</v>
      </c>
      <c r="J192" s="79">
        <v>55.946064000000007</v>
      </c>
      <c r="K192" s="79">
        <v>0</v>
      </c>
      <c r="L192" s="79">
        <v>0</v>
      </c>
      <c r="M192" s="79">
        <v>55.946064000000007</v>
      </c>
      <c r="N192" s="79">
        <v>0</v>
      </c>
      <c r="O192" s="79">
        <v>0</v>
      </c>
      <c r="P192" s="79">
        <v>0</v>
      </c>
      <c r="Q192" s="79">
        <v>0</v>
      </c>
      <c r="R192" s="79">
        <v>0</v>
      </c>
      <c r="S192" s="79">
        <v>0</v>
      </c>
      <c r="T192" s="79">
        <v>0</v>
      </c>
      <c r="U192" s="79">
        <v>0</v>
      </c>
      <c r="V192" s="79">
        <v>0</v>
      </c>
      <c r="W192" s="79">
        <v>0</v>
      </c>
      <c r="X192" s="90">
        <v>0</v>
      </c>
    </row>
    <row r="193" spans="1:24" hidden="1" x14ac:dyDescent="0.25">
      <c r="A193" s="80" t="str">
        <v>PENDIENTE</v>
      </c>
      <c r="B193" s="80" t="str">
        <v>Chao</v>
      </c>
      <c r="C193" s="80" t="str">
        <v>Junio</v>
      </c>
      <c r="D193" s="81">
        <v>46169</v>
      </c>
      <c r="E193" s="79">
        <v>1405.68</v>
      </c>
      <c r="F193" s="81">
        <v>46153</v>
      </c>
      <c r="G193" s="79" cm="1">
        <f t="array" ref="G193:X193">_xlfn._xlws.FILTER(Formulas!$C$2:$T$201, ISNUMBER(MATCH(Formulas!$B$2:$B$201, B193, 0)),0) * E193</f>
        <v>301.94006400000001</v>
      </c>
      <c r="H193" s="79">
        <v>949.81797600000004</v>
      </c>
      <c r="I193" s="79">
        <v>42.029831999999999</v>
      </c>
      <c r="J193" s="79">
        <v>55.946064000000007</v>
      </c>
      <c r="K193" s="79">
        <v>0</v>
      </c>
      <c r="L193" s="79">
        <v>0</v>
      </c>
      <c r="M193" s="79">
        <v>55.946064000000007</v>
      </c>
      <c r="N193" s="79">
        <v>0</v>
      </c>
      <c r="O193" s="79">
        <v>0</v>
      </c>
      <c r="P193" s="79">
        <v>0</v>
      </c>
      <c r="Q193" s="79">
        <v>0</v>
      </c>
      <c r="R193" s="79">
        <v>0</v>
      </c>
      <c r="S193" s="79">
        <v>0</v>
      </c>
      <c r="T193" s="79">
        <v>0</v>
      </c>
      <c r="U193" s="79">
        <v>0</v>
      </c>
      <c r="V193" s="79">
        <v>0</v>
      </c>
      <c r="W193" s="79">
        <v>0</v>
      </c>
      <c r="X193" s="90">
        <v>0</v>
      </c>
    </row>
    <row r="194" spans="1:24" hidden="1" x14ac:dyDescent="0.25">
      <c r="A194" s="80" t="str">
        <v>PENDIENTE</v>
      </c>
      <c r="B194" s="80" t="str">
        <v>Chao</v>
      </c>
      <c r="C194" s="80" t="str">
        <v>Julio</v>
      </c>
      <c r="D194" s="81">
        <v>46197</v>
      </c>
      <c r="E194" s="79">
        <v>1405.68</v>
      </c>
      <c r="F194" s="81">
        <v>46195</v>
      </c>
      <c r="G194" s="79" cm="1">
        <f t="array" ref="G194:X194">_xlfn._xlws.FILTER(Formulas!$C$2:$T$201, ISNUMBER(MATCH(Formulas!$B$2:$B$201, B194, 0)),0) * E194</f>
        <v>301.94006400000001</v>
      </c>
      <c r="H194" s="79">
        <v>949.81797600000004</v>
      </c>
      <c r="I194" s="79">
        <v>42.029831999999999</v>
      </c>
      <c r="J194" s="79">
        <v>55.946064000000007</v>
      </c>
      <c r="K194" s="79">
        <v>0</v>
      </c>
      <c r="L194" s="79">
        <v>0</v>
      </c>
      <c r="M194" s="79">
        <v>55.946064000000007</v>
      </c>
      <c r="N194" s="79">
        <v>0</v>
      </c>
      <c r="O194" s="79">
        <v>0</v>
      </c>
      <c r="P194" s="79">
        <v>0</v>
      </c>
      <c r="Q194" s="79">
        <v>0</v>
      </c>
      <c r="R194" s="79">
        <v>0</v>
      </c>
      <c r="S194" s="79">
        <v>0</v>
      </c>
      <c r="T194" s="79">
        <v>0</v>
      </c>
      <c r="U194" s="79">
        <v>0</v>
      </c>
      <c r="V194" s="79">
        <v>0</v>
      </c>
      <c r="W194" s="79">
        <v>0</v>
      </c>
      <c r="X194" s="90">
        <v>0</v>
      </c>
    </row>
    <row r="195" spans="1:24" hidden="1" x14ac:dyDescent="0.25">
      <c r="A195" s="80" t="str">
        <v>PENDIENTE</v>
      </c>
      <c r="B195" s="80" t="str">
        <v>Chao</v>
      </c>
      <c r="C195" s="80" t="str">
        <v>Agosto</v>
      </c>
      <c r="D195" s="81">
        <v>46225</v>
      </c>
      <c r="E195" s="79">
        <v>1405.68</v>
      </c>
      <c r="F195" s="81">
        <v>46224</v>
      </c>
      <c r="G195" s="79" cm="1">
        <f t="array" ref="G195:X195">_xlfn._xlws.FILTER(Formulas!$C$2:$T$201, ISNUMBER(MATCH(Formulas!$B$2:$B$201, B195, 0)),0) * E195</f>
        <v>301.94006400000001</v>
      </c>
      <c r="H195" s="79">
        <v>949.81797600000004</v>
      </c>
      <c r="I195" s="79">
        <v>42.029831999999999</v>
      </c>
      <c r="J195" s="79">
        <v>55.946064000000007</v>
      </c>
      <c r="K195" s="79">
        <v>0</v>
      </c>
      <c r="L195" s="79">
        <v>0</v>
      </c>
      <c r="M195" s="79">
        <v>55.946064000000007</v>
      </c>
      <c r="N195" s="79">
        <v>0</v>
      </c>
      <c r="O195" s="79">
        <v>0</v>
      </c>
      <c r="P195" s="79">
        <v>0</v>
      </c>
      <c r="Q195" s="79">
        <v>0</v>
      </c>
      <c r="R195" s="79">
        <v>0</v>
      </c>
      <c r="S195" s="79">
        <v>0</v>
      </c>
      <c r="T195" s="79">
        <v>0</v>
      </c>
      <c r="U195" s="79">
        <v>0</v>
      </c>
      <c r="V195" s="79">
        <v>0</v>
      </c>
      <c r="W195" s="79">
        <v>0</v>
      </c>
      <c r="X195" s="90">
        <v>0</v>
      </c>
    </row>
    <row r="196" spans="1:24" hidden="1" x14ac:dyDescent="0.25">
      <c r="A196" s="80" t="str">
        <v>PENDIENTE</v>
      </c>
      <c r="B196" s="80" t="str">
        <v>Chao</v>
      </c>
      <c r="C196" s="80" t="str">
        <v>Setiembre</v>
      </c>
      <c r="D196" s="81">
        <v>46260</v>
      </c>
      <c r="E196" s="79">
        <v>1405.68</v>
      </c>
      <c r="F196" s="81">
        <v>46251</v>
      </c>
      <c r="G196" s="79" cm="1">
        <f t="array" ref="G196:X196">_xlfn._xlws.FILTER(Formulas!$C$2:$T$201, ISNUMBER(MATCH(Formulas!$B$2:$B$201, B196, 0)),0) * E196</f>
        <v>301.94006400000001</v>
      </c>
      <c r="H196" s="79">
        <v>949.81797600000004</v>
      </c>
      <c r="I196" s="79">
        <v>42.029831999999999</v>
      </c>
      <c r="J196" s="79">
        <v>55.946064000000007</v>
      </c>
      <c r="K196" s="79">
        <v>0</v>
      </c>
      <c r="L196" s="79">
        <v>0</v>
      </c>
      <c r="M196" s="79">
        <v>55.946064000000007</v>
      </c>
      <c r="N196" s="79">
        <v>0</v>
      </c>
      <c r="O196" s="79">
        <v>0</v>
      </c>
      <c r="P196" s="79">
        <v>0</v>
      </c>
      <c r="Q196" s="79">
        <v>0</v>
      </c>
      <c r="R196" s="79">
        <v>0</v>
      </c>
      <c r="S196" s="79">
        <v>0</v>
      </c>
      <c r="T196" s="79">
        <v>0</v>
      </c>
      <c r="U196" s="79">
        <v>0</v>
      </c>
      <c r="V196" s="79">
        <v>0</v>
      </c>
      <c r="W196" s="79">
        <v>0</v>
      </c>
      <c r="X196" s="90">
        <v>0</v>
      </c>
    </row>
    <row r="197" spans="1:24" hidden="1" x14ac:dyDescent="0.25">
      <c r="A197" s="80" t="str">
        <v>PENDIENTE</v>
      </c>
      <c r="B197" s="80" t="str">
        <v>Chao</v>
      </c>
      <c r="C197" s="80" t="str">
        <v>Octubre</v>
      </c>
      <c r="D197" s="81">
        <v>46288</v>
      </c>
      <c r="E197" s="79">
        <v>1405.68</v>
      </c>
      <c r="F197" s="80">
        <v>46288</v>
      </c>
      <c r="G197" s="79" cm="1">
        <f t="array" ref="G197:X197">_xlfn._xlws.FILTER(Formulas!$C$2:$T$201, ISNUMBER(MATCH(Formulas!$B$2:$B$201, B197, 0)),0) * E197</f>
        <v>301.94006400000001</v>
      </c>
      <c r="H197" s="79">
        <v>949.81797600000004</v>
      </c>
      <c r="I197" s="79">
        <v>42.029831999999999</v>
      </c>
      <c r="J197" s="79">
        <v>55.946064000000007</v>
      </c>
      <c r="K197" s="79">
        <v>0</v>
      </c>
      <c r="L197" s="79">
        <v>0</v>
      </c>
      <c r="M197" s="79">
        <v>55.946064000000007</v>
      </c>
      <c r="N197" s="79">
        <v>0</v>
      </c>
      <c r="O197" s="79">
        <v>0</v>
      </c>
      <c r="P197" s="79">
        <v>0</v>
      </c>
      <c r="Q197" s="79">
        <v>0</v>
      </c>
      <c r="R197" s="79">
        <v>0</v>
      </c>
      <c r="S197" s="79">
        <v>0</v>
      </c>
      <c r="T197" s="79">
        <v>0</v>
      </c>
      <c r="U197" s="79">
        <v>0</v>
      </c>
      <c r="V197" s="79">
        <v>0</v>
      </c>
      <c r="W197" s="79">
        <v>0</v>
      </c>
      <c r="X197" s="90">
        <v>0</v>
      </c>
    </row>
    <row r="198" spans="1:24" hidden="1" x14ac:dyDescent="0.25">
      <c r="A198" s="80" t="str">
        <v>PENDIENTE</v>
      </c>
      <c r="B198" s="80" t="str">
        <v>Chao</v>
      </c>
      <c r="C198" s="80" t="str">
        <v>Noviembre</v>
      </c>
      <c r="D198" s="81">
        <v>46323</v>
      </c>
      <c r="E198" s="79">
        <v>1405.68</v>
      </c>
      <c r="F198" s="80">
        <v>0</v>
      </c>
      <c r="G198" s="79" cm="1">
        <f t="array" ref="G198:X198">_xlfn._xlws.FILTER(Formulas!$C$2:$T$201, ISNUMBER(MATCH(Formulas!$B$2:$B$201, B198, 0)),0) * E198</f>
        <v>301.94006400000001</v>
      </c>
      <c r="H198" s="79">
        <v>949.81797600000004</v>
      </c>
      <c r="I198" s="79">
        <v>42.029831999999999</v>
      </c>
      <c r="J198" s="79">
        <v>55.946064000000007</v>
      </c>
      <c r="K198" s="79">
        <v>0</v>
      </c>
      <c r="L198" s="79">
        <v>0</v>
      </c>
      <c r="M198" s="79">
        <v>55.946064000000007</v>
      </c>
      <c r="N198" s="79">
        <v>0</v>
      </c>
      <c r="O198" s="79">
        <v>0</v>
      </c>
      <c r="P198" s="79">
        <v>0</v>
      </c>
      <c r="Q198" s="79">
        <v>0</v>
      </c>
      <c r="R198" s="79">
        <v>0</v>
      </c>
      <c r="S198" s="79">
        <v>0</v>
      </c>
      <c r="T198" s="79">
        <v>0</v>
      </c>
      <c r="U198" s="79">
        <v>0</v>
      </c>
      <c r="V198" s="79">
        <v>0</v>
      </c>
      <c r="W198" s="79">
        <v>0</v>
      </c>
      <c r="X198" s="90">
        <v>0</v>
      </c>
    </row>
    <row r="199" spans="1:24" hidden="1" x14ac:dyDescent="0.25">
      <c r="A199" s="80" t="str">
        <v>PENDIENTE</v>
      </c>
      <c r="B199" s="80" t="str">
        <v>Chao</v>
      </c>
      <c r="C199" s="80" t="str">
        <v>Diciembre</v>
      </c>
      <c r="D199" s="81">
        <v>46351</v>
      </c>
      <c r="E199" s="79">
        <v>1405.68</v>
      </c>
      <c r="F199" s="80">
        <v>0</v>
      </c>
      <c r="G199" s="79" cm="1">
        <f t="array" ref="G199:X199">_xlfn._xlws.FILTER(Formulas!$C$2:$T$201, ISNUMBER(MATCH(Formulas!$B$2:$B$201, B199, 0)),0) * E199</f>
        <v>301.94006400000001</v>
      </c>
      <c r="H199" s="79">
        <v>949.81797600000004</v>
      </c>
      <c r="I199" s="79">
        <v>42.029831999999999</v>
      </c>
      <c r="J199" s="79">
        <v>55.946064000000007</v>
      </c>
      <c r="K199" s="79">
        <v>0</v>
      </c>
      <c r="L199" s="79">
        <v>0</v>
      </c>
      <c r="M199" s="79">
        <v>55.946064000000007</v>
      </c>
      <c r="N199" s="79">
        <v>0</v>
      </c>
      <c r="O199" s="79">
        <v>0</v>
      </c>
      <c r="P199" s="79">
        <v>0</v>
      </c>
      <c r="Q199" s="79">
        <v>0</v>
      </c>
      <c r="R199" s="79">
        <v>0</v>
      </c>
      <c r="S199" s="79">
        <v>0</v>
      </c>
      <c r="T199" s="79">
        <v>0</v>
      </c>
      <c r="U199" s="79">
        <v>0</v>
      </c>
      <c r="V199" s="79">
        <v>0</v>
      </c>
      <c r="W199" s="79">
        <v>0</v>
      </c>
      <c r="X199" s="90">
        <v>0</v>
      </c>
    </row>
    <row r="200" spans="1:24" hidden="1" x14ac:dyDescent="0.25">
      <c r="A200" s="80" t="str">
        <v>PENDIENTE</v>
      </c>
      <c r="B200" s="80" t="str">
        <v>Chetilla</v>
      </c>
      <c r="C200" s="80" t="str">
        <v>Enero / Febrero / Marzo</v>
      </c>
      <c r="D200" s="81">
        <v>46039</v>
      </c>
      <c r="E200" s="79">
        <v>4386</v>
      </c>
      <c r="F200" s="81">
        <v>46049</v>
      </c>
      <c r="G200" s="79" cm="1">
        <f t="array" ref="G200:X200">_xlfn._xlws.FILTER(Formulas!$C$2:$T$201, ISNUMBER(MATCH(Formulas!$B$2:$B$201, B200, 0)),0) * E200</f>
        <v>460.1049030786773</v>
      </c>
      <c r="H200" s="79">
        <v>1821.4152793614596</v>
      </c>
      <c r="I200" s="79">
        <v>263.05997719498288</v>
      </c>
      <c r="J200" s="79">
        <v>175.03990877993158</v>
      </c>
      <c r="K200" s="79">
        <v>0</v>
      </c>
      <c r="L200" s="79">
        <v>0</v>
      </c>
      <c r="M200" s="79">
        <v>0</v>
      </c>
      <c r="N200" s="79">
        <v>0</v>
      </c>
      <c r="O200" s="79">
        <v>1666.3799315849487</v>
      </c>
      <c r="P200" s="79">
        <v>0</v>
      </c>
      <c r="Q200" s="79">
        <v>0</v>
      </c>
      <c r="R200" s="79">
        <v>0</v>
      </c>
      <c r="S200" s="79">
        <v>0</v>
      </c>
      <c r="T200" s="79">
        <v>0</v>
      </c>
      <c r="U200" s="79">
        <v>0</v>
      </c>
      <c r="V200" s="79">
        <v>0</v>
      </c>
      <c r="W200" s="79">
        <v>0</v>
      </c>
      <c r="X200" s="90">
        <v>0</v>
      </c>
    </row>
    <row r="201" spans="1:24" hidden="1" x14ac:dyDescent="0.25">
      <c r="A201" s="80" t="str">
        <v>PENDIENTE</v>
      </c>
      <c r="B201" s="80" t="str">
        <v>Chetilla</v>
      </c>
      <c r="C201" s="80" t="str">
        <v>Abril / Mayo / Junio</v>
      </c>
      <c r="D201" s="81">
        <v>46112</v>
      </c>
      <c r="E201" s="79">
        <v>4386</v>
      </c>
      <c r="F201" s="81">
        <v>46103</v>
      </c>
      <c r="G201" s="79" cm="1">
        <f t="array" ref="G201:X201">_xlfn._xlws.FILTER(Formulas!$C$2:$T$201, ISNUMBER(MATCH(Formulas!$B$2:$B$201, B201, 0)),0) * E201</f>
        <v>460.1049030786773</v>
      </c>
      <c r="H201" s="79">
        <v>1821.4152793614596</v>
      </c>
      <c r="I201" s="79">
        <v>263.05997719498288</v>
      </c>
      <c r="J201" s="79">
        <v>175.03990877993158</v>
      </c>
      <c r="K201" s="79">
        <v>0</v>
      </c>
      <c r="L201" s="79">
        <v>0</v>
      </c>
      <c r="M201" s="79">
        <v>0</v>
      </c>
      <c r="N201" s="79">
        <v>0</v>
      </c>
      <c r="O201" s="79">
        <v>1666.3799315849487</v>
      </c>
      <c r="P201" s="79">
        <v>0</v>
      </c>
      <c r="Q201" s="79">
        <v>0</v>
      </c>
      <c r="R201" s="79">
        <v>0</v>
      </c>
      <c r="S201" s="79">
        <v>0</v>
      </c>
      <c r="T201" s="79">
        <v>0</v>
      </c>
      <c r="U201" s="79">
        <v>0</v>
      </c>
      <c r="V201" s="79">
        <v>0</v>
      </c>
      <c r="W201" s="79">
        <v>0</v>
      </c>
      <c r="X201" s="90">
        <v>0</v>
      </c>
    </row>
    <row r="202" spans="1:24" hidden="1" x14ac:dyDescent="0.25">
      <c r="A202" s="80" t="str">
        <v>PENDIENTE</v>
      </c>
      <c r="B202" s="80" t="str">
        <v>Chetilla</v>
      </c>
      <c r="C202" s="80" t="str">
        <v>Julio / Agosto / Septiembre</v>
      </c>
      <c r="D202" s="81">
        <v>46203</v>
      </c>
      <c r="E202" s="79">
        <v>4386</v>
      </c>
      <c r="F202" s="81">
        <v>46202</v>
      </c>
      <c r="G202" s="79" cm="1">
        <f t="array" ref="G202:X202">_xlfn._xlws.FILTER(Formulas!$C$2:$T$201, ISNUMBER(MATCH(Formulas!$B$2:$B$201, B202, 0)),0) * E202</f>
        <v>460.1049030786773</v>
      </c>
      <c r="H202" s="79">
        <v>1821.4152793614596</v>
      </c>
      <c r="I202" s="79">
        <v>263.05997719498288</v>
      </c>
      <c r="J202" s="79">
        <v>175.03990877993158</v>
      </c>
      <c r="K202" s="79">
        <v>0</v>
      </c>
      <c r="L202" s="79">
        <v>0</v>
      </c>
      <c r="M202" s="79">
        <v>0</v>
      </c>
      <c r="N202" s="79">
        <v>0</v>
      </c>
      <c r="O202" s="79">
        <v>1666.3799315849487</v>
      </c>
      <c r="P202" s="79">
        <v>0</v>
      </c>
      <c r="Q202" s="79">
        <v>0</v>
      </c>
      <c r="R202" s="79">
        <v>0</v>
      </c>
      <c r="S202" s="79">
        <v>0</v>
      </c>
      <c r="T202" s="79">
        <v>0</v>
      </c>
      <c r="U202" s="79">
        <v>0</v>
      </c>
      <c r="V202" s="79">
        <v>0</v>
      </c>
      <c r="W202" s="79">
        <v>0</v>
      </c>
      <c r="X202" s="90">
        <v>0</v>
      </c>
    </row>
    <row r="203" spans="1:24" hidden="1" x14ac:dyDescent="0.25">
      <c r="A203" s="80" t="str">
        <v>PENDIENTE</v>
      </c>
      <c r="B203" s="80" t="str">
        <v>Chetilla</v>
      </c>
      <c r="C203" s="80" t="str">
        <v>O.C.</v>
      </c>
      <c r="D203" s="81">
        <v>46245</v>
      </c>
      <c r="E203" s="79">
        <v>1462.5</v>
      </c>
      <c r="F203" s="81">
        <v>46253</v>
      </c>
      <c r="G203" s="79" cm="1">
        <f t="array" ref="G203:X203">_xlfn._xlws.FILTER(Formulas!$C$2:$T$201, ISNUMBER(MATCH(Formulas!$B$2:$B$201, B203, 0)),0) * E203</f>
        <v>153.42075256556444</v>
      </c>
      <c r="H203" s="79">
        <v>607.34606613454957</v>
      </c>
      <c r="I203" s="79">
        <v>87.716647662485741</v>
      </c>
      <c r="J203" s="79">
        <v>58.366590649942985</v>
      </c>
      <c r="K203" s="79">
        <v>0</v>
      </c>
      <c r="L203" s="79">
        <v>0</v>
      </c>
      <c r="M203" s="79">
        <v>0</v>
      </c>
      <c r="N203" s="79">
        <v>0</v>
      </c>
      <c r="O203" s="79">
        <v>555.64994298745728</v>
      </c>
      <c r="P203" s="79">
        <v>0</v>
      </c>
      <c r="Q203" s="79">
        <v>0</v>
      </c>
      <c r="R203" s="79">
        <v>0</v>
      </c>
      <c r="S203" s="79">
        <v>0</v>
      </c>
      <c r="T203" s="79">
        <v>0</v>
      </c>
      <c r="U203" s="79">
        <v>0</v>
      </c>
      <c r="V203" s="79">
        <v>0</v>
      </c>
      <c r="W203" s="79">
        <v>0</v>
      </c>
      <c r="X203" s="90">
        <v>0</v>
      </c>
    </row>
    <row r="204" spans="1:24" hidden="1" x14ac:dyDescent="0.25">
      <c r="A204" s="80" t="str">
        <v>PENDIENTE</v>
      </c>
      <c r="B204" s="80" t="str">
        <v>Chetilla</v>
      </c>
      <c r="C204" s="80" t="str">
        <v>Octubre / Noviembre / Diciembre</v>
      </c>
      <c r="D204" s="81">
        <v>46295</v>
      </c>
      <c r="E204" s="79">
        <v>4386</v>
      </c>
      <c r="F204" s="80">
        <v>0</v>
      </c>
      <c r="G204" s="79" cm="1">
        <f t="array" ref="G204:X204">_xlfn._xlws.FILTER(Formulas!$C$2:$T$201, ISNUMBER(MATCH(Formulas!$B$2:$B$201, B204, 0)),0) * E204</f>
        <v>460.1049030786773</v>
      </c>
      <c r="H204" s="79">
        <v>1821.4152793614596</v>
      </c>
      <c r="I204" s="79">
        <v>263.05997719498288</v>
      </c>
      <c r="J204" s="79">
        <v>175.03990877993158</v>
      </c>
      <c r="K204" s="79">
        <v>0</v>
      </c>
      <c r="L204" s="79">
        <v>0</v>
      </c>
      <c r="M204" s="79">
        <v>0</v>
      </c>
      <c r="N204" s="79">
        <v>0</v>
      </c>
      <c r="O204" s="79">
        <v>1666.3799315849487</v>
      </c>
      <c r="P204" s="79">
        <v>0</v>
      </c>
      <c r="Q204" s="79">
        <v>0</v>
      </c>
      <c r="R204" s="79">
        <v>0</v>
      </c>
      <c r="S204" s="79">
        <v>0</v>
      </c>
      <c r="T204" s="79">
        <v>0</v>
      </c>
      <c r="U204" s="79">
        <v>0</v>
      </c>
      <c r="V204" s="79">
        <v>0</v>
      </c>
      <c r="W204" s="79">
        <v>0</v>
      </c>
      <c r="X204" s="90">
        <v>0</v>
      </c>
    </row>
    <row r="205" spans="1:24" hidden="1" x14ac:dyDescent="0.25">
      <c r="A205" s="80" t="str">
        <v>ESPERANZA</v>
      </c>
      <c r="B205" s="80" t="str">
        <v>Chiclayo</v>
      </c>
      <c r="C205" s="80" t="str">
        <v>Enero</v>
      </c>
      <c r="D205" s="81">
        <v>46017</v>
      </c>
      <c r="E205" s="79">
        <v>12145.8</v>
      </c>
      <c r="F205" s="81">
        <v>46004</v>
      </c>
      <c r="G205" s="79" cm="1">
        <f t="array" ref="G205:X205">_xlfn._xlws.FILTER(Formulas!$C$2:$T$201, ISNUMBER(MATCH(Formulas!$B$2:$B$201, B205, 0)),0) * E205</f>
        <v>3400.9031644125794</v>
      </c>
      <c r="H205" s="79">
        <v>7287.48</v>
      </c>
      <c r="I205" s="79">
        <v>728.70841779371017</v>
      </c>
      <c r="J205" s="79">
        <v>0</v>
      </c>
      <c r="K205" s="79">
        <v>0</v>
      </c>
      <c r="L205" s="79">
        <v>0</v>
      </c>
      <c r="M205" s="79">
        <v>728.70841779371017</v>
      </c>
      <c r="N205" s="79">
        <v>0</v>
      </c>
      <c r="O205" s="79">
        <v>0</v>
      </c>
      <c r="P205" s="79">
        <v>0</v>
      </c>
      <c r="Q205" s="79">
        <v>0</v>
      </c>
      <c r="R205" s="79">
        <v>0</v>
      </c>
      <c r="S205" s="79">
        <v>0</v>
      </c>
      <c r="T205" s="79">
        <v>0</v>
      </c>
      <c r="U205" s="79">
        <v>0</v>
      </c>
      <c r="V205" s="79">
        <v>0</v>
      </c>
      <c r="W205" s="79">
        <v>0</v>
      </c>
      <c r="X205" s="90">
        <v>0</v>
      </c>
    </row>
    <row r="206" spans="1:24" hidden="1" x14ac:dyDescent="0.25">
      <c r="A206" s="80" t="str">
        <v>ESPERANZA</v>
      </c>
      <c r="B206" s="80" t="str">
        <v>Chiclayo</v>
      </c>
      <c r="C206" s="80" t="str">
        <v>Febrero</v>
      </c>
      <c r="D206" s="81">
        <v>46053</v>
      </c>
      <c r="E206" s="79">
        <v>7836</v>
      </c>
      <c r="F206" s="81">
        <v>46021</v>
      </c>
      <c r="G206" s="79" cm="1">
        <f t="array" ref="G206:X206">_xlfn._xlws.FILTER(Formulas!$C$2:$T$201, ISNUMBER(MATCH(Formulas!$B$2:$B$201, B206, 0)),0) * E206</f>
        <v>2194.1310738145676</v>
      </c>
      <c r="H206" s="79">
        <v>4701.5999999999995</v>
      </c>
      <c r="I206" s="79">
        <v>470.13446309271626</v>
      </c>
      <c r="J206" s="79">
        <v>0</v>
      </c>
      <c r="K206" s="79">
        <v>0</v>
      </c>
      <c r="L206" s="79">
        <v>0</v>
      </c>
      <c r="M206" s="79">
        <v>470.13446309271626</v>
      </c>
      <c r="N206" s="79">
        <v>0</v>
      </c>
      <c r="O206" s="79">
        <v>0</v>
      </c>
      <c r="P206" s="79">
        <v>0</v>
      </c>
      <c r="Q206" s="79">
        <v>0</v>
      </c>
      <c r="R206" s="79">
        <v>0</v>
      </c>
      <c r="S206" s="79">
        <v>0</v>
      </c>
      <c r="T206" s="79">
        <v>0</v>
      </c>
      <c r="U206" s="79">
        <v>0</v>
      </c>
      <c r="V206" s="79">
        <v>0</v>
      </c>
      <c r="W206" s="79">
        <v>0</v>
      </c>
      <c r="X206" s="90">
        <v>0</v>
      </c>
    </row>
    <row r="207" spans="1:24" hidden="1" x14ac:dyDescent="0.25">
      <c r="A207" s="80" t="str">
        <v>ESPERANZA</v>
      </c>
      <c r="B207" s="80" t="str">
        <v>Chiclayo</v>
      </c>
      <c r="C207" s="80" t="str">
        <v>Complementaria 1</v>
      </c>
      <c r="D207" s="81">
        <v>46080</v>
      </c>
      <c r="E207" s="79">
        <v>3134.4</v>
      </c>
      <c r="F207" s="81">
        <v>46078</v>
      </c>
      <c r="G207" s="79" cm="1">
        <f t="array" ref="G207:X207">_xlfn._xlws.FILTER(Formulas!$C$2:$T$201, ISNUMBER(MATCH(Formulas!$B$2:$B$201, B207, 0)),0) * E207</f>
        <v>877.65242952582707</v>
      </c>
      <c r="H207" s="79">
        <v>1880.6399999999999</v>
      </c>
      <c r="I207" s="79">
        <v>188.05378523708652</v>
      </c>
      <c r="J207" s="79">
        <v>0</v>
      </c>
      <c r="K207" s="79">
        <v>0</v>
      </c>
      <c r="L207" s="79">
        <v>0</v>
      </c>
      <c r="M207" s="79">
        <v>188.05378523708652</v>
      </c>
      <c r="N207" s="79">
        <v>0</v>
      </c>
      <c r="O207" s="79">
        <v>0</v>
      </c>
      <c r="P207" s="79">
        <v>0</v>
      </c>
      <c r="Q207" s="79">
        <v>0</v>
      </c>
      <c r="R207" s="79">
        <v>0</v>
      </c>
      <c r="S207" s="79">
        <v>0</v>
      </c>
      <c r="T207" s="79">
        <v>0</v>
      </c>
      <c r="U207" s="79">
        <v>0</v>
      </c>
      <c r="V207" s="79">
        <v>0</v>
      </c>
      <c r="W207" s="79">
        <v>0</v>
      </c>
      <c r="X207" s="90">
        <v>0</v>
      </c>
    </row>
    <row r="208" spans="1:24" hidden="1" x14ac:dyDescent="0.25">
      <c r="A208" s="80" t="str">
        <v>ESPERANZA</v>
      </c>
      <c r="B208" s="80" t="str">
        <v>Chiclayo</v>
      </c>
      <c r="C208" s="80" t="str">
        <v>Complementaria 2</v>
      </c>
      <c r="D208" s="81">
        <v>46080</v>
      </c>
      <c r="E208" s="79">
        <v>12145.8</v>
      </c>
      <c r="F208" s="81">
        <v>46078</v>
      </c>
      <c r="G208" s="79" cm="1">
        <f t="array" ref="G208:X208">_xlfn._xlws.FILTER(Formulas!$C$2:$T$201, ISNUMBER(MATCH(Formulas!$B$2:$B$201, B208, 0)),0) * E208</f>
        <v>3400.9031644125794</v>
      </c>
      <c r="H208" s="79">
        <v>7287.48</v>
      </c>
      <c r="I208" s="79">
        <v>728.70841779371017</v>
      </c>
      <c r="J208" s="79">
        <v>0</v>
      </c>
      <c r="K208" s="79">
        <v>0</v>
      </c>
      <c r="L208" s="79">
        <v>0</v>
      </c>
      <c r="M208" s="79">
        <v>728.70841779371017</v>
      </c>
      <c r="N208" s="79">
        <v>0</v>
      </c>
      <c r="O208" s="79">
        <v>0</v>
      </c>
      <c r="P208" s="79">
        <v>0</v>
      </c>
      <c r="Q208" s="79">
        <v>0</v>
      </c>
      <c r="R208" s="79">
        <v>0</v>
      </c>
      <c r="S208" s="79">
        <v>0</v>
      </c>
      <c r="T208" s="79">
        <v>0</v>
      </c>
      <c r="U208" s="79">
        <v>0</v>
      </c>
      <c r="V208" s="79">
        <v>0</v>
      </c>
      <c r="W208" s="79">
        <v>0</v>
      </c>
      <c r="X208" s="90">
        <v>0</v>
      </c>
    </row>
    <row r="209" spans="1:24" hidden="1" x14ac:dyDescent="0.25">
      <c r="A209" s="80" t="str">
        <v>ESPERANZA</v>
      </c>
      <c r="B209" s="80" t="str">
        <v>Chiclayo</v>
      </c>
      <c r="C209" s="80" t="str">
        <v>Complementaria 3</v>
      </c>
      <c r="D209" s="81">
        <v>46112</v>
      </c>
      <c r="E209" s="79">
        <v>11754</v>
      </c>
      <c r="F209" s="81">
        <v>46098</v>
      </c>
      <c r="G209" s="79" cm="1">
        <f t="array" ref="G209:X209">_xlfn._xlws.FILTER(Formulas!$C$2:$T$201, ISNUMBER(MATCH(Formulas!$B$2:$B$201, B209, 0)),0) * E209</f>
        <v>3291.1966107218514</v>
      </c>
      <c r="H209" s="79">
        <v>7052.4</v>
      </c>
      <c r="I209" s="79">
        <v>705.20169463907439</v>
      </c>
      <c r="J209" s="79">
        <v>0</v>
      </c>
      <c r="K209" s="79">
        <v>0</v>
      </c>
      <c r="L209" s="79">
        <v>0</v>
      </c>
      <c r="M209" s="79">
        <v>705.20169463907439</v>
      </c>
      <c r="N209" s="79">
        <v>0</v>
      </c>
      <c r="O209" s="79">
        <v>0</v>
      </c>
      <c r="P209" s="79">
        <v>0</v>
      </c>
      <c r="Q209" s="79">
        <v>0</v>
      </c>
      <c r="R209" s="79">
        <v>0</v>
      </c>
      <c r="S209" s="79">
        <v>0</v>
      </c>
      <c r="T209" s="79">
        <v>0</v>
      </c>
      <c r="U209" s="79">
        <v>0</v>
      </c>
      <c r="V209" s="79">
        <v>0</v>
      </c>
      <c r="W209" s="79">
        <v>0</v>
      </c>
      <c r="X209" s="90">
        <v>0</v>
      </c>
    </row>
    <row r="210" spans="1:24" hidden="1" x14ac:dyDescent="0.25">
      <c r="A210" s="80" t="str">
        <v>ESPERANZA</v>
      </c>
      <c r="B210" s="80" t="str">
        <v>Chiclayo</v>
      </c>
      <c r="C210" s="80" t="str">
        <v>Octubre</v>
      </c>
      <c r="D210" s="81">
        <v>46293</v>
      </c>
      <c r="E210" s="79">
        <v>8951</v>
      </c>
      <c r="F210" s="81">
        <v>46292</v>
      </c>
      <c r="G210" s="79" cm="1">
        <f t="array" ref="G210:X210">_xlfn._xlws.FILTER(Formulas!$C$2:$T$201, ISNUMBER(MATCH(Formulas!$B$2:$B$201, B210, 0)),0) * E210</f>
        <v>2506.3383412090598</v>
      </c>
      <c r="H210" s="79">
        <v>5370.5999999999995</v>
      </c>
      <c r="I210" s="79">
        <v>537.03082939547005</v>
      </c>
      <c r="J210" s="79">
        <v>0</v>
      </c>
      <c r="K210" s="79">
        <v>0</v>
      </c>
      <c r="L210" s="79">
        <v>0</v>
      </c>
      <c r="M210" s="79">
        <v>537.03082939547005</v>
      </c>
      <c r="N210" s="79">
        <v>0</v>
      </c>
      <c r="O210" s="79">
        <v>0</v>
      </c>
      <c r="P210" s="79">
        <v>0</v>
      </c>
      <c r="Q210" s="79">
        <v>0</v>
      </c>
      <c r="R210" s="79">
        <v>0</v>
      </c>
      <c r="S210" s="79">
        <v>0</v>
      </c>
      <c r="T210" s="79">
        <v>0</v>
      </c>
      <c r="U210" s="79">
        <v>0</v>
      </c>
      <c r="V210" s="79">
        <v>0</v>
      </c>
      <c r="W210" s="79">
        <v>0</v>
      </c>
      <c r="X210" s="90">
        <v>0</v>
      </c>
    </row>
    <row r="211" spans="1:24" hidden="1" x14ac:dyDescent="0.25">
      <c r="A211" s="80" t="str">
        <v>PENDIENTE</v>
      </c>
      <c r="B211" s="80" t="str">
        <v>Chiclayo1</v>
      </c>
      <c r="C211" s="80" t="str">
        <v>Agosto</v>
      </c>
      <c r="D211" s="81">
        <v>46230</v>
      </c>
      <c r="E211" s="79">
        <v>8951.25</v>
      </c>
      <c r="F211" s="81">
        <v>46229</v>
      </c>
      <c r="G211" s="79" cm="1">
        <f t="array" ref="G211:X211">_xlfn._xlws.FILTER(Formulas!$C$2:$T$201, ISNUMBER(MATCH(Formulas!$B$2:$B$201, B211, 0)),0) * E211</f>
        <v>2327.3250000000003</v>
      </c>
      <c r="H211" s="79">
        <v>5818.3125</v>
      </c>
      <c r="I211" s="79">
        <v>357.97000670241283</v>
      </c>
      <c r="J211" s="79">
        <v>0</v>
      </c>
      <c r="K211" s="79">
        <v>0</v>
      </c>
      <c r="L211" s="79">
        <v>0</v>
      </c>
      <c r="M211" s="79">
        <v>447.5625</v>
      </c>
      <c r="N211" s="79">
        <v>0</v>
      </c>
      <c r="O211" s="79">
        <v>0</v>
      </c>
      <c r="P211" s="79">
        <v>0</v>
      </c>
      <c r="Q211" s="79">
        <v>0</v>
      </c>
      <c r="R211" s="79">
        <v>0</v>
      </c>
      <c r="S211" s="79">
        <v>0</v>
      </c>
      <c r="T211" s="79">
        <v>0</v>
      </c>
      <c r="U211" s="79">
        <v>0</v>
      </c>
      <c r="V211" s="79">
        <v>0</v>
      </c>
      <c r="W211" s="79">
        <v>0</v>
      </c>
      <c r="X211" s="90">
        <v>0</v>
      </c>
    </row>
    <row r="212" spans="1:24" hidden="1" x14ac:dyDescent="0.25">
      <c r="A212" s="80" t="str">
        <v>PENDIENTE</v>
      </c>
      <c r="B212" s="80" t="str">
        <v>Chiclayo1</v>
      </c>
      <c r="C212" s="80" t="str">
        <v>Setiembre</v>
      </c>
      <c r="D212" s="81">
        <v>46261</v>
      </c>
      <c r="E212" s="79">
        <v>8662.5</v>
      </c>
      <c r="F212" s="80">
        <v>46260</v>
      </c>
      <c r="G212" s="79" cm="1">
        <f t="array" ref="G212:X212">_xlfn._xlws.FILTER(Formulas!$C$2:$T$201, ISNUMBER(MATCH(Formulas!$B$2:$B$201, B212, 0)),0) * E212</f>
        <v>2252.25</v>
      </c>
      <c r="H212" s="79">
        <v>5630.625</v>
      </c>
      <c r="I212" s="79">
        <v>346.42258713136727</v>
      </c>
      <c r="J212" s="79">
        <v>0</v>
      </c>
      <c r="K212" s="79">
        <v>0</v>
      </c>
      <c r="L212" s="79">
        <v>0</v>
      </c>
      <c r="M212" s="79">
        <v>433.125</v>
      </c>
      <c r="N212" s="79">
        <v>0</v>
      </c>
      <c r="O212" s="79">
        <v>0</v>
      </c>
      <c r="P212" s="79">
        <v>0</v>
      </c>
      <c r="Q212" s="79">
        <v>0</v>
      </c>
      <c r="R212" s="79">
        <v>0</v>
      </c>
      <c r="S212" s="79">
        <v>0</v>
      </c>
      <c r="T212" s="79">
        <v>0</v>
      </c>
      <c r="U212" s="79">
        <v>0</v>
      </c>
      <c r="V212" s="79">
        <v>0</v>
      </c>
      <c r="W212" s="79">
        <v>0</v>
      </c>
      <c r="X212" s="90">
        <v>0</v>
      </c>
    </row>
    <row r="213" spans="1:24" hidden="1" x14ac:dyDescent="0.25">
      <c r="A213" s="80" t="str">
        <v>PENDIENTE</v>
      </c>
      <c r="B213" s="80" t="str">
        <v>Chiclayo1</v>
      </c>
      <c r="C213" s="80" t="str">
        <v>Octubre</v>
      </c>
      <c r="D213" s="81">
        <v>46293</v>
      </c>
      <c r="E213" s="79">
        <v>8951.25</v>
      </c>
      <c r="F213" s="80">
        <v>0</v>
      </c>
      <c r="G213" s="79" cm="1">
        <f t="array" ref="G213:X213">_xlfn._xlws.FILTER(Formulas!$C$2:$T$201, ISNUMBER(MATCH(Formulas!$B$2:$B$201, B213, 0)),0) * E213</f>
        <v>2327.3250000000003</v>
      </c>
      <c r="H213" s="79">
        <v>5818.3125</v>
      </c>
      <c r="I213" s="79">
        <v>357.97000670241283</v>
      </c>
      <c r="J213" s="79">
        <v>0</v>
      </c>
      <c r="K213" s="79">
        <v>0</v>
      </c>
      <c r="L213" s="79">
        <v>0</v>
      </c>
      <c r="M213" s="79">
        <v>447.5625</v>
      </c>
      <c r="N213" s="79">
        <v>0</v>
      </c>
      <c r="O213" s="79">
        <v>0</v>
      </c>
      <c r="P213" s="79">
        <v>0</v>
      </c>
      <c r="Q213" s="79">
        <v>0</v>
      </c>
      <c r="R213" s="79">
        <v>0</v>
      </c>
      <c r="S213" s="79">
        <v>0</v>
      </c>
      <c r="T213" s="79">
        <v>0</v>
      </c>
      <c r="U213" s="79">
        <v>0</v>
      </c>
      <c r="V213" s="79">
        <v>0</v>
      </c>
      <c r="W213" s="79">
        <v>0</v>
      </c>
      <c r="X213" s="90">
        <v>0</v>
      </c>
    </row>
    <row r="214" spans="1:24" hidden="1" x14ac:dyDescent="0.25">
      <c r="A214" s="80" t="str">
        <v>PENDIENTE</v>
      </c>
      <c r="B214" s="80" t="str">
        <v>Chiclayo1</v>
      </c>
      <c r="C214" s="80" t="str">
        <v>Noviembre</v>
      </c>
      <c r="D214" s="81">
        <v>46323</v>
      </c>
      <c r="E214" s="79">
        <v>8662.5</v>
      </c>
      <c r="F214" s="80">
        <v>0</v>
      </c>
      <c r="G214" s="79" cm="1">
        <f t="array" ref="G214:X214">_xlfn._xlws.FILTER(Formulas!$C$2:$T$201, ISNUMBER(MATCH(Formulas!$B$2:$B$201, B214, 0)),0) * E214</f>
        <v>2252.25</v>
      </c>
      <c r="H214" s="79">
        <v>5630.625</v>
      </c>
      <c r="I214" s="79">
        <v>346.42258713136727</v>
      </c>
      <c r="J214" s="79">
        <v>0</v>
      </c>
      <c r="K214" s="79">
        <v>0</v>
      </c>
      <c r="L214" s="79">
        <v>0</v>
      </c>
      <c r="M214" s="79">
        <v>433.125</v>
      </c>
      <c r="N214" s="79">
        <v>0</v>
      </c>
      <c r="O214" s="79">
        <v>0</v>
      </c>
      <c r="P214" s="79">
        <v>0</v>
      </c>
      <c r="Q214" s="79">
        <v>0</v>
      </c>
      <c r="R214" s="79">
        <v>0</v>
      </c>
      <c r="S214" s="79">
        <v>0</v>
      </c>
      <c r="T214" s="79">
        <v>0</v>
      </c>
      <c r="U214" s="79">
        <v>0</v>
      </c>
      <c r="V214" s="79">
        <v>0</v>
      </c>
      <c r="W214" s="79">
        <v>0</v>
      </c>
      <c r="X214" s="90">
        <v>0</v>
      </c>
    </row>
    <row r="215" spans="1:24" hidden="1" x14ac:dyDescent="0.25">
      <c r="A215" s="80" t="str">
        <v>PENDIENTE</v>
      </c>
      <c r="B215" s="80" t="str">
        <v>Chiclayo1</v>
      </c>
      <c r="C215" s="80" t="str">
        <v>Diciembre</v>
      </c>
      <c r="D215" s="81">
        <v>46352</v>
      </c>
      <c r="E215" s="79">
        <v>8951.25</v>
      </c>
      <c r="F215" s="80">
        <v>0</v>
      </c>
      <c r="G215" s="79" cm="1">
        <f t="array" ref="G215:X215">_xlfn._xlws.FILTER(Formulas!$C$2:$T$201, ISNUMBER(MATCH(Formulas!$B$2:$B$201, B215, 0)),0) * E215</f>
        <v>2327.3250000000003</v>
      </c>
      <c r="H215" s="79">
        <v>5818.3125</v>
      </c>
      <c r="I215" s="79">
        <v>357.97000670241283</v>
      </c>
      <c r="J215" s="79">
        <v>0</v>
      </c>
      <c r="K215" s="79">
        <v>0</v>
      </c>
      <c r="L215" s="79">
        <v>0</v>
      </c>
      <c r="M215" s="79">
        <v>447.5625</v>
      </c>
      <c r="N215" s="79">
        <v>0</v>
      </c>
      <c r="O215" s="79">
        <v>0</v>
      </c>
      <c r="P215" s="79">
        <v>0</v>
      </c>
      <c r="Q215" s="79">
        <v>0</v>
      </c>
      <c r="R215" s="79">
        <v>0</v>
      </c>
      <c r="S215" s="79">
        <v>0</v>
      </c>
      <c r="T215" s="79">
        <v>0</v>
      </c>
      <c r="U215" s="79">
        <v>0</v>
      </c>
      <c r="V215" s="79">
        <v>0</v>
      </c>
      <c r="W215" s="79">
        <v>0</v>
      </c>
      <c r="X215" s="90">
        <v>0</v>
      </c>
    </row>
    <row r="216" spans="1:24" hidden="1" x14ac:dyDescent="0.25">
      <c r="A216" s="80" t="str">
        <v>PENDIENTE</v>
      </c>
      <c r="B216" s="80" t="str">
        <v>Chiclayo1</v>
      </c>
      <c r="C216" s="80">
        <v>46388</v>
      </c>
      <c r="D216" s="81">
        <v>46371</v>
      </c>
      <c r="E216" s="79">
        <v>8951.25</v>
      </c>
      <c r="F216" s="80">
        <v>0</v>
      </c>
      <c r="G216" s="79" cm="1">
        <f t="array" ref="G216:X216">_xlfn._xlws.FILTER(Formulas!$C$2:$T$201, ISNUMBER(MATCH(Formulas!$B$2:$B$201, B216, 0)),0) * E216</f>
        <v>2327.3250000000003</v>
      </c>
      <c r="H216" s="79">
        <v>5818.3125</v>
      </c>
      <c r="I216" s="79">
        <v>357.97000670241283</v>
      </c>
      <c r="J216" s="79">
        <v>0</v>
      </c>
      <c r="K216" s="79">
        <v>0</v>
      </c>
      <c r="L216" s="79">
        <v>0</v>
      </c>
      <c r="M216" s="79">
        <v>447.5625</v>
      </c>
      <c r="N216" s="79">
        <v>0</v>
      </c>
      <c r="O216" s="79">
        <v>0</v>
      </c>
      <c r="P216" s="79">
        <v>0</v>
      </c>
      <c r="Q216" s="79">
        <v>0</v>
      </c>
      <c r="R216" s="79">
        <v>0</v>
      </c>
      <c r="S216" s="79">
        <v>0</v>
      </c>
      <c r="T216" s="79">
        <v>0</v>
      </c>
      <c r="U216" s="79">
        <v>0</v>
      </c>
      <c r="V216" s="79">
        <v>0</v>
      </c>
      <c r="W216" s="79">
        <v>0</v>
      </c>
      <c r="X216" s="90">
        <v>0</v>
      </c>
    </row>
    <row r="217" spans="1:24" hidden="1" x14ac:dyDescent="0.25">
      <c r="A217" s="80" t="str">
        <v>PENDIENTE</v>
      </c>
      <c r="B217" s="80" t="str">
        <v>Chiclayo1</v>
      </c>
      <c r="C217" s="80">
        <v>46419</v>
      </c>
      <c r="D217" s="81">
        <v>46377</v>
      </c>
      <c r="E217" s="79">
        <v>8085</v>
      </c>
      <c r="F217" s="81">
        <v>0</v>
      </c>
      <c r="G217" s="79" cm="1">
        <f t="array" ref="G217:X217">_xlfn._xlws.FILTER(Formulas!$C$2:$T$201, ISNUMBER(MATCH(Formulas!$B$2:$B$201, B217, 0)),0) * E217</f>
        <v>2102.1</v>
      </c>
      <c r="H217" s="79">
        <v>5255.25</v>
      </c>
      <c r="I217" s="79">
        <v>323.32774798927613</v>
      </c>
      <c r="J217" s="79">
        <v>0</v>
      </c>
      <c r="K217" s="79">
        <v>0</v>
      </c>
      <c r="L217" s="79">
        <v>0</v>
      </c>
      <c r="M217" s="79">
        <v>404.25</v>
      </c>
      <c r="N217" s="79">
        <v>0</v>
      </c>
      <c r="O217" s="79">
        <v>0</v>
      </c>
      <c r="P217" s="79">
        <v>0</v>
      </c>
      <c r="Q217" s="79">
        <v>0</v>
      </c>
      <c r="R217" s="79">
        <v>0</v>
      </c>
      <c r="S217" s="79">
        <v>0</v>
      </c>
      <c r="T217" s="79">
        <v>0</v>
      </c>
      <c r="U217" s="79">
        <v>0</v>
      </c>
      <c r="V217" s="79">
        <v>0</v>
      </c>
      <c r="W217" s="79">
        <v>0</v>
      </c>
      <c r="X217" s="90">
        <v>0</v>
      </c>
    </row>
    <row r="218" spans="1:24" hidden="1" x14ac:dyDescent="0.25">
      <c r="A218" s="80" t="str">
        <v>PENDIENTE</v>
      </c>
      <c r="B218" s="80" t="str">
        <v>Chilete</v>
      </c>
      <c r="C218" s="80" t="str">
        <v>Enero</v>
      </c>
      <c r="D218" s="81">
        <v>46053</v>
      </c>
      <c r="E218" s="79">
        <v>802.99919999999997</v>
      </c>
      <c r="F218" s="81">
        <v>46034</v>
      </c>
      <c r="G218" s="79" cm="1">
        <f t="array" ref="G218:X218">_xlfn._xlws.FILTER(Formulas!$C$2:$T$201, ISNUMBER(MATCH(Formulas!$B$2:$B$201, B218, 0)),0) * E218</f>
        <v>160.53094259974262</v>
      </c>
      <c r="H218" s="79">
        <v>546.35638404118401</v>
      </c>
      <c r="I218" s="79">
        <v>32.037291119691119</v>
      </c>
      <c r="J218" s="79">
        <v>32.037291119691119</v>
      </c>
      <c r="K218" s="79">
        <v>0</v>
      </c>
      <c r="L218" s="79">
        <v>0</v>
      </c>
      <c r="M218" s="79">
        <v>32.037291119691119</v>
      </c>
      <c r="N218" s="79">
        <v>0</v>
      </c>
      <c r="O218" s="79">
        <v>0</v>
      </c>
      <c r="P218" s="79">
        <v>0</v>
      </c>
      <c r="Q218" s="79">
        <v>0</v>
      </c>
      <c r="R218" s="79">
        <v>0</v>
      </c>
      <c r="S218" s="79">
        <v>0</v>
      </c>
      <c r="T218" s="79">
        <v>0</v>
      </c>
      <c r="U218" s="79">
        <v>0</v>
      </c>
      <c r="V218" s="79">
        <v>0</v>
      </c>
      <c r="W218" s="79">
        <v>0</v>
      </c>
      <c r="X218" s="90">
        <v>0</v>
      </c>
    </row>
    <row r="219" spans="1:24" hidden="1" x14ac:dyDescent="0.25">
      <c r="A219" s="80" t="str">
        <v>PENDIENTE</v>
      </c>
      <c r="B219" s="80" t="str">
        <v>Chilete</v>
      </c>
      <c r="C219" s="80" t="str">
        <v>Febrero</v>
      </c>
      <c r="D219" s="81">
        <v>46053</v>
      </c>
      <c r="E219" s="79">
        <v>725.28959999999995</v>
      </c>
      <c r="F219" s="81">
        <v>46034</v>
      </c>
      <c r="G219" s="79" cm="1">
        <f t="array" ref="G219:X219">_xlfn._xlws.FILTER(Formulas!$C$2:$T$201, ISNUMBER(MATCH(Formulas!$B$2:$B$201, B219, 0)),0) * E219</f>
        <v>144.99569009009008</v>
      </c>
      <c r="H219" s="79">
        <v>493.4831855855856</v>
      </c>
      <c r="I219" s="79">
        <v>28.936908108108106</v>
      </c>
      <c r="J219" s="79">
        <v>28.936908108108106</v>
      </c>
      <c r="K219" s="79">
        <v>0</v>
      </c>
      <c r="L219" s="79">
        <v>0</v>
      </c>
      <c r="M219" s="79">
        <v>28.936908108108106</v>
      </c>
      <c r="N219" s="79">
        <v>0</v>
      </c>
      <c r="O219" s="79">
        <v>0</v>
      </c>
      <c r="P219" s="79">
        <v>0</v>
      </c>
      <c r="Q219" s="79">
        <v>0</v>
      </c>
      <c r="R219" s="79">
        <v>0</v>
      </c>
      <c r="S219" s="79">
        <v>0</v>
      </c>
      <c r="T219" s="79">
        <v>0</v>
      </c>
      <c r="U219" s="79">
        <v>0</v>
      </c>
      <c r="V219" s="79">
        <v>0</v>
      </c>
      <c r="W219" s="79">
        <v>0</v>
      </c>
      <c r="X219" s="90">
        <v>0</v>
      </c>
    </row>
    <row r="220" spans="1:24" hidden="1" x14ac:dyDescent="0.25">
      <c r="A220" s="80" t="str">
        <v>PENDIENTE</v>
      </c>
      <c r="B220" s="80" t="str">
        <v>Chilete</v>
      </c>
      <c r="C220" s="80" t="str">
        <v>Marzo</v>
      </c>
      <c r="D220" s="81">
        <v>46053</v>
      </c>
      <c r="E220" s="79">
        <v>802.99919999999997</v>
      </c>
      <c r="F220" s="81">
        <v>46034</v>
      </c>
      <c r="G220" s="79" cm="1">
        <f t="array" ref="G220:X220">_xlfn._xlws.FILTER(Formulas!$C$2:$T$201, ISNUMBER(MATCH(Formulas!$B$2:$B$201, B220, 0)),0) * E220</f>
        <v>160.53094259974262</v>
      </c>
      <c r="H220" s="79">
        <v>546.35638404118401</v>
      </c>
      <c r="I220" s="79">
        <v>32.037291119691119</v>
      </c>
      <c r="J220" s="79">
        <v>32.037291119691119</v>
      </c>
      <c r="K220" s="79">
        <v>0</v>
      </c>
      <c r="L220" s="79">
        <v>0</v>
      </c>
      <c r="M220" s="79">
        <v>32.037291119691119</v>
      </c>
      <c r="N220" s="79">
        <v>0</v>
      </c>
      <c r="O220" s="79">
        <v>0</v>
      </c>
      <c r="P220" s="79">
        <v>0</v>
      </c>
      <c r="Q220" s="79">
        <v>0</v>
      </c>
      <c r="R220" s="79">
        <v>0</v>
      </c>
      <c r="S220" s="79">
        <v>0</v>
      </c>
      <c r="T220" s="79">
        <v>0</v>
      </c>
      <c r="U220" s="79">
        <v>0</v>
      </c>
      <c r="V220" s="79">
        <v>0</v>
      </c>
      <c r="W220" s="79">
        <v>0</v>
      </c>
      <c r="X220" s="90">
        <v>0</v>
      </c>
    </row>
    <row r="221" spans="1:24" hidden="1" x14ac:dyDescent="0.25">
      <c r="A221" s="80" t="str">
        <v>PENDIENTE</v>
      </c>
      <c r="B221" s="80" t="str">
        <v>Chilete</v>
      </c>
      <c r="C221" s="80" t="str">
        <v>Abril</v>
      </c>
      <c r="D221" s="81">
        <v>46111</v>
      </c>
      <c r="E221" s="79">
        <v>777.096</v>
      </c>
      <c r="F221" s="81">
        <v>46106</v>
      </c>
      <c r="G221" s="79" cm="1">
        <f t="array" ref="G221:X221">_xlfn._xlws.FILTER(Formulas!$C$2:$T$201, ISNUMBER(MATCH(Formulas!$B$2:$B$201, B221, 0)),0) * E221</f>
        <v>155.35252509652511</v>
      </c>
      <c r="H221" s="79">
        <v>528.73198455598458</v>
      </c>
      <c r="I221" s="79">
        <v>31.003830115830116</v>
      </c>
      <c r="J221" s="79">
        <v>31.003830115830116</v>
      </c>
      <c r="K221" s="79">
        <v>0</v>
      </c>
      <c r="L221" s="79">
        <v>0</v>
      </c>
      <c r="M221" s="79">
        <v>31.003830115830116</v>
      </c>
      <c r="N221" s="79">
        <v>0</v>
      </c>
      <c r="O221" s="79">
        <v>0</v>
      </c>
      <c r="P221" s="79">
        <v>0</v>
      </c>
      <c r="Q221" s="79">
        <v>0</v>
      </c>
      <c r="R221" s="79">
        <v>0</v>
      </c>
      <c r="S221" s="79">
        <v>0</v>
      </c>
      <c r="T221" s="79">
        <v>0</v>
      </c>
      <c r="U221" s="79">
        <v>0</v>
      </c>
      <c r="V221" s="79">
        <v>0</v>
      </c>
      <c r="W221" s="79">
        <v>0</v>
      </c>
      <c r="X221" s="90">
        <v>0</v>
      </c>
    </row>
    <row r="222" spans="1:24" hidden="1" x14ac:dyDescent="0.25">
      <c r="A222" s="80" t="str">
        <v>PENDIENTE</v>
      </c>
      <c r="B222" s="80" t="str">
        <v>Chilete</v>
      </c>
      <c r="C222" s="80" t="str">
        <v>Mayo</v>
      </c>
      <c r="D222" s="81">
        <v>46111</v>
      </c>
      <c r="E222" s="79">
        <v>802.99919999999997</v>
      </c>
      <c r="F222" s="81">
        <v>46106</v>
      </c>
      <c r="G222" s="79" cm="1">
        <f t="array" ref="G222:X222">_xlfn._xlws.FILTER(Formulas!$C$2:$T$201, ISNUMBER(MATCH(Formulas!$B$2:$B$201, B222, 0)),0) * E222</f>
        <v>160.53094259974262</v>
      </c>
      <c r="H222" s="79">
        <v>546.35638404118401</v>
      </c>
      <c r="I222" s="79">
        <v>32.037291119691119</v>
      </c>
      <c r="J222" s="79">
        <v>32.037291119691119</v>
      </c>
      <c r="K222" s="79">
        <v>0</v>
      </c>
      <c r="L222" s="79">
        <v>0</v>
      </c>
      <c r="M222" s="79">
        <v>32.037291119691119</v>
      </c>
      <c r="N222" s="79">
        <v>0</v>
      </c>
      <c r="O222" s="79">
        <v>0</v>
      </c>
      <c r="P222" s="79">
        <v>0</v>
      </c>
      <c r="Q222" s="79">
        <v>0</v>
      </c>
      <c r="R222" s="79">
        <v>0</v>
      </c>
      <c r="S222" s="79">
        <v>0</v>
      </c>
      <c r="T222" s="79">
        <v>0</v>
      </c>
      <c r="U222" s="79">
        <v>0</v>
      </c>
      <c r="V222" s="79">
        <v>0</v>
      </c>
      <c r="W222" s="79">
        <v>0</v>
      </c>
      <c r="X222" s="90">
        <v>0</v>
      </c>
    </row>
    <row r="223" spans="1:24" hidden="1" x14ac:dyDescent="0.25">
      <c r="A223" s="80" t="str">
        <v>PENDIENTE</v>
      </c>
      <c r="B223" s="80" t="str">
        <v>Chilete</v>
      </c>
      <c r="C223" s="80" t="str">
        <v>Junio</v>
      </c>
      <c r="D223" s="81">
        <v>46111</v>
      </c>
      <c r="E223" s="79">
        <v>777.096</v>
      </c>
      <c r="F223" s="81">
        <v>46106</v>
      </c>
      <c r="G223" s="79" cm="1">
        <f t="array" ref="G223:X223">_xlfn._xlws.FILTER(Formulas!$C$2:$T$201, ISNUMBER(MATCH(Formulas!$B$2:$B$201, B223, 0)),0) * E223</f>
        <v>155.35252509652511</v>
      </c>
      <c r="H223" s="79">
        <v>528.73198455598458</v>
      </c>
      <c r="I223" s="79">
        <v>31.003830115830116</v>
      </c>
      <c r="J223" s="79">
        <v>31.003830115830116</v>
      </c>
      <c r="K223" s="79">
        <v>0</v>
      </c>
      <c r="L223" s="79">
        <v>0</v>
      </c>
      <c r="M223" s="79">
        <v>31.003830115830116</v>
      </c>
      <c r="N223" s="79">
        <v>0</v>
      </c>
      <c r="O223" s="79">
        <v>0</v>
      </c>
      <c r="P223" s="79">
        <v>0</v>
      </c>
      <c r="Q223" s="79">
        <v>0</v>
      </c>
      <c r="R223" s="79">
        <v>0</v>
      </c>
      <c r="S223" s="79">
        <v>0</v>
      </c>
      <c r="T223" s="79">
        <v>0</v>
      </c>
      <c r="U223" s="79">
        <v>0</v>
      </c>
      <c r="V223" s="79">
        <v>0</v>
      </c>
      <c r="W223" s="79">
        <v>0</v>
      </c>
      <c r="X223" s="90">
        <v>0</v>
      </c>
    </row>
    <row r="224" spans="1:24" hidden="1" x14ac:dyDescent="0.25">
      <c r="A224" s="80" t="str">
        <v>PENDIENTE</v>
      </c>
      <c r="B224" s="80" t="str">
        <v>Chilete</v>
      </c>
      <c r="C224" s="80" t="str">
        <v>Julio</v>
      </c>
      <c r="D224" s="81">
        <v>46203</v>
      </c>
      <c r="E224" s="79">
        <v>802.99919999999997</v>
      </c>
      <c r="F224" s="81">
        <v>46194</v>
      </c>
      <c r="G224" s="79" cm="1">
        <f t="array" ref="G224:X224">_xlfn._xlws.FILTER(Formulas!$C$2:$T$201, ISNUMBER(MATCH(Formulas!$B$2:$B$201, B224, 0)),0) * E224</f>
        <v>160.53094259974262</v>
      </c>
      <c r="H224" s="79">
        <v>546.35638404118401</v>
      </c>
      <c r="I224" s="79">
        <v>32.037291119691119</v>
      </c>
      <c r="J224" s="79">
        <v>32.037291119691119</v>
      </c>
      <c r="K224" s="79">
        <v>0</v>
      </c>
      <c r="L224" s="79">
        <v>0</v>
      </c>
      <c r="M224" s="79">
        <v>32.037291119691119</v>
      </c>
      <c r="N224" s="79">
        <v>0</v>
      </c>
      <c r="O224" s="79">
        <v>0</v>
      </c>
      <c r="P224" s="79">
        <v>0</v>
      </c>
      <c r="Q224" s="79">
        <v>0</v>
      </c>
      <c r="R224" s="79">
        <v>0</v>
      </c>
      <c r="S224" s="79">
        <v>0</v>
      </c>
      <c r="T224" s="79">
        <v>0</v>
      </c>
      <c r="U224" s="79">
        <v>0</v>
      </c>
      <c r="V224" s="79">
        <v>0</v>
      </c>
      <c r="W224" s="79">
        <v>0</v>
      </c>
      <c r="X224" s="90">
        <v>0</v>
      </c>
    </row>
    <row r="225" spans="1:24" hidden="1" x14ac:dyDescent="0.25">
      <c r="A225" s="80" t="str">
        <v>PENDIENTE</v>
      </c>
      <c r="B225" s="80" t="str">
        <v>Chilete</v>
      </c>
      <c r="C225" s="80" t="str">
        <v>Agosto</v>
      </c>
      <c r="D225" s="81">
        <v>46203</v>
      </c>
      <c r="E225" s="79">
        <v>802.99919999999997</v>
      </c>
      <c r="F225" s="81">
        <v>46194</v>
      </c>
      <c r="G225" s="79" cm="1">
        <f t="array" ref="G225:X225">_xlfn._xlws.FILTER(Formulas!$C$2:$T$201, ISNUMBER(MATCH(Formulas!$B$2:$B$201, B225, 0)),0) * E225</f>
        <v>160.53094259974262</v>
      </c>
      <c r="H225" s="79">
        <v>546.35638404118401</v>
      </c>
      <c r="I225" s="79">
        <v>32.037291119691119</v>
      </c>
      <c r="J225" s="79">
        <v>32.037291119691119</v>
      </c>
      <c r="K225" s="79">
        <v>0</v>
      </c>
      <c r="L225" s="79">
        <v>0</v>
      </c>
      <c r="M225" s="79">
        <v>32.037291119691119</v>
      </c>
      <c r="N225" s="79">
        <v>0</v>
      </c>
      <c r="O225" s="79">
        <v>0</v>
      </c>
      <c r="P225" s="79">
        <v>0</v>
      </c>
      <c r="Q225" s="79">
        <v>0</v>
      </c>
      <c r="R225" s="79">
        <v>0</v>
      </c>
      <c r="S225" s="79">
        <v>0</v>
      </c>
      <c r="T225" s="79">
        <v>0</v>
      </c>
      <c r="U225" s="79">
        <v>0</v>
      </c>
      <c r="V225" s="79">
        <v>0</v>
      </c>
      <c r="W225" s="79">
        <v>0</v>
      </c>
      <c r="X225" s="90">
        <v>0</v>
      </c>
    </row>
    <row r="226" spans="1:24" hidden="1" x14ac:dyDescent="0.25">
      <c r="A226" s="80" t="str">
        <v>PENDIENTE</v>
      </c>
      <c r="B226" s="80" t="str">
        <v>Chilete</v>
      </c>
      <c r="C226" s="80" t="str">
        <v>Setiembre</v>
      </c>
      <c r="D226" s="81">
        <v>46203</v>
      </c>
      <c r="E226" s="79">
        <v>777.096</v>
      </c>
      <c r="F226" s="80">
        <v>46194</v>
      </c>
      <c r="G226" s="79" cm="1">
        <f t="array" ref="G226:X226">_xlfn._xlws.FILTER(Formulas!$C$2:$T$201, ISNUMBER(MATCH(Formulas!$B$2:$B$201, B226, 0)),0) * E226</f>
        <v>155.35252509652511</v>
      </c>
      <c r="H226" s="79">
        <v>528.73198455598458</v>
      </c>
      <c r="I226" s="79">
        <v>31.003830115830116</v>
      </c>
      <c r="J226" s="79">
        <v>31.003830115830116</v>
      </c>
      <c r="K226" s="79">
        <v>0</v>
      </c>
      <c r="L226" s="79">
        <v>0</v>
      </c>
      <c r="M226" s="79">
        <v>31.003830115830116</v>
      </c>
      <c r="N226" s="79">
        <v>0</v>
      </c>
      <c r="O226" s="79">
        <v>0</v>
      </c>
      <c r="P226" s="79">
        <v>0</v>
      </c>
      <c r="Q226" s="79">
        <v>0</v>
      </c>
      <c r="R226" s="79">
        <v>0</v>
      </c>
      <c r="S226" s="79">
        <v>0</v>
      </c>
      <c r="T226" s="79">
        <v>0</v>
      </c>
      <c r="U226" s="79">
        <v>0</v>
      </c>
      <c r="V226" s="79">
        <v>0</v>
      </c>
      <c r="W226" s="79">
        <v>0</v>
      </c>
      <c r="X226" s="90">
        <v>0</v>
      </c>
    </row>
    <row r="227" spans="1:24" hidden="1" x14ac:dyDescent="0.25">
      <c r="A227" s="80" t="str">
        <v>PENDIENTE</v>
      </c>
      <c r="B227" s="80" t="str">
        <v>Chilete</v>
      </c>
      <c r="C227" s="80" t="str">
        <v>O.C.</v>
      </c>
      <c r="D227" s="81">
        <v>46289</v>
      </c>
      <c r="E227" s="79">
        <v>590.09759999999994</v>
      </c>
      <c r="F227" s="80">
        <v>46288</v>
      </c>
      <c r="G227" s="79" cm="1">
        <f t="array" ref="G227:X227">_xlfn._xlws.FILTER(Formulas!$C$2:$T$201, ISNUMBER(MATCH(Formulas!$B$2:$B$201, B227, 0)),0) * E227</f>
        <v>117.96888957528957</v>
      </c>
      <c r="H227" s="79">
        <v>401.49926795366792</v>
      </c>
      <c r="I227" s="79">
        <v>23.543147490347486</v>
      </c>
      <c r="J227" s="79">
        <v>23.543147490347486</v>
      </c>
      <c r="K227" s="79">
        <v>0</v>
      </c>
      <c r="L227" s="79">
        <v>0</v>
      </c>
      <c r="M227" s="79">
        <v>23.543147490347486</v>
      </c>
      <c r="N227" s="79">
        <v>0</v>
      </c>
      <c r="O227" s="79">
        <v>0</v>
      </c>
      <c r="P227" s="79">
        <v>0</v>
      </c>
      <c r="Q227" s="79">
        <v>0</v>
      </c>
      <c r="R227" s="79">
        <v>0</v>
      </c>
      <c r="S227" s="79">
        <v>0</v>
      </c>
      <c r="T227" s="79">
        <v>0</v>
      </c>
      <c r="U227" s="79">
        <v>0</v>
      </c>
      <c r="V227" s="79">
        <v>0</v>
      </c>
      <c r="W227" s="79">
        <v>0</v>
      </c>
      <c r="X227" s="90">
        <v>0</v>
      </c>
    </row>
    <row r="228" spans="1:24" hidden="1" x14ac:dyDescent="0.25">
      <c r="A228" s="80" t="str">
        <v>PENDIENTE</v>
      </c>
      <c r="B228" s="80" t="str">
        <v>Chilete</v>
      </c>
      <c r="C228" s="80" t="str">
        <v>Octubre</v>
      </c>
      <c r="D228" s="81">
        <v>46295</v>
      </c>
      <c r="E228" s="79">
        <v>802.99919999999997</v>
      </c>
      <c r="F228" s="80">
        <v>46288</v>
      </c>
      <c r="G228" s="79" cm="1">
        <f t="array" ref="G228:X228">_xlfn._xlws.FILTER(Formulas!$C$2:$T$201, ISNUMBER(MATCH(Formulas!$B$2:$B$201, B228, 0)),0) * E228</f>
        <v>160.53094259974262</v>
      </c>
      <c r="H228" s="79">
        <v>546.35638404118401</v>
      </c>
      <c r="I228" s="79">
        <v>32.037291119691119</v>
      </c>
      <c r="J228" s="79">
        <v>32.037291119691119</v>
      </c>
      <c r="K228" s="79">
        <v>0</v>
      </c>
      <c r="L228" s="79">
        <v>0</v>
      </c>
      <c r="M228" s="79">
        <v>32.037291119691119</v>
      </c>
      <c r="N228" s="79">
        <v>0</v>
      </c>
      <c r="O228" s="79">
        <v>0</v>
      </c>
      <c r="P228" s="79">
        <v>0</v>
      </c>
      <c r="Q228" s="79">
        <v>0</v>
      </c>
      <c r="R228" s="79">
        <v>0</v>
      </c>
      <c r="S228" s="79">
        <v>0</v>
      </c>
      <c r="T228" s="79">
        <v>0</v>
      </c>
      <c r="U228" s="79">
        <v>0</v>
      </c>
      <c r="V228" s="79">
        <v>0</v>
      </c>
      <c r="W228" s="79">
        <v>0</v>
      </c>
      <c r="X228" s="90">
        <v>0</v>
      </c>
    </row>
    <row r="229" spans="1:24" hidden="1" x14ac:dyDescent="0.25">
      <c r="A229" s="80" t="str">
        <v>PENDIENTE</v>
      </c>
      <c r="B229" s="80" t="str">
        <v>Chilete</v>
      </c>
      <c r="C229" s="80" t="str">
        <v>Noviembre</v>
      </c>
      <c r="D229" s="81">
        <v>46295</v>
      </c>
      <c r="E229" s="79">
        <v>777.096</v>
      </c>
      <c r="F229" s="81">
        <v>46288</v>
      </c>
      <c r="G229" s="79" cm="1">
        <f t="array" ref="G229:X229">_xlfn._xlws.FILTER(Formulas!$C$2:$T$201, ISNUMBER(MATCH(Formulas!$B$2:$B$201, B229, 0)),0) * E229</f>
        <v>155.35252509652511</v>
      </c>
      <c r="H229" s="79">
        <v>528.73198455598458</v>
      </c>
      <c r="I229" s="79">
        <v>31.003830115830116</v>
      </c>
      <c r="J229" s="79">
        <v>31.003830115830116</v>
      </c>
      <c r="K229" s="79">
        <v>0</v>
      </c>
      <c r="L229" s="79">
        <v>0</v>
      </c>
      <c r="M229" s="79">
        <v>31.003830115830116</v>
      </c>
      <c r="N229" s="79">
        <v>0</v>
      </c>
      <c r="O229" s="79">
        <v>0</v>
      </c>
      <c r="P229" s="79">
        <v>0</v>
      </c>
      <c r="Q229" s="79">
        <v>0</v>
      </c>
      <c r="R229" s="79">
        <v>0</v>
      </c>
      <c r="S229" s="79">
        <v>0</v>
      </c>
      <c r="T229" s="79">
        <v>0</v>
      </c>
      <c r="U229" s="79">
        <v>0</v>
      </c>
      <c r="V229" s="79">
        <v>0</v>
      </c>
      <c r="W229" s="79">
        <v>0</v>
      </c>
      <c r="X229" s="90">
        <v>0</v>
      </c>
    </row>
    <row r="230" spans="1:24" hidden="1" x14ac:dyDescent="0.25">
      <c r="A230" s="80" t="str">
        <v>PENDIENTE</v>
      </c>
      <c r="B230" s="80" t="str">
        <v>Chilete</v>
      </c>
      <c r="C230" s="80" t="str">
        <v>Diciembre</v>
      </c>
      <c r="D230" s="81">
        <v>46295</v>
      </c>
      <c r="E230" s="79">
        <v>802.99919999999997</v>
      </c>
      <c r="F230" s="80">
        <v>46288</v>
      </c>
      <c r="G230" s="79" cm="1">
        <f t="array" ref="G230:X230">_xlfn._xlws.FILTER(Formulas!$C$2:$T$201, ISNUMBER(MATCH(Formulas!$B$2:$B$201, B230, 0)),0) * E230</f>
        <v>160.53094259974262</v>
      </c>
      <c r="H230" s="79">
        <v>546.35638404118401</v>
      </c>
      <c r="I230" s="79">
        <v>32.037291119691119</v>
      </c>
      <c r="J230" s="79">
        <v>32.037291119691119</v>
      </c>
      <c r="K230" s="79">
        <v>0</v>
      </c>
      <c r="L230" s="79">
        <v>0</v>
      </c>
      <c r="M230" s="79">
        <v>32.037291119691119</v>
      </c>
      <c r="N230" s="79">
        <v>0</v>
      </c>
      <c r="O230" s="79">
        <v>0</v>
      </c>
      <c r="P230" s="79">
        <v>0</v>
      </c>
      <c r="Q230" s="79">
        <v>0</v>
      </c>
      <c r="R230" s="79">
        <v>0</v>
      </c>
      <c r="S230" s="79">
        <v>0</v>
      </c>
      <c r="T230" s="79">
        <v>0</v>
      </c>
      <c r="U230" s="79">
        <v>0</v>
      </c>
      <c r="V230" s="79">
        <v>0</v>
      </c>
      <c r="W230" s="79">
        <v>0</v>
      </c>
      <c r="X230" s="90">
        <v>0</v>
      </c>
    </row>
    <row r="231" spans="1:24" hidden="1" x14ac:dyDescent="0.25">
      <c r="A231" s="80" t="str">
        <v>ENHA</v>
      </c>
      <c r="B231" s="80" t="str">
        <v>Chiliquin</v>
      </c>
      <c r="C231" s="80" t="str">
        <v>O.C.</v>
      </c>
      <c r="D231" s="81">
        <v>46120</v>
      </c>
      <c r="E231" s="79">
        <v>476</v>
      </c>
      <c r="F231" s="81">
        <v>46119</v>
      </c>
      <c r="G231" s="79" cm="1">
        <f t="array" ref="G231:X231">_xlfn._xlws.FILTER(Formulas!$C$2:$T$201, ISNUMBER(MATCH(Formulas!$B$2:$B$201, B231, 0)),0) * E231</f>
        <v>95</v>
      </c>
      <c r="H231" s="79">
        <v>331</v>
      </c>
      <c r="I231" s="79">
        <v>26</v>
      </c>
      <c r="J231" s="79">
        <v>0</v>
      </c>
      <c r="K231" s="79">
        <v>0</v>
      </c>
      <c r="L231" s="79">
        <v>0</v>
      </c>
      <c r="M231" s="79">
        <v>24</v>
      </c>
      <c r="N231" s="79">
        <v>0</v>
      </c>
      <c r="O231" s="79">
        <v>0</v>
      </c>
      <c r="P231" s="79">
        <v>0</v>
      </c>
      <c r="Q231" s="79">
        <v>0</v>
      </c>
      <c r="R231" s="79">
        <v>0</v>
      </c>
      <c r="S231" s="79">
        <v>0</v>
      </c>
      <c r="T231" s="79">
        <v>0</v>
      </c>
      <c r="U231" s="79">
        <v>0</v>
      </c>
      <c r="V231" s="79">
        <v>0</v>
      </c>
      <c r="W231" s="79">
        <v>0</v>
      </c>
      <c r="X231" s="90">
        <v>0</v>
      </c>
    </row>
    <row r="232" spans="1:24" hidden="1" x14ac:dyDescent="0.25">
      <c r="A232" s="80" t="str">
        <v>ENHA</v>
      </c>
      <c r="B232" s="80" t="str">
        <v>Chiliquin</v>
      </c>
      <c r="C232" s="80" t="str">
        <v>O.C.</v>
      </c>
      <c r="D232" s="81">
        <v>46274</v>
      </c>
      <c r="E232" s="79">
        <v>485</v>
      </c>
      <c r="F232" s="81">
        <v>0</v>
      </c>
      <c r="G232" s="79" cm="1">
        <f t="array" ref="G232:X232">_xlfn._xlws.FILTER(Formulas!$C$2:$T$201, ISNUMBER(MATCH(Formulas!$B$2:$B$201, B232, 0)),0) * E232</f>
        <v>96.796218487394967</v>
      </c>
      <c r="H232" s="79">
        <v>337.25840336134451</v>
      </c>
      <c r="I232" s="79">
        <v>26.491596638655462</v>
      </c>
      <c r="J232" s="79">
        <v>0</v>
      </c>
      <c r="K232" s="79">
        <v>0</v>
      </c>
      <c r="L232" s="79">
        <v>0</v>
      </c>
      <c r="M232" s="79">
        <v>24.453781512605044</v>
      </c>
      <c r="N232" s="79">
        <v>0</v>
      </c>
      <c r="O232" s="79">
        <v>0</v>
      </c>
      <c r="P232" s="79">
        <v>0</v>
      </c>
      <c r="Q232" s="79">
        <v>0</v>
      </c>
      <c r="R232" s="79">
        <v>0</v>
      </c>
      <c r="S232" s="79">
        <v>0</v>
      </c>
      <c r="T232" s="79">
        <v>0</v>
      </c>
      <c r="U232" s="79">
        <v>0</v>
      </c>
      <c r="V232" s="79">
        <v>0</v>
      </c>
      <c r="W232" s="79">
        <v>0</v>
      </c>
      <c r="X232" s="90">
        <v>0</v>
      </c>
    </row>
    <row r="233" spans="1:24" hidden="1" x14ac:dyDescent="0.25">
      <c r="A233" s="80" t="str">
        <v>PENDIENTE</v>
      </c>
      <c r="B233" s="80" t="str">
        <v>Chimban</v>
      </c>
      <c r="C233" s="80" t="str">
        <v>Enero / Febrero / Marzo</v>
      </c>
      <c r="D233" s="81">
        <v>46112</v>
      </c>
      <c r="E233" s="79">
        <v>1353.21</v>
      </c>
      <c r="F233" s="81">
        <v>46124</v>
      </c>
      <c r="G233" s="79" cm="1">
        <f t="array" ref="G233:X233">_xlfn._xlws.FILTER(Formulas!$C$2:$T$201, ISNUMBER(MATCH(Formulas!$B$2:$B$201, B233, 0)),0) * E233</f>
        <v>270.642</v>
      </c>
      <c r="H233" s="79">
        <v>926.94885000000011</v>
      </c>
      <c r="I233" s="79">
        <v>47.362350000000006</v>
      </c>
      <c r="J233" s="79">
        <v>54.128399999999999</v>
      </c>
      <c r="K233" s="79">
        <v>0</v>
      </c>
      <c r="L233" s="79">
        <v>0</v>
      </c>
      <c r="M233" s="79">
        <v>54.128399999999999</v>
      </c>
      <c r="N233" s="79">
        <v>0</v>
      </c>
      <c r="O233" s="79">
        <v>0</v>
      </c>
      <c r="P233" s="79">
        <v>0</v>
      </c>
      <c r="Q233" s="79">
        <v>0</v>
      </c>
      <c r="R233" s="79">
        <v>0</v>
      </c>
      <c r="S233" s="79">
        <v>0</v>
      </c>
      <c r="T233" s="79">
        <v>0</v>
      </c>
      <c r="U233" s="79">
        <v>0</v>
      </c>
      <c r="V233" s="79">
        <v>0</v>
      </c>
      <c r="W233" s="79">
        <v>0</v>
      </c>
      <c r="X233" s="90">
        <v>0</v>
      </c>
    </row>
    <row r="234" spans="1:24" hidden="1" x14ac:dyDescent="0.25">
      <c r="A234" s="80" t="str">
        <v>PENDIENTE</v>
      </c>
      <c r="B234" s="80" t="str">
        <v>Chimban</v>
      </c>
      <c r="C234" s="80" t="str">
        <v>Abril / Mayo / Junio</v>
      </c>
      <c r="D234" s="81">
        <v>46112</v>
      </c>
      <c r="E234" s="79">
        <v>1353.21</v>
      </c>
      <c r="F234" s="80">
        <v>46124</v>
      </c>
      <c r="G234" s="79" cm="1">
        <f t="array" ref="G234:X234">_xlfn._xlws.FILTER(Formulas!$C$2:$T$201, ISNUMBER(MATCH(Formulas!$B$2:$B$201, B234, 0)),0) * E234</f>
        <v>270.642</v>
      </c>
      <c r="H234" s="79">
        <v>926.94885000000011</v>
      </c>
      <c r="I234" s="79">
        <v>47.362350000000006</v>
      </c>
      <c r="J234" s="79">
        <v>54.128399999999999</v>
      </c>
      <c r="K234" s="79">
        <v>0</v>
      </c>
      <c r="L234" s="79">
        <v>0</v>
      </c>
      <c r="M234" s="79">
        <v>54.128399999999999</v>
      </c>
      <c r="N234" s="79">
        <v>0</v>
      </c>
      <c r="O234" s="79">
        <v>0</v>
      </c>
      <c r="P234" s="79">
        <v>0</v>
      </c>
      <c r="Q234" s="79">
        <v>0</v>
      </c>
      <c r="R234" s="79">
        <v>0</v>
      </c>
      <c r="S234" s="79">
        <v>0</v>
      </c>
      <c r="T234" s="79">
        <v>0</v>
      </c>
      <c r="U234" s="79">
        <v>0</v>
      </c>
      <c r="V234" s="79">
        <v>0</v>
      </c>
      <c r="W234" s="79">
        <v>0</v>
      </c>
      <c r="X234" s="90">
        <v>0</v>
      </c>
    </row>
    <row r="235" spans="1:24" hidden="1" x14ac:dyDescent="0.25">
      <c r="A235" s="80" t="str">
        <v>PENDIENTE</v>
      </c>
      <c r="B235" s="80" t="str">
        <v>Chimban</v>
      </c>
      <c r="C235" s="80" t="str">
        <v>Julio / Agosto / Septiembre</v>
      </c>
      <c r="D235" s="81">
        <v>46203</v>
      </c>
      <c r="E235" s="79">
        <v>1353.21</v>
      </c>
      <c r="F235" s="81">
        <v>46191</v>
      </c>
      <c r="G235" s="79" cm="1">
        <f t="array" ref="G235:X235">_xlfn._xlws.FILTER(Formulas!$C$2:$T$201, ISNUMBER(MATCH(Formulas!$B$2:$B$201, B235, 0)),0) * E235</f>
        <v>270.642</v>
      </c>
      <c r="H235" s="79">
        <v>926.94885000000011</v>
      </c>
      <c r="I235" s="79">
        <v>47.362350000000006</v>
      </c>
      <c r="J235" s="79">
        <v>54.128399999999999</v>
      </c>
      <c r="K235" s="79">
        <v>0</v>
      </c>
      <c r="L235" s="79">
        <v>0</v>
      </c>
      <c r="M235" s="79">
        <v>54.128399999999999</v>
      </c>
      <c r="N235" s="79">
        <v>0</v>
      </c>
      <c r="O235" s="79">
        <v>0</v>
      </c>
      <c r="P235" s="79">
        <v>0</v>
      </c>
      <c r="Q235" s="79">
        <v>0</v>
      </c>
      <c r="R235" s="79">
        <v>0</v>
      </c>
      <c r="S235" s="79">
        <v>0</v>
      </c>
      <c r="T235" s="79">
        <v>0</v>
      </c>
      <c r="U235" s="79">
        <v>0</v>
      </c>
      <c r="V235" s="79">
        <v>0</v>
      </c>
      <c r="W235" s="79">
        <v>0</v>
      </c>
      <c r="X235" s="90">
        <v>0</v>
      </c>
    </row>
    <row r="236" spans="1:24" hidden="1" x14ac:dyDescent="0.25">
      <c r="A236" s="80" t="str">
        <v>PENDIENTE</v>
      </c>
      <c r="B236" s="80" t="str">
        <v>Chimban</v>
      </c>
      <c r="C236" s="80" t="str">
        <v>Octubre / Noviembre / Diciembre</v>
      </c>
      <c r="D236" s="81">
        <v>46295</v>
      </c>
      <c r="E236" s="79">
        <v>1353.21</v>
      </c>
      <c r="F236" s="81">
        <v>0</v>
      </c>
      <c r="G236" s="79" cm="1">
        <f t="array" ref="G236:X236">_xlfn._xlws.FILTER(Formulas!$C$2:$T$201, ISNUMBER(MATCH(Formulas!$B$2:$B$201, B236, 0)),0) * E236</f>
        <v>270.642</v>
      </c>
      <c r="H236" s="79">
        <v>926.94885000000011</v>
      </c>
      <c r="I236" s="79">
        <v>47.362350000000006</v>
      </c>
      <c r="J236" s="79">
        <v>54.128399999999999</v>
      </c>
      <c r="K236" s="79">
        <v>0</v>
      </c>
      <c r="L236" s="79">
        <v>0</v>
      </c>
      <c r="M236" s="79">
        <v>54.128399999999999</v>
      </c>
      <c r="N236" s="79">
        <v>0</v>
      </c>
      <c r="O236" s="79">
        <v>0</v>
      </c>
      <c r="P236" s="79">
        <v>0</v>
      </c>
      <c r="Q236" s="79">
        <v>0</v>
      </c>
      <c r="R236" s="79">
        <v>0</v>
      </c>
      <c r="S236" s="79">
        <v>0</v>
      </c>
      <c r="T236" s="79">
        <v>0</v>
      </c>
      <c r="U236" s="79">
        <v>0</v>
      </c>
      <c r="V236" s="79">
        <v>0</v>
      </c>
      <c r="W236" s="79">
        <v>0</v>
      </c>
      <c r="X236" s="90">
        <v>0</v>
      </c>
    </row>
    <row r="237" spans="1:24" hidden="1" x14ac:dyDescent="0.25">
      <c r="A237" s="80" t="str">
        <v>PENDIENTE</v>
      </c>
      <c r="B237" s="80" t="str">
        <v>Chocope</v>
      </c>
      <c r="C237" s="80" t="str">
        <v>Enero</v>
      </c>
      <c r="D237" s="81">
        <v>46037</v>
      </c>
      <c r="E237" s="79">
        <v>876.68</v>
      </c>
      <c r="F237" s="81">
        <v>46045</v>
      </c>
      <c r="G237" s="79" cm="1">
        <f t="array" ref="G237:X237">_xlfn._xlws.FILTER(Formulas!$C$2:$T$201, ISNUMBER(MATCH(Formulas!$B$2:$B$201, B237, 0)),0) * E237</f>
        <v>131.50199999999998</v>
      </c>
      <c r="H237" s="79">
        <v>639.9763999999999</v>
      </c>
      <c r="I237" s="79">
        <v>35.0672</v>
      </c>
      <c r="J237" s="79">
        <v>35.0672</v>
      </c>
      <c r="K237" s="79">
        <v>0</v>
      </c>
      <c r="L237" s="79">
        <v>0</v>
      </c>
      <c r="M237" s="79">
        <v>35.0672</v>
      </c>
      <c r="N237" s="79">
        <v>0</v>
      </c>
      <c r="O237" s="79">
        <v>0</v>
      </c>
      <c r="P237" s="79">
        <v>0</v>
      </c>
      <c r="Q237" s="79">
        <v>0</v>
      </c>
      <c r="R237" s="79">
        <v>0</v>
      </c>
      <c r="S237" s="79">
        <v>0</v>
      </c>
      <c r="T237" s="79">
        <v>0</v>
      </c>
      <c r="U237" s="79">
        <v>0</v>
      </c>
      <c r="V237" s="79">
        <v>0</v>
      </c>
      <c r="W237" s="79">
        <v>0</v>
      </c>
      <c r="X237" s="90">
        <v>0</v>
      </c>
    </row>
    <row r="238" spans="1:24" hidden="1" x14ac:dyDescent="0.25">
      <c r="A238" s="80" t="str">
        <v>PENDIENTE</v>
      </c>
      <c r="B238" s="80" t="str">
        <v>Chocope</v>
      </c>
      <c r="C238" s="80" t="str">
        <v>Febrero</v>
      </c>
      <c r="D238" s="81">
        <v>46045</v>
      </c>
      <c r="E238" s="79">
        <v>876.68</v>
      </c>
      <c r="F238" s="81">
        <v>46051</v>
      </c>
      <c r="G238" s="79" cm="1">
        <f t="array" ref="G238:X238">_xlfn._xlws.FILTER(Formulas!$C$2:$T$201, ISNUMBER(MATCH(Formulas!$B$2:$B$201, B238, 0)),0) * E238</f>
        <v>131.50199999999998</v>
      </c>
      <c r="H238" s="79">
        <v>639.9763999999999</v>
      </c>
      <c r="I238" s="79">
        <v>35.0672</v>
      </c>
      <c r="J238" s="79">
        <v>35.0672</v>
      </c>
      <c r="K238" s="79">
        <v>0</v>
      </c>
      <c r="L238" s="79">
        <v>0</v>
      </c>
      <c r="M238" s="79">
        <v>35.0672</v>
      </c>
      <c r="N238" s="79">
        <v>0</v>
      </c>
      <c r="O238" s="79">
        <v>0</v>
      </c>
      <c r="P238" s="79">
        <v>0</v>
      </c>
      <c r="Q238" s="79">
        <v>0</v>
      </c>
      <c r="R238" s="79">
        <v>0</v>
      </c>
      <c r="S238" s="79">
        <v>0</v>
      </c>
      <c r="T238" s="79">
        <v>0</v>
      </c>
      <c r="U238" s="79">
        <v>0</v>
      </c>
      <c r="V238" s="79">
        <v>0</v>
      </c>
      <c r="W238" s="79">
        <v>0</v>
      </c>
      <c r="X238" s="90">
        <v>0</v>
      </c>
    </row>
    <row r="239" spans="1:24" hidden="1" x14ac:dyDescent="0.25">
      <c r="A239" s="80" t="str">
        <v>PENDIENTE</v>
      </c>
      <c r="B239" s="80" t="str">
        <v>Chocope</v>
      </c>
      <c r="C239" s="80" t="str">
        <v>Marzo</v>
      </c>
      <c r="D239" s="81">
        <v>46073</v>
      </c>
      <c r="E239" s="79">
        <v>876.68</v>
      </c>
      <c r="F239" s="81">
        <v>46084</v>
      </c>
      <c r="G239" s="79" cm="1">
        <f t="array" ref="G239:X239">_xlfn._xlws.FILTER(Formulas!$C$2:$T$201, ISNUMBER(MATCH(Formulas!$B$2:$B$201, B239, 0)),0) * E239</f>
        <v>131.50199999999998</v>
      </c>
      <c r="H239" s="79">
        <v>639.9763999999999</v>
      </c>
      <c r="I239" s="79">
        <v>35.0672</v>
      </c>
      <c r="J239" s="79">
        <v>35.0672</v>
      </c>
      <c r="K239" s="79">
        <v>0</v>
      </c>
      <c r="L239" s="79">
        <v>0</v>
      </c>
      <c r="M239" s="79">
        <v>35.0672</v>
      </c>
      <c r="N239" s="79">
        <v>0</v>
      </c>
      <c r="O239" s="79">
        <v>0</v>
      </c>
      <c r="P239" s="79">
        <v>0</v>
      </c>
      <c r="Q239" s="79">
        <v>0</v>
      </c>
      <c r="R239" s="79">
        <v>0</v>
      </c>
      <c r="S239" s="79">
        <v>0</v>
      </c>
      <c r="T239" s="79">
        <v>0</v>
      </c>
      <c r="U239" s="79">
        <v>0</v>
      </c>
      <c r="V239" s="79">
        <v>0</v>
      </c>
      <c r="W239" s="79">
        <v>0</v>
      </c>
      <c r="X239" s="90">
        <v>0</v>
      </c>
    </row>
    <row r="240" spans="1:24" hidden="1" x14ac:dyDescent="0.25">
      <c r="A240" s="80" t="str">
        <v>PENDIENTE</v>
      </c>
      <c r="B240" s="80" t="str">
        <v>Chocope</v>
      </c>
      <c r="C240" s="80" t="str">
        <v>Abril</v>
      </c>
      <c r="D240" s="81">
        <v>46101</v>
      </c>
      <c r="E240" s="79">
        <v>876.68</v>
      </c>
      <c r="F240" s="81">
        <v>46101</v>
      </c>
      <c r="G240" s="79" cm="1">
        <f t="array" ref="G240:X240">_xlfn._xlws.FILTER(Formulas!$C$2:$T$201, ISNUMBER(MATCH(Formulas!$B$2:$B$201, B240, 0)),0) * E240</f>
        <v>131.50199999999998</v>
      </c>
      <c r="H240" s="79">
        <v>639.9763999999999</v>
      </c>
      <c r="I240" s="79">
        <v>35.0672</v>
      </c>
      <c r="J240" s="79">
        <v>35.0672</v>
      </c>
      <c r="K240" s="79">
        <v>0</v>
      </c>
      <c r="L240" s="79">
        <v>0</v>
      </c>
      <c r="M240" s="79">
        <v>35.0672</v>
      </c>
      <c r="N240" s="79">
        <v>0</v>
      </c>
      <c r="O240" s="79">
        <v>0</v>
      </c>
      <c r="P240" s="79">
        <v>0</v>
      </c>
      <c r="Q240" s="79">
        <v>0</v>
      </c>
      <c r="R240" s="79">
        <v>0</v>
      </c>
      <c r="S240" s="79">
        <v>0</v>
      </c>
      <c r="T240" s="79">
        <v>0</v>
      </c>
      <c r="U240" s="79">
        <v>0</v>
      </c>
      <c r="V240" s="79">
        <v>0</v>
      </c>
      <c r="W240" s="79">
        <v>0</v>
      </c>
      <c r="X240" s="90">
        <v>0</v>
      </c>
    </row>
    <row r="241" spans="1:24" hidden="1" x14ac:dyDescent="0.25">
      <c r="A241" s="80" t="str">
        <v>PENDIENTE</v>
      </c>
      <c r="B241" s="80" t="str">
        <v>Chocope</v>
      </c>
      <c r="C241" s="80" t="str">
        <v>Mayo</v>
      </c>
      <c r="D241" s="81">
        <v>46136</v>
      </c>
      <c r="E241" s="79">
        <v>876.68</v>
      </c>
      <c r="F241" s="81">
        <v>46136</v>
      </c>
      <c r="G241" s="79" cm="1">
        <f t="array" ref="G241:X241">_xlfn._xlws.FILTER(Formulas!$C$2:$T$201, ISNUMBER(MATCH(Formulas!$B$2:$B$201, B241, 0)),0) * E241</f>
        <v>131.50199999999998</v>
      </c>
      <c r="H241" s="79">
        <v>639.9763999999999</v>
      </c>
      <c r="I241" s="79">
        <v>35.0672</v>
      </c>
      <c r="J241" s="79">
        <v>35.0672</v>
      </c>
      <c r="K241" s="79">
        <v>0</v>
      </c>
      <c r="L241" s="79">
        <v>0</v>
      </c>
      <c r="M241" s="79">
        <v>35.0672</v>
      </c>
      <c r="N241" s="79">
        <v>0</v>
      </c>
      <c r="O241" s="79">
        <v>0</v>
      </c>
      <c r="P241" s="79">
        <v>0</v>
      </c>
      <c r="Q241" s="79">
        <v>0</v>
      </c>
      <c r="R241" s="79">
        <v>0</v>
      </c>
      <c r="S241" s="79">
        <v>0</v>
      </c>
      <c r="T241" s="79">
        <v>0</v>
      </c>
      <c r="U241" s="79">
        <v>0</v>
      </c>
      <c r="V241" s="79">
        <v>0</v>
      </c>
      <c r="W241" s="79">
        <v>0</v>
      </c>
      <c r="X241" s="90">
        <v>0</v>
      </c>
    </row>
    <row r="242" spans="1:24" hidden="1" x14ac:dyDescent="0.25">
      <c r="A242" s="80" t="str">
        <v>PENDIENTE</v>
      </c>
      <c r="B242" s="80" t="str">
        <v>Chocope</v>
      </c>
      <c r="C242" s="80" t="str">
        <v>Junio</v>
      </c>
      <c r="D242" s="81">
        <v>46164</v>
      </c>
      <c r="E242" s="79">
        <v>876.68</v>
      </c>
      <c r="F242" s="81">
        <v>46163</v>
      </c>
      <c r="G242" s="79" cm="1">
        <f t="array" ref="G242:X242">_xlfn._xlws.FILTER(Formulas!$C$2:$T$201, ISNUMBER(MATCH(Formulas!$B$2:$B$201, B242, 0)),0) * E242</f>
        <v>131.50199999999998</v>
      </c>
      <c r="H242" s="79">
        <v>639.9763999999999</v>
      </c>
      <c r="I242" s="79">
        <v>35.0672</v>
      </c>
      <c r="J242" s="79">
        <v>35.0672</v>
      </c>
      <c r="K242" s="79">
        <v>0</v>
      </c>
      <c r="L242" s="79">
        <v>0</v>
      </c>
      <c r="M242" s="79">
        <v>35.0672</v>
      </c>
      <c r="N242" s="79">
        <v>0</v>
      </c>
      <c r="O242" s="79">
        <v>0</v>
      </c>
      <c r="P242" s="79">
        <v>0</v>
      </c>
      <c r="Q242" s="79">
        <v>0</v>
      </c>
      <c r="R242" s="79">
        <v>0</v>
      </c>
      <c r="S242" s="79">
        <v>0</v>
      </c>
      <c r="T242" s="79">
        <v>0</v>
      </c>
      <c r="U242" s="79">
        <v>0</v>
      </c>
      <c r="V242" s="79">
        <v>0</v>
      </c>
      <c r="W242" s="79">
        <v>0</v>
      </c>
      <c r="X242" s="90">
        <v>0</v>
      </c>
    </row>
    <row r="243" spans="1:24" hidden="1" x14ac:dyDescent="0.25">
      <c r="A243" s="80" t="str">
        <v>PENDIENTE</v>
      </c>
      <c r="B243" s="80" t="str">
        <v>Chocope</v>
      </c>
      <c r="C243" s="80" t="str">
        <v>Julio</v>
      </c>
      <c r="D243" s="81">
        <v>46192</v>
      </c>
      <c r="E243" s="79">
        <v>876.68</v>
      </c>
      <c r="F243" s="81">
        <v>46198</v>
      </c>
      <c r="G243" s="79" cm="1">
        <f t="array" ref="G243:X243">_xlfn._xlws.FILTER(Formulas!$C$2:$T$201, ISNUMBER(MATCH(Formulas!$B$2:$B$201, B243, 0)),0) * E243</f>
        <v>131.50199999999998</v>
      </c>
      <c r="H243" s="79">
        <v>639.9763999999999</v>
      </c>
      <c r="I243" s="79">
        <v>35.0672</v>
      </c>
      <c r="J243" s="79">
        <v>35.0672</v>
      </c>
      <c r="K243" s="79">
        <v>0</v>
      </c>
      <c r="L243" s="79">
        <v>0</v>
      </c>
      <c r="M243" s="79">
        <v>35.0672</v>
      </c>
      <c r="N243" s="79">
        <v>0</v>
      </c>
      <c r="O243" s="79">
        <v>0</v>
      </c>
      <c r="P243" s="79">
        <v>0</v>
      </c>
      <c r="Q243" s="79">
        <v>0</v>
      </c>
      <c r="R243" s="79">
        <v>0</v>
      </c>
      <c r="S243" s="79">
        <v>0</v>
      </c>
      <c r="T243" s="79">
        <v>0</v>
      </c>
      <c r="U243" s="79">
        <v>0</v>
      </c>
      <c r="V243" s="79">
        <v>0</v>
      </c>
      <c r="W243" s="79">
        <v>0</v>
      </c>
      <c r="X243" s="90">
        <v>0</v>
      </c>
    </row>
    <row r="244" spans="1:24" hidden="1" x14ac:dyDescent="0.25">
      <c r="A244" s="80" t="str">
        <v>PENDIENTE</v>
      </c>
      <c r="B244" s="80" t="str">
        <v>Chocope</v>
      </c>
      <c r="C244" s="80" t="str">
        <v>Agosto</v>
      </c>
      <c r="D244" s="81">
        <v>46227</v>
      </c>
      <c r="E244" s="79">
        <v>876.68</v>
      </c>
      <c r="F244" s="80">
        <v>46227</v>
      </c>
      <c r="G244" s="79" cm="1">
        <f t="array" ref="G244:X244">_xlfn._xlws.FILTER(Formulas!$C$2:$T$201, ISNUMBER(MATCH(Formulas!$B$2:$B$201, B244, 0)),0) * E244</f>
        <v>131.50199999999998</v>
      </c>
      <c r="H244" s="79">
        <v>639.9763999999999</v>
      </c>
      <c r="I244" s="79">
        <v>35.0672</v>
      </c>
      <c r="J244" s="79">
        <v>35.0672</v>
      </c>
      <c r="K244" s="79">
        <v>0</v>
      </c>
      <c r="L244" s="79">
        <v>0</v>
      </c>
      <c r="M244" s="79">
        <v>35.0672</v>
      </c>
      <c r="N244" s="79">
        <v>0</v>
      </c>
      <c r="O244" s="79">
        <v>0</v>
      </c>
      <c r="P244" s="79">
        <v>0</v>
      </c>
      <c r="Q244" s="79">
        <v>0</v>
      </c>
      <c r="R244" s="79">
        <v>0</v>
      </c>
      <c r="S244" s="79">
        <v>0</v>
      </c>
      <c r="T244" s="79">
        <v>0</v>
      </c>
      <c r="U244" s="79">
        <v>0</v>
      </c>
      <c r="V244" s="79">
        <v>0</v>
      </c>
      <c r="W244" s="79">
        <v>0</v>
      </c>
      <c r="X244" s="90">
        <v>0</v>
      </c>
    </row>
    <row r="245" spans="1:24" hidden="1" x14ac:dyDescent="0.25">
      <c r="A245" s="80" t="str">
        <v>PENDIENTE</v>
      </c>
      <c r="B245" s="80" t="str">
        <v>Chocope</v>
      </c>
      <c r="C245" s="80" t="str">
        <v>Setiembre</v>
      </c>
      <c r="D245" s="81">
        <v>46255</v>
      </c>
      <c r="E245" s="79">
        <v>876.68</v>
      </c>
      <c r="F245" s="80">
        <v>46259</v>
      </c>
      <c r="G245" s="79" cm="1">
        <f t="array" ref="G245:X245">_xlfn._xlws.FILTER(Formulas!$C$2:$T$201, ISNUMBER(MATCH(Formulas!$B$2:$B$201, B245, 0)),0) * E245</f>
        <v>131.50199999999998</v>
      </c>
      <c r="H245" s="79">
        <v>639.9763999999999</v>
      </c>
      <c r="I245" s="79">
        <v>35.0672</v>
      </c>
      <c r="J245" s="79">
        <v>35.0672</v>
      </c>
      <c r="K245" s="79">
        <v>0</v>
      </c>
      <c r="L245" s="79">
        <v>0</v>
      </c>
      <c r="M245" s="79">
        <v>35.0672</v>
      </c>
      <c r="N245" s="79">
        <v>0</v>
      </c>
      <c r="O245" s="79">
        <v>0</v>
      </c>
      <c r="P245" s="79">
        <v>0</v>
      </c>
      <c r="Q245" s="79">
        <v>0</v>
      </c>
      <c r="R245" s="79">
        <v>0</v>
      </c>
      <c r="S245" s="79">
        <v>0</v>
      </c>
      <c r="T245" s="79">
        <v>0</v>
      </c>
      <c r="U245" s="79">
        <v>0</v>
      </c>
      <c r="V245" s="79">
        <v>0</v>
      </c>
      <c r="W245" s="79">
        <v>0</v>
      </c>
      <c r="X245" s="90">
        <v>0</v>
      </c>
    </row>
    <row r="246" spans="1:24" hidden="1" x14ac:dyDescent="0.25">
      <c r="A246" s="80" t="str">
        <v>PENDIENTE</v>
      </c>
      <c r="B246" s="80" t="str">
        <v>Chocope</v>
      </c>
      <c r="C246" s="80" t="str">
        <v>Octubre</v>
      </c>
      <c r="D246" s="81">
        <v>46283</v>
      </c>
      <c r="E246" s="79">
        <v>876.68</v>
      </c>
      <c r="F246" s="80">
        <v>46294</v>
      </c>
      <c r="G246" s="79" cm="1">
        <f t="array" ref="G246:X246">_xlfn._xlws.FILTER(Formulas!$C$2:$T$201, ISNUMBER(MATCH(Formulas!$B$2:$B$201, B246, 0)),0) * E246</f>
        <v>131.50199999999998</v>
      </c>
      <c r="H246" s="79">
        <v>639.9763999999999</v>
      </c>
      <c r="I246" s="79">
        <v>35.0672</v>
      </c>
      <c r="J246" s="79">
        <v>35.0672</v>
      </c>
      <c r="K246" s="79">
        <v>0</v>
      </c>
      <c r="L246" s="79">
        <v>0</v>
      </c>
      <c r="M246" s="79">
        <v>35.0672</v>
      </c>
      <c r="N246" s="79">
        <v>0</v>
      </c>
      <c r="O246" s="79">
        <v>0</v>
      </c>
      <c r="P246" s="79">
        <v>0</v>
      </c>
      <c r="Q246" s="79">
        <v>0</v>
      </c>
      <c r="R246" s="79">
        <v>0</v>
      </c>
      <c r="S246" s="79">
        <v>0</v>
      </c>
      <c r="T246" s="79">
        <v>0</v>
      </c>
      <c r="U246" s="79">
        <v>0</v>
      </c>
      <c r="V246" s="79">
        <v>0</v>
      </c>
      <c r="W246" s="79">
        <v>0</v>
      </c>
      <c r="X246" s="90">
        <v>0</v>
      </c>
    </row>
    <row r="247" spans="1:24" hidden="1" x14ac:dyDescent="0.25">
      <c r="A247" s="80" t="str">
        <v>PENDIENTE</v>
      </c>
      <c r="B247" s="80" t="str">
        <v>Chocope</v>
      </c>
      <c r="C247" s="80" t="str">
        <v>Noviembre</v>
      </c>
      <c r="D247" s="81">
        <v>46318</v>
      </c>
      <c r="E247" s="79">
        <v>876.68</v>
      </c>
      <c r="F247" s="81">
        <v>0</v>
      </c>
      <c r="G247" s="79" cm="1">
        <f t="array" ref="G247:X247">_xlfn._xlws.FILTER(Formulas!$C$2:$T$201, ISNUMBER(MATCH(Formulas!$B$2:$B$201, B247, 0)),0) * E247</f>
        <v>131.50199999999998</v>
      </c>
      <c r="H247" s="79">
        <v>639.9763999999999</v>
      </c>
      <c r="I247" s="79">
        <v>35.0672</v>
      </c>
      <c r="J247" s="79">
        <v>35.0672</v>
      </c>
      <c r="K247" s="79">
        <v>0</v>
      </c>
      <c r="L247" s="79">
        <v>0</v>
      </c>
      <c r="M247" s="79">
        <v>35.0672</v>
      </c>
      <c r="N247" s="79">
        <v>0</v>
      </c>
      <c r="O247" s="79">
        <v>0</v>
      </c>
      <c r="P247" s="79">
        <v>0</v>
      </c>
      <c r="Q247" s="79">
        <v>0</v>
      </c>
      <c r="R247" s="79">
        <v>0</v>
      </c>
      <c r="S247" s="79">
        <v>0</v>
      </c>
      <c r="T247" s="79">
        <v>0</v>
      </c>
      <c r="U247" s="79">
        <v>0</v>
      </c>
      <c r="V247" s="79">
        <v>0</v>
      </c>
      <c r="W247" s="79">
        <v>0</v>
      </c>
      <c r="X247" s="90">
        <v>0</v>
      </c>
    </row>
    <row r="248" spans="1:24" hidden="1" x14ac:dyDescent="0.25">
      <c r="A248" s="80" t="str">
        <v>PENDIENTE</v>
      </c>
      <c r="B248" s="80" t="str">
        <v>Chocope</v>
      </c>
      <c r="C248" s="80" t="str">
        <v>Diciembre</v>
      </c>
      <c r="D248" s="81">
        <v>46346</v>
      </c>
      <c r="E248" s="79">
        <v>876.68</v>
      </c>
      <c r="F248" s="81">
        <v>0</v>
      </c>
      <c r="G248" s="79" cm="1">
        <f t="array" ref="G248:X248">_xlfn._xlws.FILTER(Formulas!$C$2:$T$201, ISNUMBER(MATCH(Formulas!$B$2:$B$201, B248, 0)),0) * E248</f>
        <v>131.50199999999998</v>
      </c>
      <c r="H248" s="79">
        <v>639.9763999999999</v>
      </c>
      <c r="I248" s="79">
        <v>35.0672</v>
      </c>
      <c r="J248" s="79">
        <v>35.0672</v>
      </c>
      <c r="K248" s="79">
        <v>0</v>
      </c>
      <c r="L248" s="79">
        <v>0</v>
      </c>
      <c r="M248" s="79">
        <v>35.0672</v>
      </c>
      <c r="N248" s="79">
        <v>0</v>
      </c>
      <c r="O248" s="79">
        <v>0</v>
      </c>
      <c r="P248" s="79">
        <v>0</v>
      </c>
      <c r="Q248" s="79">
        <v>0</v>
      </c>
      <c r="R248" s="79">
        <v>0</v>
      </c>
      <c r="S248" s="79">
        <v>0</v>
      </c>
      <c r="T248" s="79">
        <v>0</v>
      </c>
      <c r="U248" s="79">
        <v>0</v>
      </c>
      <c r="V248" s="79">
        <v>0</v>
      </c>
      <c r="W248" s="79">
        <v>0</v>
      </c>
      <c r="X248" s="90">
        <v>0</v>
      </c>
    </row>
    <row r="249" spans="1:24" hidden="1" x14ac:dyDescent="0.25">
      <c r="A249" s="80" t="str">
        <v>PENDIENTE</v>
      </c>
      <c r="B249" s="80" t="str">
        <v>Chongoyape</v>
      </c>
      <c r="C249" s="80" t="str">
        <v>Enero</v>
      </c>
      <c r="D249" s="81">
        <v>46045</v>
      </c>
      <c r="E249" s="79">
        <v>1672.11</v>
      </c>
      <c r="F249" s="81">
        <v>46044</v>
      </c>
      <c r="G249" s="79" cm="1">
        <f t="array" ref="G249:X249">_xlfn._xlws.FILTER(Formulas!$C$2:$T$201, ISNUMBER(MATCH(Formulas!$B$2:$B$201, B249, 0)),0) * E249</f>
        <v>188.89945606694559</v>
      </c>
      <c r="H249" s="79">
        <v>704.62495517035256</v>
      </c>
      <c r="I249" s="79">
        <v>58.968613269575606</v>
      </c>
      <c r="J249" s="79">
        <v>66.964357441721447</v>
      </c>
      <c r="K249" s="79">
        <v>0</v>
      </c>
      <c r="L249" s="79">
        <v>0</v>
      </c>
      <c r="M249" s="79">
        <v>66.964357441721447</v>
      </c>
      <c r="N249" s="79">
        <v>0</v>
      </c>
      <c r="O249" s="79">
        <v>585.6882606096832</v>
      </c>
      <c r="P249" s="79">
        <v>0</v>
      </c>
      <c r="Q249" s="79">
        <v>0</v>
      </c>
      <c r="R249" s="79">
        <v>0</v>
      </c>
      <c r="S249" s="79">
        <v>0</v>
      </c>
      <c r="T249" s="79">
        <v>0</v>
      </c>
      <c r="U249" s="79">
        <v>0</v>
      </c>
      <c r="V249" s="79">
        <v>0</v>
      </c>
      <c r="W249" s="79">
        <v>0</v>
      </c>
      <c r="X249" s="90">
        <v>0</v>
      </c>
    </row>
    <row r="250" spans="1:24" hidden="1" x14ac:dyDescent="0.25">
      <c r="A250" s="80" t="str">
        <v>PENDIENTE</v>
      </c>
      <c r="B250" s="80" t="str">
        <v>Chongoyape</v>
      </c>
      <c r="C250" s="80" t="str">
        <v>Febrero</v>
      </c>
      <c r="D250" s="81">
        <v>46045</v>
      </c>
      <c r="E250" s="79">
        <v>1672.11</v>
      </c>
      <c r="F250" s="81">
        <v>46044</v>
      </c>
      <c r="G250" s="79" cm="1">
        <f t="array" ref="G250:X250">_xlfn._xlws.FILTER(Formulas!$C$2:$T$201, ISNUMBER(MATCH(Formulas!$B$2:$B$201, B250, 0)),0) * E250</f>
        <v>188.89945606694559</v>
      </c>
      <c r="H250" s="79">
        <v>704.62495517035256</v>
      </c>
      <c r="I250" s="79">
        <v>58.968613269575606</v>
      </c>
      <c r="J250" s="79">
        <v>66.964357441721447</v>
      </c>
      <c r="K250" s="79">
        <v>0</v>
      </c>
      <c r="L250" s="79">
        <v>0</v>
      </c>
      <c r="M250" s="79">
        <v>66.964357441721447</v>
      </c>
      <c r="N250" s="79">
        <v>0</v>
      </c>
      <c r="O250" s="79">
        <v>585.6882606096832</v>
      </c>
      <c r="P250" s="79">
        <v>0</v>
      </c>
      <c r="Q250" s="79">
        <v>0</v>
      </c>
      <c r="R250" s="79">
        <v>0</v>
      </c>
      <c r="S250" s="79">
        <v>0</v>
      </c>
      <c r="T250" s="79">
        <v>0</v>
      </c>
      <c r="U250" s="79">
        <v>0</v>
      </c>
      <c r="V250" s="79">
        <v>0</v>
      </c>
      <c r="W250" s="79">
        <v>0</v>
      </c>
      <c r="X250" s="90">
        <v>0</v>
      </c>
    </row>
    <row r="251" spans="1:24" hidden="1" x14ac:dyDescent="0.25">
      <c r="A251" s="80" t="str">
        <v>PENDIENTE</v>
      </c>
      <c r="B251" s="80" t="str">
        <v>Chongoyape</v>
      </c>
      <c r="C251" s="80" t="str">
        <v>Marzo</v>
      </c>
      <c r="D251" s="81">
        <v>46078</v>
      </c>
      <c r="E251" s="79">
        <v>1672.11</v>
      </c>
      <c r="F251" s="81">
        <v>46077</v>
      </c>
      <c r="G251" s="79" cm="1">
        <f t="array" ref="G251:X251">_xlfn._xlws.FILTER(Formulas!$C$2:$T$201, ISNUMBER(MATCH(Formulas!$B$2:$B$201, B251, 0)),0) * E251</f>
        <v>188.89945606694559</v>
      </c>
      <c r="H251" s="79">
        <v>704.62495517035256</v>
      </c>
      <c r="I251" s="79">
        <v>58.968613269575606</v>
      </c>
      <c r="J251" s="79">
        <v>66.964357441721447</v>
      </c>
      <c r="K251" s="79">
        <v>0</v>
      </c>
      <c r="L251" s="79">
        <v>0</v>
      </c>
      <c r="M251" s="79">
        <v>66.964357441721447</v>
      </c>
      <c r="N251" s="79">
        <v>0</v>
      </c>
      <c r="O251" s="79">
        <v>585.6882606096832</v>
      </c>
      <c r="P251" s="79">
        <v>0</v>
      </c>
      <c r="Q251" s="79">
        <v>0</v>
      </c>
      <c r="R251" s="79">
        <v>0</v>
      </c>
      <c r="S251" s="79">
        <v>0</v>
      </c>
      <c r="T251" s="79">
        <v>0</v>
      </c>
      <c r="U251" s="79">
        <v>0</v>
      </c>
      <c r="V251" s="79">
        <v>0</v>
      </c>
      <c r="W251" s="79">
        <v>0</v>
      </c>
      <c r="X251" s="90">
        <v>0</v>
      </c>
    </row>
    <row r="252" spans="1:24" hidden="1" x14ac:dyDescent="0.25">
      <c r="A252" s="80" t="str">
        <v>PENDIENTE</v>
      </c>
      <c r="B252" s="80" t="str">
        <v>Chongoyape</v>
      </c>
      <c r="C252" s="80" t="str">
        <v>Abril</v>
      </c>
      <c r="D252" s="81">
        <v>46106</v>
      </c>
      <c r="E252" s="79">
        <v>1672.11</v>
      </c>
      <c r="F252" s="81">
        <v>46105</v>
      </c>
      <c r="G252" s="79" cm="1">
        <f t="array" ref="G252:X252">_xlfn._xlws.FILTER(Formulas!$C$2:$T$201, ISNUMBER(MATCH(Formulas!$B$2:$B$201, B252, 0)),0) * E252</f>
        <v>188.89945606694559</v>
      </c>
      <c r="H252" s="79">
        <v>704.62495517035256</v>
      </c>
      <c r="I252" s="79">
        <v>58.968613269575606</v>
      </c>
      <c r="J252" s="79">
        <v>66.964357441721447</v>
      </c>
      <c r="K252" s="79">
        <v>0</v>
      </c>
      <c r="L252" s="79">
        <v>0</v>
      </c>
      <c r="M252" s="79">
        <v>66.964357441721447</v>
      </c>
      <c r="N252" s="79">
        <v>0</v>
      </c>
      <c r="O252" s="79">
        <v>585.6882606096832</v>
      </c>
      <c r="P252" s="79">
        <v>0</v>
      </c>
      <c r="Q252" s="79">
        <v>0</v>
      </c>
      <c r="R252" s="79">
        <v>0</v>
      </c>
      <c r="S252" s="79">
        <v>0</v>
      </c>
      <c r="T252" s="79">
        <v>0</v>
      </c>
      <c r="U252" s="79">
        <v>0</v>
      </c>
      <c r="V252" s="79">
        <v>0</v>
      </c>
      <c r="W252" s="79">
        <v>0</v>
      </c>
      <c r="X252" s="90">
        <v>0</v>
      </c>
    </row>
    <row r="253" spans="1:24" hidden="1" x14ac:dyDescent="0.25">
      <c r="A253" s="80" t="str">
        <v>PENDIENTE</v>
      </c>
      <c r="B253" s="80" t="str">
        <v>Chongoyape</v>
      </c>
      <c r="C253" s="80" t="str">
        <v>Mayo</v>
      </c>
      <c r="D253" s="81">
        <v>46136</v>
      </c>
      <c r="E253" s="79">
        <v>1672.11</v>
      </c>
      <c r="F253" s="81">
        <v>46138</v>
      </c>
      <c r="G253" s="79" cm="1">
        <f t="array" ref="G253:X253">_xlfn._xlws.FILTER(Formulas!$C$2:$T$201, ISNUMBER(MATCH(Formulas!$B$2:$B$201, B253, 0)),0) * E253</f>
        <v>188.89945606694559</v>
      </c>
      <c r="H253" s="79">
        <v>704.62495517035256</v>
      </c>
      <c r="I253" s="79">
        <v>58.968613269575606</v>
      </c>
      <c r="J253" s="79">
        <v>66.964357441721447</v>
      </c>
      <c r="K253" s="79">
        <v>0</v>
      </c>
      <c r="L253" s="79">
        <v>0</v>
      </c>
      <c r="M253" s="79">
        <v>66.964357441721447</v>
      </c>
      <c r="N253" s="79">
        <v>0</v>
      </c>
      <c r="O253" s="79">
        <v>585.6882606096832</v>
      </c>
      <c r="P253" s="79">
        <v>0</v>
      </c>
      <c r="Q253" s="79">
        <v>0</v>
      </c>
      <c r="R253" s="79">
        <v>0</v>
      </c>
      <c r="S253" s="79">
        <v>0</v>
      </c>
      <c r="T253" s="79">
        <v>0</v>
      </c>
      <c r="U253" s="79">
        <v>0</v>
      </c>
      <c r="V253" s="79">
        <v>0</v>
      </c>
      <c r="W253" s="79">
        <v>0</v>
      </c>
      <c r="X253" s="90">
        <v>0</v>
      </c>
    </row>
    <row r="254" spans="1:24" hidden="1" x14ac:dyDescent="0.25">
      <c r="A254" s="80" t="str">
        <v>PENDIENTE</v>
      </c>
      <c r="B254" s="80" t="str">
        <v>Chongoyape</v>
      </c>
      <c r="C254" s="80" t="str">
        <v>Junio</v>
      </c>
      <c r="D254" s="81">
        <v>46167</v>
      </c>
      <c r="E254" s="79">
        <v>1672.11</v>
      </c>
      <c r="F254" s="81">
        <v>46167</v>
      </c>
      <c r="G254" s="79" cm="1">
        <f t="array" ref="G254:X254">_xlfn._xlws.FILTER(Formulas!$C$2:$T$201, ISNUMBER(MATCH(Formulas!$B$2:$B$201, B254, 0)),0) * E254</f>
        <v>188.89945606694559</v>
      </c>
      <c r="H254" s="79">
        <v>704.62495517035256</v>
      </c>
      <c r="I254" s="79">
        <v>58.968613269575606</v>
      </c>
      <c r="J254" s="79">
        <v>66.964357441721447</v>
      </c>
      <c r="K254" s="79">
        <v>0</v>
      </c>
      <c r="L254" s="79">
        <v>0</v>
      </c>
      <c r="M254" s="79">
        <v>66.964357441721447</v>
      </c>
      <c r="N254" s="79">
        <v>0</v>
      </c>
      <c r="O254" s="79">
        <v>585.6882606096832</v>
      </c>
      <c r="P254" s="79">
        <v>0</v>
      </c>
      <c r="Q254" s="79">
        <v>0</v>
      </c>
      <c r="R254" s="79">
        <v>0</v>
      </c>
      <c r="S254" s="79">
        <v>0</v>
      </c>
      <c r="T254" s="79">
        <v>0</v>
      </c>
      <c r="U254" s="79">
        <v>0</v>
      </c>
      <c r="V254" s="79">
        <v>0</v>
      </c>
      <c r="W254" s="79">
        <v>0</v>
      </c>
      <c r="X254" s="90">
        <v>0</v>
      </c>
    </row>
    <row r="255" spans="1:24" hidden="1" x14ac:dyDescent="0.25">
      <c r="A255" s="80" t="str">
        <v>PENDIENTE</v>
      </c>
      <c r="B255" s="80" t="str">
        <v>Chongoyape</v>
      </c>
      <c r="C255" s="80" t="str">
        <v>Julio</v>
      </c>
      <c r="D255" s="81">
        <v>46198</v>
      </c>
      <c r="E255" s="79">
        <v>1672.11</v>
      </c>
      <c r="F255" s="81">
        <v>46198</v>
      </c>
      <c r="G255" s="79" cm="1">
        <f t="array" ref="G255:X255">_xlfn._xlws.FILTER(Formulas!$C$2:$T$201, ISNUMBER(MATCH(Formulas!$B$2:$B$201, B255, 0)),0) * E255</f>
        <v>188.89945606694559</v>
      </c>
      <c r="H255" s="79">
        <v>704.62495517035256</v>
      </c>
      <c r="I255" s="79">
        <v>58.968613269575606</v>
      </c>
      <c r="J255" s="79">
        <v>66.964357441721447</v>
      </c>
      <c r="K255" s="79">
        <v>0</v>
      </c>
      <c r="L255" s="79">
        <v>0</v>
      </c>
      <c r="M255" s="79">
        <v>66.964357441721447</v>
      </c>
      <c r="N255" s="79">
        <v>0</v>
      </c>
      <c r="O255" s="79">
        <v>585.6882606096832</v>
      </c>
      <c r="P255" s="79">
        <v>0</v>
      </c>
      <c r="Q255" s="79">
        <v>0</v>
      </c>
      <c r="R255" s="79">
        <v>0</v>
      </c>
      <c r="S255" s="79">
        <v>0</v>
      </c>
      <c r="T255" s="79">
        <v>0</v>
      </c>
      <c r="U255" s="79">
        <v>0</v>
      </c>
      <c r="V255" s="79">
        <v>0</v>
      </c>
      <c r="W255" s="79">
        <v>0</v>
      </c>
      <c r="X255" s="90">
        <v>0</v>
      </c>
    </row>
    <row r="256" spans="1:24" hidden="1" x14ac:dyDescent="0.25">
      <c r="A256" s="80" t="str">
        <v>PENDIENTE</v>
      </c>
      <c r="B256" s="80" t="str">
        <v>Chongoyape</v>
      </c>
      <c r="C256" s="80" t="str">
        <v>Agosto</v>
      </c>
      <c r="D256" s="81">
        <v>46227</v>
      </c>
      <c r="E256" s="79">
        <v>1672.11</v>
      </c>
      <c r="F256" s="80">
        <v>46227</v>
      </c>
      <c r="G256" s="79" cm="1">
        <f t="array" ref="G256:X256">_xlfn._xlws.FILTER(Formulas!$C$2:$T$201, ISNUMBER(MATCH(Formulas!$B$2:$B$201, B256, 0)),0) * E256</f>
        <v>188.89945606694559</v>
      </c>
      <c r="H256" s="79">
        <v>704.62495517035256</v>
      </c>
      <c r="I256" s="79">
        <v>58.968613269575606</v>
      </c>
      <c r="J256" s="79">
        <v>66.964357441721447</v>
      </c>
      <c r="K256" s="79">
        <v>0</v>
      </c>
      <c r="L256" s="79">
        <v>0</v>
      </c>
      <c r="M256" s="79">
        <v>66.964357441721447</v>
      </c>
      <c r="N256" s="79">
        <v>0</v>
      </c>
      <c r="O256" s="79">
        <v>585.6882606096832</v>
      </c>
      <c r="P256" s="79">
        <v>0</v>
      </c>
      <c r="Q256" s="79">
        <v>0</v>
      </c>
      <c r="R256" s="79">
        <v>0</v>
      </c>
      <c r="S256" s="79">
        <v>0</v>
      </c>
      <c r="T256" s="79">
        <v>0</v>
      </c>
      <c r="U256" s="79">
        <v>0</v>
      </c>
      <c r="V256" s="79">
        <v>0</v>
      </c>
      <c r="W256" s="79">
        <v>0</v>
      </c>
      <c r="X256" s="90">
        <v>0</v>
      </c>
    </row>
    <row r="257" spans="1:24" hidden="1" x14ac:dyDescent="0.25">
      <c r="A257" s="80" t="str">
        <v>PENDIENTE</v>
      </c>
      <c r="B257" s="80" t="str">
        <v>Chongoyape</v>
      </c>
      <c r="C257" s="80" t="str">
        <v>Setiembre</v>
      </c>
      <c r="D257" s="81">
        <v>46258</v>
      </c>
      <c r="E257" s="79">
        <v>1672.11</v>
      </c>
      <c r="F257" s="80">
        <v>46254</v>
      </c>
      <c r="G257" s="79" cm="1">
        <f t="array" ref="G257:X257">_xlfn._xlws.FILTER(Formulas!$C$2:$T$201, ISNUMBER(MATCH(Formulas!$B$2:$B$201, B257, 0)),0) * E257</f>
        <v>188.89945606694559</v>
      </c>
      <c r="H257" s="79">
        <v>704.62495517035256</v>
      </c>
      <c r="I257" s="79">
        <v>58.968613269575606</v>
      </c>
      <c r="J257" s="79">
        <v>66.964357441721447</v>
      </c>
      <c r="K257" s="79">
        <v>0</v>
      </c>
      <c r="L257" s="79">
        <v>0</v>
      </c>
      <c r="M257" s="79">
        <v>66.964357441721447</v>
      </c>
      <c r="N257" s="79">
        <v>0</v>
      </c>
      <c r="O257" s="79">
        <v>585.6882606096832</v>
      </c>
      <c r="P257" s="79">
        <v>0</v>
      </c>
      <c r="Q257" s="79">
        <v>0</v>
      </c>
      <c r="R257" s="79">
        <v>0</v>
      </c>
      <c r="S257" s="79">
        <v>0</v>
      </c>
      <c r="T257" s="79">
        <v>0</v>
      </c>
      <c r="U257" s="79">
        <v>0</v>
      </c>
      <c r="V257" s="79">
        <v>0</v>
      </c>
      <c r="W257" s="79">
        <v>0</v>
      </c>
      <c r="X257" s="90">
        <v>0</v>
      </c>
    </row>
    <row r="258" spans="1:24" hidden="1" x14ac:dyDescent="0.25">
      <c r="A258" s="80" t="str">
        <v>PENDIENTE</v>
      </c>
      <c r="B258" s="80" t="str">
        <v>Chongoyape</v>
      </c>
      <c r="C258" s="80" t="str">
        <v>Octubre</v>
      </c>
      <c r="D258" s="81">
        <v>46290</v>
      </c>
      <c r="E258" s="79">
        <v>1672.11</v>
      </c>
      <c r="F258" s="80">
        <v>46294</v>
      </c>
      <c r="G258" s="79" cm="1">
        <f t="array" ref="G258:X258">_xlfn._xlws.FILTER(Formulas!$C$2:$T$201, ISNUMBER(MATCH(Formulas!$B$2:$B$201, B258, 0)),0) * E258</f>
        <v>188.89945606694559</v>
      </c>
      <c r="H258" s="79">
        <v>704.62495517035256</v>
      </c>
      <c r="I258" s="79">
        <v>58.968613269575606</v>
      </c>
      <c r="J258" s="79">
        <v>66.964357441721447</v>
      </c>
      <c r="K258" s="79">
        <v>0</v>
      </c>
      <c r="L258" s="79">
        <v>0</v>
      </c>
      <c r="M258" s="79">
        <v>66.964357441721447</v>
      </c>
      <c r="N258" s="79">
        <v>0</v>
      </c>
      <c r="O258" s="79">
        <v>585.6882606096832</v>
      </c>
      <c r="P258" s="79">
        <v>0</v>
      </c>
      <c r="Q258" s="79">
        <v>0</v>
      </c>
      <c r="R258" s="79">
        <v>0</v>
      </c>
      <c r="S258" s="79">
        <v>0</v>
      </c>
      <c r="T258" s="79">
        <v>0</v>
      </c>
      <c r="U258" s="79">
        <v>0</v>
      </c>
      <c r="V258" s="79">
        <v>0</v>
      </c>
      <c r="W258" s="79">
        <v>0</v>
      </c>
      <c r="X258" s="90">
        <v>0</v>
      </c>
    </row>
    <row r="259" spans="1:24" hidden="1" x14ac:dyDescent="0.25">
      <c r="A259" s="80" t="str">
        <v>PENDIENTE</v>
      </c>
      <c r="B259" s="80" t="str">
        <v>Chongoyape</v>
      </c>
      <c r="C259" s="80" t="str">
        <v>Noviembre</v>
      </c>
      <c r="D259" s="81">
        <v>46318</v>
      </c>
      <c r="E259" s="79">
        <v>1672.11</v>
      </c>
      <c r="F259" s="81">
        <v>0</v>
      </c>
      <c r="G259" s="79" cm="1">
        <f t="array" ref="G259:X259">_xlfn._xlws.FILTER(Formulas!$C$2:$T$201, ISNUMBER(MATCH(Formulas!$B$2:$B$201, B259, 0)),0) * E259</f>
        <v>188.89945606694559</v>
      </c>
      <c r="H259" s="79">
        <v>704.62495517035256</v>
      </c>
      <c r="I259" s="79">
        <v>58.968613269575606</v>
      </c>
      <c r="J259" s="79">
        <v>66.964357441721447</v>
      </c>
      <c r="K259" s="79">
        <v>0</v>
      </c>
      <c r="L259" s="79">
        <v>0</v>
      </c>
      <c r="M259" s="79">
        <v>66.964357441721447</v>
      </c>
      <c r="N259" s="79">
        <v>0</v>
      </c>
      <c r="O259" s="79">
        <v>585.6882606096832</v>
      </c>
      <c r="P259" s="79">
        <v>0</v>
      </c>
      <c r="Q259" s="79">
        <v>0</v>
      </c>
      <c r="R259" s="79">
        <v>0</v>
      </c>
      <c r="S259" s="79">
        <v>0</v>
      </c>
      <c r="T259" s="79">
        <v>0</v>
      </c>
      <c r="U259" s="79">
        <v>0</v>
      </c>
      <c r="V259" s="79">
        <v>0</v>
      </c>
      <c r="W259" s="79">
        <v>0</v>
      </c>
      <c r="X259" s="90">
        <v>0</v>
      </c>
    </row>
    <row r="260" spans="1:24" hidden="1" x14ac:dyDescent="0.25">
      <c r="A260" s="80" t="str">
        <v>PENDIENTE</v>
      </c>
      <c r="B260" s="80" t="str">
        <v>Chongoyape</v>
      </c>
      <c r="C260" s="80" t="str">
        <v>Diciembre</v>
      </c>
      <c r="D260" s="81">
        <v>46351</v>
      </c>
      <c r="E260" s="79">
        <v>1672.11</v>
      </c>
      <c r="F260" s="81">
        <v>0</v>
      </c>
      <c r="G260" s="79" cm="1">
        <f t="array" ref="G260:X260">_xlfn._xlws.FILTER(Formulas!$C$2:$T$201, ISNUMBER(MATCH(Formulas!$B$2:$B$201, B260, 0)),0) * E260</f>
        <v>188.89945606694559</v>
      </c>
      <c r="H260" s="79">
        <v>704.62495517035256</v>
      </c>
      <c r="I260" s="79">
        <v>58.968613269575606</v>
      </c>
      <c r="J260" s="79">
        <v>66.964357441721447</v>
      </c>
      <c r="K260" s="79">
        <v>0</v>
      </c>
      <c r="L260" s="79">
        <v>0</v>
      </c>
      <c r="M260" s="79">
        <v>66.964357441721447</v>
      </c>
      <c r="N260" s="79">
        <v>0</v>
      </c>
      <c r="O260" s="79">
        <v>585.6882606096832</v>
      </c>
      <c r="P260" s="79">
        <v>0</v>
      </c>
      <c r="Q260" s="79">
        <v>0</v>
      </c>
      <c r="R260" s="79">
        <v>0</v>
      </c>
      <c r="S260" s="79">
        <v>0</v>
      </c>
      <c r="T260" s="79">
        <v>0</v>
      </c>
      <c r="U260" s="79">
        <v>0</v>
      </c>
      <c r="V260" s="79">
        <v>0</v>
      </c>
      <c r="W260" s="79">
        <v>0</v>
      </c>
      <c r="X260" s="90">
        <v>0</v>
      </c>
    </row>
    <row r="261" spans="1:24" hidden="1" x14ac:dyDescent="0.25">
      <c r="A261" s="80" t="str">
        <v>PENDIENTE</v>
      </c>
      <c r="B261" s="80" t="str">
        <v>Choropampa</v>
      </c>
      <c r="C261" s="80" t="str">
        <v>Enero</v>
      </c>
      <c r="D261" s="81">
        <v>46108</v>
      </c>
      <c r="E261" s="79">
        <v>1496.22</v>
      </c>
      <c r="F261" s="81">
        <v>46089</v>
      </c>
      <c r="G261" s="79" cm="1">
        <f t="array" ref="G261:X261">_xlfn._xlws.FILTER(Formulas!$C$2:$T$201, ISNUMBER(MATCH(Formulas!$B$2:$B$201, B261, 0)),0) * E261</f>
        <v>187.0275</v>
      </c>
      <c r="H261" s="79">
        <v>1174.5327</v>
      </c>
      <c r="I261" s="79">
        <v>0</v>
      </c>
      <c r="J261" s="79">
        <v>67.329899999999995</v>
      </c>
      <c r="K261" s="79">
        <v>0</v>
      </c>
      <c r="L261" s="79">
        <v>0</v>
      </c>
      <c r="M261" s="79">
        <v>67.329899999999995</v>
      </c>
      <c r="N261" s="79">
        <v>0</v>
      </c>
      <c r="O261" s="79">
        <v>0</v>
      </c>
      <c r="P261" s="79">
        <v>0</v>
      </c>
      <c r="Q261" s="79">
        <v>0</v>
      </c>
      <c r="R261" s="79">
        <v>0</v>
      </c>
      <c r="S261" s="79">
        <v>0</v>
      </c>
      <c r="T261" s="79">
        <v>0</v>
      </c>
      <c r="U261" s="79">
        <v>0</v>
      </c>
      <c r="V261" s="79">
        <v>0</v>
      </c>
      <c r="W261" s="79">
        <v>0</v>
      </c>
      <c r="X261" s="90">
        <v>0</v>
      </c>
    </row>
    <row r="262" spans="1:24" hidden="1" x14ac:dyDescent="0.25">
      <c r="A262" s="80" t="str">
        <v>PENDIENTE</v>
      </c>
      <c r="B262" s="80" t="str">
        <v>Choropampa</v>
      </c>
      <c r="C262" s="80" t="str">
        <v>Febrero</v>
      </c>
      <c r="D262" s="81">
        <v>46108</v>
      </c>
      <c r="E262" s="79">
        <v>1496.22</v>
      </c>
      <c r="F262" s="81">
        <v>46089</v>
      </c>
      <c r="G262" s="79" cm="1">
        <f t="array" ref="G262:X262">_xlfn._xlws.FILTER(Formulas!$C$2:$T$201, ISNUMBER(MATCH(Formulas!$B$2:$B$201, B262, 0)),0) * E262</f>
        <v>187.0275</v>
      </c>
      <c r="H262" s="79">
        <v>1174.5327</v>
      </c>
      <c r="I262" s="79">
        <v>0</v>
      </c>
      <c r="J262" s="79">
        <v>67.329899999999995</v>
      </c>
      <c r="K262" s="79">
        <v>0</v>
      </c>
      <c r="L262" s="79">
        <v>0</v>
      </c>
      <c r="M262" s="79">
        <v>67.329899999999995</v>
      </c>
      <c r="N262" s="79">
        <v>0</v>
      </c>
      <c r="O262" s="79">
        <v>0</v>
      </c>
      <c r="P262" s="79">
        <v>0</v>
      </c>
      <c r="Q262" s="79">
        <v>0</v>
      </c>
      <c r="R262" s="79">
        <v>0</v>
      </c>
      <c r="S262" s="79">
        <v>0</v>
      </c>
      <c r="T262" s="79">
        <v>0</v>
      </c>
      <c r="U262" s="79">
        <v>0</v>
      </c>
      <c r="V262" s="79">
        <v>0</v>
      </c>
      <c r="W262" s="79">
        <v>0</v>
      </c>
      <c r="X262" s="90">
        <v>0</v>
      </c>
    </row>
    <row r="263" spans="1:24" hidden="1" x14ac:dyDescent="0.25">
      <c r="A263" s="80" t="str">
        <v>PENDIENTE</v>
      </c>
      <c r="B263" s="80" t="str">
        <v>Choropampa</v>
      </c>
      <c r="C263" s="80" t="str">
        <v>Marzo</v>
      </c>
      <c r="D263" s="81">
        <v>46108</v>
      </c>
      <c r="E263" s="79">
        <v>1496.22</v>
      </c>
      <c r="F263" s="81">
        <v>46089</v>
      </c>
      <c r="G263" s="79" cm="1">
        <f t="array" ref="G263:X263">_xlfn._xlws.FILTER(Formulas!$C$2:$T$201, ISNUMBER(MATCH(Formulas!$B$2:$B$201, B263, 0)),0) * E263</f>
        <v>187.0275</v>
      </c>
      <c r="H263" s="79">
        <v>1174.5327</v>
      </c>
      <c r="I263" s="79">
        <v>0</v>
      </c>
      <c r="J263" s="79">
        <v>67.329899999999995</v>
      </c>
      <c r="K263" s="79">
        <v>0</v>
      </c>
      <c r="L263" s="79">
        <v>0</v>
      </c>
      <c r="M263" s="79">
        <v>67.329899999999995</v>
      </c>
      <c r="N263" s="79">
        <v>0</v>
      </c>
      <c r="O263" s="79">
        <v>0</v>
      </c>
      <c r="P263" s="79">
        <v>0</v>
      </c>
      <c r="Q263" s="79">
        <v>0</v>
      </c>
      <c r="R263" s="79">
        <v>0</v>
      </c>
      <c r="S263" s="79">
        <v>0</v>
      </c>
      <c r="T263" s="79">
        <v>0</v>
      </c>
      <c r="U263" s="79">
        <v>0</v>
      </c>
      <c r="V263" s="79">
        <v>0</v>
      </c>
      <c r="W263" s="79">
        <v>0</v>
      </c>
      <c r="X263" s="90">
        <v>0</v>
      </c>
    </row>
    <row r="264" spans="1:24" hidden="1" x14ac:dyDescent="0.25">
      <c r="A264" s="80" t="str">
        <v>PENDIENTE</v>
      </c>
      <c r="B264" s="80" t="str">
        <v>Choropampa</v>
      </c>
      <c r="C264" s="80" t="str">
        <v>Abril</v>
      </c>
      <c r="D264" s="81">
        <v>46108</v>
      </c>
      <c r="E264" s="79">
        <v>1496.22</v>
      </c>
      <c r="F264" s="81">
        <v>46089</v>
      </c>
      <c r="G264" s="79" cm="1">
        <f t="array" ref="G264:X264">_xlfn._xlws.FILTER(Formulas!$C$2:$T$201, ISNUMBER(MATCH(Formulas!$B$2:$B$201, B264, 0)),0) * E264</f>
        <v>187.0275</v>
      </c>
      <c r="H264" s="79">
        <v>1174.5327</v>
      </c>
      <c r="I264" s="79">
        <v>0</v>
      </c>
      <c r="J264" s="79">
        <v>67.329899999999995</v>
      </c>
      <c r="K264" s="79">
        <v>0</v>
      </c>
      <c r="L264" s="79">
        <v>0</v>
      </c>
      <c r="M264" s="79">
        <v>67.329899999999995</v>
      </c>
      <c r="N264" s="79">
        <v>0</v>
      </c>
      <c r="O264" s="79">
        <v>0</v>
      </c>
      <c r="P264" s="79">
        <v>0</v>
      </c>
      <c r="Q264" s="79">
        <v>0</v>
      </c>
      <c r="R264" s="79">
        <v>0</v>
      </c>
      <c r="S264" s="79">
        <v>0</v>
      </c>
      <c r="T264" s="79">
        <v>0</v>
      </c>
      <c r="U264" s="79">
        <v>0</v>
      </c>
      <c r="V264" s="79">
        <v>0</v>
      </c>
      <c r="W264" s="79">
        <v>0</v>
      </c>
      <c r="X264" s="90">
        <v>0</v>
      </c>
    </row>
    <row r="265" spans="1:24" hidden="1" x14ac:dyDescent="0.25">
      <c r="A265" s="80" t="str">
        <v>PENDIENTE</v>
      </c>
      <c r="B265" s="80" t="str">
        <v>Choropampa</v>
      </c>
      <c r="C265" s="80" t="str">
        <v>Mayo</v>
      </c>
      <c r="D265" s="81">
        <v>46142</v>
      </c>
      <c r="E265" s="79">
        <v>1496.22</v>
      </c>
      <c r="F265" s="81">
        <v>46146</v>
      </c>
      <c r="G265" s="79" cm="1">
        <f t="array" ref="G265:X265">_xlfn._xlws.FILTER(Formulas!$C$2:$T$201, ISNUMBER(MATCH(Formulas!$B$2:$B$201, B265, 0)),0) * E265</f>
        <v>187.0275</v>
      </c>
      <c r="H265" s="79">
        <v>1174.5327</v>
      </c>
      <c r="I265" s="79">
        <v>0</v>
      </c>
      <c r="J265" s="79">
        <v>67.329899999999995</v>
      </c>
      <c r="K265" s="79">
        <v>0</v>
      </c>
      <c r="L265" s="79">
        <v>0</v>
      </c>
      <c r="M265" s="79">
        <v>67.329899999999995</v>
      </c>
      <c r="N265" s="79">
        <v>0</v>
      </c>
      <c r="O265" s="79">
        <v>0</v>
      </c>
      <c r="P265" s="79">
        <v>0</v>
      </c>
      <c r="Q265" s="79">
        <v>0</v>
      </c>
      <c r="R265" s="79">
        <v>0</v>
      </c>
      <c r="S265" s="79">
        <v>0</v>
      </c>
      <c r="T265" s="79">
        <v>0</v>
      </c>
      <c r="U265" s="79">
        <v>0</v>
      </c>
      <c r="V265" s="79">
        <v>0</v>
      </c>
      <c r="W265" s="79">
        <v>0</v>
      </c>
      <c r="X265" s="90">
        <v>0</v>
      </c>
    </row>
    <row r="266" spans="1:24" hidden="1" x14ac:dyDescent="0.25">
      <c r="A266" s="80" t="str">
        <v>PENDIENTE</v>
      </c>
      <c r="B266" s="80" t="str">
        <v>Choropampa</v>
      </c>
      <c r="C266" s="80" t="str">
        <v>Junio</v>
      </c>
      <c r="D266" s="81">
        <v>46142</v>
      </c>
      <c r="E266" s="79">
        <v>1496.22</v>
      </c>
      <c r="F266" s="81">
        <v>46146</v>
      </c>
      <c r="G266" s="79" cm="1">
        <f t="array" ref="G266:X266">_xlfn._xlws.FILTER(Formulas!$C$2:$T$201, ISNUMBER(MATCH(Formulas!$B$2:$B$201, B266, 0)),0) * E266</f>
        <v>187.0275</v>
      </c>
      <c r="H266" s="79">
        <v>1174.5327</v>
      </c>
      <c r="I266" s="79">
        <v>0</v>
      </c>
      <c r="J266" s="79">
        <v>67.329899999999995</v>
      </c>
      <c r="K266" s="79">
        <v>0</v>
      </c>
      <c r="L266" s="79">
        <v>0</v>
      </c>
      <c r="M266" s="79">
        <v>67.329899999999995</v>
      </c>
      <c r="N266" s="79">
        <v>0</v>
      </c>
      <c r="O266" s="79">
        <v>0</v>
      </c>
      <c r="P266" s="79">
        <v>0</v>
      </c>
      <c r="Q266" s="79">
        <v>0</v>
      </c>
      <c r="R266" s="79">
        <v>0</v>
      </c>
      <c r="S266" s="79">
        <v>0</v>
      </c>
      <c r="T266" s="79">
        <v>0</v>
      </c>
      <c r="U266" s="79">
        <v>0</v>
      </c>
      <c r="V266" s="79">
        <v>0</v>
      </c>
      <c r="W266" s="79">
        <v>0</v>
      </c>
      <c r="X266" s="90">
        <v>0</v>
      </c>
    </row>
    <row r="267" spans="1:24" hidden="1" x14ac:dyDescent="0.25">
      <c r="A267" s="80" t="str">
        <v>PENDIENTE</v>
      </c>
      <c r="B267" s="80" t="str">
        <v>Choropampa</v>
      </c>
      <c r="C267" s="80" t="str">
        <v>Julio</v>
      </c>
      <c r="D267" s="81">
        <v>46203</v>
      </c>
      <c r="E267" s="79">
        <v>1496.22</v>
      </c>
      <c r="F267" s="81">
        <v>46188</v>
      </c>
      <c r="G267" s="79" cm="1">
        <f t="array" ref="G267:X267">_xlfn._xlws.FILTER(Formulas!$C$2:$T$201, ISNUMBER(MATCH(Formulas!$B$2:$B$201, B267, 0)),0) * E267</f>
        <v>187.0275</v>
      </c>
      <c r="H267" s="79">
        <v>1174.5327</v>
      </c>
      <c r="I267" s="79">
        <v>0</v>
      </c>
      <c r="J267" s="79">
        <v>67.329899999999995</v>
      </c>
      <c r="K267" s="79">
        <v>0</v>
      </c>
      <c r="L267" s="79">
        <v>0</v>
      </c>
      <c r="M267" s="79">
        <v>67.329899999999995</v>
      </c>
      <c r="N267" s="79">
        <v>0</v>
      </c>
      <c r="O267" s="79">
        <v>0</v>
      </c>
      <c r="P267" s="79">
        <v>0</v>
      </c>
      <c r="Q267" s="79">
        <v>0</v>
      </c>
      <c r="R267" s="79">
        <v>0</v>
      </c>
      <c r="S267" s="79">
        <v>0</v>
      </c>
      <c r="T267" s="79">
        <v>0</v>
      </c>
      <c r="U267" s="79">
        <v>0</v>
      </c>
      <c r="V267" s="79">
        <v>0</v>
      </c>
      <c r="W267" s="79">
        <v>0</v>
      </c>
      <c r="X267" s="90">
        <v>0</v>
      </c>
    </row>
    <row r="268" spans="1:24" hidden="1" x14ac:dyDescent="0.25">
      <c r="A268" s="80" t="str">
        <v>PENDIENTE</v>
      </c>
      <c r="B268" s="80" t="str">
        <v>Choropampa</v>
      </c>
      <c r="C268" s="80" t="str">
        <v>Agosto</v>
      </c>
      <c r="D268" s="81">
        <v>46203</v>
      </c>
      <c r="E268" s="79">
        <v>1496.22</v>
      </c>
      <c r="F268" s="81">
        <v>46188</v>
      </c>
      <c r="G268" s="79" cm="1">
        <f t="array" ref="G268:X268">_xlfn._xlws.FILTER(Formulas!$C$2:$T$201, ISNUMBER(MATCH(Formulas!$B$2:$B$201, B268, 0)),0) * E268</f>
        <v>187.0275</v>
      </c>
      <c r="H268" s="79">
        <v>1174.5327</v>
      </c>
      <c r="I268" s="79">
        <v>0</v>
      </c>
      <c r="J268" s="79">
        <v>67.329899999999995</v>
      </c>
      <c r="K268" s="79">
        <v>0</v>
      </c>
      <c r="L268" s="79">
        <v>0</v>
      </c>
      <c r="M268" s="79">
        <v>67.329899999999995</v>
      </c>
      <c r="N268" s="79">
        <v>0</v>
      </c>
      <c r="O268" s="79">
        <v>0</v>
      </c>
      <c r="P268" s="79">
        <v>0</v>
      </c>
      <c r="Q268" s="79">
        <v>0</v>
      </c>
      <c r="R268" s="79">
        <v>0</v>
      </c>
      <c r="S268" s="79">
        <v>0</v>
      </c>
      <c r="T268" s="79">
        <v>0</v>
      </c>
      <c r="U268" s="79">
        <v>0</v>
      </c>
      <c r="V268" s="79">
        <v>0</v>
      </c>
      <c r="W268" s="79">
        <v>0</v>
      </c>
      <c r="X268" s="90">
        <v>0</v>
      </c>
    </row>
    <row r="269" spans="1:24" hidden="1" x14ac:dyDescent="0.25">
      <c r="A269" s="80" t="str">
        <v>PENDIENTE</v>
      </c>
      <c r="B269" s="80" t="str">
        <v>Choropampa</v>
      </c>
      <c r="C269" s="80" t="str">
        <v>Setiembre</v>
      </c>
      <c r="D269" s="81">
        <v>46262</v>
      </c>
      <c r="E269" s="79">
        <v>1496.22</v>
      </c>
      <c r="F269" s="80">
        <v>46246</v>
      </c>
      <c r="G269" s="79" cm="1">
        <f t="array" ref="G269:X269">_xlfn._xlws.FILTER(Formulas!$C$2:$T$201, ISNUMBER(MATCH(Formulas!$B$2:$B$201, B269, 0)),0) * E269</f>
        <v>187.0275</v>
      </c>
      <c r="H269" s="79">
        <v>1174.5327</v>
      </c>
      <c r="I269" s="79">
        <v>0</v>
      </c>
      <c r="J269" s="79">
        <v>67.329899999999995</v>
      </c>
      <c r="K269" s="79">
        <v>0</v>
      </c>
      <c r="L269" s="79">
        <v>0</v>
      </c>
      <c r="M269" s="79">
        <v>67.329899999999995</v>
      </c>
      <c r="N269" s="79">
        <v>0</v>
      </c>
      <c r="O269" s="79">
        <v>0</v>
      </c>
      <c r="P269" s="79">
        <v>0</v>
      </c>
      <c r="Q269" s="79">
        <v>0</v>
      </c>
      <c r="R269" s="79">
        <v>0</v>
      </c>
      <c r="S269" s="79">
        <v>0</v>
      </c>
      <c r="T269" s="79">
        <v>0</v>
      </c>
      <c r="U269" s="79">
        <v>0</v>
      </c>
      <c r="V269" s="79">
        <v>0</v>
      </c>
      <c r="W269" s="79">
        <v>0</v>
      </c>
      <c r="X269" s="90">
        <v>0</v>
      </c>
    </row>
    <row r="270" spans="1:24" hidden="1" x14ac:dyDescent="0.25">
      <c r="A270" s="80" t="str">
        <v>PENDIENTE</v>
      </c>
      <c r="B270" s="80" t="str">
        <v>Choropampa</v>
      </c>
      <c r="C270" s="80" t="str">
        <v>Octubre</v>
      </c>
      <c r="D270" s="81">
        <v>46262</v>
      </c>
      <c r="E270" s="79">
        <v>1496.22</v>
      </c>
      <c r="F270" s="80">
        <v>46246</v>
      </c>
      <c r="G270" s="79" cm="1">
        <f t="array" ref="G270:X270">_xlfn._xlws.FILTER(Formulas!$C$2:$T$201, ISNUMBER(MATCH(Formulas!$B$2:$B$201, B270, 0)),0) * E270</f>
        <v>187.0275</v>
      </c>
      <c r="H270" s="79">
        <v>1174.5327</v>
      </c>
      <c r="I270" s="79">
        <v>0</v>
      </c>
      <c r="J270" s="79">
        <v>67.329899999999995</v>
      </c>
      <c r="K270" s="79">
        <v>0</v>
      </c>
      <c r="L270" s="79">
        <v>0</v>
      </c>
      <c r="M270" s="79">
        <v>67.329899999999995</v>
      </c>
      <c r="N270" s="79">
        <v>0</v>
      </c>
      <c r="O270" s="79">
        <v>0</v>
      </c>
      <c r="P270" s="79">
        <v>0</v>
      </c>
      <c r="Q270" s="79">
        <v>0</v>
      </c>
      <c r="R270" s="79">
        <v>0</v>
      </c>
      <c r="S270" s="79">
        <v>0</v>
      </c>
      <c r="T270" s="79">
        <v>0</v>
      </c>
      <c r="U270" s="79">
        <v>0</v>
      </c>
      <c r="V270" s="79">
        <v>0</v>
      </c>
      <c r="W270" s="79">
        <v>0</v>
      </c>
      <c r="X270" s="90">
        <v>0</v>
      </c>
    </row>
    <row r="271" spans="1:24" hidden="1" x14ac:dyDescent="0.25">
      <c r="A271" s="80" t="str">
        <v>PENDIENTE</v>
      </c>
      <c r="B271" s="80" t="str">
        <v>Choropampa</v>
      </c>
      <c r="C271" s="80" t="str">
        <v>Noviembre</v>
      </c>
      <c r="D271" s="81">
        <v>46325</v>
      </c>
      <c r="E271" s="79">
        <v>1496.22</v>
      </c>
      <c r="F271" s="81">
        <v>0</v>
      </c>
      <c r="G271" s="79" cm="1">
        <f t="array" ref="G271:X271">_xlfn._xlws.FILTER(Formulas!$C$2:$T$201, ISNUMBER(MATCH(Formulas!$B$2:$B$201, B271, 0)),0) * E271</f>
        <v>187.0275</v>
      </c>
      <c r="H271" s="79">
        <v>1174.5327</v>
      </c>
      <c r="I271" s="79">
        <v>0</v>
      </c>
      <c r="J271" s="79">
        <v>67.329899999999995</v>
      </c>
      <c r="K271" s="79">
        <v>0</v>
      </c>
      <c r="L271" s="79">
        <v>0</v>
      </c>
      <c r="M271" s="79">
        <v>67.329899999999995</v>
      </c>
      <c r="N271" s="79">
        <v>0</v>
      </c>
      <c r="O271" s="79">
        <v>0</v>
      </c>
      <c r="P271" s="79">
        <v>0</v>
      </c>
      <c r="Q271" s="79">
        <v>0</v>
      </c>
      <c r="R271" s="79">
        <v>0</v>
      </c>
      <c r="S271" s="79">
        <v>0</v>
      </c>
      <c r="T271" s="79">
        <v>0</v>
      </c>
      <c r="U271" s="79">
        <v>0</v>
      </c>
      <c r="V271" s="79">
        <v>0</v>
      </c>
      <c r="W271" s="79">
        <v>0</v>
      </c>
      <c r="X271" s="90">
        <v>0</v>
      </c>
    </row>
    <row r="272" spans="1:24" hidden="1" x14ac:dyDescent="0.25">
      <c r="A272" s="80" t="str">
        <v>PENDIENTE</v>
      </c>
      <c r="B272" s="80" t="str">
        <v>Choropampa</v>
      </c>
      <c r="C272" s="80" t="str">
        <v>Diciembre</v>
      </c>
      <c r="D272" s="81">
        <v>46325</v>
      </c>
      <c r="E272" s="79">
        <v>1496.22</v>
      </c>
      <c r="F272" s="81">
        <v>0</v>
      </c>
      <c r="G272" s="79" cm="1">
        <f t="array" ref="G272:X272">_xlfn._xlws.FILTER(Formulas!$C$2:$T$201, ISNUMBER(MATCH(Formulas!$B$2:$B$201, B272, 0)),0) * E272</f>
        <v>187.0275</v>
      </c>
      <c r="H272" s="79">
        <v>1174.5327</v>
      </c>
      <c r="I272" s="79">
        <v>0</v>
      </c>
      <c r="J272" s="79">
        <v>67.329899999999995</v>
      </c>
      <c r="K272" s="79">
        <v>0</v>
      </c>
      <c r="L272" s="79">
        <v>0</v>
      </c>
      <c r="M272" s="79">
        <v>67.329899999999995</v>
      </c>
      <c r="N272" s="79">
        <v>0</v>
      </c>
      <c r="O272" s="79">
        <v>0</v>
      </c>
      <c r="P272" s="79">
        <v>0</v>
      </c>
      <c r="Q272" s="79">
        <v>0</v>
      </c>
      <c r="R272" s="79">
        <v>0</v>
      </c>
      <c r="S272" s="79">
        <v>0</v>
      </c>
      <c r="T272" s="79">
        <v>0</v>
      </c>
      <c r="U272" s="79">
        <v>0</v>
      </c>
      <c r="V272" s="79">
        <v>0</v>
      </c>
      <c r="W272" s="79">
        <v>0</v>
      </c>
      <c r="X272" s="90">
        <v>0</v>
      </c>
    </row>
    <row r="273" spans="1:24" hidden="1" x14ac:dyDescent="0.25">
      <c r="A273" s="80" t="str">
        <v>PENDIENTE</v>
      </c>
      <c r="B273" s="80" t="str">
        <v>Cochabamba</v>
      </c>
      <c r="C273" s="80" t="str">
        <v>Enero / Febrero / Marzo</v>
      </c>
      <c r="D273" s="81">
        <v>46058</v>
      </c>
      <c r="E273" s="79">
        <v>1106.34996</v>
      </c>
      <c r="F273" s="81">
        <v>46071</v>
      </c>
      <c r="G273" s="79" cm="1">
        <f t="array" ref="G273:X273">_xlfn._xlws.FILTER(Formulas!$C$2:$T$201, ISNUMBER(MATCH(Formulas!$B$2:$B$201, B273, 0)),0) * E273</f>
        <v>220.87022688346883</v>
      </c>
      <c r="H273" s="79">
        <v>764.5507853658537</v>
      </c>
      <c r="I273" s="79">
        <v>43.974162818428184</v>
      </c>
      <c r="J273" s="79">
        <v>0</v>
      </c>
      <c r="K273" s="79">
        <v>0</v>
      </c>
      <c r="L273" s="79">
        <v>32.980622113821134</v>
      </c>
      <c r="M273" s="79">
        <v>43.974162818428184</v>
      </c>
      <c r="N273" s="79">
        <v>0</v>
      </c>
      <c r="O273" s="79">
        <v>0</v>
      </c>
      <c r="P273" s="79">
        <v>0</v>
      </c>
      <c r="Q273" s="79">
        <v>0</v>
      </c>
      <c r="R273" s="79">
        <v>0</v>
      </c>
      <c r="S273" s="79">
        <v>0</v>
      </c>
      <c r="T273" s="79">
        <v>0</v>
      </c>
      <c r="U273" s="79">
        <v>0</v>
      </c>
      <c r="V273" s="79">
        <v>0</v>
      </c>
      <c r="W273" s="79">
        <v>0</v>
      </c>
      <c r="X273" s="90">
        <v>0</v>
      </c>
    </row>
    <row r="274" spans="1:24" hidden="1" x14ac:dyDescent="0.25">
      <c r="A274" s="80" t="str">
        <v>PENDIENTE</v>
      </c>
      <c r="B274" s="80" t="str">
        <v>Cochabamba</v>
      </c>
      <c r="C274" s="80" t="str">
        <v>Abril / Mayo / Junio</v>
      </c>
      <c r="D274" s="81">
        <v>46112</v>
      </c>
      <c r="E274" s="79">
        <v>1106.34996</v>
      </c>
      <c r="F274" s="80">
        <v>46117</v>
      </c>
      <c r="G274" s="79" cm="1">
        <f t="array" ref="G274:X274">_xlfn._xlws.FILTER(Formulas!$C$2:$T$201, ISNUMBER(MATCH(Formulas!$B$2:$B$201, B274, 0)),0) * E274</f>
        <v>220.87022688346883</v>
      </c>
      <c r="H274" s="79">
        <v>764.5507853658537</v>
      </c>
      <c r="I274" s="79">
        <v>43.974162818428184</v>
      </c>
      <c r="J274" s="79">
        <v>0</v>
      </c>
      <c r="K274" s="79">
        <v>0</v>
      </c>
      <c r="L274" s="79">
        <v>32.980622113821134</v>
      </c>
      <c r="M274" s="79">
        <v>43.974162818428184</v>
      </c>
      <c r="N274" s="79">
        <v>0</v>
      </c>
      <c r="O274" s="79">
        <v>0</v>
      </c>
      <c r="P274" s="79">
        <v>0</v>
      </c>
      <c r="Q274" s="79">
        <v>0</v>
      </c>
      <c r="R274" s="79">
        <v>0</v>
      </c>
      <c r="S274" s="79">
        <v>0</v>
      </c>
      <c r="T274" s="79">
        <v>0</v>
      </c>
      <c r="U274" s="79">
        <v>0</v>
      </c>
      <c r="V274" s="79">
        <v>0</v>
      </c>
      <c r="W274" s="79">
        <v>0</v>
      </c>
      <c r="X274" s="90">
        <v>0</v>
      </c>
    </row>
    <row r="275" spans="1:24" hidden="1" x14ac:dyDescent="0.25">
      <c r="A275" s="80" t="str">
        <v>PENDIENTE</v>
      </c>
      <c r="B275" s="80" t="str">
        <v>Cochabamba</v>
      </c>
      <c r="C275" s="80" t="str">
        <v>Julio / Agosto / Septiembre</v>
      </c>
      <c r="D275" s="81">
        <v>46203</v>
      </c>
      <c r="E275" s="79">
        <v>1106.34996</v>
      </c>
      <c r="F275" s="80">
        <v>46205</v>
      </c>
      <c r="G275" s="79" cm="1">
        <f t="array" ref="G275:X275">_xlfn._xlws.FILTER(Formulas!$C$2:$T$201, ISNUMBER(MATCH(Formulas!$B$2:$B$201, B275, 0)),0) * E275</f>
        <v>220.87022688346883</v>
      </c>
      <c r="H275" s="79">
        <v>764.5507853658537</v>
      </c>
      <c r="I275" s="79">
        <v>43.974162818428184</v>
      </c>
      <c r="J275" s="79">
        <v>0</v>
      </c>
      <c r="K275" s="79">
        <v>0</v>
      </c>
      <c r="L275" s="79">
        <v>32.980622113821134</v>
      </c>
      <c r="M275" s="79">
        <v>43.974162818428184</v>
      </c>
      <c r="N275" s="79">
        <v>0</v>
      </c>
      <c r="O275" s="79">
        <v>0</v>
      </c>
      <c r="P275" s="79">
        <v>0</v>
      </c>
      <c r="Q275" s="79">
        <v>0</v>
      </c>
      <c r="R275" s="79">
        <v>0</v>
      </c>
      <c r="S275" s="79">
        <v>0</v>
      </c>
      <c r="T275" s="79">
        <v>0</v>
      </c>
      <c r="U275" s="79">
        <v>0</v>
      </c>
      <c r="V275" s="79">
        <v>0</v>
      </c>
      <c r="W275" s="79">
        <v>0</v>
      </c>
      <c r="X275" s="90">
        <v>0</v>
      </c>
    </row>
    <row r="276" spans="1:24" hidden="1" x14ac:dyDescent="0.25">
      <c r="A276" s="80" t="str">
        <v>PENDIENTE</v>
      </c>
      <c r="B276" s="80" t="str">
        <v>Cochabamba</v>
      </c>
      <c r="C276" s="80" t="str">
        <v>O.C.</v>
      </c>
      <c r="D276" s="81">
        <v>46275</v>
      </c>
      <c r="E276" s="79">
        <v>493.93039999999996</v>
      </c>
      <c r="F276" s="81">
        <v>0</v>
      </c>
      <c r="G276" s="79" cm="1">
        <f t="array" ref="G276:X276">_xlfn._xlws.FILTER(Formulas!$C$2:$T$201, ISNUMBER(MATCH(Formulas!$B$2:$B$201, B276, 0)),0) * E276</f>
        <v>98.607604697380296</v>
      </c>
      <c r="H276" s="79">
        <v>341.33401626016257</v>
      </c>
      <c r="I276" s="79">
        <v>19.632283288166214</v>
      </c>
      <c r="J276" s="79">
        <v>0</v>
      </c>
      <c r="K276" s="79">
        <v>0</v>
      </c>
      <c r="L276" s="79">
        <v>14.72421246612466</v>
      </c>
      <c r="M276" s="79">
        <v>19.632283288166214</v>
      </c>
      <c r="N276" s="79">
        <v>0</v>
      </c>
      <c r="O276" s="79">
        <v>0</v>
      </c>
      <c r="P276" s="79">
        <v>0</v>
      </c>
      <c r="Q276" s="79">
        <v>0</v>
      </c>
      <c r="R276" s="79">
        <v>0</v>
      </c>
      <c r="S276" s="79">
        <v>0</v>
      </c>
      <c r="T276" s="79">
        <v>0</v>
      </c>
      <c r="U276" s="79">
        <v>0</v>
      </c>
      <c r="V276" s="79">
        <v>0</v>
      </c>
      <c r="W276" s="79">
        <v>0</v>
      </c>
      <c r="X276" s="90">
        <v>0</v>
      </c>
    </row>
    <row r="277" spans="1:24" hidden="1" x14ac:dyDescent="0.25">
      <c r="A277" s="80" t="str">
        <v>PENDIENTE</v>
      </c>
      <c r="B277" s="80" t="str">
        <v>Cochabamba</v>
      </c>
      <c r="C277" s="80" t="str">
        <v>Octubre / Noviembre / Diciembre</v>
      </c>
      <c r="D277" s="81">
        <v>46295</v>
      </c>
      <c r="E277" s="79">
        <v>1106.34996</v>
      </c>
      <c r="F277" s="81">
        <v>0</v>
      </c>
      <c r="G277" s="79" cm="1">
        <f t="array" ref="G277:X277">_xlfn._xlws.FILTER(Formulas!$C$2:$T$201, ISNUMBER(MATCH(Formulas!$B$2:$B$201, B277, 0)),0) * E277</f>
        <v>220.87022688346883</v>
      </c>
      <c r="H277" s="79">
        <v>764.5507853658537</v>
      </c>
      <c r="I277" s="79">
        <v>43.974162818428184</v>
      </c>
      <c r="J277" s="79">
        <v>0</v>
      </c>
      <c r="K277" s="79">
        <v>0</v>
      </c>
      <c r="L277" s="79">
        <v>32.980622113821134</v>
      </c>
      <c r="M277" s="79">
        <v>43.974162818428184</v>
      </c>
      <c r="N277" s="79">
        <v>0</v>
      </c>
      <c r="O277" s="79">
        <v>0</v>
      </c>
      <c r="P277" s="79">
        <v>0</v>
      </c>
      <c r="Q277" s="79">
        <v>0</v>
      </c>
      <c r="R277" s="79">
        <v>0</v>
      </c>
      <c r="S277" s="79">
        <v>0</v>
      </c>
      <c r="T277" s="79">
        <v>0</v>
      </c>
      <c r="U277" s="79">
        <v>0</v>
      </c>
      <c r="V277" s="79">
        <v>0</v>
      </c>
      <c r="W277" s="79">
        <v>0</v>
      </c>
      <c r="X277" s="90">
        <v>0</v>
      </c>
    </row>
    <row r="278" spans="1:24" hidden="1" x14ac:dyDescent="0.25">
      <c r="A278" s="80" t="str">
        <v>ANDES</v>
      </c>
      <c r="B278" s="80" t="str">
        <v>Cochan</v>
      </c>
      <c r="C278" s="80" t="str">
        <v>Enero / Febrero / Marzo</v>
      </c>
      <c r="D278" s="81">
        <v>46011</v>
      </c>
      <c r="E278" s="79">
        <v>3382.9830900000002</v>
      </c>
      <c r="F278" s="81">
        <v>46008</v>
      </c>
      <c r="G278" s="79" cm="1">
        <f t="array" ref="G278:X278">_xlfn._xlws.FILTER(Formulas!$C$2:$T$201, ISNUMBER(MATCH(Formulas!$B$2:$B$201, B278, 0)),0) * E278</f>
        <v>676.59661800000003</v>
      </c>
      <c r="H278" s="79">
        <v>2300.4285012000005</v>
      </c>
      <c r="I278" s="79">
        <v>135.31932360000002</v>
      </c>
      <c r="J278" s="79">
        <v>135.31932360000002</v>
      </c>
      <c r="K278" s="79">
        <v>0</v>
      </c>
      <c r="L278" s="79">
        <v>0</v>
      </c>
      <c r="M278" s="79">
        <v>135.31932360000002</v>
      </c>
      <c r="N278" s="79">
        <v>0</v>
      </c>
      <c r="O278" s="79">
        <v>0</v>
      </c>
      <c r="P278" s="79">
        <v>0</v>
      </c>
      <c r="Q278" s="79">
        <v>0</v>
      </c>
      <c r="R278" s="79">
        <v>0</v>
      </c>
      <c r="S278" s="79">
        <v>0</v>
      </c>
      <c r="T278" s="79">
        <v>0</v>
      </c>
      <c r="U278" s="79">
        <v>0</v>
      </c>
      <c r="V278" s="79">
        <v>0</v>
      </c>
      <c r="W278" s="79">
        <v>0</v>
      </c>
      <c r="X278" s="90">
        <v>0</v>
      </c>
    </row>
    <row r="279" spans="1:24" hidden="1" x14ac:dyDescent="0.25">
      <c r="A279" s="80" t="str">
        <v>ANDES</v>
      </c>
      <c r="B279" s="80" t="str">
        <v>Cochan</v>
      </c>
      <c r="C279" s="80" t="str">
        <v>Abril / Mayo / Junio</v>
      </c>
      <c r="D279" s="81">
        <v>46112</v>
      </c>
      <c r="E279" s="79">
        <v>3382.9830900000002</v>
      </c>
      <c r="F279" s="81">
        <v>46110</v>
      </c>
      <c r="G279" s="79" cm="1">
        <f t="array" ref="G279:X279">_xlfn._xlws.FILTER(Formulas!$C$2:$T$201, ISNUMBER(MATCH(Formulas!$B$2:$B$201, B279, 0)),0) * E279</f>
        <v>676.59661800000003</v>
      </c>
      <c r="H279" s="79">
        <v>2300.4285012000005</v>
      </c>
      <c r="I279" s="79">
        <v>135.31932360000002</v>
      </c>
      <c r="J279" s="79">
        <v>135.31932360000002</v>
      </c>
      <c r="K279" s="79">
        <v>0</v>
      </c>
      <c r="L279" s="79">
        <v>0</v>
      </c>
      <c r="M279" s="79">
        <v>135.31932360000002</v>
      </c>
      <c r="N279" s="79">
        <v>0</v>
      </c>
      <c r="O279" s="79">
        <v>0</v>
      </c>
      <c r="P279" s="79">
        <v>0</v>
      </c>
      <c r="Q279" s="79">
        <v>0</v>
      </c>
      <c r="R279" s="79">
        <v>0</v>
      </c>
      <c r="S279" s="79">
        <v>0</v>
      </c>
      <c r="T279" s="79">
        <v>0</v>
      </c>
      <c r="U279" s="79">
        <v>0</v>
      </c>
      <c r="V279" s="79">
        <v>0</v>
      </c>
      <c r="W279" s="79">
        <v>0</v>
      </c>
      <c r="X279" s="90">
        <v>0</v>
      </c>
    </row>
    <row r="280" spans="1:24" hidden="1" x14ac:dyDescent="0.25">
      <c r="A280" s="80" t="str">
        <v>ANDES</v>
      </c>
      <c r="B280" s="80" t="str">
        <v>Cochan</v>
      </c>
      <c r="C280" s="80" t="str">
        <v>Julio / Agosto / Septiembre</v>
      </c>
      <c r="D280" s="81">
        <v>46203</v>
      </c>
      <c r="E280" s="79">
        <v>3382.9830900000002</v>
      </c>
      <c r="F280" s="80">
        <v>46205</v>
      </c>
      <c r="G280" s="79" cm="1">
        <f t="array" ref="G280:X280">_xlfn._xlws.FILTER(Formulas!$C$2:$T$201, ISNUMBER(MATCH(Formulas!$B$2:$B$201, B280, 0)),0) * E280</f>
        <v>676.59661800000003</v>
      </c>
      <c r="H280" s="79">
        <v>2300.4285012000005</v>
      </c>
      <c r="I280" s="79">
        <v>135.31932360000002</v>
      </c>
      <c r="J280" s="79">
        <v>135.31932360000002</v>
      </c>
      <c r="K280" s="79">
        <v>0</v>
      </c>
      <c r="L280" s="79">
        <v>0</v>
      </c>
      <c r="M280" s="79">
        <v>135.31932360000002</v>
      </c>
      <c r="N280" s="79">
        <v>0</v>
      </c>
      <c r="O280" s="79">
        <v>0</v>
      </c>
      <c r="P280" s="79">
        <v>0</v>
      </c>
      <c r="Q280" s="79">
        <v>0</v>
      </c>
      <c r="R280" s="79">
        <v>0</v>
      </c>
      <c r="S280" s="79">
        <v>0</v>
      </c>
      <c r="T280" s="79">
        <v>0</v>
      </c>
      <c r="U280" s="79">
        <v>0</v>
      </c>
      <c r="V280" s="79">
        <v>0</v>
      </c>
      <c r="W280" s="79">
        <v>0</v>
      </c>
      <c r="X280" s="90">
        <v>0</v>
      </c>
    </row>
    <row r="281" spans="1:24" hidden="1" x14ac:dyDescent="0.25">
      <c r="A281" s="80" t="str">
        <v>ANDES</v>
      </c>
      <c r="B281" s="80" t="str">
        <v>Cochan</v>
      </c>
      <c r="C281" s="80" t="str">
        <v>O.C.</v>
      </c>
      <c r="D281" s="81">
        <v>46234</v>
      </c>
      <c r="E281" s="79">
        <v>1298.7780300000002</v>
      </c>
      <c r="F281" s="81">
        <v>46236</v>
      </c>
      <c r="G281" s="79" cm="1">
        <f t="array" ref="G281:X281">_xlfn._xlws.FILTER(Formulas!$C$2:$T$201, ISNUMBER(MATCH(Formulas!$B$2:$B$201, B281, 0)),0) * E281</f>
        <v>259.75560600000006</v>
      </c>
      <c r="H281" s="79">
        <v>883.16906040000015</v>
      </c>
      <c r="I281" s="79">
        <v>51.95112120000001</v>
      </c>
      <c r="J281" s="79">
        <v>51.95112120000001</v>
      </c>
      <c r="K281" s="79">
        <v>0</v>
      </c>
      <c r="L281" s="79">
        <v>0</v>
      </c>
      <c r="M281" s="79">
        <v>51.95112120000001</v>
      </c>
      <c r="N281" s="79">
        <v>0</v>
      </c>
      <c r="O281" s="79">
        <v>0</v>
      </c>
      <c r="P281" s="79">
        <v>0</v>
      </c>
      <c r="Q281" s="79">
        <v>0</v>
      </c>
      <c r="R281" s="79">
        <v>0</v>
      </c>
      <c r="S281" s="79">
        <v>0</v>
      </c>
      <c r="T281" s="79">
        <v>0</v>
      </c>
      <c r="U281" s="79">
        <v>0</v>
      </c>
      <c r="V281" s="79">
        <v>0</v>
      </c>
      <c r="W281" s="79">
        <v>0</v>
      </c>
      <c r="X281" s="90">
        <v>0</v>
      </c>
    </row>
    <row r="282" spans="1:24" hidden="1" x14ac:dyDescent="0.25">
      <c r="A282" s="80" t="str">
        <v>ANDES</v>
      </c>
      <c r="B282" s="80" t="str">
        <v>Cochan</v>
      </c>
      <c r="C282" s="80" t="str">
        <v>Octubre / Noviembre / Diciembre</v>
      </c>
      <c r="D282" s="81">
        <v>46295</v>
      </c>
      <c r="E282" s="79">
        <v>3382.9830900000002</v>
      </c>
      <c r="F282" s="81">
        <v>0</v>
      </c>
      <c r="G282" s="79" cm="1">
        <f t="array" ref="G282:X282">_xlfn._xlws.FILTER(Formulas!$C$2:$T$201, ISNUMBER(MATCH(Formulas!$B$2:$B$201, B282, 0)),0) * E282</f>
        <v>676.59661800000003</v>
      </c>
      <c r="H282" s="79">
        <v>2300.4285012000005</v>
      </c>
      <c r="I282" s="79">
        <v>135.31932360000002</v>
      </c>
      <c r="J282" s="79">
        <v>135.31932360000002</v>
      </c>
      <c r="K282" s="79">
        <v>0</v>
      </c>
      <c r="L282" s="79">
        <v>0</v>
      </c>
      <c r="M282" s="79">
        <v>135.31932360000002</v>
      </c>
      <c r="N282" s="79">
        <v>0</v>
      </c>
      <c r="O282" s="79">
        <v>0</v>
      </c>
      <c r="P282" s="79">
        <v>0</v>
      </c>
      <c r="Q282" s="79">
        <v>0</v>
      </c>
      <c r="R282" s="79">
        <v>0</v>
      </c>
      <c r="S282" s="79">
        <v>0</v>
      </c>
      <c r="T282" s="79">
        <v>0</v>
      </c>
      <c r="U282" s="79">
        <v>0</v>
      </c>
      <c r="V282" s="79">
        <v>0</v>
      </c>
      <c r="W282" s="79">
        <v>0</v>
      </c>
      <c r="X282" s="90">
        <v>0</v>
      </c>
    </row>
    <row r="283" spans="1:24" hidden="1" x14ac:dyDescent="0.25">
      <c r="A283" s="80" t="str">
        <v>PENDIENTE</v>
      </c>
      <c r="B283" s="80" t="str">
        <v>Coishco</v>
      </c>
      <c r="C283" s="80" t="str">
        <v>Enero</v>
      </c>
      <c r="D283" s="81">
        <v>46051</v>
      </c>
      <c r="E283" s="79">
        <v>1921.3562400000001</v>
      </c>
      <c r="F283" s="81">
        <v>46027</v>
      </c>
      <c r="G283" s="79" cm="1">
        <f t="array" ref="G283:X283">_xlfn._xlws.FILTER(Formulas!$C$2:$T$201, ISNUMBER(MATCH(Formulas!$B$2:$B$201, B283, 0)),0) * E283</f>
        <v>383.87138197710715</v>
      </c>
      <c r="H283" s="79">
        <v>1306.5622298022893</v>
      </c>
      <c r="I283" s="79">
        <v>76.974209406867857</v>
      </c>
      <c r="J283" s="79">
        <v>76.974209406867857</v>
      </c>
      <c r="K283" s="79">
        <v>0</v>
      </c>
      <c r="L283" s="79">
        <v>0</v>
      </c>
      <c r="M283" s="79">
        <v>76.974209406867857</v>
      </c>
      <c r="N283" s="79">
        <v>0</v>
      </c>
      <c r="O283" s="79">
        <v>0</v>
      </c>
      <c r="P283" s="79">
        <v>0</v>
      </c>
      <c r="Q283" s="79">
        <v>0</v>
      </c>
      <c r="R283" s="79">
        <v>0</v>
      </c>
      <c r="S283" s="79">
        <v>0</v>
      </c>
      <c r="T283" s="79">
        <v>0</v>
      </c>
      <c r="U283" s="79">
        <v>0</v>
      </c>
      <c r="V283" s="79">
        <v>0</v>
      </c>
      <c r="W283" s="79">
        <v>0</v>
      </c>
      <c r="X283" s="90">
        <v>0</v>
      </c>
    </row>
    <row r="284" spans="1:24" hidden="1" x14ac:dyDescent="0.25">
      <c r="A284" s="80" t="str">
        <v>PENDIENTE</v>
      </c>
      <c r="B284" s="80" t="str">
        <v>Coishco</v>
      </c>
      <c r="C284" s="80" t="str">
        <v>Febrero</v>
      </c>
      <c r="D284" s="81">
        <v>46051</v>
      </c>
      <c r="E284" s="79">
        <v>1921.3562400000001</v>
      </c>
      <c r="F284" s="81">
        <v>46050</v>
      </c>
      <c r="G284" s="79" cm="1">
        <f t="array" ref="G284:X284">_xlfn._xlws.FILTER(Formulas!$C$2:$T$201, ISNUMBER(MATCH(Formulas!$B$2:$B$201, B284, 0)),0) * E284</f>
        <v>383.87138197710715</v>
      </c>
      <c r="H284" s="79">
        <v>1306.5622298022893</v>
      </c>
      <c r="I284" s="79">
        <v>76.974209406867857</v>
      </c>
      <c r="J284" s="79">
        <v>76.974209406867857</v>
      </c>
      <c r="K284" s="79">
        <v>0</v>
      </c>
      <c r="L284" s="79">
        <v>0</v>
      </c>
      <c r="M284" s="79">
        <v>76.974209406867857</v>
      </c>
      <c r="N284" s="79">
        <v>0</v>
      </c>
      <c r="O284" s="79">
        <v>0</v>
      </c>
      <c r="P284" s="79">
        <v>0</v>
      </c>
      <c r="Q284" s="79">
        <v>0</v>
      </c>
      <c r="R284" s="79">
        <v>0</v>
      </c>
      <c r="S284" s="79">
        <v>0</v>
      </c>
      <c r="T284" s="79">
        <v>0</v>
      </c>
      <c r="U284" s="79">
        <v>0</v>
      </c>
      <c r="V284" s="79">
        <v>0</v>
      </c>
      <c r="W284" s="79">
        <v>0</v>
      </c>
      <c r="X284" s="90">
        <v>0</v>
      </c>
    </row>
    <row r="285" spans="1:24" hidden="1" x14ac:dyDescent="0.25">
      <c r="A285" s="80" t="str">
        <v>PENDIENTE</v>
      </c>
      <c r="B285" s="80" t="str">
        <v>Coishco</v>
      </c>
      <c r="C285" s="80" t="str">
        <v>Marzo</v>
      </c>
      <c r="D285" s="81">
        <v>46078</v>
      </c>
      <c r="E285" s="79">
        <v>1921.3562400000001</v>
      </c>
      <c r="F285" s="81">
        <v>46077</v>
      </c>
      <c r="G285" s="79" cm="1">
        <f t="array" ref="G285:X285">_xlfn._xlws.FILTER(Formulas!$C$2:$T$201, ISNUMBER(MATCH(Formulas!$B$2:$B$201, B285, 0)),0) * E285</f>
        <v>383.87138197710715</v>
      </c>
      <c r="H285" s="79">
        <v>1306.5622298022893</v>
      </c>
      <c r="I285" s="79">
        <v>76.974209406867857</v>
      </c>
      <c r="J285" s="79">
        <v>76.974209406867857</v>
      </c>
      <c r="K285" s="79">
        <v>0</v>
      </c>
      <c r="L285" s="79">
        <v>0</v>
      </c>
      <c r="M285" s="79">
        <v>76.974209406867857</v>
      </c>
      <c r="N285" s="79">
        <v>0</v>
      </c>
      <c r="O285" s="79">
        <v>0</v>
      </c>
      <c r="P285" s="79">
        <v>0</v>
      </c>
      <c r="Q285" s="79">
        <v>0</v>
      </c>
      <c r="R285" s="79">
        <v>0</v>
      </c>
      <c r="S285" s="79">
        <v>0</v>
      </c>
      <c r="T285" s="79">
        <v>0</v>
      </c>
      <c r="U285" s="79">
        <v>0</v>
      </c>
      <c r="V285" s="79">
        <v>0</v>
      </c>
      <c r="W285" s="79">
        <v>0</v>
      </c>
      <c r="X285" s="90">
        <v>0</v>
      </c>
    </row>
    <row r="286" spans="1:24" hidden="1" x14ac:dyDescent="0.25">
      <c r="A286" s="80" t="str">
        <v>PENDIENTE</v>
      </c>
      <c r="B286" s="80" t="str">
        <v>Coishco</v>
      </c>
      <c r="C286" s="80" t="str">
        <v>Abril</v>
      </c>
      <c r="D286" s="81">
        <v>46111</v>
      </c>
      <c r="E286" s="79">
        <v>1921.3562400000001</v>
      </c>
      <c r="F286" s="81">
        <v>46105</v>
      </c>
      <c r="G286" s="79" cm="1">
        <f t="array" ref="G286:X286">_xlfn._xlws.FILTER(Formulas!$C$2:$T$201, ISNUMBER(MATCH(Formulas!$B$2:$B$201, B286, 0)),0) * E286</f>
        <v>383.87138197710715</v>
      </c>
      <c r="H286" s="79">
        <v>1306.5622298022893</v>
      </c>
      <c r="I286" s="79">
        <v>76.974209406867857</v>
      </c>
      <c r="J286" s="79">
        <v>76.974209406867857</v>
      </c>
      <c r="K286" s="79">
        <v>0</v>
      </c>
      <c r="L286" s="79">
        <v>0</v>
      </c>
      <c r="M286" s="79">
        <v>76.974209406867857</v>
      </c>
      <c r="N286" s="79">
        <v>0</v>
      </c>
      <c r="O286" s="79">
        <v>0</v>
      </c>
      <c r="P286" s="79">
        <v>0</v>
      </c>
      <c r="Q286" s="79">
        <v>0</v>
      </c>
      <c r="R286" s="79">
        <v>0</v>
      </c>
      <c r="S286" s="79">
        <v>0</v>
      </c>
      <c r="T286" s="79">
        <v>0</v>
      </c>
      <c r="U286" s="79">
        <v>0</v>
      </c>
      <c r="V286" s="79">
        <v>0</v>
      </c>
      <c r="W286" s="79">
        <v>0</v>
      </c>
      <c r="X286" s="90">
        <v>0</v>
      </c>
    </row>
    <row r="287" spans="1:24" hidden="1" x14ac:dyDescent="0.25">
      <c r="A287" s="80" t="str">
        <v>PENDIENTE</v>
      </c>
      <c r="B287" s="80" t="str">
        <v>Coishco</v>
      </c>
      <c r="C287" s="80" t="str">
        <v>Mayo</v>
      </c>
      <c r="D287" s="81">
        <v>46140</v>
      </c>
      <c r="E287" s="79">
        <v>1921.3562400000001</v>
      </c>
      <c r="F287" s="81">
        <v>46137</v>
      </c>
      <c r="G287" s="79" cm="1">
        <f t="array" ref="G287:X287">_xlfn._xlws.FILTER(Formulas!$C$2:$T$201, ISNUMBER(MATCH(Formulas!$B$2:$B$201, B287, 0)),0) * E287</f>
        <v>383.87138197710715</v>
      </c>
      <c r="H287" s="79">
        <v>1306.5622298022893</v>
      </c>
      <c r="I287" s="79">
        <v>76.974209406867857</v>
      </c>
      <c r="J287" s="79">
        <v>76.974209406867857</v>
      </c>
      <c r="K287" s="79">
        <v>0</v>
      </c>
      <c r="L287" s="79">
        <v>0</v>
      </c>
      <c r="M287" s="79">
        <v>76.974209406867857</v>
      </c>
      <c r="N287" s="79">
        <v>0</v>
      </c>
      <c r="O287" s="79">
        <v>0</v>
      </c>
      <c r="P287" s="79">
        <v>0</v>
      </c>
      <c r="Q287" s="79">
        <v>0</v>
      </c>
      <c r="R287" s="79">
        <v>0</v>
      </c>
      <c r="S287" s="79">
        <v>0</v>
      </c>
      <c r="T287" s="79">
        <v>0</v>
      </c>
      <c r="U287" s="79">
        <v>0</v>
      </c>
      <c r="V287" s="79">
        <v>0</v>
      </c>
      <c r="W287" s="79">
        <v>0</v>
      </c>
      <c r="X287" s="90">
        <v>0</v>
      </c>
    </row>
    <row r="288" spans="1:24" hidden="1" x14ac:dyDescent="0.25">
      <c r="A288" s="80" t="str">
        <v>PENDIENTE</v>
      </c>
      <c r="B288" s="80" t="str">
        <v>Coishco</v>
      </c>
      <c r="C288" s="80" t="str">
        <v>Junio</v>
      </c>
      <c r="D288" s="81">
        <v>46170</v>
      </c>
      <c r="E288" s="79">
        <v>1921.3562400000001</v>
      </c>
      <c r="F288" s="81">
        <v>46163</v>
      </c>
      <c r="G288" s="79" cm="1">
        <f t="array" ref="G288:X288">_xlfn._xlws.FILTER(Formulas!$C$2:$T$201, ISNUMBER(MATCH(Formulas!$B$2:$B$201, B288, 0)),0) * E288</f>
        <v>383.87138197710715</v>
      </c>
      <c r="H288" s="79">
        <v>1306.5622298022893</v>
      </c>
      <c r="I288" s="79">
        <v>76.974209406867857</v>
      </c>
      <c r="J288" s="79">
        <v>76.974209406867857</v>
      </c>
      <c r="K288" s="79">
        <v>0</v>
      </c>
      <c r="L288" s="79">
        <v>0</v>
      </c>
      <c r="M288" s="79">
        <v>76.974209406867857</v>
      </c>
      <c r="N288" s="79">
        <v>0</v>
      </c>
      <c r="O288" s="79">
        <v>0</v>
      </c>
      <c r="P288" s="79">
        <v>0</v>
      </c>
      <c r="Q288" s="79">
        <v>0</v>
      </c>
      <c r="R288" s="79">
        <v>0</v>
      </c>
      <c r="S288" s="79">
        <v>0</v>
      </c>
      <c r="T288" s="79">
        <v>0</v>
      </c>
      <c r="U288" s="79">
        <v>0</v>
      </c>
      <c r="V288" s="79">
        <v>0</v>
      </c>
      <c r="W288" s="79">
        <v>0</v>
      </c>
      <c r="X288" s="90">
        <v>0</v>
      </c>
    </row>
    <row r="289" spans="1:24" hidden="1" x14ac:dyDescent="0.25">
      <c r="A289" s="80" t="str">
        <v>PENDIENTE</v>
      </c>
      <c r="B289" s="80" t="str">
        <v>Coishco</v>
      </c>
      <c r="C289" s="80" t="str">
        <v>Julio</v>
      </c>
      <c r="D289" s="81">
        <v>46199</v>
      </c>
      <c r="E289" s="79">
        <v>1921.3562400000001</v>
      </c>
      <c r="F289" s="81">
        <v>46200</v>
      </c>
      <c r="G289" s="79" cm="1">
        <f t="array" ref="G289:X289">_xlfn._xlws.FILTER(Formulas!$C$2:$T$201, ISNUMBER(MATCH(Formulas!$B$2:$B$201, B289, 0)),0) * E289</f>
        <v>383.87138197710715</v>
      </c>
      <c r="H289" s="79">
        <v>1306.5622298022893</v>
      </c>
      <c r="I289" s="79">
        <v>76.974209406867857</v>
      </c>
      <c r="J289" s="79">
        <v>76.974209406867857</v>
      </c>
      <c r="K289" s="79">
        <v>0</v>
      </c>
      <c r="L289" s="79">
        <v>0</v>
      </c>
      <c r="M289" s="79">
        <v>76.974209406867857</v>
      </c>
      <c r="N289" s="79">
        <v>0</v>
      </c>
      <c r="O289" s="79">
        <v>0</v>
      </c>
      <c r="P289" s="79">
        <v>0</v>
      </c>
      <c r="Q289" s="79">
        <v>0</v>
      </c>
      <c r="R289" s="79">
        <v>0</v>
      </c>
      <c r="S289" s="79">
        <v>0</v>
      </c>
      <c r="T289" s="79">
        <v>0</v>
      </c>
      <c r="U289" s="79">
        <v>0</v>
      </c>
      <c r="V289" s="79">
        <v>0</v>
      </c>
      <c r="W289" s="79">
        <v>0</v>
      </c>
      <c r="X289" s="90">
        <v>0</v>
      </c>
    </row>
    <row r="290" spans="1:24" hidden="1" x14ac:dyDescent="0.25">
      <c r="A290" s="80" t="str">
        <v>PENDIENTE</v>
      </c>
      <c r="B290" s="80" t="str">
        <v>Coishco</v>
      </c>
      <c r="C290" s="80" t="str">
        <v>Agosto</v>
      </c>
      <c r="D290" s="81">
        <v>46227</v>
      </c>
      <c r="E290" s="79">
        <v>1921.3562400000001</v>
      </c>
      <c r="F290" s="81">
        <v>46233</v>
      </c>
      <c r="G290" s="79" cm="1">
        <f t="array" ref="G290:X290">_xlfn._xlws.FILTER(Formulas!$C$2:$T$201, ISNUMBER(MATCH(Formulas!$B$2:$B$201, B290, 0)),0) * E290</f>
        <v>383.87138197710715</v>
      </c>
      <c r="H290" s="79">
        <v>1306.5622298022893</v>
      </c>
      <c r="I290" s="79">
        <v>76.974209406867857</v>
      </c>
      <c r="J290" s="79">
        <v>76.974209406867857</v>
      </c>
      <c r="K290" s="79">
        <v>0</v>
      </c>
      <c r="L290" s="79">
        <v>0</v>
      </c>
      <c r="M290" s="79">
        <v>76.974209406867857</v>
      </c>
      <c r="N290" s="79">
        <v>0</v>
      </c>
      <c r="O290" s="79">
        <v>0</v>
      </c>
      <c r="P290" s="79">
        <v>0</v>
      </c>
      <c r="Q290" s="79">
        <v>0</v>
      </c>
      <c r="R290" s="79">
        <v>0</v>
      </c>
      <c r="S290" s="79">
        <v>0</v>
      </c>
      <c r="T290" s="79">
        <v>0</v>
      </c>
      <c r="U290" s="79">
        <v>0</v>
      </c>
      <c r="V290" s="79">
        <v>0</v>
      </c>
      <c r="W290" s="79">
        <v>0</v>
      </c>
      <c r="X290" s="90">
        <v>0</v>
      </c>
    </row>
    <row r="291" spans="1:24" hidden="1" x14ac:dyDescent="0.25">
      <c r="A291" s="80" t="str">
        <v>PENDIENTE</v>
      </c>
      <c r="B291" s="80" t="str">
        <v>Coishco</v>
      </c>
      <c r="C291" s="80" t="str">
        <v>O.C.</v>
      </c>
      <c r="D291" s="81">
        <v>46261</v>
      </c>
      <c r="E291" s="79">
        <v>2792.4993600000003</v>
      </c>
      <c r="F291" s="80">
        <v>46261</v>
      </c>
      <c r="G291" s="79" cm="1">
        <f t="array" ref="G291:X291">_xlfn._xlws.FILTER(Formulas!$C$2:$T$201, ISNUMBER(MATCH(Formulas!$B$2:$B$201, B291, 0)),0) * E291</f>
        <v>557.91870668054116</v>
      </c>
      <c r="H291" s="79">
        <v>1898.9576813319461</v>
      </c>
      <c r="I291" s="79">
        <v>111.87432399583768</v>
      </c>
      <c r="J291" s="79">
        <v>111.87432399583768</v>
      </c>
      <c r="K291" s="79">
        <v>0</v>
      </c>
      <c r="L291" s="79">
        <v>0</v>
      </c>
      <c r="M291" s="79">
        <v>111.87432399583768</v>
      </c>
      <c r="N291" s="79">
        <v>0</v>
      </c>
      <c r="O291" s="79">
        <v>0</v>
      </c>
      <c r="P291" s="79">
        <v>0</v>
      </c>
      <c r="Q291" s="79">
        <v>0</v>
      </c>
      <c r="R291" s="79">
        <v>0</v>
      </c>
      <c r="S291" s="79">
        <v>0</v>
      </c>
      <c r="T291" s="79">
        <v>0</v>
      </c>
      <c r="U291" s="79">
        <v>0</v>
      </c>
      <c r="V291" s="79">
        <v>0</v>
      </c>
      <c r="W291" s="79">
        <v>0</v>
      </c>
      <c r="X291" s="90">
        <v>0</v>
      </c>
    </row>
    <row r="292" spans="1:24" hidden="1" x14ac:dyDescent="0.25">
      <c r="A292" s="80" t="str">
        <v>PENDIENTE</v>
      </c>
      <c r="B292" s="80" t="str">
        <v>Coishco</v>
      </c>
      <c r="C292" s="80" t="str">
        <v>Setiembre</v>
      </c>
      <c r="D292" s="81">
        <v>46261</v>
      </c>
      <c r="E292" s="79">
        <v>1921.3562400000001</v>
      </c>
      <c r="F292" s="80">
        <v>46261</v>
      </c>
      <c r="G292" s="79" cm="1">
        <f t="array" ref="G292:X292">_xlfn._xlws.FILTER(Formulas!$C$2:$T$201, ISNUMBER(MATCH(Formulas!$B$2:$B$201, B292, 0)),0) * E292</f>
        <v>383.87138197710715</v>
      </c>
      <c r="H292" s="79">
        <v>1306.5622298022893</v>
      </c>
      <c r="I292" s="79">
        <v>76.974209406867857</v>
      </c>
      <c r="J292" s="79">
        <v>76.974209406867857</v>
      </c>
      <c r="K292" s="79">
        <v>0</v>
      </c>
      <c r="L292" s="79">
        <v>0</v>
      </c>
      <c r="M292" s="79">
        <v>76.974209406867857</v>
      </c>
      <c r="N292" s="79">
        <v>0</v>
      </c>
      <c r="O292" s="79">
        <v>0</v>
      </c>
      <c r="P292" s="79">
        <v>0</v>
      </c>
      <c r="Q292" s="79">
        <v>0</v>
      </c>
      <c r="R292" s="79">
        <v>0</v>
      </c>
      <c r="S292" s="79">
        <v>0</v>
      </c>
      <c r="T292" s="79">
        <v>0</v>
      </c>
      <c r="U292" s="79">
        <v>0</v>
      </c>
      <c r="V292" s="79">
        <v>0</v>
      </c>
      <c r="W292" s="79">
        <v>0</v>
      </c>
      <c r="X292" s="90">
        <v>0</v>
      </c>
    </row>
    <row r="293" spans="1:24" hidden="1" x14ac:dyDescent="0.25">
      <c r="A293" s="80" t="str">
        <v>PENDIENTE</v>
      </c>
      <c r="B293" s="80" t="str">
        <v>Coishco</v>
      </c>
      <c r="C293" s="80" t="str">
        <v>Octubre</v>
      </c>
      <c r="D293" s="81">
        <v>46293</v>
      </c>
      <c r="E293" s="79">
        <v>1921.3562400000001</v>
      </c>
      <c r="F293" s="80">
        <v>46293</v>
      </c>
      <c r="G293" s="79" cm="1">
        <f t="array" ref="G293:X293">_xlfn._xlws.FILTER(Formulas!$C$2:$T$201, ISNUMBER(MATCH(Formulas!$B$2:$B$201, B293, 0)),0) * E293</f>
        <v>383.87138197710715</v>
      </c>
      <c r="H293" s="79">
        <v>1306.5622298022893</v>
      </c>
      <c r="I293" s="79">
        <v>76.974209406867857</v>
      </c>
      <c r="J293" s="79">
        <v>76.974209406867857</v>
      </c>
      <c r="K293" s="79">
        <v>0</v>
      </c>
      <c r="L293" s="79">
        <v>0</v>
      </c>
      <c r="M293" s="79">
        <v>76.974209406867857</v>
      </c>
      <c r="N293" s="79">
        <v>0</v>
      </c>
      <c r="O293" s="79">
        <v>0</v>
      </c>
      <c r="P293" s="79">
        <v>0</v>
      </c>
      <c r="Q293" s="79">
        <v>0</v>
      </c>
      <c r="R293" s="79">
        <v>0</v>
      </c>
      <c r="S293" s="79">
        <v>0</v>
      </c>
      <c r="T293" s="79">
        <v>0</v>
      </c>
      <c r="U293" s="79">
        <v>0</v>
      </c>
      <c r="V293" s="79">
        <v>0</v>
      </c>
      <c r="W293" s="79">
        <v>0</v>
      </c>
      <c r="X293" s="90">
        <v>0</v>
      </c>
    </row>
    <row r="294" spans="1:24" hidden="1" x14ac:dyDescent="0.25">
      <c r="A294" s="80" t="str">
        <v>PENDIENTE</v>
      </c>
      <c r="B294" s="80" t="str">
        <v>Coishco</v>
      </c>
      <c r="C294" s="80" t="str">
        <v>Noviembre</v>
      </c>
      <c r="D294" s="81">
        <v>46324</v>
      </c>
      <c r="E294" s="79">
        <v>1921.3562400000001</v>
      </c>
      <c r="F294" s="81">
        <v>0</v>
      </c>
      <c r="G294" s="79" cm="1">
        <f t="array" ref="G294:X294">_xlfn._xlws.FILTER(Formulas!$C$2:$T$201, ISNUMBER(MATCH(Formulas!$B$2:$B$201, B294, 0)),0) * E294</f>
        <v>383.87138197710715</v>
      </c>
      <c r="H294" s="79">
        <v>1306.5622298022893</v>
      </c>
      <c r="I294" s="79">
        <v>76.974209406867857</v>
      </c>
      <c r="J294" s="79">
        <v>76.974209406867857</v>
      </c>
      <c r="K294" s="79">
        <v>0</v>
      </c>
      <c r="L294" s="79">
        <v>0</v>
      </c>
      <c r="M294" s="79">
        <v>76.974209406867857</v>
      </c>
      <c r="N294" s="79">
        <v>0</v>
      </c>
      <c r="O294" s="79">
        <v>0</v>
      </c>
      <c r="P294" s="79">
        <v>0</v>
      </c>
      <c r="Q294" s="79">
        <v>0</v>
      </c>
      <c r="R294" s="79">
        <v>0</v>
      </c>
      <c r="S294" s="79">
        <v>0</v>
      </c>
      <c r="T294" s="79">
        <v>0</v>
      </c>
      <c r="U294" s="79">
        <v>0</v>
      </c>
      <c r="V294" s="79">
        <v>0</v>
      </c>
      <c r="W294" s="79">
        <v>0</v>
      </c>
      <c r="X294" s="90">
        <v>0</v>
      </c>
    </row>
    <row r="295" spans="1:24" hidden="1" x14ac:dyDescent="0.25">
      <c r="A295" s="80" t="str">
        <v>PENDIENTE</v>
      </c>
      <c r="B295" s="80" t="str">
        <v>Coishco</v>
      </c>
      <c r="C295" s="80" t="str">
        <v>Diciembre</v>
      </c>
      <c r="D295" s="81">
        <v>46353</v>
      </c>
      <c r="E295" s="79">
        <v>1921.3562400000001</v>
      </c>
      <c r="F295" s="81">
        <v>0</v>
      </c>
      <c r="G295" s="79" cm="1">
        <f t="array" ref="G295:X295">_xlfn._xlws.FILTER(Formulas!$C$2:$T$201, ISNUMBER(MATCH(Formulas!$B$2:$B$201, B295, 0)),0) * E295</f>
        <v>383.87138197710715</v>
      </c>
      <c r="H295" s="79">
        <v>1306.5622298022893</v>
      </c>
      <c r="I295" s="79">
        <v>76.974209406867857</v>
      </c>
      <c r="J295" s="79">
        <v>76.974209406867857</v>
      </c>
      <c r="K295" s="79">
        <v>0</v>
      </c>
      <c r="L295" s="79">
        <v>0</v>
      </c>
      <c r="M295" s="79">
        <v>76.974209406867857</v>
      </c>
      <c r="N295" s="79">
        <v>0</v>
      </c>
      <c r="O295" s="79">
        <v>0</v>
      </c>
      <c r="P295" s="79">
        <v>0</v>
      </c>
      <c r="Q295" s="79">
        <v>0</v>
      </c>
      <c r="R295" s="79">
        <v>0</v>
      </c>
      <c r="S295" s="79">
        <v>0</v>
      </c>
      <c r="T295" s="79">
        <v>0</v>
      </c>
      <c r="U295" s="79">
        <v>0</v>
      </c>
      <c r="V295" s="79">
        <v>0</v>
      </c>
      <c r="W295" s="79">
        <v>0</v>
      </c>
      <c r="X295" s="90">
        <v>0</v>
      </c>
    </row>
    <row r="296" spans="1:24" hidden="1" x14ac:dyDescent="0.25">
      <c r="A296" s="80" t="str">
        <v>ENHA</v>
      </c>
      <c r="B296" s="80" t="str">
        <v>Colcamar</v>
      </c>
      <c r="C296" s="80" t="str">
        <v>O.C.</v>
      </c>
      <c r="D296" s="81">
        <v>46096</v>
      </c>
      <c r="E296" s="79">
        <v>790</v>
      </c>
      <c r="F296" s="81">
        <v>46090</v>
      </c>
      <c r="G296" s="79" cm="1">
        <f t="array" ref="G296:X296">_xlfn._xlws.FILTER(Formulas!$C$2:$T$201, ISNUMBER(MATCH(Formulas!$B$2:$B$201, B296, 0)),0) * E296</f>
        <v>370.3125</v>
      </c>
      <c r="H296" s="79">
        <v>370.3125</v>
      </c>
      <c r="I296" s="79">
        <v>47.4</v>
      </c>
      <c r="J296" s="79">
        <v>0</v>
      </c>
      <c r="K296" s="79">
        <v>0</v>
      </c>
      <c r="L296" s="79">
        <v>0</v>
      </c>
      <c r="M296" s="79">
        <v>0</v>
      </c>
      <c r="N296" s="79">
        <v>0</v>
      </c>
      <c r="O296" s="79">
        <v>0</v>
      </c>
      <c r="P296" s="79">
        <v>0</v>
      </c>
      <c r="Q296" s="79">
        <v>0</v>
      </c>
      <c r="R296" s="79">
        <v>0</v>
      </c>
      <c r="S296" s="79">
        <v>0</v>
      </c>
      <c r="T296" s="79">
        <v>0</v>
      </c>
      <c r="U296" s="79">
        <v>0</v>
      </c>
      <c r="V296" s="79">
        <v>0.79</v>
      </c>
      <c r="W296" s="79">
        <v>0</v>
      </c>
      <c r="X296" s="90">
        <v>0</v>
      </c>
    </row>
    <row r="297" spans="1:24" hidden="1" x14ac:dyDescent="0.25">
      <c r="A297" s="80" t="str">
        <v>ENHA</v>
      </c>
      <c r="B297" s="80" t="str">
        <v>Colcamar</v>
      </c>
      <c r="C297" s="80" t="str">
        <v>O.C.</v>
      </c>
      <c r="D297" s="81">
        <v>46122</v>
      </c>
      <c r="E297" s="79">
        <v>800</v>
      </c>
      <c r="F297" s="81">
        <v>46120</v>
      </c>
      <c r="G297" s="79" cm="1">
        <f t="array" ref="G297:X297">_xlfn._xlws.FILTER(Formulas!$C$2:$T$201, ISNUMBER(MATCH(Formulas!$B$2:$B$201, B297, 0)),0) * E297</f>
        <v>375</v>
      </c>
      <c r="H297" s="79">
        <v>375</v>
      </c>
      <c r="I297" s="79">
        <v>48</v>
      </c>
      <c r="J297" s="79">
        <v>0</v>
      </c>
      <c r="K297" s="79">
        <v>0</v>
      </c>
      <c r="L297" s="79">
        <v>0</v>
      </c>
      <c r="M297" s="79">
        <v>0</v>
      </c>
      <c r="N297" s="79">
        <v>0</v>
      </c>
      <c r="O297" s="79">
        <v>0</v>
      </c>
      <c r="P297" s="79">
        <v>0</v>
      </c>
      <c r="Q297" s="79">
        <v>0</v>
      </c>
      <c r="R297" s="79">
        <v>0</v>
      </c>
      <c r="S297" s="79">
        <v>0</v>
      </c>
      <c r="T297" s="79">
        <v>0</v>
      </c>
      <c r="U297" s="79">
        <v>0</v>
      </c>
      <c r="V297" s="79">
        <v>0.8</v>
      </c>
      <c r="W297" s="79">
        <v>0</v>
      </c>
      <c r="X297" s="90">
        <v>0</v>
      </c>
    </row>
    <row r="298" spans="1:24" hidden="1" x14ac:dyDescent="0.25">
      <c r="A298" s="80" t="str">
        <v>ENHA</v>
      </c>
      <c r="B298" s="80" t="str">
        <v>Colcamar</v>
      </c>
      <c r="C298" s="80" t="str">
        <v>O.C.</v>
      </c>
      <c r="D298" s="81">
        <v>46188</v>
      </c>
      <c r="E298" s="79">
        <v>810</v>
      </c>
      <c r="F298" s="81">
        <v>46206</v>
      </c>
      <c r="G298" s="79" cm="1">
        <f t="array" ref="G298:X298">_xlfn._xlws.FILTER(Formulas!$C$2:$T$201, ISNUMBER(MATCH(Formulas!$B$2:$B$201, B298, 0)),0) * E298</f>
        <v>379.6875</v>
      </c>
      <c r="H298" s="79">
        <v>379.6875</v>
      </c>
      <c r="I298" s="79">
        <v>48.6</v>
      </c>
      <c r="J298" s="79">
        <v>0</v>
      </c>
      <c r="K298" s="79">
        <v>0</v>
      </c>
      <c r="L298" s="79">
        <v>0</v>
      </c>
      <c r="M298" s="79">
        <v>0</v>
      </c>
      <c r="N298" s="79">
        <v>0</v>
      </c>
      <c r="O298" s="79">
        <v>0</v>
      </c>
      <c r="P298" s="79">
        <v>0</v>
      </c>
      <c r="Q298" s="79">
        <v>0</v>
      </c>
      <c r="R298" s="79">
        <v>0</v>
      </c>
      <c r="S298" s="79">
        <v>0</v>
      </c>
      <c r="T298" s="79">
        <v>0</v>
      </c>
      <c r="U298" s="79">
        <v>0</v>
      </c>
      <c r="V298" s="79">
        <v>0.81</v>
      </c>
      <c r="W298" s="79">
        <v>0</v>
      </c>
      <c r="X298" s="90">
        <v>0</v>
      </c>
    </row>
    <row r="299" spans="1:24" hidden="1" x14ac:dyDescent="0.25">
      <c r="A299" s="80" t="str">
        <v>PENDIENTE</v>
      </c>
      <c r="B299" s="80" t="str">
        <v>Condebamba</v>
      </c>
      <c r="C299" s="80" t="str">
        <v>Enero / Febrero</v>
      </c>
      <c r="D299" s="81">
        <v>46037</v>
      </c>
      <c r="E299" s="79">
        <v>3802.95</v>
      </c>
      <c r="F299" s="81">
        <v>46032</v>
      </c>
      <c r="G299" s="79" cm="1">
        <f t="array" ref="G299:X299">_xlfn._xlws.FILTER(Formulas!$C$2:$T$201, ISNUMBER(MATCH(Formulas!$B$2:$B$201, B299, 0)),0) * E299</f>
        <v>523.99311070207727</v>
      </c>
      <c r="H299" s="79">
        <v>1606.9788719432026</v>
      </c>
      <c r="I299" s="79">
        <v>170.99775177491452</v>
      </c>
      <c r="J299" s="79">
        <v>84.998882461214833</v>
      </c>
      <c r="K299" s="79">
        <v>0</v>
      </c>
      <c r="L299" s="79">
        <v>0</v>
      </c>
      <c r="M299" s="79">
        <v>84.998882461214833</v>
      </c>
      <c r="N299" s="79">
        <v>0</v>
      </c>
      <c r="O299" s="79">
        <v>1330.9825006573758</v>
      </c>
      <c r="P299" s="79">
        <v>0</v>
      </c>
      <c r="Q299" s="79">
        <v>0</v>
      </c>
      <c r="R299" s="79">
        <v>0</v>
      </c>
      <c r="S299" s="79">
        <v>0</v>
      </c>
      <c r="T299" s="79">
        <v>0</v>
      </c>
      <c r="U299" s="79">
        <v>0</v>
      </c>
      <c r="V299" s="79">
        <v>0</v>
      </c>
      <c r="W299" s="79">
        <v>0</v>
      </c>
      <c r="X299" s="90">
        <v>0</v>
      </c>
    </row>
    <row r="300" spans="1:24" hidden="1" x14ac:dyDescent="0.25">
      <c r="A300" s="80" t="str">
        <v>PENDIENTE</v>
      </c>
      <c r="B300" s="80" t="str">
        <v>Condebamba</v>
      </c>
      <c r="C300" s="80" t="str">
        <v>Marzo / Abril</v>
      </c>
      <c r="D300" s="81">
        <v>46073</v>
      </c>
      <c r="E300" s="79">
        <v>3802.95</v>
      </c>
      <c r="F300" s="81">
        <v>46063</v>
      </c>
      <c r="G300" s="79" cm="1">
        <f t="array" ref="G300:X300">_xlfn._xlws.FILTER(Formulas!$C$2:$T$201, ISNUMBER(MATCH(Formulas!$B$2:$B$201, B300, 0)),0) * E300</f>
        <v>523.99311070207727</v>
      </c>
      <c r="H300" s="79">
        <v>1606.9788719432026</v>
      </c>
      <c r="I300" s="79">
        <v>170.99775177491452</v>
      </c>
      <c r="J300" s="79">
        <v>84.998882461214833</v>
      </c>
      <c r="K300" s="79">
        <v>0</v>
      </c>
      <c r="L300" s="79">
        <v>0</v>
      </c>
      <c r="M300" s="79">
        <v>84.998882461214833</v>
      </c>
      <c r="N300" s="79">
        <v>0</v>
      </c>
      <c r="O300" s="79">
        <v>1330.9825006573758</v>
      </c>
      <c r="P300" s="79">
        <v>0</v>
      </c>
      <c r="Q300" s="79">
        <v>0</v>
      </c>
      <c r="R300" s="79">
        <v>0</v>
      </c>
      <c r="S300" s="79">
        <v>0</v>
      </c>
      <c r="T300" s="79">
        <v>0</v>
      </c>
      <c r="U300" s="79">
        <v>0</v>
      </c>
      <c r="V300" s="79">
        <v>0</v>
      </c>
      <c r="W300" s="79">
        <v>0</v>
      </c>
      <c r="X300" s="90">
        <v>0</v>
      </c>
    </row>
    <row r="301" spans="1:24" hidden="1" x14ac:dyDescent="0.25">
      <c r="A301" s="80" t="str">
        <v>PENDIENTE</v>
      </c>
      <c r="B301" s="80" t="str">
        <v>Condebamba</v>
      </c>
      <c r="C301" s="80" t="str">
        <v>Mayo / Junio</v>
      </c>
      <c r="D301" s="81">
        <v>46133</v>
      </c>
      <c r="E301" s="79">
        <v>3802.95</v>
      </c>
      <c r="F301" s="81">
        <v>46123</v>
      </c>
      <c r="G301" s="79" cm="1">
        <f t="array" ref="G301:X301">_xlfn._xlws.FILTER(Formulas!$C$2:$T$201, ISNUMBER(MATCH(Formulas!$B$2:$B$201, B301, 0)),0) * E301</f>
        <v>523.99311070207727</v>
      </c>
      <c r="H301" s="79">
        <v>1606.9788719432026</v>
      </c>
      <c r="I301" s="79">
        <v>170.99775177491452</v>
      </c>
      <c r="J301" s="79">
        <v>84.998882461214833</v>
      </c>
      <c r="K301" s="79">
        <v>0</v>
      </c>
      <c r="L301" s="79">
        <v>0</v>
      </c>
      <c r="M301" s="79">
        <v>84.998882461214833</v>
      </c>
      <c r="N301" s="79">
        <v>0</v>
      </c>
      <c r="O301" s="79">
        <v>1330.9825006573758</v>
      </c>
      <c r="P301" s="79">
        <v>0</v>
      </c>
      <c r="Q301" s="79">
        <v>0</v>
      </c>
      <c r="R301" s="79">
        <v>0</v>
      </c>
      <c r="S301" s="79">
        <v>0</v>
      </c>
      <c r="T301" s="79">
        <v>0</v>
      </c>
      <c r="U301" s="79">
        <v>0</v>
      </c>
      <c r="V301" s="79">
        <v>0</v>
      </c>
      <c r="W301" s="79">
        <v>0</v>
      </c>
      <c r="X301" s="90">
        <v>0</v>
      </c>
    </row>
    <row r="302" spans="1:24" hidden="1" x14ac:dyDescent="0.25">
      <c r="A302" s="80" t="str">
        <v>PENDIENTE</v>
      </c>
      <c r="B302" s="80" t="str">
        <v>Condebamba</v>
      </c>
      <c r="C302" s="80" t="str">
        <v>O.C.</v>
      </c>
      <c r="D302" s="81">
        <v>46194</v>
      </c>
      <c r="E302" s="79">
        <v>2211.7251000000001</v>
      </c>
      <c r="F302" s="81">
        <v>46243</v>
      </c>
      <c r="G302" s="79" cm="1">
        <f t="array" ref="G302:X302">_xlfn._xlws.FILTER(Formulas!$C$2:$T$201, ISNUMBER(MATCH(Formulas!$B$2:$B$201, B302, 0)),0) * E302</f>
        <v>304.74466273994216</v>
      </c>
      <c r="H302" s="79">
        <v>934.58907065474625</v>
      </c>
      <c r="I302" s="79">
        <v>99.449117039179598</v>
      </c>
      <c r="J302" s="79">
        <v>49.433771627662374</v>
      </c>
      <c r="K302" s="79">
        <v>0</v>
      </c>
      <c r="L302" s="79">
        <v>0</v>
      </c>
      <c r="M302" s="79">
        <v>49.433771627662374</v>
      </c>
      <c r="N302" s="79">
        <v>0</v>
      </c>
      <c r="O302" s="79">
        <v>774.0747063108073</v>
      </c>
      <c r="P302" s="79">
        <v>0</v>
      </c>
      <c r="Q302" s="79">
        <v>0</v>
      </c>
      <c r="R302" s="79">
        <v>0</v>
      </c>
      <c r="S302" s="79">
        <v>0</v>
      </c>
      <c r="T302" s="79">
        <v>0</v>
      </c>
      <c r="U302" s="79">
        <v>0</v>
      </c>
      <c r="V302" s="79">
        <v>0</v>
      </c>
      <c r="W302" s="79">
        <v>0</v>
      </c>
      <c r="X302" s="90">
        <v>0</v>
      </c>
    </row>
    <row r="303" spans="1:24" hidden="1" x14ac:dyDescent="0.25">
      <c r="A303" s="80" t="str">
        <v>PENDIENTE</v>
      </c>
      <c r="B303" s="80" t="str">
        <v>Condebamba</v>
      </c>
      <c r="C303" s="80" t="str">
        <v>Julio / Agosto</v>
      </c>
      <c r="D303" s="81">
        <v>46196</v>
      </c>
      <c r="E303" s="79">
        <v>3802.95</v>
      </c>
      <c r="F303" s="80">
        <v>46168</v>
      </c>
      <c r="G303" s="79" cm="1">
        <f t="array" ref="G303:X303">_xlfn._xlws.FILTER(Formulas!$C$2:$T$201, ISNUMBER(MATCH(Formulas!$B$2:$B$201, B303, 0)),0) * E303</f>
        <v>523.99311070207727</v>
      </c>
      <c r="H303" s="79">
        <v>1606.9788719432026</v>
      </c>
      <c r="I303" s="79">
        <v>170.99775177491452</v>
      </c>
      <c r="J303" s="79">
        <v>84.998882461214833</v>
      </c>
      <c r="K303" s="79">
        <v>0</v>
      </c>
      <c r="L303" s="79">
        <v>0</v>
      </c>
      <c r="M303" s="79">
        <v>84.998882461214833</v>
      </c>
      <c r="N303" s="79">
        <v>0</v>
      </c>
      <c r="O303" s="79">
        <v>1330.9825006573758</v>
      </c>
      <c r="P303" s="79">
        <v>0</v>
      </c>
      <c r="Q303" s="79">
        <v>0</v>
      </c>
      <c r="R303" s="79">
        <v>0</v>
      </c>
      <c r="S303" s="79">
        <v>0</v>
      </c>
      <c r="T303" s="79">
        <v>0</v>
      </c>
      <c r="U303" s="79">
        <v>0</v>
      </c>
      <c r="V303" s="79">
        <v>0</v>
      </c>
      <c r="W303" s="79">
        <v>0</v>
      </c>
      <c r="X303" s="90">
        <v>0</v>
      </c>
    </row>
    <row r="304" spans="1:24" hidden="1" x14ac:dyDescent="0.25">
      <c r="A304" s="80" t="str">
        <v>PENDIENTE</v>
      </c>
      <c r="B304" s="80" t="str">
        <v>Condebamba</v>
      </c>
      <c r="C304" s="80" t="str">
        <v>Septiembre / Octubre</v>
      </c>
      <c r="D304" s="81">
        <v>46252</v>
      </c>
      <c r="E304" s="79">
        <v>3802.95</v>
      </c>
      <c r="F304" s="81">
        <v>46241</v>
      </c>
      <c r="G304" s="79" cm="1">
        <f t="array" ref="G304:X304">_xlfn._xlws.FILTER(Formulas!$C$2:$T$201, ISNUMBER(MATCH(Formulas!$B$2:$B$201, B304, 0)),0) * E304</f>
        <v>523.99311070207727</v>
      </c>
      <c r="H304" s="79">
        <v>1606.9788719432026</v>
      </c>
      <c r="I304" s="79">
        <v>170.99775177491452</v>
      </c>
      <c r="J304" s="79">
        <v>84.998882461214833</v>
      </c>
      <c r="K304" s="79">
        <v>0</v>
      </c>
      <c r="L304" s="79">
        <v>0</v>
      </c>
      <c r="M304" s="79">
        <v>84.998882461214833</v>
      </c>
      <c r="N304" s="79">
        <v>0</v>
      </c>
      <c r="O304" s="79">
        <v>1330.9825006573758</v>
      </c>
      <c r="P304" s="79">
        <v>0</v>
      </c>
      <c r="Q304" s="79">
        <v>0</v>
      </c>
      <c r="R304" s="79">
        <v>0</v>
      </c>
      <c r="S304" s="79">
        <v>0</v>
      </c>
      <c r="T304" s="79">
        <v>0</v>
      </c>
      <c r="U304" s="79">
        <v>0</v>
      </c>
      <c r="V304" s="79">
        <v>0</v>
      </c>
      <c r="W304" s="79">
        <v>0</v>
      </c>
      <c r="X304" s="90">
        <v>0</v>
      </c>
    </row>
    <row r="305" spans="1:24" hidden="1" x14ac:dyDescent="0.25">
      <c r="A305" s="80" t="str">
        <v>PENDIENTE</v>
      </c>
      <c r="B305" s="80" t="str">
        <v>Condebamba</v>
      </c>
      <c r="C305" s="80" t="str">
        <v>Noviembre / Diciembre</v>
      </c>
      <c r="D305" s="81">
        <v>46316</v>
      </c>
      <c r="E305" s="79">
        <v>3802.95</v>
      </c>
      <c r="F305" s="81">
        <v>0</v>
      </c>
      <c r="G305" s="79" cm="1">
        <f t="array" ref="G305:X305">_xlfn._xlws.FILTER(Formulas!$C$2:$T$201, ISNUMBER(MATCH(Formulas!$B$2:$B$201, B305, 0)),0) * E305</f>
        <v>523.99311070207727</v>
      </c>
      <c r="H305" s="79">
        <v>1606.9788719432026</v>
      </c>
      <c r="I305" s="79">
        <v>170.99775177491452</v>
      </c>
      <c r="J305" s="79">
        <v>84.998882461214833</v>
      </c>
      <c r="K305" s="79">
        <v>0</v>
      </c>
      <c r="L305" s="79">
        <v>0</v>
      </c>
      <c r="M305" s="79">
        <v>84.998882461214833</v>
      </c>
      <c r="N305" s="79">
        <v>0</v>
      </c>
      <c r="O305" s="79">
        <v>1330.9825006573758</v>
      </c>
      <c r="P305" s="79">
        <v>0</v>
      </c>
      <c r="Q305" s="79">
        <v>0</v>
      </c>
      <c r="R305" s="79">
        <v>0</v>
      </c>
      <c r="S305" s="79">
        <v>0</v>
      </c>
      <c r="T305" s="79">
        <v>0</v>
      </c>
      <c r="U305" s="79">
        <v>0</v>
      </c>
      <c r="V305" s="79">
        <v>0</v>
      </c>
      <c r="W305" s="79">
        <v>0</v>
      </c>
      <c r="X305" s="90">
        <v>0</v>
      </c>
    </row>
    <row r="306" spans="1:24" hidden="1" x14ac:dyDescent="0.25">
      <c r="A306" s="80" t="str">
        <v>PENDIENTE</v>
      </c>
      <c r="B306" s="80" t="str">
        <v>Copallin</v>
      </c>
      <c r="C306" s="80" t="str">
        <v>Enero / Febrero</v>
      </c>
      <c r="D306" s="81">
        <v>46041</v>
      </c>
      <c r="E306" s="79">
        <v>1004.8000000000001</v>
      </c>
      <c r="F306" s="81">
        <v>46028</v>
      </c>
      <c r="G306" s="79" cm="1">
        <f t="array" ref="G306:X306">_xlfn._xlws.FILTER(Formulas!$C$2:$T$201, ISNUMBER(MATCH(Formulas!$B$2:$B$201, B306, 0)),0) * E306</f>
        <v>117.97651741293532</v>
      </c>
      <c r="H306" s="79">
        <v>404.91940298507467</v>
      </c>
      <c r="I306" s="79">
        <v>49.990049751243788</v>
      </c>
      <c r="J306" s="79">
        <v>49.990049751243788</v>
      </c>
      <c r="K306" s="79">
        <v>0</v>
      </c>
      <c r="L306" s="79">
        <v>0</v>
      </c>
      <c r="M306" s="79">
        <v>0</v>
      </c>
      <c r="N306" s="79">
        <v>0</v>
      </c>
      <c r="O306" s="79">
        <v>381.9239800995025</v>
      </c>
      <c r="P306" s="79">
        <v>0</v>
      </c>
      <c r="Q306" s="79">
        <v>0</v>
      </c>
      <c r="R306" s="79">
        <v>0</v>
      </c>
      <c r="S306" s="79">
        <v>0</v>
      </c>
      <c r="T306" s="79">
        <v>0</v>
      </c>
      <c r="U306" s="79">
        <v>0</v>
      </c>
      <c r="V306" s="79">
        <v>0</v>
      </c>
      <c r="W306" s="79">
        <v>0</v>
      </c>
      <c r="X306" s="90">
        <v>0</v>
      </c>
    </row>
    <row r="307" spans="1:24" hidden="1" x14ac:dyDescent="0.25">
      <c r="A307" s="80" t="str">
        <v>PENDIENTE</v>
      </c>
      <c r="B307" s="80" t="str">
        <v>Copallin</v>
      </c>
      <c r="C307" s="80" t="str">
        <v>Marzo / Abril</v>
      </c>
      <c r="D307" s="81">
        <v>46041</v>
      </c>
      <c r="E307" s="79">
        <v>1004.8000000000001</v>
      </c>
      <c r="F307" s="81">
        <v>46084</v>
      </c>
      <c r="G307" s="79" cm="1">
        <f t="array" ref="G307:X307">_xlfn._xlws.FILTER(Formulas!$C$2:$T$201, ISNUMBER(MATCH(Formulas!$B$2:$B$201, B307, 0)),0) * E307</f>
        <v>117.97651741293532</v>
      </c>
      <c r="H307" s="79">
        <v>404.91940298507467</v>
      </c>
      <c r="I307" s="79">
        <v>49.990049751243788</v>
      </c>
      <c r="J307" s="79">
        <v>49.990049751243788</v>
      </c>
      <c r="K307" s="79">
        <v>0</v>
      </c>
      <c r="L307" s="79">
        <v>0</v>
      </c>
      <c r="M307" s="79">
        <v>0</v>
      </c>
      <c r="N307" s="79">
        <v>0</v>
      </c>
      <c r="O307" s="79">
        <v>381.9239800995025</v>
      </c>
      <c r="P307" s="79">
        <v>0</v>
      </c>
      <c r="Q307" s="79">
        <v>0</v>
      </c>
      <c r="R307" s="79">
        <v>0</v>
      </c>
      <c r="S307" s="79">
        <v>0</v>
      </c>
      <c r="T307" s="79">
        <v>0</v>
      </c>
      <c r="U307" s="79">
        <v>0</v>
      </c>
      <c r="V307" s="79">
        <v>0</v>
      </c>
      <c r="W307" s="79">
        <v>0</v>
      </c>
      <c r="X307" s="90">
        <v>0</v>
      </c>
    </row>
    <row r="308" spans="1:24" hidden="1" x14ac:dyDescent="0.25">
      <c r="A308" s="80" t="str">
        <v>PENDIENTE</v>
      </c>
      <c r="B308" s="80" t="str">
        <v>Copallin</v>
      </c>
      <c r="C308" s="80" t="str">
        <v>Mayo / Junio</v>
      </c>
      <c r="D308" s="81">
        <v>46086</v>
      </c>
      <c r="E308" s="79">
        <v>1004.8000000000001</v>
      </c>
      <c r="F308" s="81">
        <v>46134</v>
      </c>
      <c r="G308" s="79" cm="1">
        <f t="array" ref="G308:X308">_xlfn._xlws.FILTER(Formulas!$C$2:$T$201, ISNUMBER(MATCH(Formulas!$B$2:$B$201, B308, 0)),0) * E308</f>
        <v>117.97651741293532</v>
      </c>
      <c r="H308" s="79">
        <v>404.91940298507467</v>
      </c>
      <c r="I308" s="79">
        <v>49.990049751243788</v>
      </c>
      <c r="J308" s="79">
        <v>49.990049751243788</v>
      </c>
      <c r="K308" s="79">
        <v>0</v>
      </c>
      <c r="L308" s="79">
        <v>0</v>
      </c>
      <c r="M308" s="79">
        <v>0</v>
      </c>
      <c r="N308" s="79">
        <v>0</v>
      </c>
      <c r="O308" s="79">
        <v>381.9239800995025</v>
      </c>
      <c r="P308" s="79">
        <v>0</v>
      </c>
      <c r="Q308" s="79">
        <v>0</v>
      </c>
      <c r="R308" s="79">
        <v>0</v>
      </c>
      <c r="S308" s="79">
        <v>0</v>
      </c>
      <c r="T308" s="79">
        <v>0</v>
      </c>
      <c r="U308" s="79">
        <v>0</v>
      </c>
      <c r="V308" s="79">
        <v>0</v>
      </c>
      <c r="W308" s="79">
        <v>0</v>
      </c>
      <c r="X308" s="90">
        <v>0</v>
      </c>
    </row>
    <row r="309" spans="1:24" hidden="1" x14ac:dyDescent="0.25">
      <c r="A309" s="80" t="str">
        <v>PENDIENTE</v>
      </c>
      <c r="B309" s="80" t="str">
        <v>Copallin</v>
      </c>
      <c r="C309" s="80" t="str">
        <v>Julio / Agosto</v>
      </c>
      <c r="D309" s="81">
        <v>46203</v>
      </c>
      <c r="E309" s="79">
        <v>1004.8000000000001</v>
      </c>
      <c r="F309" s="80">
        <v>46197</v>
      </c>
      <c r="G309" s="79" cm="1">
        <f t="array" ref="G309:X309">_xlfn._xlws.FILTER(Formulas!$C$2:$T$201, ISNUMBER(MATCH(Formulas!$B$2:$B$201, B309, 0)),0) * E309</f>
        <v>117.97651741293532</v>
      </c>
      <c r="H309" s="79">
        <v>404.91940298507467</v>
      </c>
      <c r="I309" s="79">
        <v>49.990049751243788</v>
      </c>
      <c r="J309" s="79">
        <v>49.990049751243788</v>
      </c>
      <c r="K309" s="79">
        <v>0</v>
      </c>
      <c r="L309" s="79">
        <v>0</v>
      </c>
      <c r="M309" s="79">
        <v>0</v>
      </c>
      <c r="N309" s="79">
        <v>0</v>
      </c>
      <c r="O309" s="79">
        <v>381.9239800995025</v>
      </c>
      <c r="P309" s="79">
        <v>0</v>
      </c>
      <c r="Q309" s="79">
        <v>0</v>
      </c>
      <c r="R309" s="79">
        <v>0</v>
      </c>
      <c r="S309" s="79">
        <v>0</v>
      </c>
      <c r="T309" s="79">
        <v>0</v>
      </c>
      <c r="U309" s="79">
        <v>0</v>
      </c>
      <c r="V309" s="79">
        <v>0</v>
      </c>
      <c r="W309" s="79">
        <v>0</v>
      </c>
      <c r="X309" s="90">
        <v>0</v>
      </c>
    </row>
    <row r="310" spans="1:24" hidden="1" x14ac:dyDescent="0.25">
      <c r="A310" s="80" t="str">
        <v>PENDIENTE</v>
      </c>
      <c r="B310" s="80" t="str">
        <v>Copallin</v>
      </c>
      <c r="C310" s="80" t="str">
        <v>Septiembre / Octubre</v>
      </c>
      <c r="D310" s="81">
        <v>46264</v>
      </c>
      <c r="E310" s="79">
        <v>1004.8000000000001</v>
      </c>
      <c r="F310" s="81">
        <v>46257</v>
      </c>
      <c r="G310" s="79" cm="1">
        <f t="array" ref="G310:X310">_xlfn._xlws.FILTER(Formulas!$C$2:$T$201, ISNUMBER(MATCH(Formulas!$B$2:$B$201, B310, 0)),0) * E310</f>
        <v>117.97651741293532</v>
      </c>
      <c r="H310" s="79">
        <v>404.91940298507467</v>
      </c>
      <c r="I310" s="79">
        <v>49.990049751243788</v>
      </c>
      <c r="J310" s="79">
        <v>49.990049751243788</v>
      </c>
      <c r="K310" s="79">
        <v>0</v>
      </c>
      <c r="L310" s="79">
        <v>0</v>
      </c>
      <c r="M310" s="79">
        <v>0</v>
      </c>
      <c r="N310" s="79">
        <v>0</v>
      </c>
      <c r="O310" s="79">
        <v>381.9239800995025</v>
      </c>
      <c r="P310" s="79">
        <v>0</v>
      </c>
      <c r="Q310" s="79">
        <v>0</v>
      </c>
      <c r="R310" s="79">
        <v>0</v>
      </c>
      <c r="S310" s="79">
        <v>0</v>
      </c>
      <c r="T310" s="79">
        <v>0</v>
      </c>
      <c r="U310" s="79">
        <v>0</v>
      </c>
      <c r="V310" s="79">
        <v>0</v>
      </c>
      <c r="W310" s="79">
        <v>0</v>
      </c>
      <c r="X310" s="90">
        <v>0</v>
      </c>
    </row>
    <row r="311" spans="1:24" hidden="1" x14ac:dyDescent="0.25">
      <c r="A311" s="80" t="str">
        <v>PENDIENTE</v>
      </c>
      <c r="B311" s="80" t="str">
        <v>Copallin</v>
      </c>
      <c r="C311" s="80" t="str">
        <v>Noviembre / Diciembre</v>
      </c>
      <c r="D311" s="81">
        <v>46268</v>
      </c>
      <c r="E311" s="79">
        <v>1004.8000000000001</v>
      </c>
      <c r="F311" s="81">
        <v>0</v>
      </c>
      <c r="G311" s="79" cm="1">
        <f t="array" ref="G311:X311">_xlfn._xlws.FILTER(Formulas!$C$2:$T$201, ISNUMBER(MATCH(Formulas!$B$2:$B$201, B311, 0)),0) * E311</f>
        <v>117.97651741293532</v>
      </c>
      <c r="H311" s="79">
        <v>404.91940298507467</v>
      </c>
      <c r="I311" s="79">
        <v>49.990049751243788</v>
      </c>
      <c r="J311" s="79">
        <v>49.990049751243788</v>
      </c>
      <c r="K311" s="79">
        <v>0</v>
      </c>
      <c r="L311" s="79">
        <v>0</v>
      </c>
      <c r="M311" s="79">
        <v>0</v>
      </c>
      <c r="N311" s="79">
        <v>0</v>
      </c>
      <c r="O311" s="79">
        <v>381.9239800995025</v>
      </c>
      <c r="P311" s="79">
        <v>0</v>
      </c>
      <c r="Q311" s="79">
        <v>0</v>
      </c>
      <c r="R311" s="79">
        <v>0</v>
      </c>
      <c r="S311" s="79">
        <v>0</v>
      </c>
      <c r="T311" s="79">
        <v>0</v>
      </c>
      <c r="U311" s="79">
        <v>0</v>
      </c>
      <c r="V311" s="79">
        <v>0</v>
      </c>
      <c r="W311" s="79">
        <v>0</v>
      </c>
      <c r="X311" s="90">
        <v>0</v>
      </c>
    </row>
    <row r="312" spans="1:24" hidden="1" x14ac:dyDescent="0.25">
      <c r="A312" s="80" t="str">
        <v>PENDIENTE</v>
      </c>
      <c r="B312" s="80" t="str">
        <v>Coris</v>
      </c>
      <c r="C312" s="80" t="str">
        <v>O.C.</v>
      </c>
      <c r="D312" s="81">
        <v>46050</v>
      </c>
      <c r="E312" s="79">
        <v>875</v>
      </c>
      <c r="F312" s="80">
        <v>46052</v>
      </c>
      <c r="G312" s="79" cm="1">
        <f t="array" ref="G312">_xlfn._xlws.FILTER(Formulas!$C$2:$T$201, ISNUMBER(MATCH(Formulas!$B$2:$B$201, B312, 0)),0) * E312</f>
        <v>0</v>
      </c>
    </row>
    <row r="313" spans="1:24" hidden="1" x14ac:dyDescent="0.25">
      <c r="A313" s="80" t="str">
        <v>PENDIENTE</v>
      </c>
      <c r="B313" s="80" t="str">
        <v>Coris</v>
      </c>
      <c r="C313" s="80" t="str">
        <v>O.C.</v>
      </c>
      <c r="D313" s="81">
        <v>46203</v>
      </c>
      <c r="E313" s="79">
        <v>875</v>
      </c>
      <c r="F313" s="81">
        <v>46198</v>
      </c>
      <c r="G313" s="79" cm="1">
        <f t="array" ref="G313">_xlfn._xlws.FILTER(Formulas!$C$2:$T$201, ISNUMBER(MATCH(Formulas!$B$2:$B$201, B313, 0)),0) * E313</f>
        <v>0</v>
      </c>
    </row>
    <row r="314" spans="1:24" hidden="1" x14ac:dyDescent="0.25">
      <c r="A314" s="80" t="str">
        <v>PENDIENTE</v>
      </c>
      <c r="B314" s="80" t="str">
        <v>Coris</v>
      </c>
      <c r="C314" s="80" t="str">
        <v>O.C.</v>
      </c>
      <c r="D314" s="81">
        <v>46295</v>
      </c>
      <c r="E314" s="79">
        <v>1312.5</v>
      </c>
      <c r="F314" s="81">
        <v>0</v>
      </c>
      <c r="G314" s="79" cm="1">
        <f t="array" ref="G314">_xlfn._xlws.FILTER(Formulas!$C$2:$T$201, ISNUMBER(MATCH(Formulas!$B$2:$B$201, B314, 0)),0) * E314</f>
        <v>0</v>
      </c>
    </row>
    <row r="315" spans="1:24" hidden="1" x14ac:dyDescent="0.25">
      <c r="A315" s="80" t="str">
        <v>PENDIENTE</v>
      </c>
      <c r="B315" s="80" t="str">
        <v>Cospan</v>
      </c>
      <c r="C315" s="80" t="str">
        <v>Enero</v>
      </c>
      <c r="D315" s="81">
        <v>46022</v>
      </c>
      <c r="E315" s="79">
        <v>1846.7855999999999</v>
      </c>
      <c r="F315" s="81">
        <v>46025</v>
      </c>
      <c r="G315" s="79" cm="1">
        <f t="array" ref="G315:X315">_xlfn._xlws.FILTER(Formulas!$C$2:$T$201, ISNUMBER(MATCH(Formulas!$B$2:$B$201, B315, 0)),0) * E315</f>
        <v>433.69459667870035</v>
      </c>
      <c r="H315" s="79">
        <v>1200.4106400000001</v>
      </c>
      <c r="I315" s="79">
        <v>64.6708314801444</v>
      </c>
      <c r="J315" s="79">
        <v>74.004765920577611</v>
      </c>
      <c r="K315" s="79">
        <v>0</v>
      </c>
      <c r="L315" s="79">
        <v>0</v>
      </c>
      <c r="M315" s="79">
        <v>74.004765920577611</v>
      </c>
      <c r="N315" s="79">
        <v>0</v>
      </c>
      <c r="O315" s="79">
        <v>0</v>
      </c>
      <c r="P315" s="79">
        <v>0</v>
      </c>
      <c r="Q315" s="79">
        <v>0</v>
      </c>
      <c r="R315" s="79">
        <v>0</v>
      </c>
      <c r="S315" s="79">
        <v>0</v>
      </c>
      <c r="T315" s="79">
        <v>0</v>
      </c>
      <c r="U315" s="79">
        <v>0</v>
      </c>
      <c r="V315" s="79">
        <v>0</v>
      </c>
      <c r="W315" s="79">
        <v>0</v>
      </c>
      <c r="X315" s="90">
        <v>0</v>
      </c>
    </row>
    <row r="316" spans="1:24" hidden="1" x14ac:dyDescent="0.25">
      <c r="A316" s="80" t="str">
        <v>PENDIENTE</v>
      </c>
      <c r="B316" s="80" t="str">
        <v>Cospan</v>
      </c>
      <c r="C316" s="80" t="str">
        <v>Febrero</v>
      </c>
      <c r="D316" s="81">
        <v>46022</v>
      </c>
      <c r="E316" s="79">
        <v>1846.7855999999999</v>
      </c>
      <c r="F316" s="81">
        <v>46025</v>
      </c>
      <c r="G316" s="79" cm="1">
        <f t="array" ref="G316:X316">_xlfn._xlws.FILTER(Formulas!$C$2:$T$201, ISNUMBER(MATCH(Formulas!$B$2:$B$201, B316, 0)),0) * E316</f>
        <v>433.69459667870035</v>
      </c>
      <c r="H316" s="79">
        <v>1200.4106400000001</v>
      </c>
      <c r="I316" s="79">
        <v>64.6708314801444</v>
      </c>
      <c r="J316" s="79">
        <v>74.004765920577611</v>
      </c>
      <c r="K316" s="79">
        <v>0</v>
      </c>
      <c r="L316" s="79">
        <v>0</v>
      </c>
      <c r="M316" s="79">
        <v>74.004765920577611</v>
      </c>
      <c r="N316" s="79">
        <v>0</v>
      </c>
      <c r="O316" s="79">
        <v>0</v>
      </c>
      <c r="P316" s="79">
        <v>0</v>
      </c>
      <c r="Q316" s="79">
        <v>0</v>
      </c>
      <c r="R316" s="79">
        <v>0</v>
      </c>
      <c r="S316" s="79">
        <v>0</v>
      </c>
      <c r="T316" s="79">
        <v>0</v>
      </c>
      <c r="U316" s="79">
        <v>0</v>
      </c>
      <c r="V316" s="79">
        <v>0</v>
      </c>
      <c r="W316" s="79">
        <v>0</v>
      </c>
      <c r="X316" s="90">
        <v>0</v>
      </c>
    </row>
    <row r="317" spans="1:24" hidden="1" x14ac:dyDescent="0.25">
      <c r="A317" s="80" t="str">
        <v>PENDIENTE</v>
      </c>
      <c r="B317" s="80" t="str">
        <v>Cospan</v>
      </c>
      <c r="C317" s="80" t="str">
        <v>Marzo</v>
      </c>
      <c r="D317" s="81">
        <v>46022</v>
      </c>
      <c r="E317" s="79">
        <v>1846.7855999999999</v>
      </c>
      <c r="F317" s="81">
        <v>46025</v>
      </c>
      <c r="G317" s="79" cm="1">
        <f t="array" ref="G317:X317">_xlfn._xlws.FILTER(Formulas!$C$2:$T$201, ISNUMBER(MATCH(Formulas!$B$2:$B$201, B317, 0)),0) * E317</f>
        <v>433.69459667870035</v>
      </c>
      <c r="H317" s="79">
        <v>1200.4106400000001</v>
      </c>
      <c r="I317" s="79">
        <v>64.6708314801444</v>
      </c>
      <c r="J317" s="79">
        <v>74.004765920577611</v>
      </c>
      <c r="K317" s="79">
        <v>0</v>
      </c>
      <c r="L317" s="79">
        <v>0</v>
      </c>
      <c r="M317" s="79">
        <v>74.004765920577611</v>
      </c>
      <c r="N317" s="79">
        <v>0</v>
      </c>
      <c r="O317" s="79">
        <v>0</v>
      </c>
      <c r="P317" s="79">
        <v>0</v>
      </c>
      <c r="Q317" s="79">
        <v>0</v>
      </c>
      <c r="R317" s="79">
        <v>0</v>
      </c>
      <c r="S317" s="79">
        <v>0</v>
      </c>
      <c r="T317" s="79">
        <v>0</v>
      </c>
      <c r="U317" s="79">
        <v>0</v>
      </c>
      <c r="V317" s="79">
        <v>0</v>
      </c>
      <c r="W317" s="79">
        <v>0</v>
      </c>
      <c r="X317" s="90">
        <v>0</v>
      </c>
    </row>
    <row r="318" spans="1:24" hidden="1" x14ac:dyDescent="0.25">
      <c r="A318" s="80" t="str">
        <v>PENDIENTE</v>
      </c>
      <c r="B318" s="80" t="str">
        <v>Cospan</v>
      </c>
      <c r="C318" s="80" t="str">
        <v>Abril</v>
      </c>
      <c r="D318" s="81">
        <v>46134</v>
      </c>
      <c r="E318" s="79">
        <v>1846.7855999999999</v>
      </c>
      <c r="F318" s="81">
        <v>46156</v>
      </c>
      <c r="G318" s="79" cm="1">
        <f t="array" ref="G318:X318">_xlfn._xlws.FILTER(Formulas!$C$2:$T$201, ISNUMBER(MATCH(Formulas!$B$2:$B$201, B318, 0)),0) * E318</f>
        <v>433.69459667870035</v>
      </c>
      <c r="H318" s="79">
        <v>1200.4106400000001</v>
      </c>
      <c r="I318" s="79">
        <v>64.6708314801444</v>
      </c>
      <c r="J318" s="79">
        <v>74.004765920577611</v>
      </c>
      <c r="K318" s="79">
        <v>0</v>
      </c>
      <c r="L318" s="79">
        <v>0</v>
      </c>
      <c r="M318" s="79">
        <v>74.004765920577611</v>
      </c>
      <c r="N318" s="79">
        <v>0</v>
      </c>
      <c r="O318" s="79">
        <v>0</v>
      </c>
      <c r="P318" s="79">
        <v>0</v>
      </c>
      <c r="Q318" s="79">
        <v>0</v>
      </c>
      <c r="R318" s="79">
        <v>0</v>
      </c>
      <c r="S318" s="79">
        <v>0</v>
      </c>
      <c r="T318" s="79">
        <v>0</v>
      </c>
      <c r="U318" s="79">
        <v>0</v>
      </c>
      <c r="V318" s="79">
        <v>0</v>
      </c>
      <c r="W318" s="79">
        <v>0</v>
      </c>
      <c r="X318" s="90">
        <v>0</v>
      </c>
    </row>
    <row r="319" spans="1:24" hidden="1" x14ac:dyDescent="0.25">
      <c r="A319" s="80" t="str">
        <v>PENDIENTE</v>
      </c>
      <c r="B319" s="80" t="str">
        <v>Cospan</v>
      </c>
      <c r="C319" s="80" t="str">
        <v>Mayo</v>
      </c>
      <c r="D319" s="81">
        <v>46134</v>
      </c>
      <c r="E319" s="79">
        <v>1846.7855999999999</v>
      </c>
      <c r="F319" s="81">
        <v>46156</v>
      </c>
      <c r="G319" s="79" cm="1">
        <f t="array" ref="G319:X319">_xlfn._xlws.FILTER(Formulas!$C$2:$T$201, ISNUMBER(MATCH(Formulas!$B$2:$B$201, B319, 0)),0) * E319</f>
        <v>433.69459667870035</v>
      </c>
      <c r="H319" s="79">
        <v>1200.4106400000001</v>
      </c>
      <c r="I319" s="79">
        <v>64.6708314801444</v>
      </c>
      <c r="J319" s="79">
        <v>74.004765920577611</v>
      </c>
      <c r="K319" s="79">
        <v>0</v>
      </c>
      <c r="L319" s="79">
        <v>0</v>
      </c>
      <c r="M319" s="79">
        <v>74.004765920577611</v>
      </c>
      <c r="N319" s="79">
        <v>0</v>
      </c>
      <c r="O319" s="79">
        <v>0</v>
      </c>
      <c r="P319" s="79">
        <v>0</v>
      </c>
      <c r="Q319" s="79">
        <v>0</v>
      </c>
      <c r="R319" s="79">
        <v>0</v>
      </c>
      <c r="S319" s="79">
        <v>0</v>
      </c>
      <c r="T319" s="79">
        <v>0</v>
      </c>
      <c r="U319" s="79">
        <v>0</v>
      </c>
      <c r="V319" s="79">
        <v>0</v>
      </c>
      <c r="W319" s="79">
        <v>0</v>
      </c>
      <c r="X319" s="90">
        <v>0</v>
      </c>
    </row>
    <row r="320" spans="1:24" hidden="1" x14ac:dyDescent="0.25">
      <c r="A320" s="80" t="str">
        <v>PENDIENTE</v>
      </c>
      <c r="B320" s="80" t="str">
        <v>Cospan</v>
      </c>
      <c r="C320" s="80" t="str">
        <v>Junio</v>
      </c>
      <c r="D320" s="81">
        <v>46134</v>
      </c>
      <c r="E320" s="79">
        <v>1846.7855999999999</v>
      </c>
      <c r="F320" s="81">
        <v>46156</v>
      </c>
      <c r="G320" s="79" cm="1">
        <f t="array" ref="G320:X320">_xlfn._xlws.FILTER(Formulas!$C$2:$T$201, ISNUMBER(MATCH(Formulas!$B$2:$B$201, B320, 0)),0) * E320</f>
        <v>433.69459667870035</v>
      </c>
      <c r="H320" s="79">
        <v>1200.4106400000001</v>
      </c>
      <c r="I320" s="79">
        <v>64.6708314801444</v>
      </c>
      <c r="J320" s="79">
        <v>74.004765920577611</v>
      </c>
      <c r="K320" s="79">
        <v>0</v>
      </c>
      <c r="L320" s="79">
        <v>0</v>
      </c>
      <c r="M320" s="79">
        <v>74.004765920577611</v>
      </c>
      <c r="N320" s="79">
        <v>0</v>
      </c>
      <c r="O320" s="79">
        <v>0</v>
      </c>
      <c r="P320" s="79">
        <v>0</v>
      </c>
      <c r="Q320" s="79">
        <v>0</v>
      </c>
      <c r="R320" s="79">
        <v>0</v>
      </c>
      <c r="S320" s="79">
        <v>0</v>
      </c>
      <c r="T320" s="79">
        <v>0</v>
      </c>
      <c r="U320" s="79">
        <v>0</v>
      </c>
      <c r="V320" s="79">
        <v>0</v>
      </c>
      <c r="W320" s="79">
        <v>0</v>
      </c>
      <c r="X320" s="90">
        <v>0</v>
      </c>
    </row>
    <row r="321" spans="1:24" hidden="1" x14ac:dyDescent="0.25">
      <c r="A321" s="80" t="str">
        <v>PENDIENTE</v>
      </c>
      <c r="B321" s="80" t="str">
        <v>Cospan</v>
      </c>
      <c r="C321" s="80" t="str">
        <v>O.C.</v>
      </c>
      <c r="D321" s="81">
        <v>46258</v>
      </c>
      <c r="E321" s="79">
        <v>3224.9056</v>
      </c>
      <c r="F321" s="81">
        <v>46257</v>
      </c>
      <c r="G321" s="79" cm="1">
        <f t="array" ref="G321:X321">_xlfn._xlws.FILTER(Formulas!$C$2:$T$201, ISNUMBER(MATCH(Formulas!$B$2:$B$201, B321, 0)),0) * E321</f>
        <v>757.32891436823104</v>
      </c>
      <c r="H321" s="79">
        <v>2096.1886400000003</v>
      </c>
      <c r="I321" s="79">
        <v>112.92990729241876</v>
      </c>
      <c r="J321" s="79">
        <v>129.22906916967509</v>
      </c>
      <c r="K321" s="79">
        <v>0</v>
      </c>
      <c r="L321" s="79">
        <v>0</v>
      </c>
      <c r="M321" s="79">
        <v>129.22906916967509</v>
      </c>
      <c r="N321" s="79">
        <v>0</v>
      </c>
      <c r="O321" s="79">
        <v>0</v>
      </c>
      <c r="P321" s="79">
        <v>0</v>
      </c>
      <c r="Q321" s="79">
        <v>0</v>
      </c>
      <c r="R321" s="79">
        <v>0</v>
      </c>
      <c r="S321" s="79">
        <v>0</v>
      </c>
      <c r="T321" s="79">
        <v>0</v>
      </c>
      <c r="U321" s="79">
        <v>0</v>
      </c>
      <c r="V321" s="79">
        <v>0</v>
      </c>
      <c r="W321" s="79">
        <v>0</v>
      </c>
      <c r="X321" s="90">
        <v>0</v>
      </c>
    </row>
    <row r="322" spans="1:24" hidden="1" x14ac:dyDescent="0.25">
      <c r="A322" s="80" t="str">
        <v>PENDIENTE</v>
      </c>
      <c r="B322" s="80" t="str">
        <v>Cospan</v>
      </c>
      <c r="C322" s="80" t="str">
        <v>Julio</v>
      </c>
      <c r="D322" s="81">
        <v>46258</v>
      </c>
      <c r="E322" s="79">
        <v>1846.7855999999999</v>
      </c>
      <c r="F322" s="81">
        <v>46257</v>
      </c>
      <c r="G322" s="79" cm="1">
        <f t="array" ref="G322:X322">_xlfn._xlws.FILTER(Formulas!$C$2:$T$201, ISNUMBER(MATCH(Formulas!$B$2:$B$201, B322, 0)),0) * E322</f>
        <v>433.69459667870035</v>
      </c>
      <c r="H322" s="79">
        <v>1200.4106400000001</v>
      </c>
      <c r="I322" s="79">
        <v>64.6708314801444</v>
      </c>
      <c r="J322" s="79">
        <v>74.004765920577611</v>
      </c>
      <c r="K322" s="79">
        <v>0</v>
      </c>
      <c r="L322" s="79">
        <v>0</v>
      </c>
      <c r="M322" s="79">
        <v>74.004765920577611</v>
      </c>
      <c r="N322" s="79">
        <v>0</v>
      </c>
      <c r="O322" s="79">
        <v>0</v>
      </c>
      <c r="P322" s="79">
        <v>0</v>
      </c>
      <c r="Q322" s="79">
        <v>0</v>
      </c>
      <c r="R322" s="79">
        <v>0</v>
      </c>
      <c r="S322" s="79">
        <v>0</v>
      </c>
      <c r="T322" s="79">
        <v>0</v>
      </c>
      <c r="U322" s="79">
        <v>0</v>
      </c>
      <c r="V322" s="79">
        <v>0</v>
      </c>
      <c r="W322" s="79">
        <v>0</v>
      </c>
      <c r="X322" s="90">
        <v>0</v>
      </c>
    </row>
    <row r="323" spans="1:24" hidden="1" x14ac:dyDescent="0.25">
      <c r="A323" s="80" t="str">
        <v>PENDIENTE</v>
      </c>
      <c r="B323" s="80" t="str">
        <v>Cospan</v>
      </c>
      <c r="C323" s="80" t="str">
        <v>Agosto</v>
      </c>
      <c r="D323" s="81">
        <v>46258</v>
      </c>
      <c r="E323" s="79">
        <v>1846.7855999999999</v>
      </c>
      <c r="F323" s="80">
        <v>46257</v>
      </c>
      <c r="G323" s="79" cm="1">
        <f t="array" ref="G323:X323">_xlfn._xlws.FILTER(Formulas!$C$2:$T$201, ISNUMBER(MATCH(Formulas!$B$2:$B$201, B323, 0)),0) * E323</f>
        <v>433.69459667870035</v>
      </c>
      <c r="H323" s="79">
        <v>1200.4106400000001</v>
      </c>
      <c r="I323" s="79">
        <v>64.6708314801444</v>
      </c>
      <c r="J323" s="79">
        <v>74.004765920577611</v>
      </c>
      <c r="K323" s="79">
        <v>0</v>
      </c>
      <c r="L323" s="79">
        <v>0</v>
      </c>
      <c r="M323" s="79">
        <v>74.004765920577611</v>
      </c>
      <c r="N323" s="79">
        <v>0</v>
      </c>
      <c r="O323" s="79">
        <v>0</v>
      </c>
      <c r="P323" s="79">
        <v>0</v>
      </c>
      <c r="Q323" s="79">
        <v>0</v>
      </c>
      <c r="R323" s="79">
        <v>0</v>
      </c>
      <c r="S323" s="79">
        <v>0</v>
      </c>
      <c r="T323" s="79">
        <v>0</v>
      </c>
      <c r="U323" s="79">
        <v>0</v>
      </c>
      <c r="V323" s="79">
        <v>0</v>
      </c>
      <c r="W323" s="79">
        <v>0</v>
      </c>
      <c r="X323" s="90">
        <v>0</v>
      </c>
    </row>
    <row r="324" spans="1:24" hidden="1" x14ac:dyDescent="0.25">
      <c r="A324" s="80" t="str">
        <v>PENDIENTE</v>
      </c>
      <c r="B324" s="80" t="str">
        <v>Cospan</v>
      </c>
      <c r="C324" s="80" t="str">
        <v>Setiembre</v>
      </c>
      <c r="D324" s="81">
        <v>46258</v>
      </c>
      <c r="E324" s="79">
        <v>1846.7855999999999</v>
      </c>
      <c r="F324" s="80">
        <v>46257</v>
      </c>
      <c r="G324" s="79" cm="1">
        <f t="array" ref="G324:X324">_xlfn._xlws.FILTER(Formulas!$C$2:$T$201, ISNUMBER(MATCH(Formulas!$B$2:$B$201, B324, 0)),0) * E324</f>
        <v>433.69459667870035</v>
      </c>
      <c r="H324" s="79">
        <v>1200.4106400000001</v>
      </c>
      <c r="I324" s="79">
        <v>64.6708314801444</v>
      </c>
      <c r="J324" s="79">
        <v>74.004765920577611</v>
      </c>
      <c r="K324" s="79">
        <v>0</v>
      </c>
      <c r="L324" s="79">
        <v>0</v>
      </c>
      <c r="M324" s="79">
        <v>74.004765920577611</v>
      </c>
      <c r="N324" s="79">
        <v>0</v>
      </c>
      <c r="O324" s="79">
        <v>0</v>
      </c>
      <c r="P324" s="79">
        <v>0</v>
      </c>
      <c r="Q324" s="79">
        <v>0</v>
      </c>
      <c r="R324" s="79">
        <v>0</v>
      </c>
      <c r="S324" s="79">
        <v>0</v>
      </c>
      <c r="T324" s="79">
        <v>0</v>
      </c>
      <c r="U324" s="79">
        <v>0</v>
      </c>
      <c r="V324" s="79">
        <v>0</v>
      </c>
      <c r="W324" s="79">
        <v>0</v>
      </c>
      <c r="X324" s="90">
        <v>0</v>
      </c>
    </row>
    <row r="325" spans="1:24" hidden="1" x14ac:dyDescent="0.25">
      <c r="A325" s="80" t="str">
        <v>PENDIENTE</v>
      </c>
      <c r="B325" s="80" t="str">
        <v>Cospan</v>
      </c>
      <c r="C325" s="80" t="str">
        <v>Octubre</v>
      </c>
      <c r="D325" s="81">
        <v>46349</v>
      </c>
      <c r="E325" s="79">
        <v>1846.7855999999999</v>
      </c>
      <c r="F325" s="80">
        <v>0</v>
      </c>
      <c r="G325" s="79" cm="1">
        <f t="array" ref="G325:X325">_xlfn._xlws.FILTER(Formulas!$C$2:$T$201, ISNUMBER(MATCH(Formulas!$B$2:$B$201, B325, 0)),0) * E325</f>
        <v>433.69459667870035</v>
      </c>
      <c r="H325" s="79">
        <v>1200.4106400000001</v>
      </c>
      <c r="I325" s="79">
        <v>64.6708314801444</v>
      </c>
      <c r="J325" s="79">
        <v>74.004765920577611</v>
      </c>
      <c r="K325" s="79">
        <v>0</v>
      </c>
      <c r="L325" s="79">
        <v>0</v>
      </c>
      <c r="M325" s="79">
        <v>74.004765920577611</v>
      </c>
      <c r="N325" s="79">
        <v>0</v>
      </c>
      <c r="O325" s="79">
        <v>0</v>
      </c>
      <c r="P325" s="79">
        <v>0</v>
      </c>
      <c r="Q325" s="79">
        <v>0</v>
      </c>
      <c r="R325" s="79">
        <v>0</v>
      </c>
      <c r="S325" s="79">
        <v>0</v>
      </c>
      <c r="T325" s="79">
        <v>0</v>
      </c>
      <c r="U325" s="79">
        <v>0</v>
      </c>
      <c r="V325" s="79">
        <v>0</v>
      </c>
      <c r="W325" s="79">
        <v>0</v>
      </c>
      <c r="X325" s="90">
        <v>0</v>
      </c>
    </row>
    <row r="326" spans="1:24" hidden="1" x14ac:dyDescent="0.25">
      <c r="A326" s="80" t="str">
        <v>PENDIENTE</v>
      </c>
      <c r="B326" s="80" t="str">
        <v>Cospan</v>
      </c>
      <c r="C326" s="80" t="str">
        <v>Noviembre</v>
      </c>
      <c r="D326" s="81">
        <v>46349</v>
      </c>
      <c r="E326" s="79">
        <v>1846.7855999999999</v>
      </c>
      <c r="F326" s="81">
        <v>0</v>
      </c>
      <c r="G326" s="79" cm="1">
        <f t="array" ref="G326:X326">_xlfn._xlws.FILTER(Formulas!$C$2:$T$201, ISNUMBER(MATCH(Formulas!$B$2:$B$201, B326, 0)),0) * E326</f>
        <v>433.69459667870035</v>
      </c>
      <c r="H326" s="79">
        <v>1200.4106400000001</v>
      </c>
      <c r="I326" s="79">
        <v>64.6708314801444</v>
      </c>
      <c r="J326" s="79">
        <v>74.004765920577611</v>
      </c>
      <c r="K326" s="79">
        <v>0</v>
      </c>
      <c r="L326" s="79">
        <v>0</v>
      </c>
      <c r="M326" s="79">
        <v>74.004765920577611</v>
      </c>
      <c r="N326" s="79">
        <v>0</v>
      </c>
      <c r="O326" s="79">
        <v>0</v>
      </c>
      <c r="P326" s="79">
        <v>0</v>
      </c>
      <c r="Q326" s="79">
        <v>0</v>
      </c>
      <c r="R326" s="79">
        <v>0</v>
      </c>
      <c r="S326" s="79">
        <v>0</v>
      </c>
      <c r="T326" s="79">
        <v>0</v>
      </c>
      <c r="U326" s="79">
        <v>0</v>
      </c>
      <c r="V326" s="79">
        <v>0</v>
      </c>
      <c r="W326" s="79">
        <v>0</v>
      </c>
      <c r="X326" s="90">
        <v>0</v>
      </c>
    </row>
    <row r="327" spans="1:24" hidden="1" x14ac:dyDescent="0.25">
      <c r="A327" s="80" t="str">
        <v>PENDIENTE</v>
      </c>
      <c r="B327" s="80" t="str">
        <v>Cospan</v>
      </c>
      <c r="C327" s="80" t="str">
        <v>Diciembre</v>
      </c>
      <c r="D327" s="81">
        <v>46349</v>
      </c>
      <c r="E327" s="79">
        <v>1846.7855999999999</v>
      </c>
      <c r="F327" s="81">
        <v>0</v>
      </c>
      <c r="G327" s="79" cm="1">
        <f t="array" ref="G327:X327">_xlfn._xlws.FILTER(Formulas!$C$2:$T$201, ISNUMBER(MATCH(Formulas!$B$2:$B$201, B327, 0)),0) * E327</f>
        <v>433.69459667870035</v>
      </c>
      <c r="H327" s="79">
        <v>1200.4106400000001</v>
      </c>
      <c r="I327" s="79">
        <v>64.6708314801444</v>
      </c>
      <c r="J327" s="79">
        <v>74.004765920577611</v>
      </c>
      <c r="K327" s="79">
        <v>0</v>
      </c>
      <c r="L327" s="79">
        <v>0</v>
      </c>
      <c r="M327" s="79">
        <v>74.004765920577611</v>
      </c>
      <c r="N327" s="79">
        <v>0</v>
      </c>
      <c r="O327" s="79">
        <v>0</v>
      </c>
      <c r="P327" s="79">
        <v>0</v>
      </c>
      <c r="Q327" s="79">
        <v>0</v>
      </c>
      <c r="R327" s="79">
        <v>0</v>
      </c>
      <c r="S327" s="79">
        <v>0</v>
      </c>
      <c r="T327" s="79">
        <v>0</v>
      </c>
      <c r="U327" s="79">
        <v>0</v>
      </c>
      <c r="V327" s="79">
        <v>0</v>
      </c>
      <c r="W327" s="79">
        <v>0</v>
      </c>
      <c r="X327" s="90">
        <v>0</v>
      </c>
    </row>
    <row r="328" spans="1:24" hidden="1" x14ac:dyDescent="0.25">
      <c r="A328" s="80" t="str">
        <v>PENDIENTE</v>
      </c>
      <c r="B328" s="80" t="str">
        <v>El Prado</v>
      </c>
      <c r="C328" s="80" t="str">
        <v>Enero / Febrero / Marzo / Abril</v>
      </c>
      <c r="D328" s="81">
        <v>46037</v>
      </c>
      <c r="E328" s="79">
        <v>3312</v>
      </c>
      <c r="F328" s="81">
        <v>46055</v>
      </c>
      <c r="G328" s="79" cm="1">
        <f t="array" ref="G328:X328">_xlfn._xlws.FILTER(Formulas!$C$2:$T$201, ISNUMBER(MATCH(Formulas!$B$2:$B$201, B328, 0)),0) * E328</f>
        <v>662</v>
      </c>
      <c r="H328" s="79">
        <v>2254</v>
      </c>
      <c r="I328" s="79">
        <v>132</v>
      </c>
      <c r="J328" s="79">
        <v>0</v>
      </c>
      <c r="K328" s="79">
        <v>0</v>
      </c>
      <c r="L328" s="79">
        <v>132</v>
      </c>
      <c r="M328" s="79">
        <v>132</v>
      </c>
      <c r="N328" s="79">
        <v>0</v>
      </c>
      <c r="O328" s="79">
        <v>0</v>
      </c>
      <c r="P328" s="79">
        <v>0</v>
      </c>
      <c r="Q328" s="79">
        <v>0</v>
      </c>
      <c r="R328" s="79">
        <v>0</v>
      </c>
      <c r="S328" s="79">
        <v>0</v>
      </c>
      <c r="T328" s="79">
        <v>0</v>
      </c>
      <c r="U328" s="79">
        <v>0</v>
      </c>
      <c r="V328" s="79">
        <v>0</v>
      </c>
      <c r="W328" s="79">
        <v>0</v>
      </c>
      <c r="X328" s="90">
        <v>0</v>
      </c>
    </row>
    <row r="329" spans="1:24" hidden="1" x14ac:dyDescent="0.25">
      <c r="A329" s="80" t="str">
        <v>PENDIENTE</v>
      </c>
      <c r="B329" s="80" t="str">
        <v>El Prado</v>
      </c>
      <c r="C329" s="80" t="str">
        <v>Mayo / Junio / Julio / Agosto</v>
      </c>
      <c r="D329" s="81">
        <v>46127</v>
      </c>
      <c r="E329" s="79">
        <v>3312</v>
      </c>
      <c r="F329" s="81">
        <v>46133</v>
      </c>
      <c r="G329" s="79" cm="1">
        <f t="array" ref="G329:X329">_xlfn._xlws.FILTER(Formulas!$C$2:$T$201, ISNUMBER(MATCH(Formulas!$B$2:$B$201, B329, 0)),0) * E329</f>
        <v>662</v>
      </c>
      <c r="H329" s="79">
        <v>2254</v>
      </c>
      <c r="I329" s="79">
        <v>132</v>
      </c>
      <c r="J329" s="79">
        <v>0</v>
      </c>
      <c r="K329" s="79">
        <v>0</v>
      </c>
      <c r="L329" s="79">
        <v>132</v>
      </c>
      <c r="M329" s="79">
        <v>132</v>
      </c>
      <c r="N329" s="79">
        <v>0</v>
      </c>
      <c r="O329" s="79">
        <v>0</v>
      </c>
      <c r="P329" s="79">
        <v>0</v>
      </c>
      <c r="Q329" s="79">
        <v>0</v>
      </c>
      <c r="R329" s="79">
        <v>0</v>
      </c>
      <c r="S329" s="79">
        <v>0</v>
      </c>
      <c r="T329" s="79">
        <v>0</v>
      </c>
      <c r="U329" s="79">
        <v>0</v>
      </c>
      <c r="V329" s="79">
        <v>0</v>
      </c>
      <c r="W329" s="79">
        <v>0</v>
      </c>
      <c r="X329" s="90">
        <v>0</v>
      </c>
    </row>
    <row r="330" spans="1:24" hidden="1" x14ac:dyDescent="0.25">
      <c r="A330" s="80" t="str">
        <v>PENDIENTE</v>
      </c>
      <c r="B330" s="80" t="str">
        <v>El Prado</v>
      </c>
      <c r="C330" s="80" t="str">
        <v>Septiembre / Octubre / Noviembre / Diciembre</v>
      </c>
      <c r="D330" s="81">
        <v>46249</v>
      </c>
      <c r="E330" s="79">
        <v>3312</v>
      </c>
      <c r="F330" s="81">
        <v>46259</v>
      </c>
      <c r="G330" s="79" cm="1">
        <f t="array" ref="G330:X330">_xlfn._xlws.FILTER(Formulas!$C$2:$T$201, ISNUMBER(MATCH(Formulas!$B$2:$B$201, B330, 0)),0) * E330</f>
        <v>662</v>
      </c>
      <c r="H330" s="79">
        <v>2254</v>
      </c>
      <c r="I330" s="79">
        <v>132</v>
      </c>
      <c r="J330" s="79">
        <v>0</v>
      </c>
      <c r="K330" s="79">
        <v>0</v>
      </c>
      <c r="L330" s="79">
        <v>132</v>
      </c>
      <c r="M330" s="79">
        <v>132</v>
      </c>
      <c r="N330" s="79">
        <v>0</v>
      </c>
      <c r="O330" s="79">
        <v>0</v>
      </c>
      <c r="P330" s="79">
        <v>0</v>
      </c>
      <c r="Q330" s="79">
        <v>0</v>
      </c>
      <c r="R330" s="79">
        <v>0</v>
      </c>
      <c r="S330" s="79">
        <v>0</v>
      </c>
      <c r="T330" s="79">
        <v>0</v>
      </c>
      <c r="U330" s="79">
        <v>0</v>
      </c>
      <c r="V330" s="79">
        <v>0</v>
      </c>
      <c r="W330" s="79">
        <v>0</v>
      </c>
      <c r="X330" s="90">
        <v>0</v>
      </c>
    </row>
    <row r="331" spans="1:24" x14ac:dyDescent="0.25">
      <c r="A331" s="80" t="str">
        <v>PENDIENTE</v>
      </c>
      <c r="B331" s="80" t="str">
        <v>Encañada</v>
      </c>
      <c r="C331" s="80" t="str">
        <v>Enero / Febrero / Marzo</v>
      </c>
      <c r="D331" s="81">
        <v>46052</v>
      </c>
      <c r="E331" s="79">
        <v>21001.68</v>
      </c>
      <c r="F331" s="81">
        <v>46052</v>
      </c>
      <c r="G331" s="79" cm="1">
        <f t="array" ref="G331:X331">_xlfn._xlws.FILTER(Formulas!$C$2:$T$201, ISNUMBER(MATCH(Formulas!$B$2:$B$201, B331, 0)),0) * E331</f>
        <v>4200.3360000000002</v>
      </c>
      <c r="H331" s="79">
        <v>14921.193600000001</v>
      </c>
      <c r="I331" s="79">
        <v>840.06720000000007</v>
      </c>
      <c r="J331" s="79">
        <v>0</v>
      </c>
      <c r="K331" s="79">
        <v>0</v>
      </c>
      <c r="L331" s="79">
        <v>0</v>
      </c>
      <c r="M331" s="79">
        <v>840.06720000000007</v>
      </c>
      <c r="N331" s="79">
        <v>0</v>
      </c>
      <c r="O331" s="79">
        <v>0</v>
      </c>
      <c r="P331" s="79">
        <v>0</v>
      </c>
      <c r="Q331" s="79">
        <v>0</v>
      </c>
      <c r="R331" s="79">
        <v>200.01600000000002</v>
      </c>
      <c r="S331" s="79">
        <v>0</v>
      </c>
      <c r="T331" s="79">
        <v>0</v>
      </c>
      <c r="U331" s="79">
        <v>0</v>
      </c>
      <c r="V331" s="79">
        <v>0</v>
      </c>
      <c r="W331" s="79">
        <v>0</v>
      </c>
      <c r="X331" s="90">
        <v>0</v>
      </c>
    </row>
    <row r="332" spans="1:24" x14ac:dyDescent="0.25">
      <c r="A332" s="80" t="str">
        <v>PENDIENTE</v>
      </c>
      <c r="B332" s="80" t="str">
        <v>Encañada</v>
      </c>
      <c r="C332" s="80" t="str">
        <v>Abril / Mayo / Junio</v>
      </c>
      <c r="D332" s="81">
        <v>46111</v>
      </c>
      <c r="E332" s="79">
        <v>21001.68</v>
      </c>
      <c r="F332" s="81">
        <v>46110</v>
      </c>
      <c r="G332" s="79" cm="1">
        <f t="array" ref="G332:X332">_xlfn._xlws.FILTER(Formulas!$C$2:$T$201, ISNUMBER(MATCH(Formulas!$B$2:$B$201, B332, 0)),0) * E332</f>
        <v>4200.3360000000002</v>
      </c>
      <c r="H332" s="79">
        <v>14921.193600000001</v>
      </c>
      <c r="I332" s="79">
        <v>840.06720000000007</v>
      </c>
      <c r="J332" s="79">
        <v>0</v>
      </c>
      <c r="K332" s="79">
        <v>0</v>
      </c>
      <c r="L332" s="79">
        <v>0</v>
      </c>
      <c r="M332" s="79">
        <v>840.06720000000007</v>
      </c>
      <c r="N332" s="79">
        <v>0</v>
      </c>
      <c r="O332" s="79">
        <v>0</v>
      </c>
      <c r="P332" s="79">
        <v>0</v>
      </c>
      <c r="Q332" s="79">
        <v>0</v>
      </c>
      <c r="R332" s="79">
        <v>200.01600000000002</v>
      </c>
      <c r="S332" s="79">
        <v>0</v>
      </c>
      <c r="T332" s="79">
        <v>0</v>
      </c>
      <c r="U332" s="79">
        <v>0</v>
      </c>
      <c r="V332" s="79">
        <v>0</v>
      </c>
      <c r="W332" s="79">
        <v>0</v>
      </c>
      <c r="X332" s="90">
        <v>0</v>
      </c>
    </row>
    <row r="333" spans="1:24" x14ac:dyDescent="0.25">
      <c r="A333" s="80" t="str">
        <v>PENDIENTE</v>
      </c>
      <c r="B333" s="80" t="str">
        <v>Encañada</v>
      </c>
      <c r="C333" s="80" t="str">
        <v>Julio / Agosto / Septiembre</v>
      </c>
      <c r="D333" s="81">
        <v>46202</v>
      </c>
      <c r="E333" s="79">
        <v>21001.68</v>
      </c>
      <c r="F333" s="80">
        <v>46170</v>
      </c>
      <c r="G333" s="79" cm="1">
        <f t="array" ref="G333:X333">_xlfn._xlws.FILTER(Formulas!$C$2:$T$201, ISNUMBER(MATCH(Formulas!$B$2:$B$201, B333, 0)),0) * E333</f>
        <v>4200.3360000000002</v>
      </c>
      <c r="H333" s="79">
        <v>14921.193600000001</v>
      </c>
      <c r="I333" s="79">
        <v>840.06720000000007</v>
      </c>
      <c r="J333" s="79">
        <v>0</v>
      </c>
      <c r="K333" s="79">
        <v>0</v>
      </c>
      <c r="L333" s="79">
        <v>0</v>
      </c>
      <c r="M333" s="79">
        <v>840.06720000000007</v>
      </c>
      <c r="N333" s="79">
        <v>0</v>
      </c>
      <c r="O333" s="79">
        <v>0</v>
      </c>
      <c r="P333" s="79">
        <v>0</v>
      </c>
      <c r="Q333" s="79">
        <v>0</v>
      </c>
      <c r="R333" s="79">
        <v>200.01600000000002</v>
      </c>
      <c r="S333" s="79">
        <v>0</v>
      </c>
      <c r="T333" s="79">
        <v>0</v>
      </c>
      <c r="U333" s="79">
        <v>0</v>
      </c>
      <c r="V333" s="79">
        <v>0</v>
      </c>
      <c r="W333" s="79">
        <v>0</v>
      </c>
      <c r="X333" s="90">
        <v>0</v>
      </c>
    </row>
    <row r="334" spans="1:24" x14ac:dyDescent="0.25">
      <c r="A334" s="80" t="str">
        <v>PENDIENTE</v>
      </c>
      <c r="B334" s="80" t="str">
        <v>Encañada</v>
      </c>
      <c r="C334" s="80" t="str">
        <v>O.C.</v>
      </c>
      <c r="D334" s="81">
        <v>46264</v>
      </c>
      <c r="E334" s="79">
        <v>33364.670399999995</v>
      </c>
      <c r="F334" s="81">
        <v>46269</v>
      </c>
      <c r="G334" s="79" cm="1">
        <f t="array" ref="G334:X334">_xlfn._xlws.FILTER(Formulas!$C$2:$T$201, ISNUMBER(MATCH(Formulas!$B$2:$B$201, B334, 0)),0) * E334</f>
        <v>6672.9340799999991</v>
      </c>
      <c r="H334" s="79">
        <v>23704.803922285711</v>
      </c>
      <c r="I334" s="79">
        <v>1334.5868159999998</v>
      </c>
      <c r="J334" s="79">
        <v>0</v>
      </c>
      <c r="K334" s="79">
        <v>0</v>
      </c>
      <c r="L334" s="79">
        <v>0</v>
      </c>
      <c r="M334" s="79">
        <v>1334.5868159999998</v>
      </c>
      <c r="N334" s="79">
        <v>0</v>
      </c>
      <c r="O334" s="79">
        <v>0</v>
      </c>
      <c r="P334" s="79">
        <v>0</v>
      </c>
      <c r="Q334" s="79">
        <v>0</v>
      </c>
      <c r="R334" s="79">
        <v>317.75876571428569</v>
      </c>
      <c r="S334" s="79">
        <v>0</v>
      </c>
      <c r="T334" s="79">
        <v>0</v>
      </c>
      <c r="U334" s="79">
        <v>0</v>
      </c>
      <c r="V334" s="79">
        <v>0</v>
      </c>
      <c r="W334" s="79">
        <v>0</v>
      </c>
      <c r="X334" s="90">
        <v>0</v>
      </c>
    </row>
    <row r="335" spans="1:24" x14ac:dyDescent="0.25">
      <c r="A335" s="80" t="str">
        <v>PENDIENTE</v>
      </c>
      <c r="B335" s="80" t="str">
        <v>Encañada</v>
      </c>
      <c r="C335" s="80" t="str">
        <v>Octubre / Noviembre / Diciembre</v>
      </c>
      <c r="D335" s="81">
        <v>46293</v>
      </c>
      <c r="E335" s="79">
        <v>21001.68</v>
      </c>
      <c r="F335" s="81">
        <v>46292</v>
      </c>
      <c r="G335" s="79" cm="1">
        <f t="array" ref="G335:X335">_xlfn._xlws.FILTER(Formulas!$C$2:$T$201, ISNUMBER(MATCH(Formulas!$B$2:$B$201, B335, 0)),0) * E335</f>
        <v>4200.3360000000002</v>
      </c>
      <c r="H335" s="79">
        <v>14921.193600000001</v>
      </c>
      <c r="I335" s="79">
        <v>840.06720000000007</v>
      </c>
      <c r="J335" s="79">
        <v>0</v>
      </c>
      <c r="K335" s="79">
        <v>0</v>
      </c>
      <c r="L335" s="79">
        <v>0</v>
      </c>
      <c r="M335" s="79">
        <v>840.06720000000007</v>
      </c>
      <c r="N335" s="79">
        <v>0</v>
      </c>
      <c r="O335" s="79">
        <v>0</v>
      </c>
      <c r="P335" s="79">
        <v>0</v>
      </c>
      <c r="Q335" s="79">
        <v>0</v>
      </c>
      <c r="R335" s="79">
        <v>200.01600000000002</v>
      </c>
      <c r="S335" s="79">
        <v>0</v>
      </c>
      <c r="T335" s="79">
        <v>0</v>
      </c>
      <c r="U335" s="79">
        <v>0</v>
      </c>
      <c r="V335" s="79">
        <v>0</v>
      </c>
      <c r="W335" s="79">
        <v>0</v>
      </c>
      <c r="X335" s="90">
        <v>0</v>
      </c>
    </row>
    <row r="336" spans="1:24" hidden="1" x14ac:dyDescent="0.25">
      <c r="A336" s="80" t="str">
        <v>PENDIENTE</v>
      </c>
      <c r="B336" s="80" t="str">
        <v>Enha 1</v>
      </c>
      <c r="C336" s="80" t="str">
        <v>O.C.</v>
      </c>
      <c r="D336" s="81">
        <v>46083</v>
      </c>
      <c r="E336" s="79">
        <v>120</v>
      </c>
      <c r="F336" s="81">
        <v>46082</v>
      </c>
      <c r="G336" s="79" cm="1">
        <f t="array" ref="G336:X336">_xlfn._xlws.FILTER(Formulas!$C$2:$T$201, ISNUMBER(MATCH(Formulas!$B$2:$B$201, B336, 0)),0) * E336</f>
        <v>24</v>
      </c>
      <c r="H336" s="79">
        <v>96</v>
      </c>
      <c r="I336" s="79">
        <v>0</v>
      </c>
      <c r="J336" s="79">
        <v>0</v>
      </c>
      <c r="K336" s="79">
        <v>0</v>
      </c>
      <c r="L336" s="79">
        <v>0</v>
      </c>
      <c r="M336" s="79">
        <v>0</v>
      </c>
      <c r="N336" s="79">
        <v>0</v>
      </c>
      <c r="O336" s="79">
        <v>0</v>
      </c>
      <c r="P336" s="79">
        <v>0</v>
      </c>
      <c r="Q336" s="79">
        <v>0</v>
      </c>
      <c r="R336" s="79">
        <v>0</v>
      </c>
      <c r="S336" s="79">
        <v>0</v>
      </c>
      <c r="T336" s="79">
        <v>0</v>
      </c>
      <c r="U336" s="79">
        <v>0</v>
      </c>
      <c r="V336" s="79">
        <v>0</v>
      </c>
      <c r="W336" s="79">
        <v>0</v>
      </c>
      <c r="X336" s="90">
        <v>0</v>
      </c>
    </row>
    <row r="337" spans="1:24" hidden="1" x14ac:dyDescent="0.25">
      <c r="A337" s="80" t="str">
        <v>PENDIENTE</v>
      </c>
      <c r="B337" s="80" t="str">
        <v>Enha 2</v>
      </c>
      <c r="C337" s="80" t="str">
        <v>O.C.</v>
      </c>
      <c r="D337" s="81">
        <v>46083</v>
      </c>
      <c r="E337" s="79">
        <v>336</v>
      </c>
      <c r="F337" s="81">
        <v>46082</v>
      </c>
      <c r="G337" s="79" cm="1">
        <f t="array" ref="G337:X337">_xlfn._xlws.FILTER(Formulas!$C$2:$T$201, ISNUMBER(MATCH(Formulas!$B$2:$B$201, B337, 0)),0) * E337</f>
        <v>157</v>
      </c>
      <c r="H337" s="79">
        <v>156</v>
      </c>
      <c r="I337" s="79">
        <v>19</v>
      </c>
      <c r="J337" s="79">
        <v>0</v>
      </c>
      <c r="K337" s="79">
        <v>0</v>
      </c>
      <c r="L337" s="79">
        <v>0</v>
      </c>
      <c r="M337" s="79">
        <v>0</v>
      </c>
      <c r="N337" s="79">
        <v>0</v>
      </c>
      <c r="O337" s="79">
        <v>0</v>
      </c>
      <c r="P337" s="79">
        <v>0</v>
      </c>
      <c r="Q337" s="79">
        <v>0</v>
      </c>
      <c r="R337" s="79">
        <v>0</v>
      </c>
      <c r="S337" s="79">
        <v>0</v>
      </c>
      <c r="T337" s="79">
        <v>0</v>
      </c>
      <c r="U337" s="79">
        <v>0</v>
      </c>
      <c r="V337" s="79">
        <v>4</v>
      </c>
      <c r="W337" s="79">
        <v>0</v>
      </c>
      <c r="X337" s="90">
        <v>0</v>
      </c>
    </row>
    <row r="338" spans="1:24" hidden="1" x14ac:dyDescent="0.25">
      <c r="A338" s="80" t="str">
        <v>PENDIENTE</v>
      </c>
      <c r="B338" s="80" t="str">
        <v>Enha 3</v>
      </c>
      <c r="C338" s="80" t="str">
        <v>O.C.</v>
      </c>
      <c r="D338" s="81">
        <v>46083</v>
      </c>
      <c r="E338" s="79">
        <v>1039</v>
      </c>
      <c r="F338" s="81">
        <v>46082</v>
      </c>
      <c r="G338" s="79" cm="1">
        <f t="array" ref="G338:X338">_xlfn._xlws.FILTER(Formulas!$C$2:$T$201, ISNUMBER(MATCH(Formulas!$B$2:$B$201, B338, 0)),0) * E338</f>
        <v>208</v>
      </c>
      <c r="H338" s="79">
        <v>700</v>
      </c>
      <c r="I338" s="79">
        <v>51</v>
      </c>
      <c r="J338" s="79">
        <v>40</v>
      </c>
      <c r="K338" s="79">
        <v>0</v>
      </c>
      <c r="L338" s="79">
        <v>0</v>
      </c>
      <c r="M338" s="79">
        <v>40</v>
      </c>
      <c r="N338" s="79">
        <v>0</v>
      </c>
      <c r="O338" s="79">
        <v>0</v>
      </c>
      <c r="P338" s="79">
        <v>0</v>
      </c>
      <c r="Q338" s="79">
        <v>0</v>
      </c>
      <c r="R338" s="79">
        <v>0</v>
      </c>
      <c r="S338" s="79">
        <v>0</v>
      </c>
      <c r="T338" s="79">
        <v>0</v>
      </c>
      <c r="U338" s="79">
        <v>0</v>
      </c>
      <c r="V338" s="79">
        <v>0</v>
      </c>
      <c r="W338" s="79">
        <v>0</v>
      </c>
      <c r="X338" s="90">
        <v>0</v>
      </c>
    </row>
    <row r="339" spans="1:24" hidden="1" x14ac:dyDescent="0.25">
      <c r="A339" s="80" t="str">
        <v>PENDIENTE</v>
      </c>
      <c r="B339" s="80" t="str">
        <v>Enha 4</v>
      </c>
      <c r="C339" s="80" t="str">
        <v>O.C.</v>
      </c>
      <c r="D339" s="81">
        <v>46083</v>
      </c>
      <c r="E339" s="79">
        <v>180</v>
      </c>
      <c r="F339" s="81">
        <v>46082</v>
      </c>
      <c r="G339" s="79" cm="1">
        <f t="array" ref="G339:X339">_xlfn._xlws.FILTER(Formulas!$C$2:$T$201, ISNUMBER(MATCH(Formulas!$B$2:$B$201, B339, 0)),0) * E339</f>
        <v>36</v>
      </c>
      <c r="H339" s="79">
        <v>135</v>
      </c>
      <c r="I339" s="79">
        <v>9</v>
      </c>
      <c r="J339" s="79">
        <v>0</v>
      </c>
      <c r="K339" s="79">
        <v>0</v>
      </c>
      <c r="L339" s="79">
        <v>0</v>
      </c>
      <c r="M339" s="79">
        <v>0</v>
      </c>
      <c r="N339" s="79">
        <v>0</v>
      </c>
      <c r="O339" s="79">
        <v>0</v>
      </c>
      <c r="P339" s="79">
        <v>0</v>
      </c>
      <c r="Q339" s="79">
        <v>0</v>
      </c>
      <c r="R339" s="79">
        <v>0</v>
      </c>
      <c r="S339" s="79">
        <v>0</v>
      </c>
      <c r="T339" s="79">
        <v>0</v>
      </c>
      <c r="U339" s="79">
        <v>0</v>
      </c>
      <c r="V339" s="79">
        <v>0</v>
      </c>
      <c r="W339" s="79">
        <v>0</v>
      </c>
      <c r="X339" s="90">
        <v>0</v>
      </c>
    </row>
    <row r="340" spans="1:24" hidden="1" x14ac:dyDescent="0.25">
      <c r="A340" s="80" t="str">
        <v>PENDIENTE</v>
      </c>
      <c r="B340" s="80" t="str">
        <v>Enha 5</v>
      </c>
      <c r="C340" s="80" t="str">
        <v>O.C.</v>
      </c>
      <c r="D340" s="81">
        <v>46083</v>
      </c>
      <c r="E340" s="79">
        <v>790</v>
      </c>
      <c r="F340" s="81">
        <v>46082</v>
      </c>
      <c r="G340" s="79" cm="1">
        <f t="array" ref="G340:X340">_xlfn._xlws.FILTER(Formulas!$C$2:$T$201, ISNUMBER(MATCH(Formulas!$B$2:$B$201, B340, 0)),0) * E340</f>
        <v>119</v>
      </c>
      <c r="H340" s="79">
        <v>332</v>
      </c>
      <c r="I340" s="79">
        <v>31</v>
      </c>
      <c r="J340" s="79">
        <v>0</v>
      </c>
      <c r="K340" s="79">
        <v>0</v>
      </c>
      <c r="L340" s="79">
        <v>0</v>
      </c>
      <c r="M340" s="79">
        <v>31</v>
      </c>
      <c r="N340" s="79">
        <v>0</v>
      </c>
      <c r="O340" s="79">
        <v>277</v>
      </c>
      <c r="P340" s="79">
        <v>0</v>
      </c>
      <c r="Q340" s="79">
        <v>0</v>
      </c>
      <c r="R340" s="79">
        <v>0</v>
      </c>
      <c r="S340" s="79">
        <v>0</v>
      </c>
      <c r="T340" s="79">
        <v>0</v>
      </c>
      <c r="U340" s="79">
        <v>0</v>
      </c>
      <c r="V340" s="79">
        <v>0</v>
      </c>
      <c r="W340" s="79">
        <v>0</v>
      </c>
      <c r="X340" s="90">
        <v>0</v>
      </c>
    </row>
    <row r="341" spans="1:24" hidden="1" x14ac:dyDescent="0.25">
      <c r="A341" s="80" t="str">
        <v>PENDIENTE</v>
      </c>
      <c r="B341" s="80" t="str">
        <v>Enha 6</v>
      </c>
      <c r="C341" s="80" t="str">
        <v>O.C.</v>
      </c>
      <c r="D341" s="81">
        <v>46083</v>
      </c>
      <c r="E341" s="79">
        <v>476</v>
      </c>
      <c r="F341" s="81">
        <v>46082</v>
      </c>
      <c r="G341" s="79" cm="1">
        <f t="array" ref="G341:X341">_xlfn._xlws.FILTER(Formulas!$C$2:$T$201, ISNUMBER(MATCH(Formulas!$B$2:$B$201, B341, 0)),0) * E341</f>
        <v>95</v>
      </c>
      <c r="H341" s="79">
        <v>343</v>
      </c>
      <c r="I341" s="79">
        <v>17</v>
      </c>
      <c r="J341" s="79">
        <v>0</v>
      </c>
      <c r="K341" s="79">
        <v>0</v>
      </c>
      <c r="L341" s="79">
        <v>0</v>
      </c>
      <c r="M341" s="79">
        <v>21</v>
      </c>
      <c r="N341" s="79">
        <v>0</v>
      </c>
      <c r="O341" s="79">
        <v>0</v>
      </c>
      <c r="P341" s="79">
        <v>0</v>
      </c>
      <c r="Q341" s="79">
        <v>0</v>
      </c>
      <c r="R341" s="79">
        <v>0</v>
      </c>
      <c r="S341" s="79">
        <v>0</v>
      </c>
      <c r="T341" s="79">
        <v>0</v>
      </c>
      <c r="U341" s="79">
        <v>0</v>
      </c>
      <c r="V341" s="79">
        <v>0</v>
      </c>
      <c r="W341" s="79">
        <v>0</v>
      </c>
      <c r="X341" s="90">
        <v>0</v>
      </c>
    </row>
    <row r="342" spans="1:24" hidden="1" x14ac:dyDescent="0.25">
      <c r="A342" s="80" t="str">
        <v>PENDIENTE</v>
      </c>
      <c r="B342" s="80" t="str">
        <v>Florencia de Mora</v>
      </c>
      <c r="C342" s="80" t="str">
        <v>Febrero</v>
      </c>
      <c r="D342" s="81">
        <v>46051</v>
      </c>
      <c r="E342" s="79">
        <v>2116.3519999999999</v>
      </c>
      <c r="F342" s="81">
        <v>46043</v>
      </c>
      <c r="G342" s="79" cm="1">
        <f t="array" ref="G342:X342">_xlfn._xlws.FILTER(Formulas!$C$2:$T$201, ISNUMBER(MATCH(Formulas!$B$2:$B$201, B342, 0)),0) * E342</f>
        <v>422.87052243741141</v>
      </c>
      <c r="H342" s="79">
        <v>1566.5203514407181</v>
      </c>
      <c r="I342" s="79">
        <v>126.96112612187056</v>
      </c>
      <c r="J342" s="79">
        <v>0</v>
      </c>
      <c r="K342" s="79">
        <v>0</v>
      </c>
      <c r="L342" s="79">
        <v>0</v>
      </c>
      <c r="M342" s="79">
        <v>0</v>
      </c>
      <c r="N342" s="79">
        <v>0</v>
      </c>
      <c r="O342" s="79">
        <v>0</v>
      </c>
      <c r="P342" s="79">
        <v>0</v>
      </c>
      <c r="Q342" s="79">
        <v>0</v>
      </c>
      <c r="R342" s="79">
        <v>0</v>
      </c>
      <c r="S342" s="79">
        <v>0</v>
      </c>
      <c r="T342" s="79">
        <v>0</v>
      </c>
      <c r="U342" s="79">
        <v>0</v>
      </c>
      <c r="V342" s="79">
        <v>0</v>
      </c>
      <c r="W342" s="79">
        <v>0</v>
      </c>
      <c r="X342" s="90">
        <v>0</v>
      </c>
    </row>
    <row r="343" spans="1:24" hidden="1" x14ac:dyDescent="0.25">
      <c r="A343" s="80" t="str">
        <v>PENDIENTE</v>
      </c>
      <c r="B343" s="80" t="str">
        <v>Florencia de Mora</v>
      </c>
      <c r="C343" s="80" t="str">
        <v>Marzo</v>
      </c>
      <c r="D343" s="81">
        <v>46080</v>
      </c>
      <c r="E343" s="79">
        <v>2645.44</v>
      </c>
      <c r="F343" s="81">
        <v>46079</v>
      </c>
      <c r="G343" s="79" cm="1">
        <f t="array" ref="G343:X343">_xlfn._xlws.FILTER(Formulas!$C$2:$T$201, ISNUMBER(MATCH(Formulas!$B$2:$B$201, B343, 0)),0) * E343</f>
        <v>528.58815304676432</v>
      </c>
      <c r="H343" s="79">
        <v>1958.1504393008977</v>
      </c>
      <c r="I343" s="79">
        <v>158.70140765233822</v>
      </c>
      <c r="J343" s="79">
        <v>0</v>
      </c>
      <c r="K343" s="79">
        <v>0</v>
      </c>
      <c r="L343" s="79">
        <v>0</v>
      </c>
      <c r="M343" s="79">
        <v>0</v>
      </c>
      <c r="N343" s="79">
        <v>0</v>
      </c>
      <c r="O343" s="79">
        <v>0</v>
      </c>
      <c r="P343" s="79">
        <v>0</v>
      </c>
      <c r="Q343" s="79">
        <v>0</v>
      </c>
      <c r="R343" s="79">
        <v>0</v>
      </c>
      <c r="S343" s="79">
        <v>0</v>
      </c>
      <c r="T343" s="79">
        <v>0</v>
      </c>
      <c r="U343" s="79">
        <v>0</v>
      </c>
      <c r="V343" s="79">
        <v>0</v>
      </c>
      <c r="W343" s="79">
        <v>0</v>
      </c>
      <c r="X343" s="90">
        <v>0</v>
      </c>
    </row>
    <row r="344" spans="1:24" hidden="1" x14ac:dyDescent="0.25">
      <c r="A344" s="80" t="str">
        <v>PENDIENTE</v>
      </c>
      <c r="B344" s="80" t="str">
        <v>Florencia de Mora</v>
      </c>
      <c r="C344" s="80" t="str">
        <v>Abril</v>
      </c>
      <c r="D344" s="81">
        <v>46108</v>
      </c>
      <c r="E344" s="79">
        <v>2645.44</v>
      </c>
      <c r="F344" s="81">
        <v>46109</v>
      </c>
      <c r="G344" s="79" cm="1">
        <f t="array" ref="G344:X344">_xlfn._xlws.FILTER(Formulas!$C$2:$T$201, ISNUMBER(MATCH(Formulas!$B$2:$B$201, B344, 0)),0) * E344</f>
        <v>528.58815304676432</v>
      </c>
      <c r="H344" s="79">
        <v>1958.1504393008977</v>
      </c>
      <c r="I344" s="79">
        <v>158.70140765233822</v>
      </c>
      <c r="J344" s="79">
        <v>0</v>
      </c>
      <c r="K344" s="79">
        <v>0</v>
      </c>
      <c r="L344" s="79">
        <v>0</v>
      </c>
      <c r="M344" s="79">
        <v>0</v>
      </c>
      <c r="N344" s="79">
        <v>0</v>
      </c>
      <c r="O344" s="79">
        <v>0</v>
      </c>
      <c r="P344" s="79">
        <v>0</v>
      </c>
      <c r="Q344" s="79">
        <v>0</v>
      </c>
      <c r="R344" s="79">
        <v>0</v>
      </c>
      <c r="S344" s="79">
        <v>0</v>
      </c>
      <c r="T344" s="79">
        <v>0</v>
      </c>
      <c r="U344" s="79">
        <v>0</v>
      </c>
      <c r="V344" s="79">
        <v>0</v>
      </c>
      <c r="W344" s="79">
        <v>0</v>
      </c>
      <c r="X344" s="90">
        <v>0</v>
      </c>
    </row>
    <row r="345" spans="1:24" hidden="1" x14ac:dyDescent="0.25">
      <c r="A345" s="80" t="str">
        <v>PENDIENTE</v>
      </c>
      <c r="B345" s="80" t="str">
        <v>Florencia de Mora</v>
      </c>
      <c r="C345" s="80" t="str">
        <v>Mayo</v>
      </c>
      <c r="D345" s="81">
        <v>46140</v>
      </c>
      <c r="E345" s="79">
        <v>2645.44</v>
      </c>
      <c r="F345" s="81">
        <v>46140</v>
      </c>
      <c r="G345" s="79" cm="1">
        <f t="array" ref="G345:X345">_xlfn._xlws.FILTER(Formulas!$C$2:$T$201, ISNUMBER(MATCH(Formulas!$B$2:$B$201, B345, 0)),0) * E345</f>
        <v>528.58815304676432</v>
      </c>
      <c r="H345" s="79">
        <v>1958.1504393008977</v>
      </c>
      <c r="I345" s="79">
        <v>158.70140765233822</v>
      </c>
      <c r="J345" s="79">
        <v>0</v>
      </c>
      <c r="K345" s="79">
        <v>0</v>
      </c>
      <c r="L345" s="79">
        <v>0</v>
      </c>
      <c r="M345" s="79">
        <v>0</v>
      </c>
      <c r="N345" s="79">
        <v>0</v>
      </c>
      <c r="O345" s="79">
        <v>0</v>
      </c>
      <c r="P345" s="79">
        <v>0</v>
      </c>
      <c r="Q345" s="79">
        <v>0</v>
      </c>
      <c r="R345" s="79">
        <v>0</v>
      </c>
      <c r="S345" s="79">
        <v>0</v>
      </c>
      <c r="T345" s="79">
        <v>0</v>
      </c>
      <c r="U345" s="79">
        <v>0</v>
      </c>
      <c r="V345" s="79">
        <v>0</v>
      </c>
      <c r="W345" s="79">
        <v>0</v>
      </c>
      <c r="X345" s="90">
        <v>0</v>
      </c>
    </row>
    <row r="346" spans="1:24" hidden="1" x14ac:dyDescent="0.25">
      <c r="A346" s="80" t="str">
        <v>PENDIENTE</v>
      </c>
      <c r="B346" s="80" t="str">
        <v>Florencia de Mora</v>
      </c>
      <c r="C346" s="80" t="str">
        <v>Junio</v>
      </c>
      <c r="D346" s="81">
        <v>46171</v>
      </c>
      <c r="E346" s="79">
        <v>2645.44</v>
      </c>
      <c r="F346" s="81">
        <v>46163</v>
      </c>
      <c r="G346" s="79" cm="1">
        <f t="array" ref="G346:X346">_xlfn._xlws.FILTER(Formulas!$C$2:$T$201, ISNUMBER(MATCH(Formulas!$B$2:$B$201, B346, 0)),0) * E346</f>
        <v>528.58815304676432</v>
      </c>
      <c r="H346" s="79">
        <v>1958.1504393008977</v>
      </c>
      <c r="I346" s="79">
        <v>158.70140765233822</v>
      </c>
      <c r="J346" s="79">
        <v>0</v>
      </c>
      <c r="K346" s="79">
        <v>0</v>
      </c>
      <c r="L346" s="79">
        <v>0</v>
      </c>
      <c r="M346" s="79">
        <v>0</v>
      </c>
      <c r="N346" s="79">
        <v>0</v>
      </c>
      <c r="O346" s="79">
        <v>0</v>
      </c>
      <c r="P346" s="79">
        <v>0</v>
      </c>
      <c r="Q346" s="79">
        <v>0</v>
      </c>
      <c r="R346" s="79">
        <v>0</v>
      </c>
      <c r="S346" s="79">
        <v>0</v>
      </c>
      <c r="T346" s="79">
        <v>0</v>
      </c>
      <c r="U346" s="79">
        <v>0</v>
      </c>
      <c r="V346" s="79">
        <v>0</v>
      </c>
      <c r="W346" s="79">
        <v>0</v>
      </c>
      <c r="X346" s="90">
        <v>0</v>
      </c>
    </row>
    <row r="347" spans="1:24" hidden="1" x14ac:dyDescent="0.25">
      <c r="A347" s="80" t="str">
        <v>PENDIENTE</v>
      </c>
      <c r="B347" s="80" t="str">
        <v>Florencia de Mora</v>
      </c>
      <c r="C347" s="80" t="str">
        <v>Julio</v>
      </c>
      <c r="D347" s="81">
        <v>46199</v>
      </c>
      <c r="E347" s="79">
        <v>2645.44</v>
      </c>
      <c r="F347" s="81">
        <v>46199</v>
      </c>
      <c r="G347" s="79" cm="1">
        <f t="array" ref="G347:X347">_xlfn._xlws.FILTER(Formulas!$C$2:$T$201, ISNUMBER(MATCH(Formulas!$B$2:$B$201, B347, 0)),0) * E347</f>
        <v>528.58815304676432</v>
      </c>
      <c r="H347" s="79">
        <v>1958.1504393008977</v>
      </c>
      <c r="I347" s="79">
        <v>158.70140765233822</v>
      </c>
      <c r="J347" s="79">
        <v>0</v>
      </c>
      <c r="K347" s="79">
        <v>0</v>
      </c>
      <c r="L347" s="79">
        <v>0</v>
      </c>
      <c r="M347" s="79">
        <v>0</v>
      </c>
      <c r="N347" s="79">
        <v>0</v>
      </c>
      <c r="O347" s="79">
        <v>0</v>
      </c>
      <c r="P347" s="79">
        <v>0</v>
      </c>
      <c r="Q347" s="79">
        <v>0</v>
      </c>
      <c r="R347" s="79">
        <v>0</v>
      </c>
      <c r="S347" s="79">
        <v>0</v>
      </c>
      <c r="T347" s="79">
        <v>0</v>
      </c>
      <c r="U347" s="79">
        <v>0</v>
      </c>
      <c r="V347" s="79">
        <v>0</v>
      </c>
      <c r="W347" s="79">
        <v>0</v>
      </c>
      <c r="X347" s="90">
        <v>0</v>
      </c>
    </row>
    <row r="348" spans="1:24" hidden="1" x14ac:dyDescent="0.25">
      <c r="A348" s="80" t="str">
        <v>PENDIENTE</v>
      </c>
      <c r="B348" s="80" t="str">
        <v>Florencia de Mora</v>
      </c>
      <c r="C348" s="80" t="str">
        <v>Agosto</v>
      </c>
      <c r="D348" s="81">
        <v>46227</v>
      </c>
      <c r="E348" s="79">
        <v>2645.44</v>
      </c>
      <c r="F348" s="80">
        <v>46227</v>
      </c>
      <c r="G348" s="79" cm="1">
        <f t="array" ref="G348:X348">_xlfn._xlws.FILTER(Formulas!$C$2:$T$201, ISNUMBER(MATCH(Formulas!$B$2:$B$201, B348, 0)),0) * E348</f>
        <v>528.58815304676432</v>
      </c>
      <c r="H348" s="79">
        <v>1958.1504393008977</v>
      </c>
      <c r="I348" s="79">
        <v>158.70140765233822</v>
      </c>
      <c r="J348" s="79">
        <v>0</v>
      </c>
      <c r="K348" s="79">
        <v>0</v>
      </c>
      <c r="L348" s="79">
        <v>0</v>
      </c>
      <c r="M348" s="79">
        <v>0</v>
      </c>
      <c r="N348" s="79">
        <v>0</v>
      </c>
      <c r="O348" s="79">
        <v>0</v>
      </c>
      <c r="P348" s="79">
        <v>0</v>
      </c>
      <c r="Q348" s="79">
        <v>0</v>
      </c>
      <c r="R348" s="79">
        <v>0</v>
      </c>
      <c r="S348" s="79">
        <v>0</v>
      </c>
      <c r="T348" s="79">
        <v>0</v>
      </c>
      <c r="U348" s="79">
        <v>0</v>
      </c>
      <c r="V348" s="79">
        <v>0</v>
      </c>
      <c r="W348" s="79">
        <v>0</v>
      </c>
      <c r="X348" s="90">
        <v>0</v>
      </c>
    </row>
    <row r="349" spans="1:24" hidden="1" x14ac:dyDescent="0.25">
      <c r="A349" s="80" t="str">
        <v>PENDIENTE</v>
      </c>
      <c r="B349" s="80" t="str">
        <v>Florencia de Mora</v>
      </c>
      <c r="C349" s="80" t="str">
        <v>Setiembre</v>
      </c>
      <c r="D349" s="81">
        <v>46262</v>
      </c>
      <c r="E349" s="79">
        <v>2645.44</v>
      </c>
      <c r="F349" s="80">
        <v>46263</v>
      </c>
      <c r="G349" s="79" cm="1">
        <f t="array" ref="G349:X349">_xlfn._xlws.FILTER(Formulas!$C$2:$T$201, ISNUMBER(MATCH(Formulas!$B$2:$B$201, B349, 0)),0) * E349</f>
        <v>528.58815304676432</v>
      </c>
      <c r="H349" s="79">
        <v>1958.1504393008977</v>
      </c>
      <c r="I349" s="79">
        <v>158.70140765233822</v>
      </c>
      <c r="J349" s="79">
        <v>0</v>
      </c>
      <c r="K349" s="79">
        <v>0</v>
      </c>
      <c r="L349" s="79">
        <v>0</v>
      </c>
      <c r="M349" s="79">
        <v>0</v>
      </c>
      <c r="N349" s="79">
        <v>0</v>
      </c>
      <c r="O349" s="79">
        <v>0</v>
      </c>
      <c r="P349" s="79">
        <v>0</v>
      </c>
      <c r="Q349" s="79">
        <v>0</v>
      </c>
      <c r="R349" s="79">
        <v>0</v>
      </c>
      <c r="S349" s="79">
        <v>0</v>
      </c>
      <c r="T349" s="79">
        <v>0</v>
      </c>
      <c r="U349" s="79">
        <v>0</v>
      </c>
      <c r="V349" s="79">
        <v>0</v>
      </c>
      <c r="W349" s="79">
        <v>0</v>
      </c>
      <c r="X349" s="90">
        <v>0</v>
      </c>
    </row>
    <row r="350" spans="1:24" hidden="1" x14ac:dyDescent="0.25">
      <c r="A350" s="80" t="str">
        <v>PENDIENTE</v>
      </c>
      <c r="B350" s="80" t="str">
        <v>Florencia de Mora</v>
      </c>
      <c r="C350" s="80" t="str">
        <v>O.C.</v>
      </c>
      <c r="D350" s="81">
        <v>46288</v>
      </c>
      <c r="E350" s="79">
        <v>3740.7999999999997</v>
      </c>
      <c r="F350" s="80">
        <v>46294</v>
      </c>
      <c r="G350" s="79" cm="1">
        <f t="array" ref="G350:X350">_xlfn._xlws.FILTER(Formulas!$C$2:$T$201, ISNUMBER(MATCH(Formulas!$B$2:$B$201, B350, 0)),0) * E350</f>
        <v>747.45318847425597</v>
      </c>
      <c r="H350" s="79">
        <v>2768.934152102031</v>
      </c>
      <c r="I350" s="79">
        <v>224.4126594237128</v>
      </c>
      <c r="J350" s="79">
        <v>0</v>
      </c>
      <c r="K350" s="79">
        <v>0</v>
      </c>
      <c r="L350" s="79">
        <v>0</v>
      </c>
      <c r="M350" s="79">
        <v>0</v>
      </c>
      <c r="N350" s="79">
        <v>0</v>
      </c>
      <c r="O350" s="79">
        <v>0</v>
      </c>
      <c r="P350" s="79">
        <v>0</v>
      </c>
      <c r="Q350" s="79">
        <v>0</v>
      </c>
      <c r="R350" s="79">
        <v>0</v>
      </c>
      <c r="S350" s="79">
        <v>0</v>
      </c>
      <c r="T350" s="79">
        <v>0</v>
      </c>
      <c r="U350" s="79">
        <v>0</v>
      </c>
      <c r="V350" s="79">
        <v>0</v>
      </c>
      <c r="W350" s="79">
        <v>0</v>
      </c>
      <c r="X350" s="90">
        <v>0</v>
      </c>
    </row>
    <row r="351" spans="1:24" hidden="1" x14ac:dyDescent="0.25">
      <c r="A351" s="80" t="str">
        <v>PENDIENTE</v>
      </c>
      <c r="B351" s="80" t="str">
        <v>Florencia de Mora</v>
      </c>
      <c r="C351" s="80" t="str">
        <v>Octubre</v>
      </c>
      <c r="D351" s="81">
        <v>46294</v>
      </c>
      <c r="E351" s="79">
        <v>2645.44</v>
      </c>
      <c r="F351" s="81">
        <v>0</v>
      </c>
      <c r="G351" s="79" cm="1">
        <f t="array" ref="G351:X351">_xlfn._xlws.FILTER(Formulas!$C$2:$T$201, ISNUMBER(MATCH(Formulas!$B$2:$B$201, B351, 0)),0) * E351</f>
        <v>528.58815304676432</v>
      </c>
      <c r="H351" s="79">
        <v>1958.1504393008977</v>
      </c>
      <c r="I351" s="79">
        <v>158.70140765233822</v>
      </c>
      <c r="J351" s="79">
        <v>0</v>
      </c>
      <c r="K351" s="79">
        <v>0</v>
      </c>
      <c r="L351" s="79">
        <v>0</v>
      </c>
      <c r="M351" s="79">
        <v>0</v>
      </c>
      <c r="N351" s="79">
        <v>0</v>
      </c>
      <c r="O351" s="79">
        <v>0</v>
      </c>
      <c r="P351" s="79">
        <v>0</v>
      </c>
      <c r="Q351" s="79">
        <v>0</v>
      </c>
      <c r="R351" s="79">
        <v>0</v>
      </c>
      <c r="S351" s="79">
        <v>0</v>
      </c>
      <c r="T351" s="79">
        <v>0</v>
      </c>
      <c r="U351" s="79">
        <v>0</v>
      </c>
      <c r="V351" s="79">
        <v>0</v>
      </c>
      <c r="W351" s="79">
        <v>0</v>
      </c>
      <c r="X351" s="90">
        <v>0</v>
      </c>
    </row>
    <row r="352" spans="1:24" hidden="1" x14ac:dyDescent="0.25">
      <c r="A352" s="80" t="str">
        <v>PENDIENTE</v>
      </c>
      <c r="B352" s="80" t="str">
        <v>Florencia de Mora</v>
      </c>
      <c r="C352" s="80" t="str">
        <v>Noviembre</v>
      </c>
      <c r="D352" s="81">
        <v>46324</v>
      </c>
      <c r="E352" s="79">
        <v>2645.44</v>
      </c>
      <c r="F352" s="81">
        <v>0</v>
      </c>
      <c r="G352" s="79" cm="1">
        <f t="array" ref="G352:X352">_xlfn._xlws.FILTER(Formulas!$C$2:$T$201, ISNUMBER(MATCH(Formulas!$B$2:$B$201, B352, 0)),0) * E352</f>
        <v>528.58815304676432</v>
      </c>
      <c r="H352" s="79">
        <v>1958.1504393008977</v>
      </c>
      <c r="I352" s="79">
        <v>158.70140765233822</v>
      </c>
      <c r="J352" s="79">
        <v>0</v>
      </c>
      <c r="K352" s="79">
        <v>0</v>
      </c>
      <c r="L352" s="79">
        <v>0</v>
      </c>
      <c r="M352" s="79">
        <v>0</v>
      </c>
      <c r="N352" s="79">
        <v>0</v>
      </c>
      <c r="O352" s="79">
        <v>0</v>
      </c>
      <c r="P352" s="79">
        <v>0</v>
      </c>
      <c r="Q352" s="79">
        <v>0</v>
      </c>
      <c r="R352" s="79">
        <v>0</v>
      </c>
      <c r="S352" s="79">
        <v>0</v>
      </c>
      <c r="T352" s="79">
        <v>0</v>
      </c>
      <c r="U352" s="79">
        <v>0</v>
      </c>
      <c r="V352" s="79">
        <v>0</v>
      </c>
      <c r="W352" s="79">
        <v>0</v>
      </c>
      <c r="X352" s="90">
        <v>0</v>
      </c>
    </row>
    <row r="353" spans="1:24" hidden="1" x14ac:dyDescent="0.25">
      <c r="A353" s="80" t="str">
        <v>PENDIENTE</v>
      </c>
      <c r="B353" s="80" t="str">
        <v>Florencia de Mora</v>
      </c>
      <c r="C353" s="80" t="str">
        <v>Diciembre</v>
      </c>
      <c r="D353" s="81">
        <v>46353</v>
      </c>
      <c r="E353" s="79">
        <v>2645.44</v>
      </c>
      <c r="F353" s="80">
        <v>0</v>
      </c>
      <c r="G353" s="79" cm="1">
        <f t="array" ref="G353:X353">_xlfn._xlws.FILTER(Formulas!$C$2:$T$201, ISNUMBER(MATCH(Formulas!$B$2:$B$201, B353, 0)),0) * E353</f>
        <v>528.58815304676432</v>
      </c>
      <c r="H353" s="79">
        <v>1958.1504393008977</v>
      </c>
      <c r="I353" s="79">
        <v>158.70140765233822</v>
      </c>
      <c r="J353" s="79">
        <v>0</v>
      </c>
      <c r="K353" s="79">
        <v>0</v>
      </c>
      <c r="L353" s="79">
        <v>0</v>
      </c>
      <c r="M353" s="79">
        <v>0</v>
      </c>
      <c r="N353" s="79">
        <v>0</v>
      </c>
      <c r="O353" s="79">
        <v>0</v>
      </c>
      <c r="P353" s="79">
        <v>0</v>
      </c>
      <c r="Q353" s="79">
        <v>0</v>
      </c>
      <c r="R353" s="79">
        <v>0</v>
      </c>
      <c r="S353" s="79">
        <v>0</v>
      </c>
      <c r="T353" s="79">
        <v>0</v>
      </c>
      <c r="U353" s="79">
        <v>0</v>
      </c>
      <c r="V353" s="79">
        <v>0</v>
      </c>
      <c r="W353" s="79">
        <v>0</v>
      </c>
      <c r="X353" s="90">
        <v>0</v>
      </c>
    </row>
    <row r="354" spans="1:24" hidden="1" x14ac:dyDescent="0.25">
      <c r="A354" s="80" t="str">
        <v>ENHA</v>
      </c>
      <c r="B354" s="80" t="str">
        <v>Florida</v>
      </c>
      <c r="C354" s="80" t="str">
        <v>O.C.</v>
      </c>
      <c r="D354" s="81">
        <v>46096</v>
      </c>
      <c r="E354" s="79">
        <v>1056</v>
      </c>
      <c r="F354" s="81">
        <v>46090</v>
      </c>
      <c r="G354" s="79" cm="1">
        <f t="array" ref="G354:X354">_xlfn._xlws.FILTER(Formulas!$C$2:$T$201, ISNUMBER(MATCH(Formulas!$B$2:$B$201, B354, 0)),0) * E354</f>
        <v>211.20000000000002</v>
      </c>
      <c r="H354" s="79">
        <v>702.24</v>
      </c>
      <c r="I354" s="79">
        <v>47.519999999999996</v>
      </c>
      <c r="J354" s="79">
        <v>47.519999999999996</v>
      </c>
      <c r="K354" s="79">
        <v>0</v>
      </c>
      <c r="L354" s="79">
        <v>0</v>
      </c>
      <c r="M354" s="79">
        <v>47.519999999999996</v>
      </c>
      <c r="N354" s="79">
        <v>0</v>
      </c>
      <c r="O354" s="79">
        <v>0</v>
      </c>
      <c r="P354" s="79">
        <v>0</v>
      </c>
      <c r="Q354" s="79">
        <v>0</v>
      </c>
      <c r="R354" s="79">
        <v>0</v>
      </c>
      <c r="S354" s="79">
        <v>0</v>
      </c>
      <c r="T354" s="79">
        <v>0</v>
      </c>
      <c r="U354" s="79">
        <v>0</v>
      </c>
      <c r="V354" s="79">
        <v>0</v>
      </c>
      <c r="W354" s="79">
        <v>0</v>
      </c>
      <c r="X354" s="90">
        <v>0</v>
      </c>
    </row>
    <row r="355" spans="1:24" hidden="1" x14ac:dyDescent="0.25">
      <c r="A355" s="80" t="str">
        <v>ENHA</v>
      </c>
      <c r="B355" s="80" t="str">
        <v>Florida</v>
      </c>
      <c r="C355" s="80" t="str">
        <v>O.C.</v>
      </c>
      <c r="D355" s="81">
        <v>46188</v>
      </c>
      <c r="E355" s="79">
        <v>1065</v>
      </c>
      <c r="F355" s="81">
        <v>46206</v>
      </c>
      <c r="G355" s="79" cm="1">
        <f t="array" ref="G355:X355">_xlfn._xlws.FILTER(Formulas!$C$2:$T$201, ISNUMBER(MATCH(Formulas!$B$2:$B$201, B355, 0)),0) * E355</f>
        <v>213</v>
      </c>
      <c r="H355" s="79">
        <v>708.22500000000002</v>
      </c>
      <c r="I355" s="79">
        <v>47.924999999999997</v>
      </c>
      <c r="J355" s="79">
        <v>47.924999999999997</v>
      </c>
      <c r="K355" s="79">
        <v>0</v>
      </c>
      <c r="L355" s="79">
        <v>0</v>
      </c>
      <c r="M355" s="79">
        <v>47.924999999999997</v>
      </c>
      <c r="N355" s="79">
        <v>0</v>
      </c>
      <c r="O355" s="79">
        <v>0</v>
      </c>
      <c r="P355" s="79">
        <v>0</v>
      </c>
      <c r="Q355" s="79">
        <v>0</v>
      </c>
      <c r="R355" s="79">
        <v>0</v>
      </c>
      <c r="S355" s="79">
        <v>0</v>
      </c>
      <c r="T355" s="79">
        <v>0</v>
      </c>
      <c r="U355" s="79">
        <v>0</v>
      </c>
      <c r="V355" s="79">
        <v>0</v>
      </c>
      <c r="W355" s="79">
        <v>0</v>
      </c>
      <c r="X355" s="90">
        <v>0</v>
      </c>
    </row>
    <row r="356" spans="1:24" hidden="1" x14ac:dyDescent="0.25">
      <c r="A356" s="80" t="str">
        <v>ENHA</v>
      </c>
      <c r="B356" s="80" t="str">
        <v>Florida</v>
      </c>
      <c r="C356" s="80" t="str">
        <v>O.C.</v>
      </c>
      <c r="D356" s="81">
        <v>46274</v>
      </c>
      <c r="E356" s="79">
        <v>1065</v>
      </c>
      <c r="F356" s="81">
        <v>0</v>
      </c>
      <c r="G356" s="79" cm="1">
        <f t="array" ref="G356:X356">_xlfn._xlws.FILTER(Formulas!$C$2:$T$201, ISNUMBER(MATCH(Formulas!$B$2:$B$201, B356, 0)),0) * E356</f>
        <v>213</v>
      </c>
      <c r="H356" s="79">
        <v>708.22500000000002</v>
      </c>
      <c r="I356" s="79">
        <v>47.924999999999997</v>
      </c>
      <c r="J356" s="79">
        <v>47.924999999999997</v>
      </c>
      <c r="K356" s="79">
        <v>0</v>
      </c>
      <c r="L356" s="79">
        <v>0</v>
      </c>
      <c r="M356" s="79">
        <v>47.924999999999997</v>
      </c>
      <c r="N356" s="79">
        <v>0</v>
      </c>
      <c r="O356" s="79">
        <v>0</v>
      </c>
      <c r="P356" s="79">
        <v>0</v>
      </c>
      <c r="Q356" s="79">
        <v>0</v>
      </c>
      <c r="R356" s="79">
        <v>0</v>
      </c>
      <c r="S356" s="79">
        <v>0</v>
      </c>
      <c r="T356" s="79">
        <v>0</v>
      </c>
      <c r="U356" s="79">
        <v>0</v>
      </c>
      <c r="V356" s="79">
        <v>0</v>
      </c>
      <c r="W356" s="79">
        <v>0</v>
      </c>
      <c r="X356" s="90">
        <v>0</v>
      </c>
    </row>
    <row r="357" spans="1:24" hidden="1" x14ac:dyDescent="0.25">
      <c r="A357" s="80" t="str">
        <v>PENDIENTE</v>
      </c>
      <c r="B357" s="80" t="str">
        <v>Gregorio Pita</v>
      </c>
      <c r="C357" s="80" t="str">
        <v>Enero / Febrero</v>
      </c>
      <c r="D357" s="81">
        <v>46022</v>
      </c>
      <c r="E357" s="79">
        <v>3237.2999999999997</v>
      </c>
      <c r="F357" s="81">
        <v>46002</v>
      </c>
      <c r="G357" s="79" cm="1">
        <f t="array" ref="G357:X357">_xlfn._xlws.FILTER(Formulas!$C$2:$T$201, ISNUMBER(MATCH(Formulas!$B$2:$B$201, B357, 0)),0) * E357</f>
        <v>173.19554999999997</v>
      </c>
      <c r="H357" s="79">
        <v>1344.2888249999999</v>
      </c>
      <c r="I357" s="79">
        <v>161.86500000000001</v>
      </c>
      <c r="J357" s="79">
        <v>0</v>
      </c>
      <c r="K357" s="79">
        <v>0</v>
      </c>
      <c r="L357" s="79">
        <v>0</v>
      </c>
      <c r="M357" s="79">
        <v>129.49199999999999</v>
      </c>
      <c r="N357" s="79">
        <v>194.23799999999997</v>
      </c>
      <c r="O357" s="79">
        <v>1230.174</v>
      </c>
      <c r="P357" s="79">
        <v>0</v>
      </c>
      <c r="Q357" s="79">
        <v>0</v>
      </c>
      <c r="R357" s="79">
        <v>0</v>
      </c>
      <c r="S357" s="79">
        <v>0</v>
      </c>
      <c r="T357" s="79">
        <v>0</v>
      </c>
      <c r="U357" s="79">
        <v>3.2372999999999998</v>
      </c>
      <c r="V357" s="79">
        <v>0</v>
      </c>
      <c r="W357" s="79">
        <v>0</v>
      </c>
      <c r="X357" s="90">
        <v>0</v>
      </c>
    </row>
    <row r="358" spans="1:24" hidden="1" x14ac:dyDescent="0.25">
      <c r="A358" s="80" t="str">
        <v>PENDIENTE</v>
      </c>
      <c r="B358" s="80" t="str">
        <v>Gregorio Pita</v>
      </c>
      <c r="C358" s="80" t="str">
        <v>Marzo / Abril</v>
      </c>
      <c r="D358" s="81">
        <v>46080</v>
      </c>
      <c r="E358" s="79">
        <v>3237.2999999999997</v>
      </c>
      <c r="F358" s="81">
        <v>46071</v>
      </c>
      <c r="G358" s="79" cm="1">
        <f t="array" ref="G358:X358">_xlfn._xlws.FILTER(Formulas!$C$2:$T$201, ISNUMBER(MATCH(Formulas!$B$2:$B$201, B358, 0)),0) * E358</f>
        <v>173.19554999999997</v>
      </c>
      <c r="H358" s="79">
        <v>1344.2888249999999</v>
      </c>
      <c r="I358" s="79">
        <v>161.86500000000001</v>
      </c>
      <c r="J358" s="79">
        <v>0</v>
      </c>
      <c r="K358" s="79">
        <v>0</v>
      </c>
      <c r="L358" s="79">
        <v>0</v>
      </c>
      <c r="M358" s="79">
        <v>129.49199999999999</v>
      </c>
      <c r="N358" s="79">
        <v>194.23799999999997</v>
      </c>
      <c r="O358" s="79">
        <v>1230.174</v>
      </c>
      <c r="P358" s="79">
        <v>0</v>
      </c>
      <c r="Q358" s="79">
        <v>0</v>
      </c>
      <c r="R358" s="79">
        <v>0</v>
      </c>
      <c r="S358" s="79">
        <v>0</v>
      </c>
      <c r="T358" s="79">
        <v>0</v>
      </c>
      <c r="U358" s="79">
        <v>3.2372999999999998</v>
      </c>
      <c r="V358" s="79">
        <v>0</v>
      </c>
      <c r="W358" s="79">
        <v>0</v>
      </c>
      <c r="X358" s="90">
        <v>0</v>
      </c>
    </row>
    <row r="359" spans="1:24" hidden="1" x14ac:dyDescent="0.25">
      <c r="A359" s="80" t="str">
        <v>PENDIENTE</v>
      </c>
      <c r="B359" s="80" t="str">
        <v>Gregorio Pita</v>
      </c>
      <c r="C359" s="80" t="str">
        <v>Mayo / Junio</v>
      </c>
      <c r="D359" s="81">
        <v>46135</v>
      </c>
      <c r="E359" s="79">
        <v>3237.2999999999997</v>
      </c>
      <c r="F359" s="81">
        <v>46127</v>
      </c>
      <c r="G359" s="79" cm="1">
        <f t="array" ref="G359:X359">_xlfn._xlws.FILTER(Formulas!$C$2:$T$201, ISNUMBER(MATCH(Formulas!$B$2:$B$201, B359, 0)),0) * E359</f>
        <v>173.19554999999997</v>
      </c>
      <c r="H359" s="79">
        <v>1344.2888249999999</v>
      </c>
      <c r="I359" s="79">
        <v>161.86500000000001</v>
      </c>
      <c r="J359" s="79">
        <v>0</v>
      </c>
      <c r="K359" s="79">
        <v>0</v>
      </c>
      <c r="L359" s="79">
        <v>0</v>
      </c>
      <c r="M359" s="79">
        <v>129.49199999999999</v>
      </c>
      <c r="N359" s="79">
        <v>194.23799999999997</v>
      </c>
      <c r="O359" s="79">
        <v>1230.174</v>
      </c>
      <c r="P359" s="79">
        <v>0</v>
      </c>
      <c r="Q359" s="79">
        <v>0</v>
      </c>
      <c r="R359" s="79">
        <v>0</v>
      </c>
      <c r="S359" s="79">
        <v>0</v>
      </c>
      <c r="T359" s="79">
        <v>0</v>
      </c>
      <c r="U359" s="79">
        <v>3.2372999999999998</v>
      </c>
      <c r="V359" s="79">
        <v>0</v>
      </c>
      <c r="W359" s="79">
        <v>0</v>
      </c>
      <c r="X359" s="90">
        <v>0</v>
      </c>
    </row>
    <row r="360" spans="1:24" hidden="1" x14ac:dyDescent="0.25">
      <c r="A360" s="80" t="str">
        <v>PENDIENTE</v>
      </c>
      <c r="B360" s="80" t="str">
        <v>Gregorio Pita</v>
      </c>
      <c r="C360" s="80" t="str">
        <v>Julio / Agosto</v>
      </c>
      <c r="D360" s="81">
        <v>46201</v>
      </c>
      <c r="E360" s="79">
        <v>3237.2999999999997</v>
      </c>
      <c r="F360" s="80">
        <v>46188</v>
      </c>
      <c r="G360" s="79" cm="1">
        <f t="array" ref="G360:X360">_xlfn._xlws.FILTER(Formulas!$C$2:$T$201, ISNUMBER(MATCH(Formulas!$B$2:$B$201, B360, 0)),0) * E360</f>
        <v>173.19554999999997</v>
      </c>
      <c r="H360" s="79">
        <v>1344.2888249999999</v>
      </c>
      <c r="I360" s="79">
        <v>161.86500000000001</v>
      </c>
      <c r="J360" s="79">
        <v>0</v>
      </c>
      <c r="K360" s="79">
        <v>0</v>
      </c>
      <c r="L360" s="79">
        <v>0</v>
      </c>
      <c r="M360" s="79">
        <v>129.49199999999999</v>
      </c>
      <c r="N360" s="79">
        <v>194.23799999999997</v>
      </c>
      <c r="O360" s="79">
        <v>1230.174</v>
      </c>
      <c r="P360" s="79">
        <v>0</v>
      </c>
      <c r="Q360" s="79">
        <v>0</v>
      </c>
      <c r="R360" s="79">
        <v>0</v>
      </c>
      <c r="S360" s="79">
        <v>0</v>
      </c>
      <c r="T360" s="79">
        <v>0</v>
      </c>
      <c r="U360" s="79">
        <v>3.2372999999999998</v>
      </c>
      <c r="V360" s="79">
        <v>0</v>
      </c>
      <c r="W360" s="79">
        <v>0</v>
      </c>
      <c r="X360" s="90">
        <v>0</v>
      </c>
    </row>
    <row r="361" spans="1:24" hidden="1" x14ac:dyDescent="0.25">
      <c r="A361" s="80" t="str">
        <v>PENDIENTE</v>
      </c>
      <c r="B361" s="80" t="str">
        <v>Gregorio Pita</v>
      </c>
      <c r="C361" s="80" t="str">
        <v>O.C.</v>
      </c>
      <c r="D361" s="81">
        <v>46217</v>
      </c>
      <c r="E361" s="79">
        <v>1577.4399558</v>
      </c>
      <c r="F361" s="81">
        <v>46248</v>
      </c>
      <c r="G361" s="79" cm="1">
        <f t="array" ref="G361:X361">_xlfn._xlws.FILTER(Formulas!$C$2:$T$201, ISNUMBER(MATCH(Formulas!$B$2:$B$201, B361, 0)),0) * E361</f>
        <v>84.393037635300004</v>
      </c>
      <c r="H361" s="79">
        <v>655.03194164595004</v>
      </c>
      <c r="I361" s="79">
        <v>78.871997790000009</v>
      </c>
      <c r="J361" s="79">
        <v>0</v>
      </c>
      <c r="K361" s="79">
        <v>0</v>
      </c>
      <c r="L361" s="79">
        <v>0</v>
      </c>
      <c r="M361" s="79">
        <v>63.097598232000003</v>
      </c>
      <c r="N361" s="79">
        <v>94.646397347999994</v>
      </c>
      <c r="O361" s="79">
        <v>599.42718320400002</v>
      </c>
      <c r="P361" s="79">
        <v>0</v>
      </c>
      <c r="Q361" s="79">
        <v>0</v>
      </c>
      <c r="R361" s="79">
        <v>0</v>
      </c>
      <c r="S361" s="79">
        <v>0</v>
      </c>
      <c r="T361" s="79">
        <v>0</v>
      </c>
      <c r="U361" s="79">
        <v>1.5774399558000001</v>
      </c>
      <c r="V361" s="79">
        <v>0</v>
      </c>
      <c r="W361" s="79">
        <v>0</v>
      </c>
      <c r="X361" s="90">
        <v>0</v>
      </c>
    </row>
    <row r="362" spans="1:24" hidden="1" x14ac:dyDescent="0.25">
      <c r="A362" s="80" t="str">
        <v>PENDIENTE</v>
      </c>
      <c r="B362" s="80" t="str">
        <v>Gregorio Pita</v>
      </c>
      <c r="C362" s="80" t="str">
        <v>Septiembre / Octubre</v>
      </c>
      <c r="D362" s="81">
        <v>46260</v>
      </c>
      <c r="E362" s="79">
        <v>3237.2999999999997</v>
      </c>
      <c r="F362" s="81">
        <v>46248</v>
      </c>
      <c r="G362" s="79" cm="1">
        <f t="array" ref="G362:X362">_xlfn._xlws.FILTER(Formulas!$C$2:$T$201, ISNUMBER(MATCH(Formulas!$B$2:$B$201, B362, 0)),0) * E362</f>
        <v>173.19554999999997</v>
      </c>
      <c r="H362" s="79">
        <v>1344.2888249999999</v>
      </c>
      <c r="I362" s="79">
        <v>161.86500000000001</v>
      </c>
      <c r="J362" s="79">
        <v>0</v>
      </c>
      <c r="K362" s="79">
        <v>0</v>
      </c>
      <c r="L362" s="79">
        <v>0</v>
      </c>
      <c r="M362" s="79">
        <v>129.49199999999999</v>
      </c>
      <c r="N362" s="79">
        <v>194.23799999999997</v>
      </c>
      <c r="O362" s="79">
        <v>1230.174</v>
      </c>
      <c r="P362" s="79">
        <v>0</v>
      </c>
      <c r="Q362" s="79">
        <v>0</v>
      </c>
      <c r="R362" s="79">
        <v>0</v>
      </c>
      <c r="S362" s="79">
        <v>0</v>
      </c>
      <c r="T362" s="79">
        <v>0</v>
      </c>
      <c r="U362" s="79">
        <v>3.2372999999999998</v>
      </c>
      <c r="V362" s="79">
        <v>0</v>
      </c>
      <c r="W362" s="79">
        <v>0</v>
      </c>
      <c r="X362" s="90">
        <v>0</v>
      </c>
    </row>
    <row r="363" spans="1:24" hidden="1" x14ac:dyDescent="0.25">
      <c r="A363" s="80" t="str">
        <v>PENDIENTE</v>
      </c>
      <c r="B363" s="80" t="str">
        <v>Gregorio Pita</v>
      </c>
      <c r="C363" s="80" t="str">
        <v>Noviembre / Diciembre</v>
      </c>
      <c r="D363" s="81">
        <v>46323</v>
      </c>
      <c r="E363" s="79">
        <v>3237.2999999999997</v>
      </c>
      <c r="F363" s="81">
        <v>0</v>
      </c>
      <c r="G363" s="79" cm="1">
        <f t="array" ref="G363:X363">_xlfn._xlws.FILTER(Formulas!$C$2:$T$201, ISNUMBER(MATCH(Formulas!$B$2:$B$201, B363, 0)),0) * E363</f>
        <v>173.19554999999997</v>
      </c>
      <c r="H363" s="79">
        <v>1344.2888249999999</v>
      </c>
      <c r="I363" s="79">
        <v>161.86500000000001</v>
      </c>
      <c r="J363" s="79">
        <v>0</v>
      </c>
      <c r="K363" s="79">
        <v>0</v>
      </c>
      <c r="L363" s="79">
        <v>0</v>
      </c>
      <c r="M363" s="79">
        <v>129.49199999999999</v>
      </c>
      <c r="N363" s="79">
        <v>194.23799999999997</v>
      </c>
      <c r="O363" s="79">
        <v>1230.174</v>
      </c>
      <c r="P363" s="79">
        <v>0</v>
      </c>
      <c r="Q363" s="79">
        <v>0</v>
      </c>
      <c r="R363" s="79">
        <v>0</v>
      </c>
      <c r="S363" s="79">
        <v>0</v>
      </c>
      <c r="T363" s="79">
        <v>0</v>
      </c>
      <c r="U363" s="79">
        <v>3.2372999999999998</v>
      </c>
      <c r="V363" s="79">
        <v>0</v>
      </c>
      <c r="W363" s="79">
        <v>0</v>
      </c>
      <c r="X363" s="90">
        <v>0</v>
      </c>
    </row>
    <row r="364" spans="1:24" hidden="1" x14ac:dyDescent="0.25">
      <c r="A364" s="80" t="str">
        <v>PENDIENTE</v>
      </c>
      <c r="B364" s="80" t="str">
        <v>Guadalupito</v>
      </c>
      <c r="C364" s="80" t="str">
        <v>Enero</v>
      </c>
      <c r="D364" s="81">
        <v>46006</v>
      </c>
      <c r="E364" s="79">
        <v>868.25279999999998</v>
      </c>
      <c r="F364" s="81">
        <v>46004</v>
      </c>
      <c r="G364" s="79" cm="1">
        <f t="array" ref="G364:X364">_xlfn._xlws.FILTER(Formulas!$C$2:$T$201, ISNUMBER(MATCH(Formulas!$B$2:$B$201, B364, 0)),0) * E364</f>
        <v>173.47690944000001</v>
      </c>
      <c r="H364" s="79">
        <v>573.82827552000003</v>
      </c>
      <c r="I364" s="79">
        <v>34.46963616</v>
      </c>
      <c r="J364" s="79">
        <v>0</v>
      </c>
      <c r="K364" s="79">
        <v>0</v>
      </c>
      <c r="L364" s="79">
        <v>0</v>
      </c>
      <c r="M364" s="79">
        <v>34.46963616</v>
      </c>
      <c r="N364" s="79">
        <v>52.008342720000002</v>
      </c>
      <c r="O364" s="79">
        <v>0</v>
      </c>
      <c r="P364" s="79">
        <v>0</v>
      </c>
      <c r="Q364" s="79">
        <v>0</v>
      </c>
      <c r="R364" s="79">
        <v>0</v>
      </c>
      <c r="S364" s="79">
        <v>0</v>
      </c>
      <c r="T364" s="79">
        <v>0</v>
      </c>
      <c r="U364" s="79">
        <v>0.86825280000000005</v>
      </c>
      <c r="V364" s="79">
        <v>0</v>
      </c>
      <c r="W364" s="79">
        <v>0</v>
      </c>
      <c r="X364" s="90">
        <v>0</v>
      </c>
    </row>
    <row r="365" spans="1:24" hidden="1" x14ac:dyDescent="0.25">
      <c r="A365" s="80" t="str">
        <v>PENDIENTE</v>
      </c>
      <c r="B365" s="80" t="str">
        <v>Guadalupito</v>
      </c>
      <c r="C365" s="80" t="str">
        <v>Febrero</v>
      </c>
      <c r="D365" s="81">
        <v>46052</v>
      </c>
      <c r="E365" s="79">
        <v>868.25279999999998</v>
      </c>
      <c r="F365" s="81">
        <v>46046</v>
      </c>
      <c r="G365" s="79" cm="1">
        <f t="array" ref="G365:X365">_xlfn._xlws.FILTER(Formulas!$C$2:$T$201, ISNUMBER(MATCH(Formulas!$B$2:$B$201, B365, 0)),0) * E365</f>
        <v>173.47690944000001</v>
      </c>
      <c r="H365" s="79">
        <v>573.82827552000003</v>
      </c>
      <c r="I365" s="79">
        <v>34.46963616</v>
      </c>
      <c r="J365" s="79">
        <v>0</v>
      </c>
      <c r="K365" s="79">
        <v>0</v>
      </c>
      <c r="L365" s="79">
        <v>0</v>
      </c>
      <c r="M365" s="79">
        <v>34.46963616</v>
      </c>
      <c r="N365" s="79">
        <v>52.008342720000002</v>
      </c>
      <c r="O365" s="79">
        <v>0</v>
      </c>
      <c r="P365" s="79">
        <v>0</v>
      </c>
      <c r="Q365" s="79">
        <v>0</v>
      </c>
      <c r="R365" s="79">
        <v>0</v>
      </c>
      <c r="S365" s="79">
        <v>0</v>
      </c>
      <c r="T365" s="79">
        <v>0</v>
      </c>
      <c r="U365" s="79">
        <v>0.86825280000000005</v>
      </c>
      <c r="V365" s="79">
        <v>0</v>
      </c>
      <c r="W365" s="79">
        <v>0</v>
      </c>
      <c r="X365" s="90">
        <v>0</v>
      </c>
    </row>
    <row r="366" spans="1:24" hidden="1" x14ac:dyDescent="0.25">
      <c r="A366" s="80" t="str">
        <v>PENDIENTE</v>
      </c>
      <c r="B366" s="80" t="str">
        <v>Guadalupito</v>
      </c>
      <c r="C366" s="80" t="str">
        <v>Marzo</v>
      </c>
      <c r="D366" s="81">
        <v>46081</v>
      </c>
      <c r="E366" s="79">
        <v>868.25279999999998</v>
      </c>
      <c r="F366" s="81">
        <v>46073</v>
      </c>
      <c r="G366" s="79" cm="1">
        <f t="array" ref="G366:X366">_xlfn._xlws.FILTER(Formulas!$C$2:$T$201, ISNUMBER(MATCH(Formulas!$B$2:$B$201, B366, 0)),0) * E366</f>
        <v>173.47690944000001</v>
      </c>
      <c r="H366" s="79">
        <v>573.82827552000003</v>
      </c>
      <c r="I366" s="79">
        <v>34.46963616</v>
      </c>
      <c r="J366" s="79">
        <v>0</v>
      </c>
      <c r="K366" s="79">
        <v>0</v>
      </c>
      <c r="L366" s="79">
        <v>0</v>
      </c>
      <c r="M366" s="79">
        <v>34.46963616</v>
      </c>
      <c r="N366" s="79">
        <v>52.008342720000002</v>
      </c>
      <c r="O366" s="79">
        <v>0</v>
      </c>
      <c r="P366" s="79">
        <v>0</v>
      </c>
      <c r="Q366" s="79">
        <v>0</v>
      </c>
      <c r="R366" s="79">
        <v>0</v>
      </c>
      <c r="S366" s="79">
        <v>0</v>
      </c>
      <c r="T366" s="79">
        <v>0</v>
      </c>
      <c r="U366" s="79">
        <v>0.86825280000000005</v>
      </c>
      <c r="V366" s="79">
        <v>0</v>
      </c>
      <c r="W366" s="79">
        <v>0</v>
      </c>
      <c r="X366" s="90">
        <v>0</v>
      </c>
    </row>
    <row r="367" spans="1:24" hidden="1" x14ac:dyDescent="0.25">
      <c r="A367" s="80" t="str">
        <v>PENDIENTE</v>
      </c>
      <c r="B367" s="80" t="str">
        <v>Guadalupito</v>
      </c>
      <c r="C367" s="80" t="str">
        <v>Abril</v>
      </c>
      <c r="D367" s="81">
        <v>46112</v>
      </c>
      <c r="E367" s="79">
        <v>868.25279999999998</v>
      </c>
      <c r="F367" s="81">
        <v>46104</v>
      </c>
      <c r="G367" s="79" cm="1">
        <f t="array" ref="G367:X367">_xlfn._xlws.FILTER(Formulas!$C$2:$T$201, ISNUMBER(MATCH(Formulas!$B$2:$B$201, B367, 0)),0) * E367</f>
        <v>173.47690944000001</v>
      </c>
      <c r="H367" s="79">
        <v>573.82827552000003</v>
      </c>
      <c r="I367" s="79">
        <v>34.46963616</v>
      </c>
      <c r="J367" s="79">
        <v>0</v>
      </c>
      <c r="K367" s="79">
        <v>0</v>
      </c>
      <c r="L367" s="79">
        <v>0</v>
      </c>
      <c r="M367" s="79">
        <v>34.46963616</v>
      </c>
      <c r="N367" s="79">
        <v>52.008342720000002</v>
      </c>
      <c r="O367" s="79">
        <v>0</v>
      </c>
      <c r="P367" s="79">
        <v>0</v>
      </c>
      <c r="Q367" s="79">
        <v>0</v>
      </c>
      <c r="R367" s="79">
        <v>0</v>
      </c>
      <c r="S367" s="79">
        <v>0</v>
      </c>
      <c r="T367" s="79">
        <v>0</v>
      </c>
      <c r="U367" s="79">
        <v>0.86825280000000005</v>
      </c>
      <c r="V367" s="79">
        <v>0</v>
      </c>
      <c r="W367" s="79">
        <v>0</v>
      </c>
      <c r="X367" s="90">
        <v>0</v>
      </c>
    </row>
    <row r="368" spans="1:24" hidden="1" x14ac:dyDescent="0.25">
      <c r="A368" s="80" t="str">
        <v>PENDIENTE</v>
      </c>
      <c r="B368" s="80" t="str">
        <v>Guadalupito</v>
      </c>
      <c r="C368" s="80" t="str">
        <v>Mayo</v>
      </c>
      <c r="D368" s="81">
        <v>46142</v>
      </c>
      <c r="E368" s="79">
        <v>868.25279999999998</v>
      </c>
      <c r="F368" s="81">
        <v>46134</v>
      </c>
      <c r="G368" s="79" cm="1">
        <f t="array" ref="G368:X368">_xlfn._xlws.FILTER(Formulas!$C$2:$T$201, ISNUMBER(MATCH(Formulas!$B$2:$B$201, B368, 0)),0) * E368</f>
        <v>173.47690944000001</v>
      </c>
      <c r="H368" s="79">
        <v>573.82827552000003</v>
      </c>
      <c r="I368" s="79">
        <v>34.46963616</v>
      </c>
      <c r="J368" s="79">
        <v>0</v>
      </c>
      <c r="K368" s="79">
        <v>0</v>
      </c>
      <c r="L368" s="79">
        <v>0</v>
      </c>
      <c r="M368" s="79">
        <v>34.46963616</v>
      </c>
      <c r="N368" s="79">
        <v>52.008342720000002</v>
      </c>
      <c r="O368" s="79">
        <v>0</v>
      </c>
      <c r="P368" s="79">
        <v>0</v>
      </c>
      <c r="Q368" s="79">
        <v>0</v>
      </c>
      <c r="R368" s="79">
        <v>0</v>
      </c>
      <c r="S368" s="79">
        <v>0</v>
      </c>
      <c r="T368" s="79">
        <v>0</v>
      </c>
      <c r="U368" s="79">
        <v>0.86825280000000005</v>
      </c>
      <c r="V368" s="79">
        <v>0</v>
      </c>
      <c r="W368" s="79">
        <v>0</v>
      </c>
      <c r="X368" s="90">
        <v>0</v>
      </c>
    </row>
    <row r="369" spans="1:24" hidden="1" x14ac:dyDescent="0.25">
      <c r="A369" s="80" t="str">
        <v>PENDIENTE</v>
      </c>
      <c r="B369" s="80" t="str">
        <v>Guadalupito</v>
      </c>
      <c r="C369" s="80" t="str">
        <v>Junio</v>
      </c>
      <c r="D369" s="81">
        <v>46172</v>
      </c>
      <c r="E369" s="79">
        <v>868.25279999999998</v>
      </c>
      <c r="F369" s="81">
        <v>46163</v>
      </c>
      <c r="G369" s="79" cm="1">
        <f t="array" ref="G369:X369">_xlfn._xlws.FILTER(Formulas!$C$2:$T$201, ISNUMBER(MATCH(Formulas!$B$2:$B$201, B369, 0)),0) * E369</f>
        <v>173.47690944000001</v>
      </c>
      <c r="H369" s="79">
        <v>573.82827552000003</v>
      </c>
      <c r="I369" s="79">
        <v>34.46963616</v>
      </c>
      <c r="J369" s="79">
        <v>0</v>
      </c>
      <c r="K369" s="79">
        <v>0</v>
      </c>
      <c r="L369" s="79">
        <v>0</v>
      </c>
      <c r="M369" s="79">
        <v>34.46963616</v>
      </c>
      <c r="N369" s="79">
        <v>52.008342720000002</v>
      </c>
      <c r="O369" s="79">
        <v>0</v>
      </c>
      <c r="P369" s="79">
        <v>0</v>
      </c>
      <c r="Q369" s="79">
        <v>0</v>
      </c>
      <c r="R369" s="79">
        <v>0</v>
      </c>
      <c r="S369" s="79">
        <v>0</v>
      </c>
      <c r="T369" s="79">
        <v>0</v>
      </c>
      <c r="U369" s="79">
        <v>0.86825280000000005</v>
      </c>
      <c r="V369" s="79">
        <v>0</v>
      </c>
      <c r="W369" s="79">
        <v>0</v>
      </c>
      <c r="X369" s="90">
        <v>0</v>
      </c>
    </row>
    <row r="370" spans="1:24" hidden="1" x14ac:dyDescent="0.25">
      <c r="A370" s="80" t="str">
        <v>PENDIENTE</v>
      </c>
      <c r="B370" s="80" t="str">
        <v>Guadalupito</v>
      </c>
      <c r="C370" s="80" t="str">
        <v>Julio</v>
      </c>
      <c r="D370" s="81">
        <v>46203</v>
      </c>
      <c r="E370" s="79">
        <v>868.25279999999998</v>
      </c>
      <c r="F370" s="81">
        <v>46196</v>
      </c>
      <c r="G370" s="79" cm="1">
        <f t="array" ref="G370:X370">_xlfn._xlws.FILTER(Formulas!$C$2:$T$201, ISNUMBER(MATCH(Formulas!$B$2:$B$201, B370, 0)),0) * E370</f>
        <v>173.47690944000001</v>
      </c>
      <c r="H370" s="79">
        <v>573.82827552000003</v>
      </c>
      <c r="I370" s="79">
        <v>34.46963616</v>
      </c>
      <c r="J370" s="79">
        <v>0</v>
      </c>
      <c r="K370" s="79">
        <v>0</v>
      </c>
      <c r="L370" s="79">
        <v>0</v>
      </c>
      <c r="M370" s="79">
        <v>34.46963616</v>
      </c>
      <c r="N370" s="79">
        <v>52.008342720000002</v>
      </c>
      <c r="O370" s="79">
        <v>0</v>
      </c>
      <c r="P370" s="79">
        <v>0</v>
      </c>
      <c r="Q370" s="79">
        <v>0</v>
      </c>
      <c r="R370" s="79">
        <v>0</v>
      </c>
      <c r="S370" s="79">
        <v>0</v>
      </c>
      <c r="T370" s="79">
        <v>0</v>
      </c>
      <c r="U370" s="79">
        <v>0.86825280000000005</v>
      </c>
      <c r="V370" s="79">
        <v>0</v>
      </c>
      <c r="W370" s="79">
        <v>0</v>
      </c>
      <c r="X370" s="90">
        <v>0</v>
      </c>
    </row>
    <row r="371" spans="1:24" hidden="1" x14ac:dyDescent="0.25">
      <c r="A371" s="80" t="str">
        <v>PENDIENTE</v>
      </c>
      <c r="B371" s="80" t="str">
        <v>Guadalupito</v>
      </c>
      <c r="C371" s="80" t="str">
        <v>O.C.</v>
      </c>
      <c r="D371" s="81">
        <v>46208</v>
      </c>
      <c r="E371" s="79">
        <v>1678.6220799999999</v>
      </c>
      <c r="F371" s="80">
        <v>46208</v>
      </c>
      <c r="G371" s="79" cm="1">
        <f t="array" ref="G371:X371">_xlfn._xlws.FILTER(Formulas!$C$2:$T$201, ISNUMBER(MATCH(Formulas!$B$2:$B$201, B371, 0)),0) * E371</f>
        <v>335.38869158399996</v>
      </c>
      <c r="H371" s="79">
        <v>1109.4013326720001</v>
      </c>
      <c r="I371" s="79">
        <v>66.641296575999988</v>
      </c>
      <c r="J371" s="79">
        <v>0</v>
      </c>
      <c r="K371" s="79">
        <v>0</v>
      </c>
      <c r="L371" s="79">
        <v>0</v>
      </c>
      <c r="M371" s="79">
        <v>66.641296575999988</v>
      </c>
      <c r="N371" s="79">
        <v>100.549462592</v>
      </c>
      <c r="O371" s="79">
        <v>0</v>
      </c>
      <c r="P371" s="79">
        <v>0</v>
      </c>
      <c r="Q371" s="79">
        <v>0</v>
      </c>
      <c r="R371" s="79">
        <v>0</v>
      </c>
      <c r="S371" s="79">
        <v>0</v>
      </c>
      <c r="T371" s="79">
        <v>0</v>
      </c>
      <c r="U371" s="79">
        <v>1.6786220799999998</v>
      </c>
      <c r="V371" s="79">
        <v>0</v>
      </c>
      <c r="W371" s="79">
        <v>0</v>
      </c>
      <c r="X371" s="90">
        <v>0</v>
      </c>
    </row>
    <row r="372" spans="1:24" hidden="1" x14ac:dyDescent="0.25">
      <c r="A372" s="80" t="str">
        <v>PENDIENTE</v>
      </c>
      <c r="B372" s="80" t="str">
        <v>Guadalupito</v>
      </c>
      <c r="C372" s="80" t="str">
        <v>Agosto</v>
      </c>
      <c r="D372" s="81">
        <v>46233</v>
      </c>
      <c r="E372" s="79">
        <v>868.25279999999998</v>
      </c>
      <c r="F372" s="80">
        <v>46224</v>
      </c>
      <c r="G372" s="79" cm="1">
        <f t="array" ref="G372:X372">_xlfn._xlws.FILTER(Formulas!$C$2:$T$201, ISNUMBER(MATCH(Formulas!$B$2:$B$201, B372, 0)),0) * E372</f>
        <v>173.47690944000001</v>
      </c>
      <c r="H372" s="79">
        <v>573.82827552000003</v>
      </c>
      <c r="I372" s="79">
        <v>34.46963616</v>
      </c>
      <c r="J372" s="79">
        <v>0</v>
      </c>
      <c r="K372" s="79">
        <v>0</v>
      </c>
      <c r="L372" s="79">
        <v>0</v>
      </c>
      <c r="M372" s="79">
        <v>34.46963616</v>
      </c>
      <c r="N372" s="79">
        <v>52.008342720000002</v>
      </c>
      <c r="O372" s="79">
        <v>0</v>
      </c>
      <c r="P372" s="79">
        <v>0</v>
      </c>
      <c r="Q372" s="79">
        <v>0</v>
      </c>
      <c r="R372" s="79">
        <v>0</v>
      </c>
      <c r="S372" s="79">
        <v>0</v>
      </c>
      <c r="T372" s="79">
        <v>0</v>
      </c>
      <c r="U372" s="79">
        <v>0.86825280000000005</v>
      </c>
      <c r="V372" s="79">
        <v>0</v>
      </c>
      <c r="W372" s="79">
        <v>0</v>
      </c>
      <c r="X372" s="90">
        <v>0</v>
      </c>
    </row>
    <row r="373" spans="1:24" hidden="1" x14ac:dyDescent="0.25">
      <c r="A373" s="80" t="str">
        <v>PENDIENTE</v>
      </c>
      <c r="B373" s="80" t="str">
        <v>Guadalupito</v>
      </c>
      <c r="C373" s="80" t="str">
        <v>Setiembre</v>
      </c>
      <c r="D373" s="81">
        <v>46264</v>
      </c>
      <c r="E373" s="79">
        <v>868.25279999999998</v>
      </c>
      <c r="F373" s="80">
        <v>46258</v>
      </c>
      <c r="G373" s="79" cm="1">
        <f t="array" ref="G373:X373">_xlfn._xlws.FILTER(Formulas!$C$2:$T$201, ISNUMBER(MATCH(Formulas!$B$2:$B$201, B373, 0)),0) * E373</f>
        <v>173.47690944000001</v>
      </c>
      <c r="H373" s="79">
        <v>573.82827552000003</v>
      </c>
      <c r="I373" s="79">
        <v>34.46963616</v>
      </c>
      <c r="J373" s="79">
        <v>0</v>
      </c>
      <c r="K373" s="79">
        <v>0</v>
      </c>
      <c r="L373" s="79">
        <v>0</v>
      </c>
      <c r="M373" s="79">
        <v>34.46963616</v>
      </c>
      <c r="N373" s="79">
        <v>52.008342720000002</v>
      </c>
      <c r="O373" s="79">
        <v>0</v>
      </c>
      <c r="P373" s="79">
        <v>0</v>
      </c>
      <c r="Q373" s="79">
        <v>0</v>
      </c>
      <c r="R373" s="79">
        <v>0</v>
      </c>
      <c r="S373" s="79">
        <v>0</v>
      </c>
      <c r="T373" s="79">
        <v>0</v>
      </c>
      <c r="U373" s="79">
        <v>0.86825280000000005</v>
      </c>
      <c r="V373" s="79">
        <v>0</v>
      </c>
      <c r="W373" s="79">
        <v>0</v>
      </c>
      <c r="X373" s="90">
        <v>0</v>
      </c>
    </row>
    <row r="374" spans="1:24" hidden="1" x14ac:dyDescent="0.25">
      <c r="A374" s="80" t="str">
        <v>PENDIENTE</v>
      </c>
      <c r="B374" s="80" t="str">
        <v>Guadalupito</v>
      </c>
      <c r="C374" s="80" t="str">
        <v>Octubre</v>
      </c>
      <c r="D374" s="81">
        <v>46295</v>
      </c>
      <c r="E374" s="79">
        <v>868.25279999999998</v>
      </c>
      <c r="F374" s="81">
        <v>46293</v>
      </c>
      <c r="G374" s="79" cm="1">
        <f t="array" ref="G374:X374">_xlfn._xlws.FILTER(Formulas!$C$2:$T$201, ISNUMBER(MATCH(Formulas!$B$2:$B$201, B374, 0)),0) * E374</f>
        <v>173.47690944000001</v>
      </c>
      <c r="H374" s="79">
        <v>573.82827552000003</v>
      </c>
      <c r="I374" s="79">
        <v>34.46963616</v>
      </c>
      <c r="J374" s="79">
        <v>0</v>
      </c>
      <c r="K374" s="79">
        <v>0</v>
      </c>
      <c r="L374" s="79">
        <v>0</v>
      </c>
      <c r="M374" s="79">
        <v>34.46963616</v>
      </c>
      <c r="N374" s="79">
        <v>52.008342720000002</v>
      </c>
      <c r="O374" s="79">
        <v>0</v>
      </c>
      <c r="P374" s="79">
        <v>0</v>
      </c>
      <c r="Q374" s="79">
        <v>0</v>
      </c>
      <c r="R374" s="79">
        <v>0</v>
      </c>
      <c r="S374" s="79">
        <v>0</v>
      </c>
      <c r="T374" s="79">
        <v>0</v>
      </c>
      <c r="U374" s="79">
        <v>0.86825280000000005</v>
      </c>
      <c r="V374" s="79">
        <v>0</v>
      </c>
      <c r="W374" s="79">
        <v>0</v>
      </c>
      <c r="X374" s="90">
        <v>0</v>
      </c>
    </row>
    <row r="375" spans="1:24" hidden="1" x14ac:dyDescent="0.25">
      <c r="A375" s="80" t="str">
        <v>PENDIENTE</v>
      </c>
      <c r="B375" s="80" t="str">
        <v>Guadalupito</v>
      </c>
      <c r="C375" s="80" t="str">
        <v>Noviembre</v>
      </c>
      <c r="D375" s="81">
        <v>46325</v>
      </c>
      <c r="E375" s="79">
        <v>868.25279999999998</v>
      </c>
      <c r="F375" s="81">
        <v>0</v>
      </c>
      <c r="G375" s="79" cm="1">
        <f t="array" ref="G375:X375">_xlfn._xlws.FILTER(Formulas!$C$2:$T$201, ISNUMBER(MATCH(Formulas!$B$2:$B$201, B375, 0)),0) * E375</f>
        <v>173.47690944000001</v>
      </c>
      <c r="H375" s="79">
        <v>573.82827552000003</v>
      </c>
      <c r="I375" s="79">
        <v>34.46963616</v>
      </c>
      <c r="J375" s="79">
        <v>0</v>
      </c>
      <c r="K375" s="79">
        <v>0</v>
      </c>
      <c r="L375" s="79">
        <v>0</v>
      </c>
      <c r="M375" s="79">
        <v>34.46963616</v>
      </c>
      <c r="N375" s="79">
        <v>52.008342720000002</v>
      </c>
      <c r="O375" s="79">
        <v>0</v>
      </c>
      <c r="P375" s="79">
        <v>0</v>
      </c>
      <c r="Q375" s="79">
        <v>0</v>
      </c>
      <c r="R375" s="79">
        <v>0</v>
      </c>
      <c r="S375" s="79">
        <v>0</v>
      </c>
      <c r="T375" s="79">
        <v>0</v>
      </c>
      <c r="U375" s="79">
        <v>0.86825280000000005</v>
      </c>
      <c r="V375" s="79">
        <v>0</v>
      </c>
      <c r="W375" s="79">
        <v>0</v>
      </c>
      <c r="X375" s="90">
        <v>0</v>
      </c>
    </row>
    <row r="376" spans="1:24" hidden="1" x14ac:dyDescent="0.25">
      <c r="A376" s="80" t="str">
        <v>PENDIENTE</v>
      </c>
      <c r="B376" s="80" t="str">
        <v>Guadalupito</v>
      </c>
      <c r="C376" s="80" t="str">
        <v>Diciembre</v>
      </c>
      <c r="D376" s="81">
        <v>46356</v>
      </c>
      <c r="E376" s="79">
        <v>868.25279999999998</v>
      </c>
      <c r="F376" s="81">
        <v>0</v>
      </c>
      <c r="G376" s="79" cm="1">
        <f t="array" ref="G376:X376">_xlfn._xlws.FILTER(Formulas!$C$2:$T$201, ISNUMBER(MATCH(Formulas!$B$2:$B$201, B376, 0)),0) * E376</f>
        <v>173.47690944000001</v>
      </c>
      <c r="H376" s="79">
        <v>573.82827552000003</v>
      </c>
      <c r="I376" s="79">
        <v>34.46963616</v>
      </c>
      <c r="J376" s="79">
        <v>0</v>
      </c>
      <c r="K376" s="79">
        <v>0</v>
      </c>
      <c r="L376" s="79">
        <v>0</v>
      </c>
      <c r="M376" s="79">
        <v>34.46963616</v>
      </c>
      <c r="N376" s="79">
        <v>52.008342720000002</v>
      </c>
      <c r="O376" s="79">
        <v>0</v>
      </c>
      <c r="P376" s="79">
        <v>0</v>
      </c>
      <c r="Q376" s="79">
        <v>0</v>
      </c>
      <c r="R376" s="79">
        <v>0</v>
      </c>
      <c r="S376" s="79">
        <v>0</v>
      </c>
      <c r="T376" s="79">
        <v>0</v>
      </c>
      <c r="U376" s="79">
        <v>0.86825280000000005</v>
      </c>
      <c r="V376" s="79">
        <v>0</v>
      </c>
      <c r="W376" s="79">
        <v>0</v>
      </c>
      <c r="X376" s="90">
        <v>0</v>
      </c>
    </row>
    <row r="377" spans="1:24" hidden="1" x14ac:dyDescent="0.25">
      <c r="A377" s="80" t="str">
        <v>PENDIENTE</v>
      </c>
      <c r="B377" s="80" t="str">
        <v>Huabal</v>
      </c>
      <c r="C377" s="80" t="str">
        <v>Enero</v>
      </c>
      <c r="D377" s="81">
        <v>46034</v>
      </c>
      <c r="E377" s="79">
        <v>1433</v>
      </c>
      <c r="F377" s="81">
        <v>46027</v>
      </c>
      <c r="G377" s="79" cm="1">
        <f t="array" ref="G377:X377">_xlfn._xlws.FILTER(Formulas!$C$2:$T$201, ISNUMBER(MATCH(Formulas!$B$2:$B$201, B377, 0)),0) * E377</f>
        <v>287</v>
      </c>
      <c r="H377" s="79">
        <v>982.5</v>
      </c>
      <c r="I377" s="79">
        <v>54.5</v>
      </c>
      <c r="J377" s="79">
        <v>54.5</v>
      </c>
      <c r="K377" s="79">
        <v>0</v>
      </c>
      <c r="L377" s="79">
        <v>0</v>
      </c>
      <c r="M377" s="79">
        <v>54.5</v>
      </c>
      <c r="N377" s="79">
        <v>0</v>
      </c>
      <c r="O377" s="79">
        <v>0</v>
      </c>
      <c r="P377" s="79">
        <v>0</v>
      </c>
      <c r="Q377" s="79">
        <v>0</v>
      </c>
      <c r="R377" s="79">
        <v>0</v>
      </c>
      <c r="S377" s="79">
        <v>0</v>
      </c>
      <c r="T377" s="79">
        <v>0</v>
      </c>
      <c r="U377" s="79">
        <v>0</v>
      </c>
      <c r="V377" s="79">
        <v>0</v>
      </c>
      <c r="W377" s="79">
        <v>0</v>
      </c>
      <c r="X377" s="90">
        <v>0</v>
      </c>
    </row>
    <row r="378" spans="1:24" hidden="1" x14ac:dyDescent="0.25">
      <c r="A378" s="80" t="str">
        <v>PENDIENTE</v>
      </c>
      <c r="B378" s="80" t="str">
        <v>Huabal</v>
      </c>
      <c r="C378" s="80" t="str">
        <v>Febrero</v>
      </c>
      <c r="D378" s="81">
        <v>46034</v>
      </c>
      <c r="E378" s="79">
        <v>1433</v>
      </c>
      <c r="F378" s="81">
        <v>46027</v>
      </c>
      <c r="G378" s="79" cm="1">
        <f t="array" ref="G378:X378">_xlfn._xlws.FILTER(Formulas!$C$2:$T$201, ISNUMBER(MATCH(Formulas!$B$2:$B$201, B378, 0)),0) * E378</f>
        <v>287</v>
      </c>
      <c r="H378" s="79">
        <v>982.5</v>
      </c>
      <c r="I378" s="79">
        <v>54.5</v>
      </c>
      <c r="J378" s="79">
        <v>54.5</v>
      </c>
      <c r="K378" s="79">
        <v>0</v>
      </c>
      <c r="L378" s="79">
        <v>0</v>
      </c>
      <c r="M378" s="79">
        <v>54.5</v>
      </c>
      <c r="N378" s="79">
        <v>0</v>
      </c>
      <c r="O378" s="79">
        <v>0</v>
      </c>
      <c r="P378" s="79">
        <v>0</v>
      </c>
      <c r="Q378" s="79">
        <v>0</v>
      </c>
      <c r="R378" s="79">
        <v>0</v>
      </c>
      <c r="S378" s="79">
        <v>0</v>
      </c>
      <c r="T378" s="79">
        <v>0</v>
      </c>
      <c r="U378" s="79">
        <v>0</v>
      </c>
      <c r="V378" s="79">
        <v>0</v>
      </c>
      <c r="W378" s="79">
        <v>0</v>
      </c>
      <c r="X378" s="90">
        <v>0</v>
      </c>
    </row>
    <row r="379" spans="1:24" hidden="1" x14ac:dyDescent="0.25">
      <c r="A379" s="80" t="str">
        <v>PENDIENTE</v>
      </c>
      <c r="B379" s="80" t="str">
        <v>Huabal</v>
      </c>
      <c r="C379" s="80" t="str">
        <v>Marzo</v>
      </c>
      <c r="D379" s="81">
        <v>46065</v>
      </c>
      <c r="E379" s="79">
        <v>1433</v>
      </c>
      <c r="F379" s="81">
        <v>46091</v>
      </c>
      <c r="G379" s="79" cm="1">
        <f t="array" ref="G379:X379">_xlfn._xlws.FILTER(Formulas!$C$2:$T$201, ISNUMBER(MATCH(Formulas!$B$2:$B$201, B379, 0)),0) * E379</f>
        <v>287</v>
      </c>
      <c r="H379" s="79">
        <v>982.5</v>
      </c>
      <c r="I379" s="79">
        <v>54.5</v>
      </c>
      <c r="J379" s="79">
        <v>54.5</v>
      </c>
      <c r="K379" s="79">
        <v>0</v>
      </c>
      <c r="L379" s="79">
        <v>0</v>
      </c>
      <c r="M379" s="79">
        <v>54.5</v>
      </c>
      <c r="N379" s="79">
        <v>0</v>
      </c>
      <c r="O379" s="79">
        <v>0</v>
      </c>
      <c r="P379" s="79">
        <v>0</v>
      </c>
      <c r="Q379" s="79">
        <v>0</v>
      </c>
      <c r="R379" s="79">
        <v>0</v>
      </c>
      <c r="S379" s="79">
        <v>0</v>
      </c>
      <c r="T379" s="79">
        <v>0</v>
      </c>
      <c r="U379" s="79">
        <v>0</v>
      </c>
      <c r="V379" s="79">
        <v>0</v>
      </c>
      <c r="W379" s="79">
        <v>0</v>
      </c>
      <c r="X379" s="90">
        <v>0</v>
      </c>
    </row>
    <row r="380" spans="1:24" hidden="1" x14ac:dyDescent="0.25">
      <c r="A380" s="80" t="str">
        <v>PENDIENTE</v>
      </c>
      <c r="B380" s="80" t="str">
        <v>Huabal</v>
      </c>
      <c r="C380" s="80" t="str">
        <v>Abril</v>
      </c>
      <c r="D380" s="81">
        <v>46093</v>
      </c>
      <c r="E380" s="79">
        <v>1433</v>
      </c>
      <c r="F380" s="81">
        <v>46091</v>
      </c>
      <c r="G380" s="79" cm="1">
        <f t="array" ref="G380:X380">_xlfn._xlws.FILTER(Formulas!$C$2:$T$201, ISNUMBER(MATCH(Formulas!$B$2:$B$201, B380, 0)),0) * E380</f>
        <v>287</v>
      </c>
      <c r="H380" s="79">
        <v>982.5</v>
      </c>
      <c r="I380" s="79">
        <v>54.5</v>
      </c>
      <c r="J380" s="79">
        <v>54.5</v>
      </c>
      <c r="K380" s="79">
        <v>0</v>
      </c>
      <c r="L380" s="79">
        <v>0</v>
      </c>
      <c r="M380" s="79">
        <v>54.5</v>
      </c>
      <c r="N380" s="79">
        <v>0</v>
      </c>
      <c r="O380" s="79">
        <v>0</v>
      </c>
      <c r="P380" s="79">
        <v>0</v>
      </c>
      <c r="Q380" s="79">
        <v>0</v>
      </c>
      <c r="R380" s="79">
        <v>0</v>
      </c>
      <c r="S380" s="79">
        <v>0</v>
      </c>
      <c r="T380" s="79">
        <v>0</v>
      </c>
      <c r="U380" s="79">
        <v>0</v>
      </c>
      <c r="V380" s="79">
        <v>0</v>
      </c>
      <c r="W380" s="79">
        <v>0</v>
      </c>
      <c r="X380" s="90">
        <v>0</v>
      </c>
    </row>
    <row r="381" spans="1:24" hidden="1" x14ac:dyDescent="0.25">
      <c r="A381" s="80" t="str">
        <v>PENDIENTE</v>
      </c>
      <c r="B381" s="80" t="str">
        <v>Huabal</v>
      </c>
      <c r="C381" s="80" t="str">
        <v>Mayo</v>
      </c>
      <c r="D381" s="81">
        <v>46155</v>
      </c>
      <c r="E381" s="79">
        <v>1433</v>
      </c>
      <c r="F381" s="81">
        <v>46146</v>
      </c>
      <c r="G381" s="79" cm="1">
        <f t="array" ref="G381:X381">_xlfn._xlws.FILTER(Formulas!$C$2:$T$201, ISNUMBER(MATCH(Formulas!$B$2:$B$201, B381, 0)),0) * E381</f>
        <v>287</v>
      </c>
      <c r="H381" s="79">
        <v>982.5</v>
      </c>
      <c r="I381" s="79">
        <v>54.5</v>
      </c>
      <c r="J381" s="79">
        <v>54.5</v>
      </c>
      <c r="K381" s="79">
        <v>0</v>
      </c>
      <c r="L381" s="79">
        <v>0</v>
      </c>
      <c r="M381" s="79">
        <v>54.5</v>
      </c>
      <c r="N381" s="79">
        <v>0</v>
      </c>
      <c r="O381" s="79">
        <v>0</v>
      </c>
      <c r="P381" s="79">
        <v>0</v>
      </c>
      <c r="Q381" s="79">
        <v>0</v>
      </c>
      <c r="R381" s="79">
        <v>0</v>
      </c>
      <c r="S381" s="79">
        <v>0</v>
      </c>
      <c r="T381" s="79">
        <v>0</v>
      </c>
      <c r="U381" s="79">
        <v>0</v>
      </c>
      <c r="V381" s="79">
        <v>0</v>
      </c>
      <c r="W381" s="79">
        <v>0</v>
      </c>
      <c r="X381" s="90">
        <v>0</v>
      </c>
    </row>
    <row r="382" spans="1:24" hidden="1" x14ac:dyDescent="0.25">
      <c r="A382" s="80" t="str">
        <v>PENDIENTE</v>
      </c>
      <c r="B382" s="80" t="str">
        <v>Huabal</v>
      </c>
      <c r="C382" s="80" t="str">
        <v>Junio</v>
      </c>
      <c r="D382" s="81">
        <v>46155</v>
      </c>
      <c r="E382" s="79">
        <v>1433</v>
      </c>
      <c r="F382" s="81">
        <v>46146</v>
      </c>
      <c r="G382" s="79" cm="1">
        <f t="array" ref="G382:X382">_xlfn._xlws.FILTER(Formulas!$C$2:$T$201, ISNUMBER(MATCH(Formulas!$B$2:$B$201, B382, 0)),0) * E382</f>
        <v>287</v>
      </c>
      <c r="H382" s="79">
        <v>982.5</v>
      </c>
      <c r="I382" s="79">
        <v>54.5</v>
      </c>
      <c r="J382" s="79">
        <v>54.5</v>
      </c>
      <c r="K382" s="79">
        <v>0</v>
      </c>
      <c r="L382" s="79">
        <v>0</v>
      </c>
      <c r="M382" s="79">
        <v>54.5</v>
      </c>
      <c r="N382" s="79">
        <v>0</v>
      </c>
      <c r="O382" s="79">
        <v>0</v>
      </c>
      <c r="P382" s="79">
        <v>0</v>
      </c>
      <c r="Q382" s="79">
        <v>0</v>
      </c>
      <c r="R382" s="79">
        <v>0</v>
      </c>
      <c r="S382" s="79">
        <v>0</v>
      </c>
      <c r="T382" s="79">
        <v>0</v>
      </c>
      <c r="U382" s="79">
        <v>0</v>
      </c>
      <c r="V382" s="79">
        <v>0</v>
      </c>
      <c r="W382" s="79">
        <v>0</v>
      </c>
      <c r="X382" s="90">
        <v>0</v>
      </c>
    </row>
    <row r="383" spans="1:24" hidden="1" x14ac:dyDescent="0.25">
      <c r="A383" s="80" t="str">
        <v>PENDIENTE</v>
      </c>
      <c r="B383" s="80" t="str">
        <v>Huabal</v>
      </c>
      <c r="C383" s="80" t="str">
        <v>Julio / Agosto</v>
      </c>
      <c r="D383" s="81">
        <v>46216</v>
      </c>
      <c r="E383" s="79">
        <v>1166</v>
      </c>
      <c r="F383" s="80">
        <v>46216</v>
      </c>
      <c r="G383" s="79" cm="1">
        <f t="array" ref="G383:X383">_xlfn._xlws.FILTER(Formulas!$C$2:$T$201, ISNUMBER(MATCH(Formulas!$B$2:$B$201, B383, 0)),0) * E383</f>
        <v>233.52547103977668</v>
      </c>
      <c r="H383" s="79">
        <v>799.43824145150029</v>
      </c>
      <c r="I383" s="79">
        <v>44.345429169574324</v>
      </c>
      <c r="J383" s="79">
        <v>44.345429169574324</v>
      </c>
      <c r="K383" s="79">
        <v>0</v>
      </c>
      <c r="L383" s="79">
        <v>0</v>
      </c>
      <c r="M383" s="79">
        <v>44.345429169574324</v>
      </c>
      <c r="N383" s="79">
        <v>0</v>
      </c>
      <c r="O383" s="79">
        <v>0</v>
      </c>
      <c r="P383" s="79">
        <v>0</v>
      </c>
      <c r="Q383" s="79">
        <v>0</v>
      </c>
      <c r="R383" s="79">
        <v>0</v>
      </c>
      <c r="S383" s="79">
        <v>0</v>
      </c>
      <c r="T383" s="79">
        <v>0</v>
      </c>
      <c r="U383" s="79">
        <v>0</v>
      </c>
      <c r="V383" s="79">
        <v>0</v>
      </c>
      <c r="W383" s="79">
        <v>0</v>
      </c>
      <c r="X383" s="90">
        <v>0</v>
      </c>
    </row>
    <row r="384" spans="1:24" hidden="1" x14ac:dyDescent="0.25">
      <c r="A384" s="80" t="str">
        <v>PENDIENTE</v>
      </c>
      <c r="B384" s="80" t="str">
        <v>Huabal</v>
      </c>
      <c r="C384" s="80" t="str">
        <v>Setiembre</v>
      </c>
      <c r="D384" s="81">
        <v>46280</v>
      </c>
      <c r="E384" s="79">
        <v>1433</v>
      </c>
      <c r="F384" s="80">
        <v>46272</v>
      </c>
      <c r="G384" s="79" cm="1">
        <f t="array" ref="G384:X384">_xlfn._xlws.FILTER(Formulas!$C$2:$T$201, ISNUMBER(MATCH(Formulas!$B$2:$B$201, B384, 0)),0) * E384</f>
        <v>287</v>
      </c>
      <c r="H384" s="79">
        <v>982.5</v>
      </c>
      <c r="I384" s="79">
        <v>54.5</v>
      </c>
      <c r="J384" s="79">
        <v>54.5</v>
      </c>
      <c r="K384" s="79">
        <v>0</v>
      </c>
      <c r="L384" s="79">
        <v>0</v>
      </c>
      <c r="M384" s="79">
        <v>54.5</v>
      </c>
      <c r="N384" s="79">
        <v>0</v>
      </c>
      <c r="O384" s="79">
        <v>0</v>
      </c>
      <c r="P384" s="79">
        <v>0</v>
      </c>
      <c r="Q384" s="79">
        <v>0</v>
      </c>
      <c r="R384" s="79">
        <v>0</v>
      </c>
      <c r="S384" s="79">
        <v>0</v>
      </c>
      <c r="T384" s="79">
        <v>0</v>
      </c>
      <c r="U384" s="79">
        <v>0</v>
      </c>
      <c r="V384" s="79">
        <v>0</v>
      </c>
      <c r="W384" s="79">
        <v>0</v>
      </c>
      <c r="X384" s="90">
        <v>0</v>
      </c>
    </row>
    <row r="385" spans="1:24" hidden="1" x14ac:dyDescent="0.25">
      <c r="A385" s="80" t="str">
        <v>PENDIENTE</v>
      </c>
      <c r="B385" s="80" t="str">
        <v>Huabal</v>
      </c>
      <c r="C385" s="80" t="str">
        <v>Octubre</v>
      </c>
      <c r="D385" s="81">
        <v>46280</v>
      </c>
      <c r="E385" s="79">
        <v>1433</v>
      </c>
      <c r="F385" s="81">
        <v>46272</v>
      </c>
      <c r="G385" s="79" cm="1">
        <f t="array" ref="G385:X385">_xlfn._xlws.FILTER(Formulas!$C$2:$T$201, ISNUMBER(MATCH(Formulas!$B$2:$B$201, B385, 0)),0) * E385</f>
        <v>287</v>
      </c>
      <c r="H385" s="79">
        <v>982.5</v>
      </c>
      <c r="I385" s="79">
        <v>54.5</v>
      </c>
      <c r="J385" s="79">
        <v>54.5</v>
      </c>
      <c r="K385" s="79">
        <v>0</v>
      </c>
      <c r="L385" s="79">
        <v>0</v>
      </c>
      <c r="M385" s="79">
        <v>54.5</v>
      </c>
      <c r="N385" s="79">
        <v>0</v>
      </c>
      <c r="O385" s="79">
        <v>0</v>
      </c>
      <c r="P385" s="79">
        <v>0</v>
      </c>
      <c r="Q385" s="79">
        <v>0</v>
      </c>
      <c r="R385" s="79">
        <v>0</v>
      </c>
      <c r="S385" s="79">
        <v>0</v>
      </c>
      <c r="T385" s="79">
        <v>0</v>
      </c>
      <c r="U385" s="79">
        <v>0</v>
      </c>
      <c r="V385" s="79">
        <v>0</v>
      </c>
      <c r="W385" s="79">
        <v>0</v>
      </c>
      <c r="X385" s="90">
        <v>0</v>
      </c>
    </row>
    <row r="386" spans="1:24" hidden="1" x14ac:dyDescent="0.25">
      <c r="A386" s="80" t="str">
        <v>PENDIENTE</v>
      </c>
      <c r="B386" s="80" t="str">
        <v>Huabal</v>
      </c>
      <c r="C386" s="80" t="str">
        <v>Noviembre</v>
      </c>
      <c r="D386" s="81">
        <v>46298</v>
      </c>
      <c r="E386" s="79">
        <v>1433</v>
      </c>
      <c r="F386" s="81">
        <v>0</v>
      </c>
      <c r="G386" s="79" cm="1">
        <f t="array" ref="G386:X386">_xlfn._xlws.FILTER(Formulas!$C$2:$T$201, ISNUMBER(MATCH(Formulas!$B$2:$B$201, B386, 0)),0) * E386</f>
        <v>287</v>
      </c>
      <c r="H386" s="79">
        <v>982.5</v>
      </c>
      <c r="I386" s="79">
        <v>54.5</v>
      </c>
      <c r="J386" s="79">
        <v>54.5</v>
      </c>
      <c r="K386" s="79">
        <v>0</v>
      </c>
      <c r="L386" s="79">
        <v>0</v>
      </c>
      <c r="M386" s="79">
        <v>54.5</v>
      </c>
      <c r="N386" s="79">
        <v>0</v>
      </c>
      <c r="O386" s="79">
        <v>0</v>
      </c>
      <c r="P386" s="79">
        <v>0</v>
      </c>
      <c r="Q386" s="79">
        <v>0</v>
      </c>
      <c r="R386" s="79">
        <v>0</v>
      </c>
      <c r="S386" s="79">
        <v>0</v>
      </c>
      <c r="T386" s="79">
        <v>0</v>
      </c>
      <c r="U386" s="79">
        <v>0</v>
      </c>
      <c r="V386" s="79">
        <v>0</v>
      </c>
      <c r="W386" s="79">
        <v>0</v>
      </c>
      <c r="X386" s="90">
        <v>0</v>
      </c>
    </row>
    <row r="387" spans="1:24" hidden="1" x14ac:dyDescent="0.25">
      <c r="A387" s="80" t="str">
        <v>PENDIENTE</v>
      </c>
      <c r="B387" s="80" t="str">
        <v>Huabal</v>
      </c>
      <c r="C387" s="80" t="str">
        <v>Diciembre</v>
      </c>
      <c r="D387" s="81">
        <v>46329</v>
      </c>
      <c r="E387" s="79">
        <v>1433</v>
      </c>
      <c r="F387" s="81">
        <v>0</v>
      </c>
      <c r="G387" s="79" cm="1">
        <f t="array" ref="G387:X387">_xlfn._xlws.FILTER(Formulas!$C$2:$T$201, ISNUMBER(MATCH(Formulas!$B$2:$B$201, B387, 0)),0) * E387</f>
        <v>287</v>
      </c>
      <c r="H387" s="79">
        <v>982.5</v>
      </c>
      <c r="I387" s="79">
        <v>54.5</v>
      </c>
      <c r="J387" s="79">
        <v>54.5</v>
      </c>
      <c r="K387" s="79">
        <v>0</v>
      </c>
      <c r="L387" s="79">
        <v>0</v>
      </c>
      <c r="M387" s="79">
        <v>54.5</v>
      </c>
      <c r="N387" s="79">
        <v>0</v>
      </c>
      <c r="O387" s="79">
        <v>0</v>
      </c>
      <c r="P387" s="79">
        <v>0</v>
      </c>
      <c r="Q387" s="79">
        <v>0</v>
      </c>
      <c r="R387" s="79">
        <v>0</v>
      </c>
      <c r="S387" s="79">
        <v>0</v>
      </c>
      <c r="T387" s="79">
        <v>0</v>
      </c>
      <c r="U387" s="79">
        <v>0</v>
      </c>
      <c r="V387" s="79">
        <v>0</v>
      </c>
      <c r="W387" s="79">
        <v>0</v>
      </c>
      <c r="X387" s="90">
        <v>0</v>
      </c>
    </row>
    <row r="388" spans="1:24" hidden="1" x14ac:dyDescent="0.25">
      <c r="A388" s="80" t="str">
        <v>PENDIENTE</v>
      </c>
      <c r="B388" s="80" t="str">
        <v>Hualgayoc</v>
      </c>
      <c r="C388" s="80" t="str">
        <v>Enero / Febrero / Marzo</v>
      </c>
      <c r="D388" s="81">
        <v>46037</v>
      </c>
      <c r="E388" s="79">
        <v>11807.73294</v>
      </c>
      <c r="F388" s="80">
        <v>46047</v>
      </c>
      <c r="G388" s="79" cm="1">
        <f t="array" ref="G388:X388">_xlfn._xlws.FILTER(Formulas!$C$2:$T$201, ISNUMBER(MATCH(Formulas!$B$2:$B$201, B388, 0)),0) * E388</f>
        <v>2361.9465789532519</v>
      </c>
      <c r="H388" s="79">
        <v>7730.8251489786589</v>
      </c>
      <c r="I388" s="79">
        <v>354.99197101117886</v>
      </c>
      <c r="J388" s="79">
        <v>354.99197101117886</v>
      </c>
      <c r="K388" s="79">
        <v>0</v>
      </c>
      <c r="L388" s="79">
        <v>0</v>
      </c>
      <c r="M388" s="79">
        <v>354.99197101117886</v>
      </c>
      <c r="N388" s="79">
        <v>649.9852990345529</v>
      </c>
      <c r="O388" s="79">
        <v>0</v>
      </c>
      <c r="P388" s="79">
        <v>0</v>
      </c>
      <c r="Q388" s="79">
        <v>0</v>
      </c>
      <c r="R388" s="79">
        <v>0</v>
      </c>
      <c r="S388" s="79">
        <v>0</v>
      </c>
      <c r="T388" s="79">
        <v>0</v>
      </c>
      <c r="U388" s="79">
        <v>11.807732939999999</v>
      </c>
      <c r="V388" s="79">
        <v>0</v>
      </c>
      <c r="W388" s="79">
        <v>0</v>
      </c>
      <c r="X388" s="90">
        <v>0</v>
      </c>
    </row>
    <row r="389" spans="1:24" hidden="1" x14ac:dyDescent="0.25">
      <c r="A389" s="80" t="str">
        <v>PENDIENTE</v>
      </c>
      <c r="B389" s="80" t="str">
        <v>Hualgayoc</v>
      </c>
      <c r="C389" s="80" t="str">
        <v>Abril / Mayo / Junio</v>
      </c>
      <c r="D389" s="81">
        <v>46096</v>
      </c>
      <c r="E389" s="79">
        <v>11807.73294</v>
      </c>
      <c r="F389" s="81">
        <v>46102</v>
      </c>
      <c r="G389" s="79" cm="1">
        <f t="array" ref="G389:X389">_xlfn._xlws.FILTER(Formulas!$C$2:$T$201, ISNUMBER(MATCH(Formulas!$B$2:$B$201, B389, 0)),0) * E389</f>
        <v>2361.9465789532519</v>
      </c>
      <c r="H389" s="79">
        <v>7730.8251489786589</v>
      </c>
      <c r="I389" s="79">
        <v>354.99197101117886</v>
      </c>
      <c r="J389" s="79">
        <v>354.99197101117886</v>
      </c>
      <c r="K389" s="79">
        <v>0</v>
      </c>
      <c r="L389" s="79">
        <v>0</v>
      </c>
      <c r="M389" s="79">
        <v>354.99197101117886</v>
      </c>
      <c r="N389" s="79">
        <v>649.9852990345529</v>
      </c>
      <c r="O389" s="79">
        <v>0</v>
      </c>
      <c r="P389" s="79">
        <v>0</v>
      </c>
      <c r="Q389" s="79">
        <v>0</v>
      </c>
      <c r="R389" s="79">
        <v>0</v>
      </c>
      <c r="S389" s="79">
        <v>0</v>
      </c>
      <c r="T389" s="79">
        <v>0</v>
      </c>
      <c r="U389" s="79">
        <v>11.807732939999999</v>
      </c>
      <c r="V389" s="79">
        <v>0</v>
      </c>
      <c r="W389" s="79">
        <v>0</v>
      </c>
      <c r="X389" s="90">
        <v>0</v>
      </c>
    </row>
    <row r="390" spans="1:24" hidden="1" x14ac:dyDescent="0.25">
      <c r="A390" s="80" t="str">
        <v>PENDIENTE</v>
      </c>
      <c r="B390" s="80" t="str">
        <v>Hualgayoc</v>
      </c>
      <c r="C390" s="80" t="str">
        <v>Julio / Agosto / Septiembre</v>
      </c>
      <c r="D390" s="81">
        <v>46188</v>
      </c>
      <c r="E390" s="79">
        <v>11807.73294</v>
      </c>
      <c r="F390" s="81">
        <v>46185</v>
      </c>
      <c r="G390" s="79" cm="1">
        <f t="array" ref="G390:X390">_xlfn._xlws.FILTER(Formulas!$C$2:$T$201, ISNUMBER(MATCH(Formulas!$B$2:$B$201, B390, 0)),0) * E390</f>
        <v>2361.9465789532519</v>
      </c>
      <c r="H390" s="79">
        <v>7730.8251489786589</v>
      </c>
      <c r="I390" s="79">
        <v>354.99197101117886</v>
      </c>
      <c r="J390" s="79">
        <v>354.99197101117886</v>
      </c>
      <c r="K390" s="79">
        <v>0</v>
      </c>
      <c r="L390" s="79">
        <v>0</v>
      </c>
      <c r="M390" s="79">
        <v>354.99197101117886</v>
      </c>
      <c r="N390" s="79">
        <v>649.9852990345529</v>
      </c>
      <c r="O390" s="79">
        <v>0</v>
      </c>
      <c r="P390" s="79">
        <v>0</v>
      </c>
      <c r="Q390" s="79">
        <v>0</v>
      </c>
      <c r="R390" s="79">
        <v>0</v>
      </c>
      <c r="S390" s="79">
        <v>0</v>
      </c>
      <c r="T390" s="79">
        <v>0</v>
      </c>
      <c r="U390" s="79">
        <v>11.807732939999999</v>
      </c>
      <c r="V390" s="79">
        <v>0</v>
      </c>
      <c r="W390" s="79">
        <v>0</v>
      </c>
      <c r="X390" s="90">
        <v>0</v>
      </c>
    </row>
    <row r="391" spans="1:24" hidden="1" x14ac:dyDescent="0.25">
      <c r="A391" s="80" t="str">
        <v>PENDIENTE</v>
      </c>
      <c r="B391" s="80" t="str">
        <v>Hualgayoc</v>
      </c>
      <c r="C391" s="80" t="str">
        <v>O.C.</v>
      </c>
      <c r="D391" s="81">
        <v>46285</v>
      </c>
      <c r="E391" s="79">
        <v>3259.201</v>
      </c>
      <c r="F391" s="81">
        <v>46285</v>
      </c>
      <c r="G391" s="79" cm="1">
        <f t="array" ref="G391:X391">_xlfn._xlws.FILTER(Formulas!$C$2:$T$201, ISNUMBER(MATCH(Formulas!$B$2:$B$201, B391, 0)),0) * E391</f>
        <v>651.95060653794042</v>
      </c>
      <c r="H391" s="79">
        <v>2133.8823620426833</v>
      </c>
      <c r="I391" s="79">
        <v>97.985802422086721</v>
      </c>
      <c r="J391" s="79">
        <v>97.985802422086721</v>
      </c>
      <c r="K391" s="79">
        <v>0</v>
      </c>
      <c r="L391" s="79">
        <v>0</v>
      </c>
      <c r="M391" s="79">
        <v>97.985802422086721</v>
      </c>
      <c r="N391" s="79">
        <v>179.41062415311654</v>
      </c>
      <c r="O391" s="79">
        <v>0</v>
      </c>
      <c r="P391" s="79">
        <v>0</v>
      </c>
      <c r="Q391" s="79">
        <v>0</v>
      </c>
      <c r="R391" s="79">
        <v>0</v>
      </c>
      <c r="S391" s="79">
        <v>0</v>
      </c>
      <c r="T391" s="79">
        <v>0</v>
      </c>
      <c r="U391" s="79">
        <v>3.259201</v>
      </c>
      <c r="V391" s="79">
        <v>0</v>
      </c>
      <c r="W391" s="79">
        <v>0</v>
      </c>
      <c r="X391" s="90">
        <v>0</v>
      </c>
    </row>
    <row r="392" spans="1:24" hidden="1" x14ac:dyDescent="0.25">
      <c r="A392" s="80" t="str">
        <v>PENDIENTE</v>
      </c>
      <c r="B392" s="80" t="str">
        <v>Hualgayoc</v>
      </c>
      <c r="C392" s="80" t="str">
        <v>Octubre / Noviembre / Diciembre</v>
      </c>
      <c r="D392" s="81">
        <v>46280</v>
      </c>
      <c r="E392" s="79">
        <v>11807.73294</v>
      </c>
      <c r="F392" s="81">
        <v>46285</v>
      </c>
      <c r="G392" s="79" cm="1">
        <f t="array" ref="G392:X392">_xlfn._xlws.FILTER(Formulas!$C$2:$T$201, ISNUMBER(MATCH(Formulas!$B$2:$B$201, B392, 0)),0) * E392</f>
        <v>2361.9465789532519</v>
      </c>
      <c r="H392" s="79">
        <v>7730.8251489786589</v>
      </c>
      <c r="I392" s="79">
        <v>354.99197101117886</v>
      </c>
      <c r="J392" s="79">
        <v>354.99197101117886</v>
      </c>
      <c r="K392" s="79">
        <v>0</v>
      </c>
      <c r="L392" s="79">
        <v>0</v>
      </c>
      <c r="M392" s="79">
        <v>354.99197101117886</v>
      </c>
      <c r="N392" s="79">
        <v>649.9852990345529</v>
      </c>
      <c r="O392" s="79">
        <v>0</v>
      </c>
      <c r="P392" s="79">
        <v>0</v>
      </c>
      <c r="Q392" s="79">
        <v>0</v>
      </c>
      <c r="R392" s="79">
        <v>0</v>
      </c>
      <c r="S392" s="79">
        <v>0</v>
      </c>
      <c r="T392" s="79">
        <v>0</v>
      </c>
      <c r="U392" s="79">
        <v>11.807732939999999</v>
      </c>
      <c r="V392" s="79">
        <v>0</v>
      </c>
      <c r="W392" s="79">
        <v>0</v>
      </c>
      <c r="X392" s="90">
        <v>0</v>
      </c>
    </row>
    <row r="393" spans="1:24" hidden="1" x14ac:dyDescent="0.25">
      <c r="A393" s="80" t="str">
        <v>PENDIENTE</v>
      </c>
      <c r="B393" s="80" t="str">
        <v>Huamachuco</v>
      </c>
      <c r="C393" s="80" t="str">
        <v>Enero</v>
      </c>
      <c r="D393" s="81">
        <v>46022</v>
      </c>
      <c r="E393" s="79">
        <v>4606.8</v>
      </c>
      <c r="F393" s="81">
        <v>45995</v>
      </c>
      <c r="G393" s="79" cm="1">
        <f t="array" ref="G393:X393">_xlfn._xlws.FILTER(Formulas!$C$2:$T$201, ISNUMBER(MATCH(Formulas!$B$2:$B$201, B393, 0)),0) * E393</f>
        <v>575.97499457347521</v>
      </c>
      <c r="H393" s="79">
        <v>1704.9259822009985</v>
      </c>
      <c r="I393" s="79">
        <v>206.99101367484263</v>
      </c>
      <c r="J393" s="79">
        <v>206.99101367484263</v>
      </c>
      <c r="K393" s="79">
        <v>0</v>
      </c>
      <c r="L393" s="79">
        <v>0</v>
      </c>
      <c r="M393" s="79">
        <v>206.99101367484263</v>
      </c>
      <c r="N393" s="79">
        <v>0</v>
      </c>
      <c r="O393" s="79">
        <v>1704.9259822009985</v>
      </c>
      <c r="P393" s="79">
        <v>0</v>
      </c>
      <c r="Q393" s="79">
        <v>0</v>
      </c>
      <c r="R393" s="79">
        <v>0</v>
      </c>
      <c r="S393" s="79">
        <v>0</v>
      </c>
      <c r="T393" s="79">
        <v>0</v>
      </c>
      <c r="U393" s="79">
        <v>0</v>
      </c>
      <c r="V393" s="79">
        <v>0</v>
      </c>
      <c r="W393" s="79">
        <v>0</v>
      </c>
      <c r="X393" s="90">
        <v>0</v>
      </c>
    </row>
    <row r="394" spans="1:24" hidden="1" x14ac:dyDescent="0.25">
      <c r="A394" s="80" t="str">
        <v>PENDIENTE</v>
      </c>
      <c r="B394" s="80" t="str">
        <v>Huamachuco</v>
      </c>
      <c r="C394" s="80" t="str">
        <v>Febrero</v>
      </c>
      <c r="D394" s="81">
        <v>46045</v>
      </c>
      <c r="E394" s="79">
        <v>4606.8</v>
      </c>
      <c r="F394" s="81">
        <v>46037</v>
      </c>
      <c r="G394" s="79" cm="1">
        <f t="array" ref="G394:X394">_xlfn._xlws.FILTER(Formulas!$C$2:$T$201, ISNUMBER(MATCH(Formulas!$B$2:$B$201, B394, 0)),0) * E394</f>
        <v>575.97499457347521</v>
      </c>
      <c r="H394" s="79">
        <v>1704.9259822009985</v>
      </c>
      <c r="I394" s="79">
        <v>206.99101367484263</v>
      </c>
      <c r="J394" s="79">
        <v>206.99101367484263</v>
      </c>
      <c r="K394" s="79">
        <v>0</v>
      </c>
      <c r="L394" s="79">
        <v>0</v>
      </c>
      <c r="M394" s="79">
        <v>206.99101367484263</v>
      </c>
      <c r="N394" s="79">
        <v>0</v>
      </c>
      <c r="O394" s="79">
        <v>1704.9259822009985</v>
      </c>
      <c r="P394" s="79">
        <v>0</v>
      </c>
      <c r="Q394" s="79">
        <v>0</v>
      </c>
      <c r="R394" s="79">
        <v>0</v>
      </c>
      <c r="S394" s="79">
        <v>0</v>
      </c>
      <c r="T394" s="79">
        <v>0</v>
      </c>
      <c r="U394" s="79">
        <v>0</v>
      </c>
      <c r="V394" s="79">
        <v>0</v>
      </c>
      <c r="W394" s="79">
        <v>0</v>
      </c>
      <c r="X394" s="90">
        <v>0</v>
      </c>
    </row>
    <row r="395" spans="1:24" hidden="1" x14ac:dyDescent="0.25">
      <c r="A395" s="80" t="str">
        <v>PENDIENTE</v>
      </c>
      <c r="B395" s="80" t="str">
        <v>Huamachuco</v>
      </c>
      <c r="C395" s="80" t="str">
        <v>Marzo</v>
      </c>
      <c r="D395" s="81">
        <v>46073</v>
      </c>
      <c r="E395" s="79">
        <v>4606.8</v>
      </c>
      <c r="F395" s="81">
        <v>46065</v>
      </c>
      <c r="G395" s="79" cm="1">
        <f t="array" ref="G395:X395">_xlfn._xlws.FILTER(Formulas!$C$2:$T$201, ISNUMBER(MATCH(Formulas!$B$2:$B$201, B395, 0)),0) * E395</f>
        <v>575.97499457347521</v>
      </c>
      <c r="H395" s="79">
        <v>1704.9259822009985</v>
      </c>
      <c r="I395" s="79">
        <v>206.99101367484263</v>
      </c>
      <c r="J395" s="79">
        <v>206.99101367484263</v>
      </c>
      <c r="K395" s="79">
        <v>0</v>
      </c>
      <c r="L395" s="79">
        <v>0</v>
      </c>
      <c r="M395" s="79">
        <v>206.99101367484263</v>
      </c>
      <c r="N395" s="79">
        <v>0</v>
      </c>
      <c r="O395" s="79">
        <v>1704.9259822009985</v>
      </c>
      <c r="P395" s="79">
        <v>0</v>
      </c>
      <c r="Q395" s="79">
        <v>0</v>
      </c>
      <c r="R395" s="79">
        <v>0</v>
      </c>
      <c r="S395" s="79">
        <v>0</v>
      </c>
      <c r="T395" s="79">
        <v>0</v>
      </c>
      <c r="U395" s="79">
        <v>0</v>
      </c>
      <c r="V395" s="79">
        <v>0</v>
      </c>
      <c r="W395" s="79">
        <v>0</v>
      </c>
      <c r="X395" s="90">
        <v>0</v>
      </c>
    </row>
    <row r="396" spans="1:24" hidden="1" x14ac:dyDescent="0.25">
      <c r="A396" s="80" t="str">
        <v>PENDIENTE</v>
      </c>
      <c r="B396" s="80" t="str">
        <v>Huamachuco</v>
      </c>
      <c r="C396" s="80" t="str">
        <v>Abril</v>
      </c>
      <c r="D396" s="81">
        <v>46106</v>
      </c>
      <c r="E396" s="79">
        <v>4606.8</v>
      </c>
      <c r="F396" s="81">
        <v>46101</v>
      </c>
      <c r="G396" s="79" cm="1">
        <f t="array" ref="G396:X396">_xlfn._xlws.FILTER(Formulas!$C$2:$T$201, ISNUMBER(MATCH(Formulas!$B$2:$B$201, B396, 0)),0) * E396</f>
        <v>575.97499457347521</v>
      </c>
      <c r="H396" s="79">
        <v>1704.9259822009985</v>
      </c>
      <c r="I396" s="79">
        <v>206.99101367484263</v>
      </c>
      <c r="J396" s="79">
        <v>206.99101367484263</v>
      </c>
      <c r="K396" s="79">
        <v>0</v>
      </c>
      <c r="L396" s="79">
        <v>0</v>
      </c>
      <c r="M396" s="79">
        <v>206.99101367484263</v>
      </c>
      <c r="N396" s="79">
        <v>0</v>
      </c>
      <c r="O396" s="79">
        <v>1704.9259822009985</v>
      </c>
      <c r="P396" s="79">
        <v>0</v>
      </c>
      <c r="Q396" s="79">
        <v>0</v>
      </c>
      <c r="R396" s="79">
        <v>0</v>
      </c>
      <c r="S396" s="79">
        <v>0</v>
      </c>
      <c r="T396" s="79">
        <v>0</v>
      </c>
      <c r="U396" s="79">
        <v>0</v>
      </c>
      <c r="V396" s="79">
        <v>0</v>
      </c>
      <c r="W396" s="79">
        <v>0</v>
      </c>
      <c r="X396" s="90">
        <v>0</v>
      </c>
    </row>
    <row r="397" spans="1:24" hidden="1" x14ac:dyDescent="0.25">
      <c r="A397" s="80" t="str">
        <v>PENDIENTE</v>
      </c>
      <c r="B397" s="80" t="str">
        <v>Huamachuco</v>
      </c>
      <c r="C397" s="80" t="str">
        <v>Mayo</v>
      </c>
      <c r="D397" s="81">
        <v>46135</v>
      </c>
      <c r="E397" s="79">
        <v>4606.8</v>
      </c>
      <c r="F397" s="81">
        <v>46134</v>
      </c>
      <c r="G397" s="79" cm="1">
        <f t="array" ref="G397:X397">_xlfn._xlws.FILTER(Formulas!$C$2:$T$201, ISNUMBER(MATCH(Formulas!$B$2:$B$201, B397, 0)),0) * E397</f>
        <v>575.97499457347521</v>
      </c>
      <c r="H397" s="79">
        <v>1704.9259822009985</v>
      </c>
      <c r="I397" s="79">
        <v>206.99101367484263</v>
      </c>
      <c r="J397" s="79">
        <v>206.99101367484263</v>
      </c>
      <c r="K397" s="79">
        <v>0</v>
      </c>
      <c r="L397" s="79">
        <v>0</v>
      </c>
      <c r="M397" s="79">
        <v>206.99101367484263</v>
      </c>
      <c r="N397" s="79">
        <v>0</v>
      </c>
      <c r="O397" s="79">
        <v>1704.9259822009985</v>
      </c>
      <c r="P397" s="79">
        <v>0</v>
      </c>
      <c r="Q397" s="79">
        <v>0</v>
      </c>
      <c r="R397" s="79">
        <v>0</v>
      </c>
      <c r="S397" s="79">
        <v>0</v>
      </c>
      <c r="T397" s="79">
        <v>0</v>
      </c>
      <c r="U397" s="79">
        <v>0</v>
      </c>
      <c r="V397" s="79">
        <v>0</v>
      </c>
      <c r="W397" s="79">
        <v>0</v>
      </c>
      <c r="X397" s="90">
        <v>0</v>
      </c>
    </row>
    <row r="398" spans="1:24" hidden="1" x14ac:dyDescent="0.25">
      <c r="A398" s="80" t="str">
        <v>PENDIENTE</v>
      </c>
      <c r="B398" s="80" t="str">
        <v>Huamachuco</v>
      </c>
      <c r="C398" s="80" t="str">
        <v>Junio</v>
      </c>
      <c r="D398" s="81">
        <v>46164</v>
      </c>
      <c r="E398" s="79">
        <v>4606.8</v>
      </c>
      <c r="F398" s="81">
        <v>46158</v>
      </c>
      <c r="G398" s="79" cm="1">
        <f t="array" ref="G398:X398">_xlfn._xlws.FILTER(Formulas!$C$2:$T$201, ISNUMBER(MATCH(Formulas!$B$2:$B$201, B398, 0)),0) * E398</f>
        <v>575.97499457347521</v>
      </c>
      <c r="H398" s="79">
        <v>1704.9259822009985</v>
      </c>
      <c r="I398" s="79">
        <v>206.99101367484263</v>
      </c>
      <c r="J398" s="79">
        <v>206.99101367484263</v>
      </c>
      <c r="K398" s="79">
        <v>0</v>
      </c>
      <c r="L398" s="79">
        <v>0</v>
      </c>
      <c r="M398" s="79">
        <v>206.99101367484263</v>
      </c>
      <c r="N398" s="79">
        <v>0</v>
      </c>
      <c r="O398" s="79">
        <v>1704.9259822009985</v>
      </c>
      <c r="P398" s="79">
        <v>0</v>
      </c>
      <c r="Q398" s="79">
        <v>0</v>
      </c>
      <c r="R398" s="79">
        <v>0</v>
      </c>
      <c r="S398" s="79">
        <v>0</v>
      </c>
      <c r="T398" s="79">
        <v>0</v>
      </c>
      <c r="U398" s="79">
        <v>0</v>
      </c>
      <c r="V398" s="79">
        <v>0</v>
      </c>
      <c r="W398" s="79">
        <v>0</v>
      </c>
      <c r="X398" s="90">
        <v>0</v>
      </c>
    </row>
    <row r="399" spans="1:24" hidden="1" x14ac:dyDescent="0.25">
      <c r="A399" s="80" t="str">
        <v>PENDIENTE</v>
      </c>
      <c r="B399" s="80" t="str">
        <v>Huamachuco</v>
      </c>
      <c r="C399" s="80" t="str">
        <v>Julio</v>
      </c>
      <c r="D399" s="81">
        <v>46196</v>
      </c>
      <c r="E399" s="79">
        <v>4606.8</v>
      </c>
      <c r="F399" s="80">
        <v>46188</v>
      </c>
      <c r="G399" s="79" cm="1">
        <f t="array" ref="G399:X399">_xlfn._xlws.FILTER(Formulas!$C$2:$T$201, ISNUMBER(MATCH(Formulas!$B$2:$B$201, B399, 0)),0) * E399</f>
        <v>575.97499457347521</v>
      </c>
      <c r="H399" s="79">
        <v>1704.9259822009985</v>
      </c>
      <c r="I399" s="79">
        <v>206.99101367484263</v>
      </c>
      <c r="J399" s="79">
        <v>206.99101367484263</v>
      </c>
      <c r="K399" s="79">
        <v>0</v>
      </c>
      <c r="L399" s="79">
        <v>0</v>
      </c>
      <c r="M399" s="79">
        <v>206.99101367484263</v>
      </c>
      <c r="N399" s="79">
        <v>0</v>
      </c>
      <c r="O399" s="79">
        <v>1704.9259822009985</v>
      </c>
      <c r="P399" s="79">
        <v>0</v>
      </c>
      <c r="Q399" s="79">
        <v>0</v>
      </c>
      <c r="R399" s="79">
        <v>0</v>
      </c>
      <c r="S399" s="79">
        <v>0</v>
      </c>
      <c r="T399" s="79">
        <v>0</v>
      </c>
      <c r="U399" s="79">
        <v>0</v>
      </c>
      <c r="V399" s="79">
        <v>0</v>
      </c>
      <c r="W399" s="79">
        <v>0</v>
      </c>
      <c r="X399" s="90">
        <v>0</v>
      </c>
    </row>
    <row r="400" spans="1:24" hidden="1" x14ac:dyDescent="0.25">
      <c r="A400" s="80" t="str">
        <v>PENDIENTE</v>
      </c>
      <c r="B400" s="80" t="str">
        <v>Huamachuco</v>
      </c>
      <c r="C400" s="80" t="str">
        <v>Agosto</v>
      </c>
      <c r="D400" s="81">
        <v>46227</v>
      </c>
      <c r="E400" s="79">
        <v>4606.8</v>
      </c>
      <c r="F400" s="80">
        <v>46226</v>
      </c>
      <c r="G400" s="79" cm="1">
        <f t="array" ref="G400:X400">_xlfn._xlws.FILTER(Formulas!$C$2:$T$201, ISNUMBER(MATCH(Formulas!$B$2:$B$201, B400, 0)),0) * E400</f>
        <v>575.97499457347521</v>
      </c>
      <c r="H400" s="79">
        <v>1704.9259822009985</v>
      </c>
      <c r="I400" s="79">
        <v>206.99101367484263</v>
      </c>
      <c r="J400" s="79">
        <v>206.99101367484263</v>
      </c>
      <c r="K400" s="79">
        <v>0</v>
      </c>
      <c r="L400" s="79">
        <v>0</v>
      </c>
      <c r="M400" s="79">
        <v>206.99101367484263</v>
      </c>
      <c r="N400" s="79">
        <v>0</v>
      </c>
      <c r="O400" s="79">
        <v>1704.9259822009985</v>
      </c>
      <c r="P400" s="79">
        <v>0</v>
      </c>
      <c r="Q400" s="79">
        <v>0</v>
      </c>
      <c r="R400" s="79">
        <v>0</v>
      </c>
      <c r="S400" s="79">
        <v>0</v>
      </c>
      <c r="T400" s="79">
        <v>0</v>
      </c>
      <c r="U400" s="79">
        <v>0</v>
      </c>
      <c r="V400" s="79">
        <v>0</v>
      </c>
      <c r="W400" s="79">
        <v>0</v>
      </c>
      <c r="X400" s="90">
        <v>0</v>
      </c>
    </row>
    <row r="401" spans="1:24" hidden="1" x14ac:dyDescent="0.25">
      <c r="A401" s="80" t="str">
        <v>PENDIENTE</v>
      </c>
      <c r="B401" s="80" t="str">
        <v>Huamachuco</v>
      </c>
      <c r="C401" s="80" t="str">
        <v>Setiembre</v>
      </c>
      <c r="D401" s="81">
        <v>46258</v>
      </c>
      <c r="E401" s="79">
        <v>4606.8</v>
      </c>
      <c r="F401" s="80">
        <v>46244</v>
      </c>
      <c r="G401" s="79" cm="1">
        <f t="array" ref="G401:X401">_xlfn._xlws.FILTER(Formulas!$C$2:$T$201, ISNUMBER(MATCH(Formulas!$B$2:$B$201, B401, 0)),0) * E401</f>
        <v>575.97499457347521</v>
      </c>
      <c r="H401" s="79">
        <v>1704.9259822009985</v>
      </c>
      <c r="I401" s="79">
        <v>206.99101367484263</v>
      </c>
      <c r="J401" s="79">
        <v>206.99101367484263</v>
      </c>
      <c r="K401" s="79">
        <v>0</v>
      </c>
      <c r="L401" s="79">
        <v>0</v>
      </c>
      <c r="M401" s="79">
        <v>206.99101367484263</v>
      </c>
      <c r="N401" s="79">
        <v>0</v>
      </c>
      <c r="O401" s="79">
        <v>1704.9259822009985</v>
      </c>
      <c r="P401" s="79">
        <v>0</v>
      </c>
      <c r="Q401" s="79">
        <v>0</v>
      </c>
      <c r="R401" s="79">
        <v>0</v>
      </c>
      <c r="S401" s="79">
        <v>0</v>
      </c>
      <c r="T401" s="79">
        <v>0</v>
      </c>
      <c r="U401" s="79">
        <v>0</v>
      </c>
      <c r="V401" s="79">
        <v>0</v>
      </c>
      <c r="W401" s="79">
        <v>0</v>
      </c>
      <c r="X401" s="90">
        <v>0</v>
      </c>
    </row>
    <row r="402" spans="1:24" hidden="1" x14ac:dyDescent="0.25">
      <c r="A402" s="80" t="str">
        <v>PENDIENTE</v>
      </c>
      <c r="B402" s="80" t="str">
        <v>Huamachuco</v>
      </c>
      <c r="C402" s="80" t="str">
        <v>O.C.</v>
      </c>
      <c r="D402" s="81">
        <v>46259</v>
      </c>
      <c r="E402" s="79">
        <v>3688.8</v>
      </c>
      <c r="F402" s="81">
        <v>46254</v>
      </c>
      <c r="G402" s="79" cm="1">
        <f t="array" ref="G402:X402">_xlfn._xlws.FILTER(Formulas!$C$2:$T$201, ISNUMBER(MATCH(Formulas!$B$2:$B$201, B402, 0)),0) * E402</f>
        <v>461.20008682439772</v>
      </c>
      <c r="H402" s="79">
        <v>1365.1842847840244</v>
      </c>
      <c r="I402" s="79">
        <v>165.74378120251791</v>
      </c>
      <c r="J402" s="79">
        <v>165.74378120251791</v>
      </c>
      <c r="K402" s="79">
        <v>0</v>
      </c>
      <c r="L402" s="79">
        <v>0</v>
      </c>
      <c r="M402" s="79">
        <v>165.74378120251791</v>
      </c>
      <c r="N402" s="79">
        <v>0</v>
      </c>
      <c r="O402" s="79">
        <v>1365.1842847840244</v>
      </c>
      <c r="P402" s="79">
        <v>0</v>
      </c>
      <c r="Q402" s="79">
        <v>0</v>
      </c>
      <c r="R402" s="79">
        <v>0</v>
      </c>
      <c r="S402" s="79">
        <v>0</v>
      </c>
      <c r="T402" s="79">
        <v>0</v>
      </c>
      <c r="U402" s="79">
        <v>0</v>
      </c>
      <c r="V402" s="79">
        <v>0</v>
      </c>
      <c r="W402" s="79">
        <v>0</v>
      </c>
      <c r="X402" s="90">
        <v>0</v>
      </c>
    </row>
    <row r="403" spans="1:24" hidden="1" x14ac:dyDescent="0.25">
      <c r="A403" s="80" t="str">
        <v>PENDIENTE</v>
      </c>
      <c r="B403" s="80" t="str">
        <v>Huamachuco</v>
      </c>
      <c r="C403" s="80" t="str">
        <v>Octubre</v>
      </c>
      <c r="D403" s="81">
        <v>46290</v>
      </c>
      <c r="E403" s="79">
        <v>4606.8</v>
      </c>
      <c r="F403" s="81">
        <v>46289</v>
      </c>
      <c r="G403" s="79" cm="1">
        <f t="array" ref="G403:X403">_xlfn._xlws.FILTER(Formulas!$C$2:$T$201, ISNUMBER(MATCH(Formulas!$B$2:$B$201, B403, 0)),0) * E403</f>
        <v>575.97499457347521</v>
      </c>
      <c r="H403" s="79">
        <v>1704.9259822009985</v>
      </c>
      <c r="I403" s="79">
        <v>206.99101367484263</v>
      </c>
      <c r="J403" s="79">
        <v>206.99101367484263</v>
      </c>
      <c r="K403" s="79">
        <v>0</v>
      </c>
      <c r="L403" s="79">
        <v>0</v>
      </c>
      <c r="M403" s="79">
        <v>206.99101367484263</v>
      </c>
      <c r="N403" s="79">
        <v>0</v>
      </c>
      <c r="O403" s="79">
        <v>1704.9259822009985</v>
      </c>
      <c r="P403" s="79">
        <v>0</v>
      </c>
      <c r="Q403" s="79">
        <v>0</v>
      </c>
      <c r="R403" s="79">
        <v>0</v>
      </c>
      <c r="S403" s="79">
        <v>0</v>
      </c>
      <c r="T403" s="79">
        <v>0</v>
      </c>
      <c r="U403" s="79">
        <v>0</v>
      </c>
      <c r="V403" s="79">
        <v>0</v>
      </c>
      <c r="W403" s="79">
        <v>0</v>
      </c>
      <c r="X403" s="90">
        <v>0</v>
      </c>
    </row>
    <row r="404" spans="1:24" hidden="1" x14ac:dyDescent="0.25">
      <c r="A404" s="80" t="str">
        <v>PENDIENTE</v>
      </c>
      <c r="B404" s="80" t="str">
        <v>Huamachuco</v>
      </c>
      <c r="C404" s="80" t="str">
        <v>Noviembre</v>
      </c>
      <c r="D404" s="81">
        <v>46318</v>
      </c>
      <c r="E404" s="79">
        <v>4606.8</v>
      </c>
      <c r="F404" s="81">
        <v>0</v>
      </c>
      <c r="G404" s="79" cm="1">
        <f t="array" ref="G404:X404">_xlfn._xlws.FILTER(Formulas!$C$2:$T$201, ISNUMBER(MATCH(Formulas!$B$2:$B$201, B404, 0)),0) * E404</f>
        <v>575.97499457347521</v>
      </c>
      <c r="H404" s="79">
        <v>1704.9259822009985</v>
      </c>
      <c r="I404" s="79">
        <v>206.99101367484263</v>
      </c>
      <c r="J404" s="79">
        <v>206.99101367484263</v>
      </c>
      <c r="K404" s="79">
        <v>0</v>
      </c>
      <c r="L404" s="79">
        <v>0</v>
      </c>
      <c r="M404" s="79">
        <v>206.99101367484263</v>
      </c>
      <c r="N404" s="79">
        <v>0</v>
      </c>
      <c r="O404" s="79">
        <v>1704.9259822009985</v>
      </c>
      <c r="P404" s="79">
        <v>0</v>
      </c>
      <c r="Q404" s="79">
        <v>0</v>
      </c>
      <c r="R404" s="79">
        <v>0</v>
      </c>
      <c r="S404" s="79">
        <v>0</v>
      </c>
      <c r="T404" s="79">
        <v>0</v>
      </c>
      <c r="U404" s="79">
        <v>0</v>
      </c>
      <c r="V404" s="79">
        <v>0</v>
      </c>
      <c r="W404" s="79">
        <v>0</v>
      </c>
      <c r="X404" s="90">
        <v>0</v>
      </c>
    </row>
    <row r="405" spans="1:24" hidden="1" x14ac:dyDescent="0.25">
      <c r="A405" s="80" t="str">
        <v>PENDIENTE</v>
      </c>
      <c r="B405" s="80" t="str">
        <v>Huamachuco</v>
      </c>
      <c r="C405" s="80" t="str">
        <v>Diciembre</v>
      </c>
      <c r="D405" s="81">
        <v>46349</v>
      </c>
      <c r="E405" s="79">
        <v>4606.8</v>
      </c>
      <c r="F405" s="81">
        <v>0</v>
      </c>
      <c r="G405" s="79" cm="1">
        <f t="array" ref="G405:X405">_xlfn._xlws.FILTER(Formulas!$C$2:$T$201, ISNUMBER(MATCH(Formulas!$B$2:$B$201, B405, 0)),0) * E405</f>
        <v>575.97499457347521</v>
      </c>
      <c r="H405" s="79">
        <v>1704.9259822009985</v>
      </c>
      <c r="I405" s="79">
        <v>206.99101367484263</v>
      </c>
      <c r="J405" s="79">
        <v>206.99101367484263</v>
      </c>
      <c r="K405" s="79">
        <v>0</v>
      </c>
      <c r="L405" s="79">
        <v>0</v>
      </c>
      <c r="M405" s="79">
        <v>206.99101367484263</v>
      </c>
      <c r="N405" s="79">
        <v>0</v>
      </c>
      <c r="O405" s="79">
        <v>1704.9259822009985</v>
      </c>
      <c r="P405" s="79">
        <v>0</v>
      </c>
      <c r="Q405" s="79">
        <v>0</v>
      </c>
      <c r="R405" s="79">
        <v>0</v>
      </c>
      <c r="S405" s="79">
        <v>0</v>
      </c>
      <c r="T405" s="79">
        <v>0</v>
      </c>
      <c r="U405" s="79">
        <v>0</v>
      </c>
      <c r="V405" s="79">
        <v>0</v>
      </c>
      <c r="W405" s="79">
        <v>0</v>
      </c>
      <c r="X405" s="90">
        <v>0</v>
      </c>
    </row>
    <row r="406" spans="1:24" hidden="1" x14ac:dyDescent="0.25">
      <c r="A406" s="80" t="str">
        <v>PENDIENTE</v>
      </c>
      <c r="B406" s="80" t="str">
        <v>Huambo</v>
      </c>
      <c r="C406" s="80" t="str">
        <v>Enero / Febrero</v>
      </c>
      <c r="D406" s="81">
        <v>46045</v>
      </c>
      <c r="E406" s="79">
        <v>2415.9744000000001</v>
      </c>
      <c r="F406" s="81">
        <v>46048</v>
      </c>
      <c r="G406" s="79" cm="1">
        <f t="array" ref="G406:X406">_xlfn._xlws.FILTER(Formulas!$C$2:$T$201, ISNUMBER(MATCH(Formulas!$B$2:$B$201, B406, 0)),0) * E406</f>
        <v>482.99488211920533</v>
      </c>
      <c r="H406" s="79">
        <v>1644.9825695364239</v>
      </c>
      <c r="I406" s="79">
        <v>95.998982781456959</v>
      </c>
      <c r="J406" s="79">
        <v>95.998982781456959</v>
      </c>
      <c r="K406" s="79">
        <v>0</v>
      </c>
      <c r="L406" s="79">
        <v>0</v>
      </c>
      <c r="M406" s="79">
        <v>95.998982781456959</v>
      </c>
      <c r="N406" s="79">
        <v>0</v>
      </c>
      <c r="O406" s="79">
        <v>0</v>
      </c>
      <c r="P406" s="79">
        <v>0</v>
      </c>
      <c r="Q406" s="79">
        <v>0</v>
      </c>
      <c r="R406" s="79">
        <v>0</v>
      </c>
      <c r="S406" s="79">
        <v>0</v>
      </c>
      <c r="T406" s="79">
        <v>0</v>
      </c>
      <c r="U406" s="79">
        <v>0</v>
      </c>
      <c r="V406" s="79">
        <v>0</v>
      </c>
      <c r="W406" s="79">
        <v>0</v>
      </c>
      <c r="X406" s="90">
        <v>0</v>
      </c>
    </row>
    <row r="407" spans="1:24" hidden="1" x14ac:dyDescent="0.25">
      <c r="A407" s="80" t="str">
        <v>PENDIENTE</v>
      </c>
      <c r="B407" s="80" t="str">
        <v>Huambo</v>
      </c>
      <c r="C407" s="80" t="str">
        <v>Marzo / Abril</v>
      </c>
      <c r="D407" s="81">
        <v>46072</v>
      </c>
      <c r="E407" s="79">
        <v>2415.9744000000001</v>
      </c>
      <c r="F407" s="80">
        <v>46064</v>
      </c>
      <c r="G407" s="79" cm="1">
        <f t="array" ref="G407:X407">_xlfn._xlws.FILTER(Formulas!$C$2:$T$201, ISNUMBER(MATCH(Formulas!$B$2:$B$201, B407, 0)),0) * E407</f>
        <v>482.99488211920533</v>
      </c>
      <c r="H407" s="79">
        <v>1644.9825695364239</v>
      </c>
      <c r="I407" s="79">
        <v>95.998982781456959</v>
      </c>
      <c r="J407" s="79">
        <v>95.998982781456959</v>
      </c>
      <c r="K407" s="79">
        <v>0</v>
      </c>
      <c r="L407" s="79">
        <v>0</v>
      </c>
      <c r="M407" s="79">
        <v>95.998982781456959</v>
      </c>
      <c r="N407" s="79">
        <v>0</v>
      </c>
      <c r="O407" s="79">
        <v>0</v>
      </c>
      <c r="P407" s="79">
        <v>0</v>
      </c>
      <c r="Q407" s="79">
        <v>0</v>
      </c>
      <c r="R407" s="79">
        <v>0</v>
      </c>
      <c r="S407" s="79">
        <v>0</v>
      </c>
      <c r="T407" s="79">
        <v>0</v>
      </c>
      <c r="U407" s="79">
        <v>0</v>
      </c>
      <c r="V407" s="79">
        <v>0</v>
      </c>
      <c r="W407" s="79">
        <v>0</v>
      </c>
      <c r="X407" s="90">
        <v>0</v>
      </c>
    </row>
    <row r="408" spans="1:24" hidden="1" x14ac:dyDescent="0.25">
      <c r="A408" s="80" t="str">
        <v>PENDIENTE</v>
      </c>
      <c r="B408" s="80" t="str">
        <v>Huambo</v>
      </c>
      <c r="C408" s="80" t="str">
        <v>Mayo / Junio</v>
      </c>
      <c r="D408" s="81">
        <v>46135</v>
      </c>
      <c r="E408" s="79">
        <v>2415.9744000000001</v>
      </c>
      <c r="F408" s="80">
        <v>46131</v>
      </c>
      <c r="G408" s="79" cm="1">
        <f t="array" ref="G408:X408">_xlfn._xlws.FILTER(Formulas!$C$2:$T$201, ISNUMBER(MATCH(Formulas!$B$2:$B$201, B408, 0)),0) * E408</f>
        <v>482.99488211920533</v>
      </c>
      <c r="H408" s="79">
        <v>1644.9825695364239</v>
      </c>
      <c r="I408" s="79">
        <v>95.998982781456959</v>
      </c>
      <c r="J408" s="79">
        <v>95.998982781456959</v>
      </c>
      <c r="K408" s="79">
        <v>0</v>
      </c>
      <c r="L408" s="79">
        <v>0</v>
      </c>
      <c r="M408" s="79">
        <v>95.998982781456959</v>
      </c>
      <c r="N408" s="79">
        <v>0</v>
      </c>
      <c r="O408" s="79">
        <v>0</v>
      </c>
      <c r="P408" s="79">
        <v>0</v>
      </c>
      <c r="Q408" s="79">
        <v>0</v>
      </c>
      <c r="R408" s="79">
        <v>0</v>
      </c>
      <c r="S408" s="79">
        <v>0</v>
      </c>
      <c r="T408" s="79">
        <v>0</v>
      </c>
      <c r="U408" s="79">
        <v>0</v>
      </c>
      <c r="V408" s="79">
        <v>0</v>
      </c>
      <c r="W408" s="79">
        <v>0</v>
      </c>
      <c r="X408" s="90">
        <v>0</v>
      </c>
    </row>
    <row r="409" spans="1:24" hidden="1" x14ac:dyDescent="0.25">
      <c r="A409" s="80" t="str">
        <v>PENDIENTE</v>
      </c>
      <c r="B409" s="80" t="str">
        <v>Huambo</v>
      </c>
      <c r="C409" s="80" t="str">
        <v>Julio / Agosto</v>
      </c>
      <c r="D409" s="81">
        <v>46197</v>
      </c>
      <c r="E409" s="79">
        <v>2415.9744000000001</v>
      </c>
      <c r="F409" s="81">
        <v>46191</v>
      </c>
      <c r="G409" s="79" cm="1">
        <f t="array" ref="G409:X409">_xlfn._xlws.FILTER(Formulas!$C$2:$T$201, ISNUMBER(MATCH(Formulas!$B$2:$B$201, B409, 0)),0) * E409</f>
        <v>482.99488211920533</v>
      </c>
      <c r="H409" s="79">
        <v>1644.9825695364239</v>
      </c>
      <c r="I409" s="79">
        <v>95.998982781456959</v>
      </c>
      <c r="J409" s="79">
        <v>95.998982781456959</v>
      </c>
      <c r="K409" s="79">
        <v>0</v>
      </c>
      <c r="L409" s="79">
        <v>0</v>
      </c>
      <c r="M409" s="79">
        <v>95.998982781456959</v>
      </c>
      <c r="N409" s="79">
        <v>0</v>
      </c>
      <c r="O409" s="79">
        <v>0</v>
      </c>
      <c r="P409" s="79">
        <v>0</v>
      </c>
      <c r="Q409" s="79">
        <v>0</v>
      </c>
      <c r="R409" s="79">
        <v>0</v>
      </c>
      <c r="S409" s="79">
        <v>0</v>
      </c>
      <c r="T409" s="79">
        <v>0</v>
      </c>
      <c r="U409" s="79">
        <v>0</v>
      </c>
      <c r="V409" s="79">
        <v>0</v>
      </c>
      <c r="W409" s="79">
        <v>0</v>
      </c>
      <c r="X409" s="90">
        <v>0</v>
      </c>
    </row>
    <row r="410" spans="1:24" hidden="1" x14ac:dyDescent="0.25">
      <c r="A410" s="80" t="str">
        <v>PENDIENTE</v>
      </c>
      <c r="B410" s="80" t="str">
        <v>Huambo</v>
      </c>
      <c r="C410" s="80" t="str">
        <v>Septiembre / Octubre</v>
      </c>
      <c r="D410" s="81">
        <v>46260</v>
      </c>
      <c r="E410" s="79">
        <v>2415.9744000000001</v>
      </c>
      <c r="F410" s="80">
        <v>46241</v>
      </c>
      <c r="G410" s="79" cm="1">
        <f t="array" ref="G410:X410">_xlfn._xlws.FILTER(Formulas!$C$2:$T$201, ISNUMBER(MATCH(Formulas!$B$2:$B$201, B410, 0)),0) * E410</f>
        <v>482.99488211920533</v>
      </c>
      <c r="H410" s="79">
        <v>1644.9825695364239</v>
      </c>
      <c r="I410" s="79">
        <v>95.998982781456959</v>
      </c>
      <c r="J410" s="79">
        <v>95.998982781456959</v>
      </c>
      <c r="K410" s="79">
        <v>0</v>
      </c>
      <c r="L410" s="79">
        <v>0</v>
      </c>
      <c r="M410" s="79">
        <v>95.998982781456959</v>
      </c>
      <c r="N410" s="79">
        <v>0</v>
      </c>
      <c r="O410" s="79">
        <v>0</v>
      </c>
      <c r="P410" s="79">
        <v>0</v>
      </c>
      <c r="Q410" s="79">
        <v>0</v>
      </c>
      <c r="R410" s="79">
        <v>0</v>
      </c>
      <c r="S410" s="79">
        <v>0</v>
      </c>
      <c r="T410" s="79">
        <v>0</v>
      </c>
      <c r="U410" s="79">
        <v>0</v>
      </c>
      <c r="V410" s="79">
        <v>0</v>
      </c>
      <c r="W410" s="79">
        <v>0</v>
      </c>
      <c r="X410" s="90">
        <v>0</v>
      </c>
    </row>
    <row r="411" spans="1:24" hidden="1" x14ac:dyDescent="0.25">
      <c r="A411" s="80" t="str">
        <v>PENDIENTE</v>
      </c>
      <c r="B411" s="80" t="str">
        <v>Huambo</v>
      </c>
      <c r="C411" s="80" t="str">
        <v>O.C.</v>
      </c>
      <c r="D411" s="81">
        <v>46286</v>
      </c>
      <c r="E411" s="79">
        <v>568.10151999999994</v>
      </c>
      <c r="F411" s="81">
        <v>0</v>
      </c>
      <c r="G411" s="79" cm="1">
        <f t="array" ref="G411:X411">_xlfn._xlws.FILTER(Formulas!$C$2:$T$201, ISNUMBER(MATCH(Formulas!$B$2:$B$201, B411, 0)),0) * E411</f>
        <v>113.57327572847682</v>
      </c>
      <c r="H411" s="79">
        <v>386.80753327814563</v>
      </c>
      <c r="I411" s="79">
        <v>22.573570331125826</v>
      </c>
      <c r="J411" s="79">
        <v>22.573570331125826</v>
      </c>
      <c r="K411" s="79">
        <v>0</v>
      </c>
      <c r="L411" s="79">
        <v>0</v>
      </c>
      <c r="M411" s="79">
        <v>22.573570331125826</v>
      </c>
      <c r="N411" s="79">
        <v>0</v>
      </c>
      <c r="O411" s="79">
        <v>0</v>
      </c>
      <c r="P411" s="79">
        <v>0</v>
      </c>
      <c r="Q411" s="79">
        <v>0</v>
      </c>
      <c r="R411" s="79">
        <v>0</v>
      </c>
      <c r="S411" s="79">
        <v>0</v>
      </c>
      <c r="T411" s="79">
        <v>0</v>
      </c>
      <c r="U411" s="79">
        <v>0</v>
      </c>
      <c r="V411" s="79">
        <v>0</v>
      </c>
      <c r="W411" s="79">
        <v>0</v>
      </c>
      <c r="X411" s="90">
        <v>0</v>
      </c>
    </row>
    <row r="412" spans="1:24" hidden="1" x14ac:dyDescent="0.25">
      <c r="A412" s="80" t="str">
        <v>PENDIENTE</v>
      </c>
      <c r="B412" s="80" t="str">
        <v>Huambo</v>
      </c>
      <c r="C412" s="80" t="str">
        <v>Noviembre / Diciembre</v>
      </c>
      <c r="D412" s="81">
        <v>46316</v>
      </c>
      <c r="E412" s="79">
        <v>2415.9744000000001</v>
      </c>
      <c r="F412" s="81">
        <v>0</v>
      </c>
      <c r="G412" s="79" cm="1">
        <f t="array" ref="G412:X412">_xlfn._xlws.FILTER(Formulas!$C$2:$T$201, ISNUMBER(MATCH(Formulas!$B$2:$B$201, B412, 0)),0) * E412</f>
        <v>482.99488211920533</v>
      </c>
      <c r="H412" s="79">
        <v>1644.9825695364239</v>
      </c>
      <c r="I412" s="79">
        <v>95.998982781456959</v>
      </c>
      <c r="J412" s="79">
        <v>95.998982781456959</v>
      </c>
      <c r="K412" s="79">
        <v>0</v>
      </c>
      <c r="L412" s="79">
        <v>0</v>
      </c>
      <c r="M412" s="79">
        <v>95.998982781456959</v>
      </c>
      <c r="N412" s="79">
        <v>0</v>
      </c>
      <c r="O412" s="79">
        <v>0</v>
      </c>
      <c r="P412" s="79">
        <v>0</v>
      </c>
      <c r="Q412" s="79">
        <v>0</v>
      </c>
      <c r="R412" s="79">
        <v>0</v>
      </c>
      <c r="S412" s="79">
        <v>0</v>
      </c>
      <c r="T412" s="79">
        <v>0</v>
      </c>
      <c r="U412" s="79">
        <v>0</v>
      </c>
      <c r="V412" s="79">
        <v>0</v>
      </c>
      <c r="W412" s="79">
        <v>0</v>
      </c>
      <c r="X412" s="90">
        <v>0</v>
      </c>
    </row>
    <row r="413" spans="1:24" hidden="1" x14ac:dyDescent="0.25">
      <c r="A413" s="80" t="str">
        <v>ENHA</v>
      </c>
      <c r="B413" s="80" t="str">
        <v>Huancas</v>
      </c>
      <c r="C413" s="80" t="str">
        <v>O.C.</v>
      </c>
      <c r="D413" s="81">
        <v>46120</v>
      </c>
      <c r="E413" s="79">
        <v>125</v>
      </c>
      <c r="F413" s="81">
        <v>46120</v>
      </c>
      <c r="G413" s="79" cm="1">
        <f t="array" ref="G413:X413">_xlfn._xlws.FILTER(Formulas!$C$2:$T$201, ISNUMBER(MATCH(Formulas!$B$2:$B$201, B413, 0)),0) * E413</f>
        <v>58.75</v>
      </c>
      <c r="H413" s="79">
        <v>58.75</v>
      </c>
      <c r="I413" s="79">
        <v>6.875</v>
      </c>
      <c r="J413" s="79">
        <v>0</v>
      </c>
      <c r="K413" s="79">
        <v>0</v>
      </c>
      <c r="L413" s="79">
        <v>0</v>
      </c>
      <c r="M413" s="79">
        <v>0</v>
      </c>
      <c r="N413" s="79">
        <v>0</v>
      </c>
      <c r="O413" s="79">
        <v>0</v>
      </c>
      <c r="P413" s="79">
        <v>0</v>
      </c>
      <c r="Q413" s="79">
        <v>0</v>
      </c>
      <c r="R413" s="79">
        <v>0</v>
      </c>
      <c r="S413" s="79">
        <v>0</v>
      </c>
      <c r="T413" s="79">
        <v>0</v>
      </c>
      <c r="U413" s="79">
        <v>0</v>
      </c>
      <c r="V413" s="79">
        <v>0.17499999999999999</v>
      </c>
      <c r="W413" s="79">
        <v>0</v>
      </c>
      <c r="X413" s="90">
        <v>0</v>
      </c>
    </row>
    <row r="414" spans="1:24" hidden="1" x14ac:dyDescent="0.25">
      <c r="A414" s="80" t="str">
        <v>ENHA</v>
      </c>
      <c r="B414" s="80" t="str">
        <v>Huancas</v>
      </c>
      <c r="C414" s="80" t="str">
        <v>O.C.</v>
      </c>
      <c r="D414" s="81">
        <v>46274</v>
      </c>
      <c r="E414" s="79">
        <v>130</v>
      </c>
      <c r="F414" s="81">
        <v>0</v>
      </c>
      <c r="G414" s="79" cm="1">
        <f t="array" ref="G414:X414">_xlfn._xlws.FILTER(Formulas!$C$2:$T$201, ISNUMBER(MATCH(Formulas!$B$2:$B$201, B414, 0)),0) * E414</f>
        <v>61.099999999999994</v>
      </c>
      <c r="H414" s="79">
        <v>61.099999999999994</v>
      </c>
      <c r="I414" s="79">
        <v>7.15</v>
      </c>
      <c r="J414" s="79">
        <v>0</v>
      </c>
      <c r="K414" s="79">
        <v>0</v>
      </c>
      <c r="L414" s="79">
        <v>0</v>
      </c>
      <c r="M414" s="79">
        <v>0</v>
      </c>
      <c r="N414" s="79">
        <v>0</v>
      </c>
      <c r="O414" s="79">
        <v>0</v>
      </c>
      <c r="P414" s="79">
        <v>0</v>
      </c>
      <c r="Q414" s="79">
        <v>0</v>
      </c>
      <c r="R414" s="79">
        <v>0</v>
      </c>
      <c r="S414" s="79">
        <v>0</v>
      </c>
      <c r="T414" s="79">
        <v>0</v>
      </c>
      <c r="U414" s="79">
        <v>0</v>
      </c>
      <c r="V414" s="79">
        <v>0.182</v>
      </c>
      <c r="W414" s="79">
        <v>0</v>
      </c>
      <c r="X414" s="90">
        <v>0</v>
      </c>
    </row>
    <row r="415" spans="1:24" hidden="1" x14ac:dyDescent="0.25">
      <c r="A415" s="80" t="str">
        <v>PENDIENTE</v>
      </c>
      <c r="B415" s="80" t="str">
        <v>Huaranchal</v>
      </c>
      <c r="C415" s="80" t="str">
        <v>Enero</v>
      </c>
      <c r="D415" s="81">
        <v>46006</v>
      </c>
      <c r="E415" s="79">
        <v>888</v>
      </c>
      <c r="F415" s="81">
        <v>46007</v>
      </c>
      <c r="G415" s="79" cm="1">
        <f t="array" ref="G415:X415">_xlfn._xlws.FILTER(Formulas!$C$2:$T$201, ISNUMBER(MATCH(Formulas!$B$2:$B$201, B415, 0)),0) * E415</f>
        <v>177.66666666666666</v>
      </c>
      <c r="H415" s="79">
        <v>648</v>
      </c>
      <c r="I415" s="79">
        <v>44.333333333333336</v>
      </c>
      <c r="J415" s="79">
        <v>0</v>
      </c>
      <c r="K415" s="79">
        <v>0</v>
      </c>
      <c r="L415" s="79">
        <v>0</v>
      </c>
      <c r="M415" s="79">
        <v>18</v>
      </c>
      <c r="N415" s="79">
        <v>0</v>
      </c>
      <c r="O415" s="79">
        <v>0</v>
      </c>
      <c r="P415" s="79">
        <v>0</v>
      </c>
      <c r="Q415" s="79">
        <v>0</v>
      </c>
      <c r="R415" s="79">
        <v>0</v>
      </c>
      <c r="S415" s="79">
        <v>0</v>
      </c>
      <c r="T415" s="79">
        <v>0</v>
      </c>
      <c r="U415" s="79">
        <v>0</v>
      </c>
      <c r="V415" s="79">
        <v>0</v>
      </c>
      <c r="W415" s="79">
        <v>0</v>
      </c>
      <c r="X415" s="90">
        <v>0</v>
      </c>
    </row>
    <row r="416" spans="1:24" hidden="1" x14ac:dyDescent="0.25">
      <c r="A416" s="80" t="str">
        <v>PENDIENTE</v>
      </c>
      <c r="B416" s="80" t="str">
        <v>Huaranchal</v>
      </c>
      <c r="C416" s="80" t="str">
        <v>Febrero</v>
      </c>
      <c r="D416" s="81">
        <v>46006</v>
      </c>
      <c r="E416" s="79">
        <v>888</v>
      </c>
      <c r="F416" s="81">
        <v>46007</v>
      </c>
      <c r="G416" s="79" cm="1">
        <f t="array" ref="G416:X416">_xlfn._xlws.FILTER(Formulas!$C$2:$T$201, ISNUMBER(MATCH(Formulas!$B$2:$B$201, B416, 0)),0) * E416</f>
        <v>177.66666666666666</v>
      </c>
      <c r="H416" s="79">
        <v>648</v>
      </c>
      <c r="I416" s="79">
        <v>44.333333333333336</v>
      </c>
      <c r="J416" s="79">
        <v>0</v>
      </c>
      <c r="K416" s="79">
        <v>0</v>
      </c>
      <c r="L416" s="79">
        <v>0</v>
      </c>
      <c r="M416" s="79">
        <v>18</v>
      </c>
      <c r="N416" s="79">
        <v>0</v>
      </c>
      <c r="O416" s="79">
        <v>0</v>
      </c>
      <c r="P416" s="79">
        <v>0</v>
      </c>
      <c r="Q416" s="79">
        <v>0</v>
      </c>
      <c r="R416" s="79">
        <v>0</v>
      </c>
      <c r="S416" s="79">
        <v>0</v>
      </c>
      <c r="T416" s="79">
        <v>0</v>
      </c>
      <c r="U416" s="79">
        <v>0</v>
      </c>
      <c r="V416" s="79">
        <v>0</v>
      </c>
      <c r="W416" s="79">
        <v>0</v>
      </c>
      <c r="X416" s="90">
        <v>0</v>
      </c>
    </row>
    <row r="417" spans="1:24" hidden="1" x14ac:dyDescent="0.25">
      <c r="A417" s="80" t="str">
        <v>PENDIENTE</v>
      </c>
      <c r="B417" s="80" t="str">
        <v>Huaranchal</v>
      </c>
      <c r="C417" s="80" t="str">
        <v>Marzo</v>
      </c>
      <c r="D417" s="81">
        <v>46006</v>
      </c>
      <c r="E417" s="79">
        <v>888</v>
      </c>
      <c r="F417" s="81">
        <v>46007</v>
      </c>
      <c r="G417" s="79" cm="1">
        <f t="array" ref="G417:X417">_xlfn._xlws.FILTER(Formulas!$C$2:$T$201, ISNUMBER(MATCH(Formulas!$B$2:$B$201, B417, 0)),0) * E417</f>
        <v>177.66666666666666</v>
      </c>
      <c r="H417" s="79">
        <v>648</v>
      </c>
      <c r="I417" s="79">
        <v>44.333333333333336</v>
      </c>
      <c r="J417" s="79">
        <v>0</v>
      </c>
      <c r="K417" s="79">
        <v>0</v>
      </c>
      <c r="L417" s="79">
        <v>0</v>
      </c>
      <c r="M417" s="79">
        <v>18</v>
      </c>
      <c r="N417" s="79">
        <v>0</v>
      </c>
      <c r="O417" s="79">
        <v>0</v>
      </c>
      <c r="P417" s="79">
        <v>0</v>
      </c>
      <c r="Q417" s="79">
        <v>0</v>
      </c>
      <c r="R417" s="79">
        <v>0</v>
      </c>
      <c r="S417" s="79">
        <v>0</v>
      </c>
      <c r="T417" s="79">
        <v>0</v>
      </c>
      <c r="U417" s="79">
        <v>0</v>
      </c>
      <c r="V417" s="79">
        <v>0</v>
      </c>
      <c r="W417" s="79">
        <v>0</v>
      </c>
      <c r="X417" s="90">
        <v>0</v>
      </c>
    </row>
    <row r="418" spans="1:24" hidden="1" x14ac:dyDescent="0.25">
      <c r="A418" s="80" t="str">
        <v>PENDIENTE</v>
      </c>
      <c r="B418" s="80" t="str">
        <v>Huaranchal</v>
      </c>
      <c r="C418" s="80" t="str">
        <v>Abril</v>
      </c>
      <c r="D418" s="81">
        <v>46096</v>
      </c>
      <c r="E418" s="79">
        <v>888</v>
      </c>
      <c r="F418" s="81">
        <v>46116</v>
      </c>
      <c r="G418" s="79" cm="1">
        <f t="array" ref="G418:X418">_xlfn._xlws.FILTER(Formulas!$C$2:$T$201, ISNUMBER(MATCH(Formulas!$B$2:$B$201, B418, 0)),0) * E418</f>
        <v>177.66666666666666</v>
      </c>
      <c r="H418" s="79">
        <v>648</v>
      </c>
      <c r="I418" s="79">
        <v>44.333333333333336</v>
      </c>
      <c r="J418" s="79">
        <v>0</v>
      </c>
      <c r="K418" s="79">
        <v>0</v>
      </c>
      <c r="L418" s="79">
        <v>0</v>
      </c>
      <c r="M418" s="79">
        <v>18</v>
      </c>
      <c r="N418" s="79">
        <v>0</v>
      </c>
      <c r="O418" s="79">
        <v>0</v>
      </c>
      <c r="P418" s="79">
        <v>0</v>
      </c>
      <c r="Q418" s="79">
        <v>0</v>
      </c>
      <c r="R418" s="79">
        <v>0</v>
      </c>
      <c r="S418" s="79">
        <v>0</v>
      </c>
      <c r="T418" s="79">
        <v>0</v>
      </c>
      <c r="U418" s="79">
        <v>0</v>
      </c>
      <c r="V418" s="79">
        <v>0</v>
      </c>
      <c r="W418" s="79">
        <v>0</v>
      </c>
      <c r="X418" s="90">
        <v>0</v>
      </c>
    </row>
    <row r="419" spans="1:24" hidden="1" x14ac:dyDescent="0.25">
      <c r="A419" s="80" t="str">
        <v>PENDIENTE</v>
      </c>
      <c r="B419" s="80" t="str">
        <v>Huaranchal</v>
      </c>
      <c r="C419" s="80" t="str">
        <v>Mayo</v>
      </c>
      <c r="D419" s="81">
        <v>46096</v>
      </c>
      <c r="E419" s="79">
        <v>888</v>
      </c>
      <c r="F419" s="81">
        <v>46116</v>
      </c>
      <c r="G419" s="79" cm="1">
        <f t="array" ref="G419:X419">_xlfn._xlws.FILTER(Formulas!$C$2:$T$201, ISNUMBER(MATCH(Formulas!$B$2:$B$201, B419, 0)),0) * E419</f>
        <v>177.66666666666666</v>
      </c>
      <c r="H419" s="79">
        <v>648</v>
      </c>
      <c r="I419" s="79">
        <v>44.333333333333336</v>
      </c>
      <c r="J419" s="79">
        <v>0</v>
      </c>
      <c r="K419" s="79">
        <v>0</v>
      </c>
      <c r="L419" s="79">
        <v>0</v>
      </c>
      <c r="M419" s="79">
        <v>18</v>
      </c>
      <c r="N419" s="79">
        <v>0</v>
      </c>
      <c r="O419" s="79">
        <v>0</v>
      </c>
      <c r="P419" s="79">
        <v>0</v>
      </c>
      <c r="Q419" s="79">
        <v>0</v>
      </c>
      <c r="R419" s="79">
        <v>0</v>
      </c>
      <c r="S419" s="79">
        <v>0</v>
      </c>
      <c r="T419" s="79">
        <v>0</v>
      </c>
      <c r="U419" s="79">
        <v>0</v>
      </c>
      <c r="V419" s="79">
        <v>0</v>
      </c>
      <c r="W419" s="79">
        <v>0</v>
      </c>
      <c r="X419" s="90">
        <v>0</v>
      </c>
    </row>
    <row r="420" spans="1:24" hidden="1" x14ac:dyDescent="0.25">
      <c r="A420" s="80" t="str">
        <v>PENDIENTE</v>
      </c>
      <c r="B420" s="80" t="str">
        <v>Huaranchal</v>
      </c>
      <c r="C420" s="80" t="str">
        <v>Junio</v>
      </c>
      <c r="D420" s="81">
        <v>46096</v>
      </c>
      <c r="E420" s="79">
        <v>888</v>
      </c>
      <c r="F420" s="81">
        <v>46116</v>
      </c>
      <c r="G420" s="79" cm="1">
        <f t="array" ref="G420:X420">_xlfn._xlws.FILTER(Formulas!$C$2:$T$201, ISNUMBER(MATCH(Formulas!$B$2:$B$201, B420, 0)),0) * E420</f>
        <v>177.66666666666666</v>
      </c>
      <c r="H420" s="79">
        <v>648</v>
      </c>
      <c r="I420" s="79">
        <v>44.333333333333336</v>
      </c>
      <c r="J420" s="79">
        <v>0</v>
      </c>
      <c r="K420" s="79">
        <v>0</v>
      </c>
      <c r="L420" s="79">
        <v>0</v>
      </c>
      <c r="M420" s="79">
        <v>18</v>
      </c>
      <c r="N420" s="79">
        <v>0</v>
      </c>
      <c r="O420" s="79">
        <v>0</v>
      </c>
      <c r="P420" s="79">
        <v>0</v>
      </c>
      <c r="Q420" s="79">
        <v>0</v>
      </c>
      <c r="R420" s="79">
        <v>0</v>
      </c>
      <c r="S420" s="79">
        <v>0</v>
      </c>
      <c r="T420" s="79">
        <v>0</v>
      </c>
      <c r="U420" s="79">
        <v>0</v>
      </c>
      <c r="V420" s="79">
        <v>0</v>
      </c>
      <c r="W420" s="79">
        <v>0</v>
      </c>
      <c r="X420" s="90">
        <v>0</v>
      </c>
    </row>
    <row r="421" spans="1:24" hidden="1" x14ac:dyDescent="0.25">
      <c r="A421" s="80" t="str">
        <v>PENDIENTE</v>
      </c>
      <c r="B421" s="80" t="str">
        <v>Huaranchal</v>
      </c>
      <c r="C421" s="80" t="str">
        <v>Julio</v>
      </c>
      <c r="D421" s="81">
        <v>46188</v>
      </c>
      <c r="E421" s="79">
        <v>888</v>
      </c>
      <c r="F421" s="80">
        <v>46195</v>
      </c>
      <c r="G421" s="79" cm="1">
        <f t="array" ref="G421:X421">_xlfn._xlws.FILTER(Formulas!$C$2:$T$201, ISNUMBER(MATCH(Formulas!$B$2:$B$201, B421, 0)),0) * E421</f>
        <v>177.66666666666666</v>
      </c>
      <c r="H421" s="79">
        <v>648</v>
      </c>
      <c r="I421" s="79">
        <v>44.333333333333336</v>
      </c>
      <c r="J421" s="79">
        <v>0</v>
      </c>
      <c r="K421" s="79">
        <v>0</v>
      </c>
      <c r="L421" s="79">
        <v>0</v>
      </c>
      <c r="M421" s="79">
        <v>18</v>
      </c>
      <c r="N421" s="79">
        <v>0</v>
      </c>
      <c r="O421" s="79">
        <v>0</v>
      </c>
      <c r="P421" s="79">
        <v>0</v>
      </c>
      <c r="Q421" s="79">
        <v>0</v>
      </c>
      <c r="R421" s="79">
        <v>0</v>
      </c>
      <c r="S421" s="79">
        <v>0</v>
      </c>
      <c r="T421" s="79">
        <v>0</v>
      </c>
      <c r="U421" s="79">
        <v>0</v>
      </c>
      <c r="V421" s="79">
        <v>0</v>
      </c>
      <c r="W421" s="79">
        <v>0</v>
      </c>
      <c r="X421" s="90">
        <v>0</v>
      </c>
    </row>
    <row r="422" spans="1:24" hidden="1" x14ac:dyDescent="0.25">
      <c r="A422" s="80" t="str">
        <v>PENDIENTE</v>
      </c>
      <c r="B422" s="80" t="str">
        <v>Huaranchal</v>
      </c>
      <c r="C422" s="80" t="str">
        <v>Agosto</v>
      </c>
      <c r="D422" s="81">
        <v>46188</v>
      </c>
      <c r="E422" s="79">
        <v>888</v>
      </c>
      <c r="F422" s="80">
        <v>46195</v>
      </c>
      <c r="G422" s="79" cm="1">
        <f t="array" ref="G422:X422">_xlfn._xlws.FILTER(Formulas!$C$2:$T$201, ISNUMBER(MATCH(Formulas!$B$2:$B$201, B422, 0)),0) * E422</f>
        <v>177.66666666666666</v>
      </c>
      <c r="H422" s="79">
        <v>648</v>
      </c>
      <c r="I422" s="79">
        <v>44.333333333333336</v>
      </c>
      <c r="J422" s="79">
        <v>0</v>
      </c>
      <c r="K422" s="79">
        <v>0</v>
      </c>
      <c r="L422" s="79">
        <v>0</v>
      </c>
      <c r="M422" s="79">
        <v>18</v>
      </c>
      <c r="N422" s="79">
        <v>0</v>
      </c>
      <c r="O422" s="79">
        <v>0</v>
      </c>
      <c r="P422" s="79">
        <v>0</v>
      </c>
      <c r="Q422" s="79">
        <v>0</v>
      </c>
      <c r="R422" s="79">
        <v>0</v>
      </c>
      <c r="S422" s="79">
        <v>0</v>
      </c>
      <c r="T422" s="79">
        <v>0</v>
      </c>
      <c r="U422" s="79">
        <v>0</v>
      </c>
      <c r="V422" s="79">
        <v>0</v>
      </c>
      <c r="W422" s="79">
        <v>0</v>
      </c>
      <c r="X422" s="90">
        <v>0</v>
      </c>
    </row>
    <row r="423" spans="1:24" hidden="1" x14ac:dyDescent="0.25">
      <c r="A423" s="80" t="str">
        <v>PENDIENTE</v>
      </c>
      <c r="B423" s="80" t="str">
        <v>Huaranchal</v>
      </c>
      <c r="C423" s="80" t="str">
        <v>Setiembre</v>
      </c>
      <c r="D423" s="81">
        <v>46188</v>
      </c>
      <c r="E423" s="79">
        <v>888</v>
      </c>
      <c r="F423" s="80">
        <v>46195</v>
      </c>
      <c r="G423" s="79" cm="1">
        <f t="array" ref="G423:X423">_xlfn._xlws.FILTER(Formulas!$C$2:$T$201, ISNUMBER(MATCH(Formulas!$B$2:$B$201, B423, 0)),0) * E423</f>
        <v>177.66666666666666</v>
      </c>
      <c r="H423" s="79">
        <v>648</v>
      </c>
      <c r="I423" s="79">
        <v>44.333333333333336</v>
      </c>
      <c r="J423" s="79">
        <v>0</v>
      </c>
      <c r="K423" s="79">
        <v>0</v>
      </c>
      <c r="L423" s="79">
        <v>0</v>
      </c>
      <c r="M423" s="79">
        <v>18</v>
      </c>
      <c r="N423" s="79">
        <v>0</v>
      </c>
      <c r="O423" s="79">
        <v>0</v>
      </c>
      <c r="P423" s="79">
        <v>0</v>
      </c>
      <c r="Q423" s="79">
        <v>0</v>
      </c>
      <c r="R423" s="79">
        <v>0</v>
      </c>
      <c r="S423" s="79">
        <v>0</v>
      </c>
      <c r="T423" s="79">
        <v>0</v>
      </c>
      <c r="U423" s="79">
        <v>0</v>
      </c>
      <c r="V423" s="79">
        <v>0</v>
      </c>
      <c r="W423" s="79">
        <v>0</v>
      </c>
      <c r="X423" s="90">
        <v>0</v>
      </c>
    </row>
    <row r="424" spans="1:24" hidden="1" x14ac:dyDescent="0.25">
      <c r="A424" s="80" t="str">
        <v>PENDIENTE</v>
      </c>
      <c r="B424" s="80" t="str">
        <v>Huaranchal</v>
      </c>
      <c r="C424" s="80" t="str">
        <v>O.C.</v>
      </c>
      <c r="D424" s="81">
        <v>46188</v>
      </c>
      <c r="E424" s="79">
        <v>4013</v>
      </c>
      <c r="F424" s="81">
        <v>46195</v>
      </c>
      <c r="G424" s="79" cm="1">
        <f t="array" ref="G424:X424">_xlfn._xlws.FILTER(Formulas!$C$2:$T$201, ISNUMBER(MATCH(Formulas!$B$2:$B$201, B424, 0)),0) * E424</f>
        <v>802.90127627627623</v>
      </c>
      <c r="H424" s="79">
        <v>2928.4054054054054</v>
      </c>
      <c r="I424" s="79">
        <v>200.34872372372371</v>
      </c>
      <c r="J424" s="79">
        <v>0</v>
      </c>
      <c r="K424" s="79">
        <v>0</v>
      </c>
      <c r="L424" s="79">
        <v>0</v>
      </c>
      <c r="M424" s="79">
        <v>81.344594594594597</v>
      </c>
      <c r="N424" s="79">
        <v>0</v>
      </c>
      <c r="O424" s="79">
        <v>0</v>
      </c>
      <c r="P424" s="79">
        <v>0</v>
      </c>
      <c r="Q424" s="79">
        <v>0</v>
      </c>
      <c r="R424" s="79">
        <v>0</v>
      </c>
      <c r="S424" s="79">
        <v>0</v>
      </c>
      <c r="T424" s="79">
        <v>0</v>
      </c>
      <c r="U424" s="79">
        <v>0</v>
      </c>
      <c r="V424" s="79">
        <v>0</v>
      </c>
      <c r="W424" s="79">
        <v>0</v>
      </c>
      <c r="X424" s="90">
        <v>0</v>
      </c>
    </row>
    <row r="425" spans="1:24" hidden="1" x14ac:dyDescent="0.25">
      <c r="A425" s="80" t="str">
        <v>PENDIENTE</v>
      </c>
      <c r="B425" s="80" t="str">
        <v>Huaranchal</v>
      </c>
      <c r="C425" s="80" t="str">
        <v>Octubre</v>
      </c>
      <c r="D425" s="81">
        <v>46280</v>
      </c>
      <c r="E425" s="79">
        <v>888</v>
      </c>
      <c r="F425" s="81">
        <v>46286</v>
      </c>
      <c r="G425" s="79" cm="1">
        <f t="array" ref="G425:X425">_xlfn._xlws.FILTER(Formulas!$C$2:$T$201, ISNUMBER(MATCH(Formulas!$B$2:$B$201, B425, 0)),0) * E425</f>
        <v>177.66666666666666</v>
      </c>
      <c r="H425" s="79">
        <v>648</v>
      </c>
      <c r="I425" s="79">
        <v>44.333333333333336</v>
      </c>
      <c r="J425" s="79">
        <v>0</v>
      </c>
      <c r="K425" s="79">
        <v>0</v>
      </c>
      <c r="L425" s="79">
        <v>0</v>
      </c>
      <c r="M425" s="79">
        <v>18</v>
      </c>
      <c r="N425" s="79">
        <v>0</v>
      </c>
      <c r="O425" s="79">
        <v>0</v>
      </c>
      <c r="P425" s="79">
        <v>0</v>
      </c>
      <c r="Q425" s="79">
        <v>0</v>
      </c>
      <c r="R425" s="79">
        <v>0</v>
      </c>
      <c r="S425" s="79">
        <v>0</v>
      </c>
      <c r="T425" s="79">
        <v>0</v>
      </c>
      <c r="U425" s="79">
        <v>0</v>
      </c>
      <c r="V425" s="79">
        <v>0</v>
      </c>
      <c r="W425" s="79">
        <v>0</v>
      </c>
      <c r="X425" s="90">
        <v>0</v>
      </c>
    </row>
    <row r="426" spans="1:24" hidden="1" x14ac:dyDescent="0.25">
      <c r="A426" s="80" t="str">
        <v>PENDIENTE</v>
      </c>
      <c r="B426" s="80" t="str">
        <v>Huaranchal</v>
      </c>
      <c r="C426" s="80" t="str">
        <v>Noviembre</v>
      </c>
      <c r="D426" s="81">
        <v>46280</v>
      </c>
      <c r="E426" s="79">
        <v>888</v>
      </c>
      <c r="F426" s="81">
        <v>46286</v>
      </c>
      <c r="G426" s="79" cm="1">
        <f t="array" ref="G426:X426">_xlfn._xlws.FILTER(Formulas!$C$2:$T$201, ISNUMBER(MATCH(Formulas!$B$2:$B$201, B426, 0)),0) * E426</f>
        <v>177.66666666666666</v>
      </c>
      <c r="H426" s="79">
        <v>648</v>
      </c>
      <c r="I426" s="79">
        <v>44.333333333333336</v>
      </c>
      <c r="J426" s="79">
        <v>0</v>
      </c>
      <c r="K426" s="79">
        <v>0</v>
      </c>
      <c r="L426" s="79">
        <v>0</v>
      </c>
      <c r="M426" s="79">
        <v>18</v>
      </c>
      <c r="N426" s="79">
        <v>0</v>
      </c>
      <c r="O426" s="79">
        <v>0</v>
      </c>
      <c r="P426" s="79">
        <v>0</v>
      </c>
      <c r="Q426" s="79">
        <v>0</v>
      </c>
      <c r="R426" s="79">
        <v>0</v>
      </c>
      <c r="S426" s="79">
        <v>0</v>
      </c>
      <c r="T426" s="79">
        <v>0</v>
      </c>
      <c r="U426" s="79">
        <v>0</v>
      </c>
      <c r="V426" s="79">
        <v>0</v>
      </c>
      <c r="W426" s="79">
        <v>0</v>
      </c>
      <c r="X426" s="90">
        <v>0</v>
      </c>
    </row>
    <row r="427" spans="1:24" hidden="1" x14ac:dyDescent="0.25">
      <c r="A427" s="80" t="str">
        <v>PENDIENTE</v>
      </c>
      <c r="B427" s="80" t="str">
        <v>Huaranchal</v>
      </c>
      <c r="C427" s="80" t="str">
        <v>Diciembre</v>
      </c>
      <c r="D427" s="81">
        <v>46280</v>
      </c>
      <c r="E427" s="79">
        <v>888</v>
      </c>
      <c r="F427" s="81">
        <v>46286</v>
      </c>
      <c r="G427" s="79" cm="1">
        <f t="array" ref="G427:X427">_xlfn._xlws.FILTER(Formulas!$C$2:$T$201, ISNUMBER(MATCH(Formulas!$B$2:$B$201, B427, 0)),0) * E427</f>
        <v>177.66666666666666</v>
      </c>
      <c r="H427" s="79">
        <v>648</v>
      </c>
      <c r="I427" s="79">
        <v>44.333333333333336</v>
      </c>
      <c r="J427" s="79">
        <v>0</v>
      </c>
      <c r="K427" s="79">
        <v>0</v>
      </c>
      <c r="L427" s="79">
        <v>0</v>
      </c>
      <c r="M427" s="79">
        <v>18</v>
      </c>
      <c r="N427" s="79">
        <v>0</v>
      </c>
      <c r="O427" s="79">
        <v>0</v>
      </c>
      <c r="P427" s="79">
        <v>0</v>
      </c>
      <c r="Q427" s="79">
        <v>0</v>
      </c>
      <c r="R427" s="79">
        <v>0</v>
      </c>
      <c r="S427" s="79">
        <v>0</v>
      </c>
      <c r="T427" s="79">
        <v>0</v>
      </c>
      <c r="U427" s="79">
        <v>0</v>
      </c>
      <c r="V427" s="79">
        <v>0</v>
      </c>
      <c r="W427" s="79">
        <v>0</v>
      </c>
      <c r="X427" s="90">
        <v>0</v>
      </c>
    </row>
    <row r="428" spans="1:24" hidden="1" x14ac:dyDescent="0.25">
      <c r="A428" s="80" t="str">
        <v>PENDIENTE</v>
      </c>
      <c r="B428" s="80" t="str">
        <v>Huarango</v>
      </c>
      <c r="C428" s="80" t="str">
        <v>Enero / Febrero</v>
      </c>
      <c r="D428" s="81">
        <v>46037</v>
      </c>
      <c r="E428" s="79">
        <v>5559.3</v>
      </c>
      <c r="F428" s="81">
        <v>46081</v>
      </c>
      <c r="G428" s="79" cm="1">
        <f t="array" ref="G428:X428">_xlfn._xlws.FILTER(Formulas!$C$2:$T$201, ISNUMBER(MATCH(Formulas!$B$2:$B$201, B428, 0)),0) * E428</f>
        <v>1111.9599964025542</v>
      </c>
      <c r="H428" s="79">
        <v>4052.3542135084094</v>
      </c>
      <c r="I428" s="79">
        <v>166.9939922654915</v>
      </c>
      <c r="J428" s="79">
        <v>0</v>
      </c>
      <c r="K428" s="79">
        <v>0</v>
      </c>
      <c r="L428" s="79">
        <v>221.99201367029411</v>
      </c>
      <c r="M428" s="79">
        <v>0</v>
      </c>
      <c r="N428" s="79">
        <v>0</v>
      </c>
      <c r="O428" s="79">
        <v>0</v>
      </c>
      <c r="P428" s="79">
        <v>0</v>
      </c>
      <c r="Q428" s="79">
        <v>0</v>
      </c>
      <c r="R428" s="79">
        <v>0</v>
      </c>
      <c r="S428" s="79">
        <v>0</v>
      </c>
      <c r="T428" s="79">
        <v>0</v>
      </c>
      <c r="U428" s="79">
        <v>0</v>
      </c>
      <c r="V428" s="79">
        <v>5.8766384778012686</v>
      </c>
      <c r="W428" s="79">
        <v>0</v>
      </c>
      <c r="X428" s="90">
        <v>0</v>
      </c>
    </row>
    <row r="429" spans="1:24" hidden="1" x14ac:dyDescent="0.25">
      <c r="A429" s="80" t="str">
        <v>PENDIENTE</v>
      </c>
      <c r="B429" s="80" t="str">
        <v>Huarango</v>
      </c>
      <c r="C429" s="80" t="str">
        <v>Marzo / Abril</v>
      </c>
      <c r="D429" s="81">
        <v>46068</v>
      </c>
      <c r="E429" s="79">
        <v>5559.3</v>
      </c>
      <c r="F429" s="80">
        <v>46081</v>
      </c>
      <c r="G429" s="79" cm="1">
        <f t="array" ref="G429:X429">_xlfn._xlws.FILTER(Formulas!$C$2:$T$201, ISNUMBER(MATCH(Formulas!$B$2:$B$201, B429, 0)),0) * E429</f>
        <v>1111.9599964025542</v>
      </c>
      <c r="H429" s="79">
        <v>4052.3542135084094</v>
      </c>
      <c r="I429" s="79">
        <v>166.9939922654915</v>
      </c>
      <c r="J429" s="79">
        <v>0</v>
      </c>
      <c r="K429" s="79">
        <v>0</v>
      </c>
      <c r="L429" s="79">
        <v>221.99201367029411</v>
      </c>
      <c r="M429" s="79">
        <v>0</v>
      </c>
      <c r="N429" s="79">
        <v>0</v>
      </c>
      <c r="O429" s="79">
        <v>0</v>
      </c>
      <c r="P429" s="79">
        <v>0</v>
      </c>
      <c r="Q429" s="79">
        <v>0</v>
      </c>
      <c r="R429" s="79">
        <v>0</v>
      </c>
      <c r="S429" s="79">
        <v>0</v>
      </c>
      <c r="T429" s="79">
        <v>0</v>
      </c>
      <c r="U429" s="79">
        <v>0</v>
      </c>
      <c r="V429" s="79">
        <v>5.8766384778012686</v>
      </c>
      <c r="W429" s="79">
        <v>0</v>
      </c>
      <c r="X429" s="90">
        <v>0</v>
      </c>
    </row>
    <row r="430" spans="1:24" hidden="1" x14ac:dyDescent="0.25">
      <c r="A430" s="80" t="str">
        <v>PENDIENTE</v>
      </c>
      <c r="B430" s="80" t="str">
        <v>Huarango</v>
      </c>
      <c r="C430" s="80" t="str">
        <v>Mayo / Junio</v>
      </c>
      <c r="D430" s="81">
        <v>46127</v>
      </c>
      <c r="E430" s="79">
        <v>5559.3</v>
      </c>
      <c r="F430" s="81">
        <v>46166</v>
      </c>
      <c r="G430" s="79" cm="1">
        <f t="array" ref="G430:X430">_xlfn._xlws.FILTER(Formulas!$C$2:$T$201, ISNUMBER(MATCH(Formulas!$B$2:$B$201, B430, 0)),0) * E430</f>
        <v>1111.9599964025542</v>
      </c>
      <c r="H430" s="79">
        <v>4052.3542135084094</v>
      </c>
      <c r="I430" s="79">
        <v>166.9939922654915</v>
      </c>
      <c r="J430" s="79">
        <v>0</v>
      </c>
      <c r="K430" s="79">
        <v>0</v>
      </c>
      <c r="L430" s="79">
        <v>221.99201367029411</v>
      </c>
      <c r="M430" s="79">
        <v>0</v>
      </c>
      <c r="N430" s="79">
        <v>0</v>
      </c>
      <c r="O430" s="79">
        <v>0</v>
      </c>
      <c r="P430" s="79">
        <v>0</v>
      </c>
      <c r="Q430" s="79">
        <v>0</v>
      </c>
      <c r="R430" s="79">
        <v>0</v>
      </c>
      <c r="S430" s="79">
        <v>0</v>
      </c>
      <c r="T430" s="79">
        <v>0</v>
      </c>
      <c r="U430" s="79">
        <v>0</v>
      </c>
      <c r="V430" s="79">
        <v>5.8766384778012686</v>
      </c>
      <c r="W430" s="79">
        <v>0</v>
      </c>
      <c r="X430" s="90">
        <v>0</v>
      </c>
    </row>
    <row r="431" spans="1:24" hidden="1" x14ac:dyDescent="0.25">
      <c r="A431" s="80" t="str">
        <v>PENDIENTE</v>
      </c>
      <c r="B431" s="80" t="str">
        <v>Huarango</v>
      </c>
      <c r="C431" s="80" t="str">
        <v>Julio / Agosto</v>
      </c>
      <c r="D431" s="81">
        <v>46188</v>
      </c>
      <c r="E431" s="79">
        <v>5559.3</v>
      </c>
      <c r="F431" s="81">
        <v>46177</v>
      </c>
      <c r="G431" s="79" cm="1">
        <f t="array" ref="G431:X431">_xlfn._xlws.FILTER(Formulas!$C$2:$T$201, ISNUMBER(MATCH(Formulas!$B$2:$B$201, B431, 0)),0) * E431</f>
        <v>1111.9599964025542</v>
      </c>
      <c r="H431" s="79">
        <v>4052.3542135084094</v>
      </c>
      <c r="I431" s="79">
        <v>166.9939922654915</v>
      </c>
      <c r="J431" s="79">
        <v>0</v>
      </c>
      <c r="K431" s="79">
        <v>0</v>
      </c>
      <c r="L431" s="79">
        <v>221.99201367029411</v>
      </c>
      <c r="M431" s="79">
        <v>0</v>
      </c>
      <c r="N431" s="79">
        <v>0</v>
      </c>
      <c r="O431" s="79">
        <v>0</v>
      </c>
      <c r="P431" s="79">
        <v>0</v>
      </c>
      <c r="Q431" s="79">
        <v>0</v>
      </c>
      <c r="R431" s="79">
        <v>0</v>
      </c>
      <c r="S431" s="79">
        <v>0</v>
      </c>
      <c r="T431" s="79">
        <v>0</v>
      </c>
      <c r="U431" s="79">
        <v>0</v>
      </c>
      <c r="V431" s="79">
        <v>5.8766384778012686</v>
      </c>
      <c r="W431" s="79">
        <v>0</v>
      </c>
      <c r="X431" s="90">
        <v>0</v>
      </c>
    </row>
    <row r="432" spans="1:24" hidden="1" x14ac:dyDescent="0.25">
      <c r="A432" s="80" t="str">
        <v>PENDIENTE</v>
      </c>
      <c r="B432" s="80" t="str">
        <v>Huarango</v>
      </c>
      <c r="C432" s="80" t="str">
        <v>Septiembre / Octubre</v>
      </c>
      <c r="D432" s="81">
        <v>46249</v>
      </c>
      <c r="E432" s="79">
        <v>5559.3</v>
      </c>
      <c r="F432" s="81">
        <v>46241</v>
      </c>
      <c r="G432" s="79" cm="1">
        <f t="array" ref="G432:X432">_xlfn._xlws.FILTER(Formulas!$C$2:$T$201, ISNUMBER(MATCH(Formulas!$B$2:$B$201, B432, 0)),0) * E432</f>
        <v>1111.9599964025542</v>
      </c>
      <c r="H432" s="79">
        <v>4052.3542135084094</v>
      </c>
      <c r="I432" s="79">
        <v>166.9939922654915</v>
      </c>
      <c r="J432" s="79">
        <v>0</v>
      </c>
      <c r="K432" s="79">
        <v>0</v>
      </c>
      <c r="L432" s="79">
        <v>221.99201367029411</v>
      </c>
      <c r="M432" s="79">
        <v>0</v>
      </c>
      <c r="N432" s="79">
        <v>0</v>
      </c>
      <c r="O432" s="79">
        <v>0</v>
      </c>
      <c r="P432" s="79">
        <v>0</v>
      </c>
      <c r="Q432" s="79">
        <v>0</v>
      </c>
      <c r="R432" s="79">
        <v>0</v>
      </c>
      <c r="S432" s="79">
        <v>0</v>
      </c>
      <c r="T432" s="79">
        <v>0</v>
      </c>
      <c r="U432" s="79">
        <v>0</v>
      </c>
      <c r="V432" s="79">
        <v>5.8766384778012686</v>
      </c>
      <c r="W432" s="79">
        <v>0</v>
      </c>
      <c r="X432" s="90">
        <v>0</v>
      </c>
    </row>
    <row r="433" spans="1:24" hidden="1" x14ac:dyDescent="0.25">
      <c r="A433" s="80" t="str">
        <v>PENDIENTE</v>
      </c>
      <c r="B433" s="80" t="str">
        <v>Huarango</v>
      </c>
      <c r="C433" s="80" t="str">
        <v>Noviembre / Diciembre</v>
      </c>
      <c r="D433" s="81">
        <v>46310</v>
      </c>
      <c r="E433" s="79">
        <v>5559.3</v>
      </c>
      <c r="F433" s="81">
        <v>0</v>
      </c>
      <c r="G433" s="79" cm="1">
        <f t="array" ref="G433:X433">_xlfn._xlws.FILTER(Formulas!$C$2:$T$201, ISNUMBER(MATCH(Formulas!$B$2:$B$201, B433, 0)),0) * E433</f>
        <v>1111.9599964025542</v>
      </c>
      <c r="H433" s="79">
        <v>4052.3542135084094</v>
      </c>
      <c r="I433" s="79">
        <v>166.9939922654915</v>
      </c>
      <c r="J433" s="79">
        <v>0</v>
      </c>
      <c r="K433" s="79">
        <v>0</v>
      </c>
      <c r="L433" s="79">
        <v>221.99201367029411</v>
      </c>
      <c r="M433" s="79">
        <v>0</v>
      </c>
      <c r="N433" s="79">
        <v>0</v>
      </c>
      <c r="O433" s="79">
        <v>0</v>
      </c>
      <c r="P433" s="79">
        <v>0</v>
      </c>
      <c r="Q433" s="79">
        <v>0</v>
      </c>
      <c r="R433" s="79">
        <v>0</v>
      </c>
      <c r="S433" s="79">
        <v>0</v>
      </c>
      <c r="T433" s="79">
        <v>0</v>
      </c>
      <c r="U433" s="79">
        <v>0</v>
      </c>
      <c r="V433" s="79">
        <v>5.8766384778012686</v>
      </c>
      <c r="W433" s="79">
        <v>0</v>
      </c>
      <c r="X433" s="90">
        <v>0</v>
      </c>
    </row>
    <row r="434" spans="1:24" hidden="1" x14ac:dyDescent="0.25">
      <c r="A434" s="80" t="str">
        <v>PENDIENTE</v>
      </c>
      <c r="B434" s="80" t="str">
        <v>O.C.</v>
      </c>
      <c r="C434" s="80" t="str">
        <v>Noviembre / Diciembre</v>
      </c>
      <c r="D434" s="81">
        <v>46286</v>
      </c>
      <c r="E434" s="79">
        <v>6.75</v>
      </c>
      <c r="F434" s="81">
        <v>0</v>
      </c>
      <c r="G434" s="79" cm="1">
        <f t="array" ref="G434">_xlfn._xlws.FILTER(Formulas!$C$2:$T$201, ISNUMBER(MATCH(Formulas!$B$2:$B$201, B434, 0)),0) * E434</f>
        <v>0</v>
      </c>
    </row>
    <row r="435" spans="1:24" hidden="1" x14ac:dyDescent="0.25">
      <c r="A435" s="80" t="str">
        <v>PENDIENTE</v>
      </c>
      <c r="B435" s="80" t="str">
        <v>Huaso</v>
      </c>
      <c r="C435" s="80" t="str">
        <v>Enero</v>
      </c>
      <c r="D435" s="81">
        <v>46027</v>
      </c>
      <c r="E435" s="79">
        <v>1377.8424</v>
      </c>
      <c r="F435" s="81">
        <v>46020</v>
      </c>
      <c r="G435" s="79" cm="1">
        <f t="array" ref="G435:X435">_xlfn._xlws.FILTER(Formulas!$C$2:$T$201, ISNUMBER(MATCH(Formulas!$B$2:$B$201, B435, 0)),0) * E435</f>
        <v>147.98307343976779</v>
      </c>
      <c r="H435" s="79">
        <v>581.9334374455733</v>
      </c>
      <c r="I435" s="79">
        <v>54.99370972423803</v>
      </c>
      <c r="J435" s="79">
        <v>54.99370972423803</v>
      </c>
      <c r="K435" s="79">
        <v>0</v>
      </c>
      <c r="L435" s="79">
        <v>0</v>
      </c>
      <c r="M435" s="79">
        <v>54.99370972423803</v>
      </c>
      <c r="N435" s="79">
        <v>0</v>
      </c>
      <c r="O435" s="79">
        <v>482.94475994194482</v>
      </c>
      <c r="P435" s="79">
        <v>0</v>
      </c>
      <c r="Q435" s="79">
        <v>0</v>
      </c>
      <c r="R435" s="79">
        <v>0</v>
      </c>
      <c r="S435" s="79">
        <v>0</v>
      </c>
      <c r="T435" s="79">
        <v>0</v>
      </c>
      <c r="U435" s="79">
        <v>0</v>
      </c>
      <c r="V435" s="79">
        <v>0</v>
      </c>
      <c r="W435" s="79">
        <v>0</v>
      </c>
      <c r="X435" s="90">
        <v>0</v>
      </c>
    </row>
    <row r="436" spans="1:24" hidden="1" x14ac:dyDescent="0.25">
      <c r="A436" s="80" t="str">
        <v>PENDIENTE</v>
      </c>
      <c r="B436" s="80" t="str">
        <v>Huaso</v>
      </c>
      <c r="C436" s="80" t="str">
        <v>Febrero</v>
      </c>
      <c r="D436" s="81">
        <v>46042</v>
      </c>
      <c r="E436" s="79">
        <v>1377.8424</v>
      </c>
      <c r="F436" s="81">
        <v>46039</v>
      </c>
      <c r="G436" s="79" cm="1">
        <f t="array" ref="G436:X436">_xlfn._xlws.FILTER(Formulas!$C$2:$T$201, ISNUMBER(MATCH(Formulas!$B$2:$B$201, B436, 0)),0) * E436</f>
        <v>147.98307343976779</v>
      </c>
      <c r="H436" s="79">
        <v>581.9334374455733</v>
      </c>
      <c r="I436" s="79">
        <v>54.99370972423803</v>
      </c>
      <c r="J436" s="79">
        <v>54.99370972423803</v>
      </c>
      <c r="K436" s="79">
        <v>0</v>
      </c>
      <c r="L436" s="79">
        <v>0</v>
      </c>
      <c r="M436" s="79">
        <v>54.99370972423803</v>
      </c>
      <c r="N436" s="79">
        <v>0</v>
      </c>
      <c r="O436" s="79">
        <v>482.94475994194482</v>
      </c>
      <c r="P436" s="79">
        <v>0</v>
      </c>
      <c r="Q436" s="79">
        <v>0</v>
      </c>
      <c r="R436" s="79">
        <v>0</v>
      </c>
      <c r="S436" s="79">
        <v>0</v>
      </c>
      <c r="T436" s="79">
        <v>0</v>
      </c>
      <c r="U436" s="79">
        <v>0</v>
      </c>
      <c r="V436" s="79">
        <v>0</v>
      </c>
      <c r="W436" s="79">
        <v>0</v>
      </c>
      <c r="X436" s="90">
        <v>0</v>
      </c>
    </row>
    <row r="437" spans="1:24" hidden="1" x14ac:dyDescent="0.25">
      <c r="A437" s="80" t="str">
        <v>PENDIENTE</v>
      </c>
      <c r="B437" s="80" t="str">
        <v>Huaso</v>
      </c>
      <c r="C437" s="80" t="str">
        <v>Marzo</v>
      </c>
      <c r="D437" s="81">
        <v>46073</v>
      </c>
      <c r="E437" s="79">
        <v>1377.8424</v>
      </c>
      <c r="F437" s="81">
        <v>46069</v>
      </c>
      <c r="G437" s="79" cm="1">
        <f t="array" ref="G437:X437">_xlfn._xlws.FILTER(Formulas!$C$2:$T$201, ISNUMBER(MATCH(Formulas!$B$2:$B$201, B437, 0)),0) * E437</f>
        <v>147.98307343976779</v>
      </c>
      <c r="H437" s="79">
        <v>581.9334374455733</v>
      </c>
      <c r="I437" s="79">
        <v>54.99370972423803</v>
      </c>
      <c r="J437" s="79">
        <v>54.99370972423803</v>
      </c>
      <c r="K437" s="79">
        <v>0</v>
      </c>
      <c r="L437" s="79">
        <v>0</v>
      </c>
      <c r="M437" s="79">
        <v>54.99370972423803</v>
      </c>
      <c r="N437" s="79">
        <v>0</v>
      </c>
      <c r="O437" s="79">
        <v>482.94475994194482</v>
      </c>
      <c r="P437" s="79">
        <v>0</v>
      </c>
      <c r="Q437" s="79">
        <v>0</v>
      </c>
      <c r="R437" s="79">
        <v>0</v>
      </c>
      <c r="S437" s="79">
        <v>0</v>
      </c>
      <c r="T437" s="79">
        <v>0</v>
      </c>
      <c r="U437" s="79">
        <v>0</v>
      </c>
      <c r="V437" s="79">
        <v>0</v>
      </c>
      <c r="W437" s="79">
        <v>0</v>
      </c>
      <c r="X437" s="90">
        <v>0</v>
      </c>
    </row>
    <row r="438" spans="1:24" hidden="1" x14ac:dyDescent="0.25">
      <c r="A438" s="80" t="str">
        <v>PENDIENTE</v>
      </c>
      <c r="B438" s="80" t="str">
        <v>Huaso</v>
      </c>
      <c r="C438" s="80" t="str">
        <v>Abril</v>
      </c>
      <c r="D438" s="81">
        <v>46104</v>
      </c>
      <c r="E438" s="79">
        <v>1377.8424</v>
      </c>
      <c r="F438" s="81">
        <v>46100</v>
      </c>
      <c r="G438" s="79" cm="1">
        <f t="array" ref="G438:X438">_xlfn._xlws.FILTER(Formulas!$C$2:$T$201, ISNUMBER(MATCH(Formulas!$B$2:$B$201, B438, 0)),0) * E438</f>
        <v>147.98307343976779</v>
      </c>
      <c r="H438" s="79">
        <v>581.9334374455733</v>
      </c>
      <c r="I438" s="79">
        <v>54.99370972423803</v>
      </c>
      <c r="J438" s="79">
        <v>54.99370972423803</v>
      </c>
      <c r="K438" s="79">
        <v>0</v>
      </c>
      <c r="L438" s="79">
        <v>0</v>
      </c>
      <c r="M438" s="79">
        <v>54.99370972423803</v>
      </c>
      <c r="N438" s="79">
        <v>0</v>
      </c>
      <c r="O438" s="79">
        <v>482.94475994194482</v>
      </c>
      <c r="P438" s="79">
        <v>0</v>
      </c>
      <c r="Q438" s="79">
        <v>0</v>
      </c>
      <c r="R438" s="79">
        <v>0</v>
      </c>
      <c r="S438" s="79">
        <v>0</v>
      </c>
      <c r="T438" s="79">
        <v>0</v>
      </c>
      <c r="U438" s="79">
        <v>0</v>
      </c>
      <c r="V438" s="79">
        <v>0</v>
      </c>
      <c r="W438" s="79">
        <v>0</v>
      </c>
      <c r="X438" s="90">
        <v>0</v>
      </c>
    </row>
    <row r="439" spans="1:24" hidden="1" x14ac:dyDescent="0.25">
      <c r="A439" s="80" t="str">
        <v>PENDIENTE</v>
      </c>
      <c r="B439" s="80" t="str">
        <v>Huaso</v>
      </c>
      <c r="C439" s="80" t="str">
        <v>Mayo</v>
      </c>
      <c r="D439" s="81">
        <v>46134</v>
      </c>
      <c r="E439" s="79">
        <v>1377.8424</v>
      </c>
      <c r="F439" s="81">
        <v>46131</v>
      </c>
      <c r="G439" s="79" cm="1">
        <f t="array" ref="G439:X439">_xlfn._xlws.FILTER(Formulas!$C$2:$T$201, ISNUMBER(MATCH(Formulas!$B$2:$B$201, B439, 0)),0) * E439</f>
        <v>147.98307343976779</v>
      </c>
      <c r="H439" s="79">
        <v>581.9334374455733</v>
      </c>
      <c r="I439" s="79">
        <v>54.99370972423803</v>
      </c>
      <c r="J439" s="79">
        <v>54.99370972423803</v>
      </c>
      <c r="K439" s="79">
        <v>0</v>
      </c>
      <c r="L439" s="79">
        <v>0</v>
      </c>
      <c r="M439" s="79">
        <v>54.99370972423803</v>
      </c>
      <c r="N439" s="79">
        <v>0</v>
      </c>
      <c r="O439" s="79">
        <v>482.94475994194482</v>
      </c>
      <c r="P439" s="79">
        <v>0</v>
      </c>
      <c r="Q439" s="79">
        <v>0</v>
      </c>
      <c r="R439" s="79">
        <v>0</v>
      </c>
      <c r="S439" s="79">
        <v>0</v>
      </c>
      <c r="T439" s="79">
        <v>0</v>
      </c>
      <c r="U439" s="79">
        <v>0</v>
      </c>
      <c r="V439" s="79">
        <v>0</v>
      </c>
      <c r="W439" s="79">
        <v>0</v>
      </c>
      <c r="X439" s="90">
        <v>0</v>
      </c>
    </row>
    <row r="440" spans="1:24" hidden="1" x14ac:dyDescent="0.25">
      <c r="A440" s="80" t="str">
        <v>PENDIENTE</v>
      </c>
      <c r="B440" s="80" t="str">
        <v>Huaso</v>
      </c>
      <c r="C440" s="80" t="str">
        <v>Junio</v>
      </c>
      <c r="D440" s="81">
        <v>46163</v>
      </c>
      <c r="E440" s="79">
        <v>1377.8424</v>
      </c>
      <c r="F440" s="80">
        <v>46158</v>
      </c>
      <c r="G440" s="79" cm="1">
        <f t="array" ref="G440:X440">_xlfn._xlws.FILTER(Formulas!$C$2:$T$201, ISNUMBER(MATCH(Formulas!$B$2:$B$201, B440, 0)),0) * E440</f>
        <v>147.98307343976779</v>
      </c>
      <c r="H440" s="79">
        <v>581.9334374455733</v>
      </c>
      <c r="I440" s="79">
        <v>54.99370972423803</v>
      </c>
      <c r="J440" s="79">
        <v>54.99370972423803</v>
      </c>
      <c r="K440" s="79">
        <v>0</v>
      </c>
      <c r="L440" s="79">
        <v>0</v>
      </c>
      <c r="M440" s="79">
        <v>54.99370972423803</v>
      </c>
      <c r="N440" s="79">
        <v>0</v>
      </c>
      <c r="O440" s="79">
        <v>482.94475994194482</v>
      </c>
      <c r="P440" s="79">
        <v>0</v>
      </c>
      <c r="Q440" s="79">
        <v>0</v>
      </c>
      <c r="R440" s="79">
        <v>0</v>
      </c>
      <c r="S440" s="79">
        <v>0</v>
      </c>
      <c r="T440" s="79">
        <v>0</v>
      </c>
      <c r="U440" s="79">
        <v>0</v>
      </c>
      <c r="V440" s="79">
        <v>0</v>
      </c>
      <c r="W440" s="79">
        <v>0</v>
      </c>
      <c r="X440" s="90">
        <v>0</v>
      </c>
    </row>
    <row r="441" spans="1:24" hidden="1" x14ac:dyDescent="0.25">
      <c r="A441" s="80" t="str">
        <v>PENDIENTE</v>
      </c>
      <c r="B441" s="80" t="str">
        <v>Huaso</v>
      </c>
      <c r="C441" s="80" t="str">
        <v>Julio</v>
      </c>
      <c r="D441" s="81">
        <v>46195</v>
      </c>
      <c r="E441" s="79">
        <v>1377.8424</v>
      </c>
      <c r="F441" s="80">
        <v>46196</v>
      </c>
      <c r="G441" s="79" cm="1">
        <f t="array" ref="G441:X441">_xlfn._xlws.FILTER(Formulas!$C$2:$T$201, ISNUMBER(MATCH(Formulas!$B$2:$B$201, B441, 0)),0) * E441</f>
        <v>147.98307343976779</v>
      </c>
      <c r="H441" s="79">
        <v>581.9334374455733</v>
      </c>
      <c r="I441" s="79">
        <v>54.99370972423803</v>
      </c>
      <c r="J441" s="79">
        <v>54.99370972423803</v>
      </c>
      <c r="K441" s="79">
        <v>0</v>
      </c>
      <c r="L441" s="79">
        <v>0</v>
      </c>
      <c r="M441" s="79">
        <v>54.99370972423803</v>
      </c>
      <c r="N441" s="79">
        <v>0</v>
      </c>
      <c r="O441" s="79">
        <v>482.94475994194482</v>
      </c>
      <c r="P441" s="79">
        <v>0</v>
      </c>
      <c r="Q441" s="79">
        <v>0</v>
      </c>
      <c r="R441" s="79">
        <v>0</v>
      </c>
      <c r="S441" s="79">
        <v>0</v>
      </c>
      <c r="T441" s="79">
        <v>0</v>
      </c>
      <c r="U441" s="79">
        <v>0</v>
      </c>
      <c r="V441" s="79">
        <v>0</v>
      </c>
      <c r="W441" s="79">
        <v>0</v>
      </c>
      <c r="X441" s="90">
        <v>0</v>
      </c>
    </row>
    <row r="442" spans="1:24" hidden="1" x14ac:dyDescent="0.25">
      <c r="A442" s="80" t="str">
        <v>PENDIENTE</v>
      </c>
      <c r="B442" s="80" t="str">
        <v>Huaso</v>
      </c>
      <c r="C442" s="80" t="str">
        <v>Extra</v>
      </c>
      <c r="D442" s="81">
        <v>46224</v>
      </c>
      <c r="E442" s="79">
        <v>2771.8466130000002</v>
      </c>
      <c r="F442" s="80">
        <v>46212</v>
      </c>
      <c r="G442" s="79" cm="1">
        <f t="array" ref="G442:X442">_xlfn._xlws.FILTER(Formulas!$C$2:$T$201, ISNUMBER(MATCH(Formulas!$B$2:$B$201, B442, 0)),0) * E442</f>
        <v>297.70195843541364</v>
      </c>
      <c r="H442" s="79">
        <v>1170.6928365500726</v>
      </c>
      <c r="I442" s="79">
        <v>110.63248455370103</v>
      </c>
      <c r="J442" s="79">
        <v>110.63248455370103</v>
      </c>
      <c r="K442" s="79">
        <v>0</v>
      </c>
      <c r="L442" s="79">
        <v>0</v>
      </c>
      <c r="M442" s="79">
        <v>110.63248455370103</v>
      </c>
      <c r="N442" s="79">
        <v>0</v>
      </c>
      <c r="O442" s="79">
        <v>971.55436435341085</v>
      </c>
      <c r="P442" s="79">
        <v>0</v>
      </c>
      <c r="Q442" s="79">
        <v>0</v>
      </c>
      <c r="R442" s="79">
        <v>0</v>
      </c>
      <c r="S442" s="79">
        <v>0</v>
      </c>
      <c r="T442" s="79">
        <v>0</v>
      </c>
      <c r="U442" s="79">
        <v>0</v>
      </c>
      <c r="V442" s="79">
        <v>0</v>
      </c>
      <c r="W442" s="79">
        <v>0</v>
      </c>
      <c r="X442" s="90">
        <v>0</v>
      </c>
    </row>
    <row r="443" spans="1:24" hidden="1" x14ac:dyDescent="0.25">
      <c r="A443" s="80" t="str">
        <v>PENDIENTE</v>
      </c>
      <c r="B443" s="80" t="str">
        <v>Huaso</v>
      </c>
      <c r="C443" s="80" t="str">
        <v>Agosto</v>
      </c>
      <c r="D443" s="81">
        <v>46224</v>
      </c>
      <c r="E443" s="79">
        <v>1377.8424</v>
      </c>
      <c r="F443" s="81">
        <v>46212</v>
      </c>
      <c r="G443" s="79" cm="1">
        <f t="array" ref="G443:X443">_xlfn._xlws.FILTER(Formulas!$C$2:$T$201, ISNUMBER(MATCH(Formulas!$B$2:$B$201, B443, 0)),0) * E443</f>
        <v>147.98307343976779</v>
      </c>
      <c r="H443" s="79">
        <v>581.9334374455733</v>
      </c>
      <c r="I443" s="79">
        <v>54.99370972423803</v>
      </c>
      <c r="J443" s="79">
        <v>54.99370972423803</v>
      </c>
      <c r="K443" s="79">
        <v>0</v>
      </c>
      <c r="L443" s="79">
        <v>0</v>
      </c>
      <c r="M443" s="79">
        <v>54.99370972423803</v>
      </c>
      <c r="N443" s="79">
        <v>0</v>
      </c>
      <c r="O443" s="79">
        <v>482.94475994194482</v>
      </c>
      <c r="P443" s="79">
        <v>0</v>
      </c>
      <c r="Q443" s="79">
        <v>0</v>
      </c>
      <c r="R443" s="79">
        <v>0</v>
      </c>
      <c r="S443" s="79">
        <v>0</v>
      </c>
      <c r="T443" s="79">
        <v>0</v>
      </c>
      <c r="U443" s="79">
        <v>0</v>
      </c>
      <c r="V443" s="79">
        <v>0</v>
      </c>
      <c r="W443" s="79">
        <v>0</v>
      </c>
      <c r="X443" s="90">
        <v>0</v>
      </c>
    </row>
    <row r="444" spans="1:24" hidden="1" x14ac:dyDescent="0.25">
      <c r="A444" s="80" t="str">
        <v>PENDIENTE</v>
      </c>
      <c r="B444" s="80" t="str">
        <v>Huaso</v>
      </c>
      <c r="C444" s="80" t="str">
        <v>Setiembre</v>
      </c>
      <c r="D444" s="81">
        <v>46255</v>
      </c>
      <c r="E444" s="79">
        <v>1377.8424</v>
      </c>
      <c r="F444" s="81">
        <v>46252</v>
      </c>
      <c r="G444" s="79" cm="1">
        <f t="array" ref="G444:X444">_xlfn._xlws.FILTER(Formulas!$C$2:$T$201, ISNUMBER(MATCH(Formulas!$B$2:$B$201, B444, 0)),0) * E444</f>
        <v>147.98307343976779</v>
      </c>
      <c r="H444" s="79">
        <v>581.9334374455733</v>
      </c>
      <c r="I444" s="79">
        <v>54.99370972423803</v>
      </c>
      <c r="J444" s="79">
        <v>54.99370972423803</v>
      </c>
      <c r="K444" s="79">
        <v>0</v>
      </c>
      <c r="L444" s="79">
        <v>0</v>
      </c>
      <c r="M444" s="79">
        <v>54.99370972423803</v>
      </c>
      <c r="N444" s="79">
        <v>0</v>
      </c>
      <c r="O444" s="79">
        <v>482.94475994194482</v>
      </c>
      <c r="P444" s="79">
        <v>0</v>
      </c>
      <c r="Q444" s="79">
        <v>0</v>
      </c>
      <c r="R444" s="79">
        <v>0</v>
      </c>
      <c r="S444" s="79">
        <v>0</v>
      </c>
      <c r="T444" s="79">
        <v>0</v>
      </c>
      <c r="U444" s="79">
        <v>0</v>
      </c>
      <c r="V444" s="79">
        <v>0</v>
      </c>
      <c r="W444" s="79">
        <v>0</v>
      </c>
      <c r="X444" s="90">
        <v>0</v>
      </c>
    </row>
    <row r="445" spans="1:24" hidden="1" x14ac:dyDescent="0.25">
      <c r="A445" s="80" t="str">
        <v>PENDIENTE</v>
      </c>
      <c r="B445" s="80" t="str">
        <v>Huaso</v>
      </c>
      <c r="C445" s="80" t="str">
        <v>Octubre</v>
      </c>
      <c r="D445" s="81">
        <v>46286</v>
      </c>
      <c r="E445" s="79">
        <v>1377.8424</v>
      </c>
      <c r="F445" s="81">
        <v>46286</v>
      </c>
      <c r="G445" s="79" cm="1">
        <f t="array" ref="G445:X445">_xlfn._xlws.FILTER(Formulas!$C$2:$T$201, ISNUMBER(MATCH(Formulas!$B$2:$B$201, B445, 0)),0) * E445</f>
        <v>147.98307343976779</v>
      </c>
      <c r="H445" s="79">
        <v>581.9334374455733</v>
      </c>
      <c r="I445" s="79">
        <v>54.99370972423803</v>
      </c>
      <c r="J445" s="79">
        <v>54.99370972423803</v>
      </c>
      <c r="K445" s="79">
        <v>0</v>
      </c>
      <c r="L445" s="79">
        <v>0</v>
      </c>
      <c r="M445" s="79">
        <v>54.99370972423803</v>
      </c>
      <c r="N445" s="79">
        <v>0</v>
      </c>
      <c r="O445" s="79">
        <v>482.94475994194482</v>
      </c>
      <c r="P445" s="79">
        <v>0</v>
      </c>
      <c r="Q445" s="79">
        <v>0</v>
      </c>
      <c r="R445" s="79">
        <v>0</v>
      </c>
      <c r="S445" s="79">
        <v>0</v>
      </c>
      <c r="T445" s="79">
        <v>0</v>
      </c>
      <c r="U445" s="79">
        <v>0</v>
      </c>
      <c r="V445" s="79">
        <v>0</v>
      </c>
      <c r="W445" s="79">
        <v>0</v>
      </c>
      <c r="X445" s="90">
        <v>0</v>
      </c>
    </row>
    <row r="446" spans="1:24" hidden="1" x14ac:dyDescent="0.25">
      <c r="A446" s="80" t="str">
        <v>PENDIENTE</v>
      </c>
      <c r="B446" s="80" t="str">
        <v>Huaso</v>
      </c>
      <c r="C446" s="80" t="str">
        <v>Noviembre</v>
      </c>
      <c r="D446" s="81">
        <v>46316</v>
      </c>
      <c r="E446" s="79">
        <v>1377.8424</v>
      </c>
      <c r="F446" s="81">
        <v>0</v>
      </c>
      <c r="G446" s="79" cm="1">
        <f t="array" ref="G446:X446">_xlfn._xlws.FILTER(Formulas!$C$2:$T$201, ISNUMBER(MATCH(Formulas!$B$2:$B$201, B446, 0)),0) * E446</f>
        <v>147.98307343976779</v>
      </c>
      <c r="H446" s="79">
        <v>581.9334374455733</v>
      </c>
      <c r="I446" s="79">
        <v>54.99370972423803</v>
      </c>
      <c r="J446" s="79">
        <v>54.99370972423803</v>
      </c>
      <c r="K446" s="79">
        <v>0</v>
      </c>
      <c r="L446" s="79">
        <v>0</v>
      </c>
      <c r="M446" s="79">
        <v>54.99370972423803</v>
      </c>
      <c r="N446" s="79">
        <v>0</v>
      </c>
      <c r="O446" s="79">
        <v>482.94475994194482</v>
      </c>
      <c r="P446" s="79">
        <v>0</v>
      </c>
      <c r="Q446" s="79">
        <v>0</v>
      </c>
      <c r="R446" s="79">
        <v>0</v>
      </c>
      <c r="S446" s="79">
        <v>0</v>
      </c>
      <c r="T446" s="79">
        <v>0</v>
      </c>
      <c r="U446" s="79">
        <v>0</v>
      </c>
      <c r="V446" s="79">
        <v>0</v>
      </c>
      <c r="W446" s="79">
        <v>0</v>
      </c>
      <c r="X446" s="90">
        <v>0</v>
      </c>
    </row>
    <row r="447" spans="1:24" hidden="1" x14ac:dyDescent="0.25">
      <c r="A447" s="80" t="str">
        <v>PENDIENTE</v>
      </c>
      <c r="B447" s="80" t="str">
        <v>Huaso</v>
      </c>
      <c r="C447" s="80" t="str">
        <v>Diciembre</v>
      </c>
      <c r="D447" s="81">
        <v>46349</v>
      </c>
      <c r="E447" s="79">
        <v>1377.8424</v>
      </c>
      <c r="F447" s="81">
        <v>0</v>
      </c>
      <c r="G447" s="79" cm="1">
        <f t="array" ref="G447:X447">_xlfn._xlws.FILTER(Formulas!$C$2:$T$201, ISNUMBER(MATCH(Formulas!$B$2:$B$201, B447, 0)),0) * E447</f>
        <v>147.98307343976779</v>
      </c>
      <c r="H447" s="79">
        <v>581.9334374455733</v>
      </c>
      <c r="I447" s="79">
        <v>54.99370972423803</v>
      </c>
      <c r="J447" s="79">
        <v>54.99370972423803</v>
      </c>
      <c r="K447" s="79">
        <v>0</v>
      </c>
      <c r="L447" s="79">
        <v>0</v>
      </c>
      <c r="M447" s="79">
        <v>54.99370972423803</v>
      </c>
      <c r="N447" s="79">
        <v>0</v>
      </c>
      <c r="O447" s="79">
        <v>482.94475994194482</v>
      </c>
      <c r="P447" s="79">
        <v>0</v>
      </c>
      <c r="Q447" s="79">
        <v>0</v>
      </c>
      <c r="R447" s="79">
        <v>0</v>
      </c>
      <c r="S447" s="79">
        <v>0</v>
      </c>
      <c r="T447" s="79">
        <v>0</v>
      </c>
      <c r="U447" s="79">
        <v>0</v>
      </c>
      <c r="V447" s="79">
        <v>0</v>
      </c>
      <c r="W447" s="79">
        <v>0</v>
      </c>
      <c r="X447" s="90">
        <v>0</v>
      </c>
    </row>
    <row r="448" spans="1:24" hidden="1" x14ac:dyDescent="0.25">
      <c r="A448" s="80" t="str">
        <v>PENDIENTE</v>
      </c>
      <c r="B448" s="80" t="str">
        <v>Huaso (azucar)</v>
      </c>
      <c r="C448" s="80" t="str">
        <v>Marzo</v>
      </c>
      <c r="D448" s="81">
        <v>46081</v>
      </c>
      <c r="E448" s="79">
        <v>594</v>
      </c>
      <c r="F448" s="81">
        <v>46071</v>
      </c>
      <c r="G448" s="79" cm="1">
        <f t="array" ref="G448:X448">_xlfn._xlws.FILTER(Formulas!$C$2:$T$201, ISNUMBER(MATCH(Formulas!$B$2:$B$201, B448, 0)),0) * E448</f>
        <v>0</v>
      </c>
      <c r="H448" s="79">
        <v>0</v>
      </c>
      <c r="I448" s="79">
        <v>0</v>
      </c>
      <c r="J448" s="79">
        <v>0</v>
      </c>
      <c r="K448" s="79">
        <v>0</v>
      </c>
      <c r="L448" s="79">
        <v>0</v>
      </c>
      <c r="M448" s="79">
        <v>0</v>
      </c>
      <c r="N448" s="79">
        <v>0</v>
      </c>
      <c r="O448" s="79">
        <v>594</v>
      </c>
      <c r="P448" s="79">
        <v>0</v>
      </c>
      <c r="Q448" s="79">
        <v>0</v>
      </c>
      <c r="R448" s="79">
        <v>0</v>
      </c>
      <c r="S448" s="79">
        <v>0</v>
      </c>
      <c r="T448" s="79">
        <v>0</v>
      </c>
      <c r="U448" s="79">
        <v>0</v>
      </c>
      <c r="V448" s="79">
        <v>0</v>
      </c>
      <c r="W448" s="79">
        <v>0</v>
      </c>
      <c r="X448" s="90">
        <v>0</v>
      </c>
    </row>
    <row r="449" spans="1:24" hidden="1" x14ac:dyDescent="0.25">
      <c r="A449" s="80" t="str">
        <v>PENDIENTE</v>
      </c>
      <c r="B449" s="80" t="str">
        <v>Huaso (azucar)</v>
      </c>
      <c r="C449" s="80" t="str">
        <v>Abril</v>
      </c>
      <c r="D449" s="81">
        <v>46104</v>
      </c>
      <c r="E449" s="79">
        <v>594</v>
      </c>
      <c r="F449" s="81">
        <v>46100</v>
      </c>
      <c r="G449" s="79" cm="1">
        <f t="array" ref="G449:X449">_xlfn._xlws.FILTER(Formulas!$C$2:$T$201, ISNUMBER(MATCH(Formulas!$B$2:$B$201, B449, 0)),0) * E449</f>
        <v>0</v>
      </c>
      <c r="H449" s="79">
        <v>0</v>
      </c>
      <c r="I449" s="79">
        <v>0</v>
      </c>
      <c r="J449" s="79">
        <v>0</v>
      </c>
      <c r="K449" s="79">
        <v>0</v>
      </c>
      <c r="L449" s="79">
        <v>0</v>
      </c>
      <c r="M449" s="79">
        <v>0</v>
      </c>
      <c r="N449" s="79">
        <v>0</v>
      </c>
      <c r="O449" s="79">
        <v>594</v>
      </c>
      <c r="P449" s="79">
        <v>0</v>
      </c>
      <c r="Q449" s="79">
        <v>0</v>
      </c>
      <c r="R449" s="79">
        <v>0</v>
      </c>
      <c r="S449" s="79">
        <v>0</v>
      </c>
      <c r="T449" s="79">
        <v>0</v>
      </c>
      <c r="U449" s="79">
        <v>0</v>
      </c>
      <c r="V449" s="79">
        <v>0</v>
      </c>
      <c r="W449" s="79">
        <v>0</v>
      </c>
      <c r="X449" s="90">
        <v>0</v>
      </c>
    </row>
    <row r="450" spans="1:24" hidden="1" x14ac:dyDescent="0.25">
      <c r="A450" s="80" t="str">
        <v>PENDIENTE</v>
      </c>
      <c r="B450" s="80" t="str">
        <v>Huaso (azucar)</v>
      </c>
      <c r="C450" s="80" t="str">
        <v>Mayo</v>
      </c>
      <c r="D450" s="81">
        <v>46134</v>
      </c>
      <c r="E450" s="79">
        <v>594</v>
      </c>
      <c r="F450" s="80">
        <v>46128</v>
      </c>
      <c r="G450" s="79" cm="1">
        <f t="array" ref="G450:X450">_xlfn._xlws.FILTER(Formulas!$C$2:$T$201, ISNUMBER(MATCH(Formulas!$B$2:$B$201, B450, 0)),0) * E450</f>
        <v>0</v>
      </c>
      <c r="H450" s="79">
        <v>0</v>
      </c>
      <c r="I450" s="79">
        <v>0</v>
      </c>
      <c r="J450" s="79">
        <v>0</v>
      </c>
      <c r="K450" s="79">
        <v>0</v>
      </c>
      <c r="L450" s="79">
        <v>0</v>
      </c>
      <c r="M450" s="79">
        <v>0</v>
      </c>
      <c r="N450" s="79">
        <v>0</v>
      </c>
      <c r="O450" s="79">
        <v>594</v>
      </c>
      <c r="P450" s="79">
        <v>0</v>
      </c>
      <c r="Q450" s="79">
        <v>0</v>
      </c>
      <c r="R450" s="79">
        <v>0</v>
      </c>
      <c r="S450" s="79">
        <v>0</v>
      </c>
      <c r="T450" s="79">
        <v>0</v>
      </c>
      <c r="U450" s="79">
        <v>0</v>
      </c>
      <c r="V450" s="79">
        <v>0</v>
      </c>
      <c r="W450" s="79">
        <v>0</v>
      </c>
      <c r="X450" s="90">
        <v>0</v>
      </c>
    </row>
    <row r="451" spans="1:24" hidden="1" x14ac:dyDescent="0.25">
      <c r="A451" s="80" t="str">
        <v>PENDIENTE</v>
      </c>
      <c r="B451" s="80" t="str">
        <v>Huaso (azucar)</v>
      </c>
      <c r="C451" s="80" t="str">
        <v>Junio</v>
      </c>
      <c r="D451" s="81">
        <v>46163</v>
      </c>
      <c r="E451" s="79">
        <v>594</v>
      </c>
      <c r="F451" s="80">
        <v>46163</v>
      </c>
      <c r="G451" s="79" cm="1">
        <f t="array" ref="G451:X451">_xlfn._xlws.FILTER(Formulas!$C$2:$T$201, ISNUMBER(MATCH(Formulas!$B$2:$B$201, B451, 0)),0) * E451</f>
        <v>0</v>
      </c>
      <c r="H451" s="79">
        <v>0</v>
      </c>
      <c r="I451" s="79">
        <v>0</v>
      </c>
      <c r="J451" s="79">
        <v>0</v>
      </c>
      <c r="K451" s="79">
        <v>0</v>
      </c>
      <c r="L451" s="79">
        <v>0</v>
      </c>
      <c r="M451" s="79">
        <v>0</v>
      </c>
      <c r="N451" s="79">
        <v>0</v>
      </c>
      <c r="O451" s="79">
        <v>594</v>
      </c>
      <c r="P451" s="79">
        <v>0</v>
      </c>
      <c r="Q451" s="79">
        <v>0</v>
      </c>
      <c r="R451" s="79">
        <v>0</v>
      </c>
      <c r="S451" s="79">
        <v>0</v>
      </c>
      <c r="T451" s="79">
        <v>0</v>
      </c>
      <c r="U451" s="79">
        <v>0</v>
      </c>
      <c r="V451" s="79">
        <v>0</v>
      </c>
      <c r="W451" s="79">
        <v>0</v>
      </c>
      <c r="X451" s="90">
        <v>0</v>
      </c>
    </row>
    <row r="452" spans="1:24" hidden="1" x14ac:dyDescent="0.25">
      <c r="A452" s="80" t="str">
        <v>PENDIENTE</v>
      </c>
      <c r="B452" s="80" t="str">
        <v>Huaso (azucar)</v>
      </c>
      <c r="C452" s="80" t="str">
        <v>Julio</v>
      </c>
      <c r="D452" s="81">
        <v>46195</v>
      </c>
      <c r="E452" s="79">
        <v>594</v>
      </c>
      <c r="F452" s="80">
        <v>46196</v>
      </c>
      <c r="G452" s="79" cm="1">
        <f t="array" ref="G452:X452">_xlfn._xlws.FILTER(Formulas!$C$2:$T$201, ISNUMBER(MATCH(Formulas!$B$2:$B$201, B452, 0)),0) * E452</f>
        <v>0</v>
      </c>
      <c r="H452" s="79">
        <v>0</v>
      </c>
      <c r="I452" s="79">
        <v>0</v>
      </c>
      <c r="J452" s="79">
        <v>0</v>
      </c>
      <c r="K452" s="79">
        <v>0</v>
      </c>
      <c r="L452" s="79">
        <v>0</v>
      </c>
      <c r="M452" s="79">
        <v>0</v>
      </c>
      <c r="N452" s="79">
        <v>0</v>
      </c>
      <c r="O452" s="79">
        <v>594</v>
      </c>
      <c r="P452" s="79">
        <v>0</v>
      </c>
      <c r="Q452" s="79">
        <v>0</v>
      </c>
      <c r="R452" s="79">
        <v>0</v>
      </c>
      <c r="S452" s="79">
        <v>0</v>
      </c>
      <c r="T452" s="79">
        <v>0</v>
      </c>
      <c r="U452" s="79">
        <v>0</v>
      </c>
      <c r="V452" s="79">
        <v>0</v>
      </c>
      <c r="W452" s="79">
        <v>0</v>
      </c>
      <c r="X452" s="90">
        <v>0</v>
      </c>
    </row>
    <row r="453" spans="1:24" hidden="1" x14ac:dyDescent="0.25">
      <c r="A453" s="80" t="str">
        <v>PENDIENTE</v>
      </c>
      <c r="B453" s="80" t="str">
        <v>Huaso (azucar)</v>
      </c>
      <c r="C453" s="80" t="str">
        <v>Agosto</v>
      </c>
      <c r="D453" s="81">
        <v>46224</v>
      </c>
      <c r="E453" s="79">
        <v>594</v>
      </c>
      <c r="F453" s="81">
        <v>46212</v>
      </c>
      <c r="G453" s="79" cm="1">
        <f t="array" ref="G453:X453">_xlfn._xlws.FILTER(Formulas!$C$2:$T$201, ISNUMBER(MATCH(Formulas!$B$2:$B$201, B453, 0)),0) * E453</f>
        <v>0</v>
      </c>
      <c r="H453" s="79">
        <v>0</v>
      </c>
      <c r="I453" s="79">
        <v>0</v>
      </c>
      <c r="J453" s="79">
        <v>0</v>
      </c>
      <c r="K453" s="79">
        <v>0</v>
      </c>
      <c r="L453" s="79">
        <v>0</v>
      </c>
      <c r="M453" s="79">
        <v>0</v>
      </c>
      <c r="N453" s="79">
        <v>0</v>
      </c>
      <c r="O453" s="79">
        <v>594</v>
      </c>
      <c r="P453" s="79">
        <v>0</v>
      </c>
      <c r="Q453" s="79">
        <v>0</v>
      </c>
      <c r="R453" s="79">
        <v>0</v>
      </c>
      <c r="S453" s="79">
        <v>0</v>
      </c>
      <c r="T453" s="79">
        <v>0</v>
      </c>
      <c r="U453" s="79">
        <v>0</v>
      </c>
      <c r="V453" s="79">
        <v>0</v>
      </c>
      <c r="W453" s="79">
        <v>0</v>
      </c>
      <c r="X453" s="90">
        <v>0</v>
      </c>
    </row>
    <row r="454" spans="1:24" hidden="1" x14ac:dyDescent="0.25">
      <c r="A454" s="80" t="str">
        <v>PENDIENTE</v>
      </c>
      <c r="B454" s="80" t="str">
        <v>Huaso (azucar)</v>
      </c>
      <c r="C454" s="80" t="str">
        <v>Setiembre</v>
      </c>
      <c r="D454" s="81">
        <v>46255</v>
      </c>
      <c r="E454" s="79">
        <v>594</v>
      </c>
      <c r="F454" s="81">
        <v>46246</v>
      </c>
      <c r="G454" s="79" cm="1">
        <f t="array" ref="G454:X454">_xlfn._xlws.FILTER(Formulas!$C$2:$T$201, ISNUMBER(MATCH(Formulas!$B$2:$B$201, B454, 0)),0) * E454</f>
        <v>0</v>
      </c>
      <c r="H454" s="79">
        <v>0</v>
      </c>
      <c r="I454" s="79">
        <v>0</v>
      </c>
      <c r="J454" s="79">
        <v>0</v>
      </c>
      <c r="K454" s="79">
        <v>0</v>
      </c>
      <c r="L454" s="79">
        <v>0</v>
      </c>
      <c r="M454" s="79">
        <v>0</v>
      </c>
      <c r="N454" s="79">
        <v>0</v>
      </c>
      <c r="O454" s="79">
        <v>594</v>
      </c>
      <c r="P454" s="79">
        <v>0</v>
      </c>
      <c r="Q454" s="79">
        <v>0</v>
      </c>
      <c r="R454" s="79">
        <v>0</v>
      </c>
      <c r="S454" s="79">
        <v>0</v>
      </c>
      <c r="T454" s="79">
        <v>0</v>
      </c>
      <c r="U454" s="79">
        <v>0</v>
      </c>
      <c r="V454" s="79">
        <v>0</v>
      </c>
      <c r="W454" s="79">
        <v>0</v>
      </c>
      <c r="X454" s="90">
        <v>0</v>
      </c>
    </row>
    <row r="455" spans="1:24" hidden="1" x14ac:dyDescent="0.25">
      <c r="A455" s="80" t="str">
        <v>PENDIENTE</v>
      </c>
      <c r="B455" s="80" t="str">
        <v>Huaso (azucar)</v>
      </c>
      <c r="C455" s="80" t="str">
        <v>Octubre</v>
      </c>
      <c r="D455" s="81">
        <v>46286</v>
      </c>
      <c r="E455" s="79">
        <v>594</v>
      </c>
      <c r="F455" s="81">
        <v>46286</v>
      </c>
      <c r="G455" s="79" cm="1">
        <f t="array" ref="G455:X455">_xlfn._xlws.FILTER(Formulas!$C$2:$T$201, ISNUMBER(MATCH(Formulas!$B$2:$B$201, B455, 0)),0) * E455</f>
        <v>0</v>
      </c>
      <c r="H455" s="79">
        <v>0</v>
      </c>
      <c r="I455" s="79">
        <v>0</v>
      </c>
      <c r="J455" s="79">
        <v>0</v>
      </c>
      <c r="K455" s="79">
        <v>0</v>
      </c>
      <c r="L455" s="79">
        <v>0</v>
      </c>
      <c r="M455" s="79">
        <v>0</v>
      </c>
      <c r="N455" s="79">
        <v>0</v>
      </c>
      <c r="O455" s="79">
        <v>594</v>
      </c>
      <c r="P455" s="79">
        <v>0</v>
      </c>
      <c r="Q455" s="79">
        <v>0</v>
      </c>
      <c r="R455" s="79">
        <v>0</v>
      </c>
      <c r="S455" s="79">
        <v>0</v>
      </c>
      <c r="T455" s="79">
        <v>0</v>
      </c>
      <c r="U455" s="79">
        <v>0</v>
      </c>
      <c r="V455" s="79">
        <v>0</v>
      </c>
      <c r="W455" s="79">
        <v>0</v>
      </c>
      <c r="X455" s="90">
        <v>0</v>
      </c>
    </row>
    <row r="456" spans="1:24" hidden="1" x14ac:dyDescent="0.25">
      <c r="A456" s="80" t="str">
        <v>PENDIENTE</v>
      </c>
      <c r="B456" s="80" t="str">
        <v>Huaso (azucar)</v>
      </c>
      <c r="C456" s="80" t="str">
        <v>Noviembre</v>
      </c>
      <c r="D456" s="81">
        <v>46316</v>
      </c>
      <c r="E456" s="79">
        <v>594</v>
      </c>
      <c r="F456" s="81">
        <v>0</v>
      </c>
      <c r="G456" s="79" cm="1">
        <f t="array" ref="G456:X456">_xlfn._xlws.FILTER(Formulas!$C$2:$T$201, ISNUMBER(MATCH(Formulas!$B$2:$B$201, B456, 0)),0) * E456</f>
        <v>0</v>
      </c>
      <c r="H456" s="79">
        <v>0</v>
      </c>
      <c r="I456" s="79">
        <v>0</v>
      </c>
      <c r="J456" s="79">
        <v>0</v>
      </c>
      <c r="K456" s="79">
        <v>0</v>
      </c>
      <c r="L456" s="79">
        <v>0</v>
      </c>
      <c r="M456" s="79">
        <v>0</v>
      </c>
      <c r="N456" s="79">
        <v>0</v>
      </c>
      <c r="O456" s="79">
        <v>594</v>
      </c>
      <c r="P456" s="79">
        <v>0</v>
      </c>
      <c r="Q456" s="79">
        <v>0</v>
      </c>
      <c r="R456" s="79">
        <v>0</v>
      </c>
      <c r="S456" s="79">
        <v>0</v>
      </c>
      <c r="T456" s="79">
        <v>0</v>
      </c>
      <c r="U456" s="79">
        <v>0</v>
      </c>
      <c r="V456" s="79">
        <v>0</v>
      </c>
      <c r="W456" s="79">
        <v>0</v>
      </c>
      <c r="X456" s="90">
        <v>0</v>
      </c>
    </row>
    <row r="457" spans="1:24" hidden="1" x14ac:dyDescent="0.25">
      <c r="A457" s="80" t="str">
        <v>PENDIENTE</v>
      </c>
      <c r="B457" s="80" t="str">
        <v>Huaso (azucar)</v>
      </c>
      <c r="C457" s="80" t="str">
        <v>Diciembre</v>
      </c>
      <c r="D457" s="81">
        <v>46349</v>
      </c>
      <c r="E457" s="79">
        <v>594</v>
      </c>
      <c r="F457" s="81">
        <v>0</v>
      </c>
      <c r="G457" s="79" cm="1">
        <f t="array" ref="G457:X457">_xlfn._xlws.FILTER(Formulas!$C$2:$T$201, ISNUMBER(MATCH(Formulas!$B$2:$B$201, B457, 0)),0) * E457</f>
        <v>0</v>
      </c>
      <c r="H457" s="79">
        <v>0</v>
      </c>
      <c r="I457" s="79">
        <v>0</v>
      </c>
      <c r="J457" s="79">
        <v>0</v>
      </c>
      <c r="K457" s="79">
        <v>0</v>
      </c>
      <c r="L457" s="79">
        <v>0</v>
      </c>
      <c r="M457" s="79">
        <v>0</v>
      </c>
      <c r="N457" s="79">
        <v>0</v>
      </c>
      <c r="O457" s="79">
        <v>594</v>
      </c>
      <c r="P457" s="79">
        <v>0</v>
      </c>
      <c r="Q457" s="79">
        <v>0</v>
      </c>
      <c r="R457" s="79">
        <v>0</v>
      </c>
      <c r="S457" s="79">
        <v>0</v>
      </c>
      <c r="T457" s="79">
        <v>0</v>
      </c>
      <c r="U457" s="79">
        <v>0</v>
      </c>
      <c r="V457" s="79">
        <v>0</v>
      </c>
      <c r="W457" s="79">
        <v>0</v>
      </c>
      <c r="X457" s="90">
        <v>0</v>
      </c>
    </row>
    <row r="458" spans="1:24" hidden="1" x14ac:dyDescent="0.25">
      <c r="A458" s="80" t="str">
        <v>CORDELAN</v>
      </c>
      <c r="B458" s="80" t="str">
        <v>Huayllabamba</v>
      </c>
      <c r="C458" s="80" t="str">
        <v>Abril</v>
      </c>
      <c r="D458" s="81">
        <v>46150</v>
      </c>
      <c r="E458" s="79">
        <v>655.03</v>
      </c>
      <c r="F458" s="81">
        <v>46153</v>
      </c>
      <c r="G458" s="79" cm="1">
        <f t="array" ref="G458:X458">_xlfn._xlws.FILTER(Formulas!$C$2:$T$201, ISNUMBER(MATCH(Formulas!$B$2:$B$201, B458, 0)),0) * E458</f>
        <v>131.006</v>
      </c>
      <c r="H458" s="79">
        <v>491.27249999999998</v>
      </c>
      <c r="I458" s="79">
        <v>32.7515</v>
      </c>
      <c r="J458" s="79">
        <v>0</v>
      </c>
      <c r="K458" s="79">
        <v>0</v>
      </c>
      <c r="L458" s="79">
        <v>0</v>
      </c>
      <c r="M458" s="79">
        <v>0</v>
      </c>
      <c r="N458" s="79">
        <v>0</v>
      </c>
      <c r="O458" s="79">
        <v>0</v>
      </c>
      <c r="P458" s="79">
        <v>0</v>
      </c>
      <c r="Q458" s="79">
        <v>0</v>
      </c>
      <c r="R458" s="79">
        <v>0</v>
      </c>
      <c r="S458" s="79">
        <v>0</v>
      </c>
      <c r="T458" s="79">
        <v>0</v>
      </c>
      <c r="U458" s="79">
        <v>0</v>
      </c>
      <c r="V458" s="79">
        <v>0</v>
      </c>
      <c r="W458" s="79">
        <v>0</v>
      </c>
      <c r="X458" s="90">
        <v>0</v>
      </c>
    </row>
    <row r="459" spans="1:24" hidden="1" x14ac:dyDescent="0.25">
      <c r="A459" s="80" t="str">
        <v>CORDELAN</v>
      </c>
      <c r="B459" s="80" t="str">
        <v>Huayllabamba</v>
      </c>
      <c r="C459" s="80" t="str">
        <v>Mayo</v>
      </c>
      <c r="D459" s="81">
        <v>46150</v>
      </c>
      <c r="E459" s="79">
        <v>655.03</v>
      </c>
      <c r="F459" s="81">
        <v>46153</v>
      </c>
      <c r="G459" s="79" cm="1">
        <f t="array" ref="G459:X459">_xlfn._xlws.FILTER(Formulas!$C$2:$T$201, ISNUMBER(MATCH(Formulas!$B$2:$B$201, B459, 0)),0) * E459</f>
        <v>131.006</v>
      </c>
      <c r="H459" s="79">
        <v>491.27249999999998</v>
      </c>
      <c r="I459" s="79">
        <v>32.7515</v>
      </c>
      <c r="J459" s="79">
        <v>0</v>
      </c>
      <c r="K459" s="79">
        <v>0</v>
      </c>
      <c r="L459" s="79">
        <v>0</v>
      </c>
      <c r="M459" s="79">
        <v>0</v>
      </c>
      <c r="N459" s="79">
        <v>0</v>
      </c>
      <c r="O459" s="79">
        <v>0</v>
      </c>
      <c r="P459" s="79">
        <v>0</v>
      </c>
      <c r="Q459" s="79">
        <v>0</v>
      </c>
      <c r="R459" s="79">
        <v>0</v>
      </c>
      <c r="S459" s="79">
        <v>0</v>
      </c>
      <c r="T459" s="79">
        <v>0</v>
      </c>
      <c r="U459" s="79">
        <v>0</v>
      </c>
      <c r="V459" s="79">
        <v>0</v>
      </c>
      <c r="W459" s="79">
        <v>0</v>
      </c>
      <c r="X459" s="90">
        <v>0</v>
      </c>
    </row>
    <row r="460" spans="1:24" hidden="1" x14ac:dyDescent="0.25">
      <c r="A460" s="80" t="str">
        <v>CORDELAN</v>
      </c>
      <c r="B460" s="80" t="str">
        <v>Huayllabamba</v>
      </c>
      <c r="C460" s="80" t="str">
        <v>Junio</v>
      </c>
      <c r="D460" s="81">
        <v>46164</v>
      </c>
      <c r="E460" s="79">
        <v>655.03</v>
      </c>
      <c r="F460" s="80">
        <v>46153</v>
      </c>
      <c r="G460" s="79" cm="1">
        <f t="array" ref="G460:X460">_xlfn._xlws.FILTER(Formulas!$C$2:$T$201, ISNUMBER(MATCH(Formulas!$B$2:$B$201, B460, 0)),0) * E460</f>
        <v>131.006</v>
      </c>
      <c r="H460" s="79">
        <v>491.27249999999998</v>
      </c>
      <c r="I460" s="79">
        <v>32.7515</v>
      </c>
      <c r="J460" s="79">
        <v>0</v>
      </c>
      <c r="K460" s="79">
        <v>0</v>
      </c>
      <c r="L460" s="79">
        <v>0</v>
      </c>
      <c r="M460" s="79">
        <v>0</v>
      </c>
      <c r="N460" s="79">
        <v>0</v>
      </c>
      <c r="O460" s="79">
        <v>0</v>
      </c>
      <c r="P460" s="79">
        <v>0</v>
      </c>
      <c r="Q460" s="79">
        <v>0</v>
      </c>
      <c r="R460" s="79">
        <v>0</v>
      </c>
      <c r="S460" s="79">
        <v>0</v>
      </c>
      <c r="T460" s="79">
        <v>0</v>
      </c>
      <c r="U460" s="79">
        <v>0</v>
      </c>
      <c r="V460" s="79">
        <v>0</v>
      </c>
      <c r="W460" s="79">
        <v>0</v>
      </c>
      <c r="X460" s="90">
        <v>0</v>
      </c>
    </row>
    <row r="461" spans="1:24" hidden="1" x14ac:dyDescent="0.25">
      <c r="A461" s="80" t="str">
        <v>CORDELAN</v>
      </c>
      <c r="B461" s="80" t="str">
        <v>Huayllabamba</v>
      </c>
      <c r="C461" s="80" t="str">
        <v>Julio</v>
      </c>
      <c r="D461" s="81">
        <v>46197</v>
      </c>
      <c r="E461" s="79">
        <v>655.03</v>
      </c>
      <c r="F461" s="80">
        <v>46189</v>
      </c>
      <c r="G461" s="79" cm="1">
        <f t="array" ref="G461:X461">_xlfn._xlws.FILTER(Formulas!$C$2:$T$201, ISNUMBER(MATCH(Formulas!$B$2:$B$201, B461, 0)),0) * E461</f>
        <v>131.006</v>
      </c>
      <c r="H461" s="79">
        <v>491.27249999999998</v>
      </c>
      <c r="I461" s="79">
        <v>32.7515</v>
      </c>
      <c r="J461" s="79">
        <v>0</v>
      </c>
      <c r="K461" s="79">
        <v>0</v>
      </c>
      <c r="L461" s="79">
        <v>0</v>
      </c>
      <c r="M461" s="79">
        <v>0</v>
      </c>
      <c r="N461" s="79">
        <v>0</v>
      </c>
      <c r="O461" s="79">
        <v>0</v>
      </c>
      <c r="P461" s="79">
        <v>0</v>
      </c>
      <c r="Q461" s="79">
        <v>0</v>
      </c>
      <c r="R461" s="79">
        <v>0</v>
      </c>
      <c r="S461" s="79">
        <v>0</v>
      </c>
      <c r="T461" s="79">
        <v>0</v>
      </c>
      <c r="U461" s="79">
        <v>0</v>
      </c>
      <c r="V461" s="79">
        <v>0</v>
      </c>
      <c r="W461" s="79">
        <v>0</v>
      </c>
      <c r="X461" s="90">
        <v>0</v>
      </c>
    </row>
    <row r="462" spans="1:24" hidden="1" x14ac:dyDescent="0.25">
      <c r="A462" s="80" t="str">
        <v>CORDELAN</v>
      </c>
      <c r="B462" s="80" t="str">
        <v>Huayllabamba</v>
      </c>
      <c r="C462" s="80" t="str">
        <v>Agosto</v>
      </c>
      <c r="D462" s="81">
        <v>46197</v>
      </c>
      <c r="E462" s="79">
        <v>655.03</v>
      </c>
      <c r="F462" s="80">
        <v>46189</v>
      </c>
      <c r="G462" s="79" cm="1">
        <f t="array" ref="G462:X462">_xlfn._xlws.FILTER(Formulas!$C$2:$T$201, ISNUMBER(MATCH(Formulas!$B$2:$B$201, B462, 0)),0) * E462</f>
        <v>131.006</v>
      </c>
      <c r="H462" s="79">
        <v>491.27249999999998</v>
      </c>
      <c r="I462" s="79">
        <v>32.7515</v>
      </c>
      <c r="J462" s="79">
        <v>0</v>
      </c>
      <c r="K462" s="79">
        <v>0</v>
      </c>
      <c r="L462" s="79">
        <v>0</v>
      </c>
      <c r="M462" s="79">
        <v>0</v>
      </c>
      <c r="N462" s="79">
        <v>0</v>
      </c>
      <c r="O462" s="79">
        <v>0</v>
      </c>
      <c r="P462" s="79">
        <v>0</v>
      </c>
      <c r="Q462" s="79">
        <v>0</v>
      </c>
      <c r="R462" s="79">
        <v>0</v>
      </c>
      <c r="S462" s="79">
        <v>0</v>
      </c>
      <c r="T462" s="79">
        <v>0</v>
      </c>
      <c r="U462" s="79">
        <v>0</v>
      </c>
      <c r="V462" s="79">
        <v>0</v>
      </c>
      <c r="W462" s="79">
        <v>0</v>
      </c>
      <c r="X462" s="90">
        <v>0</v>
      </c>
    </row>
    <row r="463" spans="1:24" hidden="1" x14ac:dyDescent="0.25">
      <c r="A463" s="80" t="str">
        <v>CORDELAN</v>
      </c>
      <c r="B463" s="80" t="str">
        <v>Huayllabamba</v>
      </c>
      <c r="C463" s="80" t="str">
        <v>Setiembre</v>
      </c>
      <c r="D463" s="81">
        <v>46197</v>
      </c>
      <c r="E463" s="79">
        <v>655.03</v>
      </c>
      <c r="F463" s="81">
        <v>46189</v>
      </c>
      <c r="G463" s="79" cm="1">
        <f t="array" ref="G463:X463">_xlfn._xlws.FILTER(Formulas!$C$2:$T$201, ISNUMBER(MATCH(Formulas!$B$2:$B$201, B463, 0)),0) * E463</f>
        <v>131.006</v>
      </c>
      <c r="H463" s="79">
        <v>491.27249999999998</v>
      </c>
      <c r="I463" s="79">
        <v>32.7515</v>
      </c>
      <c r="J463" s="79">
        <v>0</v>
      </c>
      <c r="K463" s="79">
        <v>0</v>
      </c>
      <c r="L463" s="79">
        <v>0</v>
      </c>
      <c r="M463" s="79">
        <v>0</v>
      </c>
      <c r="N463" s="79">
        <v>0</v>
      </c>
      <c r="O463" s="79">
        <v>0</v>
      </c>
      <c r="P463" s="79">
        <v>0</v>
      </c>
      <c r="Q463" s="79">
        <v>0</v>
      </c>
      <c r="R463" s="79">
        <v>0</v>
      </c>
      <c r="S463" s="79">
        <v>0</v>
      </c>
      <c r="T463" s="79">
        <v>0</v>
      </c>
      <c r="U463" s="79">
        <v>0</v>
      </c>
      <c r="V463" s="79">
        <v>0</v>
      </c>
      <c r="W463" s="79">
        <v>0</v>
      </c>
      <c r="X463" s="90">
        <v>0</v>
      </c>
    </row>
    <row r="464" spans="1:24" hidden="1" x14ac:dyDescent="0.25">
      <c r="A464" s="80" t="str">
        <v>CORDELAN</v>
      </c>
      <c r="B464" s="80" t="str">
        <v>Huayllabamba</v>
      </c>
      <c r="C464" s="80" t="str">
        <v>O.C.</v>
      </c>
      <c r="D464" s="81">
        <v>46223</v>
      </c>
      <c r="E464" s="79">
        <v>636.01300000000003</v>
      </c>
      <c r="F464" s="81">
        <v>46234</v>
      </c>
      <c r="G464" s="79" cm="1">
        <f t="array" ref="G464:X464">_xlfn._xlws.FILTER(Formulas!$C$2:$T$201, ISNUMBER(MATCH(Formulas!$B$2:$B$201, B464, 0)),0) * E464</f>
        <v>127.20260000000002</v>
      </c>
      <c r="H464" s="79">
        <v>477.00975000000005</v>
      </c>
      <c r="I464" s="79">
        <v>31.800650000000005</v>
      </c>
      <c r="J464" s="79">
        <v>0</v>
      </c>
      <c r="K464" s="79">
        <v>0</v>
      </c>
      <c r="L464" s="79">
        <v>0</v>
      </c>
      <c r="M464" s="79">
        <v>0</v>
      </c>
      <c r="N464" s="79">
        <v>0</v>
      </c>
      <c r="O464" s="79">
        <v>0</v>
      </c>
      <c r="P464" s="79">
        <v>0</v>
      </c>
      <c r="Q464" s="79">
        <v>0</v>
      </c>
      <c r="R464" s="79">
        <v>0</v>
      </c>
      <c r="S464" s="79">
        <v>0</v>
      </c>
      <c r="T464" s="79">
        <v>0</v>
      </c>
      <c r="U464" s="79">
        <v>0</v>
      </c>
      <c r="V464" s="79">
        <v>0</v>
      </c>
      <c r="W464" s="79">
        <v>0</v>
      </c>
      <c r="X464" s="90">
        <v>0</v>
      </c>
    </row>
    <row r="465" spans="1:24" hidden="1" x14ac:dyDescent="0.25">
      <c r="A465" s="80" t="str">
        <v>CORDELAN</v>
      </c>
      <c r="B465" s="80" t="str">
        <v>Huayllabamba</v>
      </c>
      <c r="C465" s="80" t="str">
        <v>Octubre</v>
      </c>
      <c r="D465" s="81">
        <v>46289</v>
      </c>
      <c r="E465" s="79">
        <v>655.03</v>
      </c>
      <c r="F465" s="81">
        <v>46281</v>
      </c>
      <c r="G465" s="79" cm="1">
        <f t="array" ref="G465:X465">_xlfn._xlws.FILTER(Formulas!$C$2:$T$201, ISNUMBER(MATCH(Formulas!$B$2:$B$201, B465, 0)),0) * E465</f>
        <v>131.006</v>
      </c>
      <c r="H465" s="79">
        <v>491.27249999999998</v>
      </c>
      <c r="I465" s="79">
        <v>32.7515</v>
      </c>
      <c r="J465" s="79">
        <v>0</v>
      </c>
      <c r="K465" s="79">
        <v>0</v>
      </c>
      <c r="L465" s="79">
        <v>0</v>
      </c>
      <c r="M465" s="79">
        <v>0</v>
      </c>
      <c r="N465" s="79">
        <v>0</v>
      </c>
      <c r="O465" s="79">
        <v>0</v>
      </c>
      <c r="P465" s="79">
        <v>0</v>
      </c>
      <c r="Q465" s="79">
        <v>0</v>
      </c>
      <c r="R465" s="79">
        <v>0</v>
      </c>
      <c r="S465" s="79">
        <v>0</v>
      </c>
      <c r="T465" s="79">
        <v>0</v>
      </c>
      <c r="U465" s="79">
        <v>0</v>
      </c>
      <c r="V465" s="79">
        <v>0</v>
      </c>
      <c r="W465" s="79">
        <v>0</v>
      </c>
      <c r="X465" s="90">
        <v>0</v>
      </c>
    </row>
    <row r="466" spans="1:24" hidden="1" x14ac:dyDescent="0.25">
      <c r="A466" s="80" t="str">
        <v>CORDELAN</v>
      </c>
      <c r="B466" s="80" t="str">
        <v>Huayllabamba</v>
      </c>
      <c r="C466" s="80" t="str">
        <v>Noviembre</v>
      </c>
      <c r="D466" s="81">
        <v>46289</v>
      </c>
      <c r="E466" s="79">
        <v>655.03</v>
      </c>
      <c r="F466" s="81">
        <v>46281</v>
      </c>
      <c r="G466" s="79" cm="1">
        <f t="array" ref="G466:X466">_xlfn._xlws.FILTER(Formulas!$C$2:$T$201, ISNUMBER(MATCH(Formulas!$B$2:$B$201, B466, 0)),0) * E466</f>
        <v>131.006</v>
      </c>
      <c r="H466" s="79">
        <v>491.27249999999998</v>
      </c>
      <c r="I466" s="79">
        <v>32.7515</v>
      </c>
      <c r="J466" s="79">
        <v>0</v>
      </c>
      <c r="K466" s="79">
        <v>0</v>
      </c>
      <c r="L466" s="79">
        <v>0</v>
      </c>
      <c r="M466" s="79">
        <v>0</v>
      </c>
      <c r="N466" s="79">
        <v>0</v>
      </c>
      <c r="O466" s="79">
        <v>0</v>
      </c>
      <c r="P466" s="79">
        <v>0</v>
      </c>
      <c r="Q466" s="79">
        <v>0</v>
      </c>
      <c r="R466" s="79">
        <v>0</v>
      </c>
      <c r="S466" s="79">
        <v>0</v>
      </c>
      <c r="T466" s="79">
        <v>0</v>
      </c>
      <c r="U466" s="79">
        <v>0</v>
      </c>
      <c r="V466" s="79">
        <v>0</v>
      </c>
      <c r="W466" s="79">
        <v>0</v>
      </c>
      <c r="X466" s="90">
        <v>0</v>
      </c>
    </row>
    <row r="467" spans="1:24" hidden="1" x14ac:dyDescent="0.25">
      <c r="A467" s="80" t="str">
        <v>CORDELAN</v>
      </c>
      <c r="B467" s="80" t="str">
        <v>Huayllabamba</v>
      </c>
      <c r="C467" s="80" t="str">
        <v>Diciembre</v>
      </c>
      <c r="D467" s="81">
        <v>46289</v>
      </c>
      <c r="E467" s="79">
        <v>655.03</v>
      </c>
      <c r="F467" s="81">
        <v>0</v>
      </c>
      <c r="G467" s="79" cm="1">
        <f t="array" ref="G467:X467">_xlfn._xlws.FILTER(Formulas!$C$2:$T$201, ISNUMBER(MATCH(Formulas!$B$2:$B$201, B467, 0)),0) * E467</f>
        <v>131.006</v>
      </c>
      <c r="H467" s="79">
        <v>491.27249999999998</v>
      </c>
      <c r="I467" s="79">
        <v>32.7515</v>
      </c>
      <c r="J467" s="79">
        <v>0</v>
      </c>
      <c r="K467" s="79">
        <v>0</v>
      </c>
      <c r="L467" s="79">
        <v>0</v>
      </c>
      <c r="M467" s="79">
        <v>0</v>
      </c>
      <c r="N467" s="79">
        <v>0</v>
      </c>
      <c r="O467" s="79">
        <v>0</v>
      </c>
      <c r="P467" s="79">
        <v>0</v>
      </c>
      <c r="Q467" s="79">
        <v>0</v>
      </c>
      <c r="R467" s="79">
        <v>0</v>
      </c>
      <c r="S467" s="79">
        <v>0</v>
      </c>
      <c r="T467" s="79">
        <v>0</v>
      </c>
      <c r="U467" s="79">
        <v>0</v>
      </c>
      <c r="V467" s="79">
        <v>0</v>
      </c>
      <c r="W467" s="79">
        <v>0</v>
      </c>
      <c r="X467" s="90">
        <v>0</v>
      </c>
    </row>
    <row r="468" spans="1:24" hidden="1" x14ac:dyDescent="0.25">
      <c r="A468" s="80" t="str">
        <v>PENDIENTE</v>
      </c>
      <c r="B468" s="80" t="str">
        <v>Ichocan</v>
      </c>
      <c r="C468" s="80" t="str">
        <v>Enero / Febrero</v>
      </c>
      <c r="D468" s="81">
        <v>46025</v>
      </c>
      <c r="E468" s="79">
        <v>961.5</v>
      </c>
      <c r="F468" s="81">
        <v>46057</v>
      </c>
      <c r="G468" s="79" cm="1">
        <f t="array" ref="G468:X468">_xlfn._xlws.FILTER(Formulas!$C$2:$T$201, ISNUMBER(MATCH(Formulas!$B$2:$B$201, B468, 0)),0) * E468</f>
        <v>82.208250000000007</v>
      </c>
      <c r="H468" s="79">
        <v>405.51262499999996</v>
      </c>
      <c r="I468" s="79">
        <v>0</v>
      </c>
      <c r="J468" s="79">
        <v>37.017749999999999</v>
      </c>
      <c r="K468" s="79">
        <v>0</v>
      </c>
      <c r="L468" s="79">
        <v>0</v>
      </c>
      <c r="M468" s="79">
        <v>37.017749999999999</v>
      </c>
      <c r="N468" s="79">
        <v>62.016750000000002</v>
      </c>
      <c r="O468" s="79">
        <v>337.48650000000004</v>
      </c>
      <c r="P468" s="79">
        <v>0</v>
      </c>
      <c r="Q468" s="79">
        <v>0</v>
      </c>
      <c r="R468" s="79">
        <v>0</v>
      </c>
      <c r="S468" s="79">
        <v>0</v>
      </c>
      <c r="T468" s="79">
        <v>0</v>
      </c>
      <c r="U468" s="79">
        <v>0.96150000000000002</v>
      </c>
      <c r="V468" s="79">
        <v>0</v>
      </c>
      <c r="W468" s="79">
        <v>0</v>
      </c>
      <c r="X468" s="90">
        <v>0</v>
      </c>
    </row>
    <row r="469" spans="1:24" hidden="1" x14ac:dyDescent="0.25">
      <c r="A469" s="80" t="str">
        <v>PENDIENTE</v>
      </c>
      <c r="B469" s="80" t="str">
        <v>Ichocan</v>
      </c>
      <c r="C469" s="80" t="str">
        <v>Marzo / Abril</v>
      </c>
      <c r="D469" s="81">
        <v>46076</v>
      </c>
      <c r="E469" s="79">
        <v>961.5</v>
      </c>
      <c r="F469" s="80">
        <v>46072</v>
      </c>
      <c r="G469" s="79" cm="1">
        <f t="array" ref="G469:X469">_xlfn._xlws.FILTER(Formulas!$C$2:$T$201, ISNUMBER(MATCH(Formulas!$B$2:$B$201, B469, 0)),0) * E469</f>
        <v>82.208250000000007</v>
      </c>
      <c r="H469" s="79">
        <v>405.51262499999996</v>
      </c>
      <c r="I469" s="79">
        <v>0</v>
      </c>
      <c r="J469" s="79">
        <v>37.017749999999999</v>
      </c>
      <c r="K469" s="79">
        <v>0</v>
      </c>
      <c r="L469" s="79">
        <v>0</v>
      </c>
      <c r="M469" s="79">
        <v>37.017749999999999</v>
      </c>
      <c r="N469" s="79">
        <v>62.016750000000002</v>
      </c>
      <c r="O469" s="79">
        <v>337.48650000000004</v>
      </c>
      <c r="P469" s="79">
        <v>0</v>
      </c>
      <c r="Q469" s="79">
        <v>0</v>
      </c>
      <c r="R469" s="79">
        <v>0</v>
      </c>
      <c r="S469" s="79">
        <v>0</v>
      </c>
      <c r="T469" s="79">
        <v>0</v>
      </c>
      <c r="U469" s="79">
        <v>0.96150000000000002</v>
      </c>
      <c r="V469" s="79">
        <v>0</v>
      </c>
      <c r="W469" s="79">
        <v>0</v>
      </c>
      <c r="X469" s="90">
        <v>0</v>
      </c>
    </row>
    <row r="470" spans="1:24" hidden="1" x14ac:dyDescent="0.25">
      <c r="A470" s="80" t="str">
        <v>PENDIENTE</v>
      </c>
      <c r="B470" s="80" t="str">
        <v>Ichocan</v>
      </c>
      <c r="C470" s="80" t="str">
        <v>Mayo / Junio</v>
      </c>
      <c r="D470" s="81">
        <v>46135</v>
      </c>
      <c r="E470" s="79">
        <v>961.5</v>
      </c>
      <c r="F470" s="81">
        <v>46131</v>
      </c>
      <c r="G470" s="79" cm="1">
        <f t="array" ref="G470:X470">_xlfn._xlws.FILTER(Formulas!$C$2:$T$201, ISNUMBER(MATCH(Formulas!$B$2:$B$201, B470, 0)),0) * E470</f>
        <v>82.208250000000007</v>
      </c>
      <c r="H470" s="79">
        <v>405.51262499999996</v>
      </c>
      <c r="I470" s="79">
        <v>0</v>
      </c>
      <c r="J470" s="79">
        <v>37.017749999999999</v>
      </c>
      <c r="K470" s="79">
        <v>0</v>
      </c>
      <c r="L470" s="79">
        <v>0</v>
      </c>
      <c r="M470" s="79">
        <v>37.017749999999999</v>
      </c>
      <c r="N470" s="79">
        <v>62.016750000000002</v>
      </c>
      <c r="O470" s="79">
        <v>337.48650000000004</v>
      </c>
      <c r="P470" s="79">
        <v>0</v>
      </c>
      <c r="Q470" s="79">
        <v>0</v>
      </c>
      <c r="R470" s="79">
        <v>0</v>
      </c>
      <c r="S470" s="79">
        <v>0</v>
      </c>
      <c r="T470" s="79">
        <v>0</v>
      </c>
      <c r="U470" s="79">
        <v>0.96150000000000002</v>
      </c>
      <c r="V470" s="79">
        <v>0</v>
      </c>
      <c r="W470" s="79">
        <v>0</v>
      </c>
      <c r="X470" s="90">
        <v>0</v>
      </c>
    </row>
    <row r="471" spans="1:24" hidden="1" x14ac:dyDescent="0.25">
      <c r="A471" s="80" t="str">
        <v>PENDIENTE</v>
      </c>
      <c r="B471" s="80" t="str">
        <v>Ichocan</v>
      </c>
      <c r="C471" s="80" t="str">
        <v>Julio / Agosto</v>
      </c>
      <c r="D471" s="81">
        <v>46195</v>
      </c>
      <c r="E471" s="79">
        <v>961.5</v>
      </c>
      <c r="F471" s="81">
        <v>46191</v>
      </c>
      <c r="G471" s="79" cm="1">
        <f t="array" ref="G471:X471">_xlfn._xlws.FILTER(Formulas!$C$2:$T$201, ISNUMBER(MATCH(Formulas!$B$2:$B$201, B471, 0)),0) * E471</f>
        <v>82.208250000000007</v>
      </c>
      <c r="H471" s="79">
        <v>405.51262499999996</v>
      </c>
      <c r="I471" s="79">
        <v>0</v>
      </c>
      <c r="J471" s="79">
        <v>37.017749999999999</v>
      </c>
      <c r="K471" s="79">
        <v>0</v>
      </c>
      <c r="L471" s="79">
        <v>0</v>
      </c>
      <c r="M471" s="79">
        <v>37.017749999999999</v>
      </c>
      <c r="N471" s="79">
        <v>62.016750000000002</v>
      </c>
      <c r="O471" s="79">
        <v>337.48650000000004</v>
      </c>
      <c r="P471" s="79">
        <v>0</v>
      </c>
      <c r="Q471" s="79">
        <v>0</v>
      </c>
      <c r="R471" s="79">
        <v>0</v>
      </c>
      <c r="S471" s="79">
        <v>0</v>
      </c>
      <c r="T471" s="79">
        <v>0</v>
      </c>
      <c r="U471" s="79">
        <v>0.96150000000000002</v>
      </c>
      <c r="V471" s="79">
        <v>0</v>
      </c>
      <c r="W471" s="79">
        <v>0</v>
      </c>
      <c r="X471" s="90">
        <v>0</v>
      </c>
    </row>
    <row r="472" spans="1:24" hidden="1" x14ac:dyDescent="0.25">
      <c r="A472" s="80" t="str">
        <v>PENDIENTE</v>
      </c>
      <c r="B472" s="80" t="str">
        <v>Ichocan</v>
      </c>
      <c r="C472" s="80" t="str">
        <v>O.C.</v>
      </c>
      <c r="D472" s="81">
        <v>46258</v>
      </c>
      <c r="E472" s="79">
        <v>425</v>
      </c>
      <c r="F472" s="81">
        <v>46249</v>
      </c>
      <c r="G472" s="79" cm="1">
        <f t="array" ref="G472:X472">_xlfn._xlws.FILTER(Formulas!$C$2:$T$201, ISNUMBER(MATCH(Formulas!$B$2:$B$201, B472, 0)),0) * E472</f>
        <v>36.337500000000006</v>
      </c>
      <c r="H472" s="79">
        <v>179.24374999999998</v>
      </c>
      <c r="I472" s="79">
        <v>0</v>
      </c>
      <c r="J472" s="79">
        <v>16.362500000000001</v>
      </c>
      <c r="K472" s="79">
        <v>0</v>
      </c>
      <c r="L472" s="79">
        <v>0</v>
      </c>
      <c r="M472" s="79">
        <v>16.362500000000001</v>
      </c>
      <c r="N472" s="79">
        <v>27.412500000000001</v>
      </c>
      <c r="O472" s="79">
        <v>149.17500000000001</v>
      </c>
      <c r="P472" s="79">
        <v>0</v>
      </c>
      <c r="Q472" s="79">
        <v>0</v>
      </c>
      <c r="R472" s="79">
        <v>0</v>
      </c>
      <c r="S472" s="79">
        <v>0</v>
      </c>
      <c r="T472" s="79">
        <v>0</v>
      </c>
      <c r="U472" s="79">
        <v>0.42499999999999999</v>
      </c>
      <c r="V472" s="79">
        <v>0</v>
      </c>
      <c r="W472" s="79">
        <v>0</v>
      </c>
      <c r="X472" s="90">
        <v>0</v>
      </c>
    </row>
    <row r="473" spans="1:24" hidden="1" x14ac:dyDescent="0.25">
      <c r="A473" s="80" t="str">
        <v>PENDIENTE</v>
      </c>
      <c r="B473" s="80" t="str">
        <v>Ichocan</v>
      </c>
      <c r="C473" s="80" t="str">
        <v>Septiembre / Octubre</v>
      </c>
      <c r="D473" s="81">
        <v>46258</v>
      </c>
      <c r="E473" s="79">
        <v>961.5</v>
      </c>
      <c r="F473" s="81">
        <v>46249</v>
      </c>
      <c r="G473" s="79" cm="1">
        <f t="array" ref="G473:X473">_xlfn._xlws.FILTER(Formulas!$C$2:$T$201, ISNUMBER(MATCH(Formulas!$B$2:$B$201, B473, 0)),0) * E473</f>
        <v>82.208250000000007</v>
      </c>
      <c r="H473" s="79">
        <v>405.51262499999996</v>
      </c>
      <c r="I473" s="79">
        <v>0</v>
      </c>
      <c r="J473" s="79">
        <v>37.017749999999999</v>
      </c>
      <c r="K473" s="79">
        <v>0</v>
      </c>
      <c r="L473" s="79">
        <v>0</v>
      </c>
      <c r="M473" s="79">
        <v>37.017749999999999</v>
      </c>
      <c r="N473" s="79">
        <v>62.016750000000002</v>
      </c>
      <c r="O473" s="79">
        <v>337.48650000000004</v>
      </c>
      <c r="P473" s="79">
        <v>0</v>
      </c>
      <c r="Q473" s="79">
        <v>0</v>
      </c>
      <c r="R473" s="79">
        <v>0</v>
      </c>
      <c r="S473" s="79">
        <v>0</v>
      </c>
      <c r="T473" s="79">
        <v>0</v>
      </c>
      <c r="U473" s="79">
        <v>0.96150000000000002</v>
      </c>
      <c r="V473" s="79">
        <v>0</v>
      </c>
      <c r="W473" s="79">
        <v>0</v>
      </c>
      <c r="X473" s="90">
        <v>0</v>
      </c>
    </row>
    <row r="474" spans="1:24" hidden="1" x14ac:dyDescent="0.25">
      <c r="A474" s="80" t="str">
        <v>PENDIENTE</v>
      </c>
      <c r="B474" s="80" t="str">
        <v>Ichocan</v>
      </c>
      <c r="C474" s="80" t="str">
        <v>Noviembre / Diciembre</v>
      </c>
      <c r="D474" s="81">
        <v>46315</v>
      </c>
      <c r="E474" s="79">
        <v>961.5</v>
      </c>
      <c r="F474" s="81">
        <v>0</v>
      </c>
      <c r="G474" s="79" cm="1">
        <f t="array" ref="G474:X474">_xlfn._xlws.FILTER(Formulas!$C$2:$T$201, ISNUMBER(MATCH(Formulas!$B$2:$B$201, B474, 0)),0) * E474</f>
        <v>82.208250000000007</v>
      </c>
      <c r="H474" s="79">
        <v>405.51262499999996</v>
      </c>
      <c r="I474" s="79">
        <v>0</v>
      </c>
      <c r="J474" s="79">
        <v>37.017749999999999</v>
      </c>
      <c r="K474" s="79">
        <v>0</v>
      </c>
      <c r="L474" s="79">
        <v>0</v>
      </c>
      <c r="M474" s="79">
        <v>37.017749999999999</v>
      </c>
      <c r="N474" s="79">
        <v>62.016750000000002</v>
      </c>
      <c r="O474" s="79">
        <v>337.48650000000004</v>
      </c>
      <c r="P474" s="79">
        <v>0</v>
      </c>
      <c r="Q474" s="79">
        <v>0</v>
      </c>
      <c r="R474" s="79">
        <v>0</v>
      </c>
      <c r="S474" s="79">
        <v>0</v>
      </c>
      <c r="T474" s="79">
        <v>0</v>
      </c>
      <c r="U474" s="79">
        <v>0.96150000000000002</v>
      </c>
      <c r="V474" s="79">
        <v>0</v>
      </c>
      <c r="W474" s="79">
        <v>0</v>
      </c>
      <c r="X474" s="90">
        <v>0</v>
      </c>
    </row>
    <row r="475" spans="1:24" hidden="1" x14ac:dyDescent="0.25">
      <c r="A475" s="80" t="str">
        <v>PENDIENTE</v>
      </c>
      <c r="B475" s="80" t="str">
        <v>IMPERIUM</v>
      </c>
      <c r="C475" s="80" t="str">
        <v>O.C.</v>
      </c>
      <c r="D475" s="81">
        <v>46036</v>
      </c>
      <c r="E475" s="79">
        <v>3000</v>
      </c>
      <c r="F475" s="81">
        <v>46057</v>
      </c>
      <c r="G475" s="79" cm="1">
        <f t="array" ref="G475:X475">_xlfn._xlws.FILTER(Formulas!$C$2:$T$201, ISNUMBER(MATCH(Formulas!$B$2:$B$201, B475, 0)),0) * E475</f>
        <v>600</v>
      </c>
      <c r="H475" s="79">
        <v>2160</v>
      </c>
      <c r="I475" s="79">
        <v>120</v>
      </c>
      <c r="J475" s="79">
        <v>0</v>
      </c>
      <c r="K475" s="79">
        <v>0</v>
      </c>
      <c r="L475" s="79">
        <v>0</v>
      </c>
      <c r="M475" s="79">
        <v>120</v>
      </c>
      <c r="N475" s="79">
        <v>0</v>
      </c>
      <c r="O475" s="79">
        <v>0</v>
      </c>
      <c r="P475" s="79">
        <v>0</v>
      </c>
      <c r="Q475" s="79">
        <v>0</v>
      </c>
      <c r="R475" s="79">
        <v>0</v>
      </c>
      <c r="S475" s="79">
        <v>0</v>
      </c>
      <c r="T475" s="79">
        <v>0</v>
      </c>
      <c r="U475" s="79">
        <v>0</v>
      </c>
      <c r="V475" s="79">
        <v>0</v>
      </c>
      <c r="W475" s="79">
        <v>0</v>
      </c>
      <c r="X475" s="90">
        <v>0</v>
      </c>
    </row>
    <row r="476" spans="1:24" hidden="1" x14ac:dyDescent="0.25">
      <c r="A476" s="80" t="str">
        <v>PENDIENTE</v>
      </c>
      <c r="B476" s="80" t="str">
        <v>IMPERIUM</v>
      </c>
      <c r="C476" s="80" t="str">
        <v>O.C.</v>
      </c>
      <c r="D476" s="81">
        <v>46037</v>
      </c>
      <c r="E476" s="79">
        <v>1000</v>
      </c>
      <c r="F476" s="81">
        <v>46051</v>
      </c>
      <c r="G476" s="79" cm="1">
        <f t="array" ref="G476:X476">_xlfn._xlws.FILTER(Formulas!$C$2:$T$201, ISNUMBER(MATCH(Formulas!$B$2:$B$201, B476, 0)),0) * E476</f>
        <v>200</v>
      </c>
      <c r="H476" s="79">
        <v>720</v>
      </c>
      <c r="I476" s="79">
        <v>40</v>
      </c>
      <c r="J476" s="79">
        <v>0</v>
      </c>
      <c r="K476" s="79">
        <v>0</v>
      </c>
      <c r="L476" s="79">
        <v>0</v>
      </c>
      <c r="M476" s="79">
        <v>40</v>
      </c>
      <c r="N476" s="79">
        <v>0</v>
      </c>
      <c r="O476" s="79">
        <v>0</v>
      </c>
      <c r="P476" s="79">
        <v>0</v>
      </c>
      <c r="Q476" s="79">
        <v>0</v>
      </c>
      <c r="R476" s="79">
        <v>0</v>
      </c>
      <c r="S476" s="79">
        <v>0</v>
      </c>
      <c r="T476" s="79">
        <v>0</v>
      </c>
      <c r="U476" s="79">
        <v>0</v>
      </c>
      <c r="V476" s="79">
        <v>0</v>
      </c>
      <c r="W476" s="79">
        <v>0</v>
      </c>
      <c r="X476" s="90">
        <v>0</v>
      </c>
    </row>
    <row r="477" spans="1:24" hidden="1" x14ac:dyDescent="0.25">
      <c r="A477" s="80" t="str">
        <v>PENDIENTE</v>
      </c>
      <c r="B477" s="80" t="str">
        <v>IMPERIUM</v>
      </c>
      <c r="C477" s="80" t="str">
        <v>O.C. 15</v>
      </c>
      <c r="D477" s="81">
        <v>46157</v>
      </c>
      <c r="E477" s="79">
        <v>3170</v>
      </c>
      <c r="F477" s="81">
        <v>46156</v>
      </c>
      <c r="G477" s="79" cm="1">
        <f t="array" ref="G477:X477">_xlfn._xlws.FILTER(Formulas!$C$2:$T$201, ISNUMBER(MATCH(Formulas!$B$2:$B$201, B477, 0)),0) * E477</f>
        <v>634</v>
      </c>
      <c r="H477" s="79">
        <v>2282.4</v>
      </c>
      <c r="I477" s="79">
        <v>126.8</v>
      </c>
      <c r="J477" s="79">
        <v>0</v>
      </c>
      <c r="K477" s="79">
        <v>0</v>
      </c>
      <c r="L477" s="79">
        <v>0</v>
      </c>
      <c r="M477" s="79">
        <v>126.8</v>
      </c>
      <c r="N477" s="79">
        <v>0</v>
      </c>
      <c r="O477" s="79">
        <v>0</v>
      </c>
      <c r="P477" s="79">
        <v>0</v>
      </c>
      <c r="Q477" s="79">
        <v>0</v>
      </c>
      <c r="R477" s="79">
        <v>0</v>
      </c>
      <c r="S477" s="79">
        <v>0</v>
      </c>
      <c r="T477" s="79">
        <v>0</v>
      </c>
      <c r="U477" s="79">
        <v>0</v>
      </c>
      <c r="V477" s="79">
        <v>0</v>
      </c>
      <c r="W477" s="79">
        <v>0</v>
      </c>
      <c r="X477" s="90">
        <v>0</v>
      </c>
    </row>
    <row r="478" spans="1:24" hidden="1" x14ac:dyDescent="0.25">
      <c r="A478" s="80" t="str">
        <v>PENDIENTE</v>
      </c>
      <c r="B478" s="80" t="str">
        <v>IMPERIUM</v>
      </c>
      <c r="C478" s="80" t="str">
        <v>O.C. 13</v>
      </c>
      <c r="D478" s="81">
        <v>46157</v>
      </c>
      <c r="E478" s="79">
        <v>740</v>
      </c>
      <c r="F478" s="81">
        <v>46159</v>
      </c>
      <c r="G478" s="79" cm="1">
        <f t="array" ref="G478:X478">_xlfn._xlws.FILTER(Formulas!$C$2:$T$201, ISNUMBER(MATCH(Formulas!$B$2:$B$201, B478, 0)),0) * E478</f>
        <v>148</v>
      </c>
      <c r="H478" s="79">
        <v>532.79999999999995</v>
      </c>
      <c r="I478" s="79">
        <v>29.6</v>
      </c>
      <c r="J478" s="79">
        <v>0</v>
      </c>
      <c r="K478" s="79">
        <v>0</v>
      </c>
      <c r="L478" s="79">
        <v>0</v>
      </c>
      <c r="M478" s="79">
        <v>29.6</v>
      </c>
      <c r="N478" s="79">
        <v>0</v>
      </c>
      <c r="O478" s="79">
        <v>0</v>
      </c>
      <c r="P478" s="79">
        <v>0</v>
      </c>
      <c r="Q478" s="79">
        <v>0</v>
      </c>
      <c r="R478" s="79">
        <v>0</v>
      </c>
      <c r="S478" s="79">
        <v>0</v>
      </c>
      <c r="T478" s="79">
        <v>0</v>
      </c>
      <c r="U478" s="79">
        <v>0</v>
      </c>
      <c r="V478" s="79">
        <v>0</v>
      </c>
      <c r="W478" s="79">
        <v>0</v>
      </c>
      <c r="X478" s="90">
        <v>0</v>
      </c>
    </row>
    <row r="479" spans="1:24" hidden="1" x14ac:dyDescent="0.25">
      <c r="A479" s="80" t="str">
        <v>PENDIENTE</v>
      </c>
      <c r="B479" s="80" t="str">
        <v>IMPERIUM</v>
      </c>
      <c r="C479" s="80" t="str">
        <v>O.C. 18</v>
      </c>
      <c r="D479" s="81">
        <v>46188</v>
      </c>
      <c r="E479" s="79">
        <v>772</v>
      </c>
      <c r="F479" s="81">
        <v>46191</v>
      </c>
      <c r="G479" s="79" cm="1">
        <f t="array" ref="G479:X479">_xlfn._xlws.FILTER(Formulas!$C$2:$T$201, ISNUMBER(MATCH(Formulas!$B$2:$B$201, B479, 0)),0) * E479</f>
        <v>154.4</v>
      </c>
      <c r="H479" s="79">
        <v>555.84</v>
      </c>
      <c r="I479" s="79">
        <v>30.88</v>
      </c>
      <c r="J479" s="79">
        <v>0</v>
      </c>
      <c r="K479" s="79">
        <v>0</v>
      </c>
      <c r="L479" s="79">
        <v>0</v>
      </c>
      <c r="M479" s="79">
        <v>30.88</v>
      </c>
      <c r="N479" s="79">
        <v>0</v>
      </c>
      <c r="O479" s="79">
        <v>0</v>
      </c>
      <c r="P479" s="79">
        <v>0</v>
      </c>
      <c r="Q479" s="79">
        <v>0</v>
      </c>
      <c r="R479" s="79">
        <v>0</v>
      </c>
      <c r="S479" s="79">
        <v>0</v>
      </c>
      <c r="T479" s="79">
        <v>0</v>
      </c>
      <c r="U479" s="79">
        <v>0</v>
      </c>
      <c r="V479" s="79">
        <v>0</v>
      </c>
      <c r="W479" s="79">
        <v>0</v>
      </c>
      <c r="X479" s="90">
        <v>0</v>
      </c>
    </row>
    <row r="480" spans="1:24" hidden="1" x14ac:dyDescent="0.25">
      <c r="A480" s="80" t="str">
        <v>PENDIENTE</v>
      </c>
      <c r="B480" s="80" t="str">
        <v>IMPERIUM</v>
      </c>
      <c r="C480" s="80" t="str">
        <v>O.C. 20</v>
      </c>
      <c r="D480" s="81">
        <v>46230</v>
      </c>
      <c r="E480" s="79">
        <v>3204</v>
      </c>
      <c r="F480" s="81">
        <v>46230</v>
      </c>
      <c r="G480" s="79" cm="1">
        <f t="array" ref="G480:X480">_xlfn._xlws.FILTER(Formulas!$C$2:$T$201, ISNUMBER(MATCH(Formulas!$B$2:$B$201, B480, 0)),0) * E480</f>
        <v>640.80000000000007</v>
      </c>
      <c r="H480" s="79">
        <v>2306.88</v>
      </c>
      <c r="I480" s="79">
        <v>128.16</v>
      </c>
      <c r="J480" s="79">
        <v>0</v>
      </c>
      <c r="K480" s="79">
        <v>0</v>
      </c>
      <c r="L480" s="79">
        <v>0</v>
      </c>
      <c r="M480" s="79">
        <v>128.16</v>
      </c>
      <c r="N480" s="79">
        <v>0</v>
      </c>
      <c r="O480" s="79">
        <v>0</v>
      </c>
      <c r="P480" s="79">
        <v>0</v>
      </c>
      <c r="Q480" s="79">
        <v>0</v>
      </c>
      <c r="R480" s="79">
        <v>0</v>
      </c>
      <c r="S480" s="79">
        <v>0</v>
      </c>
      <c r="T480" s="79">
        <v>0</v>
      </c>
      <c r="U480" s="79">
        <v>0</v>
      </c>
      <c r="V480" s="79">
        <v>0</v>
      </c>
      <c r="W480" s="79">
        <v>0</v>
      </c>
      <c r="X480" s="90">
        <v>0</v>
      </c>
    </row>
    <row r="481" spans="1:24" hidden="1" x14ac:dyDescent="0.25">
      <c r="A481" s="80" t="str">
        <v>PENDIENTE</v>
      </c>
      <c r="B481" s="80" t="str">
        <v>IMPERIUM 2</v>
      </c>
      <c r="C481" s="80" t="str">
        <v>O.C. 20</v>
      </c>
      <c r="D481" s="81">
        <v>46230</v>
      </c>
      <c r="E481" s="79">
        <v>283</v>
      </c>
      <c r="F481" s="80">
        <v>46230</v>
      </c>
      <c r="G481" s="79" cm="1">
        <f t="array" ref="G481:X481">_xlfn._xlws.FILTER(Formulas!$C$2:$T$201, ISNUMBER(MATCH(Formulas!$B$2:$B$201, B481, 0)),0) * E481</f>
        <v>133.63888888888883</v>
      </c>
      <c r="H481" s="79">
        <v>133.63888888888883</v>
      </c>
      <c r="I481" s="79">
        <v>0</v>
      </c>
      <c r="J481" s="79">
        <v>0</v>
      </c>
      <c r="K481" s="79">
        <v>0</v>
      </c>
      <c r="L481" s="79">
        <v>0</v>
      </c>
      <c r="M481" s="79">
        <v>15.722222222222221</v>
      </c>
      <c r="N481" s="79">
        <v>0</v>
      </c>
      <c r="O481" s="79">
        <v>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0</v>
      </c>
      <c r="V481" s="79">
        <v>0</v>
      </c>
      <c r="W481" s="79">
        <v>0</v>
      </c>
      <c r="X481" s="90">
        <v>0</v>
      </c>
    </row>
    <row r="482" spans="1:24" hidden="1" x14ac:dyDescent="0.25">
      <c r="A482" s="80" t="str">
        <v>PENDIENTE</v>
      </c>
      <c r="B482" s="80" t="str">
        <v>Imperium Plt</v>
      </c>
      <c r="C482" s="80" t="str">
        <v>O.C.</v>
      </c>
      <c r="D482" s="81">
        <v>46127</v>
      </c>
      <c r="E482" s="79">
        <v>228</v>
      </c>
      <c r="F482" s="81">
        <v>46124</v>
      </c>
      <c r="G482" s="79" cm="1">
        <f t="array" ref="G482:X482">_xlfn._xlws.FILTER(Formulas!$C$2:$T$201, ISNUMBER(MATCH(Formulas!$B$2:$B$201, B482, 0)),0) * E482</f>
        <v>45</v>
      </c>
      <c r="H482" s="79">
        <v>155</v>
      </c>
      <c r="I482" s="79">
        <v>10</v>
      </c>
      <c r="J482" s="79">
        <v>9</v>
      </c>
      <c r="K482" s="79">
        <v>0</v>
      </c>
      <c r="L482" s="79">
        <v>0</v>
      </c>
      <c r="M482" s="79">
        <v>9</v>
      </c>
      <c r="N482" s="79">
        <v>0</v>
      </c>
      <c r="O482" s="79">
        <v>0</v>
      </c>
      <c r="P482" s="79">
        <v>0</v>
      </c>
      <c r="Q482" s="79">
        <v>0</v>
      </c>
      <c r="R482" s="79">
        <v>0</v>
      </c>
      <c r="S482" s="79">
        <v>0</v>
      </c>
      <c r="T482" s="79">
        <v>0</v>
      </c>
      <c r="U482" s="79">
        <v>0</v>
      </c>
      <c r="V482" s="79">
        <v>0.22800000000000001</v>
      </c>
      <c r="W482" s="79">
        <v>0</v>
      </c>
      <c r="X482" s="90">
        <v>0</v>
      </c>
    </row>
    <row r="483" spans="1:24" hidden="1" x14ac:dyDescent="0.25">
      <c r="A483" s="80" t="str">
        <v>PENDIENTE</v>
      </c>
      <c r="B483" s="80" t="str">
        <v>Imperium Plt</v>
      </c>
      <c r="C483" s="80" t="str">
        <v>O.C. 18</v>
      </c>
      <c r="D483" s="81">
        <v>46188</v>
      </c>
      <c r="E483" s="79">
        <v>228</v>
      </c>
      <c r="F483" s="81">
        <v>46191</v>
      </c>
      <c r="G483" s="79" cm="1">
        <f t="array" ref="G483:X483">_xlfn._xlws.FILTER(Formulas!$C$2:$T$201, ISNUMBER(MATCH(Formulas!$B$2:$B$201, B483, 0)),0) * E483</f>
        <v>45</v>
      </c>
      <c r="H483" s="79">
        <v>155</v>
      </c>
      <c r="I483" s="79">
        <v>10</v>
      </c>
      <c r="J483" s="79">
        <v>9</v>
      </c>
      <c r="K483" s="79">
        <v>0</v>
      </c>
      <c r="L483" s="79">
        <v>0</v>
      </c>
      <c r="M483" s="79">
        <v>9</v>
      </c>
      <c r="N483" s="79">
        <v>0</v>
      </c>
      <c r="O483" s="79">
        <v>0</v>
      </c>
      <c r="P483" s="79">
        <v>0</v>
      </c>
      <c r="Q483" s="79">
        <v>0</v>
      </c>
      <c r="R483" s="79">
        <v>0</v>
      </c>
      <c r="S483" s="79">
        <v>0</v>
      </c>
      <c r="T483" s="79">
        <v>0</v>
      </c>
      <c r="U483" s="79">
        <v>0</v>
      </c>
      <c r="V483" s="79">
        <v>0.22800000000000001</v>
      </c>
      <c r="W483" s="79">
        <v>0</v>
      </c>
      <c r="X483" s="90">
        <v>0</v>
      </c>
    </row>
    <row r="484" spans="1:24" hidden="1" x14ac:dyDescent="0.25">
      <c r="A484" s="80" t="str">
        <v>PENDIENTE</v>
      </c>
      <c r="B484" s="80" t="str">
        <v>Ingenio</v>
      </c>
      <c r="C484" s="80" t="str">
        <v>O.C.</v>
      </c>
      <c r="D484" s="81">
        <v>46112</v>
      </c>
      <c r="E484" s="79">
        <v>997.5</v>
      </c>
      <c r="F484" s="81">
        <v>46117</v>
      </c>
      <c r="G484" s="79" cm="1">
        <f t="array" ref="G484:X484">_xlfn._xlws.FILTER(Formulas!$C$2:$T$201, ISNUMBER(MATCH(Formulas!$B$2:$B$201, B484, 0)),0) * E484</f>
        <v>199.5</v>
      </c>
      <c r="H484" s="79">
        <v>728.17499999999995</v>
      </c>
      <c r="I484" s="79">
        <v>69.825000000000003</v>
      </c>
      <c r="J484" s="79">
        <v>0</v>
      </c>
      <c r="K484" s="79">
        <v>0</v>
      </c>
      <c r="L484" s="79">
        <v>0</v>
      </c>
      <c r="M484" s="79">
        <v>0</v>
      </c>
      <c r="N484" s="79">
        <v>0</v>
      </c>
      <c r="O484" s="79">
        <v>0</v>
      </c>
      <c r="P484" s="79">
        <v>0</v>
      </c>
      <c r="Q484" s="79">
        <v>0</v>
      </c>
      <c r="R484" s="79">
        <v>0</v>
      </c>
      <c r="S484" s="79">
        <v>0</v>
      </c>
      <c r="T484" s="79">
        <v>0</v>
      </c>
      <c r="U484" s="79">
        <v>0</v>
      </c>
      <c r="V484" s="79">
        <v>0</v>
      </c>
      <c r="W484" s="79">
        <v>0</v>
      </c>
      <c r="X484" s="90">
        <v>0</v>
      </c>
    </row>
    <row r="485" spans="1:24" hidden="1" x14ac:dyDescent="0.25">
      <c r="A485" s="80" t="str">
        <v>PENDIENTE</v>
      </c>
      <c r="B485" s="80" t="str">
        <v>Ingenio</v>
      </c>
      <c r="C485" s="80" t="str">
        <v>Julio / Agosto / Septiembre</v>
      </c>
      <c r="D485" s="81">
        <v>46203</v>
      </c>
      <c r="E485" s="79">
        <v>498.75</v>
      </c>
      <c r="F485" s="81">
        <v>46203</v>
      </c>
      <c r="G485" s="79" cm="1">
        <f t="array" ref="G485:X485">_xlfn._xlws.FILTER(Formulas!$C$2:$T$201, ISNUMBER(MATCH(Formulas!$B$2:$B$201, B485, 0)),0) * E485</f>
        <v>99.75</v>
      </c>
      <c r="H485" s="79">
        <v>364.08749999999998</v>
      </c>
      <c r="I485" s="79">
        <v>34.912500000000001</v>
      </c>
      <c r="J485" s="79">
        <v>0</v>
      </c>
      <c r="K485" s="79">
        <v>0</v>
      </c>
      <c r="L485" s="79">
        <v>0</v>
      </c>
      <c r="M485" s="79">
        <v>0</v>
      </c>
      <c r="N485" s="79">
        <v>0</v>
      </c>
      <c r="O485" s="79">
        <v>0</v>
      </c>
      <c r="P485" s="79">
        <v>0</v>
      </c>
      <c r="Q485" s="79">
        <v>0</v>
      </c>
      <c r="R485" s="79">
        <v>0</v>
      </c>
      <c r="S485" s="79">
        <v>0</v>
      </c>
      <c r="T485" s="79">
        <v>0</v>
      </c>
      <c r="U485" s="79">
        <v>0</v>
      </c>
      <c r="V485" s="79">
        <v>0</v>
      </c>
      <c r="W485" s="79">
        <v>0</v>
      </c>
      <c r="X485" s="90">
        <v>0</v>
      </c>
    </row>
    <row r="486" spans="1:24" hidden="1" x14ac:dyDescent="0.25">
      <c r="A486" s="80" t="str">
        <v>PENDIENTE</v>
      </c>
      <c r="B486" s="80" t="str">
        <v>Ingenio</v>
      </c>
      <c r="C486" s="80" t="str">
        <v>Octubre / Noviembre / Diciembre</v>
      </c>
      <c r="D486" s="81">
        <v>46295</v>
      </c>
      <c r="E486" s="79">
        <v>498.75</v>
      </c>
      <c r="F486" s="81">
        <v>0</v>
      </c>
      <c r="G486" s="79" cm="1">
        <f t="array" ref="G486:X486">_xlfn._xlws.FILTER(Formulas!$C$2:$T$201, ISNUMBER(MATCH(Formulas!$B$2:$B$201, B486, 0)),0) * E486</f>
        <v>99.75</v>
      </c>
      <c r="H486" s="79">
        <v>364.08749999999998</v>
      </c>
      <c r="I486" s="79">
        <v>34.912500000000001</v>
      </c>
      <c r="J486" s="79">
        <v>0</v>
      </c>
      <c r="K486" s="79">
        <v>0</v>
      </c>
      <c r="L486" s="79">
        <v>0</v>
      </c>
      <c r="M486" s="79">
        <v>0</v>
      </c>
      <c r="N486" s="79">
        <v>0</v>
      </c>
      <c r="O486" s="79">
        <v>0</v>
      </c>
      <c r="P486" s="79">
        <v>0</v>
      </c>
      <c r="Q486" s="79">
        <v>0</v>
      </c>
      <c r="R486" s="79">
        <v>0</v>
      </c>
      <c r="S486" s="79">
        <v>0</v>
      </c>
      <c r="T486" s="79">
        <v>0</v>
      </c>
      <c r="U486" s="79">
        <v>0</v>
      </c>
      <c r="V486" s="79">
        <v>0</v>
      </c>
      <c r="W486" s="79">
        <v>0</v>
      </c>
      <c r="X486" s="90">
        <v>0</v>
      </c>
    </row>
    <row r="487" spans="1:24" hidden="1" x14ac:dyDescent="0.25">
      <c r="A487" s="80" t="str">
        <v>ANDES</v>
      </c>
      <c r="B487" s="80" t="str">
        <v>Ingenio</v>
      </c>
      <c r="C487" s="80" t="str">
        <v>O.C.</v>
      </c>
      <c r="D487" s="81">
        <v>46287</v>
      </c>
      <c r="E487" s="79">
        <v>280</v>
      </c>
      <c r="F487" s="81">
        <v>0</v>
      </c>
      <c r="G487" s="79" cm="1">
        <f t="array" ref="G487:X487">_xlfn._xlws.FILTER(Formulas!$C$2:$T$201, ISNUMBER(MATCH(Formulas!$B$2:$B$201, B487, 0)),0) * E487</f>
        <v>56</v>
      </c>
      <c r="H487" s="79">
        <v>204.4</v>
      </c>
      <c r="I487" s="79">
        <v>19.600000000000001</v>
      </c>
      <c r="J487" s="79">
        <v>0</v>
      </c>
      <c r="K487" s="79">
        <v>0</v>
      </c>
      <c r="L487" s="79">
        <v>0</v>
      </c>
      <c r="M487" s="79">
        <v>0</v>
      </c>
      <c r="N487" s="79">
        <v>0</v>
      </c>
      <c r="O487" s="79">
        <v>0</v>
      </c>
      <c r="P487" s="79">
        <v>0</v>
      </c>
      <c r="Q487" s="79">
        <v>0</v>
      </c>
      <c r="R487" s="79">
        <v>0</v>
      </c>
      <c r="S487" s="79">
        <v>0</v>
      </c>
      <c r="T487" s="79">
        <v>0</v>
      </c>
      <c r="U487" s="79">
        <v>0</v>
      </c>
      <c r="V487" s="79">
        <v>0</v>
      </c>
      <c r="W487" s="79">
        <v>0</v>
      </c>
      <c r="X487" s="90">
        <v>0</v>
      </c>
    </row>
    <row r="488" spans="1:24" hidden="1" x14ac:dyDescent="0.25">
      <c r="A488" s="80" t="str">
        <v>PENDIENTE</v>
      </c>
      <c r="B488" s="80" t="str">
        <v>Jesus</v>
      </c>
      <c r="C488" s="80" t="str">
        <v>Enero</v>
      </c>
      <c r="D488" s="81">
        <v>46006</v>
      </c>
      <c r="E488" s="79">
        <v>3813</v>
      </c>
      <c r="F488" s="81">
        <v>46007</v>
      </c>
      <c r="G488" s="79" cm="1">
        <f t="array" ref="G488:X488">_xlfn._xlws.FILTER(Formulas!$C$2:$T$201, ISNUMBER(MATCH(Formulas!$B$2:$B$201, B488, 0)),0) * E488</f>
        <v>839</v>
      </c>
      <c r="H488" s="79">
        <v>2476</v>
      </c>
      <c r="I488" s="79">
        <v>153</v>
      </c>
      <c r="J488" s="79">
        <v>115</v>
      </c>
      <c r="K488" s="79">
        <v>0</v>
      </c>
      <c r="L488" s="79">
        <v>115</v>
      </c>
      <c r="M488" s="79">
        <v>115</v>
      </c>
      <c r="N488" s="79">
        <v>0</v>
      </c>
      <c r="O488" s="79">
        <v>0</v>
      </c>
      <c r="P488" s="79">
        <v>0</v>
      </c>
      <c r="Q488" s="79">
        <v>0</v>
      </c>
      <c r="R488" s="79">
        <v>0</v>
      </c>
      <c r="S488" s="79">
        <v>0</v>
      </c>
      <c r="T488" s="79">
        <v>0</v>
      </c>
      <c r="U488" s="79">
        <v>0</v>
      </c>
      <c r="V488" s="79">
        <v>0</v>
      </c>
      <c r="W488" s="79">
        <v>0</v>
      </c>
      <c r="X488" s="90">
        <v>0</v>
      </c>
    </row>
    <row r="489" spans="1:24" hidden="1" x14ac:dyDescent="0.25">
      <c r="A489" s="80" t="str">
        <v>PENDIENTE</v>
      </c>
      <c r="B489" s="80" t="str">
        <v>Jesus</v>
      </c>
      <c r="C489" s="80" t="str">
        <v>Febrero</v>
      </c>
      <c r="D489" s="81">
        <v>46037</v>
      </c>
      <c r="E489" s="79">
        <v>3444</v>
      </c>
      <c r="F489" s="81">
        <v>46034</v>
      </c>
      <c r="G489" s="79" cm="1">
        <f t="array" ref="G489:X489">_xlfn._xlws.FILTER(Formulas!$C$2:$T$201, ISNUMBER(MATCH(Formulas!$B$2:$B$201, B489, 0)),0) * E489</f>
        <v>757.80645161290317</v>
      </c>
      <c r="H489" s="79">
        <v>2236.3870967741937</v>
      </c>
      <c r="I489" s="79">
        <v>138.19354838709677</v>
      </c>
      <c r="J489" s="79">
        <v>103.87096774193549</v>
      </c>
      <c r="K489" s="79">
        <v>0</v>
      </c>
      <c r="L489" s="79">
        <v>103.87096774193549</v>
      </c>
      <c r="M489" s="79">
        <v>103.87096774193549</v>
      </c>
      <c r="N489" s="79">
        <v>0</v>
      </c>
      <c r="O489" s="79">
        <v>0</v>
      </c>
      <c r="P489" s="79">
        <v>0</v>
      </c>
      <c r="Q489" s="79">
        <v>0</v>
      </c>
      <c r="R489" s="79">
        <v>0</v>
      </c>
      <c r="S489" s="79">
        <v>0</v>
      </c>
      <c r="T489" s="79">
        <v>0</v>
      </c>
      <c r="U489" s="79">
        <v>0</v>
      </c>
      <c r="V489" s="79">
        <v>0</v>
      </c>
      <c r="W489" s="79">
        <v>0</v>
      </c>
      <c r="X489" s="90">
        <v>0</v>
      </c>
    </row>
    <row r="490" spans="1:24" hidden="1" x14ac:dyDescent="0.25">
      <c r="A490" s="80" t="str">
        <v>PENDIENTE</v>
      </c>
      <c r="B490" s="80" t="str">
        <v>Jesus</v>
      </c>
      <c r="C490" s="80" t="str">
        <v>Marzo</v>
      </c>
      <c r="D490" s="81">
        <v>46068</v>
      </c>
      <c r="E490" s="79">
        <v>3813</v>
      </c>
      <c r="F490" s="81">
        <v>46070</v>
      </c>
      <c r="G490" s="79" cm="1">
        <f t="array" ref="G490:X490">_xlfn._xlws.FILTER(Formulas!$C$2:$T$201, ISNUMBER(MATCH(Formulas!$B$2:$B$201, B490, 0)),0) * E490</f>
        <v>839</v>
      </c>
      <c r="H490" s="79">
        <v>2476</v>
      </c>
      <c r="I490" s="79">
        <v>153</v>
      </c>
      <c r="J490" s="79">
        <v>115</v>
      </c>
      <c r="K490" s="79">
        <v>0</v>
      </c>
      <c r="L490" s="79">
        <v>115</v>
      </c>
      <c r="M490" s="79">
        <v>115</v>
      </c>
      <c r="N490" s="79">
        <v>0</v>
      </c>
      <c r="O490" s="79">
        <v>0</v>
      </c>
      <c r="P490" s="79">
        <v>0</v>
      </c>
      <c r="Q490" s="79">
        <v>0</v>
      </c>
      <c r="R490" s="79">
        <v>0</v>
      </c>
      <c r="S490" s="79">
        <v>0</v>
      </c>
      <c r="T490" s="79">
        <v>0</v>
      </c>
      <c r="U490" s="79">
        <v>0</v>
      </c>
      <c r="V490" s="79">
        <v>0</v>
      </c>
      <c r="W490" s="79">
        <v>0</v>
      </c>
      <c r="X490" s="90">
        <v>0</v>
      </c>
    </row>
    <row r="491" spans="1:24" hidden="1" x14ac:dyDescent="0.25">
      <c r="A491" s="80" t="str">
        <v>PENDIENTE</v>
      </c>
      <c r="B491" s="80" t="str">
        <v>Jesus</v>
      </c>
      <c r="C491" s="80" t="str">
        <v>Abril</v>
      </c>
      <c r="D491" s="81">
        <v>46096</v>
      </c>
      <c r="E491" s="79">
        <v>3690</v>
      </c>
      <c r="F491" s="81">
        <v>46095</v>
      </c>
      <c r="G491" s="79" cm="1">
        <f t="array" ref="G491:X491">_xlfn._xlws.FILTER(Formulas!$C$2:$T$201, ISNUMBER(MATCH(Formulas!$B$2:$B$201, B491, 0)),0) * E491</f>
        <v>811.93548387096769</v>
      </c>
      <c r="H491" s="79">
        <v>2396.1290322580649</v>
      </c>
      <c r="I491" s="79">
        <v>148.06451612903226</v>
      </c>
      <c r="J491" s="79">
        <v>111.29032258064515</v>
      </c>
      <c r="K491" s="79">
        <v>0</v>
      </c>
      <c r="L491" s="79">
        <v>111.29032258064515</v>
      </c>
      <c r="M491" s="79">
        <v>111.29032258064515</v>
      </c>
      <c r="N491" s="79">
        <v>0</v>
      </c>
      <c r="O491" s="79">
        <v>0</v>
      </c>
      <c r="P491" s="79">
        <v>0</v>
      </c>
      <c r="Q491" s="79">
        <v>0</v>
      </c>
      <c r="R491" s="79">
        <v>0</v>
      </c>
      <c r="S491" s="79">
        <v>0</v>
      </c>
      <c r="T491" s="79">
        <v>0</v>
      </c>
      <c r="U491" s="79">
        <v>0</v>
      </c>
      <c r="V491" s="79">
        <v>0</v>
      </c>
      <c r="W491" s="79">
        <v>0</v>
      </c>
      <c r="X491" s="90">
        <v>0</v>
      </c>
    </row>
    <row r="492" spans="1:24" hidden="1" x14ac:dyDescent="0.25">
      <c r="A492" s="80" t="str">
        <v>PENDIENTE</v>
      </c>
      <c r="B492" s="80" t="str">
        <v>Jesus</v>
      </c>
      <c r="C492" s="80" t="str">
        <v>Mayo</v>
      </c>
      <c r="D492" s="81">
        <v>46127</v>
      </c>
      <c r="E492" s="79">
        <v>3813</v>
      </c>
      <c r="F492" s="80">
        <v>46131</v>
      </c>
      <c r="G492" s="79" cm="1">
        <f t="array" ref="G492:X492">_xlfn._xlws.FILTER(Formulas!$C$2:$T$201, ISNUMBER(MATCH(Formulas!$B$2:$B$201, B492, 0)),0) * E492</f>
        <v>839</v>
      </c>
      <c r="H492" s="79">
        <v>2476</v>
      </c>
      <c r="I492" s="79">
        <v>153</v>
      </c>
      <c r="J492" s="79">
        <v>115</v>
      </c>
      <c r="K492" s="79">
        <v>0</v>
      </c>
      <c r="L492" s="79">
        <v>115</v>
      </c>
      <c r="M492" s="79">
        <v>115</v>
      </c>
      <c r="N492" s="79">
        <v>0</v>
      </c>
      <c r="O492" s="79">
        <v>0</v>
      </c>
      <c r="P492" s="79">
        <v>0</v>
      </c>
      <c r="Q492" s="79">
        <v>0</v>
      </c>
      <c r="R492" s="79">
        <v>0</v>
      </c>
      <c r="S492" s="79">
        <v>0</v>
      </c>
      <c r="T492" s="79">
        <v>0</v>
      </c>
      <c r="U492" s="79">
        <v>0</v>
      </c>
      <c r="V492" s="79">
        <v>0</v>
      </c>
      <c r="W492" s="79">
        <v>0</v>
      </c>
      <c r="X492" s="90">
        <v>0</v>
      </c>
    </row>
    <row r="493" spans="1:24" hidden="1" x14ac:dyDescent="0.25">
      <c r="A493" s="80" t="str">
        <v>PENDIENTE</v>
      </c>
      <c r="B493" s="80" t="str">
        <v>Jesus</v>
      </c>
      <c r="C493" s="80" t="str">
        <v>Junio</v>
      </c>
      <c r="D493" s="81">
        <v>46157</v>
      </c>
      <c r="E493" s="79">
        <v>3690</v>
      </c>
      <c r="F493" s="80">
        <v>46155</v>
      </c>
      <c r="G493" s="79" cm="1">
        <f t="array" ref="G493:X493">_xlfn._xlws.FILTER(Formulas!$C$2:$T$201, ISNUMBER(MATCH(Formulas!$B$2:$B$201, B493, 0)),0) * E493</f>
        <v>811.93548387096769</v>
      </c>
      <c r="H493" s="79">
        <v>2396.1290322580649</v>
      </c>
      <c r="I493" s="79">
        <v>148.06451612903226</v>
      </c>
      <c r="J493" s="79">
        <v>111.29032258064515</v>
      </c>
      <c r="K493" s="79">
        <v>0</v>
      </c>
      <c r="L493" s="79">
        <v>111.29032258064515</v>
      </c>
      <c r="M493" s="79">
        <v>111.29032258064515</v>
      </c>
      <c r="N493" s="79">
        <v>0</v>
      </c>
      <c r="O493" s="79">
        <v>0</v>
      </c>
      <c r="P493" s="79">
        <v>0</v>
      </c>
      <c r="Q493" s="79">
        <v>0</v>
      </c>
      <c r="R493" s="79">
        <v>0</v>
      </c>
      <c r="S493" s="79">
        <v>0</v>
      </c>
      <c r="T493" s="79">
        <v>0</v>
      </c>
      <c r="U493" s="79">
        <v>0</v>
      </c>
      <c r="V493" s="79">
        <v>0</v>
      </c>
      <c r="W493" s="79">
        <v>0</v>
      </c>
      <c r="X493" s="90">
        <v>0</v>
      </c>
    </row>
    <row r="494" spans="1:24" hidden="1" x14ac:dyDescent="0.25">
      <c r="A494" s="80" t="str">
        <v>PENDIENTE</v>
      </c>
      <c r="B494" s="80" t="str">
        <v>Jesus</v>
      </c>
      <c r="C494" s="80" t="str">
        <v>Julio</v>
      </c>
      <c r="D494" s="81">
        <v>46188</v>
      </c>
      <c r="E494" s="79">
        <v>3813</v>
      </c>
      <c r="F494" s="80">
        <v>46188</v>
      </c>
      <c r="G494" s="79" cm="1">
        <f t="array" ref="G494:X494">_xlfn._xlws.FILTER(Formulas!$C$2:$T$201, ISNUMBER(MATCH(Formulas!$B$2:$B$201, B494, 0)),0) * E494</f>
        <v>839</v>
      </c>
      <c r="H494" s="79">
        <v>2476</v>
      </c>
      <c r="I494" s="79">
        <v>153</v>
      </c>
      <c r="J494" s="79">
        <v>115</v>
      </c>
      <c r="K494" s="79">
        <v>0</v>
      </c>
      <c r="L494" s="79">
        <v>115</v>
      </c>
      <c r="M494" s="79">
        <v>115</v>
      </c>
      <c r="N494" s="79">
        <v>0</v>
      </c>
      <c r="O494" s="79">
        <v>0</v>
      </c>
      <c r="P494" s="79">
        <v>0</v>
      </c>
      <c r="Q494" s="79">
        <v>0</v>
      </c>
      <c r="R494" s="79">
        <v>0</v>
      </c>
      <c r="S494" s="79">
        <v>0</v>
      </c>
      <c r="T494" s="79">
        <v>0</v>
      </c>
      <c r="U494" s="79">
        <v>0</v>
      </c>
      <c r="V494" s="79">
        <v>0</v>
      </c>
      <c r="W494" s="79">
        <v>0</v>
      </c>
      <c r="X494" s="90">
        <v>0</v>
      </c>
    </row>
    <row r="495" spans="1:24" hidden="1" x14ac:dyDescent="0.25">
      <c r="A495" s="80" t="str">
        <v>PENDIENTE</v>
      </c>
      <c r="B495" s="80" t="str">
        <v>Jesus</v>
      </c>
      <c r="C495" s="80" t="str">
        <v>O.C</v>
      </c>
      <c r="D495" s="81">
        <v>46188</v>
      </c>
      <c r="E495" s="79">
        <v>5205.2859950000002</v>
      </c>
      <c r="F495" s="81">
        <v>46202</v>
      </c>
      <c r="G495" s="79" cm="1">
        <f t="array" ref="G495:X495">_xlfn._xlws.FILTER(Formulas!$C$2:$T$201, ISNUMBER(MATCH(Formulas!$B$2:$B$201, B495, 0)),0) * E495</f>
        <v>1145.3540387634409</v>
      </c>
      <c r="H495" s="79">
        <v>3380.0912991397854</v>
      </c>
      <c r="I495" s="79">
        <v>208.8667079032258</v>
      </c>
      <c r="J495" s="79">
        <v>156.99131639784946</v>
      </c>
      <c r="K495" s="79">
        <v>0</v>
      </c>
      <c r="L495" s="79">
        <v>156.99131639784946</v>
      </c>
      <c r="M495" s="79">
        <v>156.99131639784946</v>
      </c>
      <c r="N495" s="79">
        <v>0</v>
      </c>
      <c r="O495" s="79">
        <v>0</v>
      </c>
      <c r="P495" s="79">
        <v>0</v>
      </c>
      <c r="Q495" s="79">
        <v>0</v>
      </c>
      <c r="R495" s="79">
        <v>0</v>
      </c>
      <c r="S495" s="79">
        <v>0</v>
      </c>
      <c r="T495" s="79">
        <v>0</v>
      </c>
      <c r="U495" s="79">
        <v>0</v>
      </c>
      <c r="V495" s="79">
        <v>0</v>
      </c>
      <c r="W495" s="79">
        <v>0</v>
      </c>
      <c r="X495" s="90">
        <v>0</v>
      </c>
    </row>
    <row r="496" spans="1:24" hidden="1" x14ac:dyDescent="0.25">
      <c r="A496" s="80" t="str">
        <v>PENDIENTE</v>
      </c>
      <c r="B496" s="80" t="str">
        <v>Jesus</v>
      </c>
      <c r="C496" s="80" t="str">
        <v>Agosto</v>
      </c>
      <c r="D496" s="81">
        <v>46218</v>
      </c>
      <c r="E496" s="79">
        <v>3813</v>
      </c>
      <c r="F496" s="81">
        <v>46221</v>
      </c>
      <c r="G496" s="79" cm="1">
        <f t="array" ref="G496:X496">_xlfn._xlws.FILTER(Formulas!$C$2:$T$201, ISNUMBER(MATCH(Formulas!$B$2:$B$201, B496, 0)),0) * E496</f>
        <v>839</v>
      </c>
      <c r="H496" s="79">
        <v>2476</v>
      </c>
      <c r="I496" s="79">
        <v>153</v>
      </c>
      <c r="J496" s="79">
        <v>115</v>
      </c>
      <c r="K496" s="79">
        <v>0</v>
      </c>
      <c r="L496" s="79">
        <v>115</v>
      </c>
      <c r="M496" s="79">
        <v>115</v>
      </c>
      <c r="N496" s="79">
        <v>0</v>
      </c>
      <c r="O496" s="79">
        <v>0</v>
      </c>
      <c r="P496" s="79">
        <v>0</v>
      </c>
      <c r="Q496" s="79">
        <v>0</v>
      </c>
      <c r="R496" s="79">
        <v>0</v>
      </c>
      <c r="S496" s="79">
        <v>0</v>
      </c>
      <c r="T496" s="79">
        <v>0</v>
      </c>
      <c r="U496" s="79">
        <v>0</v>
      </c>
      <c r="V496" s="79">
        <v>0</v>
      </c>
      <c r="W496" s="79">
        <v>0</v>
      </c>
      <c r="X496" s="90">
        <v>0</v>
      </c>
    </row>
    <row r="497" spans="1:24" hidden="1" x14ac:dyDescent="0.25">
      <c r="A497" s="80" t="str">
        <v>PENDIENTE</v>
      </c>
      <c r="B497" s="80" t="str">
        <v>Jesus</v>
      </c>
      <c r="C497" s="80" t="str">
        <v>Setiembre</v>
      </c>
      <c r="D497" s="81">
        <v>46249</v>
      </c>
      <c r="E497" s="79">
        <v>3690</v>
      </c>
      <c r="F497" s="81">
        <v>46247</v>
      </c>
      <c r="G497" s="79" cm="1">
        <f t="array" ref="G497:X497">_xlfn._xlws.FILTER(Formulas!$C$2:$T$201, ISNUMBER(MATCH(Formulas!$B$2:$B$201, B497, 0)),0) * E497</f>
        <v>811.93548387096769</v>
      </c>
      <c r="H497" s="79">
        <v>2396.1290322580649</v>
      </c>
      <c r="I497" s="79">
        <v>148.06451612903226</v>
      </c>
      <c r="J497" s="79">
        <v>111.29032258064515</v>
      </c>
      <c r="K497" s="79">
        <v>0</v>
      </c>
      <c r="L497" s="79">
        <v>111.29032258064515</v>
      </c>
      <c r="M497" s="79">
        <v>111.29032258064515</v>
      </c>
      <c r="N497" s="79">
        <v>0</v>
      </c>
      <c r="O497" s="79">
        <v>0</v>
      </c>
      <c r="P497" s="79">
        <v>0</v>
      </c>
      <c r="Q497" s="79">
        <v>0</v>
      </c>
      <c r="R497" s="79">
        <v>0</v>
      </c>
      <c r="S497" s="79">
        <v>0</v>
      </c>
      <c r="T497" s="79">
        <v>0</v>
      </c>
      <c r="U497" s="79">
        <v>0</v>
      </c>
      <c r="V497" s="79">
        <v>0</v>
      </c>
      <c r="W497" s="79">
        <v>0</v>
      </c>
      <c r="X497" s="90">
        <v>0</v>
      </c>
    </row>
    <row r="498" spans="1:24" hidden="1" x14ac:dyDescent="0.25">
      <c r="A498" s="80" t="str">
        <v>PENDIENTE</v>
      </c>
      <c r="B498" s="80" t="str">
        <v>Jesus</v>
      </c>
      <c r="C498" s="80" t="str">
        <v>Octubre</v>
      </c>
      <c r="D498" s="81">
        <v>46280</v>
      </c>
      <c r="E498" s="79">
        <v>3813</v>
      </c>
      <c r="F498" s="81">
        <v>46285</v>
      </c>
      <c r="G498" s="79" cm="1">
        <f t="array" ref="G498:X498">_xlfn._xlws.FILTER(Formulas!$C$2:$T$201, ISNUMBER(MATCH(Formulas!$B$2:$B$201, B498, 0)),0) * E498</f>
        <v>839</v>
      </c>
      <c r="H498" s="79">
        <v>2476</v>
      </c>
      <c r="I498" s="79">
        <v>153</v>
      </c>
      <c r="J498" s="79">
        <v>115</v>
      </c>
      <c r="K498" s="79">
        <v>0</v>
      </c>
      <c r="L498" s="79">
        <v>115</v>
      </c>
      <c r="M498" s="79">
        <v>115</v>
      </c>
      <c r="N498" s="79">
        <v>0</v>
      </c>
      <c r="O498" s="79">
        <v>0</v>
      </c>
      <c r="P498" s="79">
        <v>0</v>
      </c>
      <c r="Q498" s="79">
        <v>0</v>
      </c>
      <c r="R498" s="79">
        <v>0</v>
      </c>
      <c r="S498" s="79">
        <v>0</v>
      </c>
      <c r="T498" s="79">
        <v>0</v>
      </c>
      <c r="U498" s="79">
        <v>0</v>
      </c>
      <c r="V498" s="79">
        <v>0</v>
      </c>
      <c r="W498" s="79">
        <v>0</v>
      </c>
      <c r="X498" s="90">
        <v>0</v>
      </c>
    </row>
    <row r="499" spans="1:24" hidden="1" x14ac:dyDescent="0.25">
      <c r="A499" s="80" t="str">
        <v>PENDIENTE</v>
      </c>
      <c r="B499" s="80" t="str">
        <v>Jesus</v>
      </c>
      <c r="C499" s="80" t="str">
        <v>Noviembre</v>
      </c>
      <c r="D499" s="81">
        <v>46310</v>
      </c>
      <c r="E499" s="79">
        <v>3690</v>
      </c>
      <c r="F499" s="81">
        <v>0</v>
      </c>
      <c r="G499" s="79" cm="1">
        <f t="array" ref="G499:X499">_xlfn._xlws.FILTER(Formulas!$C$2:$T$201, ISNUMBER(MATCH(Formulas!$B$2:$B$201, B499, 0)),0) * E499</f>
        <v>811.93548387096769</v>
      </c>
      <c r="H499" s="79">
        <v>2396.1290322580649</v>
      </c>
      <c r="I499" s="79">
        <v>148.06451612903226</v>
      </c>
      <c r="J499" s="79">
        <v>111.29032258064515</v>
      </c>
      <c r="K499" s="79">
        <v>0</v>
      </c>
      <c r="L499" s="79">
        <v>111.29032258064515</v>
      </c>
      <c r="M499" s="79">
        <v>111.29032258064515</v>
      </c>
      <c r="N499" s="79">
        <v>0</v>
      </c>
      <c r="O499" s="79">
        <v>0</v>
      </c>
      <c r="P499" s="79">
        <v>0</v>
      </c>
      <c r="Q499" s="79">
        <v>0</v>
      </c>
      <c r="R499" s="79">
        <v>0</v>
      </c>
      <c r="S499" s="79">
        <v>0</v>
      </c>
      <c r="T499" s="79">
        <v>0</v>
      </c>
      <c r="U499" s="79">
        <v>0</v>
      </c>
      <c r="V499" s="79">
        <v>0</v>
      </c>
      <c r="W499" s="79">
        <v>0</v>
      </c>
      <c r="X499" s="90">
        <v>0</v>
      </c>
    </row>
    <row r="500" spans="1:24" hidden="1" x14ac:dyDescent="0.25">
      <c r="A500" s="80" t="str">
        <v>PENDIENTE</v>
      </c>
      <c r="B500" s="80" t="str">
        <v>Jesus</v>
      </c>
      <c r="C500" s="80" t="str">
        <v>Diciembre</v>
      </c>
      <c r="D500" s="81">
        <v>46341</v>
      </c>
      <c r="E500" s="79">
        <v>3813</v>
      </c>
      <c r="F500" s="81">
        <v>0</v>
      </c>
      <c r="G500" s="79" cm="1">
        <f t="array" ref="G500:X500">_xlfn._xlws.FILTER(Formulas!$C$2:$T$201, ISNUMBER(MATCH(Formulas!$B$2:$B$201, B500, 0)),0) * E500</f>
        <v>839</v>
      </c>
      <c r="H500" s="79">
        <v>2476</v>
      </c>
      <c r="I500" s="79">
        <v>153</v>
      </c>
      <c r="J500" s="79">
        <v>115</v>
      </c>
      <c r="K500" s="79">
        <v>0</v>
      </c>
      <c r="L500" s="79">
        <v>115</v>
      </c>
      <c r="M500" s="79">
        <v>115</v>
      </c>
      <c r="N500" s="79">
        <v>0</v>
      </c>
      <c r="O500" s="79">
        <v>0</v>
      </c>
      <c r="P500" s="79">
        <v>0</v>
      </c>
      <c r="Q500" s="79">
        <v>0</v>
      </c>
      <c r="R500" s="79">
        <v>0</v>
      </c>
      <c r="S500" s="79">
        <v>0</v>
      </c>
      <c r="T500" s="79">
        <v>0</v>
      </c>
      <c r="U500" s="79">
        <v>0</v>
      </c>
      <c r="V500" s="79">
        <v>0</v>
      </c>
      <c r="W500" s="79">
        <v>0</v>
      </c>
      <c r="X500" s="90">
        <v>0</v>
      </c>
    </row>
    <row r="501" spans="1:24" hidden="1" x14ac:dyDescent="0.25">
      <c r="A501" s="80" t="str">
        <v>PENDIENTE</v>
      </c>
      <c r="B501" s="80" t="str">
        <v>Jose Manuel Quiroz</v>
      </c>
      <c r="C501" s="80" t="str">
        <v>Enero</v>
      </c>
      <c r="D501" s="81">
        <v>46048</v>
      </c>
      <c r="E501" s="79">
        <v>842.01083999999992</v>
      </c>
      <c r="F501" s="81">
        <v>46034</v>
      </c>
      <c r="G501" s="79" cm="1">
        <f t="array" ref="G501:X501">_xlfn._xlws.FILTER(Formulas!$C$2:$T$201, ISNUMBER(MATCH(Formulas!$B$2:$B$201, B501, 0)),0) * E501</f>
        <v>159.70534242253521</v>
      </c>
      <c r="H501" s="79">
        <v>597.31379307042243</v>
      </c>
      <c r="I501" s="79">
        <v>33.60137154929577</v>
      </c>
      <c r="J501" s="79">
        <v>0</v>
      </c>
      <c r="K501" s="79">
        <v>0</v>
      </c>
      <c r="L501" s="79">
        <v>0</v>
      </c>
      <c r="M501" s="79">
        <v>50.599712450704217</v>
      </c>
      <c r="N501" s="79">
        <v>0</v>
      </c>
      <c r="O501" s="79">
        <v>0</v>
      </c>
      <c r="P501" s="79">
        <v>0</v>
      </c>
      <c r="Q501" s="79">
        <v>0</v>
      </c>
      <c r="R501" s="79">
        <v>0</v>
      </c>
      <c r="S501" s="79">
        <v>0</v>
      </c>
      <c r="T501" s="79">
        <v>0</v>
      </c>
      <c r="U501" s="79">
        <v>0</v>
      </c>
      <c r="V501" s="79">
        <v>0</v>
      </c>
      <c r="W501" s="79">
        <v>0</v>
      </c>
      <c r="X501" s="90">
        <v>0</v>
      </c>
    </row>
    <row r="502" spans="1:24" hidden="1" x14ac:dyDescent="0.25">
      <c r="A502" s="80" t="str">
        <v>PENDIENTE</v>
      </c>
      <c r="B502" s="80" t="str">
        <v>Jose Manuel Quiroz</v>
      </c>
      <c r="C502" s="80" t="str">
        <v>Febrero</v>
      </c>
      <c r="D502" s="81">
        <v>46048</v>
      </c>
      <c r="E502" s="79">
        <v>760.52591999999993</v>
      </c>
      <c r="F502" s="81">
        <v>46034</v>
      </c>
      <c r="G502" s="79" cm="1">
        <f t="array" ref="G502:X502">_xlfn._xlws.FILTER(Formulas!$C$2:$T$201, ISNUMBER(MATCH(Formulas!$B$2:$B$201, B502, 0)),0) * E502</f>
        <v>144.24998670422534</v>
      </c>
      <c r="H502" s="79">
        <v>539.50923245070419</v>
      </c>
      <c r="I502" s="79">
        <v>30.349625915492954</v>
      </c>
      <c r="J502" s="79">
        <v>0</v>
      </c>
      <c r="K502" s="79">
        <v>0</v>
      </c>
      <c r="L502" s="79">
        <v>0</v>
      </c>
      <c r="M502" s="79">
        <v>45.70296608450704</v>
      </c>
      <c r="N502" s="79">
        <v>0</v>
      </c>
      <c r="O502" s="79">
        <v>0</v>
      </c>
      <c r="P502" s="79">
        <v>0</v>
      </c>
      <c r="Q502" s="79">
        <v>0</v>
      </c>
      <c r="R502" s="79">
        <v>0</v>
      </c>
      <c r="S502" s="79">
        <v>0</v>
      </c>
      <c r="T502" s="79">
        <v>0</v>
      </c>
      <c r="U502" s="79">
        <v>0</v>
      </c>
      <c r="V502" s="79">
        <v>0</v>
      </c>
      <c r="W502" s="79">
        <v>0</v>
      </c>
      <c r="X502" s="90">
        <v>0</v>
      </c>
    </row>
    <row r="503" spans="1:24" hidden="1" x14ac:dyDescent="0.25">
      <c r="A503" s="80" t="str">
        <v>PENDIENTE</v>
      </c>
      <c r="B503" s="80" t="str">
        <v>Jose Manuel Quiroz</v>
      </c>
      <c r="C503" s="80" t="str">
        <v>Marzo</v>
      </c>
      <c r="D503" s="81">
        <v>46076</v>
      </c>
      <c r="E503" s="79">
        <v>842.01083999999992</v>
      </c>
      <c r="F503" s="81">
        <v>46072</v>
      </c>
      <c r="G503" s="79" cm="1">
        <f t="array" ref="G503:X503">_xlfn._xlws.FILTER(Formulas!$C$2:$T$201, ISNUMBER(MATCH(Formulas!$B$2:$B$201, B503, 0)),0) * E503</f>
        <v>159.70534242253521</v>
      </c>
      <c r="H503" s="79">
        <v>597.31379307042243</v>
      </c>
      <c r="I503" s="79">
        <v>33.60137154929577</v>
      </c>
      <c r="J503" s="79">
        <v>0</v>
      </c>
      <c r="K503" s="79">
        <v>0</v>
      </c>
      <c r="L503" s="79">
        <v>0</v>
      </c>
      <c r="M503" s="79">
        <v>50.599712450704217</v>
      </c>
      <c r="N503" s="79">
        <v>0</v>
      </c>
      <c r="O503" s="79">
        <v>0</v>
      </c>
      <c r="P503" s="79">
        <v>0</v>
      </c>
      <c r="Q503" s="79">
        <v>0</v>
      </c>
      <c r="R503" s="79">
        <v>0</v>
      </c>
      <c r="S503" s="79">
        <v>0</v>
      </c>
      <c r="T503" s="79">
        <v>0</v>
      </c>
      <c r="U503" s="79">
        <v>0</v>
      </c>
      <c r="V503" s="79">
        <v>0</v>
      </c>
      <c r="W503" s="79">
        <v>0</v>
      </c>
      <c r="X503" s="90">
        <v>0</v>
      </c>
    </row>
    <row r="504" spans="1:24" hidden="1" x14ac:dyDescent="0.25">
      <c r="A504" s="80" t="str">
        <v>PENDIENTE</v>
      </c>
      <c r="B504" s="80" t="str">
        <v>Jose Manuel Quiroz</v>
      </c>
      <c r="C504" s="80" t="str">
        <v>Abril</v>
      </c>
      <c r="D504" s="81">
        <v>46076</v>
      </c>
      <c r="E504" s="79">
        <v>814.8492</v>
      </c>
      <c r="F504" s="81">
        <v>46072</v>
      </c>
      <c r="G504" s="79" cm="1">
        <f t="array" ref="G504:X504">_xlfn._xlws.FILTER(Formulas!$C$2:$T$201, ISNUMBER(MATCH(Formulas!$B$2:$B$201, B504, 0)),0) * E504</f>
        <v>154.5535571830986</v>
      </c>
      <c r="H504" s="79">
        <v>578.04560619718313</v>
      </c>
      <c r="I504" s="79">
        <v>32.517456338028168</v>
      </c>
      <c r="J504" s="79">
        <v>0</v>
      </c>
      <c r="K504" s="79">
        <v>0</v>
      </c>
      <c r="L504" s="79">
        <v>0</v>
      </c>
      <c r="M504" s="79">
        <v>48.967463661971827</v>
      </c>
      <c r="N504" s="79">
        <v>0</v>
      </c>
      <c r="O504" s="79">
        <v>0</v>
      </c>
      <c r="P504" s="79">
        <v>0</v>
      </c>
      <c r="Q504" s="79">
        <v>0</v>
      </c>
      <c r="R504" s="79">
        <v>0</v>
      </c>
      <c r="S504" s="79">
        <v>0</v>
      </c>
      <c r="T504" s="79">
        <v>0</v>
      </c>
      <c r="U504" s="79">
        <v>0</v>
      </c>
      <c r="V504" s="79">
        <v>0</v>
      </c>
      <c r="W504" s="79">
        <v>0</v>
      </c>
      <c r="X504" s="90">
        <v>0</v>
      </c>
    </row>
    <row r="505" spans="1:24" hidden="1" x14ac:dyDescent="0.25">
      <c r="A505" s="80" t="str">
        <v>PENDIENTE</v>
      </c>
      <c r="B505" s="80" t="str">
        <v>Jose Manuel Quiroz</v>
      </c>
      <c r="C505" s="80" t="str">
        <v>Mayo</v>
      </c>
      <c r="D505" s="81">
        <v>46139</v>
      </c>
      <c r="E505" s="79">
        <v>842.01083999999992</v>
      </c>
      <c r="F505" s="81">
        <v>46140</v>
      </c>
      <c r="G505" s="79" cm="1">
        <f t="array" ref="G505:X505">_xlfn._xlws.FILTER(Formulas!$C$2:$T$201, ISNUMBER(MATCH(Formulas!$B$2:$B$201, B505, 0)),0) * E505</f>
        <v>159.70534242253521</v>
      </c>
      <c r="H505" s="79">
        <v>597.31379307042243</v>
      </c>
      <c r="I505" s="79">
        <v>33.60137154929577</v>
      </c>
      <c r="J505" s="79">
        <v>0</v>
      </c>
      <c r="K505" s="79">
        <v>0</v>
      </c>
      <c r="L505" s="79">
        <v>0</v>
      </c>
      <c r="M505" s="79">
        <v>50.599712450704217</v>
      </c>
      <c r="N505" s="79">
        <v>0</v>
      </c>
      <c r="O505" s="79">
        <v>0</v>
      </c>
      <c r="P505" s="79">
        <v>0</v>
      </c>
      <c r="Q505" s="79">
        <v>0</v>
      </c>
      <c r="R505" s="79">
        <v>0</v>
      </c>
      <c r="S505" s="79">
        <v>0</v>
      </c>
      <c r="T505" s="79">
        <v>0</v>
      </c>
      <c r="U505" s="79">
        <v>0</v>
      </c>
      <c r="V505" s="79">
        <v>0</v>
      </c>
      <c r="W505" s="79">
        <v>0</v>
      </c>
      <c r="X505" s="90">
        <v>0</v>
      </c>
    </row>
    <row r="506" spans="1:24" hidden="1" x14ac:dyDescent="0.25">
      <c r="A506" s="80" t="str">
        <v>PENDIENTE</v>
      </c>
      <c r="B506" s="80" t="str">
        <v>Jose Manuel Quiroz</v>
      </c>
      <c r="C506" s="80" t="str">
        <v>Junio</v>
      </c>
      <c r="D506" s="81">
        <v>46139</v>
      </c>
      <c r="E506" s="79">
        <v>814.8492</v>
      </c>
      <c r="F506" s="80">
        <v>46140</v>
      </c>
      <c r="G506" s="79" cm="1">
        <f t="array" ref="G506:X506">_xlfn._xlws.FILTER(Formulas!$C$2:$T$201, ISNUMBER(MATCH(Formulas!$B$2:$B$201, B506, 0)),0) * E506</f>
        <v>154.5535571830986</v>
      </c>
      <c r="H506" s="79">
        <v>578.04560619718313</v>
      </c>
      <c r="I506" s="79">
        <v>32.517456338028168</v>
      </c>
      <c r="J506" s="79">
        <v>0</v>
      </c>
      <c r="K506" s="79">
        <v>0</v>
      </c>
      <c r="L506" s="79">
        <v>0</v>
      </c>
      <c r="M506" s="79">
        <v>48.967463661971827</v>
      </c>
      <c r="N506" s="79">
        <v>0</v>
      </c>
      <c r="O506" s="79">
        <v>0</v>
      </c>
      <c r="P506" s="79">
        <v>0</v>
      </c>
      <c r="Q506" s="79">
        <v>0</v>
      </c>
      <c r="R506" s="79">
        <v>0</v>
      </c>
      <c r="S506" s="79">
        <v>0</v>
      </c>
      <c r="T506" s="79">
        <v>0</v>
      </c>
      <c r="U506" s="79">
        <v>0</v>
      </c>
      <c r="V506" s="79">
        <v>0</v>
      </c>
      <c r="W506" s="79">
        <v>0</v>
      </c>
      <c r="X506" s="90">
        <v>0</v>
      </c>
    </row>
    <row r="507" spans="1:24" hidden="1" x14ac:dyDescent="0.25">
      <c r="A507" s="80" t="str">
        <v>PENDIENTE</v>
      </c>
      <c r="B507" s="80" t="str">
        <v>Jose Manuel Quiroz</v>
      </c>
      <c r="C507" s="80" t="str">
        <v>Julio</v>
      </c>
      <c r="D507" s="81">
        <v>46195</v>
      </c>
      <c r="E507" s="79">
        <v>842.01083999999992</v>
      </c>
      <c r="F507" s="80">
        <v>46189</v>
      </c>
      <c r="G507" s="79" cm="1">
        <f t="array" ref="G507:X507">_xlfn._xlws.FILTER(Formulas!$C$2:$T$201, ISNUMBER(MATCH(Formulas!$B$2:$B$201, B507, 0)),0) * E507</f>
        <v>159.70534242253521</v>
      </c>
      <c r="H507" s="79">
        <v>597.31379307042243</v>
      </c>
      <c r="I507" s="79">
        <v>33.60137154929577</v>
      </c>
      <c r="J507" s="79">
        <v>0</v>
      </c>
      <c r="K507" s="79">
        <v>0</v>
      </c>
      <c r="L507" s="79">
        <v>0</v>
      </c>
      <c r="M507" s="79">
        <v>50.599712450704217</v>
      </c>
      <c r="N507" s="79">
        <v>0</v>
      </c>
      <c r="O507" s="79">
        <v>0</v>
      </c>
      <c r="P507" s="79">
        <v>0</v>
      </c>
      <c r="Q507" s="79">
        <v>0</v>
      </c>
      <c r="R507" s="79">
        <v>0</v>
      </c>
      <c r="S507" s="79">
        <v>0</v>
      </c>
      <c r="T507" s="79">
        <v>0</v>
      </c>
      <c r="U507" s="79">
        <v>0</v>
      </c>
      <c r="V507" s="79">
        <v>0</v>
      </c>
      <c r="W507" s="79">
        <v>0</v>
      </c>
      <c r="X507" s="90">
        <v>0</v>
      </c>
    </row>
    <row r="508" spans="1:24" hidden="1" x14ac:dyDescent="0.25">
      <c r="A508" s="80" t="str">
        <v>PENDIENTE</v>
      </c>
      <c r="B508" s="80" t="str">
        <v>Jose Manuel Quiroz</v>
      </c>
      <c r="C508" s="80" t="str">
        <v>Agosto</v>
      </c>
      <c r="D508" s="81">
        <v>46195</v>
      </c>
      <c r="E508" s="79">
        <v>842.01083999999992</v>
      </c>
      <c r="F508" s="81">
        <v>46189</v>
      </c>
      <c r="G508" s="79" cm="1">
        <f t="array" ref="G508:X508">_xlfn._xlws.FILTER(Formulas!$C$2:$T$201, ISNUMBER(MATCH(Formulas!$B$2:$B$201, B508, 0)),0) * E508</f>
        <v>159.70534242253521</v>
      </c>
      <c r="H508" s="79">
        <v>597.31379307042243</v>
      </c>
      <c r="I508" s="79">
        <v>33.60137154929577</v>
      </c>
      <c r="J508" s="79">
        <v>0</v>
      </c>
      <c r="K508" s="79">
        <v>0</v>
      </c>
      <c r="L508" s="79">
        <v>0</v>
      </c>
      <c r="M508" s="79">
        <v>50.599712450704217</v>
      </c>
      <c r="N508" s="79">
        <v>0</v>
      </c>
      <c r="O508" s="79">
        <v>0</v>
      </c>
      <c r="P508" s="79">
        <v>0</v>
      </c>
      <c r="Q508" s="79">
        <v>0</v>
      </c>
      <c r="R508" s="79">
        <v>0</v>
      </c>
      <c r="S508" s="79">
        <v>0</v>
      </c>
      <c r="T508" s="79">
        <v>0</v>
      </c>
      <c r="U508" s="79">
        <v>0</v>
      </c>
      <c r="V508" s="79">
        <v>0</v>
      </c>
      <c r="W508" s="79">
        <v>0</v>
      </c>
      <c r="X508" s="90">
        <v>0</v>
      </c>
    </row>
    <row r="509" spans="1:24" hidden="1" x14ac:dyDescent="0.25">
      <c r="A509" s="80" t="str">
        <v>PENDIENTE</v>
      </c>
      <c r="B509" s="80" t="str">
        <v>Jose Manuel Quiroz</v>
      </c>
      <c r="C509" s="80" t="str">
        <v>Setiembre</v>
      </c>
      <c r="D509" s="81">
        <v>46258</v>
      </c>
      <c r="E509" s="79">
        <v>814.8492</v>
      </c>
      <c r="F509" s="81">
        <v>46247</v>
      </c>
      <c r="G509" s="79" cm="1">
        <f t="array" ref="G509:X509">_xlfn._xlws.FILTER(Formulas!$C$2:$T$201, ISNUMBER(MATCH(Formulas!$B$2:$B$201, B509, 0)),0) * E509</f>
        <v>154.5535571830986</v>
      </c>
      <c r="H509" s="79">
        <v>578.04560619718313</v>
      </c>
      <c r="I509" s="79">
        <v>32.517456338028168</v>
      </c>
      <c r="J509" s="79">
        <v>0</v>
      </c>
      <c r="K509" s="79">
        <v>0</v>
      </c>
      <c r="L509" s="79">
        <v>0</v>
      </c>
      <c r="M509" s="79">
        <v>48.967463661971827</v>
      </c>
      <c r="N509" s="79">
        <v>0</v>
      </c>
      <c r="O509" s="79">
        <v>0</v>
      </c>
      <c r="P509" s="79">
        <v>0</v>
      </c>
      <c r="Q509" s="79">
        <v>0</v>
      </c>
      <c r="R509" s="79">
        <v>0</v>
      </c>
      <c r="S509" s="79">
        <v>0</v>
      </c>
      <c r="T509" s="79">
        <v>0</v>
      </c>
      <c r="U509" s="79">
        <v>0</v>
      </c>
      <c r="V509" s="79">
        <v>0</v>
      </c>
      <c r="W509" s="79">
        <v>0</v>
      </c>
      <c r="X509" s="90">
        <v>0</v>
      </c>
    </row>
    <row r="510" spans="1:24" hidden="1" x14ac:dyDescent="0.25">
      <c r="A510" s="80" t="str">
        <v>PENDIENTE</v>
      </c>
      <c r="B510" s="80" t="str">
        <v>Jose Manuel Quiroz</v>
      </c>
      <c r="C510" s="80" t="str">
        <v>Octubre</v>
      </c>
      <c r="D510" s="81">
        <v>46258</v>
      </c>
      <c r="E510" s="79">
        <v>842.01083999999992</v>
      </c>
      <c r="F510" s="81">
        <v>46247</v>
      </c>
      <c r="G510" s="79" cm="1">
        <f t="array" ref="G510:X510">_xlfn._xlws.FILTER(Formulas!$C$2:$T$201, ISNUMBER(MATCH(Formulas!$B$2:$B$201, B510, 0)),0) * E510</f>
        <v>159.70534242253521</v>
      </c>
      <c r="H510" s="79">
        <v>597.31379307042243</v>
      </c>
      <c r="I510" s="79">
        <v>33.60137154929577</v>
      </c>
      <c r="J510" s="79">
        <v>0</v>
      </c>
      <c r="K510" s="79">
        <v>0</v>
      </c>
      <c r="L510" s="79">
        <v>0</v>
      </c>
      <c r="M510" s="79">
        <v>50.599712450704217</v>
      </c>
      <c r="N510" s="79">
        <v>0</v>
      </c>
      <c r="O510" s="79">
        <v>0</v>
      </c>
      <c r="P510" s="79">
        <v>0</v>
      </c>
      <c r="Q510" s="79">
        <v>0</v>
      </c>
      <c r="R510" s="79">
        <v>0</v>
      </c>
      <c r="S510" s="79">
        <v>0</v>
      </c>
      <c r="T510" s="79">
        <v>0</v>
      </c>
      <c r="U510" s="79">
        <v>0</v>
      </c>
      <c r="V510" s="79">
        <v>0</v>
      </c>
      <c r="W510" s="79">
        <v>0</v>
      </c>
      <c r="X510" s="90">
        <v>0</v>
      </c>
    </row>
    <row r="511" spans="1:24" hidden="1" x14ac:dyDescent="0.25">
      <c r="A511" s="80" t="str">
        <v>PENDIENTE</v>
      </c>
      <c r="B511" s="80" t="str">
        <v>Jose Manuel Quiroz</v>
      </c>
      <c r="C511" s="80" t="str">
        <v>O.C.</v>
      </c>
      <c r="D511" s="81">
        <v>46260</v>
      </c>
      <c r="E511" s="79">
        <v>524.61499830000002</v>
      </c>
      <c r="F511" s="81">
        <v>46270</v>
      </c>
      <c r="G511" s="79" cm="1">
        <f t="array" ref="G511:X511">_xlfn._xlws.FILTER(Formulas!$C$2:$T$201, ISNUMBER(MATCH(Formulas!$B$2:$B$201, B511, 0)),0) * E511</f>
        <v>99.504440992112677</v>
      </c>
      <c r="H511" s="79">
        <v>372.15646123535214</v>
      </c>
      <c r="I511" s="79">
        <v>20.935340307746479</v>
      </c>
      <c r="J511" s="79">
        <v>0</v>
      </c>
      <c r="K511" s="79">
        <v>0</v>
      </c>
      <c r="L511" s="79">
        <v>0</v>
      </c>
      <c r="M511" s="79">
        <v>31.526159522253522</v>
      </c>
      <c r="N511" s="79">
        <v>0</v>
      </c>
      <c r="O511" s="79">
        <v>0</v>
      </c>
      <c r="P511" s="79">
        <v>0</v>
      </c>
      <c r="Q511" s="79">
        <v>0</v>
      </c>
      <c r="R511" s="79">
        <v>0</v>
      </c>
      <c r="S511" s="79">
        <v>0</v>
      </c>
      <c r="T511" s="79">
        <v>0</v>
      </c>
      <c r="U511" s="79">
        <v>0</v>
      </c>
      <c r="V511" s="79">
        <v>0</v>
      </c>
      <c r="W511" s="79">
        <v>0</v>
      </c>
      <c r="X511" s="90">
        <v>0</v>
      </c>
    </row>
    <row r="512" spans="1:24" hidden="1" x14ac:dyDescent="0.25">
      <c r="A512" s="80" t="str">
        <v>PENDIENTE</v>
      </c>
      <c r="B512" s="80" t="str">
        <v>Jose Manuel Quiroz</v>
      </c>
      <c r="C512" s="80" t="str">
        <v>Noviembre</v>
      </c>
      <c r="D512" s="81">
        <v>46321</v>
      </c>
      <c r="E512" s="79">
        <v>814.8492</v>
      </c>
      <c r="F512" s="81">
        <v>0</v>
      </c>
      <c r="G512" s="79" cm="1">
        <f t="array" ref="G512:X512">_xlfn._xlws.FILTER(Formulas!$C$2:$T$201, ISNUMBER(MATCH(Formulas!$B$2:$B$201, B512, 0)),0) * E512</f>
        <v>154.5535571830986</v>
      </c>
      <c r="H512" s="79">
        <v>578.04560619718313</v>
      </c>
      <c r="I512" s="79">
        <v>32.517456338028168</v>
      </c>
      <c r="J512" s="79">
        <v>0</v>
      </c>
      <c r="K512" s="79">
        <v>0</v>
      </c>
      <c r="L512" s="79">
        <v>0</v>
      </c>
      <c r="M512" s="79">
        <v>48.967463661971827</v>
      </c>
      <c r="N512" s="79">
        <v>0</v>
      </c>
      <c r="O512" s="79">
        <v>0</v>
      </c>
      <c r="P512" s="79">
        <v>0</v>
      </c>
      <c r="Q512" s="79">
        <v>0</v>
      </c>
      <c r="R512" s="79">
        <v>0</v>
      </c>
      <c r="S512" s="79">
        <v>0</v>
      </c>
      <c r="T512" s="79">
        <v>0</v>
      </c>
      <c r="U512" s="79">
        <v>0</v>
      </c>
      <c r="V512" s="79">
        <v>0</v>
      </c>
      <c r="W512" s="79">
        <v>0</v>
      </c>
      <c r="X512" s="90">
        <v>0</v>
      </c>
    </row>
    <row r="513" spans="1:24" hidden="1" x14ac:dyDescent="0.25">
      <c r="A513" s="80" t="str">
        <v>PENDIENTE</v>
      </c>
      <c r="B513" s="80" t="str">
        <v>Jose Manuel Quiroz</v>
      </c>
      <c r="C513" s="80" t="str">
        <v>Diciembre</v>
      </c>
      <c r="D513" s="81">
        <v>46321</v>
      </c>
      <c r="E513" s="79">
        <v>842.01083999999992</v>
      </c>
      <c r="F513" s="81">
        <v>0</v>
      </c>
      <c r="G513" s="79" cm="1">
        <f t="array" ref="G513:X513">_xlfn._xlws.FILTER(Formulas!$C$2:$T$201, ISNUMBER(MATCH(Formulas!$B$2:$B$201, B513, 0)),0) * E513</f>
        <v>159.70534242253521</v>
      </c>
      <c r="H513" s="79">
        <v>597.31379307042243</v>
      </c>
      <c r="I513" s="79">
        <v>33.60137154929577</v>
      </c>
      <c r="J513" s="79">
        <v>0</v>
      </c>
      <c r="K513" s="79">
        <v>0</v>
      </c>
      <c r="L513" s="79">
        <v>0</v>
      </c>
      <c r="M513" s="79">
        <v>50.599712450704217</v>
      </c>
      <c r="N513" s="79">
        <v>0</v>
      </c>
      <c r="O513" s="79">
        <v>0</v>
      </c>
      <c r="P513" s="79">
        <v>0</v>
      </c>
      <c r="Q513" s="79">
        <v>0</v>
      </c>
      <c r="R513" s="79">
        <v>0</v>
      </c>
      <c r="S513" s="79">
        <v>0</v>
      </c>
      <c r="T513" s="79">
        <v>0</v>
      </c>
      <c r="U513" s="79">
        <v>0</v>
      </c>
      <c r="V513" s="79">
        <v>0</v>
      </c>
      <c r="W513" s="79">
        <v>0</v>
      </c>
      <c r="X513" s="90">
        <v>0</v>
      </c>
    </row>
    <row r="514" spans="1:24" hidden="1" x14ac:dyDescent="0.25">
      <c r="A514" s="80" t="str">
        <v>PENDIENTE</v>
      </c>
      <c r="B514" s="80" t="str">
        <v>Jose Sabogal</v>
      </c>
      <c r="C514" s="80" t="str">
        <v>O.C.</v>
      </c>
      <c r="D514" s="81">
        <v>46223</v>
      </c>
      <c r="E514" s="79">
        <v>4300.5</v>
      </c>
      <c r="F514" s="81">
        <v>46223</v>
      </c>
      <c r="G514" s="79" cm="1">
        <f t="array" ref="G514:X514">_xlfn._xlws.FILTER(Formulas!$C$2:$T$201, ISNUMBER(MATCH(Formulas!$B$2:$B$201, B514, 0)),0) * E514</f>
        <v>645.07499999999993</v>
      </c>
      <c r="H514" s="79">
        <v>1311.6524999999999</v>
      </c>
      <c r="I514" s="79">
        <v>172.02</v>
      </c>
      <c r="J514" s="79">
        <v>172.02</v>
      </c>
      <c r="K514" s="79">
        <v>0</v>
      </c>
      <c r="L514" s="79">
        <v>0</v>
      </c>
      <c r="M514" s="79">
        <v>0</v>
      </c>
      <c r="N514" s="79">
        <v>279.53250000000003</v>
      </c>
      <c r="O514" s="79">
        <v>1720.2</v>
      </c>
      <c r="P514" s="79">
        <v>0</v>
      </c>
      <c r="Q514" s="79">
        <v>0</v>
      </c>
      <c r="R514" s="79">
        <v>0</v>
      </c>
      <c r="S514" s="79">
        <v>0</v>
      </c>
      <c r="T514" s="79">
        <v>0</v>
      </c>
      <c r="U514" s="79">
        <v>0</v>
      </c>
      <c r="V514" s="79">
        <v>0</v>
      </c>
      <c r="W514" s="79">
        <v>0</v>
      </c>
      <c r="X514" s="90">
        <v>0</v>
      </c>
    </row>
    <row r="515" spans="1:24" hidden="1" x14ac:dyDescent="0.25">
      <c r="A515" s="80" t="str">
        <v>CORDELAN</v>
      </c>
      <c r="B515" s="80" t="str">
        <v>La Banda de Shilcayo</v>
      </c>
      <c r="C515" s="80" t="str">
        <v>Enero</v>
      </c>
      <c r="D515" s="81">
        <v>46010</v>
      </c>
      <c r="E515" s="79">
        <v>1432</v>
      </c>
      <c r="F515" s="81">
        <v>46002</v>
      </c>
      <c r="G515" s="79" cm="1">
        <f t="array" ref="G515:X515">_xlfn._xlws.FILTER(Formulas!$C$2:$T$201, ISNUMBER(MATCH(Formulas!$B$2:$B$201, B515, 0)),0) * E515</f>
        <v>158</v>
      </c>
      <c r="H515" s="79">
        <v>571</v>
      </c>
      <c r="I515" s="79">
        <v>43</v>
      </c>
      <c r="J515" s="79">
        <v>43</v>
      </c>
      <c r="K515" s="79">
        <v>0</v>
      </c>
      <c r="L515" s="79">
        <v>0</v>
      </c>
      <c r="M515" s="79">
        <v>43</v>
      </c>
      <c r="N515" s="79">
        <v>0</v>
      </c>
      <c r="O515" s="79">
        <v>574</v>
      </c>
      <c r="P515" s="79">
        <v>0</v>
      </c>
      <c r="Q515" s="79">
        <v>0</v>
      </c>
      <c r="R515" s="79">
        <v>0</v>
      </c>
      <c r="S515" s="79">
        <v>0</v>
      </c>
      <c r="T515" s="79">
        <v>0</v>
      </c>
      <c r="U515" s="79">
        <v>0</v>
      </c>
      <c r="V515" s="79">
        <v>0</v>
      </c>
      <c r="W515" s="79">
        <v>0</v>
      </c>
      <c r="X515" s="90">
        <v>0</v>
      </c>
    </row>
    <row r="516" spans="1:24" hidden="1" x14ac:dyDescent="0.25">
      <c r="A516" s="80" t="str">
        <v>CORDELAN</v>
      </c>
      <c r="B516" s="80" t="str">
        <v>La Banda de Shilcayo</v>
      </c>
      <c r="C516" s="80" t="str">
        <v>Febrero</v>
      </c>
      <c r="D516" s="81">
        <v>46042</v>
      </c>
      <c r="E516" s="79">
        <v>1294</v>
      </c>
      <c r="F516" s="81">
        <v>46026</v>
      </c>
      <c r="G516" s="79" cm="1">
        <f t="array" ref="G516:X516">_xlfn._xlws.FILTER(Formulas!$C$2:$T$201, ISNUMBER(MATCH(Formulas!$B$2:$B$201, B516, 0)),0) * E516</f>
        <v>142.77374301675977</v>
      </c>
      <c r="H516" s="79">
        <v>515.9734636871508</v>
      </c>
      <c r="I516" s="79">
        <v>38.856145251396647</v>
      </c>
      <c r="J516" s="79">
        <v>38.856145251396647</v>
      </c>
      <c r="K516" s="79">
        <v>0</v>
      </c>
      <c r="L516" s="79">
        <v>0</v>
      </c>
      <c r="M516" s="79">
        <v>38.856145251396647</v>
      </c>
      <c r="N516" s="79">
        <v>0</v>
      </c>
      <c r="O516" s="79">
        <v>518.68435754189943</v>
      </c>
      <c r="P516" s="79">
        <v>0</v>
      </c>
      <c r="Q516" s="79">
        <v>0</v>
      </c>
      <c r="R516" s="79">
        <v>0</v>
      </c>
      <c r="S516" s="79">
        <v>0</v>
      </c>
      <c r="T516" s="79">
        <v>0</v>
      </c>
      <c r="U516" s="79">
        <v>0</v>
      </c>
      <c r="V516" s="79">
        <v>0</v>
      </c>
      <c r="W516" s="79">
        <v>0</v>
      </c>
      <c r="X516" s="90">
        <v>0</v>
      </c>
    </row>
    <row r="517" spans="1:24" hidden="1" x14ac:dyDescent="0.25">
      <c r="A517" s="80" t="str">
        <v>CORDELAN</v>
      </c>
      <c r="B517" s="80" t="str">
        <v>La Banda de Shilcayo</v>
      </c>
      <c r="C517" s="80" t="str">
        <v>Marzo</v>
      </c>
      <c r="D517" s="81">
        <v>46072</v>
      </c>
      <c r="E517" s="79">
        <v>1432</v>
      </c>
      <c r="F517" s="81">
        <v>46058</v>
      </c>
      <c r="G517" s="79" cm="1">
        <f t="array" ref="G517:X517">_xlfn._xlws.FILTER(Formulas!$C$2:$T$201, ISNUMBER(MATCH(Formulas!$B$2:$B$201, B517, 0)),0) * E517</f>
        <v>158</v>
      </c>
      <c r="H517" s="79">
        <v>571</v>
      </c>
      <c r="I517" s="79">
        <v>43</v>
      </c>
      <c r="J517" s="79">
        <v>43</v>
      </c>
      <c r="K517" s="79">
        <v>0</v>
      </c>
      <c r="L517" s="79">
        <v>0</v>
      </c>
      <c r="M517" s="79">
        <v>43</v>
      </c>
      <c r="N517" s="79">
        <v>0</v>
      </c>
      <c r="O517" s="79">
        <v>574</v>
      </c>
      <c r="P517" s="79">
        <v>0</v>
      </c>
      <c r="Q517" s="79">
        <v>0</v>
      </c>
      <c r="R517" s="79">
        <v>0</v>
      </c>
      <c r="S517" s="79">
        <v>0</v>
      </c>
      <c r="T517" s="79">
        <v>0</v>
      </c>
      <c r="U517" s="79">
        <v>0</v>
      </c>
      <c r="V517" s="79">
        <v>0</v>
      </c>
      <c r="W517" s="79">
        <v>0</v>
      </c>
      <c r="X517" s="90">
        <v>0</v>
      </c>
    </row>
    <row r="518" spans="1:24" hidden="1" x14ac:dyDescent="0.25">
      <c r="A518" s="80" t="str">
        <v>CORDELAN</v>
      </c>
      <c r="B518" s="80" t="str">
        <v>La Banda de Shilcayo</v>
      </c>
      <c r="C518" s="80" t="str">
        <v>Abril</v>
      </c>
      <c r="D518" s="81">
        <v>46101</v>
      </c>
      <c r="E518" s="79">
        <v>1386</v>
      </c>
      <c r="F518" s="81">
        <v>46086</v>
      </c>
      <c r="G518" s="79" cm="1">
        <f t="array" ref="G518:X518">_xlfn._xlws.FILTER(Formulas!$C$2:$T$201, ISNUMBER(MATCH(Formulas!$B$2:$B$201, B518, 0)),0) * E518</f>
        <v>152.92458100558659</v>
      </c>
      <c r="H518" s="79">
        <v>552.65782122905023</v>
      </c>
      <c r="I518" s="79">
        <v>41.618715083798882</v>
      </c>
      <c r="J518" s="79">
        <v>41.618715083798882</v>
      </c>
      <c r="K518" s="79">
        <v>0</v>
      </c>
      <c r="L518" s="79">
        <v>0</v>
      </c>
      <c r="M518" s="79">
        <v>41.618715083798882</v>
      </c>
      <c r="N518" s="79">
        <v>0</v>
      </c>
      <c r="O518" s="79">
        <v>555.56145251396651</v>
      </c>
      <c r="P518" s="79">
        <v>0</v>
      </c>
      <c r="Q518" s="79">
        <v>0</v>
      </c>
      <c r="R518" s="79">
        <v>0</v>
      </c>
      <c r="S518" s="79">
        <v>0</v>
      </c>
      <c r="T518" s="79">
        <v>0</v>
      </c>
      <c r="U518" s="79">
        <v>0</v>
      </c>
      <c r="V518" s="79">
        <v>0</v>
      </c>
      <c r="W518" s="79">
        <v>0</v>
      </c>
      <c r="X518" s="90">
        <v>0</v>
      </c>
    </row>
    <row r="519" spans="1:24" hidden="1" x14ac:dyDescent="0.25">
      <c r="A519" s="80" t="str">
        <v>CORDELAN</v>
      </c>
      <c r="B519" s="80" t="str">
        <v>La Banda de Shilcayo</v>
      </c>
      <c r="C519" s="80" t="str">
        <v>Mayo</v>
      </c>
      <c r="D519" s="81">
        <v>46132</v>
      </c>
      <c r="E519" s="79">
        <v>1432</v>
      </c>
      <c r="F519" s="81">
        <v>46119</v>
      </c>
      <c r="G519" s="79" cm="1">
        <f t="array" ref="G519:X519">_xlfn._xlws.FILTER(Formulas!$C$2:$T$201, ISNUMBER(MATCH(Formulas!$B$2:$B$201, B519, 0)),0) * E519</f>
        <v>158</v>
      </c>
      <c r="H519" s="79">
        <v>571</v>
      </c>
      <c r="I519" s="79">
        <v>43</v>
      </c>
      <c r="J519" s="79">
        <v>43</v>
      </c>
      <c r="K519" s="79">
        <v>0</v>
      </c>
      <c r="L519" s="79">
        <v>0</v>
      </c>
      <c r="M519" s="79">
        <v>43</v>
      </c>
      <c r="N519" s="79">
        <v>0</v>
      </c>
      <c r="O519" s="79">
        <v>574</v>
      </c>
      <c r="P519" s="79">
        <v>0</v>
      </c>
      <c r="Q519" s="79">
        <v>0</v>
      </c>
      <c r="R519" s="79">
        <v>0</v>
      </c>
      <c r="S519" s="79">
        <v>0</v>
      </c>
      <c r="T519" s="79">
        <v>0</v>
      </c>
      <c r="U519" s="79">
        <v>0</v>
      </c>
      <c r="V519" s="79">
        <v>0</v>
      </c>
      <c r="W519" s="79">
        <v>0</v>
      </c>
      <c r="X519" s="90">
        <v>0</v>
      </c>
    </row>
    <row r="520" spans="1:24" hidden="1" x14ac:dyDescent="0.25">
      <c r="A520" s="80" t="str">
        <v>CORDELAN</v>
      </c>
      <c r="B520" s="80" t="str">
        <v>La Banda de Shilcayo</v>
      </c>
      <c r="C520" s="80" t="str">
        <v>Junio</v>
      </c>
      <c r="D520" s="81">
        <v>46164</v>
      </c>
      <c r="E520" s="79">
        <v>1386</v>
      </c>
      <c r="F520" s="80">
        <v>46147</v>
      </c>
      <c r="G520" s="79" cm="1">
        <f t="array" ref="G520:X520">_xlfn._xlws.FILTER(Formulas!$C$2:$T$201, ISNUMBER(MATCH(Formulas!$B$2:$B$201, B520, 0)),0) * E520</f>
        <v>152.92458100558659</v>
      </c>
      <c r="H520" s="79">
        <v>552.65782122905023</v>
      </c>
      <c r="I520" s="79">
        <v>41.618715083798882</v>
      </c>
      <c r="J520" s="79">
        <v>41.618715083798882</v>
      </c>
      <c r="K520" s="79">
        <v>0</v>
      </c>
      <c r="L520" s="79">
        <v>0</v>
      </c>
      <c r="M520" s="79">
        <v>41.618715083798882</v>
      </c>
      <c r="N520" s="79">
        <v>0</v>
      </c>
      <c r="O520" s="79">
        <v>555.56145251396651</v>
      </c>
      <c r="P520" s="79">
        <v>0</v>
      </c>
      <c r="Q520" s="79">
        <v>0</v>
      </c>
      <c r="R520" s="79">
        <v>0</v>
      </c>
      <c r="S520" s="79">
        <v>0</v>
      </c>
      <c r="T520" s="79">
        <v>0</v>
      </c>
      <c r="U520" s="79">
        <v>0</v>
      </c>
      <c r="V520" s="79">
        <v>0</v>
      </c>
      <c r="W520" s="79">
        <v>0</v>
      </c>
      <c r="X520" s="90">
        <v>0</v>
      </c>
    </row>
    <row r="521" spans="1:24" hidden="1" x14ac:dyDescent="0.25">
      <c r="A521" s="80" t="str">
        <v>CORDELAN</v>
      </c>
      <c r="B521" s="80" t="str">
        <v>La Banda de Shilcayo</v>
      </c>
      <c r="C521" s="80" t="str">
        <v>Julio</v>
      </c>
      <c r="D521" s="81">
        <v>46192</v>
      </c>
      <c r="E521" s="79">
        <v>1432</v>
      </c>
      <c r="F521" s="80">
        <v>46168</v>
      </c>
      <c r="G521" s="79" cm="1">
        <f t="array" ref="G521:X521">_xlfn._xlws.FILTER(Formulas!$C$2:$T$201, ISNUMBER(MATCH(Formulas!$B$2:$B$201, B521, 0)),0) * E521</f>
        <v>158</v>
      </c>
      <c r="H521" s="79">
        <v>571</v>
      </c>
      <c r="I521" s="79">
        <v>43</v>
      </c>
      <c r="J521" s="79">
        <v>43</v>
      </c>
      <c r="K521" s="79">
        <v>0</v>
      </c>
      <c r="L521" s="79">
        <v>0</v>
      </c>
      <c r="M521" s="79">
        <v>43</v>
      </c>
      <c r="N521" s="79">
        <v>0</v>
      </c>
      <c r="O521" s="79">
        <v>574</v>
      </c>
      <c r="P521" s="79">
        <v>0</v>
      </c>
      <c r="Q521" s="79">
        <v>0</v>
      </c>
      <c r="R521" s="79">
        <v>0</v>
      </c>
      <c r="S521" s="79">
        <v>0</v>
      </c>
      <c r="T521" s="79">
        <v>0</v>
      </c>
      <c r="U521" s="79">
        <v>0</v>
      </c>
      <c r="V521" s="79">
        <v>0</v>
      </c>
      <c r="W521" s="79">
        <v>0</v>
      </c>
      <c r="X521" s="90">
        <v>0</v>
      </c>
    </row>
    <row r="522" spans="1:24" hidden="1" x14ac:dyDescent="0.25">
      <c r="A522" s="80" t="str">
        <v>CORDELAN</v>
      </c>
      <c r="B522" s="80" t="str">
        <v>La Banda de Shilcayo</v>
      </c>
      <c r="C522" s="80" t="str">
        <v>Agosto</v>
      </c>
      <c r="D522" s="81">
        <v>46224</v>
      </c>
      <c r="E522" s="79">
        <v>1432</v>
      </c>
      <c r="F522" s="81">
        <v>46212</v>
      </c>
      <c r="G522" s="79" cm="1">
        <f t="array" ref="G522:X522">_xlfn._xlws.FILTER(Formulas!$C$2:$T$201, ISNUMBER(MATCH(Formulas!$B$2:$B$201, B522, 0)),0) * E522</f>
        <v>158</v>
      </c>
      <c r="H522" s="79">
        <v>571</v>
      </c>
      <c r="I522" s="79">
        <v>43</v>
      </c>
      <c r="J522" s="79">
        <v>43</v>
      </c>
      <c r="K522" s="79">
        <v>0</v>
      </c>
      <c r="L522" s="79">
        <v>0</v>
      </c>
      <c r="M522" s="79">
        <v>43</v>
      </c>
      <c r="N522" s="79">
        <v>0</v>
      </c>
      <c r="O522" s="79">
        <v>574</v>
      </c>
      <c r="P522" s="79">
        <v>0</v>
      </c>
      <c r="Q522" s="79">
        <v>0</v>
      </c>
      <c r="R522" s="79">
        <v>0</v>
      </c>
      <c r="S522" s="79">
        <v>0</v>
      </c>
      <c r="T522" s="79">
        <v>0</v>
      </c>
      <c r="U522" s="79">
        <v>0</v>
      </c>
      <c r="V522" s="79">
        <v>0</v>
      </c>
      <c r="W522" s="79">
        <v>0</v>
      </c>
      <c r="X522" s="90">
        <v>0</v>
      </c>
    </row>
    <row r="523" spans="1:24" hidden="1" x14ac:dyDescent="0.25">
      <c r="A523" s="80" t="str">
        <v>CORDELAN</v>
      </c>
      <c r="B523" s="80" t="str">
        <v>La Banda de Shilcayo</v>
      </c>
      <c r="C523" s="80" t="str">
        <v>O.C.</v>
      </c>
      <c r="D523" s="81">
        <v>46224</v>
      </c>
      <c r="E523" s="79">
        <v>1044.4000000000001</v>
      </c>
      <c r="F523" s="81">
        <v>46222</v>
      </c>
      <c r="G523" s="79" cm="1">
        <f t="array" ref="G523:X523">_xlfn._xlws.FILTER(Formulas!$C$2:$T$201, ISNUMBER(MATCH(Formulas!$B$2:$B$201, B523, 0)),0) * E523</f>
        <v>115.23407821229051</v>
      </c>
      <c r="H523" s="79">
        <v>416.44720670391064</v>
      </c>
      <c r="I523" s="79">
        <v>31.361173184357543</v>
      </c>
      <c r="J523" s="79">
        <v>31.361173184357543</v>
      </c>
      <c r="K523" s="79">
        <v>0</v>
      </c>
      <c r="L523" s="79">
        <v>0</v>
      </c>
      <c r="M523" s="79">
        <v>31.361173184357543</v>
      </c>
      <c r="N523" s="79">
        <v>0</v>
      </c>
      <c r="O523" s="79">
        <v>418.63519553072632</v>
      </c>
      <c r="P523" s="79">
        <v>0</v>
      </c>
      <c r="Q523" s="79">
        <v>0</v>
      </c>
      <c r="R523" s="79">
        <v>0</v>
      </c>
      <c r="S523" s="79">
        <v>0</v>
      </c>
      <c r="T523" s="79">
        <v>0</v>
      </c>
      <c r="U523" s="79">
        <v>0</v>
      </c>
      <c r="V523" s="79">
        <v>0</v>
      </c>
      <c r="W523" s="79">
        <v>0</v>
      </c>
      <c r="X523" s="90">
        <v>0</v>
      </c>
    </row>
    <row r="524" spans="1:24" hidden="1" x14ac:dyDescent="0.25">
      <c r="A524" s="80" t="str">
        <v>CORDELAN</v>
      </c>
      <c r="B524" s="80" t="str">
        <v>La Banda de Shilcayo</v>
      </c>
      <c r="C524" s="80" t="str">
        <v>Setiembre</v>
      </c>
      <c r="D524" s="81">
        <v>46253</v>
      </c>
      <c r="E524" s="79">
        <v>1386</v>
      </c>
      <c r="F524" s="81">
        <v>46234</v>
      </c>
      <c r="G524" s="79" cm="1">
        <f t="array" ref="G524:X524">_xlfn._xlws.FILTER(Formulas!$C$2:$T$201, ISNUMBER(MATCH(Formulas!$B$2:$B$201, B524, 0)),0) * E524</f>
        <v>152.92458100558659</v>
      </c>
      <c r="H524" s="79">
        <v>552.65782122905023</v>
      </c>
      <c r="I524" s="79">
        <v>41.618715083798882</v>
      </c>
      <c r="J524" s="79">
        <v>41.618715083798882</v>
      </c>
      <c r="K524" s="79">
        <v>0</v>
      </c>
      <c r="L524" s="79">
        <v>0</v>
      </c>
      <c r="M524" s="79">
        <v>41.618715083798882</v>
      </c>
      <c r="N524" s="79">
        <v>0</v>
      </c>
      <c r="O524" s="79">
        <v>555.56145251396651</v>
      </c>
      <c r="P524" s="79">
        <v>0</v>
      </c>
      <c r="Q524" s="79">
        <v>0</v>
      </c>
      <c r="R524" s="79">
        <v>0</v>
      </c>
      <c r="S524" s="79">
        <v>0</v>
      </c>
      <c r="T524" s="79">
        <v>0</v>
      </c>
      <c r="U524" s="79">
        <v>0</v>
      </c>
      <c r="V524" s="79">
        <v>0</v>
      </c>
      <c r="W524" s="79">
        <v>0</v>
      </c>
      <c r="X524" s="90">
        <v>0</v>
      </c>
    </row>
    <row r="525" spans="1:24" hidden="1" x14ac:dyDescent="0.25">
      <c r="A525" s="80" t="str">
        <v>CORDELAN</v>
      </c>
      <c r="B525" s="80" t="str">
        <v>La Banda de Shilcayo</v>
      </c>
      <c r="C525" s="80" t="str">
        <v>Octubre</v>
      </c>
      <c r="D525" s="81">
        <v>46284</v>
      </c>
      <c r="E525" s="79">
        <v>1432</v>
      </c>
      <c r="F525" s="81">
        <v>46267</v>
      </c>
      <c r="G525" s="79" cm="1">
        <f t="array" ref="G525:X525">_xlfn._xlws.FILTER(Formulas!$C$2:$T$201, ISNUMBER(MATCH(Formulas!$B$2:$B$201, B525, 0)),0) * E525</f>
        <v>158</v>
      </c>
      <c r="H525" s="79">
        <v>571</v>
      </c>
      <c r="I525" s="79">
        <v>43</v>
      </c>
      <c r="J525" s="79">
        <v>43</v>
      </c>
      <c r="K525" s="79">
        <v>0</v>
      </c>
      <c r="L525" s="79">
        <v>0</v>
      </c>
      <c r="M525" s="79">
        <v>43</v>
      </c>
      <c r="N525" s="79">
        <v>0</v>
      </c>
      <c r="O525" s="79">
        <v>574</v>
      </c>
      <c r="P525" s="79">
        <v>0</v>
      </c>
      <c r="Q525" s="79">
        <v>0</v>
      </c>
      <c r="R525" s="79">
        <v>0</v>
      </c>
      <c r="S525" s="79">
        <v>0</v>
      </c>
      <c r="T525" s="79">
        <v>0</v>
      </c>
      <c r="U525" s="79">
        <v>0</v>
      </c>
      <c r="V525" s="79">
        <v>0</v>
      </c>
      <c r="W525" s="79">
        <v>0</v>
      </c>
      <c r="X525" s="90">
        <v>0</v>
      </c>
    </row>
    <row r="526" spans="1:24" hidden="1" x14ac:dyDescent="0.25">
      <c r="A526" s="80" t="str">
        <v>CORDELAN</v>
      </c>
      <c r="B526" s="80" t="str">
        <v>La Banda de Shilcayo</v>
      </c>
      <c r="C526" s="80" t="str">
        <v>Noviembre</v>
      </c>
      <c r="D526" s="81">
        <v>46316</v>
      </c>
      <c r="E526" s="79">
        <v>1386</v>
      </c>
      <c r="F526" s="81">
        <v>0</v>
      </c>
      <c r="G526" s="79" cm="1">
        <f t="array" ref="G526:X526">_xlfn._xlws.FILTER(Formulas!$C$2:$T$201, ISNUMBER(MATCH(Formulas!$B$2:$B$201, B526, 0)),0) * E526</f>
        <v>152.92458100558659</v>
      </c>
      <c r="H526" s="79">
        <v>552.65782122905023</v>
      </c>
      <c r="I526" s="79">
        <v>41.618715083798882</v>
      </c>
      <c r="J526" s="79">
        <v>41.618715083798882</v>
      </c>
      <c r="K526" s="79">
        <v>0</v>
      </c>
      <c r="L526" s="79">
        <v>0</v>
      </c>
      <c r="M526" s="79">
        <v>41.618715083798882</v>
      </c>
      <c r="N526" s="79">
        <v>0</v>
      </c>
      <c r="O526" s="79">
        <v>555.56145251396651</v>
      </c>
      <c r="P526" s="79">
        <v>0</v>
      </c>
      <c r="Q526" s="79">
        <v>0</v>
      </c>
      <c r="R526" s="79">
        <v>0</v>
      </c>
      <c r="S526" s="79">
        <v>0</v>
      </c>
      <c r="T526" s="79">
        <v>0</v>
      </c>
      <c r="U526" s="79">
        <v>0</v>
      </c>
      <c r="V526" s="79">
        <v>0</v>
      </c>
      <c r="W526" s="79">
        <v>0</v>
      </c>
      <c r="X526" s="90">
        <v>0</v>
      </c>
    </row>
    <row r="527" spans="1:24" hidden="1" x14ac:dyDescent="0.25">
      <c r="A527" s="80" t="str">
        <v>CORDELAN</v>
      </c>
      <c r="B527" s="80" t="str">
        <v>La Banda de Shilcayo</v>
      </c>
      <c r="C527" s="80" t="str">
        <v>Diciembre</v>
      </c>
      <c r="D527" s="81">
        <v>46346</v>
      </c>
      <c r="E527" s="79">
        <v>1432</v>
      </c>
      <c r="F527" s="81">
        <v>0</v>
      </c>
      <c r="G527" s="79" cm="1">
        <f t="array" ref="G527:X527">_xlfn._xlws.FILTER(Formulas!$C$2:$T$201, ISNUMBER(MATCH(Formulas!$B$2:$B$201, B527, 0)),0) * E527</f>
        <v>158</v>
      </c>
      <c r="H527" s="79">
        <v>571</v>
      </c>
      <c r="I527" s="79">
        <v>43</v>
      </c>
      <c r="J527" s="79">
        <v>43</v>
      </c>
      <c r="K527" s="79">
        <v>0</v>
      </c>
      <c r="L527" s="79">
        <v>0</v>
      </c>
      <c r="M527" s="79">
        <v>43</v>
      </c>
      <c r="N527" s="79">
        <v>0</v>
      </c>
      <c r="O527" s="79">
        <v>574</v>
      </c>
      <c r="P527" s="79">
        <v>0</v>
      </c>
      <c r="Q527" s="79">
        <v>0</v>
      </c>
      <c r="R527" s="79">
        <v>0</v>
      </c>
      <c r="S527" s="79">
        <v>0</v>
      </c>
      <c r="T527" s="79">
        <v>0</v>
      </c>
      <c r="U527" s="79">
        <v>0</v>
      </c>
      <c r="V527" s="79">
        <v>0</v>
      </c>
      <c r="W527" s="79">
        <v>0</v>
      </c>
      <c r="X527" s="90">
        <v>0</v>
      </c>
    </row>
    <row r="528" spans="1:24" hidden="1" x14ac:dyDescent="0.25">
      <c r="A528" s="80" t="str">
        <v>FACOIMPEC</v>
      </c>
      <c r="B528" s="80" t="str">
        <v>La Esperanza</v>
      </c>
      <c r="C528" s="80" t="str">
        <v>Dicb25</v>
      </c>
      <c r="D528" s="81">
        <v>46013</v>
      </c>
      <c r="E528" s="79">
        <v>6182</v>
      </c>
      <c r="F528" s="81">
        <v>46012</v>
      </c>
      <c r="G528" s="79" cm="1">
        <f t="array" ref="G528:X528">_xlfn._xlws.FILTER(Formulas!$C$2:$T$201, ISNUMBER(MATCH(Formulas!$B$2:$B$201, B528, 0)),0) * E528</f>
        <v>1421.8600000000001</v>
      </c>
      <c r="H528" s="79">
        <v>2596.44</v>
      </c>
      <c r="I528" s="79">
        <v>309.10000000000002</v>
      </c>
      <c r="J528" s="79">
        <v>0</v>
      </c>
      <c r="K528" s="79">
        <v>0</v>
      </c>
      <c r="L528" s="79">
        <v>0</v>
      </c>
      <c r="M528" s="79">
        <v>0</v>
      </c>
      <c r="N528" s="79">
        <v>0</v>
      </c>
      <c r="O528" s="79">
        <v>1854.7033260905901</v>
      </c>
      <c r="P528" s="79">
        <v>0</v>
      </c>
      <c r="Q528" s="79">
        <v>0</v>
      </c>
      <c r="R528" s="79">
        <v>0</v>
      </c>
      <c r="S528" s="79">
        <v>0</v>
      </c>
      <c r="T528" s="79">
        <v>0</v>
      </c>
      <c r="U528" s="79">
        <v>0</v>
      </c>
      <c r="V528" s="79">
        <v>0</v>
      </c>
      <c r="W528" s="79">
        <v>0</v>
      </c>
      <c r="X528" s="90">
        <v>0</v>
      </c>
    </row>
    <row r="529" spans="1:24" hidden="1" x14ac:dyDescent="0.25">
      <c r="A529" s="80" t="str">
        <v>FACOIMPEC</v>
      </c>
      <c r="B529" s="80" t="str">
        <v>La Esperanza</v>
      </c>
      <c r="C529" s="80" t="str">
        <v>Enero</v>
      </c>
      <c r="D529" s="81">
        <v>46048</v>
      </c>
      <c r="E529" s="79">
        <v>5584</v>
      </c>
      <c r="F529" s="81">
        <v>46042</v>
      </c>
      <c r="G529" s="79" cm="1">
        <f t="array" ref="G529:X529">_xlfn._xlws.FILTER(Formulas!$C$2:$T$201, ISNUMBER(MATCH(Formulas!$B$2:$B$201, B529, 0)),0) * E529</f>
        <v>1284.3200000000002</v>
      </c>
      <c r="H529" s="79">
        <v>2345.2799999999997</v>
      </c>
      <c r="I529" s="79">
        <v>279.2</v>
      </c>
      <c r="J529" s="79">
        <v>0</v>
      </c>
      <c r="K529" s="79">
        <v>0</v>
      </c>
      <c r="L529" s="79">
        <v>0</v>
      </c>
      <c r="M529" s="79">
        <v>0</v>
      </c>
      <c r="N529" s="79">
        <v>0</v>
      </c>
      <c r="O529" s="79">
        <v>1675.2933311047968</v>
      </c>
      <c r="P529" s="79">
        <v>0</v>
      </c>
      <c r="Q529" s="79">
        <v>0</v>
      </c>
      <c r="R529" s="79">
        <v>0</v>
      </c>
      <c r="S529" s="79">
        <v>0</v>
      </c>
      <c r="T529" s="79">
        <v>0</v>
      </c>
      <c r="U529" s="79">
        <v>0</v>
      </c>
      <c r="V529" s="79">
        <v>0</v>
      </c>
      <c r="W529" s="79">
        <v>0</v>
      </c>
      <c r="X529" s="90">
        <v>0</v>
      </c>
    </row>
    <row r="530" spans="1:24" hidden="1" x14ac:dyDescent="0.25">
      <c r="A530" s="80" t="str">
        <v>FACOIMPEC</v>
      </c>
      <c r="B530" s="80" t="str">
        <v>La Esperanza</v>
      </c>
      <c r="C530" s="80" t="str">
        <v>Febrero</v>
      </c>
      <c r="D530" s="81">
        <v>46076</v>
      </c>
      <c r="E530" s="79">
        <v>6182</v>
      </c>
      <c r="F530" s="81">
        <v>46073</v>
      </c>
      <c r="G530" s="79" cm="1">
        <f t="array" ref="G530:X530">_xlfn._xlws.FILTER(Formulas!$C$2:$T$201, ISNUMBER(MATCH(Formulas!$B$2:$B$201, B530, 0)),0) * E530</f>
        <v>1421.8600000000001</v>
      </c>
      <c r="H530" s="79">
        <v>2596.44</v>
      </c>
      <c r="I530" s="79">
        <v>309.10000000000002</v>
      </c>
      <c r="J530" s="79">
        <v>0</v>
      </c>
      <c r="K530" s="79">
        <v>0</v>
      </c>
      <c r="L530" s="79">
        <v>0</v>
      </c>
      <c r="M530" s="79">
        <v>0</v>
      </c>
      <c r="N530" s="79">
        <v>0</v>
      </c>
      <c r="O530" s="79">
        <v>1854.7033260905901</v>
      </c>
      <c r="P530" s="79">
        <v>0</v>
      </c>
      <c r="Q530" s="79">
        <v>0</v>
      </c>
      <c r="R530" s="79">
        <v>0</v>
      </c>
      <c r="S530" s="79">
        <v>0</v>
      </c>
      <c r="T530" s="79">
        <v>0</v>
      </c>
      <c r="U530" s="79">
        <v>0</v>
      </c>
      <c r="V530" s="79">
        <v>0</v>
      </c>
      <c r="W530" s="79">
        <v>0</v>
      </c>
      <c r="X530" s="90">
        <v>0</v>
      </c>
    </row>
    <row r="531" spans="1:24" hidden="1" x14ac:dyDescent="0.25">
      <c r="A531" s="80" t="str">
        <v>PENDIENTE</v>
      </c>
      <c r="B531" s="80" t="str">
        <v>La Esperanza</v>
      </c>
      <c r="C531" s="80" t="str">
        <v>Abril</v>
      </c>
      <c r="D531" s="81">
        <v>46105</v>
      </c>
      <c r="E531" s="79">
        <v>5983</v>
      </c>
      <c r="F531" s="80">
        <v>46106</v>
      </c>
      <c r="G531" s="79" cm="1">
        <f t="array" ref="G531:X531">_xlfn._xlws.FILTER(Formulas!$C$2:$T$201, ISNUMBER(MATCH(Formulas!$B$2:$B$201, B531, 0)),0) * E531</f>
        <v>1376.0900000000001</v>
      </c>
      <c r="H531" s="79">
        <v>2512.86</v>
      </c>
      <c r="I531" s="79">
        <v>299.15000000000003</v>
      </c>
      <c r="J531" s="79">
        <v>0</v>
      </c>
      <c r="K531" s="79">
        <v>0</v>
      </c>
      <c r="L531" s="79">
        <v>0</v>
      </c>
      <c r="M531" s="79">
        <v>0</v>
      </c>
      <c r="N531" s="79">
        <v>0</v>
      </c>
      <c r="O531" s="79">
        <v>1795</v>
      </c>
      <c r="P531" s="79">
        <v>0</v>
      </c>
      <c r="Q531" s="79">
        <v>0</v>
      </c>
      <c r="R531" s="79">
        <v>0</v>
      </c>
      <c r="S531" s="79">
        <v>0</v>
      </c>
      <c r="T531" s="79">
        <v>0</v>
      </c>
      <c r="U531" s="79">
        <v>0</v>
      </c>
      <c r="V531" s="79">
        <v>0</v>
      </c>
      <c r="W531" s="79">
        <v>0</v>
      </c>
      <c r="X531" s="90">
        <v>0</v>
      </c>
    </row>
    <row r="532" spans="1:24" hidden="1" x14ac:dyDescent="0.25">
      <c r="A532" s="80" t="str">
        <v>PENDIENTE</v>
      </c>
      <c r="B532" s="80" t="str">
        <v>La Esperanza</v>
      </c>
      <c r="C532" s="80" t="str">
        <v>Mayo</v>
      </c>
      <c r="D532" s="81">
        <v>46136</v>
      </c>
      <c r="E532" s="79">
        <v>6182</v>
      </c>
      <c r="F532" s="80">
        <v>46125</v>
      </c>
      <c r="G532" s="79" cm="1">
        <f t="array" ref="G532:X532">_xlfn._xlws.FILTER(Formulas!$C$2:$T$201, ISNUMBER(MATCH(Formulas!$B$2:$B$201, B532, 0)),0) * E532</f>
        <v>1421.8600000000001</v>
      </c>
      <c r="H532" s="79">
        <v>2596.44</v>
      </c>
      <c r="I532" s="79">
        <v>309.10000000000002</v>
      </c>
      <c r="J532" s="79">
        <v>0</v>
      </c>
      <c r="K532" s="79">
        <v>0</v>
      </c>
      <c r="L532" s="79">
        <v>0</v>
      </c>
      <c r="M532" s="79">
        <v>0</v>
      </c>
      <c r="N532" s="79">
        <v>0</v>
      </c>
      <c r="O532" s="79">
        <v>1854.7033260905901</v>
      </c>
      <c r="P532" s="79">
        <v>0</v>
      </c>
      <c r="Q532" s="79">
        <v>0</v>
      </c>
      <c r="R532" s="79">
        <v>0</v>
      </c>
      <c r="S532" s="79">
        <v>0</v>
      </c>
      <c r="T532" s="79">
        <v>0</v>
      </c>
      <c r="U532" s="79">
        <v>0</v>
      </c>
      <c r="V532" s="79">
        <v>0</v>
      </c>
      <c r="W532" s="79">
        <v>0</v>
      </c>
      <c r="X532" s="90">
        <v>0</v>
      </c>
    </row>
    <row r="533" spans="1:24" hidden="1" x14ac:dyDescent="0.25">
      <c r="A533" s="80" t="str">
        <v>PENDIENTE</v>
      </c>
      <c r="B533" s="80" t="str">
        <v>La Esperanza</v>
      </c>
      <c r="C533" s="80" t="str">
        <v>Junio</v>
      </c>
      <c r="D533" s="81">
        <v>46167</v>
      </c>
      <c r="E533" s="79">
        <v>5983</v>
      </c>
      <c r="F533" s="80">
        <v>46164</v>
      </c>
      <c r="G533" s="79" cm="1">
        <f t="array" ref="G533:X533">_xlfn._xlws.FILTER(Formulas!$C$2:$T$201, ISNUMBER(MATCH(Formulas!$B$2:$B$201, B533, 0)),0) * E533</f>
        <v>1376.0900000000001</v>
      </c>
      <c r="H533" s="79">
        <v>2512.86</v>
      </c>
      <c r="I533" s="79">
        <v>299.15000000000003</v>
      </c>
      <c r="J533" s="79">
        <v>0</v>
      </c>
      <c r="K533" s="79">
        <v>0</v>
      </c>
      <c r="L533" s="79">
        <v>0</v>
      </c>
      <c r="M533" s="79">
        <v>0</v>
      </c>
      <c r="N533" s="79">
        <v>0</v>
      </c>
      <c r="O533" s="79">
        <v>1795</v>
      </c>
      <c r="P533" s="79">
        <v>0</v>
      </c>
      <c r="Q533" s="79">
        <v>0</v>
      </c>
      <c r="R533" s="79">
        <v>0</v>
      </c>
      <c r="S533" s="79">
        <v>0</v>
      </c>
      <c r="T533" s="79">
        <v>0</v>
      </c>
      <c r="U533" s="79">
        <v>0</v>
      </c>
      <c r="V533" s="79">
        <v>0</v>
      </c>
      <c r="W533" s="79">
        <v>0</v>
      </c>
      <c r="X533" s="90">
        <v>0</v>
      </c>
    </row>
    <row r="534" spans="1:24" hidden="1" x14ac:dyDescent="0.25">
      <c r="A534" s="80" t="str">
        <v>PENDIENTE</v>
      </c>
      <c r="B534" s="80" t="str">
        <v>La Esperanza</v>
      </c>
      <c r="C534" s="80" t="str">
        <v>Julio</v>
      </c>
      <c r="D534" s="81">
        <v>46197</v>
      </c>
      <c r="E534" s="79">
        <v>6182</v>
      </c>
      <c r="F534" s="81">
        <v>46197</v>
      </c>
      <c r="G534" s="79" cm="1">
        <f t="array" ref="G534:X534">_xlfn._xlws.FILTER(Formulas!$C$2:$T$201, ISNUMBER(MATCH(Formulas!$B$2:$B$201, B534, 0)),0) * E534</f>
        <v>1421.8600000000001</v>
      </c>
      <c r="H534" s="79">
        <v>2596.44</v>
      </c>
      <c r="I534" s="79">
        <v>309.10000000000002</v>
      </c>
      <c r="J534" s="79">
        <v>0</v>
      </c>
      <c r="K534" s="79">
        <v>0</v>
      </c>
      <c r="L534" s="79">
        <v>0</v>
      </c>
      <c r="M534" s="79">
        <v>0</v>
      </c>
      <c r="N534" s="79">
        <v>0</v>
      </c>
      <c r="O534" s="79">
        <v>1854.7033260905901</v>
      </c>
      <c r="P534" s="79">
        <v>0</v>
      </c>
      <c r="Q534" s="79">
        <v>0</v>
      </c>
      <c r="R534" s="79">
        <v>0</v>
      </c>
      <c r="S534" s="79">
        <v>0</v>
      </c>
      <c r="T534" s="79">
        <v>0</v>
      </c>
      <c r="U534" s="79">
        <v>0</v>
      </c>
      <c r="V534" s="79">
        <v>0</v>
      </c>
      <c r="W534" s="79">
        <v>0</v>
      </c>
      <c r="X534" s="90">
        <v>0</v>
      </c>
    </row>
    <row r="535" spans="1:24" hidden="1" x14ac:dyDescent="0.25">
      <c r="A535" s="80" t="str">
        <v>PENDIENTE</v>
      </c>
      <c r="B535" s="80" t="str">
        <v>La Esperanza</v>
      </c>
      <c r="C535" s="80" t="str">
        <v>Agosto</v>
      </c>
      <c r="D535" s="81">
        <v>46224</v>
      </c>
      <c r="E535" s="79">
        <v>6182</v>
      </c>
      <c r="F535" s="81">
        <v>46223</v>
      </c>
      <c r="G535" s="79" cm="1">
        <f t="array" ref="G535:X535">_xlfn._xlws.FILTER(Formulas!$C$2:$T$201, ISNUMBER(MATCH(Formulas!$B$2:$B$201, B535, 0)),0) * E535</f>
        <v>1421.8600000000001</v>
      </c>
      <c r="H535" s="79">
        <v>2596.44</v>
      </c>
      <c r="I535" s="79">
        <v>309.10000000000002</v>
      </c>
      <c r="J535" s="79">
        <v>0</v>
      </c>
      <c r="K535" s="79">
        <v>0</v>
      </c>
      <c r="L535" s="79">
        <v>0</v>
      </c>
      <c r="M535" s="79">
        <v>0</v>
      </c>
      <c r="N535" s="79">
        <v>0</v>
      </c>
      <c r="O535" s="79">
        <v>1854.7033260905901</v>
      </c>
      <c r="P535" s="79">
        <v>0</v>
      </c>
      <c r="Q535" s="79">
        <v>0</v>
      </c>
      <c r="R535" s="79">
        <v>0</v>
      </c>
      <c r="S535" s="79">
        <v>0</v>
      </c>
      <c r="T535" s="79">
        <v>0</v>
      </c>
      <c r="U535" s="79">
        <v>0</v>
      </c>
      <c r="V535" s="79">
        <v>0</v>
      </c>
      <c r="W535" s="79">
        <v>0</v>
      </c>
      <c r="X535" s="90">
        <v>0</v>
      </c>
    </row>
    <row r="536" spans="1:24" hidden="1" x14ac:dyDescent="0.25">
      <c r="A536" s="80" t="str">
        <v>PENDIENTE</v>
      </c>
      <c r="B536" s="80" t="str">
        <v>La Esperanza</v>
      </c>
      <c r="C536" s="80" t="str">
        <v>Setiembre</v>
      </c>
      <c r="D536" s="81">
        <v>46258</v>
      </c>
      <c r="E536" s="79">
        <v>5983</v>
      </c>
      <c r="F536" s="81">
        <v>46239</v>
      </c>
      <c r="G536" s="79" cm="1">
        <f t="array" ref="G536:X536">_xlfn._xlws.FILTER(Formulas!$C$2:$T$201, ISNUMBER(MATCH(Formulas!$B$2:$B$201, B536, 0)),0) * E536</f>
        <v>1376.0900000000001</v>
      </c>
      <c r="H536" s="79">
        <v>2512.86</v>
      </c>
      <c r="I536" s="79">
        <v>299.15000000000003</v>
      </c>
      <c r="J536" s="79">
        <v>0</v>
      </c>
      <c r="K536" s="79">
        <v>0</v>
      </c>
      <c r="L536" s="79">
        <v>0</v>
      </c>
      <c r="M536" s="79">
        <v>0</v>
      </c>
      <c r="N536" s="79">
        <v>0</v>
      </c>
      <c r="O536" s="79">
        <v>1795</v>
      </c>
      <c r="P536" s="79">
        <v>0</v>
      </c>
      <c r="Q536" s="79">
        <v>0</v>
      </c>
      <c r="R536" s="79">
        <v>0</v>
      </c>
      <c r="S536" s="79">
        <v>0</v>
      </c>
      <c r="T536" s="79">
        <v>0</v>
      </c>
      <c r="U536" s="79">
        <v>0</v>
      </c>
      <c r="V536" s="79">
        <v>0</v>
      </c>
      <c r="W536" s="79">
        <v>0</v>
      </c>
      <c r="X536" s="90">
        <v>0</v>
      </c>
    </row>
    <row r="537" spans="1:24" hidden="1" x14ac:dyDescent="0.25">
      <c r="A537" s="80" t="str">
        <v>PENDIENTE</v>
      </c>
      <c r="B537" s="80" t="str">
        <v>La Esperanza</v>
      </c>
      <c r="C537" s="80" t="str">
        <v>Octubre</v>
      </c>
      <c r="D537" s="81">
        <v>46290</v>
      </c>
      <c r="E537" s="79">
        <v>6182</v>
      </c>
      <c r="F537" s="81">
        <v>46290</v>
      </c>
      <c r="G537" s="79" cm="1">
        <f t="array" ref="G537:X537">_xlfn._xlws.FILTER(Formulas!$C$2:$T$201, ISNUMBER(MATCH(Formulas!$B$2:$B$201, B537, 0)),0) * E537</f>
        <v>1421.8600000000001</v>
      </c>
      <c r="H537" s="79">
        <v>2596.44</v>
      </c>
      <c r="I537" s="79">
        <v>309.10000000000002</v>
      </c>
      <c r="J537" s="79">
        <v>0</v>
      </c>
      <c r="K537" s="79">
        <v>0</v>
      </c>
      <c r="L537" s="79">
        <v>0</v>
      </c>
      <c r="M537" s="79">
        <v>0</v>
      </c>
      <c r="N537" s="79">
        <v>0</v>
      </c>
      <c r="O537" s="79">
        <v>1854.7033260905901</v>
      </c>
      <c r="P537" s="79">
        <v>0</v>
      </c>
      <c r="Q537" s="79">
        <v>0</v>
      </c>
      <c r="R537" s="79">
        <v>0</v>
      </c>
      <c r="S537" s="79">
        <v>0</v>
      </c>
      <c r="T537" s="79">
        <v>0</v>
      </c>
      <c r="U537" s="79">
        <v>0</v>
      </c>
      <c r="V537" s="79">
        <v>0</v>
      </c>
      <c r="W537" s="79">
        <v>0</v>
      </c>
      <c r="X537" s="90">
        <v>0</v>
      </c>
    </row>
    <row r="538" spans="1:24" hidden="1" x14ac:dyDescent="0.25">
      <c r="A538" s="80" t="str">
        <v>PENDIENTE</v>
      </c>
      <c r="B538" s="80" t="str">
        <v>La Esperanza</v>
      </c>
      <c r="C538" s="80" t="str">
        <v>Noviembre</v>
      </c>
      <c r="D538" s="81">
        <v>46321</v>
      </c>
      <c r="E538" s="79">
        <v>5983</v>
      </c>
      <c r="F538" s="81">
        <v>0</v>
      </c>
      <c r="G538" s="79" cm="1">
        <f t="array" ref="G538:X538">_xlfn._xlws.FILTER(Formulas!$C$2:$T$201, ISNUMBER(MATCH(Formulas!$B$2:$B$201, B538, 0)),0) * E538</f>
        <v>1376.0900000000001</v>
      </c>
      <c r="H538" s="79">
        <v>2512.86</v>
      </c>
      <c r="I538" s="79">
        <v>299.15000000000003</v>
      </c>
      <c r="J538" s="79">
        <v>0</v>
      </c>
      <c r="K538" s="79">
        <v>0</v>
      </c>
      <c r="L538" s="79">
        <v>0</v>
      </c>
      <c r="M538" s="79">
        <v>0</v>
      </c>
      <c r="N538" s="79">
        <v>0</v>
      </c>
      <c r="O538" s="79">
        <v>1795</v>
      </c>
      <c r="P538" s="79">
        <v>0</v>
      </c>
      <c r="Q538" s="79">
        <v>0</v>
      </c>
      <c r="R538" s="79">
        <v>0</v>
      </c>
      <c r="S538" s="79">
        <v>0</v>
      </c>
      <c r="T538" s="79">
        <v>0</v>
      </c>
      <c r="U538" s="79">
        <v>0</v>
      </c>
      <c r="V538" s="79">
        <v>0</v>
      </c>
      <c r="W538" s="79">
        <v>0</v>
      </c>
      <c r="X538" s="90">
        <v>0</v>
      </c>
    </row>
    <row r="539" spans="1:24" hidden="1" x14ac:dyDescent="0.25">
      <c r="A539" s="80" t="str">
        <v>PENDIENTE</v>
      </c>
      <c r="B539" s="80" t="str">
        <v>La Esperanza</v>
      </c>
      <c r="C539" s="80" t="str">
        <v>Diciembre</v>
      </c>
      <c r="D539" s="81">
        <v>46350</v>
      </c>
      <c r="E539" s="79">
        <v>6182</v>
      </c>
      <c r="F539" s="81">
        <v>0</v>
      </c>
      <c r="G539" s="79" cm="1">
        <f t="array" ref="G539:X539">_xlfn._xlws.FILTER(Formulas!$C$2:$T$201, ISNUMBER(MATCH(Formulas!$B$2:$B$201, B539, 0)),0) * E539</f>
        <v>1421.8600000000001</v>
      </c>
      <c r="H539" s="79">
        <v>2596.44</v>
      </c>
      <c r="I539" s="79">
        <v>309.10000000000002</v>
      </c>
      <c r="J539" s="79">
        <v>0</v>
      </c>
      <c r="K539" s="79">
        <v>0</v>
      </c>
      <c r="L539" s="79">
        <v>0</v>
      </c>
      <c r="M539" s="79">
        <v>0</v>
      </c>
      <c r="N539" s="79">
        <v>0</v>
      </c>
      <c r="O539" s="79">
        <v>1854.7033260905901</v>
      </c>
      <c r="P539" s="79">
        <v>0</v>
      </c>
      <c r="Q539" s="79">
        <v>0</v>
      </c>
      <c r="R539" s="79">
        <v>0</v>
      </c>
      <c r="S539" s="79">
        <v>0</v>
      </c>
      <c r="T539" s="79">
        <v>0</v>
      </c>
      <c r="U539" s="79">
        <v>0</v>
      </c>
      <c r="V539" s="79">
        <v>0</v>
      </c>
      <c r="W539" s="79">
        <v>0</v>
      </c>
      <c r="X539" s="90">
        <v>0</v>
      </c>
    </row>
    <row r="540" spans="1:24" hidden="1" x14ac:dyDescent="0.25">
      <c r="A540" s="80" t="str">
        <v>NAPER</v>
      </c>
      <c r="B540" s="80" t="str">
        <v>La Florida</v>
      </c>
      <c r="C540" s="80" t="str">
        <v>O.C.</v>
      </c>
      <c r="D540" s="81">
        <v>46063</v>
      </c>
      <c r="E540" s="79">
        <v>774.21960000000001</v>
      </c>
      <c r="F540" s="81">
        <v>46058</v>
      </c>
      <c r="G540" s="79" cm="1">
        <f t="array" ref="G540:X540">_xlfn._xlws.FILTER(Formulas!$C$2:$T$201, ISNUMBER(MATCH(Formulas!$B$2:$B$201, B540, 0)),0) * E540</f>
        <v>154.30196628000002</v>
      </c>
      <c r="H540" s="79">
        <v>526.291257492</v>
      </c>
      <c r="I540" s="79">
        <v>31.177823291999999</v>
      </c>
      <c r="J540" s="79">
        <v>31.177823291999999</v>
      </c>
      <c r="K540" s="79">
        <v>0</v>
      </c>
      <c r="L540" s="79">
        <v>0</v>
      </c>
      <c r="M540" s="79">
        <v>31.177823291999999</v>
      </c>
      <c r="N540" s="79">
        <v>0</v>
      </c>
      <c r="O540" s="79">
        <v>0</v>
      </c>
      <c r="P540" s="79">
        <v>0</v>
      </c>
      <c r="Q540" s="79">
        <v>0</v>
      </c>
      <c r="R540" s="79">
        <v>0</v>
      </c>
      <c r="S540" s="79">
        <v>0</v>
      </c>
      <c r="T540" s="79">
        <v>0</v>
      </c>
      <c r="U540" s="79">
        <v>0</v>
      </c>
      <c r="V540" s="79">
        <v>0</v>
      </c>
      <c r="W540" s="79">
        <v>0</v>
      </c>
      <c r="X540" s="90">
        <v>0</v>
      </c>
    </row>
    <row r="541" spans="1:24" hidden="1" x14ac:dyDescent="0.25">
      <c r="A541" s="80" t="str">
        <v>PENDIENTE</v>
      </c>
      <c r="B541" s="80" t="str">
        <v>La Florida</v>
      </c>
      <c r="C541" s="80" t="str">
        <v>Abril / Mayo / Junio</v>
      </c>
      <c r="D541" s="81">
        <v>46096</v>
      </c>
      <c r="E541" s="79">
        <v>774.21960000000001</v>
      </c>
      <c r="F541" s="81">
        <v>46091</v>
      </c>
      <c r="G541" s="79" cm="1">
        <f t="array" ref="G541:X541">_xlfn._xlws.FILTER(Formulas!$C$2:$T$201, ISNUMBER(MATCH(Formulas!$B$2:$B$201, B541, 0)),0) * E541</f>
        <v>154.30196628000002</v>
      </c>
      <c r="H541" s="79">
        <v>526.291257492</v>
      </c>
      <c r="I541" s="79">
        <v>31.177823291999999</v>
      </c>
      <c r="J541" s="79">
        <v>31.177823291999999</v>
      </c>
      <c r="K541" s="79">
        <v>0</v>
      </c>
      <c r="L541" s="79">
        <v>0</v>
      </c>
      <c r="M541" s="79">
        <v>31.177823291999999</v>
      </c>
      <c r="N541" s="79">
        <v>0</v>
      </c>
      <c r="O541" s="79">
        <v>0</v>
      </c>
      <c r="P541" s="79">
        <v>0</v>
      </c>
      <c r="Q541" s="79">
        <v>0</v>
      </c>
      <c r="R541" s="79">
        <v>0</v>
      </c>
      <c r="S541" s="79">
        <v>0</v>
      </c>
      <c r="T541" s="79">
        <v>0</v>
      </c>
      <c r="U541" s="79">
        <v>0</v>
      </c>
      <c r="V541" s="79">
        <v>0</v>
      </c>
      <c r="W541" s="79">
        <v>0</v>
      </c>
      <c r="X541" s="90">
        <v>0</v>
      </c>
    </row>
    <row r="542" spans="1:24" hidden="1" x14ac:dyDescent="0.25">
      <c r="A542" s="80" t="str">
        <v>PENDIENTE</v>
      </c>
      <c r="B542" s="80" t="str">
        <v>La Florida</v>
      </c>
      <c r="C542" s="80" t="str">
        <v>Julio / Agosto / Septiembre</v>
      </c>
      <c r="D542" s="81">
        <v>46188</v>
      </c>
      <c r="E542" s="79">
        <v>774.21960000000001</v>
      </c>
      <c r="F542" s="81">
        <v>46205</v>
      </c>
      <c r="G542" s="79" cm="1">
        <f t="array" ref="G542:X542">_xlfn._xlws.FILTER(Formulas!$C$2:$T$201, ISNUMBER(MATCH(Formulas!$B$2:$B$201, B542, 0)),0) * E542</f>
        <v>154.30196628000002</v>
      </c>
      <c r="H542" s="79">
        <v>526.291257492</v>
      </c>
      <c r="I542" s="79">
        <v>31.177823291999999</v>
      </c>
      <c r="J542" s="79">
        <v>31.177823291999999</v>
      </c>
      <c r="K542" s="79">
        <v>0</v>
      </c>
      <c r="L542" s="79">
        <v>0</v>
      </c>
      <c r="M542" s="79">
        <v>31.177823291999999</v>
      </c>
      <c r="N542" s="79">
        <v>0</v>
      </c>
      <c r="O542" s="79">
        <v>0</v>
      </c>
      <c r="P542" s="79">
        <v>0</v>
      </c>
      <c r="Q542" s="79">
        <v>0</v>
      </c>
      <c r="R542" s="79">
        <v>0</v>
      </c>
      <c r="S542" s="79">
        <v>0</v>
      </c>
      <c r="T542" s="79">
        <v>0</v>
      </c>
      <c r="U542" s="79">
        <v>0</v>
      </c>
      <c r="V542" s="79">
        <v>0</v>
      </c>
      <c r="W542" s="79">
        <v>0</v>
      </c>
      <c r="X542" s="90">
        <v>0</v>
      </c>
    </row>
    <row r="543" spans="1:24" hidden="1" x14ac:dyDescent="0.25">
      <c r="A543" s="80" t="str">
        <v>PENDIENTE</v>
      </c>
      <c r="B543" s="80" t="str">
        <v>La Florida</v>
      </c>
      <c r="C543" s="80" t="str">
        <v>Octubre / Noviembre / Diciembre</v>
      </c>
      <c r="D543" s="81">
        <v>46280</v>
      </c>
      <c r="E543" s="79">
        <v>782.04</v>
      </c>
      <c r="F543" s="81">
        <v>46275</v>
      </c>
      <c r="G543" s="79" cm="1">
        <f t="array" ref="G543:X543">_xlfn._xlws.FILTER(Formulas!$C$2:$T$201, ISNUMBER(MATCH(Formulas!$B$2:$B$201, B543, 0)),0) * E543</f>
        <v>155.86057199999999</v>
      </c>
      <c r="H543" s="79">
        <v>531.6073308</v>
      </c>
      <c r="I543" s="79">
        <v>31.4927508</v>
      </c>
      <c r="J543" s="79">
        <v>31.4927508</v>
      </c>
      <c r="K543" s="79">
        <v>0</v>
      </c>
      <c r="L543" s="79">
        <v>0</v>
      </c>
      <c r="M543" s="79">
        <v>31.4927508</v>
      </c>
      <c r="N543" s="79">
        <v>0</v>
      </c>
      <c r="O543" s="79">
        <v>0</v>
      </c>
      <c r="P543" s="79">
        <v>0</v>
      </c>
      <c r="Q543" s="79">
        <v>0</v>
      </c>
      <c r="R543" s="79">
        <v>0</v>
      </c>
      <c r="S543" s="79">
        <v>0</v>
      </c>
      <c r="T543" s="79">
        <v>0</v>
      </c>
      <c r="U543" s="79">
        <v>0</v>
      </c>
      <c r="V543" s="79">
        <v>0</v>
      </c>
      <c r="W543" s="79">
        <v>0</v>
      </c>
      <c r="X543" s="90">
        <v>0</v>
      </c>
    </row>
    <row r="544" spans="1:24" hidden="1" x14ac:dyDescent="0.25">
      <c r="A544" s="80" t="str">
        <v>PENDIENTE</v>
      </c>
      <c r="B544" s="80" t="str">
        <v>Llacanora</v>
      </c>
      <c r="C544" s="80" t="str">
        <v>Enero</v>
      </c>
      <c r="D544" s="81">
        <v>46022</v>
      </c>
      <c r="E544" s="79">
        <v>851.46630000000005</v>
      </c>
      <c r="F544" s="81">
        <v>45997</v>
      </c>
      <c r="G544" s="79" cm="1">
        <f t="array" ref="G544:X544">_xlfn._xlws.FILTER(Formulas!$C$2:$T$201, ISNUMBER(MATCH(Formulas!$B$2:$B$201, B544, 0)),0) * E544</f>
        <v>220.87035822000004</v>
      </c>
      <c r="H544" s="79">
        <v>527.65366611000002</v>
      </c>
      <c r="I544" s="79">
        <v>25.969722150000003</v>
      </c>
      <c r="J544" s="79">
        <v>0</v>
      </c>
      <c r="K544" s="79">
        <v>0</v>
      </c>
      <c r="L544" s="79">
        <v>33.973505369999998</v>
      </c>
      <c r="M544" s="79">
        <v>42.999048150000007</v>
      </c>
      <c r="N544" s="79">
        <v>0</v>
      </c>
      <c r="O544" s="79">
        <v>0</v>
      </c>
      <c r="P544" s="79">
        <v>0</v>
      </c>
      <c r="Q544" s="79">
        <v>0</v>
      </c>
      <c r="R544" s="79">
        <v>0</v>
      </c>
      <c r="S544" s="79">
        <v>0</v>
      </c>
      <c r="T544" s="79">
        <v>0</v>
      </c>
      <c r="U544" s="79">
        <v>0</v>
      </c>
      <c r="V544" s="79">
        <v>0</v>
      </c>
      <c r="W544" s="79">
        <v>0</v>
      </c>
      <c r="X544" s="90">
        <v>0</v>
      </c>
    </row>
    <row r="545" spans="1:24" hidden="1" x14ac:dyDescent="0.25">
      <c r="A545" s="80" t="str">
        <v>PENDIENTE</v>
      </c>
      <c r="B545" s="80" t="str">
        <v>Llacanora</v>
      </c>
      <c r="C545" s="80" t="str">
        <v>Febrero</v>
      </c>
      <c r="D545" s="81">
        <v>46049</v>
      </c>
      <c r="E545" s="79">
        <v>851.46630000000005</v>
      </c>
      <c r="F545" s="81">
        <v>46032</v>
      </c>
      <c r="G545" s="79" cm="1">
        <f t="array" ref="G545:X545">_xlfn._xlws.FILTER(Formulas!$C$2:$T$201, ISNUMBER(MATCH(Formulas!$B$2:$B$201, B545, 0)),0) * E545</f>
        <v>220.87035822000004</v>
      </c>
      <c r="H545" s="79">
        <v>527.65366611000002</v>
      </c>
      <c r="I545" s="79">
        <v>25.969722150000003</v>
      </c>
      <c r="J545" s="79">
        <v>0</v>
      </c>
      <c r="K545" s="79">
        <v>0</v>
      </c>
      <c r="L545" s="79">
        <v>33.973505369999998</v>
      </c>
      <c r="M545" s="79">
        <v>42.999048150000007</v>
      </c>
      <c r="N545" s="79">
        <v>0</v>
      </c>
      <c r="O545" s="79">
        <v>0</v>
      </c>
      <c r="P545" s="79">
        <v>0</v>
      </c>
      <c r="Q545" s="79">
        <v>0</v>
      </c>
      <c r="R545" s="79">
        <v>0</v>
      </c>
      <c r="S545" s="79">
        <v>0</v>
      </c>
      <c r="T545" s="79">
        <v>0</v>
      </c>
      <c r="U545" s="79">
        <v>0</v>
      </c>
      <c r="V545" s="79">
        <v>0</v>
      </c>
      <c r="W545" s="79">
        <v>0</v>
      </c>
      <c r="X545" s="90">
        <v>0</v>
      </c>
    </row>
    <row r="546" spans="1:24" hidden="1" x14ac:dyDescent="0.25">
      <c r="A546" s="80" t="str">
        <v>PENDIENTE</v>
      </c>
      <c r="B546" s="80" t="str">
        <v>Llacanora</v>
      </c>
      <c r="C546" s="80" t="str">
        <v>Marzo</v>
      </c>
      <c r="D546" s="81">
        <v>46077</v>
      </c>
      <c r="E546" s="79">
        <v>851.46630000000005</v>
      </c>
      <c r="F546" s="81">
        <v>46068</v>
      </c>
      <c r="G546" s="79" cm="1">
        <f t="array" ref="G546:X546">_xlfn._xlws.FILTER(Formulas!$C$2:$T$201, ISNUMBER(MATCH(Formulas!$B$2:$B$201, B546, 0)),0) * E546</f>
        <v>220.87035822000004</v>
      </c>
      <c r="H546" s="79">
        <v>527.65366611000002</v>
      </c>
      <c r="I546" s="79">
        <v>25.969722150000003</v>
      </c>
      <c r="J546" s="79">
        <v>0</v>
      </c>
      <c r="K546" s="79">
        <v>0</v>
      </c>
      <c r="L546" s="79">
        <v>33.973505369999998</v>
      </c>
      <c r="M546" s="79">
        <v>42.999048150000007</v>
      </c>
      <c r="N546" s="79">
        <v>0</v>
      </c>
      <c r="O546" s="79">
        <v>0</v>
      </c>
      <c r="P546" s="79">
        <v>0</v>
      </c>
      <c r="Q546" s="79">
        <v>0</v>
      </c>
      <c r="R546" s="79">
        <v>0</v>
      </c>
      <c r="S546" s="79">
        <v>0</v>
      </c>
      <c r="T546" s="79">
        <v>0</v>
      </c>
      <c r="U546" s="79">
        <v>0</v>
      </c>
      <c r="V546" s="79">
        <v>0</v>
      </c>
      <c r="W546" s="79">
        <v>0</v>
      </c>
      <c r="X546" s="90">
        <v>0</v>
      </c>
    </row>
    <row r="547" spans="1:24" hidden="1" x14ac:dyDescent="0.25">
      <c r="A547" s="80" t="str">
        <v>PENDIENTE</v>
      </c>
      <c r="B547" s="80" t="str">
        <v>Llacanora</v>
      </c>
      <c r="C547" s="80" t="str">
        <v>Abril</v>
      </c>
      <c r="D547" s="81">
        <v>46105</v>
      </c>
      <c r="E547" s="79">
        <v>851.46630000000005</v>
      </c>
      <c r="F547" s="81">
        <v>46094</v>
      </c>
      <c r="G547" s="79" cm="1">
        <f t="array" ref="G547:X547">_xlfn._xlws.FILTER(Formulas!$C$2:$T$201, ISNUMBER(MATCH(Formulas!$B$2:$B$201, B547, 0)),0) * E547</f>
        <v>220.87035822000004</v>
      </c>
      <c r="H547" s="79">
        <v>527.65366611000002</v>
      </c>
      <c r="I547" s="79">
        <v>25.969722150000003</v>
      </c>
      <c r="J547" s="79">
        <v>0</v>
      </c>
      <c r="K547" s="79">
        <v>0</v>
      </c>
      <c r="L547" s="79">
        <v>33.973505369999998</v>
      </c>
      <c r="M547" s="79">
        <v>42.999048150000007</v>
      </c>
      <c r="N547" s="79">
        <v>0</v>
      </c>
      <c r="O547" s="79">
        <v>0</v>
      </c>
      <c r="P547" s="79">
        <v>0</v>
      </c>
      <c r="Q547" s="79">
        <v>0</v>
      </c>
      <c r="R547" s="79">
        <v>0</v>
      </c>
      <c r="S547" s="79">
        <v>0</v>
      </c>
      <c r="T547" s="79">
        <v>0</v>
      </c>
      <c r="U547" s="79">
        <v>0</v>
      </c>
      <c r="V547" s="79">
        <v>0</v>
      </c>
      <c r="W547" s="79">
        <v>0</v>
      </c>
      <c r="X547" s="90">
        <v>0</v>
      </c>
    </row>
    <row r="548" spans="1:24" hidden="1" x14ac:dyDescent="0.25">
      <c r="A548" s="80" t="str">
        <v>PENDIENTE</v>
      </c>
      <c r="B548" s="80" t="str">
        <v>Llacanora</v>
      </c>
      <c r="C548" s="80" t="str">
        <v>Mayo</v>
      </c>
      <c r="D548" s="81">
        <v>46140</v>
      </c>
      <c r="E548" s="79">
        <v>851.46630000000005</v>
      </c>
      <c r="F548" s="80">
        <v>46136</v>
      </c>
      <c r="G548" s="79" cm="1">
        <f t="array" ref="G548:X548">_xlfn._xlws.FILTER(Formulas!$C$2:$T$201, ISNUMBER(MATCH(Formulas!$B$2:$B$201, B548, 0)),0) * E548</f>
        <v>220.87035822000004</v>
      </c>
      <c r="H548" s="79">
        <v>527.65366611000002</v>
      </c>
      <c r="I548" s="79">
        <v>25.969722150000003</v>
      </c>
      <c r="J548" s="79">
        <v>0</v>
      </c>
      <c r="K548" s="79">
        <v>0</v>
      </c>
      <c r="L548" s="79">
        <v>33.973505369999998</v>
      </c>
      <c r="M548" s="79">
        <v>42.999048150000007</v>
      </c>
      <c r="N548" s="79">
        <v>0</v>
      </c>
      <c r="O548" s="79">
        <v>0</v>
      </c>
      <c r="P548" s="79">
        <v>0</v>
      </c>
      <c r="Q548" s="79">
        <v>0</v>
      </c>
      <c r="R548" s="79">
        <v>0</v>
      </c>
      <c r="S548" s="79">
        <v>0</v>
      </c>
      <c r="T548" s="79">
        <v>0</v>
      </c>
      <c r="U548" s="79">
        <v>0</v>
      </c>
      <c r="V548" s="79">
        <v>0</v>
      </c>
      <c r="W548" s="79">
        <v>0</v>
      </c>
      <c r="X548" s="90">
        <v>0</v>
      </c>
    </row>
    <row r="549" spans="1:24" hidden="1" x14ac:dyDescent="0.25">
      <c r="A549" s="80" t="str">
        <v>PENDIENTE</v>
      </c>
      <c r="B549" s="80" t="str">
        <v>Llacanora</v>
      </c>
      <c r="C549" s="80" t="str">
        <v>Junio</v>
      </c>
      <c r="D549" s="81">
        <v>46168</v>
      </c>
      <c r="E549" s="79">
        <v>851.46630000000005</v>
      </c>
      <c r="F549" s="80">
        <v>46155</v>
      </c>
      <c r="G549" s="79" cm="1">
        <f t="array" ref="G549:X549">_xlfn._xlws.FILTER(Formulas!$C$2:$T$201, ISNUMBER(MATCH(Formulas!$B$2:$B$201, B549, 0)),0) * E549</f>
        <v>220.87035822000004</v>
      </c>
      <c r="H549" s="79">
        <v>527.65366611000002</v>
      </c>
      <c r="I549" s="79">
        <v>25.969722150000003</v>
      </c>
      <c r="J549" s="79">
        <v>0</v>
      </c>
      <c r="K549" s="79">
        <v>0</v>
      </c>
      <c r="L549" s="79">
        <v>33.973505369999998</v>
      </c>
      <c r="M549" s="79">
        <v>42.999048150000007</v>
      </c>
      <c r="N549" s="79">
        <v>0</v>
      </c>
      <c r="O549" s="79">
        <v>0</v>
      </c>
      <c r="P549" s="79">
        <v>0</v>
      </c>
      <c r="Q549" s="79">
        <v>0</v>
      </c>
      <c r="R549" s="79">
        <v>0</v>
      </c>
      <c r="S549" s="79">
        <v>0</v>
      </c>
      <c r="T549" s="79">
        <v>0</v>
      </c>
      <c r="U549" s="79">
        <v>0</v>
      </c>
      <c r="V549" s="79">
        <v>0</v>
      </c>
      <c r="W549" s="79">
        <v>0</v>
      </c>
      <c r="X549" s="90">
        <v>0</v>
      </c>
    </row>
    <row r="550" spans="1:24" hidden="1" x14ac:dyDescent="0.25">
      <c r="A550" s="80" t="str">
        <v>PENDIENTE</v>
      </c>
      <c r="B550" s="80" t="str">
        <v>Llacanora</v>
      </c>
      <c r="C550" s="80" t="str">
        <v>Julio</v>
      </c>
      <c r="D550" s="81">
        <v>46196</v>
      </c>
      <c r="E550" s="79">
        <v>851.46630000000005</v>
      </c>
      <c r="F550" s="80">
        <v>46179</v>
      </c>
      <c r="G550" s="79" cm="1">
        <f t="array" ref="G550:X550">_xlfn._xlws.FILTER(Formulas!$C$2:$T$201, ISNUMBER(MATCH(Formulas!$B$2:$B$201, B550, 0)),0) * E550</f>
        <v>220.87035822000004</v>
      </c>
      <c r="H550" s="79">
        <v>527.65366611000002</v>
      </c>
      <c r="I550" s="79">
        <v>25.969722150000003</v>
      </c>
      <c r="J550" s="79">
        <v>0</v>
      </c>
      <c r="K550" s="79">
        <v>0</v>
      </c>
      <c r="L550" s="79">
        <v>33.973505369999998</v>
      </c>
      <c r="M550" s="79">
        <v>42.999048150000007</v>
      </c>
      <c r="N550" s="79">
        <v>0</v>
      </c>
      <c r="O550" s="79">
        <v>0</v>
      </c>
      <c r="P550" s="79">
        <v>0</v>
      </c>
      <c r="Q550" s="79">
        <v>0</v>
      </c>
      <c r="R550" s="79">
        <v>0</v>
      </c>
      <c r="S550" s="79">
        <v>0</v>
      </c>
      <c r="T550" s="79">
        <v>0</v>
      </c>
      <c r="U550" s="79">
        <v>0</v>
      </c>
      <c r="V550" s="79">
        <v>0</v>
      </c>
      <c r="W550" s="79">
        <v>0</v>
      </c>
      <c r="X550" s="90">
        <v>0</v>
      </c>
    </row>
    <row r="551" spans="1:24" hidden="1" x14ac:dyDescent="0.25">
      <c r="A551" s="80" t="str">
        <v>PENDIENTE</v>
      </c>
      <c r="B551" s="80" t="str">
        <v>Llacanora</v>
      </c>
      <c r="C551" s="80" t="str">
        <v>O.C.</v>
      </c>
      <c r="D551" s="81">
        <v>46224</v>
      </c>
      <c r="E551" s="79">
        <v>553.70000000000005</v>
      </c>
      <c r="F551" s="81">
        <v>46223</v>
      </c>
      <c r="G551" s="79" cm="1">
        <f t="array" ref="G551:X551">_xlfn._xlws.FILTER(Formulas!$C$2:$T$201, ISNUMBER(MATCH(Formulas!$B$2:$B$201, B551, 0)),0) * E551</f>
        <v>143.62978000000001</v>
      </c>
      <c r="H551" s="79">
        <v>343.12789000000004</v>
      </c>
      <c r="I551" s="79">
        <v>16.88785</v>
      </c>
      <c r="J551" s="79">
        <v>0</v>
      </c>
      <c r="K551" s="79">
        <v>0</v>
      </c>
      <c r="L551" s="79">
        <v>22.09263</v>
      </c>
      <c r="M551" s="79">
        <v>27.961850000000005</v>
      </c>
      <c r="N551" s="79">
        <v>0</v>
      </c>
      <c r="O551" s="79">
        <v>0</v>
      </c>
      <c r="P551" s="79">
        <v>0</v>
      </c>
      <c r="Q551" s="79">
        <v>0</v>
      </c>
      <c r="R551" s="79">
        <v>0</v>
      </c>
      <c r="S551" s="79">
        <v>0</v>
      </c>
      <c r="T551" s="79">
        <v>0</v>
      </c>
      <c r="U551" s="79">
        <v>0</v>
      </c>
      <c r="V551" s="79">
        <v>0</v>
      </c>
      <c r="W551" s="79">
        <v>0</v>
      </c>
      <c r="X551" s="90">
        <v>0</v>
      </c>
    </row>
    <row r="552" spans="1:24" hidden="1" x14ac:dyDescent="0.25">
      <c r="A552" s="80" t="str">
        <v>PENDIENTE</v>
      </c>
      <c r="B552" s="80" t="str">
        <v>Llacanora</v>
      </c>
      <c r="C552" s="80" t="str">
        <v>Agosto</v>
      </c>
      <c r="D552" s="81">
        <v>46224</v>
      </c>
      <c r="E552" s="79">
        <v>851.46630000000005</v>
      </c>
      <c r="F552" s="81">
        <v>46223</v>
      </c>
      <c r="G552" s="79" cm="1">
        <f t="array" ref="G552:X552">_xlfn._xlws.FILTER(Formulas!$C$2:$T$201, ISNUMBER(MATCH(Formulas!$B$2:$B$201, B552, 0)),0) * E552</f>
        <v>220.87035822000004</v>
      </c>
      <c r="H552" s="79">
        <v>527.65366611000002</v>
      </c>
      <c r="I552" s="79">
        <v>25.969722150000003</v>
      </c>
      <c r="J552" s="79">
        <v>0</v>
      </c>
      <c r="K552" s="79">
        <v>0</v>
      </c>
      <c r="L552" s="79">
        <v>33.973505369999998</v>
      </c>
      <c r="M552" s="79">
        <v>42.999048150000007</v>
      </c>
      <c r="N552" s="79">
        <v>0</v>
      </c>
      <c r="O552" s="79">
        <v>0</v>
      </c>
      <c r="P552" s="79">
        <v>0</v>
      </c>
      <c r="Q552" s="79">
        <v>0</v>
      </c>
      <c r="R552" s="79">
        <v>0</v>
      </c>
      <c r="S552" s="79">
        <v>0</v>
      </c>
      <c r="T552" s="79">
        <v>0</v>
      </c>
      <c r="U552" s="79">
        <v>0</v>
      </c>
      <c r="V552" s="79">
        <v>0</v>
      </c>
      <c r="W552" s="79">
        <v>0</v>
      </c>
      <c r="X552" s="90">
        <v>0</v>
      </c>
    </row>
    <row r="553" spans="1:24" hidden="1" x14ac:dyDescent="0.25">
      <c r="A553" s="80" t="str">
        <v>PENDIENTE</v>
      </c>
      <c r="B553" s="80" t="str">
        <v>Llacanora</v>
      </c>
      <c r="C553" s="80" t="str">
        <v>Setiembre</v>
      </c>
      <c r="D553" s="81">
        <v>46259</v>
      </c>
      <c r="E553" s="79">
        <v>851.46630000000005</v>
      </c>
      <c r="F553" s="81">
        <v>46251</v>
      </c>
      <c r="G553" s="79" cm="1">
        <f t="array" ref="G553:X553">_xlfn._xlws.FILTER(Formulas!$C$2:$T$201, ISNUMBER(MATCH(Formulas!$B$2:$B$201, B553, 0)),0) * E553</f>
        <v>220.87035822000004</v>
      </c>
      <c r="H553" s="79">
        <v>527.65366611000002</v>
      </c>
      <c r="I553" s="79">
        <v>25.969722150000003</v>
      </c>
      <c r="J553" s="79">
        <v>0</v>
      </c>
      <c r="K553" s="79">
        <v>0</v>
      </c>
      <c r="L553" s="79">
        <v>33.973505369999998</v>
      </c>
      <c r="M553" s="79">
        <v>42.999048150000007</v>
      </c>
      <c r="N553" s="79">
        <v>0</v>
      </c>
      <c r="O553" s="79">
        <v>0</v>
      </c>
      <c r="P553" s="79">
        <v>0</v>
      </c>
      <c r="Q553" s="79">
        <v>0</v>
      </c>
      <c r="R553" s="79">
        <v>0</v>
      </c>
      <c r="S553" s="79">
        <v>0</v>
      </c>
      <c r="T553" s="79">
        <v>0</v>
      </c>
      <c r="U553" s="79">
        <v>0</v>
      </c>
      <c r="V553" s="79">
        <v>0</v>
      </c>
      <c r="W553" s="79">
        <v>0</v>
      </c>
      <c r="X553" s="90">
        <v>0</v>
      </c>
    </row>
    <row r="554" spans="1:24" hidden="1" x14ac:dyDescent="0.25">
      <c r="A554" s="80" t="str">
        <v>PENDIENTE</v>
      </c>
      <c r="B554" s="80" t="str">
        <v>Llacanora</v>
      </c>
      <c r="C554" s="80" t="str">
        <v>Octubre</v>
      </c>
      <c r="D554" s="81">
        <v>46287</v>
      </c>
      <c r="E554" s="79">
        <v>851.46630000000005</v>
      </c>
      <c r="F554" s="81">
        <v>46285</v>
      </c>
      <c r="G554" s="79" cm="1">
        <f t="array" ref="G554:X554">_xlfn._xlws.FILTER(Formulas!$C$2:$T$201, ISNUMBER(MATCH(Formulas!$B$2:$B$201, B554, 0)),0) * E554</f>
        <v>220.87035822000004</v>
      </c>
      <c r="H554" s="79">
        <v>527.65366611000002</v>
      </c>
      <c r="I554" s="79">
        <v>25.969722150000003</v>
      </c>
      <c r="J554" s="79">
        <v>0</v>
      </c>
      <c r="K554" s="79">
        <v>0</v>
      </c>
      <c r="L554" s="79">
        <v>33.973505369999998</v>
      </c>
      <c r="M554" s="79">
        <v>42.999048150000007</v>
      </c>
      <c r="N554" s="79">
        <v>0</v>
      </c>
      <c r="O554" s="79">
        <v>0</v>
      </c>
      <c r="P554" s="79">
        <v>0</v>
      </c>
      <c r="Q554" s="79">
        <v>0</v>
      </c>
      <c r="R554" s="79">
        <v>0</v>
      </c>
      <c r="S554" s="79">
        <v>0</v>
      </c>
      <c r="T554" s="79">
        <v>0</v>
      </c>
      <c r="U554" s="79">
        <v>0</v>
      </c>
      <c r="V554" s="79">
        <v>0</v>
      </c>
      <c r="W554" s="79">
        <v>0</v>
      </c>
      <c r="X554" s="90">
        <v>0</v>
      </c>
    </row>
    <row r="555" spans="1:24" hidden="1" x14ac:dyDescent="0.25">
      <c r="A555" s="80" t="str">
        <v>PENDIENTE</v>
      </c>
      <c r="B555" s="80" t="str">
        <v>Llacanora</v>
      </c>
      <c r="C555" s="80" t="str">
        <v>Noviembre</v>
      </c>
      <c r="D555" s="81">
        <v>46322</v>
      </c>
      <c r="E555" s="79">
        <v>851.46630000000005</v>
      </c>
      <c r="F555" s="81">
        <v>0</v>
      </c>
      <c r="G555" s="79" cm="1">
        <f t="array" ref="G555:X555">_xlfn._xlws.FILTER(Formulas!$C$2:$T$201, ISNUMBER(MATCH(Formulas!$B$2:$B$201, B555, 0)),0) * E555</f>
        <v>220.87035822000004</v>
      </c>
      <c r="H555" s="79">
        <v>527.65366611000002</v>
      </c>
      <c r="I555" s="79">
        <v>25.969722150000003</v>
      </c>
      <c r="J555" s="79">
        <v>0</v>
      </c>
      <c r="K555" s="79">
        <v>0</v>
      </c>
      <c r="L555" s="79">
        <v>33.973505369999998</v>
      </c>
      <c r="M555" s="79">
        <v>42.999048150000007</v>
      </c>
      <c r="N555" s="79">
        <v>0</v>
      </c>
      <c r="O555" s="79">
        <v>0</v>
      </c>
      <c r="P555" s="79">
        <v>0</v>
      </c>
      <c r="Q555" s="79">
        <v>0</v>
      </c>
      <c r="R555" s="79">
        <v>0</v>
      </c>
      <c r="S555" s="79">
        <v>0</v>
      </c>
      <c r="T555" s="79">
        <v>0</v>
      </c>
      <c r="U555" s="79">
        <v>0</v>
      </c>
      <c r="V555" s="79">
        <v>0</v>
      </c>
      <c r="W555" s="79">
        <v>0</v>
      </c>
      <c r="X555" s="90">
        <v>0</v>
      </c>
    </row>
    <row r="556" spans="1:24" hidden="1" x14ac:dyDescent="0.25">
      <c r="A556" s="80" t="str">
        <v>PENDIENTE</v>
      </c>
      <c r="B556" s="80" t="str">
        <v>Llacanora</v>
      </c>
      <c r="C556" s="80" t="str">
        <v>Diciembre</v>
      </c>
      <c r="D556" s="81">
        <v>46350</v>
      </c>
      <c r="E556" s="79">
        <v>851.46630000000005</v>
      </c>
      <c r="F556" s="81">
        <v>0</v>
      </c>
      <c r="G556" s="79" cm="1">
        <f t="array" ref="G556:X556">_xlfn._xlws.FILTER(Formulas!$C$2:$T$201, ISNUMBER(MATCH(Formulas!$B$2:$B$201, B556, 0)),0) * E556</f>
        <v>220.87035822000004</v>
      </c>
      <c r="H556" s="79">
        <v>527.65366611000002</v>
      </c>
      <c r="I556" s="79">
        <v>25.969722150000003</v>
      </c>
      <c r="J556" s="79">
        <v>0</v>
      </c>
      <c r="K556" s="79">
        <v>0</v>
      </c>
      <c r="L556" s="79">
        <v>33.973505369999998</v>
      </c>
      <c r="M556" s="79">
        <v>42.999048150000007</v>
      </c>
      <c r="N556" s="79">
        <v>0</v>
      </c>
      <c r="O556" s="79">
        <v>0</v>
      </c>
      <c r="P556" s="79">
        <v>0</v>
      </c>
      <c r="Q556" s="79">
        <v>0</v>
      </c>
      <c r="R556" s="79">
        <v>0</v>
      </c>
      <c r="S556" s="79">
        <v>0</v>
      </c>
      <c r="T556" s="79">
        <v>0</v>
      </c>
      <c r="U556" s="79">
        <v>0</v>
      </c>
      <c r="V556" s="79">
        <v>0</v>
      </c>
      <c r="W556" s="79">
        <v>0</v>
      </c>
      <c r="X556" s="90">
        <v>0</v>
      </c>
    </row>
    <row r="557" spans="1:24" hidden="1" x14ac:dyDescent="0.25">
      <c r="A557" s="80" t="str">
        <v>CORDELAN</v>
      </c>
      <c r="B557" s="80" t="str">
        <v>Llama</v>
      </c>
      <c r="C557" s="80" t="str">
        <v>Enero</v>
      </c>
      <c r="D557" s="81">
        <v>46037</v>
      </c>
      <c r="E557" s="79">
        <v>964.49789999999996</v>
      </c>
      <c r="F557" s="81">
        <v>46031</v>
      </c>
      <c r="G557" s="79" cm="1">
        <f t="array" ref="G557:X557">_xlfn._xlws.FILTER(Formulas!$C$2:$T$201, ISNUMBER(MATCH(Formulas!$B$2:$B$201, B557, 0)),0) * E557</f>
        <v>144.42481507772021</v>
      </c>
      <c r="H557" s="79">
        <v>381.30150139896369</v>
      </c>
      <c r="I557" s="79">
        <v>33.732439507772021</v>
      </c>
      <c r="J557" s="79">
        <v>33.732439507772021</v>
      </c>
      <c r="K557" s="79">
        <v>0</v>
      </c>
      <c r="L557" s="79">
        <v>0</v>
      </c>
      <c r="M557" s="79">
        <v>33.732439507772021</v>
      </c>
      <c r="N557" s="79">
        <v>0</v>
      </c>
      <c r="O557" s="79">
        <v>337.82413492227977</v>
      </c>
      <c r="P557" s="79">
        <v>0</v>
      </c>
      <c r="Q557" s="79">
        <v>0</v>
      </c>
      <c r="R557" s="79">
        <v>0</v>
      </c>
      <c r="S557" s="79">
        <v>0</v>
      </c>
      <c r="T557" s="79">
        <v>0</v>
      </c>
      <c r="U557" s="79">
        <v>0</v>
      </c>
      <c r="V557" s="79">
        <v>0</v>
      </c>
      <c r="W557" s="79">
        <v>0</v>
      </c>
      <c r="X557" s="90">
        <v>0</v>
      </c>
    </row>
    <row r="558" spans="1:24" hidden="1" x14ac:dyDescent="0.25">
      <c r="A558" s="80" t="str">
        <v>CORDELAN</v>
      </c>
      <c r="B558" s="80" t="str">
        <v>Llama</v>
      </c>
      <c r="C558" s="80" t="str">
        <v>Febrero</v>
      </c>
      <c r="D558" s="81">
        <v>46037</v>
      </c>
      <c r="E558" s="79">
        <v>964.49789999999996</v>
      </c>
      <c r="F558" s="81">
        <v>46031</v>
      </c>
      <c r="G558" s="79" cm="1">
        <f t="array" ref="G558:X558">_xlfn._xlws.FILTER(Formulas!$C$2:$T$201, ISNUMBER(MATCH(Formulas!$B$2:$B$201, B558, 0)),0) * E558</f>
        <v>144.42481507772021</v>
      </c>
      <c r="H558" s="79">
        <v>381.30150139896369</v>
      </c>
      <c r="I558" s="79">
        <v>33.732439507772021</v>
      </c>
      <c r="J558" s="79">
        <v>33.732439507772021</v>
      </c>
      <c r="K558" s="79">
        <v>0</v>
      </c>
      <c r="L558" s="79">
        <v>0</v>
      </c>
      <c r="M558" s="79">
        <v>33.732439507772021</v>
      </c>
      <c r="N558" s="79">
        <v>0</v>
      </c>
      <c r="O558" s="79">
        <v>337.82413492227977</v>
      </c>
      <c r="P558" s="79">
        <v>0</v>
      </c>
      <c r="Q558" s="79">
        <v>0</v>
      </c>
      <c r="R558" s="79">
        <v>0</v>
      </c>
      <c r="S558" s="79">
        <v>0</v>
      </c>
      <c r="T558" s="79">
        <v>0</v>
      </c>
      <c r="U558" s="79">
        <v>0</v>
      </c>
      <c r="V558" s="79">
        <v>0</v>
      </c>
      <c r="W558" s="79">
        <v>0</v>
      </c>
      <c r="X558" s="90">
        <v>0</v>
      </c>
    </row>
    <row r="559" spans="1:24" hidden="1" x14ac:dyDescent="0.25">
      <c r="A559" s="80" t="str">
        <v>CORDELAN</v>
      </c>
      <c r="B559" s="80" t="str">
        <v>Llama</v>
      </c>
      <c r="C559" s="80" t="str">
        <v>Marzo</v>
      </c>
      <c r="D559" s="81">
        <v>46068</v>
      </c>
      <c r="E559" s="79">
        <v>964.49050000000011</v>
      </c>
      <c r="F559" s="81">
        <v>46063</v>
      </c>
      <c r="G559" s="79" cm="1">
        <f t="array" ref="G559:X559">_xlfn._xlws.FILTER(Formulas!$C$2:$T$201, ISNUMBER(MATCH(Formulas!$B$2:$B$201, B559, 0)),0) * E559</f>
        <v>144.42370699481867</v>
      </c>
      <c r="H559" s="79">
        <v>381.29857590673578</v>
      </c>
      <c r="I559" s="79">
        <v>33.732180699481866</v>
      </c>
      <c r="J559" s="79">
        <v>33.732180699481866</v>
      </c>
      <c r="K559" s="79">
        <v>0</v>
      </c>
      <c r="L559" s="79">
        <v>0</v>
      </c>
      <c r="M559" s="79">
        <v>33.732180699481866</v>
      </c>
      <c r="N559" s="79">
        <v>0</v>
      </c>
      <c r="O559" s="79">
        <v>337.82154300518135</v>
      </c>
      <c r="P559" s="79">
        <v>0</v>
      </c>
      <c r="Q559" s="79">
        <v>0</v>
      </c>
      <c r="R559" s="79">
        <v>0</v>
      </c>
      <c r="S559" s="79">
        <v>0</v>
      </c>
      <c r="T559" s="79">
        <v>0</v>
      </c>
      <c r="U559" s="79">
        <v>0</v>
      </c>
      <c r="V559" s="79">
        <v>0</v>
      </c>
      <c r="W559" s="79">
        <v>0</v>
      </c>
      <c r="X559" s="90">
        <v>0</v>
      </c>
    </row>
    <row r="560" spans="1:24" hidden="1" x14ac:dyDescent="0.25">
      <c r="A560" s="80" t="str">
        <v>CORDELAN</v>
      </c>
      <c r="B560" s="80" t="str">
        <v>Llama</v>
      </c>
      <c r="C560" s="80" t="str">
        <v>Abril</v>
      </c>
      <c r="D560" s="81">
        <v>46068</v>
      </c>
      <c r="E560" s="79">
        <v>964.49050000000011</v>
      </c>
      <c r="F560" s="81">
        <v>46063</v>
      </c>
      <c r="G560" s="79" cm="1">
        <f t="array" ref="G560:X560">_xlfn._xlws.FILTER(Formulas!$C$2:$T$201, ISNUMBER(MATCH(Formulas!$B$2:$B$201, B560, 0)),0) * E560</f>
        <v>144.42370699481867</v>
      </c>
      <c r="H560" s="79">
        <v>381.29857590673578</v>
      </c>
      <c r="I560" s="79">
        <v>33.732180699481866</v>
      </c>
      <c r="J560" s="79">
        <v>33.732180699481866</v>
      </c>
      <c r="K560" s="79">
        <v>0</v>
      </c>
      <c r="L560" s="79">
        <v>0</v>
      </c>
      <c r="M560" s="79">
        <v>33.732180699481866</v>
      </c>
      <c r="N560" s="79">
        <v>0</v>
      </c>
      <c r="O560" s="79">
        <v>337.82154300518135</v>
      </c>
      <c r="P560" s="79">
        <v>0</v>
      </c>
      <c r="Q560" s="79">
        <v>0</v>
      </c>
      <c r="R560" s="79">
        <v>0</v>
      </c>
      <c r="S560" s="79">
        <v>0</v>
      </c>
      <c r="T560" s="79">
        <v>0</v>
      </c>
      <c r="U560" s="79">
        <v>0</v>
      </c>
      <c r="V560" s="79">
        <v>0</v>
      </c>
      <c r="W560" s="79">
        <v>0</v>
      </c>
      <c r="X560" s="90">
        <v>0</v>
      </c>
    </row>
    <row r="561" spans="1:24" hidden="1" x14ac:dyDescent="0.25">
      <c r="A561" s="80" t="str">
        <v>CORDELAN</v>
      </c>
      <c r="B561" s="80" t="str">
        <v>Llama</v>
      </c>
      <c r="C561" s="80" t="str">
        <v>Mayo</v>
      </c>
      <c r="D561" s="81">
        <v>46127</v>
      </c>
      <c r="E561" s="79">
        <v>964.49050000000011</v>
      </c>
      <c r="F561" s="81">
        <v>46138</v>
      </c>
      <c r="G561" s="79" cm="1">
        <f t="array" ref="G561:X561">_xlfn._xlws.FILTER(Formulas!$C$2:$T$201, ISNUMBER(MATCH(Formulas!$B$2:$B$201, B561, 0)),0) * E561</f>
        <v>144.42370699481867</v>
      </c>
      <c r="H561" s="79">
        <v>381.29857590673578</v>
      </c>
      <c r="I561" s="79">
        <v>33.732180699481866</v>
      </c>
      <c r="J561" s="79">
        <v>33.732180699481866</v>
      </c>
      <c r="K561" s="79">
        <v>0</v>
      </c>
      <c r="L561" s="79">
        <v>0</v>
      </c>
      <c r="M561" s="79">
        <v>33.732180699481866</v>
      </c>
      <c r="N561" s="79">
        <v>0</v>
      </c>
      <c r="O561" s="79">
        <v>337.82154300518135</v>
      </c>
      <c r="P561" s="79">
        <v>0</v>
      </c>
      <c r="Q561" s="79">
        <v>0</v>
      </c>
      <c r="R561" s="79">
        <v>0</v>
      </c>
      <c r="S561" s="79">
        <v>0</v>
      </c>
      <c r="T561" s="79">
        <v>0</v>
      </c>
      <c r="U561" s="79">
        <v>0</v>
      </c>
      <c r="V561" s="79">
        <v>0</v>
      </c>
      <c r="W561" s="79">
        <v>0</v>
      </c>
      <c r="X561" s="90">
        <v>0</v>
      </c>
    </row>
    <row r="562" spans="1:24" hidden="1" x14ac:dyDescent="0.25">
      <c r="A562" s="80" t="str">
        <v>CORDELAN</v>
      </c>
      <c r="B562" s="80" t="str">
        <v>Llama</v>
      </c>
      <c r="C562" s="80" t="str">
        <v>Junio</v>
      </c>
      <c r="D562" s="81">
        <v>46127</v>
      </c>
      <c r="E562" s="79">
        <v>964.49050000000011</v>
      </c>
      <c r="F562" s="80">
        <v>46138</v>
      </c>
      <c r="G562" s="79" cm="1">
        <f t="array" ref="G562:X562">_xlfn._xlws.FILTER(Formulas!$C$2:$T$201, ISNUMBER(MATCH(Formulas!$B$2:$B$201, B562, 0)),0) * E562</f>
        <v>144.42370699481867</v>
      </c>
      <c r="H562" s="79">
        <v>381.29857590673578</v>
      </c>
      <c r="I562" s="79">
        <v>33.732180699481866</v>
      </c>
      <c r="J562" s="79">
        <v>33.732180699481866</v>
      </c>
      <c r="K562" s="79">
        <v>0</v>
      </c>
      <c r="L562" s="79">
        <v>0</v>
      </c>
      <c r="M562" s="79">
        <v>33.732180699481866</v>
      </c>
      <c r="N562" s="79">
        <v>0</v>
      </c>
      <c r="O562" s="79">
        <v>337.82154300518135</v>
      </c>
      <c r="P562" s="79">
        <v>0</v>
      </c>
      <c r="Q562" s="79">
        <v>0</v>
      </c>
      <c r="R562" s="79">
        <v>0</v>
      </c>
      <c r="S562" s="79">
        <v>0</v>
      </c>
      <c r="T562" s="79">
        <v>0</v>
      </c>
      <c r="U562" s="79">
        <v>0</v>
      </c>
      <c r="V562" s="79">
        <v>0</v>
      </c>
      <c r="W562" s="79">
        <v>0</v>
      </c>
      <c r="X562" s="90">
        <v>0</v>
      </c>
    </row>
    <row r="563" spans="1:24" hidden="1" x14ac:dyDescent="0.25">
      <c r="A563" s="80" t="str">
        <v>CORDELAN</v>
      </c>
      <c r="B563" s="80" t="str">
        <v>Llama</v>
      </c>
      <c r="C563" s="80" t="str">
        <v>Julio</v>
      </c>
      <c r="D563" s="81">
        <v>46188</v>
      </c>
      <c r="E563" s="79">
        <v>964.49050000000011</v>
      </c>
      <c r="F563" s="80">
        <v>46194</v>
      </c>
      <c r="G563" s="79" cm="1">
        <f t="array" ref="G563:X563">_xlfn._xlws.FILTER(Formulas!$C$2:$T$201, ISNUMBER(MATCH(Formulas!$B$2:$B$201, B563, 0)),0) * E563</f>
        <v>144.42370699481867</v>
      </c>
      <c r="H563" s="79">
        <v>381.29857590673578</v>
      </c>
      <c r="I563" s="79">
        <v>33.732180699481866</v>
      </c>
      <c r="J563" s="79">
        <v>33.732180699481866</v>
      </c>
      <c r="K563" s="79">
        <v>0</v>
      </c>
      <c r="L563" s="79">
        <v>0</v>
      </c>
      <c r="M563" s="79">
        <v>33.732180699481866</v>
      </c>
      <c r="N563" s="79">
        <v>0</v>
      </c>
      <c r="O563" s="79">
        <v>337.82154300518135</v>
      </c>
      <c r="P563" s="79">
        <v>0</v>
      </c>
      <c r="Q563" s="79">
        <v>0</v>
      </c>
      <c r="R563" s="79">
        <v>0</v>
      </c>
      <c r="S563" s="79">
        <v>0</v>
      </c>
      <c r="T563" s="79">
        <v>0</v>
      </c>
      <c r="U563" s="79">
        <v>0</v>
      </c>
      <c r="V563" s="79">
        <v>0</v>
      </c>
      <c r="W563" s="79">
        <v>0</v>
      </c>
      <c r="X563" s="90">
        <v>0</v>
      </c>
    </row>
    <row r="564" spans="1:24" hidden="1" x14ac:dyDescent="0.25">
      <c r="A564" s="80" t="str">
        <v>CORDELAN</v>
      </c>
      <c r="B564" s="80" t="str">
        <v>Llama</v>
      </c>
      <c r="C564" s="80" t="str">
        <v>Agosto</v>
      </c>
      <c r="D564" s="81">
        <v>46188</v>
      </c>
      <c r="E564" s="79">
        <v>964.49050000000011</v>
      </c>
      <c r="F564" s="80">
        <v>46194</v>
      </c>
      <c r="G564" s="79" cm="1">
        <f t="array" ref="G564:X564">_xlfn._xlws.FILTER(Formulas!$C$2:$T$201, ISNUMBER(MATCH(Formulas!$B$2:$B$201, B564, 0)),0) * E564</f>
        <v>144.42370699481867</v>
      </c>
      <c r="H564" s="79">
        <v>381.29857590673578</v>
      </c>
      <c r="I564" s="79">
        <v>33.732180699481866</v>
      </c>
      <c r="J564" s="79">
        <v>33.732180699481866</v>
      </c>
      <c r="K564" s="79">
        <v>0</v>
      </c>
      <c r="L564" s="79">
        <v>0</v>
      </c>
      <c r="M564" s="79">
        <v>33.732180699481866</v>
      </c>
      <c r="N564" s="79">
        <v>0</v>
      </c>
      <c r="O564" s="79">
        <v>337.82154300518135</v>
      </c>
      <c r="P564" s="79">
        <v>0</v>
      </c>
      <c r="Q564" s="79">
        <v>0</v>
      </c>
      <c r="R564" s="79">
        <v>0</v>
      </c>
      <c r="S564" s="79">
        <v>0</v>
      </c>
      <c r="T564" s="79">
        <v>0</v>
      </c>
      <c r="U564" s="79">
        <v>0</v>
      </c>
      <c r="V564" s="79">
        <v>0</v>
      </c>
      <c r="W564" s="79">
        <v>0</v>
      </c>
      <c r="X564" s="90">
        <v>0</v>
      </c>
    </row>
    <row r="565" spans="1:24" hidden="1" x14ac:dyDescent="0.25">
      <c r="A565" s="80" t="str">
        <v>CORDELAN</v>
      </c>
      <c r="B565" s="80" t="str">
        <v>Llama</v>
      </c>
      <c r="C565" s="80" t="str">
        <v>O.C.</v>
      </c>
      <c r="D565" s="81">
        <v>46208</v>
      </c>
      <c r="E565" s="79">
        <v>1448.3440000000001</v>
      </c>
      <c r="F565" s="80">
        <v>46211</v>
      </c>
      <c r="G565" s="79" cm="1">
        <f t="array" ref="G565:X565">_xlfn._xlws.FILTER(Formulas!$C$2:$T$201, ISNUMBER(MATCH(Formulas!$B$2:$B$201, B565, 0)),0) * E565</f>
        <v>216.87638134715027</v>
      </c>
      <c r="H565" s="79">
        <v>572.58366424870462</v>
      </c>
      <c r="I565" s="79">
        <v>50.654518134715026</v>
      </c>
      <c r="J565" s="79">
        <v>50.654518134715026</v>
      </c>
      <c r="K565" s="79">
        <v>0</v>
      </c>
      <c r="L565" s="79">
        <v>0</v>
      </c>
      <c r="M565" s="79">
        <v>50.654518134715026</v>
      </c>
      <c r="N565" s="79">
        <v>0</v>
      </c>
      <c r="O565" s="79">
        <v>507.29561865284973</v>
      </c>
      <c r="P565" s="79">
        <v>0</v>
      </c>
      <c r="Q565" s="79">
        <v>0</v>
      </c>
      <c r="R565" s="79">
        <v>0</v>
      </c>
      <c r="S565" s="79">
        <v>0</v>
      </c>
      <c r="T565" s="79">
        <v>0</v>
      </c>
      <c r="U565" s="79">
        <v>0</v>
      </c>
      <c r="V565" s="79">
        <v>0</v>
      </c>
      <c r="W565" s="79">
        <v>0</v>
      </c>
      <c r="X565" s="90">
        <v>0</v>
      </c>
    </row>
    <row r="566" spans="1:24" hidden="1" x14ac:dyDescent="0.25">
      <c r="A566" s="80" t="str">
        <v>CORDELAN</v>
      </c>
      <c r="B566" s="80" t="str">
        <v>Llama</v>
      </c>
      <c r="C566" s="80" t="str">
        <v>Setiembre</v>
      </c>
      <c r="D566" s="81">
        <v>46249</v>
      </c>
      <c r="E566" s="79">
        <v>964.49050000000011</v>
      </c>
      <c r="F566" s="81">
        <v>46242</v>
      </c>
      <c r="G566" s="79" cm="1">
        <f t="array" ref="G566:X566">_xlfn._xlws.FILTER(Formulas!$C$2:$T$201, ISNUMBER(MATCH(Formulas!$B$2:$B$201, B566, 0)),0) * E566</f>
        <v>144.42370699481867</v>
      </c>
      <c r="H566" s="79">
        <v>381.29857590673578</v>
      </c>
      <c r="I566" s="79">
        <v>33.732180699481866</v>
      </c>
      <c r="J566" s="79">
        <v>33.732180699481866</v>
      </c>
      <c r="K566" s="79">
        <v>0</v>
      </c>
      <c r="L566" s="79">
        <v>0</v>
      </c>
      <c r="M566" s="79">
        <v>33.732180699481866</v>
      </c>
      <c r="N566" s="79">
        <v>0</v>
      </c>
      <c r="O566" s="79">
        <v>337.82154300518135</v>
      </c>
      <c r="P566" s="79">
        <v>0</v>
      </c>
      <c r="Q566" s="79">
        <v>0</v>
      </c>
      <c r="R566" s="79">
        <v>0</v>
      </c>
      <c r="S566" s="79">
        <v>0</v>
      </c>
      <c r="T566" s="79">
        <v>0</v>
      </c>
      <c r="U566" s="79">
        <v>0</v>
      </c>
      <c r="V566" s="79">
        <v>0</v>
      </c>
      <c r="W566" s="79">
        <v>0</v>
      </c>
      <c r="X566" s="90">
        <v>0</v>
      </c>
    </row>
    <row r="567" spans="1:24" hidden="1" x14ac:dyDescent="0.25">
      <c r="A567" s="80" t="str">
        <v>CORDELAN</v>
      </c>
      <c r="B567" s="80" t="str">
        <v>Llama</v>
      </c>
      <c r="C567" s="80" t="str">
        <v>Octubre</v>
      </c>
      <c r="D567" s="81">
        <v>46249</v>
      </c>
      <c r="E567" s="79">
        <v>964.49050000000011</v>
      </c>
      <c r="F567" s="81">
        <v>46242</v>
      </c>
      <c r="G567" s="79" cm="1">
        <f t="array" ref="G567:X567">_xlfn._xlws.FILTER(Formulas!$C$2:$T$201, ISNUMBER(MATCH(Formulas!$B$2:$B$201, B567, 0)),0) * E567</f>
        <v>144.42370699481867</v>
      </c>
      <c r="H567" s="79">
        <v>381.29857590673578</v>
      </c>
      <c r="I567" s="79">
        <v>33.732180699481866</v>
      </c>
      <c r="J567" s="79">
        <v>33.732180699481866</v>
      </c>
      <c r="K567" s="79">
        <v>0</v>
      </c>
      <c r="L567" s="79">
        <v>0</v>
      </c>
      <c r="M567" s="79">
        <v>33.732180699481866</v>
      </c>
      <c r="N567" s="79">
        <v>0</v>
      </c>
      <c r="O567" s="79">
        <v>337.82154300518135</v>
      </c>
      <c r="P567" s="79">
        <v>0</v>
      </c>
      <c r="Q567" s="79">
        <v>0</v>
      </c>
      <c r="R567" s="79">
        <v>0</v>
      </c>
      <c r="S567" s="79">
        <v>0</v>
      </c>
      <c r="T567" s="79">
        <v>0</v>
      </c>
      <c r="U567" s="79">
        <v>0</v>
      </c>
      <c r="V567" s="79">
        <v>0</v>
      </c>
      <c r="W567" s="79">
        <v>0</v>
      </c>
      <c r="X567" s="90">
        <v>0</v>
      </c>
    </row>
    <row r="568" spans="1:24" hidden="1" x14ac:dyDescent="0.25">
      <c r="A568" s="80" t="str">
        <v>CORDELAN</v>
      </c>
      <c r="B568" s="80" t="str">
        <v>Llama</v>
      </c>
      <c r="C568" s="80" t="str">
        <v>Noviembre</v>
      </c>
      <c r="D568" s="81">
        <v>46310</v>
      </c>
      <c r="E568" s="79">
        <v>964.49050000000011</v>
      </c>
      <c r="F568" s="81">
        <v>0</v>
      </c>
      <c r="G568" s="79" cm="1">
        <f t="array" ref="G568:X568">_xlfn._xlws.FILTER(Formulas!$C$2:$T$201, ISNUMBER(MATCH(Formulas!$B$2:$B$201, B568, 0)),0) * E568</f>
        <v>144.42370699481867</v>
      </c>
      <c r="H568" s="79">
        <v>381.29857590673578</v>
      </c>
      <c r="I568" s="79">
        <v>33.732180699481866</v>
      </c>
      <c r="J568" s="79">
        <v>33.732180699481866</v>
      </c>
      <c r="K568" s="79">
        <v>0</v>
      </c>
      <c r="L568" s="79">
        <v>0</v>
      </c>
      <c r="M568" s="79">
        <v>33.732180699481866</v>
      </c>
      <c r="N568" s="79">
        <v>0</v>
      </c>
      <c r="O568" s="79">
        <v>337.82154300518135</v>
      </c>
      <c r="P568" s="79">
        <v>0</v>
      </c>
      <c r="Q568" s="79">
        <v>0</v>
      </c>
      <c r="R568" s="79">
        <v>0</v>
      </c>
      <c r="S568" s="79">
        <v>0</v>
      </c>
      <c r="T568" s="79">
        <v>0</v>
      </c>
      <c r="U568" s="79">
        <v>0</v>
      </c>
      <c r="V568" s="79">
        <v>0</v>
      </c>
      <c r="W568" s="79">
        <v>0</v>
      </c>
      <c r="X568" s="90">
        <v>0</v>
      </c>
    </row>
    <row r="569" spans="1:24" hidden="1" x14ac:dyDescent="0.25">
      <c r="A569" s="80" t="str">
        <v>CORDELAN</v>
      </c>
      <c r="B569" s="80" t="str">
        <v>Llama</v>
      </c>
      <c r="C569" s="80" t="str">
        <v>Diciembre</v>
      </c>
      <c r="D569" s="81">
        <v>46310</v>
      </c>
      <c r="E569" s="79">
        <v>964.49050000000011</v>
      </c>
      <c r="F569" s="81">
        <v>0</v>
      </c>
      <c r="G569" s="79" cm="1">
        <f t="array" ref="G569:X569">_xlfn._xlws.FILTER(Formulas!$C$2:$T$201, ISNUMBER(MATCH(Formulas!$B$2:$B$201, B569, 0)),0) * E569</f>
        <v>144.42370699481867</v>
      </c>
      <c r="H569" s="79">
        <v>381.29857590673578</v>
      </c>
      <c r="I569" s="79">
        <v>33.732180699481866</v>
      </c>
      <c r="J569" s="79">
        <v>33.732180699481866</v>
      </c>
      <c r="K569" s="79">
        <v>0</v>
      </c>
      <c r="L569" s="79">
        <v>0</v>
      </c>
      <c r="M569" s="79">
        <v>33.732180699481866</v>
      </c>
      <c r="N569" s="79">
        <v>0</v>
      </c>
      <c r="O569" s="79">
        <v>337.82154300518135</v>
      </c>
      <c r="P569" s="79">
        <v>0</v>
      </c>
      <c r="Q569" s="79">
        <v>0</v>
      </c>
      <c r="R569" s="79">
        <v>0</v>
      </c>
      <c r="S569" s="79">
        <v>0</v>
      </c>
      <c r="T569" s="79">
        <v>0</v>
      </c>
      <c r="U569" s="79">
        <v>0</v>
      </c>
      <c r="V569" s="79">
        <v>0</v>
      </c>
      <c r="W569" s="79">
        <v>0</v>
      </c>
      <c r="X569" s="90">
        <v>0</v>
      </c>
    </row>
    <row r="570" spans="1:24" hidden="1" x14ac:dyDescent="0.25">
      <c r="A570" s="80" t="str">
        <v>CORDELAN</v>
      </c>
      <c r="B570" s="80" t="str">
        <v>Llama</v>
      </c>
      <c r="C570" s="80" t="str">
        <v>Enero</v>
      </c>
      <c r="D570" s="81">
        <v>46371</v>
      </c>
      <c r="E570" s="79">
        <v>964.49050000000011</v>
      </c>
      <c r="F570" s="80">
        <v>0</v>
      </c>
      <c r="G570" s="79" cm="1">
        <f t="array" ref="G570:X570">_xlfn._xlws.FILTER(Formulas!$C$2:$T$201, ISNUMBER(MATCH(Formulas!$B$2:$B$201, B570, 0)),0) * E570</f>
        <v>144.42370699481867</v>
      </c>
      <c r="H570" s="79">
        <v>381.29857590673578</v>
      </c>
      <c r="I570" s="79">
        <v>33.732180699481866</v>
      </c>
      <c r="J570" s="79">
        <v>33.732180699481866</v>
      </c>
      <c r="K570" s="79">
        <v>0</v>
      </c>
      <c r="L570" s="79">
        <v>0</v>
      </c>
      <c r="M570" s="79">
        <v>33.732180699481866</v>
      </c>
      <c r="N570" s="79">
        <v>0</v>
      </c>
      <c r="O570" s="79">
        <v>337.82154300518135</v>
      </c>
      <c r="P570" s="79">
        <v>0</v>
      </c>
      <c r="Q570" s="79">
        <v>0</v>
      </c>
      <c r="R570" s="79">
        <v>0</v>
      </c>
      <c r="S570" s="79">
        <v>0</v>
      </c>
      <c r="T570" s="79">
        <v>0</v>
      </c>
      <c r="U570" s="79">
        <v>0</v>
      </c>
      <c r="V570" s="79">
        <v>0</v>
      </c>
      <c r="W570" s="79">
        <v>0</v>
      </c>
      <c r="X570" s="90">
        <v>0</v>
      </c>
    </row>
    <row r="571" spans="1:24" hidden="1" x14ac:dyDescent="0.25">
      <c r="A571" s="80" t="str">
        <v>CORDELAN</v>
      </c>
      <c r="B571" s="80" t="str">
        <v>Llama</v>
      </c>
      <c r="C571" s="80" t="str">
        <v>Febrero</v>
      </c>
      <c r="D571" s="81">
        <v>46371</v>
      </c>
      <c r="E571" s="79">
        <v>964.49050000000011</v>
      </c>
      <c r="F571" s="81">
        <v>0</v>
      </c>
      <c r="G571" s="79" cm="1">
        <f t="array" ref="G571:X571">_xlfn._xlws.FILTER(Formulas!$C$2:$T$201, ISNUMBER(MATCH(Formulas!$B$2:$B$201, B571, 0)),0) * E571</f>
        <v>144.42370699481867</v>
      </c>
      <c r="H571" s="79">
        <v>381.29857590673578</v>
      </c>
      <c r="I571" s="79">
        <v>33.732180699481866</v>
      </c>
      <c r="J571" s="79">
        <v>33.732180699481866</v>
      </c>
      <c r="K571" s="79">
        <v>0</v>
      </c>
      <c r="L571" s="79">
        <v>0</v>
      </c>
      <c r="M571" s="79">
        <v>33.732180699481866</v>
      </c>
      <c r="N571" s="79">
        <v>0</v>
      </c>
      <c r="O571" s="79">
        <v>337.82154300518135</v>
      </c>
      <c r="P571" s="79">
        <v>0</v>
      </c>
      <c r="Q571" s="79">
        <v>0</v>
      </c>
      <c r="R571" s="79">
        <v>0</v>
      </c>
      <c r="S571" s="79">
        <v>0</v>
      </c>
      <c r="T571" s="79">
        <v>0</v>
      </c>
      <c r="U571" s="79">
        <v>0</v>
      </c>
      <c r="V571" s="79">
        <v>0</v>
      </c>
      <c r="W571" s="79">
        <v>0</v>
      </c>
      <c r="X571" s="90">
        <v>0</v>
      </c>
    </row>
    <row r="572" spans="1:24" hidden="1" x14ac:dyDescent="0.25">
      <c r="A572" s="80" t="str">
        <v>PENDIENTE</v>
      </c>
      <c r="B572" s="80" t="str">
        <v>Longotea</v>
      </c>
      <c r="C572" s="80" t="str">
        <v>Enero / Febrero / Marzo</v>
      </c>
      <c r="D572" s="81">
        <v>46090</v>
      </c>
      <c r="E572" s="79">
        <v>1105.0830000000001</v>
      </c>
      <c r="F572" s="81">
        <v>46088</v>
      </c>
      <c r="G572" s="79" cm="1">
        <f t="array" ref="G572:X572">_xlfn._xlws.FILTER(Formulas!$C$2:$T$201, ISNUMBER(MATCH(Formulas!$B$2:$B$201, B572, 0)),0) * E572</f>
        <v>132.60996</v>
      </c>
      <c r="H572" s="79">
        <v>448.11115649999999</v>
      </c>
      <c r="I572" s="79">
        <v>27.627075000000005</v>
      </c>
      <c r="J572" s="79">
        <v>27.627075000000005</v>
      </c>
      <c r="K572" s="79">
        <v>0</v>
      </c>
      <c r="L572" s="79">
        <v>0</v>
      </c>
      <c r="M572" s="79">
        <v>27.627075000000005</v>
      </c>
      <c r="N572" s="79">
        <v>55.25415000000001</v>
      </c>
      <c r="O572" s="79">
        <v>385.95023774999999</v>
      </c>
      <c r="P572" s="79">
        <v>0</v>
      </c>
      <c r="Q572" s="79">
        <v>0</v>
      </c>
      <c r="R572" s="79">
        <v>0</v>
      </c>
      <c r="S572" s="79">
        <v>0</v>
      </c>
      <c r="T572" s="79">
        <v>0</v>
      </c>
      <c r="U572" s="79">
        <v>1.105083</v>
      </c>
      <c r="V572" s="79">
        <v>0</v>
      </c>
      <c r="W572" s="79">
        <v>0</v>
      </c>
      <c r="X572" s="90">
        <v>0</v>
      </c>
    </row>
    <row r="573" spans="1:24" hidden="1" x14ac:dyDescent="0.25">
      <c r="A573" s="80" t="str">
        <v>PENDIENTE</v>
      </c>
      <c r="B573" s="80" t="str">
        <v>Longotea</v>
      </c>
      <c r="C573" s="80" t="str">
        <v>Abril / Mayo / Junio</v>
      </c>
      <c r="D573" s="81">
        <v>46108</v>
      </c>
      <c r="E573" s="79">
        <v>1105.0830000000001</v>
      </c>
      <c r="F573" s="81">
        <v>46103</v>
      </c>
      <c r="G573" s="79" cm="1">
        <f t="array" ref="G573:X573">_xlfn._xlws.FILTER(Formulas!$C$2:$T$201, ISNUMBER(MATCH(Formulas!$B$2:$B$201, B573, 0)),0) * E573</f>
        <v>132.60996</v>
      </c>
      <c r="H573" s="79">
        <v>448.11115649999999</v>
      </c>
      <c r="I573" s="79">
        <v>27.627075000000005</v>
      </c>
      <c r="J573" s="79">
        <v>27.627075000000005</v>
      </c>
      <c r="K573" s="79">
        <v>0</v>
      </c>
      <c r="L573" s="79">
        <v>0</v>
      </c>
      <c r="M573" s="79">
        <v>27.627075000000005</v>
      </c>
      <c r="N573" s="79">
        <v>55.25415000000001</v>
      </c>
      <c r="O573" s="79">
        <v>385.95023774999999</v>
      </c>
      <c r="P573" s="79">
        <v>0</v>
      </c>
      <c r="Q573" s="79">
        <v>0</v>
      </c>
      <c r="R573" s="79">
        <v>0</v>
      </c>
      <c r="S573" s="79">
        <v>0</v>
      </c>
      <c r="T573" s="79">
        <v>0</v>
      </c>
      <c r="U573" s="79">
        <v>1.105083</v>
      </c>
      <c r="V573" s="79">
        <v>0</v>
      </c>
      <c r="W573" s="79">
        <v>0</v>
      </c>
      <c r="X573" s="90">
        <v>0</v>
      </c>
    </row>
    <row r="574" spans="1:24" hidden="1" x14ac:dyDescent="0.25">
      <c r="A574" s="80" t="str">
        <v>PENDIENTE</v>
      </c>
      <c r="B574" s="80" t="str">
        <v>Longotea</v>
      </c>
      <c r="C574" s="80" t="str">
        <v>Julio / Agosto / Septiembre</v>
      </c>
      <c r="D574" s="81">
        <v>46200</v>
      </c>
      <c r="E574" s="79">
        <v>1105.0830000000001</v>
      </c>
      <c r="F574" s="81">
        <v>46190</v>
      </c>
      <c r="G574" s="79" cm="1">
        <f t="array" ref="G574:X574">_xlfn._xlws.FILTER(Formulas!$C$2:$T$201, ISNUMBER(MATCH(Formulas!$B$2:$B$201, B574, 0)),0) * E574</f>
        <v>132.60996</v>
      </c>
      <c r="H574" s="79">
        <v>448.11115649999999</v>
      </c>
      <c r="I574" s="79">
        <v>27.627075000000005</v>
      </c>
      <c r="J574" s="79">
        <v>27.627075000000005</v>
      </c>
      <c r="K574" s="79">
        <v>0</v>
      </c>
      <c r="L574" s="79">
        <v>0</v>
      </c>
      <c r="M574" s="79">
        <v>27.627075000000005</v>
      </c>
      <c r="N574" s="79">
        <v>55.25415000000001</v>
      </c>
      <c r="O574" s="79">
        <v>385.95023774999999</v>
      </c>
      <c r="P574" s="79">
        <v>0</v>
      </c>
      <c r="Q574" s="79">
        <v>0</v>
      </c>
      <c r="R574" s="79">
        <v>0</v>
      </c>
      <c r="S574" s="79">
        <v>0</v>
      </c>
      <c r="T574" s="79">
        <v>0</v>
      </c>
      <c r="U574" s="79">
        <v>1.105083</v>
      </c>
      <c r="V574" s="79">
        <v>0</v>
      </c>
      <c r="W574" s="79">
        <v>0</v>
      </c>
      <c r="X574" s="90">
        <v>0</v>
      </c>
    </row>
    <row r="575" spans="1:24" hidden="1" x14ac:dyDescent="0.25">
      <c r="A575" s="80" t="str">
        <v>PENDIENTE</v>
      </c>
      <c r="B575" s="80" t="str">
        <v>Longotea</v>
      </c>
      <c r="C575" s="80" t="str">
        <v>O.C.</v>
      </c>
      <c r="D575" s="81">
        <v>46200</v>
      </c>
      <c r="E575" s="79">
        <v>369.48399999999998</v>
      </c>
      <c r="F575" s="81">
        <v>46195</v>
      </c>
      <c r="G575" s="79" cm="1">
        <f t="array" ref="G575:X575">_xlfn._xlws.FILTER(Formulas!$C$2:$T$201, ISNUMBER(MATCH(Formulas!$B$2:$B$201, B575, 0)),0) * E575</f>
        <v>44.338079999999998</v>
      </c>
      <c r="H575" s="79">
        <v>149.82576199999997</v>
      </c>
      <c r="I575" s="79">
        <v>9.2370999999999999</v>
      </c>
      <c r="J575" s="79">
        <v>9.2370999999999999</v>
      </c>
      <c r="K575" s="79">
        <v>0</v>
      </c>
      <c r="L575" s="79">
        <v>0</v>
      </c>
      <c r="M575" s="79">
        <v>9.2370999999999999</v>
      </c>
      <c r="N575" s="79">
        <v>18.4742</v>
      </c>
      <c r="O575" s="79">
        <v>129.04228699999999</v>
      </c>
      <c r="P575" s="79">
        <v>0</v>
      </c>
      <c r="Q575" s="79">
        <v>0</v>
      </c>
      <c r="R575" s="79">
        <v>0</v>
      </c>
      <c r="S575" s="79">
        <v>0</v>
      </c>
      <c r="T575" s="79">
        <v>0</v>
      </c>
      <c r="U575" s="79">
        <v>0.36948399999999998</v>
      </c>
      <c r="V575" s="79">
        <v>0</v>
      </c>
      <c r="W575" s="79">
        <v>0</v>
      </c>
      <c r="X575" s="90">
        <v>0</v>
      </c>
    </row>
    <row r="576" spans="1:24" hidden="1" x14ac:dyDescent="0.25">
      <c r="A576" s="80" t="str">
        <v>PENDIENTE</v>
      </c>
      <c r="B576" s="80" t="str">
        <v>Longotea</v>
      </c>
      <c r="C576" s="80" t="str">
        <v>Octubre / Noviembre / Diciembre</v>
      </c>
      <c r="D576" s="81">
        <v>46292</v>
      </c>
      <c r="E576" s="79">
        <v>1105.0830000000001</v>
      </c>
      <c r="F576" s="81">
        <v>46288</v>
      </c>
      <c r="G576" s="79" cm="1">
        <f t="array" ref="G576:X576">_xlfn._xlws.FILTER(Formulas!$C$2:$T$201, ISNUMBER(MATCH(Formulas!$B$2:$B$201, B576, 0)),0) * E576</f>
        <v>132.60996</v>
      </c>
      <c r="H576" s="79">
        <v>448.11115649999999</v>
      </c>
      <c r="I576" s="79">
        <v>27.627075000000005</v>
      </c>
      <c r="J576" s="79">
        <v>27.627075000000005</v>
      </c>
      <c r="K576" s="79">
        <v>0</v>
      </c>
      <c r="L576" s="79">
        <v>0</v>
      </c>
      <c r="M576" s="79">
        <v>27.627075000000005</v>
      </c>
      <c r="N576" s="79">
        <v>55.25415000000001</v>
      </c>
      <c r="O576" s="79">
        <v>385.95023774999999</v>
      </c>
      <c r="P576" s="79">
        <v>0</v>
      </c>
      <c r="Q576" s="79">
        <v>0</v>
      </c>
      <c r="R576" s="79">
        <v>0</v>
      </c>
      <c r="S576" s="79">
        <v>0</v>
      </c>
      <c r="T576" s="79">
        <v>0</v>
      </c>
      <c r="U576" s="79">
        <v>1.105083</v>
      </c>
      <c r="V576" s="79">
        <v>0</v>
      </c>
      <c r="W576" s="79">
        <v>0</v>
      </c>
      <c r="X576" s="90">
        <v>0</v>
      </c>
    </row>
    <row r="577" spans="1:24" hidden="1" x14ac:dyDescent="0.25">
      <c r="A577" s="80" t="str">
        <v>ENHA</v>
      </c>
      <c r="B577" s="80" t="str">
        <v>Longuita</v>
      </c>
      <c r="C577" s="80" t="str">
        <v>O.C.</v>
      </c>
      <c r="D577" s="81">
        <v>46120</v>
      </c>
      <c r="E577" s="79">
        <v>180</v>
      </c>
      <c r="F577" s="81">
        <v>46120</v>
      </c>
      <c r="G577" s="79" cm="1">
        <f t="array" ref="G577:X577">_xlfn._xlws.FILTER(Formulas!$C$2:$T$201, ISNUMBER(MATCH(Formulas!$B$2:$B$201, B577, 0)),0) * E577</f>
        <v>36</v>
      </c>
      <c r="H577" s="79">
        <v>129</v>
      </c>
      <c r="I577" s="79">
        <v>7</v>
      </c>
      <c r="J577" s="79">
        <v>0</v>
      </c>
      <c r="K577" s="79">
        <v>0</v>
      </c>
      <c r="L577" s="79">
        <v>0</v>
      </c>
      <c r="M577" s="79">
        <v>8</v>
      </c>
      <c r="N577" s="79">
        <v>0</v>
      </c>
      <c r="O577" s="79">
        <v>0</v>
      </c>
      <c r="P577" s="79">
        <v>0</v>
      </c>
      <c r="Q577" s="79">
        <v>0</v>
      </c>
      <c r="R577" s="79">
        <v>0</v>
      </c>
      <c r="S577" s="79">
        <v>0</v>
      </c>
      <c r="T577" s="79">
        <v>0</v>
      </c>
      <c r="U577" s="79">
        <v>0</v>
      </c>
      <c r="V577" s="79">
        <v>0</v>
      </c>
      <c r="W577" s="79">
        <v>0</v>
      </c>
      <c r="X577" s="90">
        <v>0</v>
      </c>
    </row>
    <row r="578" spans="1:24" hidden="1" x14ac:dyDescent="0.25">
      <c r="A578" s="80" t="str">
        <v>ENHA</v>
      </c>
      <c r="B578" s="80" t="str">
        <v>Longuita</v>
      </c>
      <c r="C578" s="80" t="str">
        <v>O.C.</v>
      </c>
      <c r="D578" s="81">
        <v>46188</v>
      </c>
      <c r="E578" s="79">
        <v>180</v>
      </c>
      <c r="F578" s="81">
        <v>46206</v>
      </c>
      <c r="G578" s="79" cm="1">
        <f t="array" ref="G578:X578">_xlfn._xlws.FILTER(Formulas!$C$2:$T$201, ISNUMBER(MATCH(Formulas!$B$2:$B$201, B578, 0)),0) * E578</f>
        <v>36</v>
      </c>
      <c r="H578" s="79">
        <v>129</v>
      </c>
      <c r="I578" s="79">
        <v>7</v>
      </c>
      <c r="J578" s="79">
        <v>0</v>
      </c>
      <c r="K578" s="79">
        <v>0</v>
      </c>
      <c r="L578" s="79">
        <v>0</v>
      </c>
      <c r="M578" s="79">
        <v>8</v>
      </c>
      <c r="N578" s="79">
        <v>0</v>
      </c>
      <c r="O578" s="79">
        <v>0</v>
      </c>
      <c r="P578" s="79">
        <v>0</v>
      </c>
      <c r="Q578" s="79">
        <v>0</v>
      </c>
      <c r="R578" s="79">
        <v>0</v>
      </c>
      <c r="S578" s="79">
        <v>0</v>
      </c>
      <c r="T578" s="79">
        <v>0</v>
      </c>
      <c r="U578" s="79">
        <v>0</v>
      </c>
      <c r="V578" s="79">
        <v>0</v>
      </c>
      <c r="W578" s="79">
        <v>0</v>
      </c>
      <c r="X578" s="90">
        <v>0</v>
      </c>
    </row>
    <row r="579" spans="1:24" hidden="1" x14ac:dyDescent="0.25">
      <c r="A579" s="80" t="str">
        <v>PENDIENTE</v>
      </c>
      <c r="B579" s="80" t="str">
        <v>Luya</v>
      </c>
      <c r="C579" s="80" t="str">
        <v>O.C.</v>
      </c>
      <c r="D579" s="81">
        <v>46091</v>
      </c>
      <c r="E579" s="79">
        <v>798</v>
      </c>
      <c r="F579" s="80">
        <v>46091</v>
      </c>
      <c r="G579" s="79" cm="1">
        <f t="array" ref="G579:X579">_xlfn._xlws.FILTER(Formulas!$C$2:$T$201, ISNUMBER(MATCH(Formulas!$B$2:$B$201, B579, 0)),0) * E579</f>
        <v>159.60000000000002</v>
      </c>
      <c r="H579" s="79">
        <v>574.55999999999995</v>
      </c>
      <c r="I579" s="79">
        <v>31.92</v>
      </c>
      <c r="J579" s="79">
        <v>0</v>
      </c>
      <c r="K579" s="79">
        <v>0</v>
      </c>
      <c r="L579" s="79">
        <v>0</v>
      </c>
      <c r="M579" s="79">
        <v>31.92</v>
      </c>
      <c r="N579" s="79">
        <v>0</v>
      </c>
      <c r="O579" s="79">
        <v>0</v>
      </c>
      <c r="P579" s="79">
        <v>0</v>
      </c>
      <c r="Q579" s="79">
        <v>0</v>
      </c>
      <c r="R579" s="79">
        <v>0</v>
      </c>
      <c r="S579" s="79">
        <v>0</v>
      </c>
      <c r="T579" s="79">
        <v>0</v>
      </c>
      <c r="U579" s="79">
        <v>0</v>
      </c>
      <c r="V579" s="79">
        <v>0</v>
      </c>
      <c r="W579" s="79">
        <v>0</v>
      </c>
      <c r="X579" s="90">
        <v>0</v>
      </c>
    </row>
    <row r="580" spans="1:24" hidden="1" x14ac:dyDescent="0.25">
      <c r="A580" s="80" t="str">
        <v>PENDIENTE</v>
      </c>
      <c r="B580" s="80" t="str">
        <v>Luya</v>
      </c>
      <c r="C580" s="80" t="str">
        <v>O.C.</v>
      </c>
      <c r="D580" s="81">
        <v>46280</v>
      </c>
      <c r="E580" s="79">
        <v>797</v>
      </c>
      <c r="F580" s="81">
        <v>46273</v>
      </c>
      <c r="G580" s="79" cm="1">
        <f t="array" ref="G580:X580">_xlfn._xlws.FILTER(Formulas!$C$2:$T$201, ISNUMBER(MATCH(Formulas!$B$2:$B$201, B580, 0)),0) * E580</f>
        <v>159.4</v>
      </c>
      <c r="H580" s="79">
        <v>573.84</v>
      </c>
      <c r="I580" s="79">
        <v>31.88</v>
      </c>
      <c r="J580" s="79">
        <v>0</v>
      </c>
      <c r="K580" s="79">
        <v>0</v>
      </c>
      <c r="L580" s="79">
        <v>0</v>
      </c>
      <c r="M580" s="79">
        <v>31.88</v>
      </c>
      <c r="N580" s="79">
        <v>0</v>
      </c>
      <c r="O580" s="79">
        <v>0</v>
      </c>
      <c r="P580" s="79">
        <v>0</v>
      </c>
      <c r="Q580" s="79">
        <v>0</v>
      </c>
      <c r="R580" s="79">
        <v>0</v>
      </c>
      <c r="S580" s="79">
        <v>0</v>
      </c>
      <c r="T580" s="79">
        <v>0</v>
      </c>
      <c r="U580" s="79">
        <v>0</v>
      </c>
      <c r="V580" s="79">
        <v>0</v>
      </c>
      <c r="W580" s="79">
        <v>0</v>
      </c>
      <c r="X580" s="90">
        <v>0</v>
      </c>
    </row>
    <row r="581" spans="1:24" hidden="1" x14ac:dyDescent="0.25">
      <c r="A581" s="80" t="str">
        <v>ENHA</v>
      </c>
      <c r="B581" s="80" t="str">
        <v>Luya Az</v>
      </c>
      <c r="C581" s="80" t="str">
        <v>O.C.</v>
      </c>
      <c r="D581" s="81">
        <v>46120</v>
      </c>
      <c r="E581" s="79">
        <v>1605</v>
      </c>
      <c r="F581" s="81">
        <v>46120</v>
      </c>
      <c r="G581" s="79" cm="1">
        <f t="array" ref="G581:X581">_xlfn._xlws.FILTER(Formulas!$C$2:$T$201, ISNUMBER(MATCH(Formulas!$B$2:$B$201, B581, 0)),0) * E581</f>
        <v>241</v>
      </c>
      <c r="H581" s="79">
        <v>674</v>
      </c>
      <c r="I581" s="79">
        <v>64</v>
      </c>
      <c r="J581" s="79">
        <v>0</v>
      </c>
      <c r="K581" s="79">
        <v>0</v>
      </c>
      <c r="L581" s="79">
        <v>0</v>
      </c>
      <c r="M581" s="79">
        <v>64</v>
      </c>
      <c r="N581" s="79">
        <v>0</v>
      </c>
      <c r="O581" s="79">
        <v>562</v>
      </c>
      <c r="P581" s="79">
        <v>0</v>
      </c>
      <c r="Q581" s="79">
        <v>0</v>
      </c>
      <c r="R581" s="79">
        <v>0</v>
      </c>
      <c r="S581" s="79">
        <v>0</v>
      </c>
      <c r="T581" s="79">
        <v>0</v>
      </c>
      <c r="U581" s="79">
        <v>0</v>
      </c>
      <c r="V581" s="79">
        <v>0</v>
      </c>
      <c r="W581" s="79">
        <v>0</v>
      </c>
      <c r="X581" s="90">
        <v>0</v>
      </c>
    </row>
    <row r="582" spans="1:24" hidden="1" x14ac:dyDescent="0.25">
      <c r="A582" s="80" t="str">
        <v>PENDIENTE</v>
      </c>
      <c r="B582" s="80" t="str">
        <v>Macate</v>
      </c>
      <c r="C582" s="80" t="str">
        <v>Enero / Febrero / Marzo</v>
      </c>
      <c r="D582" s="81">
        <v>46119</v>
      </c>
      <c r="E582" s="79">
        <v>3196.7875800000002</v>
      </c>
      <c r="F582" s="81">
        <v>46118</v>
      </c>
      <c r="G582" s="79" cm="1">
        <f t="array" ref="G582:X582">_xlfn._xlws.FILTER(Formulas!$C$2:$T$201, ISNUMBER(MATCH(Formulas!$B$2:$B$201, B582, 0)),0) * E582</f>
        <v>639.35751600000003</v>
      </c>
      <c r="H582" s="79">
        <v>2237.7513060000001</v>
      </c>
      <c r="I582" s="79">
        <v>159.83937900000001</v>
      </c>
      <c r="J582" s="79">
        <v>0</v>
      </c>
      <c r="K582" s="79">
        <v>0</v>
      </c>
      <c r="L582" s="79">
        <v>0</v>
      </c>
      <c r="M582" s="79">
        <v>159.83937900000001</v>
      </c>
      <c r="N582" s="79">
        <v>0</v>
      </c>
      <c r="O582" s="79">
        <v>0</v>
      </c>
      <c r="P582" s="79">
        <v>0</v>
      </c>
      <c r="Q582" s="79">
        <v>0</v>
      </c>
      <c r="R582" s="79">
        <v>0</v>
      </c>
      <c r="S582" s="79">
        <v>0</v>
      </c>
      <c r="T582" s="79">
        <v>0</v>
      </c>
      <c r="U582" s="79">
        <v>0</v>
      </c>
      <c r="V582" s="79">
        <v>0</v>
      </c>
      <c r="W582" s="79">
        <v>0</v>
      </c>
      <c r="X582" s="90">
        <v>0</v>
      </c>
    </row>
    <row r="583" spans="1:24" hidden="1" x14ac:dyDescent="0.25">
      <c r="A583" s="80" t="str">
        <v>PENDIENTE</v>
      </c>
      <c r="B583" s="80" t="str">
        <v>Macate</v>
      </c>
      <c r="C583" s="80" t="str">
        <v>Abril / Mayo / Junio</v>
      </c>
      <c r="D583" s="81">
        <v>46139</v>
      </c>
      <c r="E583" s="79">
        <v>3196.7875800000002</v>
      </c>
      <c r="F583" s="81">
        <v>46142</v>
      </c>
      <c r="G583" s="79" cm="1">
        <f t="array" ref="G583:X583">_xlfn._xlws.FILTER(Formulas!$C$2:$T$201, ISNUMBER(MATCH(Formulas!$B$2:$B$201, B583, 0)),0) * E583</f>
        <v>639.35751600000003</v>
      </c>
      <c r="H583" s="79">
        <v>2237.7513060000001</v>
      </c>
      <c r="I583" s="79">
        <v>159.83937900000001</v>
      </c>
      <c r="J583" s="79">
        <v>0</v>
      </c>
      <c r="K583" s="79">
        <v>0</v>
      </c>
      <c r="L583" s="79">
        <v>0</v>
      </c>
      <c r="M583" s="79">
        <v>159.83937900000001</v>
      </c>
      <c r="N583" s="79">
        <v>0</v>
      </c>
      <c r="O583" s="79">
        <v>0</v>
      </c>
      <c r="P583" s="79">
        <v>0</v>
      </c>
      <c r="Q583" s="79">
        <v>0</v>
      </c>
      <c r="R583" s="79">
        <v>0</v>
      </c>
      <c r="S583" s="79">
        <v>0</v>
      </c>
      <c r="T583" s="79">
        <v>0</v>
      </c>
      <c r="U583" s="79">
        <v>0</v>
      </c>
      <c r="V583" s="79">
        <v>0</v>
      </c>
      <c r="W583" s="79">
        <v>0</v>
      </c>
      <c r="X583" s="90">
        <v>0</v>
      </c>
    </row>
    <row r="584" spans="1:24" hidden="1" x14ac:dyDescent="0.25">
      <c r="A584" s="80" t="str">
        <v>PENDIENTE</v>
      </c>
      <c r="B584" s="80" t="str">
        <v>Macate</v>
      </c>
      <c r="C584" s="80" t="str">
        <v>Julio / Agosto / Septiembre</v>
      </c>
      <c r="D584" s="81">
        <v>46203</v>
      </c>
      <c r="E584" s="79">
        <v>3196.7875800000002</v>
      </c>
      <c r="F584" s="81">
        <v>46227</v>
      </c>
      <c r="G584" s="79" cm="1">
        <f t="array" ref="G584:X584">_xlfn._xlws.FILTER(Formulas!$C$2:$T$201, ISNUMBER(MATCH(Formulas!$B$2:$B$201, B584, 0)),0) * E584</f>
        <v>639.35751600000003</v>
      </c>
      <c r="H584" s="79">
        <v>2237.7513060000001</v>
      </c>
      <c r="I584" s="79">
        <v>159.83937900000001</v>
      </c>
      <c r="J584" s="79">
        <v>0</v>
      </c>
      <c r="K584" s="79">
        <v>0</v>
      </c>
      <c r="L584" s="79">
        <v>0</v>
      </c>
      <c r="M584" s="79">
        <v>159.83937900000001</v>
      </c>
      <c r="N584" s="79">
        <v>0</v>
      </c>
      <c r="O584" s="79">
        <v>0</v>
      </c>
      <c r="P584" s="79">
        <v>0</v>
      </c>
      <c r="Q584" s="79">
        <v>0</v>
      </c>
      <c r="R584" s="79">
        <v>0</v>
      </c>
      <c r="S584" s="79">
        <v>0</v>
      </c>
      <c r="T584" s="79">
        <v>0</v>
      </c>
      <c r="U584" s="79">
        <v>0</v>
      </c>
      <c r="V584" s="79">
        <v>0</v>
      </c>
      <c r="W584" s="79">
        <v>0</v>
      </c>
      <c r="X584" s="90">
        <v>0</v>
      </c>
    </row>
    <row r="585" spans="1:24" hidden="1" x14ac:dyDescent="0.25">
      <c r="A585" s="80" t="str">
        <v>PENDIENTE</v>
      </c>
      <c r="B585" s="80" t="str">
        <v>Macate</v>
      </c>
      <c r="C585" s="80" t="str">
        <v>Octubre / Noviembre / Diciembre</v>
      </c>
      <c r="D585" s="81">
        <v>46295</v>
      </c>
      <c r="E585" s="79">
        <v>3196.7875800000002</v>
      </c>
      <c r="F585" s="81">
        <v>0</v>
      </c>
      <c r="G585" s="79" cm="1">
        <f t="array" ref="G585:X585">_xlfn._xlws.FILTER(Formulas!$C$2:$T$201, ISNUMBER(MATCH(Formulas!$B$2:$B$201, B585, 0)),0) * E585</f>
        <v>639.35751600000003</v>
      </c>
      <c r="H585" s="79">
        <v>2237.7513060000001</v>
      </c>
      <c r="I585" s="79">
        <v>159.83937900000001</v>
      </c>
      <c r="J585" s="79">
        <v>0</v>
      </c>
      <c r="K585" s="79">
        <v>0</v>
      </c>
      <c r="L585" s="79">
        <v>0</v>
      </c>
      <c r="M585" s="79">
        <v>159.83937900000001</v>
      </c>
      <c r="N585" s="79">
        <v>0</v>
      </c>
      <c r="O585" s="79">
        <v>0</v>
      </c>
      <c r="P585" s="79">
        <v>0</v>
      </c>
      <c r="Q585" s="79">
        <v>0</v>
      </c>
      <c r="R585" s="79">
        <v>0</v>
      </c>
      <c r="S585" s="79">
        <v>0</v>
      </c>
      <c r="T585" s="79">
        <v>0</v>
      </c>
      <c r="U585" s="79">
        <v>0</v>
      </c>
      <c r="V585" s="79">
        <v>0</v>
      </c>
      <c r="W585" s="79">
        <v>0</v>
      </c>
      <c r="X585" s="90">
        <v>0</v>
      </c>
    </row>
    <row r="586" spans="1:24" hidden="1" x14ac:dyDescent="0.25">
      <c r="A586" s="80" t="str">
        <v>PENDIENTE</v>
      </c>
      <c r="B586" s="80" t="str">
        <v>Magdalena</v>
      </c>
      <c r="C586" s="80" t="str">
        <v>Enero</v>
      </c>
      <c r="D586" s="81">
        <v>46022</v>
      </c>
      <c r="E586" s="79">
        <v>2688.3519999999999</v>
      </c>
      <c r="F586" s="81">
        <v>46025</v>
      </c>
      <c r="G586" s="79" cm="1">
        <f t="array" ref="G586:X586">_xlfn._xlws.FILTER(Formulas!$C$2:$T$201, ISNUMBER(MATCH(Formulas!$B$2:$B$201, B586, 0)),0) * E586</f>
        <v>748.09795238095239</v>
      </c>
      <c r="H586" s="79">
        <v>1698.5557341269841</v>
      </c>
      <c r="I586" s="79">
        <v>134.3509246031746</v>
      </c>
      <c r="J586" s="79">
        <v>107.68076587301587</v>
      </c>
      <c r="K586" s="79">
        <v>0</v>
      </c>
      <c r="L586" s="79">
        <v>0</v>
      </c>
      <c r="M586" s="79">
        <v>0</v>
      </c>
      <c r="N586" s="79">
        <v>0</v>
      </c>
      <c r="O586" s="79">
        <v>0</v>
      </c>
      <c r="P586" s="79">
        <v>0</v>
      </c>
      <c r="Q586" s="79">
        <v>0</v>
      </c>
      <c r="R586" s="79">
        <v>0</v>
      </c>
      <c r="S586" s="79">
        <v>0</v>
      </c>
      <c r="T586" s="79">
        <v>0</v>
      </c>
      <c r="U586" s="79">
        <v>0</v>
      </c>
      <c r="V586" s="79">
        <v>0</v>
      </c>
      <c r="W586" s="79">
        <v>0</v>
      </c>
      <c r="X586" s="90">
        <v>0</v>
      </c>
    </row>
    <row r="587" spans="1:24" hidden="1" x14ac:dyDescent="0.25">
      <c r="A587" s="80" t="str">
        <v>PENDIENTE</v>
      </c>
      <c r="B587" s="80" t="str">
        <v>Magdalena</v>
      </c>
      <c r="C587" s="80" t="str">
        <v>Febrero</v>
      </c>
      <c r="D587" s="81">
        <v>46022</v>
      </c>
      <c r="E587" s="79">
        <v>2688.3519999999999</v>
      </c>
      <c r="F587" s="81">
        <v>46025</v>
      </c>
      <c r="G587" s="79" cm="1">
        <f t="array" ref="G587:X587">_xlfn._xlws.FILTER(Formulas!$C$2:$T$201, ISNUMBER(MATCH(Formulas!$B$2:$B$201, B587, 0)),0) * E587</f>
        <v>748.09795238095239</v>
      </c>
      <c r="H587" s="79">
        <v>1698.5557341269841</v>
      </c>
      <c r="I587" s="79">
        <v>134.3509246031746</v>
      </c>
      <c r="J587" s="79">
        <v>107.68076587301587</v>
      </c>
      <c r="K587" s="79">
        <v>0</v>
      </c>
      <c r="L587" s="79">
        <v>0</v>
      </c>
      <c r="M587" s="79">
        <v>0</v>
      </c>
      <c r="N587" s="79">
        <v>0</v>
      </c>
      <c r="O587" s="79">
        <v>0</v>
      </c>
      <c r="P587" s="79">
        <v>0</v>
      </c>
      <c r="Q587" s="79">
        <v>0</v>
      </c>
      <c r="R587" s="79">
        <v>0</v>
      </c>
      <c r="S587" s="79">
        <v>0</v>
      </c>
      <c r="T587" s="79">
        <v>0</v>
      </c>
      <c r="U587" s="79">
        <v>0</v>
      </c>
      <c r="V587" s="79">
        <v>0</v>
      </c>
      <c r="W587" s="79">
        <v>0</v>
      </c>
      <c r="X587" s="90">
        <v>0</v>
      </c>
    </row>
    <row r="588" spans="1:24" hidden="1" x14ac:dyDescent="0.25">
      <c r="A588" s="80" t="str">
        <v>PENDIENTE</v>
      </c>
      <c r="B588" s="80" t="str">
        <v>Magdalena</v>
      </c>
      <c r="C588" s="80" t="str">
        <v>Marzo</v>
      </c>
      <c r="D588" s="81">
        <v>46022</v>
      </c>
      <c r="E588" s="79">
        <v>2688.3519999999999</v>
      </c>
      <c r="F588" s="81">
        <v>46025</v>
      </c>
      <c r="G588" s="79" cm="1">
        <f t="array" ref="G588:X588">_xlfn._xlws.FILTER(Formulas!$C$2:$T$201, ISNUMBER(MATCH(Formulas!$B$2:$B$201, B588, 0)),0) * E588</f>
        <v>748.09795238095239</v>
      </c>
      <c r="H588" s="79">
        <v>1698.5557341269841</v>
      </c>
      <c r="I588" s="79">
        <v>134.3509246031746</v>
      </c>
      <c r="J588" s="79">
        <v>107.68076587301587</v>
      </c>
      <c r="K588" s="79">
        <v>0</v>
      </c>
      <c r="L588" s="79">
        <v>0</v>
      </c>
      <c r="M588" s="79">
        <v>0</v>
      </c>
      <c r="N588" s="79">
        <v>0</v>
      </c>
      <c r="O588" s="79">
        <v>0</v>
      </c>
      <c r="P588" s="79">
        <v>0</v>
      </c>
      <c r="Q588" s="79">
        <v>0</v>
      </c>
      <c r="R588" s="79">
        <v>0</v>
      </c>
      <c r="S588" s="79">
        <v>0</v>
      </c>
      <c r="T588" s="79">
        <v>0</v>
      </c>
      <c r="U588" s="79">
        <v>0</v>
      </c>
      <c r="V588" s="79">
        <v>0</v>
      </c>
      <c r="W588" s="79">
        <v>0</v>
      </c>
      <c r="X588" s="90">
        <v>0</v>
      </c>
    </row>
    <row r="589" spans="1:24" hidden="1" x14ac:dyDescent="0.25">
      <c r="A589" s="80" t="str">
        <v>PENDIENTE</v>
      </c>
      <c r="B589" s="80" t="str">
        <v>Magdalena</v>
      </c>
      <c r="C589" s="80" t="str">
        <v>Abril</v>
      </c>
      <c r="D589" s="81">
        <v>46102</v>
      </c>
      <c r="E589" s="79">
        <v>2688.3519999999999</v>
      </c>
      <c r="F589" s="80">
        <v>46093</v>
      </c>
      <c r="G589" s="79" cm="1">
        <f t="array" ref="G589:X589">_xlfn._xlws.FILTER(Formulas!$C$2:$T$201, ISNUMBER(MATCH(Formulas!$B$2:$B$201, B589, 0)),0) * E589</f>
        <v>748.09795238095239</v>
      </c>
      <c r="H589" s="79">
        <v>1698.5557341269841</v>
      </c>
      <c r="I589" s="79">
        <v>134.3509246031746</v>
      </c>
      <c r="J589" s="79">
        <v>107.68076587301587</v>
      </c>
      <c r="K589" s="79">
        <v>0</v>
      </c>
      <c r="L589" s="79">
        <v>0</v>
      </c>
      <c r="M589" s="79">
        <v>0</v>
      </c>
      <c r="N589" s="79">
        <v>0</v>
      </c>
      <c r="O589" s="79">
        <v>0</v>
      </c>
      <c r="P589" s="79">
        <v>0</v>
      </c>
      <c r="Q589" s="79">
        <v>0</v>
      </c>
      <c r="R589" s="79">
        <v>0</v>
      </c>
      <c r="S589" s="79">
        <v>0</v>
      </c>
      <c r="T589" s="79">
        <v>0</v>
      </c>
      <c r="U589" s="79">
        <v>0</v>
      </c>
      <c r="V589" s="79">
        <v>0</v>
      </c>
      <c r="W589" s="79">
        <v>0</v>
      </c>
      <c r="X589" s="90">
        <v>0</v>
      </c>
    </row>
    <row r="590" spans="1:24" hidden="1" x14ac:dyDescent="0.25">
      <c r="A590" s="80" t="str">
        <v>PENDIENTE</v>
      </c>
      <c r="B590" s="80" t="str">
        <v>Magdalena</v>
      </c>
      <c r="C590" s="80" t="str">
        <v>Mayo</v>
      </c>
      <c r="D590" s="81">
        <v>46102</v>
      </c>
      <c r="E590" s="79">
        <v>2688.3519999999999</v>
      </c>
      <c r="F590" s="80">
        <v>46093</v>
      </c>
      <c r="G590" s="79" cm="1">
        <f t="array" ref="G590:X590">_xlfn._xlws.FILTER(Formulas!$C$2:$T$201, ISNUMBER(MATCH(Formulas!$B$2:$B$201, B590, 0)),0) * E590</f>
        <v>748.09795238095239</v>
      </c>
      <c r="H590" s="79">
        <v>1698.5557341269841</v>
      </c>
      <c r="I590" s="79">
        <v>134.3509246031746</v>
      </c>
      <c r="J590" s="79">
        <v>107.68076587301587</v>
      </c>
      <c r="K590" s="79">
        <v>0</v>
      </c>
      <c r="L590" s="79">
        <v>0</v>
      </c>
      <c r="M590" s="79">
        <v>0</v>
      </c>
      <c r="N590" s="79">
        <v>0</v>
      </c>
      <c r="O590" s="79">
        <v>0</v>
      </c>
      <c r="P590" s="79">
        <v>0</v>
      </c>
      <c r="Q590" s="79">
        <v>0</v>
      </c>
      <c r="R590" s="79">
        <v>0</v>
      </c>
      <c r="S590" s="79">
        <v>0</v>
      </c>
      <c r="T590" s="79">
        <v>0</v>
      </c>
      <c r="U590" s="79">
        <v>0</v>
      </c>
      <c r="V590" s="79">
        <v>0</v>
      </c>
      <c r="W590" s="79">
        <v>0</v>
      </c>
      <c r="X590" s="90">
        <v>0</v>
      </c>
    </row>
    <row r="591" spans="1:24" hidden="1" x14ac:dyDescent="0.25">
      <c r="A591" s="80" t="str">
        <v>PENDIENTE</v>
      </c>
      <c r="B591" s="80" t="str">
        <v>Magdalena</v>
      </c>
      <c r="C591" s="80" t="str">
        <v>Junio</v>
      </c>
      <c r="D591" s="81">
        <v>46102</v>
      </c>
      <c r="E591" s="79">
        <v>2688.3519999999999</v>
      </c>
      <c r="F591" s="80">
        <v>46093</v>
      </c>
      <c r="G591" s="79" cm="1">
        <f t="array" ref="G591:X591">_xlfn._xlws.FILTER(Formulas!$C$2:$T$201, ISNUMBER(MATCH(Formulas!$B$2:$B$201, B591, 0)),0) * E591</f>
        <v>748.09795238095239</v>
      </c>
      <c r="H591" s="79">
        <v>1698.5557341269841</v>
      </c>
      <c r="I591" s="79">
        <v>134.3509246031746</v>
      </c>
      <c r="J591" s="79">
        <v>107.68076587301587</v>
      </c>
      <c r="K591" s="79">
        <v>0</v>
      </c>
      <c r="L591" s="79">
        <v>0</v>
      </c>
      <c r="M591" s="79">
        <v>0</v>
      </c>
      <c r="N591" s="79">
        <v>0</v>
      </c>
      <c r="O591" s="79">
        <v>0</v>
      </c>
      <c r="P591" s="79">
        <v>0</v>
      </c>
      <c r="Q591" s="79">
        <v>0</v>
      </c>
      <c r="R591" s="79">
        <v>0</v>
      </c>
      <c r="S591" s="79">
        <v>0</v>
      </c>
      <c r="T591" s="79">
        <v>0</v>
      </c>
      <c r="U591" s="79">
        <v>0</v>
      </c>
      <c r="V591" s="79">
        <v>0</v>
      </c>
      <c r="W591" s="79">
        <v>0</v>
      </c>
      <c r="X591" s="90">
        <v>0</v>
      </c>
    </row>
    <row r="592" spans="1:24" hidden="1" x14ac:dyDescent="0.25">
      <c r="A592" s="80" t="str">
        <v>PENDIENTE</v>
      </c>
      <c r="B592" s="80" t="str">
        <v>Magdalena</v>
      </c>
      <c r="C592" s="80" t="str">
        <v>Julio</v>
      </c>
      <c r="D592" s="81">
        <v>46194</v>
      </c>
      <c r="E592" s="79">
        <v>2688.3519999999999</v>
      </c>
      <c r="F592" s="81">
        <v>46181</v>
      </c>
      <c r="G592" s="79" cm="1">
        <f t="array" ref="G592:X592">_xlfn._xlws.FILTER(Formulas!$C$2:$T$201, ISNUMBER(MATCH(Formulas!$B$2:$B$201, B592, 0)),0) * E592</f>
        <v>748.09795238095239</v>
      </c>
      <c r="H592" s="79">
        <v>1698.5557341269841</v>
      </c>
      <c r="I592" s="79">
        <v>134.3509246031746</v>
      </c>
      <c r="J592" s="79">
        <v>107.68076587301587</v>
      </c>
      <c r="K592" s="79">
        <v>0</v>
      </c>
      <c r="L592" s="79">
        <v>0</v>
      </c>
      <c r="M592" s="79">
        <v>0</v>
      </c>
      <c r="N592" s="79">
        <v>0</v>
      </c>
      <c r="O592" s="79">
        <v>0</v>
      </c>
      <c r="P592" s="79">
        <v>0</v>
      </c>
      <c r="Q592" s="79">
        <v>0</v>
      </c>
      <c r="R592" s="79">
        <v>0</v>
      </c>
      <c r="S592" s="79">
        <v>0</v>
      </c>
      <c r="T592" s="79">
        <v>0</v>
      </c>
      <c r="U592" s="79">
        <v>0</v>
      </c>
      <c r="V592" s="79">
        <v>0</v>
      </c>
      <c r="W592" s="79">
        <v>0</v>
      </c>
      <c r="X592" s="90">
        <v>0</v>
      </c>
    </row>
    <row r="593" spans="1:24" hidden="1" x14ac:dyDescent="0.25">
      <c r="A593" s="80" t="str">
        <v>PENDIENTE</v>
      </c>
      <c r="B593" s="80" t="str">
        <v>Magdalena</v>
      </c>
      <c r="C593" s="80" t="str">
        <v>Agosto</v>
      </c>
      <c r="D593" s="81">
        <v>46194</v>
      </c>
      <c r="E593" s="79">
        <v>2688.3519999999999</v>
      </c>
      <c r="F593" s="81">
        <v>46181</v>
      </c>
      <c r="G593" s="79" cm="1">
        <f t="array" ref="G593:X593">_xlfn._xlws.FILTER(Formulas!$C$2:$T$201, ISNUMBER(MATCH(Formulas!$B$2:$B$201, B593, 0)),0) * E593</f>
        <v>748.09795238095239</v>
      </c>
      <c r="H593" s="79">
        <v>1698.5557341269841</v>
      </c>
      <c r="I593" s="79">
        <v>134.3509246031746</v>
      </c>
      <c r="J593" s="79">
        <v>107.68076587301587</v>
      </c>
      <c r="K593" s="79">
        <v>0</v>
      </c>
      <c r="L593" s="79">
        <v>0</v>
      </c>
      <c r="M593" s="79">
        <v>0</v>
      </c>
      <c r="N593" s="79">
        <v>0</v>
      </c>
      <c r="O593" s="79">
        <v>0</v>
      </c>
      <c r="P593" s="79">
        <v>0</v>
      </c>
      <c r="Q593" s="79">
        <v>0</v>
      </c>
      <c r="R593" s="79">
        <v>0</v>
      </c>
      <c r="S593" s="79">
        <v>0</v>
      </c>
      <c r="T593" s="79">
        <v>0</v>
      </c>
      <c r="U593" s="79">
        <v>0</v>
      </c>
      <c r="V593" s="79">
        <v>0</v>
      </c>
      <c r="W593" s="79">
        <v>0</v>
      </c>
      <c r="X593" s="90">
        <v>0</v>
      </c>
    </row>
    <row r="594" spans="1:24" hidden="1" x14ac:dyDescent="0.25">
      <c r="A594" s="80" t="str">
        <v>PENDIENTE</v>
      </c>
      <c r="B594" s="80" t="str">
        <v>Magdalena</v>
      </c>
      <c r="C594" s="80" t="str">
        <v>Setiembre</v>
      </c>
      <c r="D594" s="81">
        <v>46194</v>
      </c>
      <c r="E594" s="79">
        <v>2688.3519999999999</v>
      </c>
      <c r="F594" s="81">
        <v>46181</v>
      </c>
      <c r="G594" s="79" cm="1">
        <f t="array" ref="G594:X594">_xlfn._xlws.FILTER(Formulas!$C$2:$T$201, ISNUMBER(MATCH(Formulas!$B$2:$B$201, B594, 0)),0) * E594</f>
        <v>748.09795238095239</v>
      </c>
      <c r="H594" s="79">
        <v>1698.5557341269841</v>
      </c>
      <c r="I594" s="79">
        <v>134.3509246031746</v>
      </c>
      <c r="J594" s="79">
        <v>107.68076587301587</v>
      </c>
      <c r="K594" s="79">
        <v>0</v>
      </c>
      <c r="L594" s="79">
        <v>0</v>
      </c>
      <c r="M594" s="79">
        <v>0</v>
      </c>
      <c r="N594" s="79">
        <v>0</v>
      </c>
      <c r="O594" s="79">
        <v>0</v>
      </c>
      <c r="P594" s="79">
        <v>0</v>
      </c>
      <c r="Q594" s="79">
        <v>0</v>
      </c>
      <c r="R594" s="79">
        <v>0</v>
      </c>
      <c r="S594" s="79">
        <v>0</v>
      </c>
      <c r="T594" s="79">
        <v>0</v>
      </c>
      <c r="U594" s="79">
        <v>0</v>
      </c>
      <c r="V594" s="79">
        <v>0</v>
      </c>
      <c r="W594" s="79">
        <v>0</v>
      </c>
      <c r="X594" s="90">
        <v>0</v>
      </c>
    </row>
    <row r="595" spans="1:24" hidden="1" x14ac:dyDescent="0.25">
      <c r="A595" s="80" t="str">
        <v>PENDIENTE</v>
      </c>
      <c r="B595" s="80" t="str">
        <v>Magdalena</v>
      </c>
      <c r="C595" s="80" t="str">
        <v>Octubre</v>
      </c>
      <c r="D595" s="81">
        <v>46286</v>
      </c>
      <c r="E595" s="79">
        <v>2688.3519999999999</v>
      </c>
      <c r="F595" s="81">
        <v>46282</v>
      </c>
      <c r="G595" s="79" cm="1">
        <f t="array" ref="G595:X595">_xlfn._xlws.FILTER(Formulas!$C$2:$T$201, ISNUMBER(MATCH(Formulas!$B$2:$B$201, B595, 0)),0) * E595</f>
        <v>748.09795238095239</v>
      </c>
      <c r="H595" s="79">
        <v>1698.5557341269841</v>
      </c>
      <c r="I595" s="79">
        <v>134.3509246031746</v>
      </c>
      <c r="J595" s="79">
        <v>107.68076587301587</v>
      </c>
      <c r="K595" s="79">
        <v>0</v>
      </c>
      <c r="L595" s="79">
        <v>0</v>
      </c>
      <c r="M595" s="79">
        <v>0</v>
      </c>
      <c r="N595" s="79">
        <v>0</v>
      </c>
      <c r="O595" s="79">
        <v>0</v>
      </c>
      <c r="P595" s="79">
        <v>0</v>
      </c>
      <c r="Q595" s="79">
        <v>0</v>
      </c>
      <c r="R595" s="79">
        <v>0</v>
      </c>
      <c r="S595" s="79">
        <v>0</v>
      </c>
      <c r="T595" s="79">
        <v>0</v>
      </c>
      <c r="U595" s="79">
        <v>0</v>
      </c>
      <c r="V595" s="79">
        <v>0</v>
      </c>
      <c r="W595" s="79">
        <v>0</v>
      </c>
      <c r="X595" s="90">
        <v>0</v>
      </c>
    </row>
    <row r="596" spans="1:24" hidden="1" x14ac:dyDescent="0.25">
      <c r="A596" s="80" t="str">
        <v>PENDIENTE</v>
      </c>
      <c r="B596" s="80" t="str">
        <v>Magdalena</v>
      </c>
      <c r="C596" s="80" t="str">
        <v>Noviembre</v>
      </c>
      <c r="D596" s="81">
        <v>46286</v>
      </c>
      <c r="E596" s="79">
        <v>2688.3519999999999</v>
      </c>
      <c r="F596" s="81">
        <v>0</v>
      </c>
      <c r="G596" s="79" cm="1">
        <f t="array" ref="G596:X596">_xlfn._xlws.FILTER(Formulas!$C$2:$T$201, ISNUMBER(MATCH(Formulas!$B$2:$B$201, B596, 0)),0) * E596</f>
        <v>748.09795238095239</v>
      </c>
      <c r="H596" s="79">
        <v>1698.5557341269841</v>
      </c>
      <c r="I596" s="79">
        <v>134.3509246031746</v>
      </c>
      <c r="J596" s="79">
        <v>107.68076587301587</v>
      </c>
      <c r="K596" s="79">
        <v>0</v>
      </c>
      <c r="L596" s="79">
        <v>0</v>
      </c>
      <c r="M596" s="79">
        <v>0</v>
      </c>
      <c r="N596" s="79">
        <v>0</v>
      </c>
      <c r="O596" s="79">
        <v>0</v>
      </c>
      <c r="P596" s="79">
        <v>0</v>
      </c>
      <c r="Q596" s="79">
        <v>0</v>
      </c>
      <c r="R596" s="79">
        <v>0</v>
      </c>
      <c r="S596" s="79">
        <v>0</v>
      </c>
      <c r="T596" s="79">
        <v>0</v>
      </c>
      <c r="U596" s="79">
        <v>0</v>
      </c>
      <c r="V596" s="79">
        <v>0</v>
      </c>
      <c r="W596" s="79">
        <v>0</v>
      </c>
      <c r="X596" s="90">
        <v>0</v>
      </c>
    </row>
    <row r="597" spans="1:24" hidden="1" x14ac:dyDescent="0.25">
      <c r="A597" s="80" t="str">
        <v>PENDIENTE</v>
      </c>
      <c r="B597" s="80" t="str">
        <v>Magdalena</v>
      </c>
      <c r="C597" s="80" t="str">
        <v>Diciembre</v>
      </c>
      <c r="D597" s="81">
        <v>46286</v>
      </c>
      <c r="E597" s="79">
        <v>2735.3981600000002</v>
      </c>
      <c r="F597" s="81">
        <v>0</v>
      </c>
      <c r="G597" s="79" cm="1">
        <f t="array" ref="G597:X597">_xlfn._xlws.FILTER(Formulas!$C$2:$T$201, ISNUMBER(MATCH(Formulas!$B$2:$B$201, B597, 0)),0) * E597</f>
        <v>761.18966654761914</v>
      </c>
      <c r="H597" s="79">
        <v>1728.2804594742065</v>
      </c>
      <c r="I597" s="79">
        <v>136.70206578373018</v>
      </c>
      <c r="J597" s="79">
        <v>109.56517927579367</v>
      </c>
      <c r="K597" s="79">
        <v>0</v>
      </c>
      <c r="L597" s="79">
        <v>0</v>
      </c>
      <c r="M597" s="79">
        <v>0</v>
      </c>
      <c r="N597" s="79">
        <v>0</v>
      </c>
      <c r="O597" s="79">
        <v>0</v>
      </c>
      <c r="P597" s="79">
        <v>0</v>
      </c>
      <c r="Q597" s="79">
        <v>0</v>
      </c>
      <c r="R597" s="79">
        <v>0</v>
      </c>
      <c r="S597" s="79">
        <v>0</v>
      </c>
      <c r="T597" s="79">
        <v>0</v>
      </c>
      <c r="U597" s="79">
        <v>0</v>
      </c>
      <c r="V597" s="79">
        <v>0</v>
      </c>
      <c r="W597" s="79">
        <v>0</v>
      </c>
      <c r="X597" s="90">
        <v>0</v>
      </c>
    </row>
    <row r="598" spans="1:24" hidden="1" x14ac:dyDescent="0.25">
      <c r="A598" s="80" t="str">
        <v>PENDIENTE</v>
      </c>
      <c r="B598" s="80" t="str">
        <v>Magdalena de Cao</v>
      </c>
      <c r="C598" s="80" t="str">
        <v>Enero</v>
      </c>
      <c r="D598" s="81">
        <v>46042</v>
      </c>
      <c r="E598" s="79">
        <v>364.20239999999995</v>
      </c>
      <c r="F598" s="81">
        <v>46052</v>
      </c>
      <c r="G598" s="79" cm="1">
        <f t="array" ref="G598:X598">_xlfn._xlws.FILTER(Formulas!$C$2:$T$201, ISNUMBER(MATCH(Formulas!$B$2:$B$201, B598, 0)),0) * E598</f>
        <v>95.052824175824171</v>
      </c>
      <c r="H598" s="79">
        <v>240.13345054945052</v>
      </c>
      <c r="I598" s="79">
        <v>15.008340659340657</v>
      </c>
      <c r="J598" s="79">
        <v>15.008340659340657</v>
      </c>
      <c r="K598" s="79">
        <v>0</v>
      </c>
      <c r="L598" s="79">
        <v>0</v>
      </c>
      <c r="M598" s="79">
        <v>0</v>
      </c>
      <c r="N598" s="79">
        <v>0</v>
      </c>
      <c r="O598" s="79">
        <v>0</v>
      </c>
      <c r="P598" s="79">
        <v>0</v>
      </c>
      <c r="Q598" s="79">
        <v>0</v>
      </c>
      <c r="R598" s="79">
        <v>0</v>
      </c>
      <c r="S598" s="79">
        <v>0</v>
      </c>
      <c r="T598" s="79">
        <v>0</v>
      </c>
      <c r="U598" s="79">
        <v>0</v>
      </c>
      <c r="V598" s="79">
        <v>0</v>
      </c>
      <c r="W598" s="79">
        <v>0</v>
      </c>
      <c r="X598" s="90">
        <v>0</v>
      </c>
    </row>
    <row r="599" spans="1:24" hidden="1" x14ac:dyDescent="0.25">
      <c r="A599" s="80" t="str">
        <v>PENDIENTE</v>
      </c>
      <c r="B599" s="80" t="str">
        <v>Magdalena de Cao</v>
      </c>
      <c r="C599" s="80" t="str">
        <v>Febrero</v>
      </c>
      <c r="D599" s="81">
        <v>46042</v>
      </c>
      <c r="E599" s="79">
        <v>364.20239999999995</v>
      </c>
      <c r="F599" s="81">
        <v>46052</v>
      </c>
      <c r="G599" s="79" cm="1">
        <f t="array" ref="G599:X599">_xlfn._xlws.FILTER(Formulas!$C$2:$T$201, ISNUMBER(MATCH(Formulas!$B$2:$B$201, B599, 0)),0) * E599</f>
        <v>95.052824175824171</v>
      </c>
      <c r="H599" s="79">
        <v>240.13345054945052</v>
      </c>
      <c r="I599" s="79">
        <v>15.008340659340657</v>
      </c>
      <c r="J599" s="79">
        <v>15.008340659340657</v>
      </c>
      <c r="K599" s="79">
        <v>0</v>
      </c>
      <c r="L599" s="79">
        <v>0</v>
      </c>
      <c r="M599" s="79">
        <v>0</v>
      </c>
      <c r="N599" s="79">
        <v>0</v>
      </c>
      <c r="O599" s="79">
        <v>0</v>
      </c>
      <c r="P599" s="79">
        <v>0</v>
      </c>
      <c r="Q599" s="79">
        <v>0</v>
      </c>
      <c r="R599" s="79">
        <v>0</v>
      </c>
      <c r="S599" s="79">
        <v>0</v>
      </c>
      <c r="T599" s="79">
        <v>0</v>
      </c>
      <c r="U599" s="79">
        <v>0</v>
      </c>
      <c r="V599" s="79">
        <v>0</v>
      </c>
      <c r="W599" s="79">
        <v>0</v>
      </c>
      <c r="X599" s="90">
        <v>0</v>
      </c>
    </row>
    <row r="600" spans="1:24" hidden="1" x14ac:dyDescent="0.25">
      <c r="A600" s="80" t="str">
        <v>PENDIENTE</v>
      </c>
      <c r="B600" s="80" t="str">
        <v>Magdalena de Cao</v>
      </c>
      <c r="C600" s="80" t="str">
        <v>Marzo</v>
      </c>
      <c r="D600" s="81">
        <v>46073</v>
      </c>
      <c r="E600" s="79">
        <v>364.20239999999995</v>
      </c>
      <c r="F600" s="81">
        <v>46105</v>
      </c>
      <c r="G600" s="79" cm="1">
        <f t="array" ref="G600:X600">_xlfn._xlws.FILTER(Formulas!$C$2:$T$201, ISNUMBER(MATCH(Formulas!$B$2:$B$201, B600, 0)),0) * E600</f>
        <v>95.052824175824171</v>
      </c>
      <c r="H600" s="79">
        <v>240.13345054945052</v>
      </c>
      <c r="I600" s="79">
        <v>15.008340659340657</v>
      </c>
      <c r="J600" s="79">
        <v>15.008340659340657</v>
      </c>
      <c r="K600" s="79">
        <v>0</v>
      </c>
      <c r="L600" s="79">
        <v>0</v>
      </c>
      <c r="M600" s="79">
        <v>0</v>
      </c>
      <c r="N600" s="79">
        <v>0</v>
      </c>
      <c r="O600" s="79">
        <v>0</v>
      </c>
      <c r="P600" s="79">
        <v>0</v>
      </c>
      <c r="Q600" s="79">
        <v>0</v>
      </c>
      <c r="R600" s="79">
        <v>0</v>
      </c>
      <c r="S600" s="79">
        <v>0</v>
      </c>
      <c r="T600" s="79">
        <v>0</v>
      </c>
      <c r="U600" s="79">
        <v>0</v>
      </c>
      <c r="V600" s="79">
        <v>0</v>
      </c>
      <c r="W600" s="79">
        <v>0</v>
      </c>
      <c r="X600" s="90">
        <v>0</v>
      </c>
    </row>
    <row r="601" spans="1:24" hidden="1" x14ac:dyDescent="0.25">
      <c r="A601" s="80" t="str">
        <v>PENDIENTE</v>
      </c>
      <c r="B601" s="80" t="str">
        <v>Magdalena de Cao</v>
      </c>
      <c r="C601" s="80" t="str">
        <v>Abril</v>
      </c>
      <c r="D601" s="81">
        <v>46101</v>
      </c>
      <c r="E601" s="79">
        <v>364.20239999999995</v>
      </c>
      <c r="F601" s="81">
        <v>46105</v>
      </c>
      <c r="G601" s="79" cm="1">
        <f t="array" ref="G601:X601">_xlfn._xlws.FILTER(Formulas!$C$2:$T$201, ISNUMBER(MATCH(Formulas!$B$2:$B$201, B601, 0)),0) * E601</f>
        <v>95.052824175824171</v>
      </c>
      <c r="H601" s="79">
        <v>240.13345054945052</v>
      </c>
      <c r="I601" s="79">
        <v>15.008340659340657</v>
      </c>
      <c r="J601" s="79">
        <v>15.008340659340657</v>
      </c>
      <c r="K601" s="79">
        <v>0</v>
      </c>
      <c r="L601" s="79">
        <v>0</v>
      </c>
      <c r="M601" s="79">
        <v>0</v>
      </c>
      <c r="N601" s="79">
        <v>0</v>
      </c>
      <c r="O601" s="79">
        <v>0</v>
      </c>
      <c r="P601" s="79">
        <v>0</v>
      </c>
      <c r="Q601" s="79">
        <v>0</v>
      </c>
      <c r="R601" s="79">
        <v>0</v>
      </c>
      <c r="S601" s="79">
        <v>0</v>
      </c>
      <c r="T601" s="79">
        <v>0</v>
      </c>
      <c r="U601" s="79">
        <v>0</v>
      </c>
      <c r="V601" s="79">
        <v>0</v>
      </c>
      <c r="W601" s="79">
        <v>0</v>
      </c>
      <c r="X601" s="90">
        <v>0</v>
      </c>
    </row>
    <row r="602" spans="1:24" hidden="1" x14ac:dyDescent="0.25">
      <c r="A602" s="80" t="str">
        <v>PENDIENTE</v>
      </c>
      <c r="B602" s="80" t="str">
        <v>Magdalena de Cao</v>
      </c>
      <c r="C602" s="80" t="str">
        <v>Mayo</v>
      </c>
      <c r="D602" s="81">
        <v>46132</v>
      </c>
      <c r="E602" s="79">
        <v>364.20239999999995</v>
      </c>
      <c r="F602" s="80">
        <v>46132</v>
      </c>
      <c r="G602" s="79" cm="1">
        <f t="array" ref="G602:X602">_xlfn._xlws.FILTER(Formulas!$C$2:$T$201, ISNUMBER(MATCH(Formulas!$B$2:$B$201, B602, 0)),0) * E602</f>
        <v>95.052824175824171</v>
      </c>
      <c r="H602" s="79">
        <v>240.13345054945052</v>
      </c>
      <c r="I602" s="79">
        <v>15.008340659340657</v>
      </c>
      <c r="J602" s="79">
        <v>15.008340659340657</v>
      </c>
      <c r="K602" s="79">
        <v>0</v>
      </c>
      <c r="L602" s="79">
        <v>0</v>
      </c>
      <c r="M602" s="79">
        <v>0</v>
      </c>
      <c r="N602" s="79">
        <v>0</v>
      </c>
      <c r="O602" s="79">
        <v>0</v>
      </c>
      <c r="P602" s="79">
        <v>0</v>
      </c>
      <c r="Q602" s="79">
        <v>0</v>
      </c>
      <c r="R602" s="79">
        <v>0</v>
      </c>
      <c r="S602" s="79">
        <v>0</v>
      </c>
      <c r="T602" s="79">
        <v>0</v>
      </c>
      <c r="U602" s="79">
        <v>0</v>
      </c>
      <c r="V602" s="79">
        <v>0</v>
      </c>
      <c r="W602" s="79">
        <v>0</v>
      </c>
      <c r="X602" s="90">
        <v>0</v>
      </c>
    </row>
    <row r="603" spans="1:24" hidden="1" x14ac:dyDescent="0.25">
      <c r="A603" s="80" t="str">
        <v>PENDIENTE</v>
      </c>
      <c r="B603" s="80" t="str">
        <v>Magdalena de Cao</v>
      </c>
      <c r="C603" s="80" t="str">
        <v>Junio</v>
      </c>
      <c r="D603" s="81">
        <v>46162</v>
      </c>
      <c r="E603" s="79">
        <v>364.20239999999995</v>
      </c>
      <c r="F603" s="80">
        <v>46153</v>
      </c>
      <c r="G603" s="79" cm="1">
        <f t="array" ref="G603:X603">_xlfn._xlws.FILTER(Formulas!$C$2:$T$201, ISNUMBER(MATCH(Formulas!$B$2:$B$201, B603, 0)),0) * E603</f>
        <v>95.052824175824171</v>
      </c>
      <c r="H603" s="79">
        <v>240.13345054945052</v>
      </c>
      <c r="I603" s="79">
        <v>15.008340659340657</v>
      </c>
      <c r="J603" s="79">
        <v>15.008340659340657</v>
      </c>
      <c r="K603" s="79">
        <v>0</v>
      </c>
      <c r="L603" s="79">
        <v>0</v>
      </c>
      <c r="M603" s="79">
        <v>0</v>
      </c>
      <c r="N603" s="79">
        <v>0</v>
      </c>
      <c r="O603" s="79">
        <v>0</v>
      </c>
      <c r="P603" s="79">
        <v>0</v>
      </c>
      <c r="Q603" s="79">
        <v>0</v>
      </c>
      <c r="R603" s="79">
        <v>0</v>
      </c>
      <c r="S603" s="79">
        <v>0</v>
      </c>
      <c r="T603" s="79">
        <v>0</v>
      </c>
      <c r="U603" s="79">
        <v>0</v>
      </c>
      <c r="V603" s="79">
        <v>0</v>
      </c>
      <c r="W603" s="79">
        <v>0</v>
      </c>
      <c r="X603" s="90">
        <v>0</v>
      </c>
    </row>
    <row r="604" spans="1:24" hidden="1" x14ac:dyDescent="0.25">
      <c r="A604" s="80" t="str">
        <v>PENDIENTE</v>
      </c>
      <c r="B604" s="80" t="str">
        <v>Magdalena de Cao</v>
      </c>
      <c r="C604" s="80" t="str">
        <v>Julio</v>
      </c>
      <c r="D604" s="81">
        <v>46192</v>
      </c>
      <c r="E604" s="79">
        <v>364.20239999999995</v>
      </c>
      <c r="F604" s="80">
        <v>46192</v>
      </c>
      <c r="G604" s="79" cm="1">
        <f t="array" ref="G604:X604">_xlfn._xlws.FILTER(Formulas!$C$2:$T$201, ISNUMBER(MATCH(Formulas!$B$2:$B$201, B604, 0)),0) * E604</f>
        <v>95.052824175824171</v>
      </c>
      <c r="H604" s="79">
        <v>240.13345054945052</v>
      </c>
      <c r="I604" s="79">
        <v>15.008340659340657</v>
      </c>
      <c r="J604" s="79">
        <v>15.008340659340657</v>
      </c>
      <c r="K604" s="79">
        <v>0</v>
      </c>
      <c r="L604" s="79">
        <v>0</v>
      </c>
      <c r="M604" s="79">
        <v>0</v>
      </c>
      <c r="N604" s="79">
        <v>0</v>
      </c>
      <c r="O604" s="79">
        <v>0</v>
      </c>
      <c r="P604" s="79">
        <v>0</v>
      </c>
      <c r="Q604" s="79">
        <v>0</v>
      </c>
      <c r="R604" s="79">
        <v>0</v>
      </c>
      <c r="S604" s="79">
        <v>0</v>
      </c>
      <c r="T604" s="79">
        <v>0</v>
      </c>
      <c r="U604" s="79">
        <v>0</v>
      </c>
      <c r="V604" s="79">
        <v>0</v>
      </c>
      <c r="W604" s="79">
        <v>0</v>
      </c>
      <c r="X604" s="90">
        <v>0</v>
      </c>
    </row>
    <row r="605" spans="1:24" hidden="1" x14ac:dyDescent="0.25">
      <c r="A605" s="80" t="str">
        <v>PENDIENTE</v>
      </c>
      <c r="B605" s="80" t="str">
        <v>Magdalena de Cao</v>
      </c>
      <c r="C605" s="80" t="str">
        <v>Agosto</v>
      </c>
      <c r="D605" s="81">
        <v>46223</v>
      </c>
      <c r="E605" s="79">
        <v>364.20239999999995</v>
      </c>
      <c r="F605" s="81">
        <v>46223</v>
      </c>
      <c r="G605" s="79" cm="1">
        <f t="array" ref="G605:X605">_xlfn._xlws.FILTER(Formulas!$C$2:$T$201, ISNUMBER(MATCH(Formulas!$B$2:$B$201, B605, 0)),0) * E605</f>
        <v>95.052824175824171</v>
      </c>
      <c r="H605" s="79">
        <v>240.13345054945052</v>
      </c>
      <c r="I605" s="79">
        <v>15.008340659340657</v>
      </c>
      <c r="J605" s="79">
        <v>15.008340659340657</v>
      </c>
      <c r="K605" s="79">
        <v>0</v>
      </c>
      <c r="L605" s="79">
        <v>0</v>
      </c>
      <c r="M605" s="79">
        <v>0</v>
      </c>
      <c r="N605" s="79">
        <v>0</v>
      </c>
      <c r="O605" s="79">
        <v>0</v>
      </c>
      <c r="P605" s="79">
        <v>0</v>
      </c>
      <c r="Q605" s="79">
        <v>0</v>
      </c>
      <c r="R605" s="79">
        <v>0</v>
      </c>
      <c r="S605" s="79">
        <v>0</v>
      </c>
      <c r="T605" s="79">
        <v>0</v>
      </c>
      <c r="U605" s="79">
        <v>0</v>
      </c>
      <c r="V605" s="79">
        <v>0</v>
      </c>
      <c r="W605" s="79">
        <v>0</v>
      </c>
      <c r="X605" s="90">
        <v>0</v>
      </c>
    </row>
    <row r="606" spans="1:24" hidden="1" x14ac:dyDescent="0.25">
      <c r="A606" s="80" t="str">
        <v>PENDIENTE</v>
      </c>
      <c r="B606" s="80" t="str">
        <v>Magdalena de Cao</v>
      </c>
      <c r="C606" s="80" t="str">
        <v>O.C.</v>
      </c>
      <c r="D606" s="81">
        <v>46245</v>
      </c>
      <c r="E606" s="79">
        <v>429.45533</v>
      </c>
      <c r="F606" s="81">
        <v>46246</v>
      </c>
      <c r="G606" s="79" cm="1">
        <f t="array" ref="G606:X606">_xlfn._xlws.FILTER(Formulas!$C$2:$T$201, ISNUMBER(MATCH(Formulas!$B$2:$B$201, B606, 0)),0) * E606</f>
        <v>112.08312184065935</v>
      </c>
      <c r="H606" s="79">
        <v>283.15736043956042</v>
      </c>
      <c r="I606" s="79">
        <v>17.697335027472526</v>
      </c>
      <c r="J606" s="79">
        <v>17.697335027472526</v>
      </c>
      <c r="K606" s="79">
        <v>0</v>
      </c>
      <c r="L606" s="79">
        <v>0</v>
      </c>
      <c r="M606" s="79">
        <v>0</v>
      </c>
      <c r="N606" s="79">
        <v>0</v>
      </c>
      <c r="O606" s="79">
        <v>0</v>
      </c>
      <c r="P606" s="79">
        <v>0</v>
      </c>
      <c r="Q606" s="79">
        <v>0</v>
      </c>
      <c r="R606" s="79">
        <v>0</v>
      </c>
      <c r="S606" s="79">
        <v>0</v>
      </c>
      <c r="T606" s="79">
        <v>0</v>
      </c>
      <c r="U606" s="79">
        <v>0</v>
      </c>
      <c r="V606" s="79">
        <v>0</v>
      </c>
      <c r="W606" s="79">
        <v>0</v>
      </c>
      <c r="X606" s="90">
        <v>0</v>
      </c>
    </row>
    <row r="607" spans="1:24" hidden="1" x14ac:dyDescent="0.25">
      <c r="A607" s="80" t="str">
        <v>PENDIENTE</v>
      </c>
      <c r="B607" s="80" t="str">
        <v>Magdalena de Cao</v>
      </c>
      <c r="C607" s="80" t="str">
        <v>Setiembre</v>
      </c>
      <c r="D607" s="81">
        <v>46254</v>
      </c>
      <c r="E607" s="79">
        <v>364.20239999999995</v>
      </c>
      <c r="F607" s="81">
        <v>46246</v>
      </c>
      <c r="G607" s="79" cm="1">
        <f t="array" ref="G607:X607">_xlfn._xlws.FILTER(Formulas!$C$2:$T$201, ISNUMBER(MATCH(Formulas!$B$2:$B$201, B607, 0)),0) * E607</f>
        <v>95.052824175824171</v>
      </c>
      <c r="H607" s="79">
        <v>240.13345054945052</v>
      </c>
      <c r="I607" s="79">
        <v>15.008340659340657</v>
      </c>
      <c r="J607" s="79">
        <v>15.008340659340657</v>
      </c>
      <c r="K607" s="79">
        <v>0</v>
      </c>
      <c r="L607" s="79">
        <v>0</v>
      </c>
      <c r="M607" s="79">
        <v>0</v>
      </c>
      <c r="N607" s="79">
        <v>0</v>
      </c>
      <c r="O607" s="79">
        <v>0</v>
      </c>
      <c r="P607" s="79">
        <v>0</v>
      </c>
      <c r="Q607" s="79">
        <v>0</v>
      </c>
      <c r="R607" s="79">
        <v>0</v>
      </c>
      <c r="S607" s="79">
        <v>0</v>
      </c>
      <c r="T607" s="79">
        <v>0</v>
      </c>
      <c r="U607" s="79">
        <v>0</v>
      </c>
      <c r="V607" s="79">
        <v>0</v>
      </c>
      <c r="W607" s="79">
        <v>0</v>
      </c>
      <c r="X607" s="90">
        <v>0</v>
      </c>
    </row>
    <row r="608" spans="1:24" hidden="1" x14ac:dyDescent="0.25">
      <c r="A608" s="80" t="str">
        <v>PENDIENTE</v>
      </c>
      <c r="B608" s="80" t="str">
        <v>Magdalena de Cao</v>
      </c>
      <c r="C608" s="80" t="str">
        <v>Octubre</v>
      </c>
      <c r="D608" s="81">
        <v>46286</v>
      </c>
      <c r="E608" s="79">
        <v>364.20239999999995</v>
      </c>
      <c r="F608" s="81">
        <v>46282</v>
      </c>
      <c r="G608" s="79" cm="1">
        <f t="array" ref="G608:X608">_xlfn._xlws.FILTER(Formulas!$C$2:$T$201, ISNUMBER(MATCH(Formulas!$B$2:$B$201, B608, 0)),0) * E608</f>
        <v>95.052824175824171</v>
      </c>
      <c r="H608" s="79">
        <v>240.13345054945052</v>
      </c>
      <c r="I608" s="79">
        <v>15.008340659340657</v>
      </c>
      <c r="J608" s="79">
        <v>15.008340659340657</v>
      </c>
      <c r="K608" s="79">
        <v>0</v>
      </c>
      <c r="L608" s="79">
        <v>0</v>
      </c>
      <c r="M608" s="79">
        <v>0</v>
      </c>
      <c r="N608" s="79">
        <v>0</v>
      </c>
      <c r="O608" s="79">
        <v>0</v>
      </c>
      <c r="P608" s="79">
        <v>0</v>
      </c>
      <c r="Q608" s="79">
        <v>0</v>
      </c>
      <c r="R608" s="79">
        <v>0</v>
      </c>
      <c r="S608" s="79">
        <v>0</v>
      </c>
      <c r="T608" s="79">
        <v>0</v>
      </c>
      <c r="U608" s="79">
        <v>0</v>
      </c>
      <c r="V608" s="79">
        <v>0</v>
      </c>
      <c r="W608" s="79">
        <v>0</v>
      </c>
      <c r="X608" s="90">
        <v>0</v>
      </c>
    </row>
    <row r="609" spans="1:24" hidden="1" x14ac:dyDescent="0.25">
      <c r="A609" s="80" t="str">
        <v>PENDIENTE</v>
      </c>
      <c r="B609" s="80" t="str">
        <v>Magdalena de Cao</v>
      </c>
      <c r="C609" s="80" t="str">
        <v>Noviembre</v>
      </c>
      <c r="D609" s="81">
        <v>46315</v>
      </c>
      <c r="E609" s="79">
        <v>364.20239999999995</v>
      </c>
      <c r="F609" s="81">
        <v>0</v>
      </c>
      <c r="G609" s="79" cm="1">
        <f t="array" ref="G609:X609">_xlfn._xlws.FILTER(Formulas!$C$2:$T$201, ISNUMBER(MATCH(Formulas!$B$2:$B$201, B609, 0)),0) * E609</f>
        <v>95.052824175824171</v>
      </c>
      <c r="H609" s="79">
        <v>240.13345054945052</v>
      </c>
      <c r="I609" s="79">
        <v>15.008340659340657</v>
      </c>
      <c r="J609" s="79">
        <v>15.008340659340657</v>
      </c>
      <c r="K609" s="79">
        <v>0</v>
      </c>
      <c r="L609" s="79">
        <v>0</v>
      </c>
      <c r="M609" s="79">
        <v>0</v>
      </c>
      <c r="N609" s="79">
        <v>0</v>
      </c>
      <c r="O609" s="79">
        <v>0</v>
      </c>
      <c r="P609" s="79">
        <v>0</v>
      </c>
      <c r="Q609" s="79">
        <v>0</v>
      </c>
      <c r="R609" s="79">
        <v>0</v>
      </c>
      <c r="S609" s="79">
        <v>0</v>
      </c>
      <c r="T609" s="79">
        <v>0</v>
      </c>
      <c r="U609" s="79">
        <v>0</v>
      </c>
      <c r="V609" s="79">
        <v>0</v>
      </c>
      <c r="W609" s="79">
        <v>0</v>
      </c>
      <c r="X609" s="90">
        <v>0</v>
      </c>
    </row>
    <row r="610" spans="1:24" hidden="1" x14ac:dyDescent="0.25">
      <c r="A610" s="80" t="str">
        <v>PENDIENTE</v>
      </c>
      <c r="B610" s="80" t="str">
        <v>Magdalena de Cao</v>
      </c>
      <c r="C610" s="80" t="str">
        <v>Diciembre</v>
      </c>
      <c r="D610" s="81">
        <v>46346</v>
      </c>
      <c r="E610" s="79">
        <v>364.20239999999995</v>
      </c>
      <c r="F610" s="81">
        <v>0</v>
      </c>
      <c r="G610" s="79" cm="1">
        <f t="array" ref="G610:X610">_xlfn._xlws.FILTER(Formulas!$C$2:$T$201, ISNUMBER(MATCH(Formulas!$B$2:$B$201, B610, 0)),0) * E610</f>
        <v>95.052824175824171</v>
      </c>
      <c r="H610" s="79">
        <v>240.13345054945052</v>
      </c>
      <c r="I610" s="79">
        <v>15.008340659340657</v>
      </c>
      <c r="J610" s="79">
        <v>15.008340659340657</v>
      </c>
      <c r="K610" s="79">
        <v>0</v>
      </c>
      <c r="L610" s="79">
        <v>0</v>
      </c>
      <c r="M610" s="79">
        <v>0</v>
      </c>
      <c r="N610" s="79">
        <v>0</v>
      </c>
      <c r="O610" s="79">
        <v>0</v>
      </c>
      <c r="P610" s="79">
        <v>0</v>
      </c>
      <c r="Q610" s="79">
        <v>0</v>
      </c>
      <c r="R610" s="79">
        <v>0</v>
      </c>
      <c r="S610" s="79">
        <v>0</v>
      </c>
      <c r="T610" s="79">
        <v>0</v>
      </c>
      <c r="U610" s="79">
        <v>0</v>
      </c>
      <c r="V610" s="79">
        <v>0</v>
      </c>
      <c r="W610" s="79">
        <v>0</v>
      </c>
      <c r="X610" s="90">
        <v>0</v>
      </c>
    </row>
    <row r="611" spans="1:24" hidden="1" x14ac:dyDescent="0.25">
      <c r="A611" s="80" t="str">
        <v>PENDIENTE</v>
      </c>
      <c r="B611" s="80" t="str">
        <v>Mancos</v>
      </c>
      <c r="C611" s="80" t="str">
        <v>Enero / Febrero</v>
      </c>
      <c r="D611" s="81">
        <v>46081</v>
      </c>
      <c r="E611" s="79">
        <v>850</v>
      </c>
      <c r="F611" s="80">
        <v>46066</v>
      </c>
      <c r="G611" s="79" cm="1">
        <f t="array" ref="G611:X611">_xlfn._xlws.FILTER(Formulas!$C$2:$T$201, ISNUMBER(MATCH(Formulas!$B$2:$B$201, B611, 0)),0) * E611</f>
        <v>170</v>
      </c>
      <c r="H611" s="79">
        <v>620</v>
      </c>
      <c r="I611" s="79">
        <v>60</v>
      </c>
      <c r="J611" s="79">
        <v>0</v>
      </c>
      <c r="K611" s="79">
        <v>0</v>
      </c>
      <c r="L611" s="79">
        <v>0</v>
      </c>
      <c r="M611" s="79">
        <v>0</v>
      </c>
      <c r="N611" s="79">
        <v>0</v>
      </c>
      <c r="O611" s="79">
        <v>0</v>
      </c>
      <c r="P611" s="79">
        <v>0</v>
      </c>
      <c r="Q611" s="79">
        <v>0</v>
      </c>
      <c r="R611" s="79">
        <v>0</v>
      </c>
      <c r="S611" s="79">
        <v>0</v>
      </c>
      <c r="T611" s="79">
        <v>0</v>
      </c>
      <c r="U611" s="79">
        <v>0</v>
      </c>
      <c r="V611" s="79">
        <v>0</v>
      </c>
      <c r="W611" s="79">
        <v>0</v>
      </c>
      <c r="X611" s="90">
        <v>0</v>
      </c>
    </row>
    <row r="612" spans="1:24" hidden="1" x14ac:dyDescent="0.25">
      <c r="A612" s="80" t="str">
        <v>PENDIENTE</v>
      </c>
      <c r="B612" s="80" t="str">
        <v>Mancos</v>
      </c>
      <c r="C612" s="80" t="str">
        <v>Marzo / Abril</v>
      </c>
      <c r="D612" s="81">
        <v>46082</v>
      </c>
      <c r="E612" s="79">
        <v>850</v>
      </c>
      <c r="F612" s="81">
        <v>46086</v>
      </c>
      <c r="G612" s="79" cm="1">
        <f t="array" ref="G612:X612">_xlfn._xlws.FILTER(Formulas!$C$2:$T$201, ISNUMBER(MATCH(Formulas!$B$2:$B$201, B612, 0)),0) * E612</f>
        <v>170</v>
      </c>
      <c r="H612" s="79">
        <v>620</v>
      </c>
      <c r="I612" s="79">
        <v>60</v>
      </c>
      <c r="J612" s="79">
        <v>0</v>
      </c>
      <c r="K612" s="79">
        <v>0</v>
      </c>
      <c r="L612" s="79">
        <v>0</v>
      </c>
      <c r="M612" s="79">
        <v>0</v>
      </c>
      <c r="N612" s="79">
        <v>0</v>
      </c>
      <c r="O612" s="79">
        <v>0</v>
      </c>
      <c r="P612" s="79">
        <v>0</v>
      </c>
      <c r="Q612" s="79">
        <v>0</v>
      </c>
      <c r="R612" s="79">
        <v>0</v>
      </c>
      <c r="S612" s="79">
        <v>0</v>
      </c>
      <c r="T612" s="79">
        <v>0</v>
      </c>
      <c r="U612" s="79">
        <v>0</v>
      </c>
      <c r="V612" s="79">
        <v>0</v>
      </c>
      <c r="W612" s="79">
        <v>0</v>
      </c>
      <c r="X612" s="90">
        <v>0</v>
      </c>
    </row>
    <row r="613" spans="1:24" hidden="1" x14ac:dyDescent="0.25">
      <c r="A613" s="80" t="str">
        <v>PENDIENTE</v>
      </c>
      <c r="B613" s="80" t="str">
        <v>Mancos</v>
      </c>
      <c r="C613" s="80" t="str">
        <v>Mayo / Junio</v>
      </c>
      <c r="D613" s="81">
        <v>46143</v>
      </c>
      <c r="E613" s="79">
        <v>850</v>
      </c>
      <c r="F613" s="81">
        <v>46160</v>
      </c>
      <c r="G613" s="79" cm="1">
        <f t="array" ref="G613:X613">_xlfn._xlws.FILTER(Formulas!$C$2:$T$201, ISNUMBER(MATCH(Formulas!$B$2:$B$201, B613, 0)),0) * E613</f>
        <v>170</v>
      </c>
      <c r="H613" s="79">
        <v>620</v>
      </c>
      <c r="I613" s="79">
        <v>60</v>
      </c>
      <c r="J613" s="79">
        <v>0</v>
      </c>
      <c r="K613" s="79">
        <v>0</v>
      </c>
      <c r="L613" s="79">
        <v>0</v>
      </c>
      <c r="M613" s="79">
        <v>0</v>
      </c>
      <c r="N613" s="79">
        <v>0</v>
      </c>
      <c r="O613" s="79">
        <v>0</v>
      </c>
      <c r="P613" s="79">
        <v>0</v>
      </c>
      <c r="Q613" s="79">
        <v>0</v>
      </c>
      <c r="R613" s="79">
        <v>0</v>
      </c>
      <c r="S613" s="79">
        <v>0</v>
      </c>
      <c r="T613" s="79">
        <v>0</v>
      </c>
      <c r="U613" s="79">
        <v>0</v>
      </c>
      <c r="V613" s="79">
        <v>0</v>
      </c>
      <c r="W613" s="79">
        <v>0</v>
      </c>
      <c r="X613" s="90">
        <v>0</v>
      </c>
    </row>
    <row r="614" spans="1:24" hidden="1" x14ac:dyDescent="0.25">
      <c r="A614" s="80" t="str">
        <v>PENDIENTE</v>
      </c>
      <c r="B614" s="80" t="str">
        <v>Mancos</v>
      </c>
      <c r="C614" s="80" t="str">
        <v>Julio</v>
      </c>
      <c r="D614" s="81">
        <v>46143</v>
      </c>
      <c r="E614" s="79">
        <v>425</v>
      </c>
      <c r="F614" s="81">
        <v>46160</v>
      </c>
      <c r="G614" s="79" cm="1">
        <f t="array" ref="G614:X614">_xlfn._xlws.FILTER(Formulas!$C$2:$T$201, ISNUMBER(MATCH(Formulas!$B$2:$B$201, B614, 0)),0) * E614</f>
        <v>85</v>
      </c>
      <c r="H614" s="79">
        <v>310</v>
      </c>
      <c r="I614" s="79">
        <v>30</v>
      </c>
      <c r="J614" s="79">
        <v>0</v>
      </c>
      <c r="K614" s="79">
        <v>0</v>
      </c>
      <c r="L614" s="79">
        <v>0</v>
      </c>
      <c r="M614" s="79">
        <v>0</v>
      </c>
      <c r="N614" s="79">
        <v>0</v>
      </c>
      <c r="O614" s="79">
        <v>0</v>
      </c>
      <c r="P614" s="79">
        <v>0</v>
      </c>
      <c r="Q614" s="79">
        <v>0</v>
      </c>
      <c r="R614" s="79">
        <v>0</v>
      </c>
      <c r="S614" s="79">
        <v>0</v>
      </c>
      <c r="T614" s="79">
        <v>0</v>
      </c>
      <c r="U614" s="79">
        <v>0</v>
      </c>
      <c r="V614" s="79">
        <v>0</v>
      </c>
      <c r="W614" s="79">
        <v>0</v>
      </c>
      <c r="X614" s="90">
        <v>0</v>
      </c>
    </row>
    <row r="615" spans="1:24" hidden="1" x14ac:dyDescent="0.25">
      <c r="A615" s="80" t="str">
        <v>PENDIENTE</v>
      </c>
      <c r="B615" s="80" t="str">
        <v>Mancos</v>
      </c>
      <c r="C615" s="80" t="str">
        <v>Agosto</v>
      </c>
      <c r="D615" s="81">
        <v>46241</v>
      </c>
      <c r="E615" s="79">
        <v>425</v>
      </c>
      <c r="F615" s="81">
        <v>46240</v>
      </c>
      <c r="G615" s="79" cm="1">
        <f t="array" ref="G615:X615">_xlfn._xlws.FILTER(Formulas!$C$2:$T$201, ISNUMBER(MATCH(Formulas!$B$2:$B$201, B615, 0)),0) * E615</f>
        <v>85</v>
      </c>
      <c r="H615" s="79">
        <v>310</v>
      </c>
      <c r="I615" s="79">
        <v>30</v>
      </c>
      <c r="J615" s="79">
        <v>0</v>
      </c>
      <c r="K615" s="79">
        <v>0</v>
      </c>
      <c r="L615" s="79">
        <v>0</v>
      </c>
      <c r="M615" s="79">
        <v>0</v>
      </c>
      <c r="N615" s="79">
        <v>0</v>
      </c>
      <c r="O615" s="79">
        <v>0</v>
      </c>
      <c r="P615" s="79">
        <v>0</v>
      </c>
      <c r="Q615" s="79">
        <v>0</v>
      </c>
      <c r="R615" s="79">
        <v>0</v>
      </c>
      <c r="S615" s="79">
        <v>0</v>
      </c>
      <c r="T615" s="79">
        <v>0</v>
      </c>
      <c r="U615" s="79">
        <v>0</v>
      </c>
      <c r="V615" s="79">
        <v>0</v>
      </c>
      <c r="W615" s="79">
        <v>0</v>
      </c>
      <c r="X615" s="90">
        <v>0</v>
      </c>
    </row>
    <row r="616" spans="1:24" hidden="1" x14ac:dyDescent="0.25">
      <c r="A616" s="80" t="str">
        <v>PENDIENTE</v>
      </c>
      <c r="B616" s="80" t="str">
        <v>Mancos</v>
      </c>
      <c r="C616" s="80" t="str">
        <v>Septiembre / Octubre</v>
      </c>
      <c r="D616" s="81">
        <v>46241</v>
      </c>
      <c r="E616" s="79">
        <v>850</v>
      </c>
      <c r="F616" s="81">
        <v>46240</v>
      </c>
      <c r="G616" s="79" cm="1">
        <f t="array" ref="G616:X616">_xlfn._xlws.FILTER(Formulas!$C$2:$T$201, ISNUMBER(MATCH(Formulas!$B$2:$B$201, B616, 0)),0) * E616</f>
        <v>170</v>
      </c>
      <c r="H616" s="79">
        <v>620</v>
      </c>
      <c r="I616" s="79">
        <v>60</v>
      </c>
      <c r="J616" s="79">
        <v>0</v>
      </c>
      <c r="K616" s="79">
        <v>0</v>
      </c>
      <c r="L616" s="79">
        <v>0</v>
      </c>
      <c r="M616" s="79">
        <v>0</v>
      </c>
      <c r="N616" s="79">
        <v>0</v>
      </c>
      <c r="O616" s="79">
        <v>0</v>
      </c>
      <c r="P616" s="79">
        <v>0</v>
      </c>
      <c r="Q616" s="79">
        <v>0</v>
      </c>
      <c r="R616" s="79">
        <v>0</v>
      </c>
      <c r="S616" s="79">
        <v>0</v>
      </c>
      <c r="T616" s="79">
        <v>0</v>
      </c>
      <c r="U616" s="79">
        <v>0</v>
      </c>
      <c r="V616" s="79">
        <v>0</v>
      </c>
      <c r="W616" s="79">
        <v>0</v>
      </c>
      <c r="X616" s="90">
        <v>0</v>
      </c>
    </row>
    <row r="617" spans="1:24" hidden="1" x14ac:dyDescent="0.25">
      <c r="A617" s="80" t="str">
        <v>PENDIENTE</v>
      </c>
      <c r="B617" s="80" t="str">
        <v>Mancos</v>
      </c>
      <c r="C617" s="80" t="str">
        <v>Noviembre / Diciembre</v>
      </c>
      <c r="D617" s="81">
        <v>46327</v>
      </c>
      <c r="E617" s="79">
        <v>850</v>
      </c>
      <c r="F617" s="81">
        <v>0</v>
      </c>
      <c r="G617" s="79" cm="1">
        <f t="array" ref="G617:X617">_xlfn._xlws.FILTER(Formulas!$C$2:$T$201, ISNUMBER(MATCH(Formulas!$B$2:$B$201, B617, 0)),0) * E617</f>
        <v>170</v>
      </c>
      <c r="H617" s="79">
        <v>620</v>
      </c>
      <c r="I617" s="79">
        <v>60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90">
        <v>0</v>
      </c>
    </row>
    <row r="618" spans="1:24" hidden="1" x14ac:dyDescent="0.25">
      <c r="A618" s="80" t="str">
        <v>PENDIENTE</v>
      </c>
      <c r="B618" s="80" t="str">
        <v>Manseriche</v>
      </c>
      <c r="C618" s="80" t="str">
        <v>Enero</v>
      </c>
      <c r="D618" s="81">
        <v>46097</v>
      </c>
      <c r="E618" s="79">
        <v>1441.0309999999999</v>
      </c>
      <c r="F618" s="81">
        <v>46100</v>
      </c>
      <c r="G618" s="79" cm="1">
        <f t="array" ref="G618:X618">_xlfn._xlws.FILTER(Formulas!$C$2:$T$201, ISNUMBER(MATCH(Formulas!$B$2:$B$201, B618, 0)),0) * E618</f>
        <v>244.83116689999997</v>
      </c>
      <c r="H618" s="79">
        <v>519.20346930000005</v>
      </c>
      <c r="I618" s="79">
        <v>57.208930699999996</v>
      </c>
      <c r="J618" s="79">
        <v>57.208930699999996</v>
      </c>
      <c r="K618" s="79">
        <v>0</v>
      </c>
      <c r="L618" s="79">
        <v>0</v>
      </c>
      <c r="M618" s="79">
        <v>58.217652399999999</v>
      </c>
      <c r="N618" s="79">
        <v>0</v>
      </c>
      <c r="O618" s="79">
        <v>504.36084999999997</v>
      </c>
      <c r="P618" s="79">
        <v>0</v>
      </c>
      <c r="Q618" s="79">
        <v>0</v>
      </c>
      <c r="R618" s="79">
        <v>0</v>
      </c>
      <c r="S618" s="79">
        <v>0</v>
      </c>
      <c r="T618" s="79">
        <v>0</v>
      </c>
      <c r="U618" s="79">
        <v>0</v>
      </c>
      <c r="V618" s="79">
        <v>0</v>
      </c>
      <c r="W618" s="79">
        <v>0</v>
      </c>
      <c r="X618" s="90">
        <v>0</v>
      </c>
    </row>
    <row r="619" spans="1:24" hidden="1" x14ac:dyDescent="0.25">
      <c r="A619" s="80" t="str">
        <v>PENDIENTE</v>
      </c>
      <c r="B619" s="80" t="str">
        <v>Manseriche</v>
      </c>
      <c r="C619" s="80" t="str">
        <v>Febrero</v>
      </c>
      <c r="D619" s="81">
        <v>46097</v>
      </c>
      <c r="E619" s="79">
        <v>1441.0309999999999</v>
      </c>
      <c r="F619" s="81">
        <v>46100</v>
      </c>
      <c r="G619" s="79" cm="1">
        <f t="array" ref="G619:X619">_xlfn._xlws.FILTER(Formulas!$C$2:$T$201, ISNUMBER(MATCH(Formulas!$B$2:$B$201, B619, 0)),0) * E619</f>
        <v>244.83116689999997</v>
      </c>
      <c r="H619" s="79">
        <v>519.20346930000005</v>
      </c>
      <c r="I619" s="79">
        <v>57.208930699999996</v>
      </c>
      <c r="J619" s="79">
        <v>57.208930699999996</v>
      </c>
      <c r="K619" s="79">
        <v>0</v>
      </c>
      <c r="L619" s="79">
        <v>0</v>
      </c>
      <c r="M619" s="79">
        <v>58.217652399999999</v>
      </c>
      <c r="N619" s="79">
        <v>0</v>
      </c>
      <c r="O619" s="79">
        <v>504.36084999999997</v>
      </c>
      <c r="P619" s="79">
        <v>0</v>
      </c>
      <c r="Q619" s="79">
        <v>0</v>
      </c>
      <c r="R619" s="79">
        <v>0</v>
      </c>
      <c r="S619" s="79">
        <v>0</v>
      </c>
      <c r="T619" s="79">
        <v>0</v>
      </c>
      <c r="U619" s="79">
        <v>0</v>
      </c>
      <c r="V619" s="79">
        <v>0</v>
      </c>
      <c r="W619" s="79">
        <v>0</v>
      </c>
      <c r="X619" s="90">
        <v>0</v>
      </c>
    </row>
    <row r="620" spans="1:24" hidden="1" x14ac:dyDescent="0.25">
      <c r="A620" s="80" t="str">
        <v>PENDIENTE</v>
      </c>
      <c r="B620" s="80" t="str">
        <v>Manseriche</v>
      </c>
      <c r="C620" s="80" t="str">
        <v>Marzo</v>
      </c>
      <c r="D620" s="81">
        <v>46097</v>
      </c>
      <c r="E620" s="79">
        <v>1441.0309999999999</v>
      </c>
      <c r="F620" s="81">
        <v>46100</v>
      </c>
      <c r="G620" s="79" cm="1">
        <f t="array" ref="G620:X620">_xlfn._xlws.FILTER(Formulas!$C$2:$T$201, ISNUMBER(MATCH(Formulas!$B$2:$B$201, B620, 0)),0) * E620</f>
        <v>244.83116689999997</v>
      </c>
      <c r="H620" s="79">
        <v>519.20346930000005</v>
      </c>
      <c r="I620" s="79">
        <v>57.208930699999996</v>
      </c>
      <c r="J620" s="79">
        <v>57.208930699999996</v>
      </c>
      <c r="K620" s="79">
        <v>0</v>
      </c>
      <c r="L620" s="79">
        <v>0</v>
      </c>
      <c r="M620" s="79">
        <v>58.217652399999999</v>
      </c>
      <c r="N620" s="79">
        <v>0</v>
      </c>
      <c r="O620" s="79">
        <v>504.36084999999997</v>
      </c>
      <c r="P620" s="79">
        <v>0</v>
      </c>
      <c r="Q620" s="79">
        <v>0</v>
      </c>
      <c r="R620" s="79">
        <v>0</v>
      </c>
      <c r="S620" s="79">
        <v>0</v>
      </c>
      <c r="T620" s="79">
        <v>0</v>
      </c>
      <c r="U620" s="79">
        <v>0</v>
      </c>
      <c r="V620" s="79">
        <v>0</v>
      </c>
      <c r="W620" s="79">
        <v>0</v>
      </c>
      <c r="X620" s="90">
        <v>0</v>
      </c>
    </row>
    <row r="621" spans="1:24" hidden="1" x14ac:dyDescent="0.25">
      <c r="A621" s="80" t="str">
        <v>PENDIENTE</v>
      </c>
      <c r="B621" s="80" t="str">
        <v>Manseriche</v>
      </c>
      <c r="C621" s="80" t="str">
        <v>Abril</v>
      </c>
      <c r="D621" s="81">
        <v>46097</v>
      </c>
      <c r="E621" s="79">
        <v>1441.0309999999999</v>
      </c>
      <c r="F621" s="81">
        <v>46100</v>
      </c>
      <c r="G621" s="79" cm="1">
        <f t="array" ref="G621:X621">_xlfn._xlws.FILTER(Formulas!$C$2:$T$201, ISNUMBER(MATCH(Formulas!$B$2:$B$201, B621, 0)),0) * E621</f>
        <v>244.83116689999997</v>
      </c>
      <c r="H621" s="79">
        <v>519.20346930000005</v>
      </c>
      <c r="I621" s="79">
        <v>57.208930699999996</v>
      </c>
      <c r="J621" s="79">
        <v>57.208930699999996</v>
      </c>
      <c r="K621" s="79">
        <v>0</v>
      </c>
      <c r="L621" s="79">
        <v>0</v>
      </c>
      <c r="M621" s="79">
        <v>58.217652399999999</v>
      </c>
      <c r="N621" s="79">
        <v>0</v>
      </c>
      <c r="O621" s="79">
        <v>504.36084999999997</v>
      </c>
      <c r="P621" s="79">
        <v>0</v>
      </c>
      <c r="Q621" s="79">
        <v>0</v>
      </c>
      <c r="R621" s="79">
        <v>0</v>
      </c>
      <c r="S621" s="79">
        <v>0</v>
      </c>
      <c r="T621" s="79">
        <v>0</v>
      </c>
      <c r="U621" s="79">
        <v>0</v>
      </c>
      <c r="V621" s="79">
        <v>0</v>
      </c>
      <c r="W621" s="79">
        <v>0</v>
      </c>
      <c r="X621" s="90">
        <v>0</v>
      </c>
    </row>
    <row r="622" spans="1:24" hidden="1" x14ac:dyDescent="0.25">
      <c r="A622" s="80" t="str">
        <v>PENDIENTE</v>
      </c>
      <c r="B622" s="80" t="str">
        <v>Manseriche</v>
      </c>
      <c r="C622" s="80" t="str">
        <v>Mayo</v>
      </c>
      <c r="D622" s="81">
        <v>46168</v>
      </c>
      <c r="E622" s="79">
        <v>1441.0309999999999</v>
      </c>
      <c r="F622" s="80">
        <v>46146</v>
      </c>
      <c r="G622" s="79" cm="1">
        <f t="array" ref="G622:X622">_xlfn._xlws.FILTER(Formulas!$C$2:$T$201, ISNUMBER(MATCH(Formulas!$B$2:$B$201, B622, 0)),0) * E622</f>
        <v>244.83116689999997</v>
      </c>
      <c r="H622" s="79">
        <v>519.20346930000005</v>
      </c>
      <c r="I622" s="79">
        <v>57.208930699999996</v>
      </c>
      <c r="J622" s="79">
        <v>57.208930699999996</v>
      </c>
      <c r="K622" s="79">
        <v>0</v>
      </c>
      <c r="L622" s="79">
        <v>0</v>
      </c>
      <c r="M622" s="79">
        <v>58.217652399999999</v>
      </c>
      <c r="N622" s="79">
        <v>0</v>
      </c>
      <c r="O622" s="79">
        <v>504.36084999999997</v>
      </c>
      <c r="P622" s="79">
        <v>0</v>
      </c>
      <c r="Q622" s="79">
        <v>0</v>
      </c>
      <c r="R622" s="79">
        <v>0</v>
      </c>
      <c r="S622" s="79">
        <v>0</v>
      </c>
      <c r="T622" s="79">
        <v>0</v>
      </c>
      <c r="U622" s="79">
        <v>0</v>
      </c>
      <c r="V622" s="79">
        <v>0</v>
      </c>
      <c r="W622" s="79">
        <v>0</v>
      </c>
      <c r="X622" s="90">
        <v>0</v>
      </c>
    </row>
    <row r="623" spans="1:24" hidden="1" x14ac:dyDescent="0.25">
      <c r="A623" s="80" t="str">
        <v>PENDIENTE</v>
      </c>
      <c r="B623" s="80" t="str">
        <v>Manseriche</v>
      </c>
      <c r="C623" s="80" t="str">
        <v>Junio</v>
      </c>
      <c r="D623" s="81">
        <v>46168</v>
      </c>
      <c r="E623" s="79">
        <v>1441.0309999999999</v>
      </c>
      <c r="F623" s="80">
        <v>46150</v>
      </c>
      <c r="G623" s="79" cm="1">
        <f t="array" ref="G623:X623">_xlfn._xlws.FILTER(Formulas!$C$2:$T$201, ISNUMBER(MATCH(Formulas!$B$2:$B$201, B623, 0)),0) * E623</f>
        <v>244.83116689999997</v>
      </c>
      <c r="H623" s="79">
        <v>519.20346930000005</v>
      </c>
      <c r="I623" s="79">
        <v>57.208930699999996</v>
      </c>
      <c r="J623" s="79">
        <v>57.208930699999996</v>
      </c>
      <c r="K623" s="79">
        <v>0</v>
      </c>
      <c r="L623" s="79">
        <v>0</v>
      </c>
      <c r="M623" s="79">
        <v>58.217652399999999</v>
      </c>
      <c r="N623" s="79">
        <v>0</v>
      </c>
      <c r="O623" s="79">
        <v>504.36084999999997</v>
      </c>
      <c r="P623" s="79">
        <v>0</v>
      </c>
      <c r="Q623" s="79">
        <v>0</v>
      </c>
      <c r="R623" s="79">
        <v>0</v>
      </c>
      <c r="S623" s="79">
        <v>0</v>
      </c>
      <c r="T623" s="79">
        <v>0</v>
      </c>
      <c r="U623" s="79">
        <v>0</v>
      </c>
      <c r="V623" s="79">
        <v>0</v>
      </c>
      <c r="W623" s="79">
        <v>0</v>
      </c>
      <c r="X623" s="90">
        <v>0</v>
      </c>
    </row>
    <row r="624" spans="1:24" hidden="1" x14ac:dyDescent="0.25">
      <c r="A624" s="80" t="str">
        <v>PENDIENTE</v>
      </c>
      <c r="B624" s="80" t="str">
        <v>Manseriche</v>
      </c>
      <c r="C624" s="80" t="str">
        <v>Julio</v>
      </c>
      <c r="D624" s="81">
        <v>46196</v>
      </c>
      <c r="E624" s="79">
        <v>1441.0309999999999</v>
      </c>
      <c r="F624" s="80">
        <v>46182</v>
      </c>
      <c r="G624" s="79" cm="1">
        <f t="array" ref="G624:X624">_xlfn._xlws.FILTER(Formulas!$C$2:$T$201, ISNUMBER(MATCH(Formulas!$B$2:$B$201, B624, 0)),0) * E624</f>
        <v>244.83116689999997</v>
      </c>
      <c r="H624" s="79">
        <v>519.20346930000005</v>
      </c>
      <c r="I624" s="79">
        <v>57.208930699999996</v>
      </c>
      <c r="J624" s="79">
        <v>57.208930699999996</v>
      </c>
      <c r="K624" s="79">
        <v>0</v>
      </c>
      <c r="L624" s="79">
        <v>0</v>
      </c>
      <c r="M624" s="79">
        <v>58.217652399999999</v>
      </c>
      <c r="N624" s="79">
        <v>0</v>
      </c>
      <c r="O624" s="79">
        <v>504.36084999999997</v>
      </c>
      <c r="P624" s="79">
        <v>0</v>
      </c>
      <c r="Q624" s="79">
        <v>0</v>
      </c>
      <c r="R624" s="79">
        <v>0</v>
      </c>
      <c r="S624" s="79">
        <v>0</v>
      </c>
      <c r="T624" s="79">
        <v>0</v>
      </c>
      <c r="U624" s="79">
        <v>0</v>
      </c>
      <c r="V624" s="79">
        <v>0</v>
      </c>
      <c r="W624" s="79">
        <v>0</v>
      </c>
      <c r="X624" s="90">
        <v>0</v>
      </c>
    </row>
    <row r="625" spans="1:24" hidden="1" x14ac:dyDescent="0.25">
      <c r="A625" s="80" t="str">
        <v>PENDIENTE</v>
      </c>
      <c r="B625" s="80" t="str">
        <v>Manseriche</v>
      </c>
      <c r="C625" s="80" t="str">
        <v>Agosto</v>
      </c>
      <c r="D625" s="81">
        <v>46227</v>
      </c>
      <c r="E625" s="79">
        <v>1441.0309999999999</v>
      </c>
      <c r="F625" s="81">
        <v>46226</v>
      </c>
      <c r="G625" s="79" cm="1">
        <f t="array" ref="G625:X625">_xlfn._xlws.FILTER(Formulas!$C$2:$T$201, ISNUMBER(MATCH(Formulas!$B$2:$B$201, B625, 0)),0) * E625</f>
        <v>244.83116689999997</v>
      </c>
      <c r="H625" s="79">
        <v>519.20346930000005</v>
      </c>
      <c r="I625" s="79">
        <v>57.208930699999996</v>
      </c>
      <c r="J625" s="79">
        <v>57.208930699999996</v>
      </c>
      <c r="K625" s="79">
        <v>0</v>
      </c>
      <c r="L625" s="79">
        <v>0</v>
      </c>
      <c r="M625" s="79">
        <v>58.217652399999999</v>
      </c>
      <c r="N625" s="79">
        <v>0</v>
      </c>
      <c r="O625" s="79">
        <v>504.36084999999997</v>
      </c>
      <c r="P625" s="79">
        <v>0</v>
      </c>
      <c r="Q625" s="79">
        <v>0</v>
      </c>
      <c r="R625" s="79">
        <v>0</v>
      </c>
      <c r="S625" s="79">
        <v>0</v>
      </c>
      <c r="T625" s="79">
        <v>0</v>
      </c>
      <c r="U625" s="79">
        <v>0</v>
      </c>
      <c r="V625" s="79">
        <v>0</v>
      </c>
      <c r="W625" s="79">
        <v>0</v>
      </c>
      <c r="X625" s="90">
        <v>0</v>
      </c>
    </row>
    <row r="626" spans="1:24" hidden="1" x14ac:dyDescent="0.25">
      <c r="A626" s="80" t="str">
        <v>PENDIENTE</v>
      </c>
      <c r="B626" s="80" t="str">
        <v>Manseriche</v>
      </c>
      <c r="C626" s="80" t="str">
        <v>O.C.</v>
      </c>
      <c r="D626" s="81">
        <v>46259</v>
      </c>
      <c r="E626" s="79">
        <v>720</v>
      </c>
      <c r="F626" s="81">
        <v>46257</v>
      </c>
      <c r="G626" s="79" cm="1">
        <f t="array" ref="G626:X626">_xlfn._xlws.FILTER(Formulas!$C$2:$T$201, ISNUMBER(MATCH(Formulas!$B$2:$B$201, B626, 0)),0) * E626</f>
        <v>122.328</v>
      </c>
      <c r="H626" s="79">
        <v>259.416</v>
      </c>
      <c r="I626" s="79">
        <v>28.584</v>
      </c>
      <c r="J626" s="79">
        <v>28.584</v>
      </c>
      <c r="K626" s="79">
        <v>0</v>
      </c>
      <c r="L626" s="79">
        <v>0</v>
      </c>
      <c r="M626" s="79">
        <v>29.087999999999997</v>
      </c>
      <c r="N626" s="79">
        <v>0</v>
      </c>
      <c r="O626" s="79">
        <v>251.99999999999997</v>
      </c>
      <c r="P626" s="79">
        <v>0</v>
      </c>
      <c r="Q626" s="79">
        <v>0</v>
      </c>
      <c r="R626" s="79">
        <v>0</v>
      </c>
      <c r="S626" s="79">
        <v>0</v>
      </c>
      <c r="T626" s="79">
        <v>0</v>
      </c>
      <c r="U626" s="79">
        <v>0</v>
      </c>
      <c r="V626" s="79">
        <v>0</v>
      </c>
      <c r="W626" s="79">
        <v>0</v>
      </c>
      <c r="X626" s="90">
        <v>0</v>
      </c>
    </row>
    <row r="627" spans="1:24" hidden="1" x14ac:dyDescent="0.25">
      <c r="A627" s="80" t="str">
        <v>PENDIENTE</v>
      </c>
      <c r="B627" s="80" t="str">
        <v>Manseriche</v>
      </c>
      <c r="C627" s="80" t="str">
        <v>Setiembre</v>
      </c>
      <c r="D627" s="81">
        <v>46260</v>
      </c>
      <c r="E627" s="79">
        <v>1441.0309999999999</v>
      </c>
      <c r="F627" s="81">
        <v>46257</v>
      </c>
      <c r="G627" s="79" cm="1">
        <f t="array" ref="G627:X627">_xlfn._xlws.FILTER(Formulas!$C$2:$T$201, ISNUMBER(MATCH(Formulas!$B$2:$B$201, B627, 0)),0) * E627</f>
        <v>244.83116689999997</v>
      </c>
      <c r="H627" s="79">
        <v>519.20346930000005</v>
      </c>
      <c r="I627" s="79">
        <v>57.208930699999996</v>
      </c>
      <c r="J627" s="79">
        <v>57.208930699999996</v>
      </c>
      <c r="K627" s="79">
        <v>0</v>
      </c>
      <c r="L627" s="79">
        <v>0</v>
      </c>
      <c r="M627" s="79">
        <v>58.217652399999999</v>
      </c>
      <c r="N627" s="79">
        <v>0</v>
      </c>
      <c r="O627" s="79">
        <v>504.36084999999997</v>
      </c>
      <c r="P627" s="79">
        <v>0</v>
      </c>
      <c r="Q627" s="79">
        <v>0</v>
      </c>
      <c r="R627" s="79">
        <v>0</v>
      </c>
      <c r="S627" s="79">
        <v>0</v>
      </c>
      <c r="T627" s="79">
        <v>0</v>
      </c>
      <c r="U627" s="79">
        <v>0</v>
      </c>
      <c r="V627" s="79">
        <v>0</v>
      </c>
      <c r="W627" s="79">
        <v>0</v>
      </c>
      <c r="X627" s="90">
        <v>0</v>
      </c>
    </row>
    <row r="628" spans="1:24" hidden="1" x14ac:dyDescent="0.25">
      <c r="A628" s="80" t="str">
        <v>PENDIENTE</v>
      </c>
      <c r="B628" s="80" t="str">
        <v>Manseriche</v>
      </c>
      <c r="C628" s="80" t="str">
        <v>Octubre</v>
      </c>
      <c r="D628" s="81">
        <v>46290</v>
      </c>
      <c r="E628" s="79">
        <v>1441.0309999999999</v>
      </c>
      <c r="F628" s="81">
        <v>0</v>
      </c>
      <c r="G628" s="79" cm="1">
        <f t="array" ref="G628:X628">_xlfn._xlws.FILTER(Formulas!$C$2:$T$201, ISNUMBER(MATCH(Formulas!$B$2:$B$201, B628, 0)),0) * E628</f>
        <v>244.83116689999997</v>
      </c>
      <c r="H628" s="79">
        <v>519.20346930000005</v>
      </c>
      <c r="I628" s="79">
        <v>57.208930699999996</v>
      </c>
      <c r="J628" s="79">
        <v>57.208930699999996</v>
      </c>
      <c r="K628" s="79">
        <v>0</v>
      </c>
      <c r="L628" s="79">
        <v>0</v>
      </c>
      <c r="M628" s="79">
        <v>58.217652399999999</v>
      </c>
      <c r="N628" s="79">
        <v>0</v>
      </c>
      <c r="O628" s="79">
        <v>504.36084999999997</v>
      </c>
      <c r="P628" s="79">
        <v>0</v>
      </c>
      <c r="Q628" s="79">
        <v>0</v>
      </c>
      <c r="R628" s="79">
        <v>0</v>
      </c>
      <c r="S628" s="79">
        <v>0</v>
      </c>
      <c r="T628" s="79">
        <v>0</v>
      </c>
      <c r="U628" s="79">
        <v>0</v>
      </c>
      <c r="V628" s="79">
        <v>0</v>
      </c>
      <c r="W628" s="79">
        <v>0</v>
      </c>
      <c r="X628" s="90">
        <v>0</v>
      </c>
    </row>
    <row r="629" spans="1:24" hidden="1" x14ac:dyDescent="0.25">
      <c r="A629" s="80" t="str">
        <v>PENDIENTE</v>
      </c>
      <c r="B629" s="80" t="str">
        <v>Manseriche</v>
      </c>
      <c r="C629" s="80" t="str">
        <v>Noviembre</v>
      </c>
      <c r="D629" s="81">
        <v>46322</v>
      </c>
      <c r="E629" s="79">
        <v>1441.0309999999999</v>
      </c>
      <c r="F629" s="81">
        <v>0</v>
      </c>
      <c r="G629" s="79" cm="1">
        <f t="array" ref="G629:X629">_xlfn._xlws.FILTER(Formulas!$C$2:$T$201, ISNUMBER(MATCH(Formulas!$B$2:$B$201, B629, 0)),0) * E629</f>
        <v>244.83116689999997</v>
      </c>
      <c r="H629" s="79">
        <v>519.20346930000005</v>
      </c>
      <c r="I629" s="79">
        <v>57.208930699999996</v>
      </c>
      <c r="J629" s="79">
        <v>57.208930699999996</v>
      </c>
      <c r="K629" s="79">
        <v>0</v>
      </c>
      <c r="L629" s="79">
        <v>0</v>
      </c>
      <c r="M629" s="79">
        <v>58.217652399999999</v>
      </c>
      <c r="N629" s="79">
        <v>0</v>
      </c>
      <c r="O629" s="79">
        <v>504.36084999999997</v>
      </c>
      <c r="P629" s="79">
        <v>0</v>
      </c>
      <c r="Q629" s="79">
        <v>0</v>
      </c>
      <c r="R629" s="79">
        <v>0</v>
      </c>
      <c r="S629" s="79">
        <v>0</v>
      </c>
      <c r="T629" s="79">
        <v>0</v>
      </c>
      <c r="U629" s="79">
        <v>0</v>
      </c>
      <c r="V629" s="79">
        <v>0</v>
      </c>
      <c r="W629" s="79">
        <v>0</v>
      </c>
      <c r="X629" s="90">
        <v>0</v>
      </c>
    </row>
    <row r="630" spans="1:24" hidden="1" x14ac:dyDescent="0.25">
      <c r="A630" s="80" t="str">
        <v>PENDIENTE</v>
      </c>
      <c r="B630" s="80" t="str">
        <v>Manseriche</v>
      </c>
      <c r="C630" s="80" t="str">
        <v>Diciembre</v>
      </c>
      <c r="D630" s="81">
        <v>46351</v>
      </c>
      <c r="E630" s="79">
        <v>1441.0309999999999</v>
      </c>
      <c r="F630" s="81">
        <v>0</v>
      </c>
      <c r="G630" s="79" cm="1">
        <f t="array" ref="G630:X630">_xlfn._xlws.FILTER(Formulas!$C$2:$T$201, ISNUMBER(MATCH(Formulas!$B$2:$B$201, B630, 0)),0) * E630</f>
        <v>244.83116689999997</v>
      </c>
      <c r="H630" s="79">
        <v>519.20346930000005</v>
      </c>
      <c r="I630" s="79">
        <v>57.208930699999996</v>
      </c>
      <c r="J630" s="79">
        <v>57.208930699999996</v>
      </c>
      <c r="K630" s="79">
        <v>0</v>
      </c>
      <c r="L630" s="79">
        <v>0</v>
      </c>
      <c r="M630" s="79">
        <v>58.217652399999999</v>
      </c>
      <c r="N630" s="79">
        <v>0</v>
      </c>
      <c r="O630" s="79">
        <v>504.36084999999997</v>
      </c>
      <c r="P630" s="79">
        <v>0</v>
      </c>
      <c r="Q630" s="79">
        <v>0</v>
      </c>
      <c r="R630" s="79">
        <v>0</v>
      </c>
      <c r="S630" s="79">
        <v>0</v>
      </c>
      <c r="T630" s="79">
        <v>0</v>
      </c>
      <c r="U630" s="79">
        <v>0</v>
      </c>
      <c r="V630" s="79">
        <v>0</v>
      </c>
      <c r="W630" s="79">
        <v>0</v>
      </c>
      <c r="X630" s="90">
        <v>0</v>
      </c>
    </row>
    <row r="631" spans="1:24" hidden="1" x14ac:dyDescent="0.25">
      <c r="A631" s="80" t="str">
        <v>FACOIMPEC</v>
      </c>
      <c r="B631" s="80" t="str">
        <v>Marcabal</v>
      </c>
      <c r="C631" s="80" t="str">
        <v>O.C.</v>
      </c>
      <c r="D631" s="81">
        <v>46022</v>
      </c>
      <c r="E631" s="79">
        <v>3980.4339999999997</v>
      </c>
      <c r="F631" s="81">
        <v>46021</v>
      </c>
      <c r="G631" s="79" cm="1">
        <f t="array" ref="G631:X631">_xlfn._xlws.FILTER(Formulas!$C$2:$T$201, ISNUMBER(MATCH(Formulas!$B$2:$B$201, B631, 0)),0) * E631</f>
        <v>388.09231499999999</v>
      </c>
      <c r="H631" s="79">
        <v>1681.7333649999998</v>
      </c>
      <c r="I631" s="79">
        <v>0</v>
      </c>
      <c r="J631" s="79">
        <v>158.81931659999998</v>
      </c>
      <c r="K631" s="79">
        <v>0</v>
      </c>
      <c r="L631" s="79">
        <v>0</v>
      </c>
      <c r="M631" s="79">
        <v>158.81931659999998</v>
      </c>
      <c r="N631" s="79">
        <v>0</v>
      </c>
      <c r="O631" s="79">
        <v>1392.7538565999998</v>
      </c>
      <c r="P631" s="79">
        <v>0</v>
      </c>
      <c r="Q631" s="79">
        <v>199.02170000000001</v>
      </c>
      <c r="R631" s="79">
        <v>0</v>
      </c>
      <c r="S631" s="79">
        <v>0</v>
      </c>
      <c r="T631" s="79">
        <v>0</v>
      </c>
      <c r="U631" s="79">
        <v>0</v>
      </c>
      <c r="V631" s="79">
        <v>0</v>
      </c>
      <c r="W631" s="79">
        <v>0</v>
      </c>
      <c r="X631" s="90">
        <v>0</v>
      </c>
    </row>
    <row r="632" spans="1:24" hidden="1" x14ac:dyDescent="0.25">
      <c r="A632" s="80" t="str">
        <v>FACOIMPEC</v>
      </c>
      <c r="B632" s="80" t="str">
        <v>Marcabal</v>
      </c>
      <c r="C632" s="80" t="str">
        <v>O.C.</v>
      </c>
      <c r="D632" s="81">
        <v>46042</v>
      </c>
      <c r="E632" s="79">
        <v>3980.4339999999997</v>
      </c>
      <c r="F632" s="81">
        <v>46032</v>
      </c>
      <c r="G632" s="79" cm="1">
        <f t="array" ref="G632:X632">_xlfn._xlws.FILTER(Formulas!$C$2:$T$201, ISNUMBER(MATCH(Formulas!$B$2:$B$201, B632, 0)),0) * E632</f>
        <v>388.09231499999999</v>
      </c>
      <c r="H632" s="79">
        <v>1681.7333649999998</v>
      </c>
      <c r="I632" s="79">
        <v>0</v>
      </c>
      <c r="J632" s="79">
        <v>158.81931659999998</v>
      </c>
      <c r="K632" s="79">
        <v>0</v>
      </c>
      <c r="L632" s="79">
        <v>0</v>
      </c>
      <c r="M632" s="79">
        <v>158.81931659999998</v>
      </c>
      <c r="N632" s="79">
        <v>0</v>
      </c>
      <c r="O632" s="79">
        <v>1392.7538565999998</v>
      </c>
      <c r="P632" s="79">
        <v>0</v>
      </c>
      <c r="Q632" s="79">
        <v>199.02170000000001</v>
      </c>
      <c r="R632" s="79">
        <v>0</v>
      </c>
      <c r="S632" s="79">
        <v>0</v>
      </c>
      <c r="T632" s="79">
        <v>0</v>
      </c>
      <c r="U632" s="79">
        <v>0</v>
      </c>
      <c r="V632" s="79">
        <v>0</v>
      </c>
      <c r="W632" s="79">
        <v>0</v>
      </c>
      <c r="X632" s="90">
        <v>0</v>
      </c>
    </row>
    <row r="633" spans="1:24" hidden="1" x14ac:dyDescent="0.25">
      <c r="A633" s="80" t="str">
        <v>FACOIMPEC</v>
      </c>
      <c r="B633" s="80" t="str">
        <v>Marcabal</v>
      </c>
      <c r="C633" s="80" t="str">
        <v>Marzo</v>
      </c>
      <c r="D633" s="81">
        <v>46068</v>
      </c>
      <c r="E633" s="79">
        <v>3980.4339999999997</v>
      </c>
      <c r="F633" s="81">
        <v>46063</v>
      </c>
      <c r="G633" s="79" cm="1">
        <f t="array" ref="G633:X633">_xlfn._xlws.FILTER(Formulas!$C$2:$T$201, ISNUMBER(MATCH(Formulas!$B$2:$B$201, B633, 0)),0) * E633</f>
        <v>388.09231499999999</v>
      </c>
      <c r="H633" s="79">
        <v>1681.7333649999998</v>
      </c>
      <c r="I633" s="79">
        <v>0</v>
      </c>
      <c r="J633" s="79">
        <v>158.81931659999998</v>
      </c>
      <c r="K633" s="79">
        <v>0</v>
      </c>
      <c r="L633" s="79">
        <v>0</v>
      </c>
      <c r="M633" s="79">
        <v>158.81931659999998</v>
      </c>
      <c r="N633" s="79">
        <v>0</v>
      </c>
      <c r="O633" s="79">
        <v>1392.7538565999998</v>
      </c>
      <c r="P633" s="79">
        <v>0</v>
      </c>
      <c r="Q633" s="79">
        <v>199.02170000000001</v>
      </c>
      <c r="R633" s="79">
        <v>0</v>
      </c>
      <c r="S633" s="79">
        <v>0</v>
      </c>
      <c r="T633" s="79">
        <v>0</v>
      </c>
      <c r="U633" s="79">
        <v>0</v>
      </c>
      <c r="V633" s="79">
        <v>0</v>
      </c>
      <c r="W633" s="79">
        <v>0</v>
      </c>
      <c r="X633" s="90">
        <v>0</v>
      </c>
    </row>
    <row r="634" spans="1:24" hidden="1" x14ac:dyDescent="0.25">
      <c r="A634" s="80" t="str">
        <v>FACOIMPEC</v>
      </c>
      <c r="B634" s="80" t="str">
        <v>Marcabal</v>
      </c>
      <c r="C634" s="80" t="str">
        <v>Abril</v>
      </c>
      <c r="D634" s="81">
        <v>46096</v>
      </c>
      <c r="E634" s="79">
        <v>3980.4339999999997</v>
      </c>
      <c r="F634" s="81">
        <v>46101</v>
      </c>
      <c r="G634" s="79" cm="1">
        <f t="array" ref="G634:X634">_xlfn._xlws.FILTER(Formulas!$C$2:$T$201, ISNUMBER(MATCH(Formulas!$B$2:$B$201, B634, 0)),0) * E634</f>
        <v>388.09231499999999</v>
      </c>
      <c r="H634" s="79">
        <v>1681.7333649999998</v>
      </c>
      <c r="I634" s="79">
        <v>0</v>
      </c>
      <c r="J634" s="79">
        <v>158.81931659999998</v>
      </c>
      <c r="K634" s="79">
        <v>0</v>
      </c>
      <c r="L634" s="79">
        <v>0</v>
      </c>
      <c r="M634" s="79">
        <v>158.81931659999998</v>
      </c>
      <c r="N634" s="79">
        <v>0</v>
      </c>
      <c r="O634" s="79">
        <v>1392.7538565999998</v>
      </c>
      <c r="P634" s="79">
        <v>0</v>
      </c>
      <c r="Q634" s="79">
        <v>199.02170000000001</v>
      </c>
      <c r="R634" s="79">
        <v>0</v>
      </c>
      <c r="S634" s="79">
        <v>0</v>
      </c>
      <c r="T634" s="79">
        <v>0</v>
      </c>
      <c r="U634" s="79">
        <v>0</v>
      </c>
      <c r="V634" s="79">
        <v>0</v>
      </c>
      <c r="W634" s="79">
        <v>0</v>
      </c>
      <c r="X634" s="90">
        <v>0</v>
      </c>
    </row>
    <row r="635" spans="1:24" hidden="1" x14ac:dyDescent="0.25">
      <c r="A635" s="80" t="str">
        <v>FACOIMPEC</v>
      </c>
      <c r="B635" s="80" t="str">
        <v>Marcabal</v>
      </c>
      <c r="C635" s="80" t="str">
        <v>Mayo</v>
      </c>
      <c r="D635" s="81">
        <v>46127</v>
      </c>
      <c r="E635" s="79">
        <v>3980.4339999999997</v>
      </c>
      <c r="F635" s="80">
        <v>46125</v>
      </c>
      <c r="G635" s="79" cm="1">
        <f t="array" ref="G635:X635">_xlfn._xlws.FILTER(Formulas!$C$2:$T$201, ISNUMBER(MATCH(Formulas!$B$2:$B$201, B635, 0)),0) * E635</f>
        <v>388.09231499999999</v>
      </c>
      <c r="H635" s="79">
        <v>1681.7333649999998</v>
      </c>
      <c r="I635" s="79">
        <v>0</v>
      </c>
      <c r="J635" s="79">
        <v>158.81931659999998</v>
      </c>
      <c r="K635" s="79">
        <v>0</v>
      </c>
      <c r="L635" s="79">
        <v>0</v>
      </c>
      <c r="M635" s="79">
        <v>158.81931659999998</v>
      </c>
      <c r="N635" s="79">
        <v>0</v>
      </c>
      <c r="O635" s="79">
        <v>1392.7538565999998</v>
      </c>
      <c r="P635" s="79">
        <v>0</v>
      </c>
      <c r="Q635" s="79">
        <v>199.02170000000001</v>
      </c>
      <c r="R635" s="79">
        <v>0</v>
      </c>
      <c r="S635" s="79">
        <v>0</v>
      </c>
      <c r="T635" s="79">
        <v>0</v>
      </c>
      <c r="U635" s="79">
        <v>0</v>
      </c>
      <c r="V635" s="79">
        <v>0</v>
      </c>
      <c r="W635" s="79">
        <v>0</v>
      </c>
      <c r="X635" s="90">
        <v>0</v>
      </c>
    </row>
    <row r="636" spans="1:24" hidden="1" x14ac:dyDescent="0.25">
      <c r="A636" s="80" t="str">
        <v>FACOIMPEC</v>
      </c>
      <c r="B636" s="80" t="str">
        <v>Marcabal</v>
      </c>
      <c r="C636" s="80" t="str">
        <v>Junio</v>
      </c>
      <c r="D636" s="81">
        <v>46157</v>
      </c>
      <c r="E636" s="79">
        <v>3980.4339999999997</v>
      </c>
      <c r="F636" s="80">
        <v>46154</v>
      </c>
      <c r="G636" s="79" cm="1">
        <f t="array" ref="G636:X636">_xlfn._xlws.FILTER(Formulas!$C$2:$T$201, ISNUMBER(MATCH(Formulas!$B$2:$B$201, B636, 0)),0) * E636</f>
        <v>388.09231499999999</v>
      </c>
      <c r="H636" s="79">
        <v>1681.7333649999998</v>
      </c>
      <c r="I636" s="79">
        <v>0</v>
      </c>
      <c r="J636" s="79">
        <v>158.81931659999998</v>
      </c>
      <c r="K636" s="79">
        <v>0</v>
      </c>
      <c r="L636" s="79">
        <v>0</v>
      </c>
      <c r="M636" s="79">
        <v>158.81931659999998</v>
      </c>
      <c r="N636" s="79">
        <v>0</v>
      </c>
      <c r="O636" s="79">
        <v>1392.7538565999998</v>
      </c>
      <c r="P636" s="79">
        <v>0</v>
      </c>
      <c r="Q636" s="79">
        <v>199.02170000000001</v>
      </c>
      <c r="R636" s="79">
        <v>0</v>
      </c>
      <c r="S636" s="79">
        <v>0</v>
      </c>
      <c r="T636" s="79">
        <v>0</v>
      </c>
      <c r="U636" s="79">
        <v>0</v>
      </c>
      <c r="V636" s="79">
        <v>0</v>
      </c>
      <c r="W636" s="79">
        <v>0</v>
      </c>
      <c r="X636" s="90">
        <v>0</v>
      </c>
    </row>
    <row r="637" spans="1:24" hidden="1" x14ac:dyDescent="0.25">
      <c r="A637" s="80" t="str">
        <v>FACOIMPEC</v>
      </c>
      <c r="B637" s="80" t="str">
        <v>Marcabal</v>
      </c>
      <c r="C637" s="80" t="str">
        <v>Julio</v>
      </c>
      <c r="D637" s="81">
        <v>46188</v>
      </c>
      <c r="E637" s="79">
        <v>3980.4339999999997</v>
      </c>
      <c r="F637" s="80">
        <v>46187</v>
      </c>
      <c r="G637" s="79" cm="1">
        <f t="array" ref="G637:X637">_xlfn._xlws.FILTER(Formulas!$C$2:$T$201, ISNUMBER(MATCH(Formulas!$B$2:$B$201, B637, 0)),0) * E637</f>
        <v>388.09231499999999</v>
      </c>
      <c r="H637" s="79">
        <v>1681.7333649999998</v>
      </c>
      <c r="I637" s="79">
        <v>0</v>
      </c>
      <c r="J637" s="79">
        <v>158.81931659999998</v>
      </c>
      <c r="K637" s="79">
        <v>0</v>
      </c>
      <c r="L637" s="79">
        <v>0</v>
      </c>
      <c r="M637" s="79">
        <v>158.81931659999998</v>
      </c>
      <c r="N637" s="79">
        <v>0</v>
      </c>
      <c r="O637" s="79">
        <v>1392.7538565999998</v>
      </c>
      <c r="P637" s="79">
        <v>0</v>
      </c>
      <c r="Q637" s="79">
        <v>199.02170000000001</v>
      </c>
      <c r="R637" s="79">
        <v>0</v>
      </c>
      <c r="S637" s="79">
        <v>0</v>
      </c>
      <c r="T637" s="79">
        <v>0</v>
      </c>
      <c r="U637" s="79">
        <v>0</v>
      </c>
      <c r="V637" s="79">
        <v>0</v>
      </c>
      <c r="W637" s="79">
        <v>0</v>
      </c>
      <c r="X637" s="90">
        <v>0</v>
      </c>
    </row>
    <row r="638" spans="1:24" hidden="1" x14ac:dyDescent="0.25">
      <c r="A638" s="80" t="str">
        <v>FACOIMPEC</v>
      </c>
      <c r="B638" s="80" t="str">
        <v>Marcabal</v>
      </c>
      <c r="C638" s="80" t="str">
        <v>Agosto</v>
      </c>
      <c r="D638" s="81">
        <v>46218</v>
      </c>
      <c r="E638" s="79">
        <v>3980.4339999999997</v>
      </c>
      <c r="F638" s="81">
        <v>46226</v>
      </c>
      <c r="G638" s="79" cm="1">
        <f t="array" ref="G638:X638">_xlfn._xlws.FILTER(Formulas!$C$2:$T$201, ISNUMBER(MATCH(Formulas!$B$2:$B$201, B638, 0)),0) * E638</f>
        <v>388.09231499999999</v>
      </c>
      <c r="H638" s="79">
        <v>1681.7333649999998</v>
      </c>
      <c r="I638" s="79">
        <v>0</v>
      </c>
      <c r="J638" s="79">
        <v>158.81931659999998</v>
      </c>
      <c r="K638" s="79">
        <v>0</v>
      </c>
      <c r="L638" s="79">
        <v>0</v>
      </c>
      <c r="M638" s="79">
        <v>158.81931659999998</v>
      </c>
      <c r="N638" s="79">
        <v>0</v>
      </c>
      <c r="O638" s="79">
        <v>1392.7538565999998</v>
      </c>
      <c r="P638" s="79">
        <v>0</v>
      </c>
      <c r="Q638" s="79">
        <v>199.02170000000001</v>
      </c>
      <c r="R638" s="79">
        <v>0</v>
      </c>
      <c r="S638" s="79">
        <v>0</v>
      </c>
      <c r="T638" s="79">
        <v>0</v>
      </c>
      <c r="U638" s="79">
        <v>0</v>
      </c>
      <c r="V638" s="79">
        <v>0</v>
      </c>
      <c r="W638" s="79">
        <v>0</v>
      </c>
      <c r="X638" s="90">
        <v>0</v>
      </c>
    </row>
    <row r="639" spans="1:24" hidden="1" x14ac:dyDescent="0.25">
      <c r="A639" s="80" t="str">
        <v>FACOIMPEC</v>
      </c>
      <c r="B639" s="80" t="str">
        <v>Marcabal</v>
      </c>
      <c r="C639" s="80" t="str">
        <v>O.C.</v>
      </c>
      <c r="D639" s="81">
        <v>46249</v>
      </c>
      <c r="E639" s="79">
        <v>1666.9512</v>
      </c>
      <c r="F639" s="81">
        <v>46254</v>
      </c>
      <c r="G639" s="79" cm="1">
        <f t="array" ref="G639:X639">_xlfn._xlws.FILTER(Formulas!$C$2:$T$201, ISNUMBER(MATCH(Formulas!$B$2:$B$201, B639, 0)),0) * E639</f>
        <v>162.52774199999999</v>
      </c>
      <c r="H639" s="79">
        <v>704.28688199999999</v>
      </c>
      <c r="I639" s="79">
        <v>0</v>
      </c>
      <c r="J639" s="79">
        <v>66.51135287999999</v>
      </c>
      <c r="K639" s="79">
        <v>0</v>
      </c>
      <c r="L639" s="79">
        <v>0</v>
      </c>
      <c r="M639" s="79">
        <v>66.51135287999999</v>
      </c>
      <c r="N639" s="79">
        <v>0</v>
      </c>
      <c r="O639" s="79">
        <v>583.26622487999998</v>
      </c>
      <c r="P639" s="79">
        <v>0</v>
      </c>
      <c r="Q639" s="79">
        <v>83.347560000000001</v>
      </c>
      <c r="R639" s="79">
        <v>0</v>
      </c>
      <c r="S639" s="79">
        <v>0</v>
      </c>
      <c r="T639" s="79">
        <v>0</v>
      </c>
      <c r="U639" s="79">
        <v>0</v>
      </c>
      <c r="V639" s="79">
        <v>0</v>
      </c>
      <c r="W639" s="79">
        <v>0</v>
      </c>
      <c r="X639" s="90">
        <v>0</v>
      </c>
    </row>
    <row r="640" spans="1:24" hidden="1" x14ac:dyDescent="0.25">
      <c r="A640" s="80" t="str">
        <v>FACOIMPEC</v>
      </c>
      <c r="B640" s="80" t="str">
        <v>Marcabal</v>
      </c>
      <c r="C640" s="80" t="str">
        <v>Setiembre</v>
      </c>
      <c r="D640" s="81">
        <v>46249</v>
      </c>
      <c r="E640" s="79">
        <v>3980.4339999999997</v>
      </c>
      <c r="F640" s="81">
        <v>46242</v>
      </c>
      <c r="G640" s="79" cm="1">
        <f t="array" ref="G640:X640">_xlfn._xlws.FILTER(Formulas!$C$2:$T$201, ISNUMBER(MATCH(Formulas!$B$2:$B$201, B640, 0)),0) * E640</f>
        <v>388.09231499999999</v>
      </c>
      <c r="H640" s="79">
        <v>1681.7333649999998</v>
      </c>
      <c r="I640" s="79">
        <v>0</v>
      </c>
      <c r="J640" s="79">
        <v>158.81931659999998</v>
      </c>
      <c r="K640" s="79">
        <v>0</v>
      </c>
      <c r="L640" s="79">
        <v>0</v>
      </c>
      <c r="M640" s="79">
        <v>158.81931659999998</v>
      </c>
      <c r="N640" s="79">
        <v>0</v>
      </c>
      <c r="O640" s="79">
        <v>1392.7538565999998</v>
      </c>
      <c r="P640" s="79">
        <v>0</v>
      </c>
      <c r="Q640" s="79">
        <v>199.02170000000001</v>
      </c>
      <c r="R640" s="79">
        <v>0</v>
      </c>
      <c r="S640" s="79">
        <v>0</v>
      </c>
      <c r="T640" s="79">
        <v>0</v>
      </c>
      <c r="U640" s="79">
        <v>0</v>
      </c>
      <c r="V640" s="79">
        <v>0</v>
      </c>
      <c r="W640" s="79">
        <v>0</v>
      </c>
      <c r="X640" s="90">
        <v>0</v>
      </c>
    </row>
    <row r="641" spans="1:24" hidden="1" x14ac:dyDescent="0.25">
      <c r="A641" s="80" t="str">
        <v>FACOIMPEC</v>
      </c>
      <c r="B641" s="80" t="str">
        <v>Marcabal</v>
      </c>
      <c r="C641" s="80" t="str">
        <v>Octubre</v>
      </c>
      <c r="D641" s="81">
        <v>46280</v>
      </c>
      <c r="E641" s="79">
        <v>3980.4339999999997</v>
      </c>
      <c r="F641" s="81">
        <v>46289</v>
      </c>
      <c r="G641" s="79" cm="1">
        <f t="array" ref="G641:X641">_xlfn._xlws.FILTER(Formulas!$C$2:$T$201, ISNUMBER(MATCH(Formulas!$B$2:$B$201, B641, 0)),0) * E641</f>
        <v>388.09231499999999</v>
      </c>
      <c r="H641" s="79">
        <v>1681.7333649999998</v>
      </c>
      <c r="I641" s="79">
        <v>0</v>
      </c>
      <c r="J641" s="79">
        <v>158.81931659999998</v>
      </c>
      <c r="K641" s="79">
        <v>0</v>
      </c>
      <c r="L641" s="79">
        <v>0</v>
      </c>
      <c r="M641" s="79">
        <v>158.81931659999998</v>
      </c>
      <c r="N641" s="79">
        <v>0</v>
      </c>
      <c r="O641" s="79">
        <v>1392.7538565999998</v>
      </c>
      <c r="P641" s="79">
        <v>0</v>
      </c>
      <c r="Q641" s="79">
        <v>199.02170000000001</v>
      </c>
      <c r="R641" s="79">
        <v>0</v>
      </c>
      <c r="S641" s="79">
        <v>0</v>
      </c>
      <c r="T641" s="79">
        <v>0</v>
      </c>
      <c r="U641" s="79">
        <v>0</v>
      </c>
      <c r="V641" s="79">
        <v>0</v>
      </c>
      <c r="W641" s="79">
        <v>0</v>
      </c>
      <c r="X641" s="90">
        <v>0</v>
      </c>
    </row>
    <row r="642" spans="1:24" hidden="1" x14ac:dyDescent="0.25">
      <c r="A642" s="80" t="str">
        <v>FACOIMPEC</v>
      </c>
      <c r="B642" s="80" t="str">
        <v>Marcabal</v>
      </c>
      <c r="C642" s="80" t="str">
        <v>Noviembre</v>
      </c>
      <c r="D642" s="81">
        <v>46310</v>
      </c>
      <c r="E642" s="79">
        <v>3980.4339999999997</v>
      </c>
      <c r="F642" s="80">
        <v>0</v>
      </c>
      <c r="G642" s="79" cm="1">
        <f t="array" ref="G642:X642">_xlfn._xlws.FILTER(Formulas!$C$2:$T$201, ISNUMBER(MATCH(Formulas!$B$2:$B$201, B642, 0)),0) * E642</f>
        <v>388.09231499999999</v>
      </c>
      <c r="H642" s="79">
        <v>1681.7333649999998</v>
      </c>
      <c r="I642" s="79">
        <v>0</v>
      </c>
      <c r="J642" s="79">
        <v>158.81931659999998</v>
      </c>
      <c r="K642" s="79">
        <v>0</v>
      </c>
      <c r="L642" s="79">
        <v>0</v>
      </c>
      <c r="M642" s="79">
        <v>158.81931659999998</v>
      </c>
      <c r="N642" s="79">
        <v>0</v>
      </c>
      <c r="O642" s="79">
        <v>1392.7538565999998</v>
      </c>
      <c r="P642" s="79">
        <v>0</v>
      </c>
      <c r="Q642" s="79">
        <v>199.02170000000001</v>
      </c>
      <c r="R642" s="79">
        <v>0</v>
      </c>
      <c r="S642" s="79">
        <v>0</v>
      </c>
      <c r="T642" s="79">
        <v>0</v>
      </c>
      <c r="U642" s="79">
        <v>0</v>
      </c>
      <c r="V642" s="79">
        <v>0</v>
      </c>
      <c r="W642" s="79">
        <v>0</v>
      </c>
      <c r="X642" s="90">
        <v>0</v>
      </c>
    </row>
    <row r="643" spans="1:24" hidden="1" x14ac:dyDescent="0.25">
      <c r="A643" s="80" t="str">
        <v>FACOIMPEC</v>
      </c>
      <c r="B643" s="80" t="str">
        <v>Marcabal</v>
      </c>
      <c r="C643" s="80" t="str">
        <v>Diciembre</v>
      </c>
      <c r="D643" s="81">
        <v>46341</v>
      </c>
      <c r="E643" s="79">
        <v>3980.4339999999997</v>
      </c>
      <c r="F643" s="81">
        <v>0</v>
      </c>
      <c r="G643" s="79" cm="1">
        <f t="array" ref="G643:X643">_xlfn._xlws.FILTER(Formulas!$C$2:$T$201, ISNUMBER(MATCH(Formulas!$B$2:$B$201, B643, 0)),0) * E643</f>
        <v>388.09231499999999</v>
      </c>
      <c r="H643" s="79">
        <v>1681.7333649999998</v>
      </c>
      <c r="I643" s="79">
        <v>0</v>
      </c>
      <c r="J643" s="79">
        <v>158.81931659999998</v>
      </c>
      <c r="K643" s="79">
        <v>0</v>
      </c>
      <c r="L643" s="79">
        <v>0</v>
      </c>
      <c r="M643" s="79">
        <v>158.81931659999998</v>
      </c>
      <c r="N643" s="79">
        <v>0</v>
      </c>
      <c r="O643" s="79">
        <v>1392.7538565999998</v>
      </c>
      <c r="P643" s="79">
        <v>0</v>
      </c>
      <c r="Q643" s="79">
        <v>199.02170000000001</v>
      </c>
      <c r="R643" s="79">
        <v>0</v>
      </c>
      <c r="S643" s="79">
        <v>0</v>
      </c>
      <c r="T643" s="79">
        <v>0</v>
      </c>
      <c r="U643" s="79">
        <v>0</v>
      </c>
      <c r="V643" s="79">
        <v>0</v>
      </c>
      <c r="W643" s="79">
        <v>0</v>
      </c>
      <c r="X643" s="90">
        <v>0</v>
      </c>
    </row>
    <row r="644" spans="1:24" hidden="1" x14ac:dyDescent="0.25">
      <c r="A644" s="80" t="str">
        <v>PENDIENTE</v>
      </c>
      <c r="B644" s="80" t="str">
        <v>Marcara</v>
      </c>
      <c r="C644" s="80" t="str">
        <v>Enero / Febrero / Marzo</v>
      </c>
      <c r="D644" s="81">
        <v>46112</v>
      </c>
      <c r="E644" s="79">
        <v>1452.2975999999999</v>
      </c>
      <c r="F644" s="81">
        <v>46118</v>
      </c>
      <c r="G644" s="79" cm="1">
        <f t="array" ref="G644:X644">_xlfn._xlws.FILTER(Formulas!$C$2:$T$201, ISNUMBER(MATCH(Formulas!$B$2:$B$201, B644, 0)),0) * E644</f>
        <v>290.45952</v>
      </c>
      <c r="H644" s="79">
        <v>1060.177248</v>
      </c>
      <c r="I644" s="79">
        <v>101.660832</v>
      </c>
      <c r="J644" s="79">
        <v>0</v>
      </c>
      <c r="K644" s="79">
        <v>0</v>
      </c>
      <c r="L644" s="79">
        <v>0</v>
      </c>
      <c r="M644" s="79">
        <v>0</v>
      </c>
      <c r="N644" s="79">
        <v>0</v>
      </c>
      <c r="O644" s="79">
        <v>0</v>
      </c>
      <c r="P644" s="79">
        <v>0</v>
      </c>
      <c r="Q644" s="79">
        <v>0</v>
      </c>
      <c r="R644" s="79">
        <v>0</v>
      </c>
      <c r="S644" s="79">
        <v>0</v>
      </c>
      <c r="T644" s="79">
        <v>0</v>
      </c>
      <c r="U644" s="79">
        <v>0</v>
      </c>
      <c r="V644" s="79">
        <v>0</v>
      </c>
      <c r="W644" s="79">
        <v>0</v>
      </c>
      <c r="X644" s="90">
        <v>0</v>
      </c>
    </row>
    <row r="645" spans="1:24" hidden="1" x14ac:dyDescent="0.25">
      <c r="A645" s="80" t="str">
        <v>PENDIENTE</v>
      </c>
      <c r="B645" s="80" t="str">
        <v>Marcara1</v>
      </c>
      <c r="C645" s="80" t="str">
        <v>Abril / Mayo / Junio</v>
      </c>
      <c r="D645" s="81">
        <v>46154</v>
      </c>
      <c r="E645" s="79">
        <v>1452.2975999999999</v>
      </c>
      <c r="F645" s="81">
        <v>46151</v>
      </c>
      <c r="G645" s="79" cm="1">
        <f t="array" ref="G645:X645">_xlfn._xlws.FILTER(Formulas!$C$2:$T$201, ISNUMBER(MATCH(Formulas!$B$2:$B$201, B645, 0)),0) * E645</f>
        <v>290.45952</v>
      </c>
      <c r="H645" s="79">
        <v>1031.1312959999998</v>
      </c>
      <c r="I645" s="79">
        <v>87.137855999999985</v>
      </c>
      <c r="J645" s="79">
        <v>0</v>
      </c>
      <c r="K645" s="79">
        <v>0</v>
      </c>
      <c r="L645" s="79">
        <v>0</v>
      </c>
      <c r="M645" s="79">
        <v>43.568927999999993</v>
      </c>
      <c r="N645" s="79">
        <v>0</v>
      </c>
      <c r="O645" s="79">
        <v>0</v>
      </c>
      <c r="P645" s="79">
        <v>0</v>
      </c>
      <c r="Q645" s="79">
        <v>0</v>
      </c>
      <c r="R645" s="79">
        <v>0</v>
      </c>
      <c r="S645" s="79">
        <v>0</v>
      </c>
      <c r="T645" s="79">
        <v>0</v>
      </c>
      <c r="U645" s="79">
        <v>0</v>
      </c>
      <c r="V645" s="79">
        <v>0</v>
      </c>
      <c r="W645" s="79">
        <v>0</v>
      </c>
      <c r="X645" s="90">
        <v>0</v>
      </c>
    </row>
    <row r="646" spans="1:24" hidden="1" x14ac:dyDescent="0.25">
      <c r="A646" s="80" t="str">
        <v>PENDIENTE</v>
      </c>
      <c r="B646" s="80" t="str">
        <v>Marcara1</v>
      </c>
      <c r="C646" s="80" t="str">
        <v>Julio / Agosto / Septiembre</v>
      </c>
      <c r="D646" s="81">
        <v>46203</v>
      </c>
      <c r="E646" s="79">
        <v>1452.2975999999999</v>
      </c>
      <c r="F646" s="81">
        <v>46201</v>
      </c>
      <c r="G646" s="79" cm="1">
        <f t="array" ref="G646:X646">_xlfn._xlws.FILTER(Formulas!$C$2:$T$201, ISNUMBER(MATCH(Formulas!$B$2:$B$201, B646, 0)),0) * E646</f>
        <v>290.45952</v>
      </c>
      <c r="H646" s="79">
        <v>1031.1312959999998</v>
      </c>
      <c r="I646" s="79">
        <v>87.137855999999985</v>
      </c>
      <c r="J646" s="79">
        <v>0</v>
      </c>
      <c r="K646" s="79">
        <v>0</v>
      </c>
      <c r="L646" s="79">
        <v>0</v>
      </c>
      <c r="M646" s="79">
        <v>43.568927999999993</v>
      </c>
      <c r="N646" s="79">
        <v>0</v>
      </c>
      <c r="O646" s="79">
        <v>0</v>
      </c>
      <c r="P646" s="79">
        <v>0</v>
      </c>
      <c r="Q646" s="79">
        <v>0</v>
      </c>
      <c r="R646" s="79">
        <v>0</v>
      </c>
      <c r="S646" s="79">
        <v>0</v>
      </c>
      <c r="T646" s="79">
        <v>0</v>
      </c>
      <c r="U646" s="79">
        <v>0</v>
      </c>
      <c r="V646" s="79">
        <v>0</v>
      </c>
      <c r="W646" s="79">
        <v>0</v>
      </c>
      <c r="X646" s="90">
        <v>0</v>
      </c>
    </row>
    <row r="647" spans="1:24" hidden="1" x14ac:dyDescent="0.25">
      <c r="A647" s="80" t="str">
        <v>PENDIENTE</v>
      </c>
      <c r="B647" s="80" t="str">
        <v>Marcara1</v>
      </c>
      <c r="C647" s="80" t="str">
        <v>O.C.</v>
      </c>
      <c r="D647" s="81">
        <v>46203</v>
      </c>
      <c r="E647" s="79">
        <v>2372</v>
      </c>
      <c r="F647" s="81">
        <v>46204</v>
      </c>
      <c r="G647" s="79" cm="1">
        <f t="array" ref="G647:X647">_xlfn._xlws.FILTER(Formulas!$C$2:$T$201, ISNUMBER(MATCH(Formulas!$B$2:$B$201, B647, 0)),0) * E647</f>
        <v>474.40000000000003</v>
      </c>
      <c r="H647" s="79">
        <v>1684.12</v>
      </c>
      <c r="I647" s="79">
        <v>142.32</v>
      </c>
      <c r="J647" s="79">
        <v>0</v>
      </c>
      <c r="K647" s="79">
        <v>0</v>
      </c>
      <c r="L647" s="79">
        <v>0</v>
      </c>
      <c r="M647" s="79">
        <v>71.16</v>
      </c>
      <c r="N647" s="79">
        <v>0</v>
      </c>
      <c r="O647" s="79">
        <v>0</v>
      </c>
      <c r="P647" s="79">
        <v>0</v>
      </c>
      <c r="Q647" s="79">
        <v>0</v>
      </c>
      <c r="R647" s="79">
        <v>0</v>
      </c>
      <c r="S647" s="79">
        <v>0</v>
      </c>
      <c r="T647" s="79">
        <v>0</v>
      </c>
      <c r="U647" s="79">
        <v>0</v>
      </c>
      <c r="V647" s="79">
        <v>0</v>
      </c>
      <c r="W647" s="79">
        <v>0</v>
      </c>
      <c r="X647" s="90">
        <v>0</v>
      </c>
    </row>
    <row r="648" spans="1:24" hidden="1" x14ac:dyDescent="0.25">
      <c r="A648" s="80" t="str">
        <v>PENDIENTE</v>
      </c>
      <c r="B648" s="80" t="str">
        <v>Marcara1</v>
      </c>
      <c r="C648" s="80" t="str">
        <v>Octubre / Noviembre / Diciembre</v>
      </c>
      <c r="D648" s="81">
        <v>46295</v>
      </c>
      <c r="E648" s="79">
        <v>1452.2975999999999</v>
      </c>
      <c r="F648" s="81">
        <v>46293</v>
      </c>
      <c r="G648" s="79" cm="1">
        <f t="array" ref="G648:X648">_xlfn._xlws.FILTER(Formulas!$C$2:$T$201, ISNUMBER(MATCH(Formulas!$B$2:$B$201, B648, 0)),0) * E648</f>
        <v>290.45952</v>
      </c>
      <c r="H648" s="79">
        <v>1031.1312959999998</v>
      </c>
      <c r="I648" s="79">
        <v>87.137855999999985</v>
      </c>
      <c r="J648" s="79">
        <v>0</v>
      </c>
      <c r="K648" s="79">
        <v>0</v>
      </c>
      <c r="L648" s="79">
        <v>0</v>
      </c>
      <c r="M648" s="79">
        <v>43.568927999999993</v>
      </c>
      <c r="N648" s="79">
        <v>0</v>
      </c>
      <c r="O648" s="79">
        <v>0</v>
      </c>
      <c r="P648" s="79">
        <v>0</v>
      </c>
      <c r="Q648" s="79">
        <v>0</v>
      </c>
      <c r="R648" s="79">
        <v>0</v>
      </c>
      <c r="S648" s="79">
        <v>0</v>
      </c>
      <c r="T648" s="79">
        <v>0</v>
      </c>
      <c r="U648" s="79">
        <v>0</v>
      </c>
      <c r="V648" s="79">
        <v>0</v>
      </c>
      <c r="W648" s="79">
        <v>0</v>
      </c>
      <c r="X648" s="90">
        <v>0</v>
      </c>
    </row>
    <row r="649" spans="1:24" hidden="1" x14ac:dyDescent="0.25">
      <c r="A649" s="80" t="str">
        <v>ESPERANZA</v>
      </c>
      <c r="B649" s="80" t="str">
        <v>Matara</v>
      </c>
      <c r="C649" s="80" t="str">
        <v>Enero</v>
      </c>
      <c r="D649" s="81">
        <v>46037</v>
      </c>
      <c r="E649" s="79">
        <v>1053.9750000000001</v>
      </c>
      <c r="F649" s="81">
        <v>46034</v>
      </c>
      <c r="G649" s="79" cm="1">
        <f t="array" ref="G649:X649">_xlfn._xlws.FILTER(Formulas!$C$2:$T$201, ISNUMBER(MATCH(Formulas!$B$2:$B$201, B649, 0)),0) * E649</f>
        <v>184.65642000000003</v>
      </c>
      <c r="H649" s="79">
        <v>737.78250000000003</v>
      </c>
      <c r="I649" s="79">
        <v>58.179420000000007</v>
      </c>
      <c r="J649" s="79">
        <v>41.737410000000011</v>
      </c>
      <c r="K649" s="79">
        <v>0</v>
      </c>
      <c r="L649" s="79">
        <v>0</v>
      </c>
      <c r="M649" s="79">
        <v>31.619250000000005</v>
      </c>
      <c r="N649" s="79">
        <v>0</v>
      </c>
      <c r="O649" s="79">
        <v>0</v>
      </c>
      <c r="P649" s="79">
        <v>0</v>
      </c>
      <c r="Q649" s="79">
        <v>0</v>
      </c>
      <c r="R649" s="79">
        <v>0</v>
      </c>
      <c r="S649" s="79">
        <v>0</v>
      </c>
      <c r="T649" s="79">
        <v>0</v>
      </c>
      <c r="U649" s="79">
        <v>0</v>
      </c>
      <c r="V649" s="79">
        <v>0</v>
      </c>
      <c r="W649" s="79">
        <v>0</v>
      </c>
      <c r="X649" s="90">
        <v>0</v>
      </c>
    </row>
    <row r="650" spans="1:24" hidden="1" x14ac:dyDescent="0.25">
      <c r="A650" s="80" t="str">
        <v>ESPERANZA</v>
      </c>
      <c r="B650" s="80" t="str">
        <v>Matara</v>
      </c>
      <c r="C650" s="80" t="str">
        <v>Febrero</v>
      </c>
      <c r="D650" s="81">
        <v>46037</v>
      </c>
      <c r="E650" s="79">
        <v>951.93799999999999</v>
      </c>
      <c r="F650" s="81">
        <v>46034</v>
      </c>
      <c r="G650" s="79" cm="1">
        <f t="array" ref="G650:X650">_xlfn._xlws.FILTER(Formulas!$C$2:$T$201, ISNUMBER(MATCH(Formulas!$B$2:$B$201, B650, 0)),0) * E650</f>
        <v>166.7795376</v>
      </c>
      <c r="H650" s="79">
        <v>666.35659999999996</v>
      </c>
      <c r="I650" s="79">
        <v>52.546977599999998</v>
      </c>
      <c r="J650" s="79">
        <v>37.696744800000005</v>
      </c>
      <c r="K650" s="79">
        <v>0</v>
      </c>
      <c r="L650" s="79">
        <v>0</v>
      </c>
      <c r="M650" s="79">
        <v>28.558139999999998</v>
      </c>
      <c r="N650" s="79">
        <v>0</v>
      </c>
      <c r="O650" s="79">
        <v>0</v>
      </c>
      <c r="P650" s="79">
        <v>0</v>
      </c>
      <c r="Q650" s="79">
        <v>0</v>
      </c>
      <c r="R650" s="79">
        <v>0</v>
      </c>
      <c r="S650" s="79">
        <v>0</v>
      </c>
      <c r="T650" s="79">
        <v>0</v>
      </c>
      <c r="U650" s="79">
        <v>0</v>
      </c>
      <c r="V650" s="79">
        <v>0</v>
      </c>
      <c r="W650" s="79">
        <v>0</v>
      </c>
      <c r="X650" s="90">
        <v>0</v>
      </c>
    </row>
    <row r="651" spans="1:24" hidden="1" x14ac:dyDescent="0.25">
      <c r="A651" s="80" t="str">
        <v>ESPERANZA</v>
      </c>
      <c r="B651" s="80" t="str">
        <v>Matara</v>
      </c>
      <c r="C651" s="80" t="str">
        <v>Marzo</v>
      </c>
      <c r="D651" s="81">
        <v>46104</v>
      </c>
      <c r="E651" s="79">
        <v>1084.71</v>
      </c>
      <c r="F651" s="81">
        <v>46104</v>
      </c>
      <c r="G651" s="79" cm="1">
        <f t="array" ref="G651:X651">_xlfn._xlws.FILTER(Formulas!$C$2:$T$201, ISNUMBER(MATCH(Formulas!$B$2:$B$201, B651, 0)),0) * E651</f>
        <v>190.041192</v>
      </c>
      <c r="H651" s="79">
        <v>759.29700000000003</v>
      </c>
      <c r="I651" s="79">
        <v>59.875992000000004</v>
      </c>
      <c r="J651" s="79">
        <v>42.954516000000005</v>
      </c>
      <c r="K651" s="79">
        <v>0</v>
      </c>
      <c r="L651" s="79">
        <v>0</v>
      </c>
      <c r="M651" s="79">
        <v>32.5413</v>
      </c>
      <c r="N651" s="79">
        <v>0</v>
      </c>
      <c r="O651" s="79">
        <v>0</v>
      </c>
      <c r="P651" s="79">
        <v>0</v>
      </c>
      <c r="Q651" s="79">
        <v>0</v>
      </c>
      <c r="R651" s="79">
        <v>0</v>
      </c>
      <c r="S651" s="79">
        <v>0</v>
      </c>
      <c r="T651" s="79">
        <v>0</v>
      </c>
      <c r="U651" s="79">
        <v>0</v>
      </c>
      <c r="V651" s="79">
        <v>0</v>
      </c>
      <c r="W651" s="79">
        <v>0</v>
      </c>
      <c r="X651" s="90">
        <v>0</v>
      </c>
    </row>
    <row r="652" spans="1:24" hidden="1" x14ac:dyDescent="0.25">
      <c r="A652" s="80" t="str">
        <v>ESPERANZA</v>
      </c>
      <c r="B652" s="80" t="str">
        <v>Matara</v>
      </c>
      <c r="C652" s="80" t="str">
        <v>Abril</v>
      </c>
      <c r="D652" s="81">
        <v>46104</v>
      </c>
      <c r="E652" s="79">
        <v>1047.0899999999999</v>
      </c>
      <c r="F652" s="81">
        <v>46104</v>
      </c>
      <c r="G652" s="79" cm="1">
        <f t="array" ref="G652:X652">_xlfn._xlws.FILTER(Formulas!$C$2:$T$201, ISNUMBER(MATCH(Formulas!$B$2:$B$201, B652, 0)),0) * E652</f>
        <v>183.45016799999999</v>
      </c>
      <c r="H652" s="79">
        <v>732.96299999999985</v>
      </c>
      <c r="I652" s="79">
        <v>57.799367999999994</v>
      </c>
      <c r="J652" s="79">
        <v>41.464764000000002</v>
      </c>
      <c r="K652" s="79">
        <v>0</v>
      </c>
      <c r="L652" s="79">
        <v>0</v>
      </c>
      <c r="M652" s="79">
        <v>31.412699999999997</v>
      </c>
      <c r="N652" s="79">
        <v>0</v>
      </c>
      <c r="O652" s="79">
        <v>0</v>
      </c>
      <c r="P652" s="79">
        <v>0</v>
      </c>
      <c r="Q652" s="79">
        <v>0</v>
      </c>
      <c r="R652" s="79">
        <v>0</v>
      </c>
      <c r="S652" s="79">
        <v>0</v>
      </c>
      <c r="T652" s="79">
        <v>0</v>
      </c>
      <c r="U652" s="79">
        <v>0</v>
      </c>
      <c r="V652" s="79">
        <v>0</v>
      </c>
      <c r="W652" s="79">
        <v>0</v>
      </c>
      <c r="X652" s="90">
        <v>0</v>
      </c>
    </row>
    <row r="653" spans="1:24" hidden="1" x14ac:dyDescent="0.25">
      <c r="A653" s="80" t="str">
        <v>ESPERANZA</v>
      </c>
      <c r="B653" s="80" t="str">
        <v>Matara</v>
      </c>
      <c r="C653" s="80" t="str">
        <v>Mayo</v>
      </c>
      <c r="D653" s="81">
        <v>46135</v>
      </c>
      <c r="E653" s="79">
        <v>1084.71</v>
      </c>
      <c r="F653" s="81">
        <v>46131</v>
      </c>
      <c r="G653" s="79" cm="1">
        <f t="array" ref="G653:X653">_xlfn._xlws.FILTER(Formulas!$C$2:$T$201, ISNUMBER(MATCH(Formulas!$B$2:$B$201, B653, 0)),0) * E653</f>
        <v>190.041192</v>
      </c>
      <c r="H653" s="79">
        <v>759.29700000000003</v>
      </c>
      <c r="I653" s="79">
        <v>59.875992000000004</v>
      </c>
      <c r="J653" s="79">
        <v>42.954516000000005</v>
      </c>
      <c r="K653" s="79">
        <v>0</v>
      </c>
      <c r="L653" s="79">
        <v>0</v>
      </c>
      <c r="M653" s="79">
        <v>32.5413</v>
      </c>
      <c r="N653" s="79">
        <v>0</v>
      </c>
      <c r="O653" s="79">
        <v>0</v>
      </c>
      <c r="P653" s="79">
        <v>0</v>
      </c>
      <c r="Q653" s="79">
        <v>0</v>
      </c>
      <c r="R653" s="79">
        <v>0</v>
      </c>
      <c r="S653" s="79">
        <v>0</v>
      </c>
      <c r="T653" s="79">
        <v>0</v>
      </c>
      <c r="U653" s="79">
        <v>0</v>
      </c>
      <c r="V653" s="79">
        <v>0</v>
      </c>
      <c r="W653" s="79">
        <v>0</v>
      </c>
      <c r="X653" s="90">
        <v>0</v>
      </c>
    </row>
    <row r="654" spans="1:24" hidden="1" x14ac:dyDescent="0.25">
      <c r="A654" s="80" t="str">
        <v>ESPERANZA</v>
      </c>
      <c r="B654" s="80" t="str">
        <v>Matara</v>
      </c>
      <c r="C654" s="80" t="str">
        <v>Junio</v>
      </c>
      <c r="D654" s="81">
        <v>46135</v>
      </c>
      <c r="E654" s="79">
        <v>1047.0899999999999</v>
      </c>
      <c r="F654" s="80">
        <v>46131</v>
      </c>
      <c r="G654" s="79" cm="1">
        <f t="array" ref="G654:X654">_xlfn._xlws.FILTER(Formulas!$C$2:$T$201, ISNUMBER(MATCH(Formulas!$B$2:$B$201, B654, 0)),0) * E654</f>
        <v>183.45016799999999</v>
      </c>
      <c r="H654" s="79">
        <v>732.96299999999985</v>
      </c>
      <c r="I654" s="79">
        <v>57.799367999999994</v>
      </c>
      <c r="J654" s="79">
        <v>41.464764000000002</v>
      </c>
      <c r="K654" s="79">
        <v>0</v>
      </c>
      <c r="L654" s="79">
        <v>0</v>
      </c>
      <c r="M654" s="79">
        <v>31.412699999999997</v>
      </c>
      <c r="N654" s="79">
        <v>0</v>
      </c>
      <c r="O654" s="79">
        <v>0</v>
      </c>
      <c r="P654" s="79">
        <v>0</v>
      </c>
      <c r="Q654" s="79">
        <v>0</v>
      </c>
      <c r="R654" s="79">
        <v>0</v>
      </c>
      <c r="S654" s="79">
        <v>0</v>
      </c>
      <c r="T654" s="79">
        <v>0</v>
      </c>
      <c r="U654" s="79">
        <v>0</v>
      </c>
      <c r="V654" s="79">
        <v>0</v>
      </c>
      <c r="W654" s="79">
        <v>0</v>
      </c>
      <c r="X654" s="90">
        <v>0</v>
      </c>
    </row>
    <row r="655" spans="1:24" hidden="1" x14ac:dyDescent="0.25">
      <c r="A655" s="80" t="str">
        <v>ESPERANZA</v>
      </c>
      <c r="B655" s="80" t="str">
        <v>Matara</v>
      </c>
      <c r="C655" s="80" t="str">
        <v>Julio</v>
      </c>
      <c r="D655" s="81">
        <v>46198</v>
      </c>
      <c r="E655" s="79">
        <v>1084.71</v>
      </c>
      <c r="F655" s="80">
        <v>46179</v>
      </c>
      <c r="G655" s="79" cm="1">
        <f t="array" ref="G655:X655">_xlfn._xlws.FILTER(Formulas!$C$2:$T$201, ISNUMBER(MATCH(Formulas!$B$2:$B$201, B655, 0)),0) * E655</f>
        <v>190.041192</v>
      </c>
      <c r="H655" s="79">
        <v>759.29700000000003</v>
      </c>
      <c r="I655" s="79">
        <v>59.875992000000004</v>
      </c>
      <c r="J655" s="79">
        <v>42.954516000000005</v>
      </c>
      <c r="K655" s="79">
        <v>0</v>
      </c>
      <c r="L655" s="79">
        <v>0</v>
      </c>
      <c r="M655" s="79">
        <v>32.5413</v>
      </c>
      <c r="N655" s="79">
        <v>0</v>
      </c>
      <c r="O655" s="79">
        <v>0</v>
      </c>
      <c r="P655" s="79">
        <v>0</v>
      </c>
      <c r="Q655" s="79">
        <v>0</v>
      </c>
      <c r="R655" s="79">
        <v>0</v>
      </c>
      <c r="S655" s="79">
        <v>0</v>
      </c>
      <c r="T655" s="79">
        <v>0</v>
      </c>
      <c r="U655" s="79">
        <v>0</v>
      </c>
      <c r="V655" s="79">
        <v>0</v>
      </c>
      <c r="W655" s="79">
        <v>0</v>
      </c>
      <c r="X655" s="90">
        <v>0</v>
      </c>
    </row>
    <row r="656" spans="1:24" hidden="1" x14ac:dyDescent="0.25">
      <c r="A656" s="80" t="str">
        <v>ESPERANZA</v>
      </c>
      <c r="B656" s="80" t="str">
        <v>Matara</v>
      </c>
      <c r="C656" s="80" t="str">
        <v>Agosto</v>
      </c>
      <c r="D656" s="81">
        <v>46198</v>
      </c>
      <c r="E656" s="79">
        <v>1084.71</v>
      </c>
      <c r="F656" s="81">
        <v>46179</v>
      </c>
      <c r="G656" s="79" cm="1">
        <f t="array" ref="G656:X656">_xlfn._xlws.FILTER(Formulas!$C$2:$T$201, ISNUMBER(MATCH(Formulas!$B$2:$B$201, B656, 0)),0) * E656</f>
        <v>190.041192</v>
      </c>
      <c r="H656" s="79">
        <v>759.29700000000003</v>
      </c>
      <c r="I656" s="79">
        <v>59.875992000000004</v>
      </c>
      <c r="J656" s="79">
        <v>42.954516000000005</v>
      </c>
      <c r="K656" s="79">
        <v>0</v>
      </c>
      <c r="L656" s="79">
        <v>0</v>
      </c>
      <c r="M656" s="79">
        <v>32.5413</v>
      </c>
      <c r="N656" s="79">
        <v>0</v>
      </c>
      <c r="O656" s="79">
        <v>0</v>
      </c>
      <c r="P656" s="79">
        <v>0</v>
      </c>
      <c r="Q656" s="79">
        <v>0</v>
      </c>
      <c r="R656" s="79">
        <v>0</v>
      </c>
      <c r="S656" s="79">
        <v>0</v>
      </c>
      <c r="T656" s="79">
        <v>0</v>
      </c>
      <c r="U656" s="79">
        <v>0</v>
      </c>
      <c r="V656" s="79">
        <v>0</v>
      </c>
      <c r="W656" s="79">
        <v>0</v>
      </c>
      <c r="X656" s="90">
        <v>0</v>
      </c>
    </row>
    <row r="657" spans="1:24" hidden="1" x14ac:dyDescent="0.25">
      <c r="A657" s="80" t="str">
        <v>ESPERANZA</v>
      </c>
      <c r="B657" s="80" t="str">
        <v>Matara</v>
      </c>
      <c r="C657" s="80" t="str">
        <v>O.C.</v>
      </c>
      <c r="D657" s="81">
        <v>46208</v>
      </c>
      <c r="E657" s="79">
        <v>1430.71</v>
      </c>
      <c r="F657" s="81">
        <v>46216</v>
      </c>
      <c r="G657" s="79" cm="1">
        <f t="array" ref="G657:X657">_xlfn._xlws.FILTER(Formulas!$C$2:$T$201, ISNUMBER(MATCH(Formulas!$B$2:$B$201, B657, 0)),0) * E657</f>
        <v>250.660392</v>
      </c>
      <c r="H657" s="79">
        <v>1001.497</v>
      </c>
      <c r="I657" s="79">
        <v>78.975192000000007</v>
      </c>
      <c r="J657" s="79">
        <v>56.656116000000004</v>
      </c>
      <c r="K657" s="79">
        <v>0</v>
      </c>
      <c r="L657" s="79">
        <v>0</v>
      </c>
      <c r="M657" s="79">
        <v>42.921300000000002</v>
      </c>
      <c r="N657" s="79">
        <v>0</v>
      </c>
      <c r="O657" s="79">
        <v>0</v>
      </c>
      <c r="P657" s="79">
        <v>0</v>
      </c>
      <c r="Q657" s="79">
        <v>0</v>
      </c>
      <c r="R657" s="79">
        <v>0</v>
      </c>
      <c r="S657" s="79">
        <v>0</v>
      </c>
      <c r="T657" s="79">
        <v>0</v>
      </c>
      <c r="U657" s="79">
        <v>0</v>
      </c>
      <c r="V657" s="79">
        <v>0</v>
      </c>
      <c r="W657" s="79">
        <v>0</v>
      </c>
      <c r="X657" s="90">
        <v>0</v>
      </c>
    </row>
    <row r="658" spans="1:24" hidden="1" x14ac:dyDescent="0.25">
      <c r="A658" s="80" t="str">
        <v>ESPERANZA</v>
      </c>
      <c r="B658" s="80" t="str">
        <v>Matara</v>
      </c>
      <c r="C658" s="80" t="str">
        <v>Septiembre</v>
      </c>
      <c r="D658" s="81">
        <v>46260</v>
      </c>
      <c r="E658" s="79">
        <v>1047.0899999999999</v>
      </c>
      <c r="F658" s="81">
        <v>46253</v>
      </c>
      <c r="G658" s="79" cm="1">
        <f t="array" ref="G658:X658">_xlfn._xlws.FILTER(Formulas!$C$2:$T$201, ISNUMBER(MATCH(Formulas!$B$2:$B$201, B658, 0)),0) * E658</f>
        <v>183.45016799999999</v>
      </c>
      <c r="H658" s="79">
        <v>732.96299999999985</v>
      </c>
      <c r="I658" s="79">
        <v>57.799367999999994</v>
      </c>
      <c r="J658" s="79">
        <v>41.464764000000002</v>
      </c>
      <c r="K658" s="79">
        <v>0</v>
      </c>
      <c r="L658" s="79">
        <v>0</v>
      </c>
      <c r="M658" s="79">
        <v>31.412699999999997</v>
      </c>
      <c r="N658" s="79">
        <v>0</v>
      </c>
      <c r="O658" s="79">
        <v>0</v>
      </c>
      <c r="P658" s="79">
        <v>0</v>
      </c>
      <c r="Q658" s="79">
        <v>0</v>
      </c>
      <c r="R658" s="79">
        <v>0</v>
      </c>
      <c r="S658" s="79">
        <v>0</v>
      </c>
      <c r="T658" s="79">
        <v>0</v>
      </c>
      <c r="U658" s="79">
        <v>0</v>
      </c>
      <c r="V658" s="79">
        <v>0</v>
      </c>
      <c r="W658" s="79">
        <v>0</v>
      </c>
      <c r="X658" s="90">
        <v>0</v>
      </c>
    </row>
    <row r="659" spans="1:24" hidden="1" x14ac:dyDescent="0.25">
      <c r="A659" s="80" t="str">
        <v>ESPERANZA</v>
      </c>
      <c r="B659" s="80" t="str">
        <v>Matara</v>
      </c>
      <c r="C659" s="80" t="str">
        <v>Octubre</v>
      </c>
      <c r="D659" s="81">
        <v>46260</v>
      </c>
      <c r="E659" s="79">
        <v>1084.71</v>
      </c>
      <c r="F659" s="81">
        <v>46253</v>
      </c>
      <c r="G659" s="79" cm="1">
        <f t="array" ref="G659:X659">_xlfn._xlws.FILTER(Formulas!$C$2:$T$201, ISNUMBER(MATCH(Formulas!$B$2:$B$201, B659, 0)),0) * E659</f>
        <v>190.041192</v>
      </c>
      <c r="H659" s="79">
        <v>759.29700000000003</v>
      </c>
      <c r="I659" s="79">
        <v>59.875992000000004</v>
      </c>
      <c r="J659" s="79">
        <v>42.954516000000005</v>
      </c>
      <c r="K659" s="79">
        <v>0</v>
      </c>
      <c r="L659" s="79">
        <v>0</v>
      </c>
      <c r="M659" s="79">
        <v>32.5413</v>
      </c>
      <c r="N659" s="79">
        <v>0</v>
      </c>
      <c r="O659" s="79">
        <v>0</v>
      </c>
      <c r="P659" s="79">
        <v>0</v>
      </c>
      <c r="Q659" s="79">
        <v>0</v>
      </c>
      <c r="R659" s="79">
        <v>0</v>
      </c>
      <c r="S659" s="79">
        <v>0</v>
      </c>
      <c r="T659" s="79">
        <v>0</v>
      </c>
      <c r="U659" s="79">
        <v>0</v>
      </c>
      <c r="V659" s="79">
        <v>0</v>
      </c>
      <c r="W659" s="79">
        <v>0</v>
      </c>
      <c r="X659" s="90">
        <v>0</v>
      </c>
    </row>
    <row r="660" spans="1:24" hidden="1" x14ac:dyDescent="0.25">
      <c r="A660" s="80" t="str">
        <v>ESPERANZA</v>
      </c>
      <c r="B660" s="80" t="str">
        <v>Matara</v>
      </c>
      <c r="C660" s="80" t="str">
        <v>Noviembre</v>
      </c>
      <c r="D660" s="81">
        <v>46318</v>
      </c>
      <c r="E660" s="79">
        <v>1047.0899999999999</v>
      </c>
      <c r="F660" s="81">
        <v>0</v>
      </c>
      <c r="G660" s="79" cm="1">
        <f t="array" ref="G660:X660">_xlfn._xlws.FILTER(Formulas!$C$2:$T$201, ISNUMBER(MATCH(Formulas!$B$2:$B$201, B660, 0)),0) * E660</f>
        <v>183.45016799999999</v>
      </c>
      <c r="H660" s="79">
        <v>732.96299999999985</v>
      </c>
      <c r="I660" s="79">
        <v>57.799367999999994</v>
      </c>
      <c r="J660" s="79">
        <v>41.464764000000002</v>
      </c>
      <c r="K660" s="79">
        <v>0</v>
      </c>
      <c r="L660" s="79">
        <v>0</v>
      </c>
      <c r="M660" s="79">
        <v>31.412699999999997</v>
      </c>
      <c r="N660" s="79">
        <v>0</v>
      </c>
      <c r="O660" s="79">
        <v>0</v>
      </c>
      <c r="P660" s="79">
        <v>0</v>
      </c>
      <c r="Q660" s="79">
        <v>0</v>
      </c>
      <c r="R660" s="79">
        <v>0</v>
      </c>
      <c r="S660" s="79">
        <v>0</v>
      </c>
      <c r="T660" s="79">
        <v>0</v>
      </c>
      <c r="U660" s="79">
        <v>0</v>
      </c>
      <c r="V660" s="79">
        <v>0</v>
      </c>
      <c r="W660" s="79">
        <v>0</v>
      </c>
      <c r="X660" s="90">
        <v>0</v>
      </c>
    </row>
    <row r="661" spans="1:24" hidden="1" x14ac:dyDescent="0.25">
      <c r="A661" s="80" t="str">
        <v>ESPERANZA</v>
      </c>
      <c r="B661" s="80" t="str">
        <v>Matara</v>
      </c>
      <c r="C661" s="80" t="str">
        <v>Diciembre</v>
      </c>
      <c r="D661" s="81">
        <v>46318</v>
      </c>
      <c r="E661" s="79">
        <v>1100.28</v>
      </c>
      <c r="F661" s="81">
        <v>0</v>
      </c>
      <c r="G661" s="79" cm="1">
        <f t="array" ref="G661:X661">_xlfn._xlws.FILTER(Formulas!$C$2:$T$201, ISNUMBER(MATCH(Formulas!$B$2:$B$201, B661, 0)),0) * E661</f>
        <v>192.76905599999998</v>
      </c>
      <c r="H661" s="79">
        <v>770.19599999999991</v>
      </c>
      <c r="I661" s="79">
        <v>60.735455999999999</v>
      </c>
      <c r="J661" s="79">
        <v>43.571088000000003</v>
      </c>
      <c r="K661" s="79">
        <v>0</v>
      </c>
      <c r="L661" s="79">
        <v>0</v>
      </c>
      <c r="M661" s="79">
        <v>33.008399999999995</v>
      </c>
      <c r="N661" s="79">
        <v>0</v>
      </c>
      <c r="O661" s="79">
        <v>0</v>
      </c>
      <c r="P661" s="79">
        <v>0</v>
      </c>
      <c r="Q661" s="79">
        <v>0</v>
      </c>
      <c r="R661" s="79">
        <v>0</v>
      </c>
      <c r="S661" s="79">
        <v>0</v>
      </c>
      <c r="T661" s="79">
        <v>0</v>
      </c>
      <c r="U661" s="79">
        <v>0</v>
      </c>
      <c r="V661" s="79">
        <v>0</v>
      </c>
      <c r="W661" s="79">
        <v>0</v>
      </c>
      <c r="X661" s="90">
        <v>0</v>
      </c>
    </row>
    <row r="662" spans="1:24" hidden="1" x14ac:dyDescent="0.25">
      <c r="A662" s="80" t="str">
        <v>PENDIENTE</v>
      </c>
      <c r="B662" s="80" t="str">
        <v>Morales</v>
      </c>
      <c r="C662" s="80" t="str">
        <v>Enero</v>
      </c>
      <c r="D662" s="81">
        <v>46027</v>
      </c>
      <c r="E662" s="79">
        <v>1430</v>
      </c>
      <c r="F662" s="81">
        <v>46026</v>
      </c>
      <c r="G662" s="79" cm="1">
        <f t="array" ref="G662:X662">_xlfn._xlws.FILTER(Formulas!$C$2:$T$201, ISNUMBER(MATCH(Formulas!$B$2:$B$201, B662, 0)),0) * E662</f>
        <v>200.00000000000003</v>
      </c>
      <c r="H662" s="79">
        <v>580</v>
      </c>
      <c r="I662" s="79">
        <v>50.000000000000007</v>
      </c>
      <c r="J662" s="79">
        <v>50.000000000000007</v>
      </c>
      <c r="K662" s="79">
        <v>0</v>
      </c>
      <c r="L662" s="79">
        <v>0</v>
      </c>
      <c r="M662" s="79">
        <v>50.000000000000007</v>
      </c>
      <c r="N662" s="79">
        <v>0</v>
      </c>
      <c r="O662" s="79">
        <v>500</v>
      </c>
      <c r="P662" s="79">
        <v>0</v>
      </c>
      <c r="Q662" s="79">
        <v>0</v>
      </c>
      <c r="R662" s="79">
        <v>0</v>
      </c>
      <c r="S662" s="79">
        <v>0</v>
      </c>
      <c r="T662" s="79">
        <v>0</v>
      </c>
      <c r="U662" s="79">
        <v>0</v>
      </c>
      <c r="V662" s="79">
        <v>0</v>
      </c>
      <c r="W662" s="79">
        <v>0</v>
      </c>
      <c r="X662" s="90">
        <v>0</v>
      </c>
    </row>
    <row r="663" spans="1:24" hidden="1" x14ac:dyDescent="0.25">
      <c r="A663" s="80" t="str">
        <v>PENDIENTE</v>
      </c>
      <c r="B663" s="80" t="str">
        <v>Morales</v>
      </c>
      <c r="C663" s="80" t="str">
        <v>Febrero</v>
      </c>
      <c r="D663" s="81">
        <v>46045</v>
      </c>
      <c r="E663" s="79">
        <v>1292</v>
      </c>
      <c r="F663" s="81">
        <v>46039</v>
      </c>
      <c r="G663" s="79" cm="1">
        <f t="array" ref="G663:X663">_xlfn._xlws.FILTER(Formulas!$C$2:$T$201, ISNUMBER(MATCH(Formulas!$B$2:$B$201, B663, 0)),0) * E663</f>
        <v>180.69930069930072</v>
      </c>
      <c r="H663" s="79">
        <v>524.02797202797206</v>
      </c>
      <c r="I663" s="79">
        <v>45.17482517482518</v>
      </c>
      <c r="J663" s="79">
        <v>45.17482517482518</v>
      </c>
      <c r="K663" s="79">
        <v>0</v>
      </c>
      <c r="L663" s="79">
        <v>0</v>
      </c>
      <c r="M663" s="79">
        <v>45.17482517482518</v>
      </c>
      <c r="N663" s="79">
        <v>0</v>
      </c>
      <c r="O663" s="79">
        <v>451.74825174825173</v>
      </c>
      <c r="P663" s="79">
        <v>0</v>
      </c>
      <c r="Q663" s="79">
        <v>0</v>
      </c>
      <c r="R663" s="79">
        <v>0</v>
      </c>
      <c r="S663" s="79">
        <v>0</v>
      </c>
      <c r="T663" s="79">
        <v>0</v>
      </c>
      <c r="U663" s="79">
        <v>0</v>
      </c>
      <c r="V663" s="79">
        <v>0</v>
      </c>
      <c r="W663" s="79">
        <v>0</v>
      </c>
      <c r="X663" s="90">
        <v>0</v>
      </c>
    </row>
    <row r="664" spans="1:24" hidden="1" x14ac:dyDescent="0.25">
      <c r="A664" s="80" t="str">
        <v>PENDIENTE</v>
      </c>
      <c r="B664" s="80" t="str">
        <v>Morales</v>
      </c>
      <c r="C664" s="80" t="str">
        <v>Marzo</v>
      </c>
      <c r="D664" s="81">
        <v>46073</v>
      </c>
      <c r="E664" s="79">
        <v>1430</v>
      </c>
      <c r="F664" s="81">
        <v>46063</v>
      </c>
      <c r="G664" s="79" cm="1">
        <f t="array" ref="G664:X664">_xlfn._xlws.FILTER(Formulas!$C$2:$T$201, ISNUMBER(MATCH(Formulas!$B$2:$B$201, B664, 0)),0) * E664</f>
        <v>200.00000000000003</v>
      </c>
      <c r="H664" s="79">
        <v>580</v>
      </c>
      <c r="I664" s="79">
        <v>50.000000000000007</v>
      </c>
      <c r="J664" s="79">
        <v>50.000000000000007</v>
      </c>
      <c r="K664" s="79">
        <v>0</v>
      </c>
      <c r="L664" s="79">
        <v>0</v>
      </c>
      <c r="M664" s="79">
        <v>50.000000000000007</v>
      </c>
      <c r="N664" s="79">
        <v>0</v>
      </c>
      <c r="O664" s="79">
        <v>500</v>
      </c>
      <c r="P664" s="79">
        <v>0</v>
      </c>
      <c r="Q664" s="79">
        <v>0</v>
      </c>
      <c r="R664" s="79">
        <v>0</v>
      </c>
      <c r="S664" s="79">
        <v>0</v>
      </c>
      <c r="T664" s="79">
        <v>0</v>
      </c>
      <c r="U664" s="79">
        <v>0</v>
      </c>
      <c r="V664" s="79">
        <v>0</v>
      </c>
      <c r="W664" s="79">
        <v>0</v>
      </c>
      <c r="X664" s="90">
        <v>0</v>
      </c>
    </row>
    <row r="665" spans="1:24" hidden="1" x14ac:dyDescent="0.25">
      <c r="A665" s="80" t="str">
        <v>PENDIENTE</v>
      </c>
      <c r="B665" s="80" t="str">
        <v>Morales</v>
      </c>
      <c r="C665" s="80" t="str">
        <v>Abril</v>
      </c>
      <c r="D665" s="81">
        <v>46101</v>
      </c>
      <c r="E665" s="79">
        <v>1384</v>
      </c>
      <c r="F665" s="81">
        <v>46086</v>
      </c>
      <c r="G665" s="79" cm="1">
        <f t="array" ref="G665:X665">_xlfn._xlws.FILTER(Formulas!$C$2:$T$201, ISNUMBER(MATCH(Formulas!$B$2:$B$201, B665, 0)),0) * E665</f>
        <v>193.56643356643357</v>
      </c>
      <c r="H665" s="79">
        <v>561.34265734265728</v>
      </c>
      <c r="I665" s="79">
        <v>48.391608391608393</v>
      </c>
      <c r="J665" s="79">
        <v>48.391608391608393</v>
      </c>
      <c r="K665" s="79">
        <v>0</v>
      </c>
      <c r="L665" s="79">
        <v>0</v>
      </c>
      <c r="M665" s="79">
        <v>48.391608391608393</v>
      </c>
      <c r="N665" s="79">
        <v>0</v>
      </c>
      <c r="O665" s="79">
        <v>483.91608391608389</v>
      </c>
      <c r="P665" s="79">
        <v>0</v>
      </c>
      <c r="Q665" s="79">
        <v>0</v>
      </c>
      <c r="R665" s="79">
        <v>0</v>
      </c>
      <c r="S665" s="79">
        <v>0</v>
      </c>
      <c r="T665" s="79">
        <v>0</v>
      </c>
      <c r="U665" s="79">
        <v>0</v>
      </c>
      <c r="V665" s="79">
        <v>0</v>
      </c>
      <c r="W665" s="79">
        <v>0</v>
      </c>
      <c r="X665" s="90">
        <v>0</v>
      </c>
    </row>
    <row r="666" spans="1:24" hidden="1" x14ac:dyDescent="0.25">
      <c r="A666" s="80" t="str">
        <v>PENDIENTE</v>
      </c>
      <c r="B666" s="80" t="str">
        <v>Morales</v>
      </c>
      <c r="C666" s="80" t="str">
        <v>Mayo</v>
      </c>
      <c r="D666" s="81">
        <v>46133</v>
      </c>
      <c r="E666" s="79">
        <v>1430</v>
      </c>
      <c r="F666" s="80">
        <v>46121</v>
      </c>
      <c r="G666" s="79" cm="1">
        <f t="array" ref="G666:X666">_xlfn._xlws.FILTER(Formulas!$C$2:$T$201, ISNUMBER(MATCH(Formulas!$B$2:$B$201, B666, 0)),0) * E666</f>
        <v>200.00000000000003</v>
      </c>
      <c r="H666" s="79">
        <v>580</v>
      </c>
      <c r="I666" s="79">
        <v>50.000000000000007</v>
      </c>
      <c r="J666" s="79">
        <v>50.000000000000007</v>
      </c>
      <c r="K666" s="79">
        <v>0</v>
      </c>
      <c r="L666" s="79">
        <v>0</v>
      </c>
      <c r="M666" s="79">
        <v>50.000000000000007</v>
      </c>
      <c r="N666" s="79">
        <v>0</v>
      </c>
      <c r="O666" s="79">
        <v>500</v>
      </c>
      <c r="P666" s="79">
        <v>0</v>
      </c>
      <c r="Q666" s="79">
        <v>0</v>
      </c>
      <c r="R666" s="79">
        <v>0</v>
      </c>
      <c r="S666" s="79">
        <v>0</v>
      </c>
      <c r="T666" s="79">
        <v>0</v>
      </c>
      <c r="U666" s="79">
        <v>0</v>
      </c>
      <c r="V666" s="79">
        <v>0</v>
      </c>
      <c r="W666" s="79">
        <v>0</v>
      </c>
      <c r="X666" s="90">
        <v>0</v>
      </c>
    </row>
    <row r="667" spans="1:24" hidden="1" x14ac:dyDescent="0.25">
      <c r="A667" s="80" t="str">
        <v>PENDIENTE</v>
      </c>
      <c r="B667" s="80" t="str">
        <v>Morales</v>
      </c>
      <c r="C667" s="80" t="str">
        <v>Junio</v>
      </c>
      <c r="D667" s="81">
        <v>46162</v>
      </c>
      <c r="E667" s="79">
        <v>1384</v>
      </c>
      <c r="F667" s="80">
        <v>46151</v>
      </c>
      <c r="G667" s="79" cm="1">
        <f t="array" ref="G667:X667">_xlfn._xlws.FILTER(Formulas!$C$2:$T$201, ISNUMBER(MATCH(Formulas!$B$2:$B$201, B667, 0)),0) * E667</f>
        <v>193.56643356643357</v>
      </c>
      <c r="H667" s="79">
        <v>561.34265734265728</v>
      </c>
      <c r="I667" s="79">
        <v>48.391608391608393</v>
      </c>
      <c r="J667" s="79">
        <v>48.391608391608393</v>
      </c>
      <c r="K667" s="79">
        <v>0</v>
      </c>
      <c r="L667" s="79">
        <v>0</v>
      </c>
      <c r="M667" s="79">
        <v>48.391608391608393</v>
      </c>
      <c r="N667" s="79">
        <v>0</v>
      </c>
      <c r="O667" s="79">
        <v>483.91608391608389</v>
      </c>
      <c r="P667" s="79">
        <v>0</v>
      </c>
      <c r="Q667" s="79">
        <v>0</v>
      </c>
      <c r="R667" s="79">
        <v>0</v>
      </c>
      <c r="S667" s="79">
        <v>0</v>
      </c>
      <c r="T667" s="79">
        <v>0</v>
      </c>
      <c r="U667" s="79">
        <v>0</v>
      </c>
      <c r="V667" s="79">
        <v>0</v>
      </c>
      <c r="W667" s="79">
        <v>0</v>
      </c>
      <c r="X667" s="90">
        <v>0</v>
      </c>
    </row>
    <row r="668" spans="1:24" hidden="1" x14ac:dyDescent="0.25">
      <c r="A668" s="80" t="str">
        <v>PENDIENTE</v>
      </c>
      <c r="B668" s="80" t="str">
        <v>Morales</v>
      </c>
      <c r="C668" s="80" t="str">
        <v>Julio</v>
      </c>
      <c r="D668" s="81">
        <v>46195</v>
      </c>
      <c r="E668" s="79">
        <v>1430</v>
      </c>
      <c r="F668" s="81">
        <v>46168</v>
      </c>
      <c r="G668" s="79" cm="1">
        <f t="array" ref="G668:X668">_xlfn._xlws.FILTER(Formulas!$C$2:$T$201, ISNUMBER(MATCH(Formulas!$B$2:$B$201, B668, 0)),0) * E668</f>
        <v>200.00000000000003</v>
      </c>
      <c r="H668" s="79">
        <v>580</v>
      </c>
      <c r="I668" s="79">
        <v>50.000000000000007</v>
      </c>
      <c r="J668" s="79">
        <v>50.000000000000007</v>
      </c>
      <c r="K668" s="79">
        <v>0</v>
      </c>
      <c r="L668" s="79">
        <v>0</v>
      </c>
      <c r="M668" s="79">
        <v>50.000000000000007</v>
      </c>
      <c r="N668" s="79">
        <v>0</v>
      </c>
      <c r="O668" s="79">
        <v>500</v>
      </c>
      <c r="P668" s="79">
        <v>0</v>
      </c>
      <c r="Q668" s="79">
        <v>0</v>
      </c>
      <c r="R668" s="79">
        <v>0</v>
      </c>
      <c r="S668" s="79">
        <v>0</v>
      </c>
      <c r="T668" s="79">
        <v>0</v>
      </c>
      <c r="U668" s="79">
        <v>0</v>
      </c>
      <c r="V668" s="79">
        <v>0</v>
      </c>
      <c r="W668" s="79">
        <v>0</v>
      </c>
      <c r="X668" s="90">
        <v>0</v>
      </c>
    </row>
    <row r="669" spans="1:24" hidden="1" x14ac:dyDescent="0.25">
      <c r="A669" s="80" t="str">
        <v>PENDIENTE</v>
      </c>
      <c r="B669" s="80" t="str">
        <v>Morales</v>
      </c>
      <c r="C669" s="80" t="str">
        <v>Agosto</v>
      </c>
      <c r="D669" s="81">
        <v>46224</v>
      </c>
      <c r="E669" s="79">
        <v>1430</v>
      </c>
      <c r="F669" s="81">
        <v>46214</v>
      </c>
      <c r="G669" s="79" cm="1">
        <f t="array" ref="G669:X669">_xlfn._xlws.FILTER(Formulas!$C$2:$T$201, ISNUMBER(MATCH(Formulas!$B$2:$B$201, B669, 0)),0) * E669</f>
        <v>200.00000000000003</v>
      </c>
      <c r="H669" s="79">
        <v>580</v>
      </c>
      <c r="I669" s="79">
        <v>50.000000000000007</v>
      </c>
      <c r="J669" s="79">
        <v>50.000000000000007</v>
      </c>
      <c r="K669" s="79">
        <v>0</v>
      </c>
      <c r="L669" s="79">
        <v>0</v>
      </c>
      <c r="M669" s="79">
        <v>50.000000000000007</v>
      </c>
      <c r="N669" s="79">
        <v>0</v>
      </c>
      <c r="O669" s="79">
        <v>500</v>
      </c>
      <c r="P669" s="79">
        <v>0</v>
      </c>
      <c r="Q669" s="79">
        <v>0</v>
      </c>
      <c r="R669" s="79">
        <v>0</v>
      </c>
      <c r="S669" s="79">
        <v>0</v>
      </c>
      <c r="T669" s="79">
        <v>0</v>
      </c>
      <c r="U669" s="79">
        <v>0</v>
      </c>
      <c r="V669" s="79">
        <v>0</v>
      </c>
      <c r="W669" s="79">
        <v>0</v>
      </c>
      <c r="X669" s="90">
        <v>0</v>
      </c>
    </row>
    <row r="670" spans="1:24" hidden="1" x14ac:dyDescent="0.25">
      <c r="A670" s="80" t="str">
        <v>PENDIENTE</v>
      </c>
      <c r="B670" s="80" t="str">
        <v>Morales</v>
      </c>
      <c r="C670" s="80" t="str">
        <v>Setiembre</v>
      </c>
      <c r="D670" s="81">
        <v>46253</v>
      </c>
      <c r="E670" s="79">
        <v>1384</v>
      </c>
      <c r="F670" s="81">
        <v>46234</v>
      </c>
      <c r="G670" s="79" cm="1">
        <f t="array" ref="G670:X670">_xlfn._xlws.FILTER(Formulas!$C$2:$T$201, ISNUMBER(MATCH(Formulas!$B$2:$B$201, B670, 0)),0) * E670</f>
        <v>193.56643356643357</v>
      </c>
      <c r="H670" s="79">
        <v>561.34265734265728</v>
      </c>
      <c r="I670" s="79">
        <v>48.391608391608393</v>
      </c>
      <c r="J670" s="79">
        <v>48.391608391608393</v>
      </c>
      <c r="K670" s="79">
        <v>0</v>
      </c>
      <c r="L670" s="79">
        <v>0</v>
      </c>
      <c r="M670" s="79">
        <v>48.391608391608393</v>
      </c>
      <c r="N670" s="79">
        <v>0</v>
      </c>
      <c r="O670" s="79">
        <v>483.91608391608389</v>
      </c>
      <c r="P670" s="79">
        <v>0</v>
      </c>
      <c r="Q670" s="79">
        <v>0</v>
      </c>
      <c r="R670" s="79">
        <v>0</v>
      </c>
      <c r="S670" s="79">
        <v>0</v>
      </c>
      <c r="T670" s="79">
        <v>0</v>
      </c>
      <c r="U670" s="79">
        <v>0</v>
      </c>
      <c r="V670" s="79">
        <v>0</v>
      </c>
      <c r="W670" s="79">
        <v>0</v>
      </c>
      <c r="X670" s="90">
        <v>0</v>
      </c>
    </row>
    <row r="671" spans="1:24" hidden="1" x14ac:dyDescent="0.25">
      <c r="A671" s="80" t="str">
        <v>PENDIENTE</v>
      </c>
      <c r="B671" s="80" t="str">
        <v>Morales</v>
      </c>
      <c r="C671" s="80" t="str">
        <v>Octubre</v>
      </c>
      <c r="D671" s="81">
        <v>46286</v>
      </c>
      <c r="E671" s="79">
        <v>1430</v>
      </c>
      <c r="F671" s="81">
        <v>46273</v>
      </c>
      <c r="G671" s="79" cm="1">
        <f t="array" ref="G671:X671">_xlfn._xlws.FILTER(Formulas!$C$2:$T$201, ISNUMBER(MATCH(Formulas!$B$2:$B$201, B671, 0)),0) * E671</f>
        <v>200.00000000000003</v>
      </c>
      <c r="H671" s="79">
        <v>580</v>
      </c>
      <c r="I671" s="79">
        <v>50.000000000000007</v>
      </c>
      <c r="J671" s="79">
        <v>50.000000000000007</v>
      </c>
      <c r="K671" s="79">
        <v>0</v>
      </c>
      <c r="L671" s="79">
        <v>0</v>
      </c>
      <c r="M671" s="79">
        <v>50.000000000000007</v>
      </c>
      <c r="N671" s="79">
        <v>0</v>
      </c>
      <c r="O671" s="79">
        <v>500</v>
      </c>
      <c r="P671" s="79">
        <v>0</v>
      </c>
      <c r="Q671" s="79">
        <v>0</v>
      </c>
      <c r="R671" s="79">
        <v>0</v>
      </c>
      <c r="S671" s="79">
        <v>0</v>
      </c>
      <c r="T671" s="79">
        <v>0</v>
      </c>
      <c r="U671" s="79">
        <v>0</v>
      </c>
      <c r="V671" s="79">
        <v>0</v>
      </c>
      <c r="W671" s="79">
        <v>0</v>
      </c>
      <c r="X671" s="90">
        <v>0</v>
      </c>
    </row>
    <row r="672" spans="1:24" hidden="1" x14ac:dyDescent="0.25">
      <c r="A672" s="80" t="str">
        <v>PENDIENTE</v>
      </c>
      <c r="B672" s="80" t="str">
        <v>Morales</v>
      </c>
      <c r="C672" s="80" t="str">
        <v>Noviembre</v>
      </c>
      <c r="D672" s="81">
        <v>46315</v>
      </c>
      <c r="E672" s="79">
        <v>1384</v>
      </c>
      <c r="F672" s="81">
        <v>0</v>
      </c>
      <c r="G672" s="79" cm="1">
        <f t="array" ref="G672:X672">_xlfn._xlws.FILTER(Formulas!$C$2:$T$201, ISNUMBER(MATCH(Formulas!$B$2:$B$201, B672, 0)),0) * E672</f>
        <v>193.56643356643357</v>
      </c>
      <c r="H672" s="79">
        <v>561.34265734265728</v>
      </c>
      <c r="I672" s="79">
        <v>48.391608391608393</v>
      </c>
      <c r="J672" s="79">
        <v>48.391608391608393</v>
      </c>
      <c r="K672" s="79">
        <v>0</v>
      </c>
      <c r="L672" s="79">
        <v>0</v>
      </c>
      <c r="M672" s="79">
        <v>48.391608391608393</v>
      </c>
      <c r="N672" s="79">
        <v>0</v>
      </c>
      <c r="O672" s="79">
        <v>483.91608391608389</v>
      </c>
      <c r="P672" s="79">
        <v>0</v>
      </c>
      <c r="Q672" s="79">
        <v>0</v>
      </c>
      <c r="R672" s="79">
        <v>0</v>
      </c>
      <c r="S672" s="79">
        <v>0</v>
      </c>
      <c r="T672" s="79">
        <v>0</v>
      </c>
      <c r="U672" s="79">
        <v>0</v>
      </c>
      <c r="V672" s="79">
        <v>0</v>
      </c>
      <c r="W672" s="79">
        <v>0</v>
      </c>
      <c r="X672" s="90">
        <v>0</v>
      </c>
    </row>
    <row r="673" spans="1:24" hidden="1" x14ac:dyDescent="0.25">
      <c r="A673" s="80" t="str">
        <v>PENDIENTE</v>
      </c>
      <c r="B673" s="80" t="str">
        <v>Morales</v>
      </c>
      <c r="C673" s="80" t="str">
        <v>Diciembre</v>
      </c>
      <c r="D673" s="81">
        <v>46346</v>
      </c>
      <c r="E673" s="79">
        <v>1424</v>
      </c>
      <c r="F673" s="81">
        <v>0</v>
      </c>
      <c r="G673" s="79" cm="1">
        <f t="array" ref="G673:X673">_xlfn._xlws.FILTER(Formulas!$C$2:$T$201, ISNUMBER(MATCH(Formulas!$B$2:$B$201, B673, 0)),0) * E673</f>
        <v>199.16083916083917</v>
      </c>
      <c r="H673" s="79">
        <v>577.56643356643349</v>
      </c>
      <c r="I673" s="79">
        <v>49.790209790209794</v>
      </c>
      <c r="J673" s="79">
        <v>49.790209790209794</v>
      </c>
      <c r="K673" s="79">
        <v>0</v>
      </c>
      <c r="L673" s="79">
        <v>0</v>
      </c>
      <c r="M673" s="79">
        <v>49.790209790209794</v>
      </c>
      <c r="N673" s="79">
        <v>0</v>
      </c>
      <c r="O673" s="79">
        <v>497.90209790209786</v>
      </c>
      <c r="P673" s="79">
        <v>0</v>
      </c>
      <c r="Q673" s="79">
        <v>0</v>
      </c>
      <c r="R673" s="79">
        <v>0</v>
      </c>
      <c r="S673" s="79">
        <v>0</v>
      </c>
      <c r="T673" s="79">
        <v>0</v>
      </c>
      <c r="U673" s="79">
        <v>0</v>
      </c>
      <c r="V673" s="79">
        <v>0</v>
      </c>
      <c r="W673" s="79">
        <v>0</v>
      </c>
      <c r="X673" s="90">
        <v>0</v>
      </c>
    </row>
    <row r="674" spans="1:24" hidden="1" x14ac:dyDescent="0.25">
      <c r="A674" s="80" t="str">
        <v>PENDIENTE</v>
      </c>
      <c r="B674" s="80" t="str">
        <v>Moyobamba</v>
      </c>
      <c r="C674" s="80" t="str">
        <v>Enero</v>
      </c>
      <c r="D674" s="81">
        <v>46037</v>
      </c>
      <c r="E674" s="79">
        <v>4791</v>
      </c>
      <c r="F674" s="81">
        <v>46051</v>
      </c>
      <c r="G674" s="79" cm="1">
        <f t="array" ref="G674:X674">_xlfn._xlws.FILTER(Formulas!$C$2:$T$201, ISNUMBER(MATCH(Formulas!$B$2:$B$201, B674, 0)),0) * E674</f>
        <v>718.80763325290638</v>
      </c>
      <c r="H674" s="79">
        <v>1911.0404694011845</v>
      </c>
      <c r="I674" s="79">
        <v>0</v>
      </c>
      <c r="J674" s="79">
        <v>95.630840096512387</v>
      </c>
      <c r="K674" s="79">
        <v>0</v>
      </c>
      <c r="L674" s="79">
        <v>0</v>
      </c>
      <c r="M674" s="79">
        <v>239.60254441763544</v>
      </c>
      <c r="N674" s="79">
        <v>0</v>
      </c>
      <c r="O674" s="79">
        <v>1820.6640710682166</v>
      </c>
      <c r="P674" s="79">
        <v>0</v>
      </c>
      <c r="Q674" s="79">
        <v>0</v>
      </c>
      <c r="R674" s="79">
        <v>0</v>
      </c>
      <c r="S674" s="79">
        <v>0</v>
      </c>
      <c r="T674" s="79">
        <v>0</v>
      </c>
      <c r="U674" s="79">
        <v>0</v>
      </c>
      <c r="V674" s="79">
        <v>5.2544417635446372</v>
      </c>
      <c r="W674" s="79">
        <v>0</v>
      </c>
      <c r="X674" s="90">
        <v>0</v>
      </c>
    </row>
    <row r="675" spans="1:24" hidden="1" x14ac:dyDescent="0.25">
      <c r="A675" s="80" t="str">
        <v>PENDIENTE</v>
      </c>
      <c r="B675" s="80" t="str">
        <v>Moyobamba</v>
      </c>
      <c r="C675" s="80" t="str">
        <v>Febrero</v>
      </c>
      <c r="D675" s="81">
        <v>46053</v>
      </c>
      <c r="E675" s="79">
        <v>4327</v>
      </c>
      <c r="F675" s="81">
        <v>46051</v>
      </c>
      <c r="G675" s="79" cm="1">
        <f t="array" ref="G675:X675">_xlfn._xlws.FILTER(Formulas!$C$2:$T$201, ISNUMBER(MATCH(Formulas!$B$2:$B$201, B675, 0)),0) * E675</f>
        <v>649.19236674709362</v>
      </c>
      <c r="H675" s="79">
        <v>1725.9595305988155</v>
      </c>
      <c r="I675" s="79">
        <v>0</v>
      </c>
      <c r="J675" s="79">
        <v>86.369159903487599</v>
      </c>
      <c r="K675" s="79">
        <v>0</v>
      </c>
      <c r="L675" s="79">
        <v>0</v>
      </c>
      <c r="M675" s="79">
        <v>216.39745558236453</v>
      </c>
      <c r="N675" s="79">
        <v>0</v>
      </c>
      <c r="O675" s="79">
        <v>1644.3359289317832</v>
      </c>
      <c r="P675" s="79">
        <v>0</v>
      </c>
      <c r="Q675" s="79">
        <v>0</v>
      </c>
      <c r="R675" s="79">
        <v>0</v>
      </c>
      <c r="S675" s="79">
        <v>0</v>
      </c>
      <c r="T675" s="79">
        <v>0</v>
      </c>
      <c r="U675" s="79">
        <v>0</v>
      </c>
      <c r="V675" s="79">
        <v>4.7455582364553628</v>
      </c>
      <c r="W675" s="79">
        <v>0</v>
      </c>
      <c r="X675" s="90">
        <v>0</v>
      </c>
    </row>
    <row r="676" spans="1:24" hidden="1" x14ac:dyDescent="0.25">
      <c r="A676" s="80" t="str">
        <v>PENDIENTE</v>
      </c>
      <c r="B676" s="80" t="str">
        <v>Moyobamba</v>
      </c>
      <c r="C676" s="80" t="str">
        <v>Marzo</v>
      </c>
      <c r="D676" s="81">
        <v>46073</v>
      </c>
      <c r="E676" s="79">
        <v>565</v>
      </c>
      <c r="F676" s="81">
        <v>46063</v>
      </c>
      <c r="G676" s="79" cm="1">
        <f t="array" ref="G676:X676">_xlfn._xlws.FILTER(Formulas!$C$2:$T$201, ISNUMBER(MATCH(Formulas!$B$2:$B$201, B676, 0)),0) * E676</f>
        <v>84.768589602983113</v>
      </c>
      <c r="H676" s="79">
        <v>225.36795349857425</v>
      </c>
      <c r="I676" s="79">
        <v>0</v>
      </c>
      <c r="J676" s="79">
        <v>11.277692476420267</v>
      </c>
      <c r="K676" s="79">
        <v>0</v>
      </c>
      <c r="L676" s="79">
        <v>0</v>
      </c>
      <c r="M676" s="79">
        <v>28.256196534327703</v>
      </c>
      <c r="N676" s="79">
        <v>0</v>
      </c>
      <c r="O676" s="79">
        <v>214.7099144549243</v>
      </c>
      <c r="P676" s="79">
        <v>0</v>
      </c>
      <c r="Q676" s="79">
        <v>0</v>
      </c>
      <c r="R676" s="79">
        <v>0</v>
      </c>
      <c r="S676" s="79">
        <v>0</v>
      </c>
      <c r="T676" s="79">
        <v>0</v>
      </c>
      <c r="U676" s="79">
        <v>0</v>
      </c>
      <c r="V676" s="79">
        <v>0.61965343277034435</v>
      </c>
      <c r="W676" s="79">
        <v>0</v>
      </c>
      <c r="X676" s="90">
        <v>0</v>
      </c>
    </row>
    <row r="677" spans="1:24" hidden="1" x14ac:dyDescent="0.25">
      <c r="A677" s="80" t="str">
        <v>PENDIENTE</v>
      </c>
      <c r="B677" s="80" t="str">
        <v>Moyobamba</v>
      </c>
      <c r="C677" s="80" t="str">
        <v>Abril</v>
      </c>
      <c r="D677" s="81">
        <v>46101</v>
      </c>
      <c r="E677" s="79">
        <v>4924</v>
      </c>
      <c r="F677" s="81">
        <v>46087</v>
      </c>
      <c r="G677" s="79" cm="1">
        <f t="array" ref="G677:X677">_xlfn._xlws.FILTER(Formulas!$C$2:$T$201, ISNUMBER(MATCH(Formulas!$B$2:$B$201, B677, 0)),0) * E677</f>
        <v>738.76200921254656</v>
      </c>
      <c r="H677" s="79">
        <v>1964.0916867734152</v>
      </c>
      <c r="I677" s="79">
        <v>0</v>
      </c>
      <c r="J677" s="79">
        <v>98.285588944944067</v>
      </c>
      <c r="K677" s="79">
        <v>0</v>
      </c>
      <c r="L677" s="79">
        <v>0</v>
      </c>
      <c r="M677" s="79">
        <v>246.25400307084885</v>
      </c>
      <c r="N677" s="79">
        <v>0</v>
      </c>
      <c r="O677" s="79">
        <v>1871.206404913358</v>
      </c>
      <c r="P677" s="79">
        <v>0</v>
      </c>
      <c r="Q677" s="79">
        <v>0</v>
      </c>
      <c r="R677" s="79">
        <v>0</v>
      </c>
      <c r="S677" s="79">
        <v>0</v>
      </c>
      <c r="T677" s="79">
        <v>0</v>
      </c>
      <c r="U677" s="79">
        <v>0</v>
      </c>
      <c r="V677" s="79">
        <v>5.4003070848870367</v>
      </c>
      <c r="W677" s="79">
        <v>0</v>
      </c>
      <c r="X677" s="90">
        <v>0</v>
      </c>
    </row>
    <row r="678" spans="1:24" hidden="1" x14ac:dyDescent="0.25">
      <c r="A678" s="80" t="str">
        <v>PENDIENTE</v>
      </c>
      <c r="B678" s="80" t="str">
        <v>Moyobamba</v>
      </c>
      <c r="C678" s="80" t="str">
        <v>Mayo</v>
      </c>
      <c r="D678" s="81">
        <v>46132</v>
      </c>
      <c r="E678" s="79">
        <v>5088</v>
      </c>
      <c r="F678" s="80">
        <v>46116</v>
      </c>
      <c r="G678" s="79" cm="1">
        <f t="array" ref="G678:X678">_xlfn._xlws.FILTER(Formulas!$C$2:$T$201, ISNUMBER(MATCH(Formulas!$B$2:$B$201, B678, 0)),0) * E678</f>
        <v>763.36740513270456</v>
      </c>
      <c r="H678" s="79">
        <v>2029.5082254880456</v>
      </c>
      <c r="I678" s="79">
        <v>0</v>
      </c>
      <c r="J678" s="79">
        <v>101.55911384075455</v>
      </c>
      <c r="K678" s="79">
        <v>0</v>
      </c>
      <c r="L678" s="79">
        <v>0</v>
      </c>
      <c r="M678" s="79">
        <v>254.45580171090151</v>
      </c>
      <c r="N678" s="79">
        <v>0</v>
      </c>
      <c r="O678" s="79">
        <v>1933.5292827374424</v>
      </c>
      <c r="P678" s="79">
        <v>0</v>
      </c>
      <c r="Q678" s="79">
        <v>0</v>
      </c>
      <c r="R678" s="79">
        <v>0</v>
      </c>
      <c r="S678" s="79">
        <v>0</v>
      </c>
      <c r="T678" s="79">
        <v>0</v>
      </c>
      <c r="U678" s="79">
        <v>0</v>
      </c>
      <c r="V678" s="79">
        <v>5.5801710901513486</v>
      </c>
      <c r="W678" s="79">
        <v>0</v>
      </c>
      <c r="X678" s="90">
        <v>0</v>
      </c>
    </row>
    <row r="679" spans="1:24" hidden="1" x14ac:dyDescent="0.25">
      <c r="A679" s="80" t="str">
        <v>PENDIENTE</v>
      </c>
      <c r="B679" s="80" t="str">
        <v>Moyobamba</v>
      </c>
      <c r="C679" s="80" t="str">
        <v>Junio</v>
      </c>
      <c r="D679" s="81">
        <v>46132</v>
      </c>
      <c r="E679" s="79">
        <v>4924</v>
      </c>
      <c r="F679" s="80">
        <v>46142</v>
      </c>
      <c r="G679" s="79" cm="1">
        <f t="array" ref="G679:X679">_xlfn._xlws.FILTER(Formulas!$C$2:$T$201, ISNUMBER(MATCH(Formulas!$B$2:$B$201, B679, 0)),0) * E679</f>
        <v>738.76200921254656</v>
      </c>
      <c r="H679" s="79">
        <v>1964.0916867734152</v>
      </c>
      <c r="I679" s="79">
        <v>0</v>
      </c>
      <c r="J679" s="79">
        <v>98.285588944944067</v>
      </c>
      <c r="K679" s="79">
        <v>0</v>
      </c>
      <c r="L679" s="79">
        <v>0</v>
      </c>
      <c r="M679" s="79">
        <v>246.25400307084885</v>
      </c>
      <c r="N679" s="79">
        <v>0</v>
      </c>
      <c r="O679" s="79">
        <v>1871.206404913358</v>
      </c>
      <c r="P679" s="79">
        <v>0</v>
      </c>
      <c r="Q679" s="79">
        <v>0</v>
      </c>
      <c r="R679" s="79">
        <v>0</v>
      </c>
      <c r="S679" s="79">
        <v>0</v>
      </c>
      <c r="T679" s="79">
        <v>0</v>
      </c>
      <c r="U679" s="79">
        <v>0</v>
      </c>
      <c r="V679" s="79">
        <v>5.4003070848870367</v>
      </c>
      <c r="W679" s="79">
        <v>0</v>
      </c>
      <c r="X679" s="90">
        <v>0</v>
      </c>
    </row>
    <row r="680" spans="1:24" hidden="1" x14ac:dyDescent="0.25">
      <c r="A680" s="80" t="str">
        <v>PENDIENTE</v>
      </c>
      <c r="B680" s="80" t="str">
        <v>Moyobamba</v>
      </c>
      <c r="C680" s="80" t="str">
        <v>Julio</v>
      </c>
      <c r="D680" s="81">
        <v>46193</v>
      </c>
      <c r="E680" s="79">
        <v>5088</v>
      </c>
      <c r="F680" s="81">
        <v>46142</v>
      </c>
      <c r="G680" s="79" cm="1">
        <f t="array" ref="G680:X680">_xlfn._xlws.FILTER(Formulas!$C$2:$T$201, ISNUMBER(MATCH(Formulas!$B$2:$B$201, B680, 0)),0) * E680</f>
        <v>763.36740513270456</v>
      </c>
      <c r="H680" s="79">
        <v>2029.5082254880456</v>
      </c>
      <c r="I680" s="79">
        <v>0</v>
      </c>
      <c r="J680" s="79">
        <v>101.55911384075455</v>
      </c>
      <c r="K680" s="79">
        <v>0</v>
      </c>
      <c r="L680" s="79">
        <v>0</v>
      </c>
      <c r="M680" s="79">
        <v>254.45580171090151</v>
      </c>
      <c r="N680" s="79">
        <v>0</v>
      </c>
      <c r="O680" s="79">
        <v>1933.5292827374424</v>
      </c>
      <c r="P680" s="79">
        <v>0</v>
      </c>
      <c r="Q680" s="79">
        <v>0</v>
      </c>
      <c r="R680" s="79">
        <v>0</v>
      </c>
      <c r="S680" s="79">
        <v>0</v>
      </c>
      <c r="T680" s="79">
        <v>0</v>
      </c>
      <c r="U680" s="79">
        <v>0</v>
      </c>
      <c r="V680" s="79">
        <v>5.5801710901513486</v>
      </c>
      <c r="W680" s="79">
        <v>0</v>
      </c>
      <c r="X680" s="90">
        <v>0</v>
      </c>
    </row>
    <row r="681" spans="1:24" hidden="1" x14ac:dyDescent="0.25">
      <c r="A681" s="80" t="str">
        <v>PENDIENTE</v>
      </c>
      <c r="B681" s="80" t="str">
        <v>Moyobamba</v>
      </c>
      <c r="C681" s="80" t="str">
        <v>Agosto</v>
      </c>
      <c r="D681" s="81">
        <v>46203</v>
      </c>
      <c r="E681" s="79">
        <v>5088</v>
      </c>
      <c r="F681" s="81">
        <v>46204</v>
      </c>
      <c r="G681" s="79" cm="1">
        <f t="array" ref="G681:X681">_xlfn._xlws.FILTER(Formulas!$C$2:$T$201, ISNUMBER(MATCH(Formulas!$B$2:$B$201, B681, 0)),0) * E681</f>
        <v>763.36740513270456</v>
      </c>
      <c r="H681" s="79">
        <v>2029.5082254880456</v>
      </c>
      <c r="I681" s="79">
        <v>0</v>
      </c>
      <c r="J681" s="79">
        <v>101.55911384075455</v>
      </c>
      <c r="K681" s="79">
        <v>0</v>
      </c>
      <c r="L681" s="79">
        <v>0</v>
      </c>
      <c r="M681" s="79">
        <v>254.45580171090151</v>
      </c>
      <c r="N681" s="79">
        <v>0</v>
      </c>
      <c r="O681" s="79">
        <v>1933.5292827374424</v>
      </c>
      <c r="P681" s="79">
        <v>0</v>
      </c>
      <c r="Q681" s="79">
        <v>0</v>
      </c>
      <c r="R681" s="79">
        <v>0</v>
      </c>
      <c r="S681" s="79">
        <v>0</v>
      </c>
      <c r="T681" s="79">
        <v>0</v>
      </c>
      <c r="U681" s="79">
        <v>0</v>
      </c>
      <c r="V681" s="79">
        <v>5.5801710901513486</v>
      </c>
      <c r="W681" s="79">
        <v>0</v>
      </c>
      <c r="X681" s="90">
        <v>0</v>
      </c>
    </row>
    <row r="682" spans="1:24" hidden="1" x14ac:dyDescent="0.25">
      <c r="A682" s="80" t="str">
        <v>PENDIENTE</v>
      </c>
      <c r="B682" s="80" t="str">
        <v>Moyobamba</v>
      </c>
      <c r="C682" s="80" t="str">
        <v>Setiembre</v>
      </c>
      <c r="D682" s="81">
        <v>46203</v>
      </c>
      <c r="E682" s="79">
        <v>4924</v>
      </c>
      <c r="F682" s="81">
        <v>46204</v>
      </c>
      <c r="G682" s="79" cm="1">
        <f t="array" ref="G682:X682">_xlfn._xlws.FILTER(Formulas!$C$2:$T$201, ISNUMBER(MATCH(Formulas!$B$2:$B$201, B682, 0)),0) * E682</f>
        <v>738.76200921254656</v>
      </c>
      <c r="H682" s="79">
        <v>1964.0916867734152</v>
      </c>
      <c r="I682" s="79">
        <v>0</v>
      </c>
      <c r="J682" s="79">
        <v>98.285588944944067</v>
      </c>
      <c r="K682" s="79">
        <v>0</v>
      </c>
      <c r="L682" s="79">
        <v>0</v>
      </c>
      <c r="M682" s="79">
        <v>246.25400307084885</v>
      </c>
      <c r="N682" s="79">
        <v>0</v>
      </c>
      <c r="O682" s="79">
        <v>1871.206404913358</v>
      </c>
      <c r="P682" s="79">
        <v>0</v>
      </c>
      <c r="Q682" s="79">
        <v>0</v>
      </c>
      <c r="R682" s="79">
        <v>0</v>
      </c>
      <c r="S682" s="79">
        <v>0</v>
      </c>
      <c r="T682" s="79">
        <v>0</v>
      </c>
      <c r="U682" s="79">
        <v>0</v>
      </c>
      <c r="V682" s="79">
        <v>5.4003070848870367</v>
      </c>
      <c r="W682" s="79">
        <v>0</v>
      </c>
      <c r="X682" s="90">
        <v>0</v>
      </c>
    </row>
    <row r="683" spans="1:24" hidden="1" x14ac:dyDescent="0.25">
      <c r="A683" s="80" t="str">
        <v>PENDIENTE</v>
      </c>
      <c r="B683" s="80" t="str">
        <v>Moyobamba</v>
      </c>
      <c r="C683" s="80" t="str">
        <v>Octubre</v>
      </c>
      <c r="D683" s="81">
        <v>46264</v>
      </c>
      <c r="E683" s="79">
        <v>5088</v>
      </c>
      <c r="F683" s="81">
        <v>46262</v>
      </c>
      <c r="G683" s="79" cm="1">
        <f t="array" ref="G683:X683">_xlfn._xlws.FILTER(Formulas!$C$2:$T$201, ISNUMBER(MATCH(Formulas!$B$2:$B$201, B683, 0)),0) * E683</f>
        <v>763.36740513270456</v>
      </c>
      <c r="H683" s="79">
        <v>2029.5082254880456</v>
      </c>
      <c r="I683" s="79">
        <v>0</v>
      </c>
      <c r="J683" s="79">
        <v>101.55911384075455</v>
      </c>
      <c r="K683" s="79">
        <v>0</v>
      </c>
      <c r="L683" s="79">
        <v>0</v>
      </c>
      <c r="M683" s="79">
        <v>254.45580171090151</v>
      </c>
      <c r="N683" s="79">
        <v>0</v>
      </c>
      <c r="O683" s="79">
        <v>1933.5292827374424</v>
      </c>
      <c r="P683" s="79">
        <v>0</v>
      </c>
      <c r="Q683" s="79">
        <v>0</v>
      </c>
      <c r="R683" s="79">
        <v>0</v>
      </c>
      <c r="S683" s="79">
        <v>0</v>
      </c>
      <c r="T683" s="79">
        <v>0</v>
      </c>
      <c r="U683" s="79">
        <v>0</v>
      </c>
      <c r="V683" s="79">
        <v>5.5801710901513486</v>
      </c>
      <c r="W683" s="79">
        <v>0</v>
      </c>
      <c r="X683" s="90">
        <v>0</v>
      </c>
    </row>
    <row r="684" spans="1:24" hidden="1" x14ac:dyDescent="0.25">
      <c r="A684" s="80" t="str">
        <v>PENDIENTE</v>
      </c>
      <c r="B684" s="80" t="str">
        <v>Moyobamba</v>
      </c>
      <c r="C684" s="80" t="str">
        <v>Noviembre</v>
      </c>
      <c r="D684" s="81">
        <v>46264</v>
      </c>
      <c r="E684" s="79">
        <v>4924</v>
      </c>
      <c r="F684" s="81">
        <v>0</v>
      </c>
      <c r="G684" s="79" cm="1">
        <f t="array" ref="G684:X684">_xlfn._xlws.FILTER(Formulas!$C$2:$T$201, ISNUMBER(MATCH(Formulas!$B$2:$B$201, B684, 0)),0) * E684</f>
        <v>738.76200921254656</v>
      </c>
      <c r="H684" s="79">
        <v>1964.0916867734152</v>
      </c>
      <c r="I684" s="79">
        <v>0</v>
      </c>
      <c r="J684" s="79">
        <v>98.285588944944067</v>
      </c>
      <c r="K684" s="79">
        <v>0</v>
      </c>
      <c r="L684" s="79">
        <v>0</v>
      </c>
      <c r="M684" s="79">
        <v>246.25400307084885</v>
      </c>
      <c r="N684" s="79">
        <v>0</v>
      </c>
      <c r="O684" s="79">
        <v>1871.206404913358</v>
      </c>
      <c r="P684" s="79">
        <v>0</v>
      </c>
      <c r="Q684" s="79">
        <v>0</v>
      </c>
      <c r="R684" s="79">
        <v>0</v>
      </c>
      <c r="S684" s="79">
        <v>0</v>
      </c>
      <c r="T684" s="79">
        <v>0</v>
      </c>
      <c r="U684" s="79">
        <v>0</v>
      </c>
      <c r="V684" s="79">
        <v>5.4003070848870367</v>
      </c>
      <c r="W684" s="79">
        <v>0</v>
      </c>
      <c r="X684" s="90">
        <v>0</v>
      </c>
    </row>
    <row r="685" spans="1:24" hidden="1" x14ac:dyDescent="0.25">
      <c r="A685" s="80" t="str">
        <v>PENDIENTE</v>
      </c>
      <c r="B685" s="80" t="str">
        <v>Moyobamba</v>
      </c>
      <c r="C685" s="80" t="str">
        <v>Diciembre</v>
      </c>
      <c r="D685" s="81">
        <v>46346</v>
      </c>
      <c r="E685" s="79">
        <v>5088</v>
      </c>
      <c r="F685" s="80">
        <v>0</v>
      </c>
      <c r="G685" s="79" cm="1">
        <f t="array" ref="G685:X685">_xlfn._xlws.FILTER(Formulas!$C$2:$T$201, ISNUMBER(MATCH(Formulas!$B$2:$B$201, B685, 0)),0) * E685</f>
        <v>763.36740513270456</v>
      </c>
      <c r="H685" s="79">
        <v>2029.5082254880456</v>
      </c>
      <c r="I685" s="79">
        <v>0</v>
      </c>
      <c r="J685" s="79">
        <v>101.55911384075455</v>
      </c>
      <c r="K685" s="79">
        <v>0</v>
      </c>
      <c r="L685" s="79">
        <v>0</v>
      </c>
      <c r="M685" s="79">
        <v>254.45580171090151</v>
      </c>
      <c r="N685" s="79">
        <v>0</v>
      </c>
      <c r="O685" s="79">
        <v>1933.5292827374424</v>
      </c>
      <c r="P685" s="79">
        <v>0</v>
      </c>
      <c r="Q685" s="79">
        <v>0</v>
      </c>
      <c r="R685" s="79">
        <v>0</v>
      </c>
      <c r="S685" s="79">
        <v>0</v>
      </c>
      <c r="T685" s="79">
        <v>0</v>
      </c>
      <c r="U685" s="79">
        <v>0</v>
      </c>
      <c r="V685" s="79">
        <v>5.5801710901513486</v>
      </c>
      <c r="W685" s="79">
        <v>0</v>
      </c>
      <c r="X685" s="90">
        <v>0</v>
      </c>
    </row>
    <row r="686" spans="1:24" hidden="1" x14ac:dyDescent="0.25">
      <c r="A686" s="80" t="str">
        <v>PENDIENTE</v>
      </c>
      <c r="B686" s="80" t="str">
        <v>Namballe</v>
      </c>
      <c r="C686" s="80" t="str">
        <v>Febrero / Marzo / Abril</v>
      </c>
      <c r="D686" s="81">
        <v>46081</v>
      </c>
      <c r="E686" s="79">
        <v>6438.5999999999995</v>
      </c>
      <c r="F686" s="81">
        <v>46083</v>
      </c>
      <c r="G686" s="79" cm="1">
        <f t="array" ref="G686:X686">_xlfn._xlws.FILTER(Formulas!$C$2:$T$201, ISNUMBER(MATCH(Formulas!$B$2:$B$201, B686, 0)),0) * E686</f>
        <v>1287.9199875757106</v>
      </c>
      <c r="H686" s="79">
        <v>4764.7039913029967</v>
      </c>
      <c r="I686" s="79">
        <v>385.97602112129209</v>
      </c>
      <c r="J686" s="79">
        <v>0</v>
      </c>
      <c r="K686" s="79">
        <v>0</v>
      </c>
      <c r="L686" s="79">
        <v>0</v>
      </c>
      <c r="M686" s="79">
        <v>0</v>
      </c>
      <c r="N686" s="79">
        <v>0</v>
      </c>
      <c r="O686" s="79">
        <v>0</v>
      </c>
      <c r="P686" s="79">
        <v>0</v>
      </c>
      <c r="Q686" s="79">
        <v>0</v>
      </c>
      <c r="R686" s="79">
        <v>0</v>
      </c>
      <c r="S686" s="79">
        <v>0</v>
      </c>
      <c r="T686" s="79">
        <v>0</v>
      </c>
      <c r="U686" s="79">
        <v>0</v>
      </c>
      <c r="V686" s="79">
        <v>0</v>
      </c>
      <c r="W686" s="79">
        <v>0</v>
      </c>
      <c r="X686" s="90">
        <v>0</v>
      </c>
    </row>
    <row r="687" spans="1:24" hidden="1" x14ac:dyDescent="0.25">
      <c r="A687" s="80" t="str">
        <v>PENDIENTE</v>
      </c>
      <c r="B687" s="80" t="str">
        <v>Namballe</v>
      </c>
      <c r="C687" s="80" t="str">
        <v>Mayo / Junio</v>
      </c>
      <c r="D687" s="81">
        <v>46136</v>
      </c>
      <c r="E687" s="79">
        <v>4292.3999999999996</v>
      </c>
      <c r="F687" s="81">
        <v>46135</v>
      </c>
      <c r="G687" s="79" cm="1">
        <f t="array" ref="G687:X687">_xlfn._xlws.FILTER(Formulas!$C$2:$T$201, ISNUMBER(MATCH(Formulas!$B$2:$B$201, B687, 0)),0) * E687</f>
        <v>858.61332505047369</v>
      </c>
      <c r="H687" s="79">
        <v>3176.4693275353311</v>
      </c>
      <c r="I687" s="79">
        <v>257.31734741419473</v>
      </c>
      <c r="J687" s="79">
        <v>0</v>
      </c>
      <c r="K687" s="79">
        <v>0</v>
      </c>
      <c r="L687" s="79">
        <v>0</v>
      </c>
      <c r="M687" s="79">
        <v>0</v>
      </c>
      <c r="N687" s="79">
        <v>0</v>
      </c>
      <c r="O687" s="79">
        <v>0</v>
      </c>
      <c r="P687" s="79">
        <v>0</v>
      </c>
      <c r="Q687" s="79">
        <v>0</v>
      </c>
      <c r="R687" s="79">
        <v>0</v>
      </c>
      <c r="S687" s="79">
        <v>0</v>
      </c>
      <c r="T687" s="79">
        <v>0</v>
      </c>
      <c r="U687" s="79">
        <v>0</v>
      </c>
      <c r="V687" s="79">
        <v>0</v>
      </c>
      <c r="W687" s="79">
        <v>0</v>
      </c>
      <c r="X687" s="90">
        <v>0</v>
      </c>
    </row>
    <row r="688" spans="1:24" hidden="1" x14ac:dyDescent="0.25">
      <c r="A688" s="80" t="str">
        <v>PENDIENTE</v>
      </c>
      <c r="B688" s="80" t="str">
        <v>Namballe</v>
      </c>
      <c r="C688" s="80" t="str">
        <v>Julio / Agosto</v>
      </c>
      <c r="D688" s="81">
        <v>46199</v>
      </c>
      <c r="E688" s="79">
        <v>4292.3999999999996</v>
      </c>
      <c r="F688" s="81">
        <v>46188</v>
      </c>
      <c r="G688" s="79" cm="1">
        <f t="array" ref="G688:X688">_xlfn._xlws.FILTER(Formulas!$C$2:$T$201, ISNUMBER(MATCH(Formulas!$B$2:$B$201, B688, 0)),0) * E688</f>
        <v>858.61332505047369</v>
      </c>
      <c r="H688" s="79">
        <v>3176.4693275353311</v>
      </c>
      <c r="I688" s="79">
        <v>257.31734741419473</v>
      </c>
      <c r="J688" s="79">
        <v>0</v>
      </c>
      <c r="K688" s="79">
        <v>0</v>
      </c>
      <c r="L688" s="79">
        <v>0</v>
      </c>
      <c r="M688" s="79">
        <v>0</v>
      </c>
      <c r="N688" s="79">
        <v>0</v>
      </c>
      <c r="O688" s="79">
        <v>0</v>
      </c>
      <c r="P688" s="79">
        <v>0</v>
      </c>
      <c r="Q688" s="79">
        <v>0</v>
      </c>
      <c r="R688" s="79">
        <v>0</v>
      </c>
      <c r="S688" s="79">
        <v>0</v>
      </c>
      <c r="T688" s="79">
        <v>0</v>
      </c>
      <c r="U688" s="79">
        <v>0</v>
      </c>
      <c r="V688" s="79">
        <v>0</v>
      </c>
      <c r="W688" s="79">
        <v>0</v>
      </c>
      <c r="X688" s="90">
        <v>0</v>
      </c>
    </row>
    <row r="689" spans="1:24" hidden="1" x14ac:dyDescent="0.25">
      <c r="A689" s="80" t="str">
        <v>PENDIENTE</v>
      </c>
      <c r="B689" s="80" t="str">
        <v>Namballe</v>
      </c>
      <c r="C689" s="80" t="str">
        <v>O.C.</v>
      </c>
      <c r="D689" s="81">
        <v>46216</v>
      </c>
      <c r="E689" s="79">
        <v>1343.2</v>
      </c>
      <c r="F689" s="81">
        <v>46249</v>
      </c>
      <c r="G689" s="79" cm="1">
        <f t="array" ref="G689:X689">_xlfn._xlws.FILTER(Formulas!$C$2:$T$201, ISNUMBER(MATCH(Formulas!$B$2:$B$201, B689, 0)),0) * E689</f>
        <v>268.68172076409382</v>
      </c>
      <c r="H689" s="79">
        <v>993.99720453486566</v>
      </c>
      <c r="I689" s="79">
        <v>80.521074701040533</v>
      </c>
      <c r="J689" s="79">
        <v>0</v>
      </c>
      <c r="K689" s="79">
        <v>0</v>
      </c>
      <c r="L689" s="79">
        <v>0</v>
      </c>
      <c r="M689" s="79">
        <v>0</v>
      </c>
      <c r="N689" s="79">
        <v>0</v>
      </c>
      <c r="O689" s="79">
        <v>0</v>
      </c>
      <c r="P689" s="79">
        <v>0</v>
      </c>
      <c r="Q689" s="79">
        <v>0</v>
      </c>
      <c r="R689" s="79">
        <v>0</v>
      </c>
      <c r="S689" s="79">
        <v>0</v>
      </c>
      <c r="T689" s="79">
        <v>0</v>
      </c>
      <c r="U689" s="79">
        <v>0</v>
      </c>
      <c r="V689" s="79">
        <v>0</v>
      </c>
      <c r="W689" s="79">
        <v>0</v>
      </c>
      <c r="X689" s="90">
        <v>0</v>
      </c>
    </row>
    <row r="690" spans="1:24" hidden="1" x14ac:dyDescent="0.25">
      <c r="A690" s="80" t="str">
        <v>PENDIENTE</v>
      </c>
      <c r="B690" s="80" t="str">
        <v>Namballe</v>
      </c>
      <c r="C690" s="80" t="str">
        <v>Septiembre / Octubre</v>
      </c>
      <c r="D690" s="81">
        <v>46262</v>
      </c>
      <c r="E690" s="79">
        <v>4292.3999999999996</v>
      </c>
      <c r="F690" s="81">
        <v>46249</v>
      </c>
      <c r="G690" s="79" cm="1">
        <f t="array" ref="G690:X690">_xlfn._xlws.FILTER(Formulas!$C$2:$T$201, ISNUMBER(MATCH(Formulas!$B$2:$B$201, B690, 0)),0) * E690</f>
        <v>858.61332505047369</v>
      </c>
      <c r="H690" s="79">
        <v>3176.4693275353311</v>
      </c>
      <c r="I690" s="79">
        <v>257.31734741419473</v>
      </c>
      <c r="J690" s="79">
        <v>0</v>
      </c>
      <c r="K690" s="79">
        <v>0</v>
      </c>
      <c r="L690" s="79">
        <v>0</v>
      </c>
      <c r="M690" s="79">
        <v>0</v>
      </c>
      <c r="N690" s="79">
        <v>0</v>
      </c>
      <c r="O690" s="79">
        <v>0</v>
      </c>
      <c r="P690" s="79">
        <v>0</v>
      </c>
      <c r="Q690" s="79">
        <v>0</v>
      </c>
      <c r="R690" s="79">
        <v>0</v>
      </c>
      <c r="S690" s="79">
        <v>0</v>
      </c>
      <c r="T690" s="79">
        <v>0</v>
      </c>
      <c r="U690" s="79">
        <v>0</v>
      </c>
      <c r="V690" s="79">
        <v>0</v>
      </c>
      <c r="W690" s="79">
        <v>0</v>
      </c>
      <c r="X690" s="90">
        <v>0</v>
      </c>
    </row>
    <row r="691" spans="1:24" hidden="1" x14ac:dyDescent="0.25">
      <c r="A691" s="80" t="str">
        <v>PENDIENTE</v>
      </c>
      <c r="B691" s="80" t="str">
        <v>Namballe</v>
      </c>
      <c r="C691" s="80" t="str">
        <v>Noviembre / Diciembre</v>
      </c>
      <c r="D691" s="81">
        <v>46325</v>
      </c>
      <c r="E691" s="79">
        <v>4292.3999999999996</v>
      </c>
      <c r="F691" s="81">
        <v>0</v>
      </c>
      <c r="G691" s="79" cm="1">
        <f t="array" ref="G691:X691">_xlfn._xlws.FILTER(Formulas!$C$2:$T$201, ISNUMBER(MATCH(Formulas!$B$2:$B$201, B691, 0)),0) * E691</f>
        <v>858.61332505047369</v>
      </c>
      <c r="H691" s="79">
        <v>3176.4693275353311</v>
      </c>
      <c r="I691" s="79">
        <v>257.31734741419473</v>
      </c>
      <c r="J691" s="79">
        <v>0</v>
      </c>
      <c r="K691" s="79">
        <v>0</v>
      </c>
      <c r="L691" s="79">
        <v>0</v>
      </c>
      <c r="M691" s="79">
        <v>0</v>
      </c>
      <c r="N691" s="79">
        <v>0</v>
      </c>
      <c r="O691" s="79">
        <v>0</v>
      </c>
      <c r="P691" s="79">
        <v>0</v>
      </c>
      <c r="Q691" s="79">
        <v>0</v>
      </c>
      <c r="R691" s="79">
        <v>0</v>
      </c>
      <c r="S691" s="79">
        <v>0</v>
      </c>
      <c r="T691" s="79">
        <v>0</v>
      </c>
      <c r="U691" s="79">
        <v>0</v>
      </c>
      <c r="V691" s="79">
        <v>0</v>
      </c>
      <c r="W691" s="79">
        <v>0</v>
      </c>
      <c r="X691" s="90">
        <v>0</v>
      </c>
    </row>
    <row r="692" spans="1:24" hidden="1" x14ac:dyDescent="0.25">
      <c r="A692" s="80" t="str">
        <v>PENDIENTE</v>
      </c>
      <c r="B692" s="80" t="str">
        <v>Namora</v>
      </c>
      <c r="C692" s="80" t="str">
        <v>Enero</v>
      </c>
      <c r="D692" s="81">
        <v>46046</v>
      </c>
      <c r="E692" s="79">
        <v>2323.915</v>
      </c>
      <c r="F692" s="81">
        <v>46039</v>
      </c>
      <c r="G692" s="79" cm="1">
        <f t="array" ref="G692:X692">_xlfn._xlws.FILTER(Formulas!$C$2:$T$201, ISNUMBER(MATCH(Formulas!$B$2:$B$201, B692, 0)),0) * E692</f>
        <v>464.98299268502581</v>
      </c>
      <c r="H692" s="79">
        <v>1626.9404926850257</v>
      </c>
      <c r="I692" s="79">
        <v>115.99575731497417</v>
      </c>
      <c r="J692" s="79">
        <v>0</v>
      </c>
      <c r="K692" s="79">
        <v>0</v>
      </c>
      <c r="L692" s="79">
        <v>115.99575731497417</v>
      </c>
      <c r="M692" s="79">
        <v>0</v>
      </c>
      <c r="N692" s="79">
        <v>0</v>
      </c>
      <c r="O692" s="79">
        <v>0</v>
      </c>
      <c r="P692" s="79">
        <v>0</v>
      </c>
      <c r="Q692" s="79">
        <v>0</v>
      </c>
      <c r="R692" s="79">
        <v>0</v>
      </c>
      <c r="S692" s="79">
        <v>0</v>
      </c>
      <c r="T692" s="79">
        <v>0</v>
      </c>
      <c r="U692" s="79">
        <v>0</v>
      </c>
      <c r="V692" s="79">
        <v>0</v>
      </c>
      <c r="W692" s="79">
        <v>0</v>
      </c>
      <c r="X692" s="90">
        <v>0</v>
      </c>
    </row>
    <row r="693" spans="1:24" hidden="1" x14ac:dyDescent="0.25">
      <c r="A693" s="80" t="str">
        <v>PENDIENTE</v>
      </c>
      <c r="B693" s="80" t="str">
        <v>Namora</v>
      </c>
      <c r="C693" s="80" t="str">
        <v>Febrero</v>
      </c>
      <c r="D693" s="81">
        <v>46046</v>
      </c>
      <c r="E693" s="79">
        <v>2323.915</v>
      </c>
      <c r="F693" s="81">
        <v>46039</v>
      </c>
      <c r="G693" s="79" cm="1">
        <f t="array" ref="G693:X693">_xlfn._xlws.FILTER(Formulas!$C$2:$T$201, ISNUMBER(MATCH(Formulas!$B$2:$B$201, B693, 0)),0) * E693</f>
        <v>464.98299268502581</v>
      </c>
      <c r="H693" s="79">
        <v>1626.9404926850257</v>
      </c>
      <c r="I693" s="79">
        <v>115.99575731497417</v>
      </c>
      <c r="J693" s="79">
        <v>0</v>
      </c>
      <c r="K693" s="79">
        <v>0</v>
      </c>
      <c r="L693" s="79">
        <v>115.99575731497417</v>
      </c>
      <c r="M693" s="79">
        <v>0</v>
      </c>
      <c r="N693" s="79">
        <v>0</v>
      </c>
      <c r="O693" s="79">
        <v>0</v>
      </c>
      <c r="P693" s="79">
        <v>0</v>
      </c>
      <c r="Q693" s="79">
        <v>0</v>
      </c>
      <c r="R693" s="79">
        <v>0</v>
      </c>
      <c r="S693" s="79">
        <v>0</v>
      </c>
      <c r="T693" s="79">
        <v>0</v>
      </c>
      <c r="U693" s="79">
        <v>0</v>
      </c>
      <c r="V693" s="79">
        <v>0</v>
      </c>
      <c r="W693" s="79">
        <v>0</v>
      </c>
      <c r="X693" s="90">
        <v>0</v>
      </c>
    </row>
    <row r="694" spans="1:24" hidden="1" x14ac:dyDescent="0.25">
      <c r="A694" s="80" t="str">
        <v>PENDIENTE</v>
      </c>
      <c r="B694" s="80" t="str">
        <v>Namora</v>
      </c>
      <c r="C694" s="80" t="str">
        <v>Marzo</v>
      </c>
      <c r="D694" s="81">
        <v>46077</v>
      </c>
      <c r="E694" s="79">
        <v>2323.915</v>
      </c>
      <c r="F694" s="81">
        <v>46070</v>
      </c>
      <c r="G694" s="79" cm="1">
        <f t="array" ref="G694:X694">_xlfn._xlws.FILTER(Formulas!$C$2:$T$201, ISNUMBER(MATCH(Formulas!$B$2:$B$201, B694, 0)),0) * E694</f>
        <v>464.98299268502581</v>
      </c>
      <c r="H694" s="79">
        <v>1626.9404926850257</v>
      </c>
      <c r="I694" s="79">
        <v>115.99575731497417</v>
      </c>
      <c r="J694" s="79">
        <v>0</v>
      </c>
      <c r="K694" s="79">
        <v>0</v>
      </c>
      <c r="L694" s="79">
        <v>115.99575731497417</v>
      </c>
      <c r="M694" s="79">
        <v>0</v>
      </c>
      <c r="N694" s="79">
        <v>0</v>
      </c>
      <c r="O694" s="79">
        <v>0</v>
      </c>
      <c r="P694" s="79">
        <v>0</v>
      </c>
      <c r="Q694" s="79">
        <v>0</v>
      </c>
      <c r="R694" s="79">
        <v>0</v>
      </c>
      <c r="S694" s="79">
        <v>0</v>
      </c>
      <c r="T694" s="79">
        <v>0</v>
      </c>
      <c r="U694" s="79">
        <v>0</v>
      </c>
      <c r="V694" s="79">
        <v>0</v>
      </c>
      <c r="W694" s="79">
        <v>0</v>
      </c>
      <c r="X694" s="90">
        <v>0</v>
      </c>
    </row>
    <row r="695" spans="1:24" hidden="1" x14ac:dyDescent="0.25">
      <c r="A695" s="80" t="str">
        <v>PENDIENTE</v>
      </c>
      <c r="B695" s="80" t="str">
        <v>Namora</v>
      </c>
      <c r="C695" s="80" t="str">
        <v>Abril</v>
      </c>
      <c r="D695" s="81">
        <v>46077</v>
      </c>
      <c r="E695" s="79">
        <v>2323.915</v>
      </c>
      <c r="F695" s="81">
        <v>46070</v>
      </c>
      <c r="G695" s="79" cm="1">
        <f t="array" ref="G695:X695">_xlfn._xlws.FILTER(Formulas!$C$2:$T$201, ISNUMBER(MATCH(Formulas!$B$2:$B$201, B695, 0)),0) * E695</f>
        <v>464.98299268502581</v>
      </c>
      <c r="H695" s="79">
        <v>1626.9404926850257</v>
      </c>
      <c r="I695" s="79">
        <v>115.99575731497417</v>
      </c>
      <c r="J695" s="79">
        <v>0</v>
      </c>
      <c r="K695" s="79">
        <v>0</v>
      </c>
      <c r="L695" s="79">
        <v>115.99575731497417</v>
      </c>
      <c r="M695" s="79">
        <v>0</v>
      </c>
      <c r="N695" s="79">
        <v>0</v>
      </c>
      <c r="O695" s="79">
        <v>0</v>
      </c>
      <c r="P695" s="79">
        <v>0</v>
      </c>
      <c r="Q695" s="79">
        <v>0</v>
      </c>
      <c r="R695" s="79">
        <v>0</v>
      </c>
      <c r="S695" s="79">
        <v>0</v>
      </c>
      <c r="T695" s="79">
        <v>0</v>
      </c>
      <c r="U695" s="79">
        <v>0</v>
      </c>
      <c r="V695" s="79">
        <v>0</v>
      </c>
      <c r="W695" s="79">
        <v>0</v>
      </c>
      <c r="X695" s="90">
        <v>0</v>
      </c>
    </row>
    <row r="696" spans="1:24" hidden="1" x14ac:dyDescent="0.25">
      <c r="A696" s="80" t="str">
        <v>PENDIENTE</v>
      </c>
      <c r="B696" s="80" t="str">
        <v>Namora</v>
      </c>
      <c r="C696" s="80" t="str">
        <v>Mayo</v>
      </c>
      <c r="D696" s="81">
        <v>46136</v>
      </c>
      <c r="E696" s="79">
        <v>2323.915</v>
      </c>
      <c r="F696" s="81">
        <v>46129</v>
      </c>
      <c r="G696" s="79" cm="1">
        <f t="array" ref="G696:X696">_xlfn._xlws.FILTER(Formulas!$C$2:$T$201, ISNUMBER(MATCH(Formulas!$B$2:$B$201, B696, 0)),0) * E696</f>
        <v>464.98299268502581</v>
      </c>
      <c r="H696" s="79">
        <v>1626.9404926850257</v>
      </c>
      <c r="I696" s="79">
        <v>115.99575731497417</v>
      </c>
      <c r="J696" s="79">
        <v>0</v>
      </c>
      <c r="K696" s="79">
        <v>0</v>
      </c>
      <c r="L696" s="79">
        <v>115.99575731497417</v>
      </c>
      <c r="M696" s="79">
        <v>0</v>
      </c>
      <c r="N696" s="79">
        <v>0</v>
      </c>
      <c r="O696" s="79">
        <v>0</v>
      </c>
      <c r="P696" s="79">
        <v>0</v>
      </c>
      <c r="Q696" s="79">
        <v>0</v>
      </c>
      <c r="R696" s="79">
        <v>0</v>
      </c>
      <c r="S696" s="79">
        <v>0</v>
      </c>
      <c r="T696" s="79">
        <v>0</v>
      </c>
      <c r="U696" s="79">
        <v>0</v>
      </c>
      <c r="V696" s="79">
        <v>0</v>
      </c>
      <c r="W696" s="79">
        <v>0</v>
      </c>
      <c r="X696" s="90">
        <v>0</v>
      </c>
    </row>
    <row r="697" spans="1:24" hidden="1" x14ac:dyDescent="0.25">
      <c r="A697" s="80" t="str">
        <v>PENDIENTE</v>
      </c>
      <c r="B697" s="80" t="str">
        <v>Namora</v>
      </c>
      <c r="C697" s="80" t="str">
        <v>Junio</v>
      </c>
      <c r="D697" s="81">
        <v>46136</v>
      </c>
      <c r="E697" s="79">
        <v>2323.915</v>
      </c>
      <c r="F697" s="80">
        <v>46129</v>
      </c>
      <c r="G697" s="79" cm="1">
        <f t="array" ref="G697:X697">_xlfn._xlws.FILTER(Formulas!$C$2:$T$201, ISNUMBER(MATCH(Formulas!$B$2:$B$201, B697, 0)),0) * E697</f>
        <v>464.98299268502581</v>
      </c>
      <c r="H697" s="79">
        <v>1626.9404926850257</v>
      </c>
      <c r="I697" s="79">
        <v>115.99575731497417</v>
      </c>
      <c r="J697" s="79">
        <v>0</v>
      </c>
      <c r="K697" s="79">
        <v>0</v>
      </c>
      <c r="L697" s="79">
        <v>115.99575731497417</v>
      </c>
      <c r="M697" s="79">
        <v>0</v>
      </c>
      <c r="N697" s="79">
        <v>0</v>
      </c>
      <c r="O697" s="79">
        <v>0</v>
      </c>
      <c r="P697" s="79">
        <v>0</v>
      </c>
      <c r="Q697" s="79">
        <v>0</v>
      </c>
      <c r="R697" s="79">
        <v>0</v>
      </c>
      <c r="S697" s="79">
        <v>0</v>
      </c>
      <c r="T697" s="79">
        <v>0</v>
      </c>
      <c r="U697" s="79">
        <v>0</v>
      </c>
      <c r="V697" s="79">
        <v>0</v>
      </c>
      <c r="W697" s="79">
        <v>0</v>
      </c>
      <c r="X697" s="90">
        <v>0</v>
      </c>
    </row>
    <row r="698" spans="1:24" hidden="1" x14ac:dyDescent="0.25">
      <c r="A698" s="80" t="str">
        <v>PENDIENTE</v>
      </c>
      <c r="B698" s="80" t="str">
        <v>Namora</v>
      </c>
      <c r="C698" s="80" t="str">
        <v>Julio</v>
      </c>
      <c r="D698" s="81">
        <v>46197</v>
      </c>
      <c r="E698" s="79">
        <v>2323.915</v>
      </c>
      <c r="F698" s="80">
        <v>46182</v>
      </c>
      <c r="G698" s="79" cm="1">
        <f t="array" ref="G698:X698">_xlfn._xlws.FILTER(Formulas!$C$2:$T$201, ISNUMBER(MATCH(Formulas!$B$2:$B$201, B698, 0)),0) * E698</f>
        <v>464.98299268502581</v>
      </c>
      <c r="H698" s="79">
        <v>1626.9404926850257</v>
      </c>
      <c r="I698" s="79">
        <v>115.99575731497417</v>
      </c>
      <c r="J698" s="79">
        <v>0</v>
      </c>
      <c r="K698" s="79">
        <v>0</v>
      </c>
      <c r="L698" s="79">
        <v>115.99575731497417</v>
      </c>
      <c r="M698" s="79">
        <v>0</v>
      </c>
      <c r="N698" s="79">
        <v>0</v>
      </c>
      <c r="O698" s="79">
        <v>0</v>
      </c>
      <c r="P698" s="79">
        <v>0</v>
      </c>
      <c r="Q698" s="79">
        <v>0</v>
      </c>
      <c r="R698" s="79">
        <v>0</v>
      </c>
      <c r="S698" s="79">
        <v>0</v>
      </c>
      <c r="T698" s="79">
        <v>0</v>
      </c>
      <c r="U698" s="79">
        <v>0</v>
      </c>
      <c r="V698" s="79">
        <v>0</v>
      </c>
      <c r="W698" s="79">
        <v>0</v>
      </c>
      <c r="X698" s="90">
        <v>0</v>
      </c>
    </row>
    <row r="699" spans="1:24" hidden="1" x14ac:dyDescent="0.25">
      <c r="A699" s="80" t="str">
        <v>PENDIENTE</v>
      </c>
      <c r="B699" s="80" t="str">
        <v>Namora</v>
      </c>
      <c r="C699" s="80" t="str">
        <v>Agosto</v>
      </c>
      <c r="D699" s="81">
        <v>46197</v>
      </c>
      <c r="E699" s="79">
        <v>2323.915</v>
      </c>
      <c r="F699" s="81">
        <v>46182</v>
      </c>
      <c r="G699" s="79" cm="1">
        <f t="array" ref="G699:X699">_xlfn._xlws.FILTER(Formulas!$C$2:$T$201, ISNUMBER(MATCH(Formulas!$B$2:$B$201, B699, 0)),0) * E699</f>
        <v>464.98299268502581</v>
      </c>
      <c r="H699" s="79">
        <v>1626.9404926850257</v>
      </c>
      <c r="I699" s="79">
        <v>115.99575731497417</v>
      </c>
      <c r="J699" s="79">
        <v>0</v>
      </c>
      <c r="K699" s="79">
        <v>0</v>
      </c>
      <c r="L699" s="79">
        <v>115.99575731497417</v>
      </c>
      <c r="M699" s="79">
        <v>0</v>
      </c>
      <c r="N699" s="79">
        <v>0</v>
      </c>
      <c r="O699" s="79">
        <v>0</v>
      </c>
      <c r="P699" s="79">
        <v>0</v>
      </c>
      <c r="Q699" s="79">
        <v>0</v>
      </c>
      <c r="R699" s="79">
        <v>0</v>
      </c>
      <c r="S699" s="79">
        <v>0</v>
      </c>
      <c r="T699" s="79">
        <v>0</v>
      </c>
      <c r="U699" s="79">
        <v>0</v>
      </c>
      <c r="V699" s="79">
        <v>0</v>
      </c>
      <c r="W699" s="79">
        <v>0</v>
      </c>
      <c r="X699" s="90">
        <v>0</v>
      </c>
    </row>
    <row r="700" spans="1:24" hidden="1" x14ac:dyDescent="0.25">
      <c r="A700" s="80" t="str">
        <v>PENDIENTE</v>
      </c>
      <c r="B700" s="80" t="str">
        <v>Namora</v>
      </c>
      <c r="C700" s="80" t="str">
        <v>O.C.</v>
      </c>
      <c r="D700" s="81">
        <v>46220</v>
      </c>
      <c r="E700" s="79">
        <v>5618.2860000000001</v>
      </c>
      <c r="F700" s="81">
        <v>46221</v>
      </c>
      <c r="G700" s="79" cm="1">
        <f t="array" ref="G700:X700">_xlfn._xlws.FILTER(Formulas!$C$2:$T$201, ISNUMBER(MATCH(Formulas!$B$2:$B$201, B700, 0)),0) * E700</f>
        <v>1124.1407013769365</v>
      </c>
      <c r="H700" s="79">
        <v>3933.2837013769363</v>
      </c>
      <c r="I700" s="79">
        <v>280.43079862306365</v>
      </c>
      <c r="J700" s="79">
        <v>0</v>
      </c>
      <c r="K700" s="79">
        <v>0</v>
      </c>
      <c r="L700" s="79">
        <v>280.43079862306365</v>
      </c>
      <c r="M700" s="79">
        <v>0</v>
      </c>
      <c r="N700" s="79">
        <v>0</v>
      </c>
      <c r="O700" s="79">
        <v>0</v>
      </c>
      <c r="P700" s="79">
        <v>0</v>
      </c>
      <c r="Q700" s="79">
        <v>0</v>
      </c>
      <c r="R700" s="79">
        <v>0</v>
      </c>
      <c r="S700" s="79">
        <v>0</v>
      </c>
      <c r="T700" s="79">
        <v>0</v>
      </c>
      <c r="U700" s="79">
        <v>0</v>
      </c>
      <c r="V700" s="79">
        <v>0</v>
      </c>
      <c r="W700" s="79">
        <v>0</v>
      </c>
      <c r="X700" s="90">
        <v>0</v>
      </c>
    </row>
    <row r="701" spans="1:24" hidden="1" x14ac:dyDescent="0.25">
      <c r="A701" s="80" t="str">
        <v>PENDIENTE</v>
      </c>
      <c r="B701" s="80" t="str">
        <v>Namora</v>
      </c>
      <c r="C701" s="80" t="str">
        <v>Setiembre</v>
      </c>
      <c r="D701" s="81">
        <v>46258</v>
      </c>
      <c r="E701" s="79">
        <v>2323.915</v>
      </c>
      <c r="F701" s="81">
        <v>46248</v>
      </c>
      <c r="G701" s="79" cm="1">
        <f t="array" ref="G701:X701">_xlfn._xlws.FILTER(Formulas!$C$2:$T$201, ISNUMBER(MATCH(Formulas!$B$2:$B$201, B701, 0)),0) * E701</f>
        <v>464.98299268502581</v>
      </c>
      <c r="H701" s="79">
        <v>1626.9404926850257</v>
      </c>
      <c r="I701" s="79">
        <v>115.99575731497417</v>
      </c>
      <c r="J701" s="79">
        <v>0</v>
      </c>
      <c r="K701" s="79">
        <v>0</v>
      </c>
      <c r="L701" s="79">
        <v>115.99575731497417</v>
      </c>
      <c r="M701" s="79">
        <v>0</v>
      </c>
      <c r="N701" s="79">
        <v>0</v>
      </c>
      <c r="O701" s="79">
        <v>0</v>
      </c>
      <c r="P701" s="79">
        <v>0</v>
      </c>
      <c r="Q701" s="79">
        <v>0</v>
      </c>
      <c r="R701" s="79">
        <v>0</v>
      </c>
      <c r="S701" s="79">
        <v>0</v>
      </c>
      <c r="T701" s="79">
        <v>0</v>
      </c>
      <c r="U701" s="79">
        <v>0</v>
      </c>
      <c r="V701" s="79">
        <v>0</v>
      </c>
      <c r="W701" s="79">
        <v>0</v>
      </c>
      <c r="X701" s="90">
        <v>0</v>
      </c>
    </row>
    <row r="702" spans="1:24" hidden="1" x14ac:dyDescent="0.25">
      <c r="A702" s="80" t="str">
        <v>PENDIENTE</v>
      </c>
      <c r="B702" s="80" t="str">
        <v>Namora</v>
      </c>
      <c r="C702" s="80" t="str">
        <v>Octubre</v>
      </c>
      <c r="D702" s="81">
        <v>46258</v>
      </c>
      <c r="E702" s="79">
        <v>2323.915</v>
      </c>
      <c r="F702" s="81">
        <v>46248</v>
      </c>
      <c r="G702" s="79" cm="1">
        <f t="array" ref="G702:X702">_xlfn._xlws.FILTER(Formulas!$C$2:$T$201, ISNUMBER(MATCH(Formulas!$B$2:$B$201, B702, 0)),0) * E702</f>
        <v>464.98299268502581</v>
      </c>
      <c r="H702" s="79">
        <v>1626.9404926850257</v>
      </c>
      <c r="I702" s="79">
        <v>115.99575731497417</v>
      </c>
      <c r="J702" s="79">
        <v>0</v>
      </c>
      <c r="K702" s="79">
        <v>0</v>
      </c>
      <c r="L702" s="79">
        <v>115.99575731497417</v>
      </c>
      <c r="M702" s="79">
        <v>0</v>
      </c>
      <c r="N702" s="79">
        <v>0</v>
      </c>
      <c r="O702" s="79">
        <v>0</v>
      </c>
      <c r="P702" s="79">
        <v>0</v>
      </c>
      <c r="Q702" s="79">
        <v>0</v>
      </c>
      <c r="R702" s="79">
        <v>0</v>
      </c>
      <c r="S702" s="79">
        <v>0</v>
      </c>
      <c r="T702" s="79">
        <v>0</v>
      </c>
      <c r="U702" s="79">
        <v>0</v>
      </c>
      <c r="V702" s="79">
        <v>0</v>
      </c>
      <c r="W702" s="79">
        <v>0</v>
      </c>
      <c r="X702" s="90">
        <v>0</v>
      </c>
    </row>
    <row r="703" spans="1:24" hidden="1" x14ac:dyDescent="0.25">
      <c r="A703" s="80" t="str">
        <v>PENDIENTE</v>
      </c>
      <c r="B703" s="80" t="str">
        <v>Namora</v>
      </c>
      <c r="C703" s="80" t="str">
        <v>Noviembre</v>
      </c>
      <c r="D703" s="81">
        <v>46319</v>
      </c>
      <c r="E703" s="79">
        <v>2323.915</v>
      </c>
      <c r="F703" s="81">
        <v>0</v>
      </c>
      <c r="G703" s="79" cm="1">
        <f t="array" ref="G703:X703">_xlfn._xlws.FILTER(Formulas!$C$2:$T$201, ISNUMBER(MATCH(Formulas!$B$2:$B$201, B703, 0)),0) * E703</f>
        <v>464.98299268502581</v>
      </c>
      <c r="H703" s="79">
        <v>1626.9404926850257</v>
      </c>
      <c r="I703" s="79">
        <v>115.99575731497417</v>
      </c>
      <c r="J703" s="79">
        <v>0</v>
      </c>
      <c r="K703" s="79">
        <v>0</v>
      </c>
      <c r="L703" s="79">
        <v>115.99575731497417</v>
      </c>
      <c r="M703" s="79">
        <v>0</v>
      </c>
      <c r="N703" s="79">
        <v>0</v>
      </c>
      <c r="O703" s="79">
        <v>0</v>
      </c>
      <c r="P703" s="79">
        <v>0</v>
      </c>
      <c r="Q703" s="79">
        <v>0</v>
      </c>
      <c r="R703" s="79">
        <v>0</v>
      </c>
      <c r="S703" s="79">
        <v>0</v>
      </c>
      <c r="T703" s="79">
        <v>0</v>
      </c>
      <c r="U703" s="79">
        <v>0</v>
      </c>
      <c r="V703" s="79">
        <v>0</v>
      </c>
      <c r="W703" s="79">
        <v>0</v>
      </c>
      <c r="X703" s="90">
        <v>0</v>
      </c>
    </row>
    <row r="704" spans="1:24" hidden="1" x14ac:dyDescent="0.25">
      <c r="A704" s="80" t="str">
        <v>PENDIENTE</v>
      </c>
      <c r="B704" s="80" t="str">
        <v>Namora</v>
      </c>
      <c r="C704" s="80" t="str">
        <v>Diciembre</v>
      </c>
      <c r="D704" s="81">
        <v>46319</v>
      </c>
      <c r="E704" s="79">
        <v>2323.915</v>
      </c>
      <c r="F704" s="81">
        <v>0</v>
      </c>
      <c r="G704" s="79" cm="1">
        <f t="array" ref="G704:X704">_xlfn._xlws.FILTER(Formulas!$C$2:$T$201, ISNUMBER(MATCH(Formulas!$B$2:$B$201, B704, 0)),0) * E704</f>
        <v>464.98299268502581</v>
      </c>
      <c r="H704" s="79">
        <v>1626.9404926850257</v>
      </c>
      <c r="I704" s="79">
        <v>115.99575731497417</v>
      </c>
      <c r="J704" s="79">
        <v>0</v>
      </c>
      <c r="K704" s="79">
        <v>0</v>
      </c>
      <c r="L704" s="79">
        <v>115.99575731497417</v>
      </c>
      <c r="M704" s="79">
        <v>0</v>
      </c>
      <c r="N704" s="79">
        <v>0</v>
      </c>
      <c r="O704" s="79">
        <v>0</v>
      </c>
      <c r="P704" s="79">
        <v>0</v>
      </c>
      <c r="Q704" s="79">
        <v>0</v>
      </c>
      <c r="R704" s="79">
        <v>0</v>
      </c>
      <c r="S704" s="79">
        <v>0</v>
      </c>
      <c r="T704" s="79">
        <v>0</v>
      </c>
      <c r="U704" s="79">
        <v>0</v>
      </c>
      <c r="V704" s="79">
        <v>0</v>
      </c>
      <c r="W704" s="79">
        <v>0</v>
      </c>
      <c r="X704" s="90">
        <v>0</v>
      </c>
    </row>
    <row r="705" spans="1:24" hidden="1" x14ac:dyDescent="0.25">
      <c r="A705" s="80" t="str">
        <v>PENDIENTE</v>
      </c>
      <c r="B705" s="80" t="str">
        <v>Nueva Arica</v>
      </c>
      <c r="C705" s="80" t="str">
        <v>Enero / Febrero</v>
      </c>
      <c r="D705" s="81">
        <v>46091</v>
      </c>
      <c r="E705" s="79">
        <v>596</v>
      </c>
      <c r="F705" s="81">
        <v>46091</v>
      </c>
      <c r="G705" s="79" cm="1">
        <f t="array" ref="G705:X705">_xlfn._xlws.FILTER(Formulas!$C$2:$T$201, ISNUMBER(MATCH(Formulas!$B$2:$B$201, B705, 0)),0) * E705</f>
        <v>119.99999999999999</v>
      </c>
      <c r="H705" s="79">
        <v>416</v>
      </c>
      <c r="I705" s="79">
        <v>29.999999999999996</v>
      </c>
      <c r="J705" s="79">
        <v>29.999999999999996</v>
      </c>
      <c r="K705" s="79">
        <v>0</v>
      </c>
      <c r="L705" s="79">
        <v>0</v>
      </c>
      <c r="M705" s="79">
        <v>0</v>
      </c>
      <c r="N705" s="79">
        <v>0</v>
      </c>
      <c r="O705" s="79">
        <v>0</v>
      </c>
      <c r="P705" s="79">
        <v>0</v>
      </c>
      <c r="Q705" s="79">
        <v>0</v>
      </c>
      <c r="R705" s="79">
        <v>0</v>
      </c>
      <c r="S705" s="79">
        <v>0</v>
      </c>
      <c r="T705" s="79">
        <v>0</v>
      </c>
      <c r="U705" s="79">
        <v>0</v>
      </c>
      <c r="V705" s="79">
        <v>0</v>
      </c>
      <c r="W705" s="79">
        <v>0</v>
      </c>
      <c r="X705" s="90">
        <v>0</v>
      </c>
    </row>
    <row r="706" spans="1:24" hidden="1" x14ac:dyDescent="0.25">
      <c r="A706" s="80" t="str">
        <v>PENDIENTE</v>
      </c>
      <c r="B706" s="80" t="str">
        <v>Nueva Arica</v>
      </c>
      <c r="C706" s="80" t="str">
        <v>Marzo</v>
      </c>
      <c r="D706" s="81">
        <v>46091</v>
      </c>
      <c r="E706" s="79">
        <v>298</v>
      </c>
      <c r="F706" s="81">
        <v>46091</v>
      </c>
      <c r="G706" s="79" cm="1">
        <f t="array" ref="G706:X706">_xlfn._xlws.FILTER(Formulas!$C$2:$T$201, ISNUMBER(MATCH(Formulas!$B$2:$B$201, B706, 0)),0) * E706</f>
        <v>59.999999999999993</v>
      </c>
      <c r="H706" s="79">
        <v>208</v>
      </c>
      <c r="I706" s="79">
        <v>14.999999999999998</v>
      </c>
      <c r="J706" s="79">
        <v>14.999999999999998</v>
      </c>
      <c r="K706" s="79">
        <v>0</v>
      </c>
      <c r="L706" s="79">
        <v>0</v>
      </c>
      <c r="M706" s="79">
        <v>0</v>
      </c>
      <c r="N706" s="79">
        <v>0</v>
      </c>
      <c r="O706" s="79">
        <v>0</v>
      </c>
      <c r="P706" s="79">
        <v>0</v>
      </c>
      <c r="Q706" s="79">
        <v>0</v>
      </c>
      <c r="R706" s="79">
        <v>0</v>
      </c>
      <c r="S706" s="79">
        <v>0</v>
      </c>
      <c r="T706" s="79">
        <v>0</v>
      </c>
      <c r="U706" s="79">
        <v>0</v>
      </c>
      <c r="V706" s="79">
        <v>0</v>
      </c>
      <c r="W706" s="79">
        <v>0</v>
      </c>
      <c r="X706" s="90">
        <v>0</v>
      </c>
    </row>
    <row r="707" spans="1:24" hidden="1" x14ac:dyDescent="0.25">
      <c r="A707" s="80" t="str">
        <v>PENDIENTE</v>
      </c>
      <c r="B707" s="80" t="str">
        <v>Nueva Arica</v>
      </c>
      <c r="C707" s="80" t="str">
        <v>Abril</v>
      </c>
      <c r="D707" s="81">
        <v>46091</v>
      </c>
      <c r="E707" s="79">
        <v>298</v>
      </c>
      <c r="F707" s="81">
        <v>46091</v>
      </c>
      <c r="G707" s="79" cm="1">
        <f t="array" ref="G707:X707">_xlfn._xlws.FILTER(Formulas!$C$2:$T$201, ISNUMBER(MATCH(Formulas!$B$2:$B$201, B707, 0)),0) * E707</f>
        <v>59.999999999999993</v>
      </c>
      <c r="H707" s="79">
        <v>208</v>
      </c>
      <c r="I707" s="79">
        <v>14.999999999999998</v>
      </c>
      <c r="J707" s="79">
        <v>14.999999999999998</v>
      </c>
      <c r="K707" s="79">
        <v>0</v>
      </c>
      <c r="L707" s="79">
        <v>0</v>
      </c>
      <c r="M707" s="79">
        <v>0</v>
      </c>
      <c r="N707" s="79">
        <v>0</v>
      </c>
      <c r="O707" s="79">
        <v>0</v>
      </c>
      <c r="P707" s="79">
        <v>0</v>
      </c>
      <c r="Q707" s="79">
        <v>0</v>
      </c>
      <c r="R707" s="79">
        <v>0</v>
      </c>
      <c r="S707" s="79">
        <v>0</v>
      </c>
      <c r="T707" s="79">
        <v>0</v>
      </c>
      <c r="U707" s="79">
        <v>0</v>
      </c>
      <c r="V707" s="79">
        <v>0</v>
      </c>
      <c r="W707" s="79">
        <v>0</v>
      </c>
      <c r="X707" s="90">
        <v>0</v>
      </c>
    </row>
    <row r="708" spans="1:24" hidden="1" x14ac:dyDescent="0.25">
      <c r="A708" s="80" t="str">
        <v>PENDIENTE</v>
      </c>
      <c r="B708" s="80" t="str">
        <v>Nueva Arica</v>
      </c>
      <c r="C708" s="80" t="str">
        <v>Mayo</v>
      </c>
      <c r="D708" s="81">
        <v>46142</v>
      </c>
      <c r="E708" s="79">
        <v>298</v>
      </c>
      <c r="F708" s="80">
        <v>46147</v>
      </c>
      <c r="G708" s="79" cm="1">
        <f t="array" ref="G708:X708">_xlfn._xlws.FILTER(Formulas!$C$2:$T$201, ISNUMBER(MATCH(Formulas!$B$2:$B$201, B708, 0)),0) * E708</f>
        <v>59.999999999999993</v>
      </c>
      <c r="H708" s="79">
        <v>208</v>
      </c>
      <c r="I708" s="79">
        <v>14.999999999999998</v>
      </c>
      <c r="J708" s="79">
        <v>14.999999999999998</v>
      </c>
      <c r="K708" s="79">
        <v>0</v>
      </c>
      <c r="L708" s="79">
        <v>0</v>
      </c>
      <c r="M708" s="79">
        <v>0</v>
      </c>
      <c r="N708" s="79">
        <v>0</v>
      </c>
      <c r="O708" s="79">
        <v>0</v>
      </c>
      <c r="P708" s="79">
        <v>0</v>
      </c>
      <c r="Q708" s="79">
        <v>0</v>
      </c>
      <c r="R708" s="79">
        <v>0</v>
      </c>
      <c r="S708" s="79">
        <v>0</v>
      </c>
      <c r="T708" s="79">
        <v>0</v>
      </c>
      <c r="U708" s="79">
        <v>0</v>
      </c>
      <c r="V708" s="79">
        <v>0</v>
      </c>
      <c r="W708" s="79">
        <v>0</v>
      </c>
      <c r="X708" s="90">
        <v>0</v>
      </c>
    </row>
    <row r="709" spans="1:24" hidden="1" x14ac:dyDescent="0.25">
      <c r="A709" s="80" t="str">
        <v>PENDIENTE</v>
      </c>
      <c r="B709" s="80" t="str">
        <v>Nueva Arica</v>
      </c>
      <c r="C709" s="80" t="str">
        <v>Junio</v>
      </c>
      <c r="D709" s="81">
        <v>46142</v>
      </c>
      <c r="E709" s="79">
        <v>298</v>
      </c>
      <c r="F709" s="80">
        <v>46147</v>
      </c>
      <c r="G709" s="79" cm="1">
        <f t="array" ref="G709:X709">_xlfn._xlws.FILTER(Formulas!$C$2:$T$201, ISNUMBER(MATCH(Formulas!$B$2:$B$201, B709, 0)),0) * E709</f>
        <v>59.999999999999993</v>
      </c>
      <c r="H709" s="79">
        <v>208</v>
      </c>
      <c r="I709" s="79">
        <v>14.999999999999998</v>
      </c>
      <c r="J709" s="79">
        <v>14.999999999999998</v>
      </c>
      <c r="K709" s="79">
        <v>0</v>
      </c>
      <c r="L709" s="79">
        <v>0</v>
      </c>
      <c r="M709" s="79">
        <v>0</v>
      </c>
      <c r="N709" s="79">
        <v>0</v>
      </c>
      <c r="O709" s="79">
        <v>0</v>
      </c>
      <c r="P709" s="79">
        <v>0</v>
      </c>
      <c r="Q709" s="79">
        <v>0</v>
      </c>
      <c r="R709" s="79">
        <v>0</v>
      </c>
      <c r="S709" s="79">
        <v>0</v>
      </c>
      <c r="T709" s="79">
        <v>0</v>
      </c>
      <c r="U709" s="79">
        <v>0</v>
      </c>
      <c r="V709" s="79">
        <v>0</v>
      </c>
      <c r="W709" s="79">
        <v>0</v>
      </c>
      <c r="X709" s="90">
        <v>0</v>
      </c>
    </row>
    <row r="710" spans="1:24" hidden="1" x14ac:dyDescent="0.25">
      <c r="A710" s="80" t="str">
        <v>PENDIENTE</v>
      </c>
      <c r="B710" s="80" t="str">
        <v>Nueva Arica</v>
      </c>
      <c r="C710" s="80" t="str">
        <v>Julio</v>
      </c>
      <c r="D710" s="81">
        <v>46203</v>
      </c>
      <c r="E710" s="79">
        <v>298</v>
      </c>
      <c r="F710" s="81">
        <v>46205</v>
      </c>
      <c r="G710" s="79" cm="1">
        <f t="array" ref="G710:X710">_xlfn._xlws.FILTER(Formulas!$C$2:$T$201, ISNUMBER(MATCH(Formulas!$B$2:$B$201, B710, 0)),0) * E710</f>
        <v>59.999999999999993</v>
      </c>
      <c r="H710" s="79">
        <v>208</v>
      </c>
      <c r="I710" s="79">
        <v>14.999999999999998</v>
      </c>
      <c r="J710" s="79">
        <v>14.999999999999998</v>
      </c>
      <c r="K710" s="79">
        <v>0</v>
      </c>
      <c r="L710" s="79">
        <v>0</v>
      </c>
      <c r="M710" s="79">
        <v>0</v>
      </c>
      <c r="N710" s="79">
        <v>0</v>
      </c>
      <c r="O710" s="79">
        <v>0</v>
      </c>
      <c r="P710" s="79">
        <v>0</v>
      </c>
      <c r="Q710" s="79">
        <v>0</v>
      </c>
      <c r="R710" s="79">
        <v>0</v>
      </c>
      <c r="S710" s="79">
        <v>0</v>
      </c>
      <c r="T710" s="79">
        <v>0</v>
      </c>
      <c r="U710" s="79">
        <v>0</v>
      </c>
      <c r="V710" s="79">
        <v>0</v>
      </c>
      <c r="W710" s="79">
        <v>0</v>
      </c>
      <c r="X710" s="90">
        <v>0</v>
      </c>
    </row>
    <row r="711" spans="1:24" hidden="1" x14ac:dyDescent="0.25">
      <c r="A711" s="80" t="str">
        <v>PENDIENTE</v>
      </c>
      <c r="B711" s="80" t="str">
        <v>Nueva Arica</v>
      </c>
      <c r="C711" s="80" t="str">
        <v>Agosto</v>
      </c>
      <c r="D711" s="81">
        <v>46203</v>
      </c>
      <c r="E711" s="79">
        <v>298</v>
      </c>
      <c r="F711" s="81">
        <v>46205</v>
      </c>
      <c r="G711" s="79" cm="1">
        <f t="array" ref="G711:X711">_xlfn._xlws.FILTER(Formulas!$C$2:$T$201, ISNUMBER(MATCH(Formulas!$B$2:$B$201, B711, 0)),0) * E711</f>
        <v>59.999999999999993</v>
      </c>
      <c r="H711" s="79">
        <v>208</v>
      </c>
      <c r="I711" s="79">
        <v>14.999999999999998</v>
      </c>
      <c r="J711" s="79">
        <v>14.999999999999998</v>
      </c>
      <c r="K711" s="79">
        <v>0</v>
      </c>
      <c r="L711" s="79">
        <v>0</v>
      </c>
      <c r="M711" s="79">
        <v>0</v>
      </c>
      <c r="N711" s="79">
        <v>0</v>
      </c>
      <c r="O711" s="79">
        <v>0</v>
      </c>
      <c r="P711" s="79">
        <v>0</v>
      </c>
      <c r="Q711" s="79">
        <v>0</v>
      </c>
      <c r="R711" s="79">
        <v>0</v>
      </c>
      <c r="S711" s="79">
        <v>0</v>
      </c>
      <c r="T711" s="79">
        <v>0</v>
      </c>
      <c r="U711" s="79">
        <v>0</v>
      </c>
      <c r="V711" s="79">
        <v>0</v>
      </c>
      <c r="W711" s="79">
        <v>0</v>
      </c>
      <c r="X711" s="90">
        <v>0</v>
      </c>
    </row>
    <row r="712" spans="1:24" hidden="1" x14ac:dyDescent="0.25">
      <c r="A712" s="80" t="str">
        <v>PENDIENTE</v>
      </c>
      <c r="B712" s="80" t="str">
        <v>Nueva Arica</v>
      </c>
      <c r="C712" s="80" t="str">
        <v>Setiembre</v>
      </c>
      <c r="D712" s="81">
        <v>46265</v>
      </c>
      <c r="E712" s="79">
        <v>298</v>
      </c>
      <c r="F712" s="81">
        <v>46275</v>
      </c>
      <c r="G712" s="79" cm="1">
        <f t="array" ref="G712:X712">_xlfn._xlws.FILTER(Formulas!$C$2:$T$201, ISNUMBER(MATCH(Formulas!$B$2:$B$201, B712, 0)),0) * E712</f>
        <v>59.999999999999993</v>
      </c>
      <c r="H712" s="79">
        <v>208</v>
      </c>
      <c r="I712" s="79">
        <v>14.999999999999998</v>
      </c>
      <c r="J712" s="79">
        <v>14.999999999999998</v>
      </c>
      <c r="K712" s="79">
        <v>0</v>
      </c>
      <c r="L712" s="79">
        <v>0</v>
      </c>
      <c r="M712" s="79">
        <v>0</v>
      </c>
      <c r="N712" s="79">
        <v>0</v>
      </c>
      <c r="O712" s="79">
        <v>0</v>
      </c>
      <c r="P712" s="79">
        <v>0</v>
      </c>
      <c r="Q712" s="79">
        <v>0</v>
      </c>
      <c r="R712" s="79">
        <v>0</v>
      </c>
      <c r="S712" s="79">
        <v>0</v>
      </c>
      <c r="T712" s="79">
        <v>0</v>
      </c>
      <c r="U712" s="79">
        <v>0</v>
      </c>
      <c r="V712" s="79">
        <v>0</v>
      </c>
      <c r="W712" s="79">
        <v>0</v>
      </c>
      <c r="X712" s="90">
        <v>0</v>
      </c>
    </row>
    <row r="713" spans="1:24" hidden="1" x14ac:dyDescent="0.25">
      <c r="A713" s="80" t="str">
        <v>PENDIENTE</v>
      </c>
      <c r="B713" s="80" t="str">
        <v>Nueva Arica</v>
      </c>
      <c r="C713" s="80" t="str">
        <v>Octubre</v>
      </c>
      <c r="D713" s="81">
        <v>46265</v>
      </c>
      <c r="E713" s="79">
        <v>298</v>
      </c>
      <c r="F713" s="81">
        <v>46275</v>
      </c>
      <c r="G713" s="79" cm="1">
        <f t="array" ref="G713:X713">_xlfn._xlws.FILTER(Formulas!$C$2:$T$201, ISNUMBER(MATCH(Formulas!$B$2:$B$201, B713, 0)),0) * E713</f>
        <v>59.999999999999993</v>
      </c>
      <c r="H713" s="79">
        <v>208</v>
      </c>
      <c r="I713" s="79">
        <v>14.999999999999998</v>
      </c>
      <c r="J713" s="79">
        <v>14.999999999999998</v>
      </c>
      <c r="K713" s="79">
        <v>0</v>
      </c>
      <c r="L713" s="79">
        <v>0</v>
      </c>
      <c r="M713" s="79">
        <v>0</v>
      </c>
      <c r="N713" s="79">
        <v>0</v>
      </c>
      <c r="O713" s="79">
        <v>0</v>
      </c>
      <c r="P713" s="79">
        <v>0</v>
      </c>
      <c r="Q713" s="79">
        <v>0</v>
      </c>
      <c r="R713" s="79">
        <v>0</v>
      </c>
      <c r="S713" s="79">
        <v>0</v>
      </c>
      <c r="T713" s="79">
        <v>0</v>
      </c>
      <c r="U713" s="79">
        <v>0</v>
      </c>
      <c r="V713" s="79">
        <v>0</v>
      </c>
      <c r="W713" s="79">
        <v>0</v>
      </c>
      <c r="X713" s="90">
        <v>0</v>
      </c>
    </row>
    <row r="714" spans="1:24" hidden="1" x14ac:dyDescent="0.25">
      <c r="A714" s="80" t="str">
        <v>PENDIENTE</v>
      </c>
      <c r="B714" s="80" t="str">
        <v>Nueva Arica</v>
      </c>
      <c r="C714" s="80" t="str">
        <v>Noviembre</v>
      </c>
      <c r="D714" s="81">
        <v>46326</v>
      </c>
      <c r="E714" s="79">
        <v>298</v>
      </c>
      <c r="F714" s="81">
        <v>0</v>
      </c>
      <c r="G714" s="79" cm="1">
        <f t="array" ref="G714:X714">_xlfn._xlws.FILTER(Formulas!$C$2:$T$201, ISNUMBER(MATCH(Formulas!$B$2:$B$201, B714, 0)),0) * E714</f>
        <v>59.999999999999993</v>
      </c>
      <c r="H714" s="79">
        <v>208</v>
      </c>
      <c r="I714" s="79">
        <v>14.999999999999998</v>
      </c>
      <c r="J714" s="79">
        <v>14.999999999999998</v>
      </c>
      <c r="K714" s="79">
        <v>0</v>
      </c>
      <c r="L714" s="79">
        <v>0</v>
      </c>
      <c r="M714" s="79">
        <v>0</v>
      </c>
      <c r="N714" s="79">
        <v>0</v>
      </c>
      <c r="O714" s="79">
        <v>0</v>
      </c>
      <c r="P714" s="79">
        <v>0</v>
      </c>
      <c r="Q714" s="79">
        <v>0</v>
      </c>
      <c r="R714" s="79">
        <v>0</v>
      </c>
      <c r="S714" s="79">
        <v>0</v>
      </c>
      <c r="T714" s="79">
        <v>0</v>
      </c>
      <c r="U714" s="79">
        <v>0</v>
      </c>
      <c r="V714" s="79">
        <v>0</v>
      </c>
      <c r="W714" s="79">
        <v>0</v>
      </c>
      <c r="X714" s="90">
        <v>0</v>
      </c>
    </row>
    <row r="715" spans="1:24" hidden="1" x14ac:dyDescent="0.25">
      <c r="A715" s="80" t="str">
        <v>PENDIENTE</v>
      </c>
      <c r="B715" s="80" t="str">
        <v>Nueva Arica</v>
      </c>
      <c r="C715" s="80" t="str">
        <v>Diciembre</v>
      </c>
      <c r="D715" s="81">
        <v>46326</v>
      </c>
      <c r="E715" s="79">
        <v>298</v>
      </c>
      <c r="F715" s="81">
        <v>0</v>
      </c>
      <c r="G715" s="79" cm="1">
        <f t="array" ref="G715:X715">_xlfn._xlws.FILTER(Formulas!$C$2:$T$201, ISNUMBER(MATCH(Formulas!$B$2:$B$201, B715, 0)),0) * E715</f>
        <v>59.999999999999993</v>
      </c>
      <c r="H715" s="79">
        <v>208</v>
      </c>
      <c r="I715" s="79">
        <v>14.999999999999998</v>
      </c>
      <c r="J715" s="79">
        <v>14.999999999999998</v>
      </c>
      <c r="K715" s="79">
        <v>0</v>
      </c>
      <c r="L715" s="79">
        <v>0</v>
      </c>
      <c r="M715" s="79">
        <v>0</v>
      </c>
      <c r="N715" s="79">
        <v>0</v>
      </c>
      <c r="O715" s="79">
        <v>0</v>
      </c>
      <c r="P715" s="79">
        <v>0</v>
      </c>
      <c r="Q715" s="79">
        <v>0</v>
      </c>
      <c r="R715" s="79">
        <v>0</v>
      </c>
      <c r="S715" s="79">
        <v>0</v>
      </c>
      <c r="T715" s="79">
        <v>0</v>
      </c>
      <c r="U715" s="79">
        <v>0</v>
      </c>
      <c r="V715" s="79">
        <v>0</v>
      </c>
      <c r="W715" s="79">
        <v>0</v>
      </c>
      <c r="X715" s="90">
        <v>0</v>
      </c>
    </row>
    <row r="716" spans="1:24" hidden="1" x14ac:dyDescent="0.25">
      <c r="A716" s="80" t="str">
        <v>PENDIENTE</v>
      </c>
      <c r="B716" s="80" t="str">
        <v>Nueva Cajamarca</v>
      </c>
      <c r="C716" s="80" t="str">
        <v>Enero</v>
      </c>
      <c r="D716" s="81">
        <v>46042</v>
      </c>
      <c r="E716" s="79">
        <v>3494.5680000000002</v>
      </c>
      <c r="F716" s="81">
        <v>46036</v>
      </c>
      <c r="G716" s="79" cm="1">
        <f t="array" ref="G716:X716">_xlfn._xlws.FILTER(Formulas!$C$2:$T$201, ISNUMBER(MATCH(Formulas!$B$2:$B$201, B716, 0)),0) * E716</f>
        <v>698.59844280775587</v>
      </c>
      <c r="H716" s="79">
        <v>1397.7221476025854</v>
      </c>
      <c r="I716" s="79">
        <v>174.91224169547573</v>
      </c>
      <c r="J716" s="79">
        <v>0</v>
      </c>
      <c r="K716" s="79">
        <v>0</v>
      </c>
      <c r="L716" s="79">
        <v>0</v>
      </c>
      <c r="M716" s="79">
        <v>0</v>
      </c>
      <c r="N716" s="79">
        <v>0</v>
      </c>
      <c r="O716" s="79">
        <v>1223.3351678941831</v>
      </c>
      <c r="P716" s="79">
        <v>0</v>
      </c>
      <c r="Q716" s="79">
        <v>0</v>
      </c>
      <c r="R716" s="79">
        <v>0</v>
      </c>
      <c r="S716" s="79">
        <v>0</v>
      </c>
      <c r="T716" s="79">
        <v>0</v>
      </c>
      <c r="U716" s="79">
        <v>0</v>
      </c>
      <c r="V716" s="79">
        <v>0</v>
      </c>
      <c r="W716" s="79">
        <v>0</v>
      </c>
      <c r="X716" s="90">
        <v>0</v>
      </c>
    </row>
    <row r="717" spans="1:24" hidden="1" x14ac:dyDescent="0.25">
      <c r="A717" s="80" t="str">
        <v>PENDIENTE</v>
      </c>
      <c r="B717" s="80" t="str">
        <v>Nueva Cajamarca</v>
      </c>
      <c r="C717" s="80" t="str">
        <v>Febrero</v>
      </c>
      <c r="D717" s="81">
        <v>46042</v>
      </c>
      <c r="E717" s="79">
        <v>3157.56</v>
      </c>
      <c r="F717" s="81">
        <v>46036</v>
      </c>
      <c r="G717" s="79" cm="1">
        <f t="array" ref="G717:X717">_xlfn._xlws.FILTER(Formulas!$C$2:$T$201, ISNUMBER(MATCH(Formulas!$B$2:$B$201, B717, 0)),0) * E717</f>
        <v>631.22723583345851</v>
      </c>
      <c r="H717" s="79">
        <v>1262.9290786111528</v>
      </c>
      <c r="I717" s="79">
        <v>158.04411243048247</v>
      </c>
      <c r="J717" s="79">
        <v>0</v>
      </c>
      <c r="K717" s="79">
        <v>0</v>
      </c>
      <c r="L717" s="79">
        <v>0</v>
      </c>
      <c r="M717" s="79">
        <v>0</v>
      </c>
      <c r="N717" s="79">
        <v>0</v>
      </c>
      <c r="O717" s="79">
        <v>1105.3595731249059</v>
      </c>
      <c r="P717" s="79">
        <v>0</v>
      </c>
      <c r="Q717" s="79">
        <v>0</v>
      </c>
      <c r="R717" s="79">
        <v>0</v>
      </c>
      <c r="S717" s="79">
        <v>0</v>
      </c>
      <c r="T717" s="79">
        <v>0</v>
      </c>
      <c r="U717" s="79">
        <v>0</v>
      </c>
      <c r="V717" s="79">
        <v>0</v>
      </c>
      <c r="W717" s="79">
        <v>0</v>
      </c>
      <c r="X717" s="90">
        <v>0</v>
      </c>
    </row>
    <row r="718" spans="1:24" hidden="1" x14ac:dyDescent="0.25">
      <c r="A718" s="80" t="str">
        <v>PENDIENTE</v>
      </c>
      <c r="B718" s="80" t="str">
        <v>Nueva Cajamarca</v>
      </c>
      <c r="C718" s="80" t="str">
        <v>Marzo</v>
      </c>
      <c r="D718" s="81">
        <v>46073</v>
      </c>
      <c r="E718" s="79">
        <v>3486.7560000000003</v>
      </c>
      <c r="F718" s="81">
        <v>46058</v>
      </c>
      <c r="G718" s="79" cm="1">
        <f t="array" ref="G718:X718">_xlfn._xlws.FILTER(Formulas!$C$2:$T$201, ISNUMBER(MATCH(Formulas!$B$2:$B$201, B718, 0)),0) * E718</f>
        <v>697.0367473320307</v>
      </c>
      <c r="H718" s="79">
        <v>1394.5975824440104</v>
      </c>
      <c r="I718" s="79">
        <v>174.52123072298212</v>
      </c>
      <c r="J718" s="79">
        <v>0</v>
      </c>
      <c r="K718" s="79">
        <v>0</v>
      </c>
      <c r="L718" s="79">
        <v>0</v>
      </c>
      <c r="M718" s="79">
        <v>0</v>
      </c>
      <c r="N718" s="79">
        <v>0</v>
      </c>
      <c r="O718" s="79">
        <v>1220.600439500977</v>
      </c>
      <c r="P718" s="79">
        <v>0</v>
      </c>
      <c r="Q718" s="79">
        <v>0</v>
      </c>
      <c r="R718" s="79">
        <v>0</v>
      </c>
      <c r="S718" s="79">
        <v>0</v>
      </c>
      <c r="T718" s="79">
        <v>0</v>
      </c>
      <c r="U718" s="79">
        <v>0</v>
      </c>
      <c r="V718" s="79">
        <v>0</v>
      </c>
      <c r="W718" s="79">
        <v>0</v>
      </c>
      <c r="X718" s="90">
        <v>0</v>
      </c>
    </row>
    <row r="719" spans="1:24" hidden="1" x14ac:dyDescent="0.25">
      <c r="A719" s="80" t="str">
        <v>PENDIENTE</v>
      </c>
      <c r="B719" s="80" t="str">
        <v>Nueva Cajamarca</v>
      </c>
      <c r="C719" s="80" t="str">
        <v>Abril</v>
      </c>
      <c r="D719" s="81">
        <v>46101</v>
      </c>
      <c r="E719" s="79">
        <v>3374.28</v>
      </c>
      <c r="F719" s="81">
        <v>46088</v>
      </c>
      <c r="G719" s="79" cm="1">
        <f t="array" ref="G719:X719">_xlfn._xlws.FILTER(Formulas!$C$2:$T$201, ISNUMBER(MATCH(Formulas!$B$2:$B$201, B719, 0)),0) * E719</f>
        <v>674.55169096648126</v>
      </c>
      <c r="H719" s="79">
        <v>1349.6105636554939</v>
      </c>
      <c r="I719" s="79">
        <v>168.89151360288594</v>
      </c>
      <c r="J719" s="79">
        <v>0</v>
      </c>
      <c r="K719" s="79">
        <v>0</v>
      </c>
      <c r="L719" s="79">
        <v>0</v>
      </c>
      <c r="M719" s="79">
        <v>0</v>
      </c>
      <c r="N719" s="79">
        <v>0</v>
      </c>
      <c r="O719" s="79">
        <v>1181.226231775139</v>
      </c>
      <c r="P719" s="79">
        <v>0</v>
      </c>
      <c r="Q719" s="79">
        <v>0</v>
      </c>
      <c r="R719" s="79">
        <v>0</v>
      </c>
      <c r="S719" s="79">
        <v>0</v>
      </c>
      <c r="T719" s="79">
        <v>0</v>
      </c>
      <c r="U719" s="79">
        <v>0</v>
      </c>
      <c r="V719" s="79">
        <v>0</v>
      </c>
      <c r="W719" s="79">
        <v>0</v>
      </c>
      <c r="X719" s="90">
        <v>0</v>
      </c>
    </row>
    <row r="720" spans="1:24" hidden="1" x14ac:dyDescent="0.25">
      <c r="A720" s="80" t="str">
        <v>PENDIENTE</v>
      </c>
      <c r="B720" s="80" t="str">
        <v>Nueva Cajamarca</v>
      </c>
      <c r="C720" s="80" t="str">
        <v>Mayo</v>
      </c>
      <c r="D720" s="81">
        <v>46132</v>
      </c>
      <c r="E720" s="79">
        <v>3486.7560000000003</v>
      </c>
      <c r="F720" s="81">
        <v>46120</v>
      </c>
      <c r="G720" s="79" cm="1">
        <f t="array" ref="G720:X720">_xlfn._xlws.FILTER(Formulas!$C$2:$T$201, ISNUMBER(MATCH(Formulas!$B$2:$B$201, B720, 0)),0) * E720</f>
        <v>697.0367473320307</v>
      </c>
      <c r="H720" s="79">
        <v>1394.5975824440104</v>
      </c>
      <c r="I720" s="79">
        <v>174.52123072298212</v>
      </c>
      <c r="J720" s="79">
        <v>0</v>
      </c>
      <c r="K720" s="79">
        <v>0</v>
      </c>
      <c r="L720" s="79">
        <v>0</v>
      </c>
      <c r="M720" s="79">
        <v>0</v>
      </c>
      <c r="N720" s="79">
        <v>0</v>
      </c>
      <c r="O720" s="79">
        <v>1220.600439500977</v>
      </c>
      <c r="P720" s="79">
        <v>0</v>
      </c>
      <c r="Q720" s="79">
        <v>0</v>
      </c>
      <c r="R720" s="79">
        <v>0</v>
      </c>
      <c r="S720" s="79">
        <v>0</v>
      </c>
      <c r="T720" s="79">
        <v>0</v>
      </c>
      <c r="U720" s="79">
        <v>0</v>
      </c>
      <c r="V720" s="79">
        <v>0</v>
      </c>
      <c r="W720" s="79">
        <v>0</v>
      </c>
      <c r="X720" s="90">
        <v>0</v>
      </c>
    </row>
    <row r="721" spans="1:24" hidden="1" x14ac:dyDescent="0.25">
      <c r="A721" s="80" t="str">
        <v>PENDIENTE</v>
      </c>
      <c r="B721" s="80" t="str">
        <v>Nueva Cajamarca</v>
      </c>
      <c r="C721" s="80" t="str">
        <v>Junio</v>
      </c>
      <c r="D721" s="81">
        <v>46163</v>
      </c>
      <c r="E721" s="79">
        <v>3374.28</v>
      </c>
      <c r="F721" s="80">
        <v>46150</v>
      </c>
      <c r="G721" s="79" cm="1">
        <f t="array" ref="G721:X721">_xlfn._xlws.FILTER(Formulas!$C$2:$T$201, ISNUMBER(MATCH(Formulas!$B$2:$B$201, B721, 0)),0) * E721</f>
        <v>674.55169096648126</v>
      </c>
      <c r="H721" s="79">
        <v>1349.6105636554939</v>
      </c>
      <c r="I721" s="79">
        <v>168.89151360288594</v>
      </c>
      <c r="J721" s="79">
        <v>0</v>
      </c>
      <c r="K721" s="79">
        <v>0</v>
      </c>
      <c r="L721" s="79">
        <v>0</v>
      </c>
      <c r="M721" s="79">
        <v>0</v>
      </c>
      <c r="N721" s="79">
        <v>0</v>
      </c>
      <c r="O721" s="79">
        <v>1181.226231775139</v>
      </c>
      <c r="P721" s="79">
        <v>0</v>
      </c>
      <c r="Q721" s="79">
        <v>0</v>
      </c>
      <c r="R721" s="79">
        <v>0</v>
      </c>
      <c r="S721" s="79">
        <v>0</v>
      </c>
      <c r="T721" s="79">
        <v>0</v>
      </c>
      <c r="U721" s="79">
        <v>0</v>
      </c>
      <c r="V721" s="79">
        <v>0</v>
      </c>
      <c r="W721" s="79">
        <v>0</v>
      </c>
      <c r="X721" s="90">
        <v>0</v>
      </c>
    </row>
    <row r="722" spans="1:24" hidden="1" x14ac:dyDescent="0.25">
      <c r="A722" s="80" t="str">
        <v>PENDIENTE</v>
      </c>
      <c r="B722" s="80" t="str">
        <v>Nueva Cajamarca</v>
      </c>
      <c r="C722" s="80" t="str">
        <v>Julio</v>
      </c>
      <c r="D722" s="81">
        <v>46195</v>
      </c>
      <c r="E722" s="79">
        <v>3486.7560000000003</v>
      </c>
      <c r="F722" s="80">
        <v>46175</v>
      </c>
      <c r="G722" s="79" cm="1">
        <f t="array" ref="G722:X722">_xlfn._xlws.FILTER(Formulas!$C$2:$T$201, ISNUMBER(MATCH(Formulas!$B$2:$B$201, B722, 0)),0) * E722</f>
        <v>697.0367473320307</v>
      </c>
      <c r="H722" s="79">
        <v>1394.5975824440104</v>
      </c>
      <c r="I722" s="79">
        <v>174.52123072298212</v>
      </c>
      <c r="J722" s="79">
        <v>0</v>
      </c>
      <c r="K722" s="79">
        <v>0</v>
      </c>
      <c r="L722" s="79">
        <v>0</v>
      </c>
      <c r="M722" s="79">
        <v>0</v>
      </c>
      <c r="N722" s="79">
        <v>0</v>
      </c>
      <c r="O722" s="79">
        <v>1220.600439500977</v>
      </c>
      <c r="P722" s="79">
        <v>0</v>
      </c>
      <c r="Q722" s="79">
        <v>0</v>
      </c>
      <c r="R722" s="79">
        <v>0</v>
      </c>
      <c r="S722" s="79">
        <v>0</v>
      </c>
      <c r="T722" s="79">
        <v>0</v>
      </c>
      <c r="U722" s="79">
        <v>0</v>
      </c>
      <c r="V722" s="79">
        <v>0</v>
      </c>
      <c r="W722" s="79">
        <v>0</v>
      </c>
      <c r="X722" s="90">
        <v>0</v>
      </c>
    </row>
    <row r="723" spans="1:24" hidden="1" x14ac:dyDescent="0.25">
      <c r="A723" s="80" t="str">
        <v>PENDIENTE</v>
      </c>
      <c r="B723" s="80" t="str">
        <v>Nueva Cajamarca</v>
      </c>
      <c r="C723" s="80" t="str">
        <v>O.C.</v>
      </c>
      <c r="D723" s="81">
        <v>46223</v>
      </c>
      <c r="E723" s="79">
        <v>3360.462</v>
      </c>
      <c r="F723" s="81">
        <v>46219</v>
      </c>
      <c r="G723" s="79" cm="1">
        <f t="array" ref="G723:X723">_xlfn._xlws.FILTER(Formulas!$C$2:$T$201, ISNUMBER(MATCH(Formulas!$B$2:$B$201, B723, 0)),0) * E723</f>
        <v>671.7893371411393</v>
      </c>
      <c r="H723" s="79">
        <v>1344.0837790470464</v>
      </c>
      <c r="I723" s="79">
        <v>168.19988666766872</v>
      </c>
      <c r="J723" s="79">
        <v>0</v>
      </c>
      <c r="K723" s="79">
        <v>0</v>
      </c>
      <c r="L723" s="79">
        <v>0</v>
      </c>
      <c r="M723" s="79">
        <v>0</v>
      </c>
      <c r="N723" s="79">
        <v>0</v>
      </c>
      <c r="O723" s="79">
        <v>1176.3889971441454</v>
      </c>
      <c r="P723" s="79">
        <v>0</v>
      </c>
      <c r="Q723" s="79">
        <v>0</v>
      </c>
      <c r="R723" s="79">
        <v>0</v>
      </c>
      <c r="S723" s="79">
        <v>0</v>
      </c>
      <c r="T723" s="79">
        <v>0</v>
      </c>
      <c r="U723" s="79">
        <v>0</v>
      </c>
      <c r="V723" s="79">
        <v>0</v>
      </c>
      <c r="W723" s="79">
        <v>0</v>
      </c>
      <c r="X723" s="90">
        <v>0</v>
      </c>
    </row>
    <row r="724" spans="1:24" hidden="1" x14ac:dyDescent="0.25">
      <c r="A724" s="80" t="str">
        <v>PENDIENTE</v>
      </c>
      <c r="B724" s="80" t="str">
        <v>Nueva Cajamarca</v>
      </c>
      <c r="C724" s="80" t="str">
        <v>Agosto</v>
      </c>
      <c r="D724" s="81">
        <v>46223</v>
      </c>
      <c r="E724" s="79">
        <v>3486.7560000000003</v>
      </c>
      <c r="F724" s="81">
        <v>46219</v>
      </c>
      <c r="G724" s="79" cm="1">
        <f t="array" ref="G724:X724">_xlfn._xlws.FILTER(Formulas!$C$2:$T$201, ISNUMBER(MATCH(Formulas!$B$2:$B$201, B724, 0)),0) * E724</f>
        <v>697.0367473320307</v>
      </c>
      <c r="H724" s="79">
        <v>1394.5975824440104</v>
      </c>
      <c r="I724" s="79">
        <v>174.52123072298212</v>
      </c>
      <c r="J724" s="79">
        <v>0</v>
      </c>
      <c r="K724" s="79">
        <v>0</v>
      </c>
      <c r="L724" s="79">
        <v>0</v>
      </c>
      <c r="M724" s="79">
        <v>0</v>
      </c>
      <c r="N724" s="79">
        <v>0</v>
      </c>
      <c r="O724" s="79">
        <v>1220.600439500977</v>
      </c>
      <c r="P724" s="79">
        <v>0</v>
      </c>
      <c r="Q724" s="79">
        <v>0</v>
      </c>
      <c r="R724" s="79">
        <v>0</v>
      </c>
      <c r="S724" s="79">
        <v>0</v>
      </c>
      <c r="T724" s="79">
        <v>0</v>
      </c>
      <c r="U724" s="79">
        <v>0</v>
      </c>
      <c r="V724" s="79">
        <v>0</v>
      </c>
      <c r="W724" s="79">
        <v>0</v>
      </c>
      <c r="X724" s="90">
        <v>0</v>
      </c>
    </row>
    <row r="725" spans="1:24" hidden="1" x14ac:dyDescent="0.25">
      <c r="A725" s="80" t="str">
        <v>PENDIENTE</v>
      </c>
      <c r="B725" s="80" t="str">
        <v>Nueva Cajamarca</v>
      </c>
      <c r="C725" s="80" t="str">
        <v>Setiembre</v>
      </c>
      <c r="D725" s="81">
        <v>46255</v>
      </c>
      <c r="E725" s="79">
        <v>3374.28</v>
      </c>
      <c r="F725" s="81">
        <v>46234</v>
      </c>
      <c r="G725" s="79" cm="1">
        <f t="array" ref="G725:X725">_xlfn._xlws.FILTER(Formulas!$C$2:$T$201, ISNUMBER(MATCH(Formulas!$B$2:$B$201, B725, 0)),0) * E725</f>
        <v>674.55169096648126</v>
      </c>
      <c r="H725" s="79">
        <v>1349.6105636554939</v>
      </c>
      <c r="I725" s="79">
        <v>168.89151360288594</v>
      </c>
      <c r="J725" s="79">
        <v>0</v>
      </c>
      <c r="K725" s="79">
        <v>0</v>
      </c>
      <c r="L725" s="79">
        <v>0</v>
      </c>
      <c r="M725" s="79">
        <v>0</v>
      </c>
      <c r="N725" s="79">
        <v>0</v>
      </c>
      <c r="O725" s="79">
        <v>1181.226231775139</v>
      </c>
      <c r="P725" s="79">
        <v>0</v>
      </c>
      <c r="Q725" s="79">
        <v>0</v>
      </c>
      <c r="R725" s="79">
        <v>0</v>
      </c>
      <c r="S725" s="79">
        <v>0</v>
      </c>
      <c r="T725" s="79">
        <v>0</v>
      </c>
      <c r="U725" s="79">
        <v>0</v>
      </c>
      <c r="V725" s="79">
        <v>0</v>
      </c>
      <c r="W725" s="79">
        <v>0</v>
      </c>
      <c r="X725" s="90">
        <v>0</v>
      </c>
    </row>
    <row r="726" spans="1:24" hidden="1" x14ac:dyDescent="0.25">
      <c r="A726" s="80" t="str">
        <v>PENDIENTE</v>
      </c>
      <c r="B726" s="80" t="str">
        <v>Nueva Cajamarca</v>
      </c>
      <c r="C726" s="80" t="str">
        <v>Octubre</v>
      </c>
      <c r="D726" s="81">
        <v>46286</v>
      </c>
      <c r="E726" s="79">
        <v>3486.7560000000003</v>
      </c>
      <c r="F726" s="81">
        <v>46276</v>
      </c>
      <c r="G726" s="79" cm="1">
        <f t="array" ref="G726:X726">_xlfn._xlws.FILTER(Formulas!$C$2:$T$201, ISNUMBER(MATCH(Formulas!$B$2:$B$201, B726, 0)),0) * E726</f>
        <v>697.0367473320307</v>
      </c>
      <c r="H726" s="79">
        <v>1394.5975824440104</v>
      </c>
      <c r="I726" s="79">
        <v>174.52123072298212</v>
      </c>
      <c r="J726" s="79">
        <v>0</v>
      </c>
      <c r="K726" s="79">
        <v>0</v>
      </c>
      <c r="L726" s="79">
        <v>0</v>
      </c>
      <c r="M726" s="79">
        <v>0</v>
      </c>
      <c r="N726" s="79">
        <v>0</v>
      </c>
      <c r="O726" s="79">
        <v>1220.600439500977</v>
      </c>
      <c r="P726" s="79">
        <v>0</v>
      </c>
      <c r="Q726" s="79">
        <v>0</v>
      </c>
      <c r="R726" s="79">
        <v>0</v>
      </c>
      <c r="S726" s="79">
        <v>0</v>
      </c>
      <c r="T726" s="79">
        <v>0</v>
      </c>
      <c r="U726" s="79">
        <v>0</v>
      </c>
      <c r="V726" s="79">
        <v>0</v>
      </c>
      <c r="W726" s="79">
        <v>0</v>
      </c>
      <c r="X726" s="90">
        <v>0</v>
      </c>
    </row>
    <row r="727" spans="1:24" hidden="1" x14ac:dyDescent="0.25">
      <c r="A727" s="80" t="str">
        <v>PENDIENTE</v>
      </c>
      <c r="B727" s="80" t="str">
        <v>Nueva Cajamarca</v>
      </c>
      <c r="C727" s="80" t="str">
        <v>Noviembre</v>
      </c>
      <c r="D727" s="81">
        <v>46315</v>
      </c>
      <c r="E727" s="79">
        <v>3374.28</v>
      </c>
      <c r="F727" s="81">
        <v>0</v>
      </c>
      <c r="G727" s="79" cm="1">
        <f t="array" ref="G727:X727">_xlfn._xlws.FILTER(Formulas!$C$2:$T$201, ISNUMBER(MATCH(Formulas!$B$2:$B$201, B727, 0)),0) * E727</f>
        <v>674.55169096648126</v>
      </c>
      <c r="H727" s="79">
        <v>1349.6105636554939</v>
      </c>
      <c r="I727" s="79">
        <v>168.89151360288594</v>
      </c>
      <c r="J727" s="79">
        <v>0</v>
      </c>
      <c r="K727" s="79">
        <v>0</v>
      </c>
      <c r="L727" s="79">
        <v>0</v>
      </c>
      <c r="M727" s="79">
        <v>0</v>
      </c>
      <c r="N727" s="79">
        <v>0</v>
      </c>
      <c r="O727" s="79">
        <v>1181.226231775139</v>
      </c>
      <c r="P727" s="79">
        <v>0</v>
      </c>
      <c r="Q727" s="79">
        <v>0</v>
      </c>
      <c r="R727" s="79">
        <v>0</v>
      </c>
      <c r="S727" s="79">
        <v>0</v>
      </c>
      <c r="T727" s="79">
        <v>0</v>
      </c>
      <c r="U727" s="79">
        <v>0</v>
      </c>
      <c r="V727" s="79">
        <v>0</v>
      </c>
      <c r="W727" s="79">
        <v>0</v>
      </c>
      <c r="X727" s="90">
        <v>0</v>
      </c>
    </row>
    <row r="728" spans="1:24" hidden="1" x14ac:dyDescent="0.25">
      <c r="A728" s="80" t="str">
        <v>PENDIENTE</v>
      </c>
      <c r="B728" s="80" t="str">
        <v>Nueva Cajamarca</v>
      </c>
      <c r="C728" s="80" t="str">
        <v>Diciembre</v>
      </c>
      <c r="D728" s="81">
        <v>46346</v>
      </c>
      <c r="E728" s="79">
        <v>3486.7560000000003</v>
      </c>
      <c r="F728" s="81">
        <v>0</v>
      </c>
      <c r="G728" s="79" cm="1">
        <f t="array" ref="G728:X728">_xlfn._xlws.FILTER(Formulas!$C$2:$T$201, ISNUMBER(MATCH(Formulas!$B$2:$B$201, B728, 0)),0) * E728</f>
        <v>697.0367473320307</v>
      </c>
      <c r="H728" s="79">
        <v>1394.5975824440104</v>
      </c>
      <c r="I728" s="79">
        <v>174.52123072298212</v>
      </c>
      <c r="J728" s="79">
        <v>0</v>
      </c>
      <c r="K728" s="79">
        <v>0</v>
      </c>
      <c r="L728" s="79">
        <v>0</v>
      </c>
      <c r="M728" s="79">
        <v>0</v>
      </c>
      <c r="N728" s="79">
        <v>0</v>
      </c>
      <c r="O728" s="79">
        <v>1220.600439500977</v>
      </c>
      <c r="P728" s="79">
        <v>0</v>
      </c>
      <c r="Q728" s="79">
        <v>0</v>
      </c>
      <c r="R728" s="79">
        <v>0</v>
      </c>
      <c r="S728" s="79">
        <v>0</v>
      </c>
      <c r="T728" s="79">
        <v>0</v>
      </c>
      <c r="U728" s="79">
        <v>0</v>
      </c>
      <c r="V728" s="79">
        <v>0</v>
      </c>
      <c r="W728" s="79">
        <v>0</v>
      </c>
      <c r="X728" s="90">
        <v>0</v>
      </c>
    </row>
    <row r="729" spans="1:24" hidden="1" x14ac:dyDescent="0.25">
      <c r="A729" s="80" t="str">
        <v>PENDIENTE</v>
      </c>
      <c r="B729" s="80" t="str">
        <v>Olleros</v>
      </c>
      <c r="C729" s="80" t="str">
        <v>O.C.</v>
      </c>
      <c r="D729" s="81">
        <v>46053</v>
      </c>
      <c r="E729" s="79">
        <v>815.62822399999993</v>
      </c>
      <c r="F729" s="81">
        <v>46053</v>
      </c>
      <c r="G729" s="79" cm="1">
        <f t="array" ref="G729:X729">_xlfn._xlws.FILTER(Formulas!$C$2:$T$201, ISNUMBER(MATCH(Formulas!$B$2:$B$201, B729, 0)),0) * E729</f>
        <v>163.45254989979958</v>
      </c>
      <c r="H729" s="79">
        <v>570.44939915030056</v>
      </c>
      <c r="I729" s="79">
        <v>40.863137474949895</v>
      </c>
      <c r="J729" s="79">
        <v>0</v>
      </c>
      <c r="K729" s="79">
        <v>0</v>
      </c>
      <c r="L729" s="79">
        <v>0</v>
      </c>
      <c r="M729" s="79">
        <v>40.863137474949895</v>
      </c>
      <c r="N729" s="79">
        <v>0</v>
      </c>
      <c r="O729" s="79">
        <v>0</v>
      </c>
      <c r="P729" s="79">
        <v>0</v>
      </c>
      <c r="Q729" s="79">
        <v>0</v>
      </c>
      <c r="R729" s="79">
        <v>0</v>
      </c>
      <c r="S729" s="79">
        <v>0</v>
      </c>
      <c r="T729" s="79">
        <v>0</v>
      </c>
      <c r="U729" s="79">
        <v>0</v>
      </c>
      <c r="V729" s="79">
        <v>0</v>
      </c>
      <c r="W729" s="79">
        <v>0</v>
      </c>
      <c r="X729" s="90">
        <v>0</v>
      </c>
    </row>
    <row r="730" spans="1:24" hidden="1" x14ac:dyDescent="0.25">
      <c r="A730" s="80" t="str">
        <v>PENDIENTE</v>
      </c>
      <c r="B730" s="80" t="str">
        <v>Olleros</v>
      </c>
      <c r="C730" s="80" t="str">
        <v>Abril</v>
      </c>
      <c r="D730" s="81">
        <v>46128</v>
      </c>
      <c r="E730" s="79">
        <v>271.84392299999996</v>
      </c>
      <c r="F730" s="80">
        <v>46128</v>
      </c>
      <c r="G730" s="79" cm="1">
        <f t="array" ref="G730:X730">_xlfn._xlws.FILTER(Formulas!$C$2:$T$201, ISNUMBER(MATCH(Formulas!$B$2:$B$201, B730, 0)),0) * E730</f>
        <v>54.477740080160316</v>
      </c>
      <c r="H730" s="79">
        <v>190.1273128797595</v>
      </c>
      <c r="I730" s="79">
        <v>13.619435020040079</v>
      </c>
      <c r="J730" s="79">
        <v>0</v>
      </c>
      <c r="K730" s="79">
        <v>0</v>
      </c>
      <c r="L730" s="79">
        <v>0</v>
      </c>
      <c r="M730" s="79">
        <v>13.619435020040079</v>
      </c>
      <c r="N730" s="79">
        <v>0</v>
      </c>
      <c r="O730" s="79">
        <v>0</v>
      </c>
      <c r="P730" s="79">
        <v>0</v>
      </c>
      <c r="Q730" s="79">
        <v>0</v>
      </c>
      <c r="R730" s="79">
        <v>0</v>
      </c>
      <c r="S730" s="79">
        <v>0</v>
      </c>
      <c r="T730" s="79">
        <v>0</v>
      </c>
      <c r="U730" s="79">
        <v>0</v>
      </c>
      <c r="V730" s="79">
        <v>0</v>
      </c>
      <c r="W730" s="79">
        <v>0</v>
      </c>
      <c r="X730" s="90">
        <v>0</v>
      </c>
    </row>
    <row r="731" spans="1:24" hidden="1" x14ac:dyDescent="0.25">
      <c r="A731" s="80" t="str">
        <v>PENDIENTE</v>
      </c>
      <c r="B731" s="80" t="str">
        <v>Olleros</v>
      </c>
      <c r="C731" s="80" t="str">
        <v>Mayo</v>
      </c>
      <c r="D731" s="81">
        <v>46128</v>
      </c>
      <c r="E731" s="79">
        <v>271.84392299999996</v>
      </c>
      <c r="F731" s="80">
        <v>46128</v>
      </c>
      <c r="G731" s="79" cm="1">
        <f t="array" ref="G731:X731">_xlfn._xlws.FILTER(Formulas!$C$2:$T$201, ISNUMBER(MATCH(Formulas!$B$2:$B$201, B731, 0)),0) * E731</f>
        <v>54.477740080160316</v>
      </c>
      <c r="H731" s="79">
        <v>190.1273128797595</v>
      </c>
      <c r="I731" s="79">
        <v>13.619435020040079</v>
      </c>
      <c r="J731" s="79">
        <v>0</v>
      </c>
      <c r="K731" s="79">
        <v>0</v>
      </c>
      <c r="L731" s="79">
        <v>0</v>
      </c>
      <c r="M731" s="79">
        <v>13.619435020040079</v>
      </c>
      <c r="N731" s="79">
        <v>0</v>
      </c>
      <c r="O731" s="79">
        <v>0</v>
      </c>
      <c r="P731" s="79">
        <v>0</v>
      </c>
      <c r="Q731" s="79">
        <v>0</v>
      </c>
      <c r="R731" s="79">
        <v>0</v>
      </c>
      <c r="S731" s="79">
        <v>0</v>
      </c>
      <c r="T731" s="79">
        <v>0</v>
      </c>
      <c r="U731" s="79">
        <v>0</v>
      </c>
      <c r="V731" s="79">
        <v>0</v>
      </c>
      <c r="W731" s="79">
        <v>0</v>
      </c>
      <c r="X731" s="90">
        <v>0</v>
      </c>
    </row>
    <row r="732" spans="1:24" hidden="1" x14ac:dyDescent="0.25">
      <c r="A732" s="80" t="str">
        <v>PENDIENTE</v>
      </c>
      <c r="B732" s="80" t="str">
        <v>Olleros</v>
      </c>
      <c r="C732" s="80" t="str">
        <v>Junio</v>
      </c>
      <c r="D732" s="81">
        <v>46128</v>
      </c>
      <c r="E732" s="79">
        <v>271.84392299999996</v>
      </c>
      <c r="F732" s="80">
        <v>46128</v>
      </c>
      <c r="G732" s="79" cm="1">
        <f t="array" ref="G732:X732">_xlfn._xlws.FILTER(Formulas!$C$2:$T$201, ISNUMBER(MATCH(Formulas!$B$2:$B$201, B732, 0)),0) * E732</f>
        <v>54.477740080160316</v>
      </c>
      <c r="H732" s="79">
        <v>190.1273128797595</v>
      </c>
      <c r="I732" s="79">
        <v>13.619435020040079</v>
      </c>
      <c r="J732" s="79">
        <v>0</v>
      </c>
      <c r="K732" s="79">
        <v>0</v>
      </c>
      <c r="L732" s="79">
        <v>0</v>
      </c>
      <c r="M732" s="79">
        <v>13.619435020040079</v>
      </c>
      <c r="N732" s="79">
        <v>0</v>
      </c>
      <c r="O732" s="79">
        <v>0</v>
      </c>
      <c r="P732" s="79">
        <v>0</v>
      </c>
      <c r="Q732" s="79">
        <v>0</v>
      </c>
      <c r="R732" s="79">
        <v>0</v>
      </c>
      <c r="S732" s="79">
        <v>0</v>
      </c>
      <c r="T732" s="79">
        <v>0</v>
      </c>
      <c r="U732" s="79">
        <v>0</v>
      </c>
      <c r="V732" s="79">
        <v>0</v>
      </c>
      <c r="W732" s="79">
        <v>0</v>
      </c>
      <c r="X732" s="90">
        <v>0</v>
      </c>
    </row>
    <row r="733" spans="1:24" hidden="1" x14ac:dyDescent="0.25">
      <c r="A733" s="80" t="str">
        <v>PENDIENTE</v>
      </c>
      <c r="B733" s="80" t="str">
        <v>Olleros</v>
      </c>
      <c r="C733" s="80" t="str">
        <v>Julio</v>
      </c>
      <c r="D733" s="81">
        <v>46189</v>
      </c>
      <c r="E733" s="79">
        <v>271.84392299999996</v>
      </c>
      <c r="F733" s="80">
        <v>46198</v>
      </c>
      <c r="G733" s="79" cm="1">
        <f t="array" ref="G733:X733">_xlfn._xlws.FILTER(Formulas!$C$2:$T$201, ISNUMBER(MATCH(Formulas!$B$2:$B$201, B733, 0)),0) * E733</f>
        <v>54.477740080160316</v>
      </c>
      <c r="H733" s="79">
        <v>190.1273128797595</v>
      </c>
      <c r="I733" s="79">
        <v>13.619435020040079</v>
      </c>
      <c r="J733" s="79">
        <v>0</v>
      </c>
      <c r="K733" s="79">
        <v>0</v>
      </c>
      <c r="L733" s="79">
        <v>0</v>
      </c>
      <c r="M733" s="79">
        <v>13.619435020040079</v>
      </c>
      <c r="N733" s="79">
        <v>0</v>
      </c>
      <c r="O733" s="79">
        <v>0</v>
      </c>
      <c r="P733" s="79">
        <v>0</v>
      </c>
      <c r="Q733" s="79">
        <v>0</v>
      </c>
      <c r="R733" s="79">
        <v>0</v>
      </c>
      <c r="S733" s="79">
        <v>0</v>
      </c>
      <c r="T733" s="79">
        <v>0</v>
      </c>
      <c r="U733" s="79">
        <v>0</v>
      </c>
      <c r="V733" s="79">
        <v>0</v>
      </c>
      <c r="W733" s="79">
        <v>0</v>
      </c>
      <c r="X733" s="90">
        <v>0</v>
      </c>
    </row>
    <row r="734" spans="1:24" hidden="1" x14ac:dyDescent="0.25">
      <c r="A734" s="80" t="str">
        <v>PENDIENTE</v>
      </c>
      <c r="B734" s="80" t="str">
        <v>Olleros</v>
      </c>
      <c r="C734" s="80" t="str">
        <v>Agosto</v>
      </c>
      <c r="D734" s="81">
        <v>46189</v>
      </c>
      <c r="E734" s="79">
        <v>271.84392299999996</v>
      </c>
      <c r="F734" s="81">
        <v>46198</v>
      </c>
      <c r="G734" s="79" cm="1">
        <f t="array" ref="G734:X734">_xlfn._xlws.FILTER(Formulas!$C$2:$T$201, ISNUMBER(MATCH(Formulas!$B$2:$B$201, B734, 0)),0) * E734</f>
        <v>54.477740080160316</v>
      </c>
      <c r="H734" s="79">
        <v>190.1273128797595</v>
      </c>
      <c r="I734" s="79">
        <v>13.619435020040079</v>
      </c>
      <c r="J734" s="79">
        <v>0</v>
      </c>
      <c r="K734" s="79">
        <v>0</v>
      </c>
      <c r="L734" s="79">
        <v>0</v>
      </c>
      <c r="M734" s="79">
        <v>13.619435020040079</v>
      </c>
      <c r="N734" s="79">
        <v>0</v>
      </c>
      <c r="O734" s="79">
        <v>0</v>
      </c>
      <c r="P734" s="79">
        <v>0</v>
      </c>
      <c r="Q734" s="79">
        <v>0</v>
      </c>
      <c r="R734" s="79">
        <v>0</v>
      </c>
      <c r="S734" s="79">
        <v>0</v>
      </c>
      <c r="T734" s="79">
        <v>0</v>
      </c>
      <c r="U734" s="79">
        <v>0</v>
      </c>
      <c r="V734" s="79">
        <v>0</v>
      </c>
      <c r="W734" s="79">
        <v>0</v>
      </c>
      <c r="X734" s="90">
        <v>0</v>
      </c>
    </row>
    <row r="735" spans="1:24" hidden="1" x14ac:dyDescent="0.25">
      <c r="A735" s="80" t="str">
        <v>PENDIENTE</v>
      </c>
      <c r="B735" s="80" t="str">
        <v>Olleros</v>
      </c>
      <c r="C735" s="80" t="str">
        <v>Septiembre</v>
      </c>
      <c r="D735" s="81">
        <v>46189</v>
      </c>
      <c r="E735" s="79">
        <v>271.84392299999996</v>
      </c>
      <c r="F735" s="81">
        <v>46198</v>
      </c>
      <c r="G735" s="79" cm="1">
        <f t="array" ref="G735:X735">_xlfn._xlws.FILTER(Formulas!$C$2:$T$201, ISNUMBER(MATCH(Formulas!$B$2:$B$201, B735, 0)),0) * E735</f>
        <v>54.477740080160316</v>
      </c>
      <c r="H735" s="79">
        <v>190.1273128797595</v>
      </c>
      <c r="I735" s="79">
        <v>13.619435020040079</v>
      </c>
      <c r="J735" s="79">
        <v>0</v>
      </c>
      <c r="K735" s="79">
        <v>0</v>
      </c>
      <c r="L735" s="79">
        <v>0</v>
      </c>
      <c r="M735" s="79">
        <v>13.619435020040079</v>
      </c>
      <c r="N735" s="79">
        <v>0</v>
      </c>
      <c r="O735" s="79">
        <v>0</v>
      </c>
      <c r="P735" s="79">
        <v>0</v>
      </c>
      <c r="Q735" s="79">
        <v>0</v>
      </c>
      <c r="R735" s="79">
        <v>0</v>
      </c>
      <c r="S735" s="79">
        <v>0</v>
      </c>
      <c r="T735" s="79">
        <v>0</v>
      </c>
      <c r="U735" s="79">
        <v>0</v>
      </c>
      <c r="V735" s="79">
        <v>0</v>
      </c>
      <c r="W735" s="79">
        <v>0</v>
      </c>
      <c r="X735" s="90">
        <v>0</v>
      </c>
    </row>
    <row r="736" spans="1:24" hidden="1" x14ac:dyDescent="0.25">
      <c r="A736" s="80" t="str">
        <v>PENDIENTE</v>
      </c>
      <c r="B736" s="80" t="str">
        <v>Olleros</v>
      </c>
      <c r="C736" s="80" t="str">
        <v>O.C.</v>
      </c>
      <c r="D736" s="81">
        <v>46260</v>
      </c>
      <c r="E736" s="79">
        <v>131.47640000000001</v>
      </c>
      <c r="F736" s="81">
        <v>0</v>
      </c>
      <c r="G736" s="79" cm="1">
        <f t="array" ref="G736:X736">_xlfn._xlws.FILTER(Formulas!$C$2:$T$201, ISNUMBER(MATCH(Formulas!$B$2:$B$201, B736, 0)),0) * E736</f>
        <v>26.347975951903813</v>
      </c>
      <c r="H736" s="79">
        <v>91.954436072144304</v>
      </c>
      <c r="I736" s="79">
        <v>6.5869939879759531</v>
      </c>
      <c r="J736" s="79">
        <v>0</v>
      </c>
      <c r="K736" s="79">
        <v>0</v>
      </c>
      <c r="L736" s="79">
        <v>0</v>
      </c>
      <c r="M736" s="79">
        <v>6.5869939879759531</v>
      </c>
      <c r="N736" s="79">
        <v>0</v>
      </c>
      <c r="O736" s="79">
        <v>0</v>
      </c>
      <c r="P736" s="79">
        <v>0</v>
      </c>
      <c r="Q736" s="79">
        <v>0</v>
      </c>
      <c r="R736" s="79">
        <v>0</v>
      </c>
      <c r="S736" s="79">
        <v>0</v>
      </c>
      <c r="T736" s="79">
        <v>0</v>
      </c>
      <c r="U736" s="79">
        <v>0</v>
      </c>
      <c r="V736" s="79">
        <v>0</v>
      </c>
      <c r="W736" s="79">
        <v>0</v>
      </c>
      <c r="X736" s="90">
        <v>0</v>
      </c>
    </row>
    <row r="737" spans="1:24" hidden="1" x14ac:dyDescent="0.25">
      <c r="A737" s="80" t="str">
        <v>PENDIENTE</v>
      </c>
      <c r="B737" s="80" t="str">
        <v>Olleros</v>
      </c>
      <c r="C737" s="80" t="str">
        <v>Octubre</v>
      </c>
      <c r="D737" s="81">
        <v>46281</v>
      </c>
      <c r="E737" s="79">
        <v>272.83952800000003</v>
      </c>
      <c r="F737" s="81">
        <v>46293</v>
      </c>
      <c r="G737" s="79" cm="1">
        <f t="array" ref="G737:X737">_xlfn._xlws.FILTER(Formulas!$C$2:$T$201, ISNUMBER(MATCH(Formulas!$B$2:$B$201, B737, 0)),0) * E737</f>
        <v>54.67726012024049</v>
      </c>
      <c r="H737" s="79">
        <v>190.82363781963932</v>
      </c>
      <c r="I737" s="79">
        <v>13.669315030060122</v>
      </c>
      <c r="J737" s="79">
        <v>0</v>
      </c>
      <c r="K737" s="79">
        <v>0</v>
      </c>
      <c r="L737" s="79">
        <v>0</v>
      </c>
      <c r="M737" s="79">
        <v>13.669315030060122</v>
      </c>
      <c r="N737" s="79">
        <v>0</v>
      </c>
      <c r="O737" s="79">
        <v>0</v>
      </c>
      <c r="P737" s="79">
        <v>0</v>
      </c>
      <c r="Q737" s="79">
        <v>0</v>
      </c>
      <c r="R737" s="79">
        <v>0</v>
      </c>
      <c r="S737" s="79">
        <v>0</v>
      </c>
      <c r="T737" s="79">
        <v>0</v>
      </c>
      <c r="U737" s="79">
        <v>0</v>
      </c>
      <c r="V737" s="79">
        <v>0</v>
      </c>
      <c r="W737" s="79">
        <v>0</v>
      </c>
      <c r="X737" s="90">
        <v>0</v>
      </c>
    </row>
    <row r="738" spans="1:24" hidden="1" x14ac:dyDescent="0.25">
      <c r="A738" s="80" t="str">
        <v>PENDIENTE</v>
      </c>
      <c r="B738" s="80" t="str">
        <v>Olleros</v>
      </c>
      <c r="C738" s="80" t="str">
        <v>Noviembre</v>
      </c>
      <c r="D738" s="81">
        <v>46281</v>
      </c>
      <c r="E738" s="79">
        <v>272.83952800000003</v>
      </c>
      <c r="F738" s="81">
        <v>46293</v>
      </c>
      <c r="G738" s="79" cm="1">
        <f t="array" ref="G738:X738">_xlfn._xlws.FILTER(Formulas!$C$2:$T$201, ISNUMBER(MATCH(Formulas!$B$2:$B$201, B738, 0)),0) * E738</f>
        <v>54.67726012024049</v>
      </c>
      <c r="H738" s="79">
        <v>190.82363781963932</v>
      </c>
      <c r="I738" s="79">
        <v>13.669315030060122</v>
      </c>
      <c r="J738" s="79">
        <v>0</v>
      </c>
      <c r="K738" s="79">
        <v>0</v>
      </c>
      <c r="L738" s="79">
        <v>0</v>
      </c>
      <c r="M738" s="79">
        <v>13.669315030060122</v>
      </c>
      <c r="N738" s="79">
        <v>0</v>
      </c>
      <c r="O738" s="79">
        <v>0</v>
      </c>
      <c r="P738" s="79">
        <v>0</v>
      </c>
      <c r="Q738" s="79">
        <v>0</v>
      </c>
      <c r="R738" s="79">
        <v>0</v>
      </c>
      <c r="S738" s="79">
        <v>0</v>
      </c>
      <c r="T738" s="79">
        <v>0</v>
      </c>
      <c r="U738" s="79">
        <v>0</v>
      </c>
      <c r="V738" s="79">
        <v>0</v>
      </c>
      <c r="W738" s="79">
        <v>0</v>
      </c>
      <c r="X738" s="90">
        <v>0</v>
      </c>
    </row>
    <row r="739" spans="1:24" hidden="1" x14ac:dyDescent="0.25">
      <c r="A739" s="80" t="str">
        <v>PENDIENTE</v>
      </c>
      <c r="B739" s="80" t="str">
        <v>Olleros</v>
      </c>
      <c r="C739" s="80" t="str">
        <v>Diciembre</v>
      </c>
      <c r="D739" s="81">
        <v>46281</v>
      </c>
      <c r="E739" s="79">
        <v>272.83952800000003</v>
      </c>
      <c r="F739" s="81">
        <v>46293</v>
      </c>
      <c r="G739" s="79" cm="1">
        <f t="array" ref="G739:X739">_xlfn._xlws.FILTER(Formulas!$C$2:$T$201, ISNUMBER(MATCH(Formulas!$B$2:$B$201, B739, 0)),0) * E739</f>
        <v>54.67726012024049</v>
      </c>
      <c r="H739" s="79">
        <v>190.82363781963932</v>
      </c>
      <c r="I739" s="79">
        <v>13.669315030060122</v>
      </c>
      <c r="J739" s="79">
        <v>0</v>
      </c>
      <c r="K739" s="79">
        <v>0</v>
      </c>
      <c r="L739" s="79">
        <v>0</v>
      </c>
      <c r="M739" s="79">
        <v>13.669315030060122</v>
      </c>
      <c r="N739" s="79">
        <v>0</v>
      </c>
      <c r="O739" s="79">
        <v>0</v>
      </c>
      <c r="P739" s="79">
        <v>0</v>
      </c>
      <c r="Q739" s="79">
        <v>0</v>
      </c>
      <c r="R739" s="79">
        <v>0</v>
      </c>
      <c r="S739" s="79">
        <v>0</v>
      </c>
      <c r="T739" s="79">
        <v>0</v>
      </c>
      <c r="U739" s="79">
        <v>0</v>
      </c>
      <c r="V739" s="79">
        <v>0</v>
      </c>
      <c r="W739" s="79">
        <v>0</v>
      </c>
      <c r="X739" s="90">
        <v>0</v>
      </c>
    </row>
    <row r="740" spans="1:24" hidden="1" x14ac:dyDescent="0.25">
      <c r="A740" s="80" t="str">
        <v>PENDIENTE</v>
      </c>
      <c r="B740" s="80" t="str">
        <v>Olmos</v>
      </c>
      <c r="C740" s="80" t="str">
        <v>Enero</v>
      </c>
      <c r="D740" s="81">
        <v>46022</v>
      </c>
      <c r="E740" s="79">
        <v>5788</v>
      </c>
      <c r="F740" s="81">
        <v>46018</v>
      </c>
      <c r="G740" s="79" cm="1">
        <f t="array" ref="G740:X740">_xlfn._xlws.FILTER(Formulas!$C$2:$T$201, ISNUMBER(MATCH(Formulas!$B$2:$B$201, B740, 0)),0) * E740</f>
        <v>463</v>
      </c>
      <c r="H740" s="79">
        <v>4450</v>
      </c>
      <c r="I740" s="79">
        <v>232</v>
      </c>
      <c r="J740" s="79">
        <v>232</v>
      </c>
      <c r="K740" s="79">
        <v>0</v>
      </c>
      <c r="L740" s="79">
        <v>0</v>
      </c>
      <c r="M740" s="79">
        <v>0</v>
      </c>
      <c r="N740" s="79">
        <v>405</v>
      </c>
      <c r="O740" s="79">
        <v>0</v>
      </c>
      <c r="P740" s="79">
        <v>0</v>
      </c>
      <c r="Q740" s="79">
        <v>0</v>
      </c>
      <c r="R740" s="79">
        <v>0</v>
      </c>
      <c r="S740" s="79">
        <v>0</v>
      </c>
      <c r="T740" s="79">
        <v>0</v>
      </c>
      <c r="U740" s="79">
        <v>5.7880000000000003</v>
      </c>
      <c r="V740" s="79">
        <v>0</v>
      </c>
      <c r="W740" s="79">
        <v>0</v>
      </c>
      <c r="X740" s="90">
        <v>0</v>
      </c>
    </row>
    <row r="741" spans="1:24" hidden="1" x14ac:dyDescent="0.25">
      <c r="A741" s="80" t="str">
        <v>PENDIENTE</v>
      </c>
      <c r="B741" s="80" t="str">
        <v>Olmos</v>
      </c>
      <c r="C741" s="80" t="str">
        <v>Febrero</v>
      </c>
      <c r="D741" s="81">
        <v>46036</v>
      </c>
      <c r="E741" s="79">
        <v>5200</v>
      </c>
      <c r="F741" s="81">
        <v>46039</v>
      </c>
      <c r="G741" s="79" cm="1">
        <f t="array" ref="G741:X741">_xlfn._xlws.FILTER(Formulas!$C$2:$T$201, ISNUMBER(MATCH(Formulas!$B$2:$B$201, B741, 0)),0) * E741</f>
        <v>415.96406357982033</v>
      </c>
      <c r="H741" s="79">
        <v>3997.9267449896338</v>
      </c>
      <c r="I741" s="79">
        <v>208.4312370421562</v>
      </c>
      <c r="J741" s="79">
        <v>208.4312370421562</v>
      </c>
      <c r="K741" s="79">
        <v>0</v>
      </c>
      <c r="L741" s="79">
        <v>0</v>
      </c>
      <c r="M741" s="79">
        <v>0</v>
      </c>
      <c r="N741" s="79">
        <v>363.85625431928128</v>
      </c>
      <c r="O741" s="79">
        <v>0</v>
      </c>
      <c r="P741" s="79">
        <v>0</v>
      </c>
      <c r="Q741" s="79">
        <v>0</v>
      </c>
      <c r="R741" s="79">
        <v>0</v>
      </c>
      <c r="S741" s="79">
        <v>0</v>
      </c>
      <c r="T741" s="79">
        <v>0</v>
      </c>
      <c r="U741" s="79">
        <v>5.2</v>
      </c>
      <c r="V741" s="79">
        <v>0</v>
      </c>
      <c r="W741" s="79">
        <v>0</v>
      </c>
      <c r="X741" s="90">
        <v>0</v>
      </c>
    </row>
    <row r="742" spans="1:24" hidden="1" x14ac:dyDescent="0.25">
      <c r="A742" s="80" t="str">
        <v>PENDIENTE</v>
      </c>
      <c r="B742" s="80" t="str">
        <v>Olmos</v>
      </c>
      <c r="C742" s="80" t="str">
        <v>Marzo</v>
      </c>
      <c r="D742" s="81">
        <v>46064</v>
      </c>
      <c r="E742" s="79">
        <v>5788</v>
      </c>
      <c r="F742" s="81">
        <v>46065</v>
      </c>
      <c r="G742" s="79" cm="1">
        <f t="array" ref="G742:X742">_xlfn._xlws.FILTER(Formulas!$C$2:$T$201, ISNUMBER(MATCH(Formulas!$B$2:$B$201, B742, 0)),0) * E742</f>
        <v>463</v>
      </c>
      <c r="H742" s="79">
        <v>4450</v>
      </c>
      <c r="I742" s="79">
        <v>232</v>
      </c>
      <c r="J742" s="79">
        <v>232</v>
      </c>
      <c r="K742" s="79">
        <v>0</v>
      </c>
      <c r="L742" s="79">
        <v>0</v>
      </c>
      <c r="M742" s="79">
        <v>0</v>
      </c>
      <c r="N742" s="79">
        <v>405</v>
      </c>
      <c r="O742" s="79">
        <v>0</v>
      </c>
      <c r="P742" s="79">
        <v>0</v>
      </c>
      <c r="Q742" s="79">
        <v>0</v>
      </c>
      <c r="R742" s="79">
        <v>0</v>
      </c>
      <c r="S742" s="79">
        <v>0</v>
      </c>
      <c r="T742" s="79">
        <v>0</v>
      </c>
      <c r="U742" s="79">
        <v>5.7880000000000003</v>
      </c>
      <c r="V742" s="79">
        <v>0</v>
      </c>
      <c r="W742" s="79">
        <v>0</v>
      </c>
      <c r="X742" s="90">
        <v>0</v>
      </c>
    </row>
    <row r="743" spans="1:24" hidden="1" x14ac:dyDescent="0.25">
      <c r="A743" s="80" t="str">
        <v>PENDIENTE</v>
      </c>
      <c r="B743" s="80" t="str">
        <v>Olmos</v>
      </c>
      <c r="C743" s="80" t="str">
        <v>Abril</v>
      </c>
      <c r="D743" s="81">
        <v>46091</v>
      </c>
      <c r="E743" s="79">
        <v>5559</v>
      </c>
      <c r="F743" s="81">
        <v>46093</v>
      </c>
      <c r="G743" s="79" cm="1">
        <f t="array" ref="G743:X743">_xlfn._xlws.FILTER(Formulas!$C$2:$T$201, ISNUMBER(MATCH(Formulas!$B$2:$B$201, B743, 0)),0) * E743</f>
        <v>444.68158258465792</v>
      </c>
      <c r="H743" s="79">
        <v>4273.9374568071871</v>
      </c>
      <c r="I743" s="79">
        <v>222.82100898410505</v>
      </c>
      <c r="J743" s="79">
        <v>222.82100898410505</v>
      </c>
      <c r="K743" s="79">
        <v>0</v>
      </c>
      <c r="L743" s="79">
        <v>0</v>
      </c>
      <c r="M743" s="79">
        <v>0</v>
      </c>
      <c r="N743" s="79">
        <v>388.97633033863167</v>
      </c>
      <c r="O743" s="79">
        <v>0</v>
      </c>
      <c r="P743" s="79">
        <v>0</v>
      </c>
      <c r="Q743" s="79">
        <v>0</v>
      </c>
      <c r="R743" s="79">
        <v>0</v>
      </c>
      <c r="S743" s="79">
        <v>0</v>
      </c>
      <c r="T743" s="79">
        <v>0</v>
      </c>
      <c r="U743" s="79">
        <v>5.5590000000000002</v>
      </c>
      <c r="V743" s="79">
        <v>0</v>
      </c>
      <c r="W743" s="79">
        <v>0</v>
      </c>
      <c r="X743" s="90">
        <v>0</v>
      </c>
    </row>
    <row r="744" spans="1:24" hidden="1" x14ac:dyDescent="0.25">
      <c r="A744" s="80" t="str">
        <v>PENDIENTE</v>
      </c>
      <c r="B744" s="80" t="str">
        <v>Olmos</v>
      </c>
      <c r="C744" s="80" t="str">
        <v>Mayo</v>
      </c>
      <c r="D744" s="81">
        <v>46127</v>
      </c>
      <c r="E744" s="79">
        <v>5788</v>
      </c>
      <c r="F744" s="80">
        <v>46121</v>
      </c>
      <c r="G744" s="79" cm="1">
        <f t="array" ref="G744:X744">_xlfn._xlws.FILTER(Formulas!$C$2:$T$201, ISNUMBER(MATCH(Formulas!$B$2:$B$201, B744, 0)),0) * E744</f>
        <v>463</v>
      </c>
      <c r="H744" s="79">
        <v>4450</v>
      </c>
      <c r="I744" s="79">
        <v>232</v>
      </c>
      <c r="J744" s="79">
        <v>232</v>
      </c>
      <c r="K744" s="79">
        <v>0</v>
      </c>
      <c r="L744" s="79">
        <v>0</v>
      </c>
      <c r="M744" s="79">
        <v>0</v>
      </c>
      <c r="N744" s="79">
        <v>405</v>
      </c>
      <c r="O744" s="79">
        <v>0</v>
      </c>
      <c r="P744" s="79">
        <v>0</v>
      </c>
      <c r="Q744" s="79">
        <v>0</v>
      </c>
      <c r="R744" s="79">
        <v>0</v>
      </c>
      <c r="S744" s="79">
        <v>0</v>
      </c>
      <c r="T744" s="79">
        <v>0</v>
      </c>
      <c r="U744" s="79">
        <v>5.7880000000000003</v>
      </c>
      <c r="V744" s="79">
        <v>0</v>
      </c>
      <c r="W744" s="79">
        <v>0</v>
      </c>
      <c r="X744" s="90">
        <v>0</v>
      </c>
    </row>
    <row r="745" spans="1:24" hidden="1" x14ac:dyDescent="0.25">
      <c r="A745" s="80" t="str">
        <v>PENDIENTE</v>
      </c>
      <c r="B745" s="80" t="str">
        <v>Olmos</v>
      </c>
      <c r="C745" s="80" t="str">
        <v>Junio</v>
      </c>
      <c r="D745" s="81">
        <v>46155</v>
      </c>
      <c r="E745" s="79">
        <v>5559</v>
      </c>
      <c r="F745" s="80">
        <v>46154</v>
      </c>
      <c r="G745" s="79" cm="1">
        <f t="array" ref="G745:X745">_xlfn._xlws.FILTER(Formulas!$C$2:$T$201, ISNUMBER(MATCH(Formulas!$B$2:$B$201, B745, 0)),0) * E745</f>
        <v>444.68158258465792</v>
      </c>
      <c r="H745" s="79">
        <v>4273.9374568071871</v>
      </c>
      <c r="I745" s="79">
        <v>222.82100898410505</v>
      </c>
      <c r="J745" s="79">
        <v>222.82100898410505</v>
      </c>
      <c r="K745" s="79">
        <v>0</v>
      </c>
      <c r="L745" s="79">
        <v>0</v>
      </c>
      <c r="M745" s="79">
        <v>0</v>
      </c>
      <c r="N745" s="79">
        <v>388.97633033863167</v>
      </c>
      <c r="O745" s="79">
        <v>0</v>
      </c>
      <c r="P745" s="79">
        <v>0</v>
      </c>
      <c r="Q745" s="79">
        <v>0</v>
      </c>
      <c r="R745" s="79">
        <v>0</v>
      </c>
      <c r="S745" s="79">
        <v>0</v>
      </c>
      <c r="T745" s="79">
        <v>0</v>
      </c>
      <c r="U745" s="79">
        <v>5.5590000000000002</v>
      </c>
      <c r="V745" s="79">
        <v>0</v>
      </c>
      <c r="W745" s="79">
        <v>0</v>
      </c>
      <c r="X745" s="90">
        <v>0</v>
      </c>
    </row>
    <row r="746" spans="1:24" hidden="1" x14ac:dyDescent="0.25">
      <c r="A746" s="80" t="str">
        <v>PENDIENTE</v>
      </c>
      <c r="B746" s="80" t="str">
        <v>Olmos</v>
      </c>
      <c r="C746" s="80" t="str">
        <v>Julio</v>
      </c>
      <c r="D746" s="81">
        <v>46189</v>
      </c>
      <c r="E746" s="79">
        <v>5788</v>
      </c>
      <c r="F746" s="81">
        <v>46174</v>
      </c>
      <c r="G746" s="79" cm="1">
        <f t="array" ref="G746:X746">_xlfn._xlws.FILTER(Formulas!$C$2:$T$201, ISNUMBER(MATCH(Formulas!$B$2:$B$201, B746, 0)),0) * E746</f>
        <v>463</v>
      </c>
      <c r="H746" s="79">
        <v>4450</v>
      </c>
      <c r="I746" s="79">
        <v>232</v>
      </c>
      <c r="J746" s="79">
        <v>232</v>
      </c>
      <c r="K746" s="79">
        <v>0</v>
      </c>
      <c r="L746" s="79">
        <v>0</v>
      </c>
      <c r="M746" s="79">
        <v>0</v>
      </c>
      <c r="N746" s="79">
        <v>405</v>
      </c>
      <c r="O746" s="79">
        <v>0</v>
      </c>
      <c r="P746" s="79">
        <v>0</v>
      </c>
      <c r="Q746" s="79">
        <v>0</v>
      </c>
      <c r="R746" s="79">
        <v>0</v>
      </c>
      <c r="S746" s="79">
        <v>0</v>
      </c>
      <c r="T746" s="79">
        <v>0</v>
      </c>
      <c r="U746" s="79">
        <v>5.7880000000000003</v>
      </c>
      <c r="V746" s="79">
        <v>0</v>
      </c>
      <c r="W746" s="79">
        <v>0</v>
      </c>
      <c r="X746" s="90">
        <v>0</v>
      </c>
    </row>
    <row r="747" spans="1:24" hidden="1" x14ac:dyDescent="0.25">
      <c r="A747" s="80" t="str">
        <v>PENDIENTE</v>
      </c>
      <c r="B747" s="80" t="str">
        <v>Olmos</v>
      </c>
      <c r="C747" s="80" t="str">
        <v>Agosto</v>
      </c>
      <c r="D747" s="81">
        <v>46218</v>
      </c>
      <c r="E747" s="79">
        <v>5788</v>
      </c>
      <c r="F747" s="81">
        <v>46216</v>
      </c>
      <c r="G747" s="79" cm="1">
        <f t="array" ref="G747:X747">_xlfn._xlws.FILTER(Formulas!$C$2:$T$201, ISNUMBER(MATCH(Formulas!$B$2:$B$201, B747, 0)),0) * E747</f>
        <v>463</v>
      </c>
      <c r="H747" s="79">
        <v>4450</v>
      </c>
      <c r="I747" s="79">
        <v>232</v>
      </c>
      <c r="J747" s="79">
        <v>232</v>
      </c>
      <c r="K747" s="79">
        <v>0</v>
      </c>
      <c r="L747" s="79">
        <v>0</v>
      </c>
      <c r="M747" s="79">
        <v>0</v>
      </c>
      <c r="N747" s="79">
        <v>405</v>
      </c>
      <c r="O747" s="79">
        <v>0</v>
      </c>
      <c r="P747" s="79">
        <v>0</v>
      </c>
      <c r="Q747" s="79">
        <v>0</v>
      </c>
      <c r="R747" s="79">
        <v>0</v>
      </c>
      <c r="S747" s="79">
        <v>0</v>
      </c>
      <c r="T747" s="79">
        <v>0</v>
      </c>
      <c r="U747" s="79">
        <v>5.7880000000000003</v>
      </c>
      <c r="V747" s="79">
        <v>0</v>
      </c>
      <c r="W747" s="79">
        <v>0</v>
      </c>
      <c r="X747" s="90">
        <v>0</v>
      </c>
    </row>
    <row r="748" spans="1:24" hidden="1" x14ac:dyDescent="0.25">
      <c r="A748" s="80" t="str">
        <v>PENDIENTE</v>
      </c>
      <c r="B748" s="80" t="str">
        <v>Olmos</v>
      </c>
      <c r="C748" s="80" t="str">
        <v>Setiembre</v>
      </c>
      <c r="D748" s="81">
        <v>46246</v>
      </c>
      <c r="E748" s="79">
        <v>5559</v>
      </c>
      <c r="F748" s="81">
        <v>46238</v>
      </c>
      <c r="G748" s="79" cm="1">
        <f t="array" ref="G748:X748">_xlfn._xlws.FILTER(Formulas!$C$2:$T$201, ISNUMBER(MATCH(Formulas!$B$2:$B$201, B748, 0)),0) * E748</f>
        <v>444.68158258465792</v>
      </c>
      <c r="H748" s="79">
        <v>4273.9374568071871</v>
      </c>
      <c r="I748" s="79">
        <v>222.82100898410505</v>
      </c>
      <c r="J748" s="79">
        <v>222.82100898410505</v>
      </c>
      <c r="K748" s="79">
        <v>0</v>
      </c>
      <c r="L748" s="79">
        <v>0</v>
      </c>
      <c r="M748" s="79">
        <v>0</v>
      </c>
      <c r="N748" s="79">
        <v>388.97633033863167</v>
      </c>
      <c r="O748" s="79">
        <v>0</v>
      </c>
      <c r="P748" s="79">
        <v>0</v>
      </c>
      <c r="Q748" s="79">
        <v>0</v>
      </c>
      <c r="R748" s="79">
        <v>0</v>
      </c>
      <c r="S748" s="79">
        <v>0</v>
      </c>
      <c r="T748" s="79">
        <v>0</v>
      </c>
      <c r="U748" s="79">
        <v>5.5590000000000002</v>
      </c>
      <c r="V748" s="79">
        <v>0</v>
      </c>
      <c r="W748" s="79">
        <v>0</v>
      </c>
      <c r="X748" s="90">
        <v>0</v>
      </c>
    </row>
    <row r="749" spans="1:24" hidden="1" x14ac:dyDescent="0.25">
      <c r="A749" s="80" t="str">
        <v>PENDIENTE</v>
      </c>
      <c r="B749" s="80" t="str">
        <v>Olmos</v>
      </c>
      <c r="C749" s="80" t="str">
        <v>Octubre</v>
      </c>
      <c r="D749" s="81">
        <v>46281</v>
      </c>
      <c r="E749" s="79">
        <v>5788</v>
      </c>
      <c r="F749" s="81">
        <v>46275</v>
      </c>
      <c r="G749" s="79" cm="1">
        <f t="array" ref="G749:X749">_xlfn._xlws.FILTER(Formulas!$C$2:$T$201, ISNUMBER(MATCH(Formulas!$B$2:$B$201, B749, 0)),0) * E749</f>
        <v>463</v>
      </c>
      <c r="H749" s="79">
        <v>4450</v>
      </c>
      <c r="I749" s="79">
        <v>232</v>
      </c>
      <c r="J749" s="79">
        <v>232</v>
      </c>
      <c r="K749" s="79">
        <v>0</v>
      </c>
      <c r="L749" s="79">
        <v>0</v>
      </c>
      <c r="M749" s="79">
        <v>0</v>
      </c>
      <c r="N749" s="79">
        <v>405</v>
      </c>
      <c r="O749" s="79">
        <v>0</v>
      </c>
      <c r="P749" s="79">
        <v>0</v>
      </c>
      <c r="Q749" s="79">
        <v>0</v>
      </c>
      <c r="R749" s="79">
        <v>0</v>
      </c>
      <c r="S749" s="79">
        <v>0</v>
      </c>
      <c r="T749" s="79">
        <v>0</v>
      </c>
      <c r="U749" s="79">
        <v>5.7880000000000003</v>
      </c>
      <c r="V749" s="79">
        <v>0</v>
      </c>
      <c r="W749" s="79">
        <v>0</v>
      </c>
      <c r="X749" s="90">
        <v>0</v>
      </c>
    </row>
    <row r="750" spans="1:24" hidden="1" x14ac:dyDescent="0.25">
      <c r="A750" s="80" t="str">
        <v>PENDIENTE</v>
      </c>
      <c r="B750" s="80" t="str">
        <v>Olmos</v>
      </c>
      <c r="C750" s="80" t="str">
        <v>Noviembre</v>
      </c>
      <c r="D750" s="81">
        <v>46309</v>
      </c>
      <c r="E750" s="79">
        <v>5559</v>
      </c>
      <c r="F750" s="81">
        <v>0</v>
      </c>
      <c r="G750" s="79" cm="1">
        <f t="array" ref="G750:X750">_xlfn._xlws.FILTER(Formulas!$C$2:$T$201, ISNUMBER(MATCH(Formulas!$B$2:$B$201, B750, 0)),0) * E750</f>
        <v>444.68158258465792</v>
      </c>
      <c r="H750" s="79">
        <v>4273.9374568071871</v>
      </c>
      <c r="I750" s="79">
        <v>222.82100898410505</v>
      </c>
      <c r="J750" s="79">
        <v>222.82100898410505</v>
      </c>
      <c r="K750" s="79">
        <v>0</v>
      </c>
      <c r="L750" s="79">
        <v>0</v>
      </c>
      <c r="M750" s="79">
        <v>0</v>
      </c>
      <c r="N750" s="79">
        <v>388.97633033863167</v>
      </c>
      <c r="O750" s="79">
        <v>0</v>
      </c>
      <c r="P750" s="79">
        <v>0</v>
      </c>
      <c r="Q750" s="79">
        <v>0</v>
      </c>
      <c r="R750" s="79">
        <v>0</v>
      </c>
      <c r="S750" s="79">
        <v>0</v>
      </c>
      <c r="T750" s="79">
        <v>0</v>
      </c>
      <c r="U750" s="79">
        <v>5.5590000000000002</v>
      </c>
      <c r="V750" s="79">
        <v>0</v>
      </c>
      <c r="W750" s="79">
        <v>0</v>
      </c>
      <c r="X750" s="90">
        <v>0</v>
      </c>
    </row>
    <row r="751" spans="1:24" hidden="1" x14ac:dyDescent="0.25">
      <c r="A751" s="80" t="str">
        <v>PENDIENTE</v>
      </c>
      <c r="B751" s="80" t="str">
        <v>Olmos</v>
      </c>
      <c r="C751" s="80" t="str">
        <v>Diciembre</v>
      </c>
      <c r="D751" s="81">
        <v>46337</v>
      </c>
      <c r="E751" s="79">
        <v>5794</v>
      </c>
      <c r="F751" s="80">
        <v>0</v>
      </c>
      <c r="G751" s="79" cm="1">
        <f t="array" ref="G751:X751">_xlfn._xlws.FILTER(Formulas!$C$2:$T$201, ISNUMBER(MATCH(Formulas!$B$2:$B$201, B751, 0)),0) * E751</f>
        <v>463.47995853489982</v>
      </c>
      <c r="H751" s="79">
        <v>4454.6129923980652</v>
      </c>
      <c r="I751" s="79">
        <v>232.2404975812025</v>
      </c>
      <c r="J751" s="79">
        <v>232.2404975812025</v>
      </c>
      <c r="K751" s="79">
        <v>0</v>
      </c>
      <c r="L751" s="79">
        <v>0</v>
      </c>
      <c r="M751" s="79">
        <v>0</v>
      </c>
      <c r="N751" s="79">
        <v>405.41983413959917</v>
      </c>
      <c r="O751" s="79">
        <v>0</v>
      </c>
      <c r="P751" s="79">
        <v>0</v>
      </c>
      <c r="Q751" s="79">
        <v>0</v>
      </c>
      <c r="R751" s="79">
        <v>0</v>
      </c>
      <c r="S751" s="79">
        <v>0</v>
      </c>
      <c r="T751" s="79">
        <v>0</v>
      </c>
      <c r="U751" s="79">
        <v>5.7940000000000005</v>
      </c>
      <c r="V751" s="79">
        <v>0</v>
      </c>
      <c r="W751" s="79">
        <v>0</v>
      </c>
      <c r="X751" s="90">
        <v>0</v>
      </c>
    </row>
    <row r="752" spans="1:24" hidden="1" x14ac:dyDescent="0.25">
      <c r="A752" s="80" t="str">
        <v>PENDIENTE</v>
      </c>
      <c r="B752" s="80" t="str">
        <v>Organos</v>
      </c>
      <c r="C752" s="80" t="str">
        <v>Primera</v>
      </c>
      <c r="D752" s="81">
        <v>46182</v>
      </c>
      <c r="E752" s="79">
        <v>952.57</v>
      </c>
      <c r="F752" s="80">
        <v>46177</v>
      </c>
      <c r="G752" s="79" cm="1">
        <f t="array" ref="G752:X752">_xlfn._xlws.FILTER(Formulas!$C$2:$T$201, ISNUMBER(MATCH(Formulas!$B$2:$B$201, B752, 0)),0) * E752</f>
        <v>257.06689066666667</v>
      </c>
      <c r="H752" s="79">
        <v>638.09489066666674</v>
      </c>
      <c r="I752" s="79">
        <v>57.40821866666667</v>
      </c>
      <c r="J752" s="79">
        <v>0</v>
      </c>
      <c r="K752" s="79">
        <v>0</v>
      </c>
      <c r="L752" s="79">
        <v>0</v>
      </c>
      <c r="M752" s="79">
        <v>0</v>
      </c>
      <c r="N752" s="79">
        <v>0</v>
      </c>
      <c r="O752" s="79">
        <v>0</v>
      </c>
      <c r="P752" s="79">
        <v>0</v>
      </c>
      <c r="Q752" s="79">
        <v>0</v>
      </c>
      <c r="R752" s="79">
        <v>0</v>
      </c>
      <c r="S752" s="79">
        <v>0</v>
      </c>
      <c r="T752" s="79">
        <v>0</v>
      </c>
      <c r="U752" s="79">
        <v>0</v>
      </c>
      <c r="V752" s="79">
        <v>0</v>
      </c>
      <c r="W752" s="79">
        <v>0</v>
      </c>
      <c r="X752" s="90">
        <v>0</v>
      </c>
    </row>
    <row r="753" spans="1:24" hidden="1" x14ac:dyDescent="0.25">
      <c r="A753" s="80" t="str">
        <v>PENDIENTE</v>
      </c>
      <c r="B753" s="80" t="str">
        <v>Organos</v>
      </c>
      <c r="C753" s="80" t="str">
        <v>Segunda</v>
      </c>
      <c r="D753" s="81">
        <v>46182</v>
      </c>
      <c r="E753" s="79">
        <v>921.84</v>
      </c>
      <c r="F753" s="80">
        <v>46177</v>
      </c>
      <c r="G753" s="79" cm="1">
        <f t="array" ref="G753:X753">_xlfn._xlws.FILTER(Formulas!$C$2:$T$201, ISNUMBER(MATCH(Formulas!$B$2:$B$201, B753, 0)),0) * E753</f>
        <v>248.773888</v>
      </c>
      <c r="H753" s="79">
        <v>617.50988800000005</v>
      </c>
      <c r="I753" s="79">
        <v>55.556224000000007</v>
      </c>
      <c r="J753" s="79">
        <v>0</v>
      </c>
      <c r="K753" s="79">
        <v>0</v>
      </c>
      <c r="L753" s="79">
        <v>0</v>
      </c>
      <c r="M753" s="79">
        <v>0</v>
      </c>
      <c r="N753" s="79">
        <v>0</v>
      </c>
      <c r="O753" s="79">
        <v>0</v>
      </c>
      <c r="P753" s="79">
        <v>0</v>
      </c>
      <c r="Q753" s="79">
        <v>0</v>
      </c>
      <c r="R753" s="79">
        <v>0</v>
      </c>
      <c r="S753" s="79">
        <v>0</v>
      </c>
      <c r="T753" s="79">
        <v>0</v>
      </c>
      <c r="U753" s="79">
        <v>0</v>
      </c>
      <c r="V753" s="79">
        <v>0</v>
      </c>
      <c r="W753" s="79">
        <v>0</v>
      </c>
      <c r="X753" s="90">
        <v>0</v>
      </c>
    </row>
    <row r="754" spans="1:24" hidden="1" x14ac:dyDescent="0.25">
      <c r="A754" s="80" t="str">
        <v>PENDIENTE</v>
      </c>
      <c r="B754" s="80" t="str">
        <v>Organos</v>
      </c>
      <c r="C754" s="80" t="str">
        <v>O.C.</v>
      </c>
      <c r="D754" s="81">
        <v>46182</v>
      </c>
      <c r="E754" s="79">
        <v>239.2</v>
      </c>
      <c r="F754" s="80">
        <v>46177</v>
      </c>
      <c r="G754" s="79" cm="1">
        <f t="array" ref="G754:X754">_xlfn._xlws.FILTER(Formulas!$C$2:$T$201, ISNUMBER(MATCH(Formulas!$B$2:$B$201, B754, 0)),0) * E754</f>
        <v>64.55210666666666</v>
      </c>
      <c r="H754" s="79">
        <v>160.23210666666668</v>
      </c>
      <c r="I754" s="79">
        <v>14.415786666666667</v>
      </c>
      <c r="J754" s="79">
        <v>0</v>
      </c>
      <c r="K754" s="79">
        <v>0</v>
      </c>
      <c r="L754" s="79">
        <v>0</v>
      </c>
      <c r="M754" s="79">
        <v>0</v>
      </c>
      <c r="N754" s="79">
        <v>0</v>
      </c>
      <c r="O754" s="79">
        <v>0</v>
      </c>
      <c r="P754" s="79">
        <v>0</v>
      </c>
      <c r="Q754" s="79">
        <v>0</v>
      </c>
      <c r="R754" s="79">
        <v>0</v>
      </c>
      <c r="S754" s="79">
        <v>0</v>
      </c>
      <c r="T754" s="79">
        <v>0</v>
      </c>
      <c r="U754" s="79">
        <v>0</v>
      </c>
      <c r="V754" s="79">
        <v>0</v>
      </c>
      <c r="W754" s="79">
        <v>0</v>
      </c>
      <c r="X754" s="90">
        <v>0</v>
      </c>
    </row>
    <row r="755" spans="1:24" hidden="1" x14ac:dyDescent="0.25">
      <c r="A755" s="80" t="str">
        <v>PENDIENTE</v>
      </c>
      <c r="B755" s="80" t="str">
        <v>Organos</v>
      </c>
      <c r="C755" s="80" t="str">
        <v>Tercera</v>
      </c>
      <c r="D755" s="81">
        <v>46212</v>
      </c>
      <c r="E755" s="79">
        <v>952.57</v>
      </c>
      <c r="F755" s="81">
        <v>46234</v>
      </c>
      <c r="G755" s="79" cm="1">
        <f t="array" ref="G755:X755">_xlfn._xlws.FILTER(Formulas!$C$2:$T$201, ISNUMBER(MATCH(Formulas!$B$2:$B$201, B755, 0)),0) * E755</f>
        <v>257.06689066666667</v>
      </c>
      <c r="H755" s="79">
        <v>638.09489066666674</v>
      </c>
      <c r="I755" s="79">
        <v>57.40821866666667</v>
      </c>
      <c r="J755" s="79">
        <v>0</v>
      </c>
      <c r="K755" s="79">
        <v>0</v>
      </c>
      <c r="L755" s="79">
        <v>0</v>
      </c>
      <c r="M755" s="79">
        <v>0</v>
      </c>
      <c r="N755" s="79">
        <v>0</v>
      </c>
      <c r="O755" s="79">
        <v>0</v>
      </c>
      <c r="P755" s="79">
        <v>0</v>
      </c>
      <c r="Q755" s="79">
        <v>0</v>
      </c>
      <c r="R755" s="79">
        <v>0</v>
      </c>
      <c r="S755" s="79">
        <v>0</v>
      </c>
      <c r="T755" s="79">
        <v>0</v>
      </c>
      <c r="U755" s="79">
        <v>0</v>
      </c>
      <c r="V755" s="79">
        <v>0</v>
      </c>
      <c r="W755" s="79">
        <v>0</v>
      </c>
      <c r="X755" s="90">
        <v>0</v>
      </c>
    </row>
    <row r="756" spans="1:24" hidden="1" x14ac:dyDescent="0.25">
      <c r="A756" s="80" t="str">
        <v>PENDIENTE</v>
      </c>
      <c r="B756" s="80" t="str">
        <v>Organos</v>
      </c>
      <c r="C756" s="80" t="str">
        <v>Cuarta</v>
      </c>
      <c r="D756" s="81">
        <v>46243</v>
      </c>
      <c r="E756" s="79">
        <v>952.57</v>
      </c>
      <c r="F756" s="81">
        <v>46234</v>
      </c>
      <c r="G756" s="79" cm="1">
        <f t="array" ref="G756:X756">_xlfn._xlws.FILTER(Formulas!$C$2:$T$201, ISNUMBER(MATCH(Formulas!$B$2:$B$201, B756, 0)),0) * E756</f>
        <v>257.06689066666667</v>
      </c>
      <c r="H756" s="79">
        <v>638.09489066666674</v>
      </c>
      <c r="I756" s="79">
        <v>57.40821866666667</v>
      </c>
      <c r="J756" s="79">
        <v>0</v>
      </c>
      <c r="K756" s="79">
        <v>0</v>
      </c>
      <c r="L756" s="79">
        <v>0</v>
      </c>
      <c r="M756" s="79">
        <v>0</v>
      </c>
      <c r="N756" s="79">
        <v>0</v>
      </c>
      <c r="O756" s="79">
        <v>0</v>
      </c>
      <c r="P756" s="79">
        <v>0</v>
      </c>
      <c r="Q756" s="79">
        <v>0</v>
      </c>
      <c r="R756" s="79">
        <v>0</v>
      </c>
      <c r="S756" s="79">
        <v>0</v>
      </c>
      <c r="T756" s="79">
        <v>0</v>
      </c>
      <c r="U756" s="79">
        <v>0</v>
      </c>
      <c r="V756" s="79">
        <v>0</v>
      </c>
      <c r="W756" s="79">
        <v>0</v>
      </c>
      <c r="X756" s="90">
        <v>0</v>
      </c>
    </row>
    <row r="757" spans="1:24" hidden="1" x14ac:dyDescent="0.25">
      <c r="A757" s="80" t="str">
        <v>PENDIENTE</v>
      </c>
      <c r="B757" s="80" t="str">
        <v>Organos</v>
      </c>
      <c r="C757" s="80" t="str">
        <v>Quinta</v>
      </c>
      <c r="D757" s="81">
        <v>46264</v>
      </c>
      <c r="E757" s="79">
        <v>921.84</v>
      </c>
      <c r="F757" s="81">
        <v>0</v>
      </c>
      <c r="G757" s="79" cm="1">
        <f t="array" ref="G757:X757">_xlfn._xlws.FILTER(Formulas!$C$2:$T$201, ISNUMBER(MATCH(Formulas!$B$2:$B$201, B757, 0)),0) * E757</f>
        <v>248.773888</v>
      </c>
      <c r="H757" s="79">
        <v>617.50988800000005</v>
      </c>
      <c r="I757" s="79">
        <v>55.556224000000007</v>
      </c>
      <c r="J757" s="79">
        <v>0</v>
      </c>
      <c r="K757" s="79">
        <v>0</v>
      </c>
      <c r="L757" s="79">
        <v>0</v>
      </c>
      <c r="M757" s="79">
        <v>0</v>
      </c>
      <c r="N757" s="79">
        <v>0</v>
      </c>
      <c r="O757" s="79">
        <v>0</v>
      </c>
      <c r="P757" s="79">
        <v>0</v>
      </c>
      <c r="Q757" s="79">
        <v>0</v>
      </c>
      <c r="R757" s="79">
        <v>0</v>
      </c>
      <c r="S757" s="79">
        <v>0</v>
      </c>
      <c r="T757" s="79">
        <v>0</v>
      </c>
      <c r="U757" s="79">
        <v>0</v>
      </c>
      <c r="V757" s="79">
        <v>0</v>
      </c>
      <c r="W757" s="79">
        <v>0</v>
      </c>
      <c r="X757" s="90">
        <v>0</v>
      </c>
    </row>
    <row r="758" spans="1:24" hidden="1" x14ac:dyDescent="0.25">
      <c r="A758" s="80" t="str">
        <v>PENDIENTE</v>
      </c>
      <c r="B758" s="80" t="str">
        <v>Organos</v>
      </c>
      <c r="C758" s="80" t="str">
        <v>Sexta</v>
      </c>
      <c r="D758" s="81">
        <v>46264</v>
      </c>
      <c r="E758" s="79">
        <v>952.57</v>
      </c>
      <c r="F758" s="81">
        <v>0</v>
      </c>
      <c r="G758" s="79" cm="1">
        <f t="array" ref="G758:X758">_xlfn._xlws.FILTER(Formulas!$C$2:$T$201, ISNUMBER(MATCH(Formulas!$B$2:$B$201, B758, 0)),0) * E758</f>
        <v>257.06689066666667</v>
      </c>
      <c r="H758" s="79">
        <v>638.09489066666674</v>
      </c>
      <c r="I758" s="79">
        <v>57.40821866666667</v>
      </c>
      <c r="J758" s="79">
        <v>0</v>
      </c>
      <c r="K758" s="79">
        <v>0</v>
      </c>
      <c r="L758" s="79">
        <v>0</v>
      </c>
      <c r="M758" s="79">
        <v>0</v>
      </c>
      <c r="N758" s="79">
        <v>0</v>
      </c>
      <c r="O758" s="79">
        <v>0</v>
      </c>
      <c r="P758" s="79">
        <v>0</v>
      </c>
      <c r="Q758" s="79">
        <v>0</v>
      </c>
      <c r="R758" s="79">
        <v>0</v>
      </c>
      <c r="S758" s="79">
        <v>0</v>
      </c>
      <c r="T758" s="79">
        <v>0</v>
      </c>
      <c r="U758" s="79">
        <v>0</v>
      </c>
      <c r="V758" s="79">
        <v>0</v>
      </c>
      <c r="W758" s="79">
        <v>0</v>
      </c>
      <c r="X758" s="90">
        <v>0</v>
      </c>
    </row>
    <row r="759" spans="1:24" hidden="1" x14ac:dyDescent="0.25">
      <c r="A759" s="80" t="str">
        <v>PENDIENTE</v>
      </c>
      <c r="B759" s="80" t="str">
        <v>Organos</v>
      </c>
      <c r="C759" s="80" t="str">
        <v>Septima</v>
      </c>
      <c r="D759" s="81">
        <v>46335</v>
      </c>
      <c r="E759" s="79">
        <v>921.84</v>
      </c>
      <c r="F759" s="81">
        <v>0</v>
      </c>
      <c r="G759" s="79" cm="1">
        <f t="array" ref="G759:X759">_xlfn._xlws.FILTER(Formulas!$C$2:$T$201, ISNUMBER(MATCH(Formulas!$B$2:$B$201, B759, 0)),0) * E759</f>
        <v>248.773888</v>
      </c>
      <c r="H759" s="79">
        <v>617.50988800000005</v>
      </c>
      <c r="I759" s="79">
        <v>55.556224000000007</v>
      </c>
      <c r="J759" s="79">
        <v>0</v>
      </c>
      <c r="K759" s="79">
        <v>0</v>
      </c>
      <c r="L759" s="79">
        <v>0</v>
      </c>
      <c r="M759" s="79">
        <v>0</v>
      </c>
      <c r="N759" s="79">
        <v>0</v>
      </c>
      <c r="O759" s="79">
        <v>0</v>
      </c>
      <c r="P759" s="79">
        <v>0</v>
      </c>
      <c r="Q759" s="79">
        <v>0</v>
      </c>
      <c r="R759" s="79">
        <v>0</v>
      </c>
      <c r="S759" s="79">
        <v>0</v>
      </c>
      <c r="T759" s="79">
        <v>0</v>
      </c>
      <c r="U759" s="79">
        <v>0</v>
      </c>
      <c r="V759" s="79">
        <v>0</v>
      </c>
      <c r="W759" s="79">
        <v>0</v>
      </c>
      <c r="X759" s="90">
        <v>0</v>
      </c>
    </row>
    <row r="760" spans="1:24" hidden="1" x14ac:dyDescent="0.25">
      <c r="A760" s="80" t="str">
        <v>PENDIENTE</v>
      </c>
      <c r="B760" s="80" t="str">
        <v>Organos</v>
      </c>
      <c r="C760" s="80" t="str">
        <v>Octava</v>
      </c>
      <c r="D760" s="81">
        <v>46335</v>
      </c>
      <c r="E760" s="79">
        <v>952.57</v>
      </c>
      <c r="F760" s="81">
        <v>0</v>
      </c>
      <c r="G760" s="79" cm="1">
        <f t="array" ref="G760:X760">_xlfn._xlws.FILTER(Formulas!$C$2:$T$201, ISNUMBER(MATCH(Formulas!$B$2:$B$201, B760, 0)),0) * E760</f>
        <v>257.06689066666667</v>
      </c>
      <c r="H760" s="79">
        <v>638.09489066666674</v>
      </c>
      <c r="I760" s="79">
        <v>57.40821866666667</v>
      </c>
      <c r="J760" s="79">
        <v>0</v>
      </c>
      <c r="K760" s="79">
        <v>0</v>
      </c>
      <c r="L760" s="79">
        <v>0</v>
      </c>
      <c r="M760" s="79">
        <v>0</v>
      </c>
      <c r="N760" s="79">
        <v>0</v>
      </c>
      <c r="O760" s="79">
        <v>0</v>
      </c>
      <c r="P760" s="79">
        <v>0</v>
      </c>
      <c r="Q760" s="79">
        <v>0</v>
      </c>
      <c r="R760" s="79">
        <v>0</v>
      </c>
      <c r="S760" s="79">
        <v>0</v>
      </c>
      <c r="T760" s="79">
        <v>0</v>
      </c>
      <c r="U760" s="79">
        <v>0</v>
      </c>
      <c r="V760" s="79">
        <v>0</v>
      </c>
      <c r="W760" s="79">
        <v>0</v>
      </c>
      <c r="X760" s="90">
        <v>0</v>
      </c>
    </row>
    <row r="761" spans="1:24" hidden="1" x14ac:dyDescent="0.25">
      <c r="A761" s="80" t="str">
        <v>ENHA</v>
      </c>
      <c r="B761" s="80" t="str">
        <v>Pisuquia</v>
      </c>
      <c r="C761" s="80" t="str">
        <v>O.C.</v>
      </c>
      <c r="D761" s="81">
        <v>46096</v>
      </c>
      <c r="E761" s="79">
        <v>1345</v>
      </c>
      <c r="F761" s="81">
        <v>46090</v>
      </c>
      <c r="G761" s="79" cm="1">
        <f t="array" ref="G761:X761">_xlfn._xlws.FILTER(Formulas!$C$2:$T$201, ISNUMBER(MATCH(Formulas!$B$2:$B$201, B761, 0)),0) * E761</f>
        <v>269</v>
      </c>
      <c r="H761" s="79">
        <v>961.67499999999995</v>
      </c>
      <c r="I761" s="79">
        <v>53.800000000000004</v>
      </c>
      <c r="J761" s="79">
        <v>0</v>
      </c>
      <c r="K761" s="79">
        <v>0</v>
      </c>
      <c r="L761" s="79">
        <v>0</v>
      </c>
      <c r="M761" s="79">
        <v>60.524999999999999</v>
      </c>
      <c r="N761" s="79">
        <v>0</v>
      </c>
      <c r="O761" s="79">
        <v>0</v>
      </c>
      <c r="P761" s="79">
        <v>0</v>
      </c>
      <c r="Q761" s="79">
        <v>0</v>
      </c>
      <c r="R761" s="79">
        <v>0</v>
      </c>
      <c r="S761" s="79">
        <v>0</v>
      </c>
      <c r="T761" s="79">
        <v>0</v>
      </c>
      <c r="U761" s="79">
        <v>0</v>
      </c>
      <c r="V761" s="79">
        <v>0</v>
      </c>
      <c r="W761" s="79">
        <v>0</v>
      </c>
      <c r="X761" s="90">
        <v>0</v>
      </c>
    </row>
    <row r="762" spans="1:24" hidden="1" x14ac:dyDescent="0.25">
      <c r="A762" s="80" t="str">
        <v>ENHA</v>
      </c>
      <c r="B762" s="80" t="str">
        <v>Pisuquia</v>
      </c>
      <c r="C762" s="80" t="str">
        <v>O.C.</v>
      </c>
      <c r="D762" s="81">
        <v>46122</v>
      </c>
      <c r="E762" s="79">
        <v>1070</v>
      </c>
      <c r="F762" s="81">
        <v>46119</v>
      </c>
      <c r="G762" s="79" cm="1">
        <f t="array" ref="G762:X762">_xlfn._xlws.FILTER(Formulas!$C$2:$T$201, ISNUMBER(MATCH(Formulas!$B$2:$B$201, B762, 0)),0) * E762</f>
        <v>214</v>
      </c>
      <c r="H762" s="79">
        <v>765.05</v>
      </c>
      <c r="I762" s="79">
        <v>42.800000000000004</v>
      </c>
      <c r="J762" s="79">
        <v>0</v>
      </c>
      <c r="K762" s="79">
        <v>0</v>
      </c>
      <c r="L762" s="79">
        <v>0</v>
      </c>
      <c r="M762" s="79">
        <v>48.15</v>
      </c>
      <c r="N762" s="79">
        <v>0</v>
      </c>
      <c r="O762" s="79">
        <v>0</v>
      </c>
      <c r="P762" s="79">
        <v>0</v>
      </c>
      <c r="Q762" s="79">
        <v>0</v>
      </c>
      <c r="R762" s="79">
        <v>0</v>
      </c>
      <c r="S762" s="79">
        <v>0</v>
      </c>
      <c r="T762" s="79">
        <v>0</v>
      </c>
      <c r="U762" s="79">
        <v>0</v>
      </c>
      <c r="V762" s="79">
        <v>0</v>
      </c>
      <c r="W762" s="79">
        <v>0</v>
      </c>
      <c r="X762" s="90">
        <v>0</v>
      </c>
    </row>
    <row r="763" spans="1:24" hidden="1" x14ac:dyDescent="0.25">
      <c r="A763" s="80" t="str">
        <v>ENHA</v>
      </c>
      <c r="B763" s="80" t="str">
        <v>Pisuquia</v>
      </c>
      <c r="C763" s="80" t="str">
        <v>O.C.</v>
      </c>
      <c r="D763" s="81">
        <v>46188</v>
      </c>
      <c r="E763" s="79">
        <v>995</v>
      </c>
      <c r="F763" s="81">
        <v>46206</v>
      </c>
      <c r="G763" s="79" cm="1">
        <f t="array" ref="G763:X763">_xlfn._xlws.FILTER(Formulas!$C$2:$T$201, ISNUMBER(MATCH(Formulas!$B$2:$B$201, B763, 0)),0) * E763</f>
        <v>199</v>
      </c>
      <c r="H763" s="79">
        <v>711.42499999999995</v>
      </c>
      <c r="I763" s="79">
        <v>39.800000000000004</v>
      </c>
      <c r="J763" s="79">
        <v>0</v>
      </c>
      <c r="K763" s="79">
        <v>0</v>
      </c>
      <c r="L763" s="79">
        <v>0</v>
      </c>
      <c r="M763" s="79">
        <v>44.774999999999999</v>
      </c>
      <c r="N763" s="79">
        <v>0</v>
      </c>
      <c r="O763" s="79">
        <v>0</v>
      </c>
      <c r="P763" s="79">
        <v>0</v>
      </c>
      <c r="Q763" s="79">
        <v>0</v>
      </c>
      <c r="R763" s="79">
        <v>0</v>
      </c>
      <c r="S763" s="79">
        <v>0</v>
      </c>
      <c r="T763" s="79">
        <v>0</v>
      </c>
      <c r="U763" s="79">
        <v>0</v>
      </c>
      <c r="V763" s="79">
        <v>0</v>
      </c>
      <c r="W763" s="79">
        <v>0</v>
      </c>
      <c r="X763" s="90">
        <v>0</v>
      </c>
    </row>
    <row r="764" spans="1:24" hidden="1" x14ac:dyDescent="0.25">
      <c r="A764" s="80" t="str">
        <v>PENDIENTE</v>
      </c>
      <c r="B764" s="80" t="str">
        <v>Pomahuaca</v>
      </c>
      <c r="C764" s="80" t="str">
        <v>Enero</v>
      </c>
      <c r="D764" s="81">
        <v>46023</v>
      </c>
      <c r="E764" s="79">
        <v>1168</v>
      </c>
      <c r="F764" s="81">
        <v>46028</v>
      </c>
      <c r="G764" s="79" cm="1">
        <f t="array" ref="G764:X764">_xlfn._xlws.FILTER(Formulas!$C$2:$T$201, ISNUMBER(MATCH(Formulas!$B$2:$B$201, B764, 0)),0) * E764</f>
        <v>234</v>
      </c>
      <c r="H764" s="79">
        <v>818</v>
      </c>
      <c r="I764" s="79">
        <v>58</v>
      </c>
      <c r="J764" s="79">
        <v>58</v>
      </c>
      <c r="K764" s="79">
        <v>0</v>
      </c>
      <c r="L764" s="79">
        <v>0</v>
      </c>
      <c r="M764" s="79">
        <v>0</v>
      </c>
      <c r="N764" s="79">
        <v>0</v>
      </c>
      <c r="O764" s="79">
        <v>0</v>
      </c>
      <c r="P764" s="79">
        <v>0</v>
      </c>
      <c r="Q764" s="79">
        <v>0</v>
      </c>
      <c r="R764" s="79">
        <v>0</v>
      </c>
      <c r="S764" s="79">
        <v>0</v>
      </c>
      <c r="T764" s="79">
        <v>0</v>
      </c>
      <c r="U764" s="79">
        <v>0</v>
      </c>
      <c r="V764" s="79">
        <v>0</v>
      </c>
      <c r="W764" s="79">
        <v>0</v>
      </c>
      <c r="X764" s="90">
        <v>0</v>
      </c>
    </row>
    <row r="765" spans="1:24" hidden="1" x14ac:dyDescent="0.25">
      <c r="A765" s="80" t="str">
        <v>PENDIENTE</v>
      </c>
      <c r="B765" s="80" t="str">
        <v>Pomahuaca</v>
      </c>
      <c r="C765" s="80" t="str">
        <v>Febrero</v>
      </c>
      <c r="D765" s="81">
        <v>46042</v>
      </c>
      <c r="E765" s="79">
        <v>1168</v>
      </c>
      <c r="F765" s="81">
        <v>46028</v>
      </c>
      <c r="G765" s="79" cm="1">
        <f t="array" ref="G765:X765">_xlfn._xlws.FILTER(Formulas!$C$2:$T$201, ISNUMBER(MATCH(Formulas!$B$2:$B$201, B765, 0)),0) * E765</f>
        <v>234</v>
      </c>
      <c r="H765" s="79">
        <v>818</v>
      </c>
      <c r="I765" s="79">
        <v>58</v>
      </c>
      <c r="J765" s="79">
        <v>58</v>
      </c>
      <c r="K765" s="79">
        <v>0</v>
      </c>
      <c r="L765" s="79">
        <v>0</v>
      </c>
      <c r="M765" s="79">
        <v>0</v>
      </c>
      <c r="N765" s="79">
        <v>0</v>
      </c>
      <c r="O765" s="79">
        <v>0</v>
      </c>
      <c r="P765" s="79">
        <v>0</v>
      </c>
      <c r="Q765" s="79">
        <v>0</v>
      </c>
      <c r="R765" s="79">
        <v>0</v>
      </c>
      <c r="S765" s="79">
        <v>0</v>
      </c>
      <c r="T765" s="79">
        <v>0</v>
      </c>
      <c r="U765" s="79">
        <v>0</v>
      </c>
      <c r="V765" s="79">
        <v>0</v>
      </c>
      <c r="W765" s="79">
        <v>0</v>
      </c>
      <c r="X765" s="90">
        <v>0</v>
      </c>
    </row>
    <row r="766" spans="1:24" hidden="1" x14ac:dyDescent="0.25">
      <c r="A766" s="80" t="str">
        <v>PENDIENTE</v>
      </c>
      <c r="B766" s="80" t="str">
        <v>Pomahuaca</v>
      </c>
      <c r="C766" s="80" t="str">
        <v>Marzo</v>
      </c>
      <c r="D766" s="81">
        <v>46073</v>
      </c>
      <c r="E766" s="79">
        <v>1168</v>
      </c>
      <c r="F766" s="81">
        <v>46093</v>
      </c>
      <c r="G766" s="79" cm="1">
        <f t="array" ref="G766:X766">_xlfn._xlws.FILTER(Formulas!$C$2:$T$201, ISNUMBER(MATCH(Formulas!$B$2:$B$201, B766, 0)),0) * E766</f>
        <v>234</v>
      </c>
      <c r="H766" s="79">
        <v>818</v>
      </c>
      <c r="I766" s="79">
        <v>58</v>
      </c>
      <c r="J766" s="79">
        <v>58</v>
      </c>
      <c r="K766" s="79">
        <v>0</v>
      </c>
      <c r="L766" s="79">
        <v>0</v>
      </c>
      <c r="M766" s="79">
        <v>0</v>
      </c>
      <c r="N766" s="79">
        <v>0</v>
      </c>
      <c r="O766" s="79">
        <v>0</v>
      </c>
      <c r="P766" s="79">
        <v>0</v>
      </c>
      <c r="Q766" s="79">
        <v>0</v>
      </c>
      <c r="R766" s="79">
        <v>0</v>
      </c>
      <c r="S766" s="79">
        <v>0</v>
      </c>
      <c r="T766" s="79">
        <v>0</v>
      </c>
      <c r="U766" s="79">
        <v>0</v>
      </c>
      <c r="V766" s="79">
        <v>0</v>
      </c>
      <c r="W766" s="79">
        <v>0</v>
      </c>
      <c r="X766" s="90">
        <v>0</v>
      </c>
    </row>
    <row r="767" spans="1:24" hidden="1" x14ac:dyDescent="0.25">
      <c r="A767" s="80" t="str">
        <v>PENDIENTE</v>
      </c>
      <c r="B767" s="80" t="str">
        <v>Pomahuaca</v>
      </c>
      <c r="C767" s="80" t="str">
        <v>Abril</v>
      </c>
      <c r="D767" s="81">
        <v>46101</v>
      </c>
      <c r="E767" s="79">
        <v>1168</v>
      </c>
      <c r="F767" s="81">
        <v>46093</v>
      </c>
      <c r="G767" s="79" cm="1">
        <f t="array" ref="G767:X767">_xlfn._xlws.FILTER(Formulas!$C$2:$T$201, ISNUMBER(MATCH(Formulas!$B$2:$B$201, B767, 0)),0) * E767</f>
        <v>234</v>
      </c>
      <c r="H767" s="79">
        <v>818</v>
      </c>
      <c r="I767" s="79">
        <v>58</v>
      </c>
      <c r="J767" s="79">
        <v>58</v>
      </c>
      <c r="K767" s="79">
        <v>0</v>
      </c>
      <c r="L767" s="79">
        <v>0</v>
      </c>
      <c r="M767" s="79">
        <v>0</v>
      </c>
      <c r="N767" s="79">
        <v>0</v>
      </c>
      <c r="O767" s="79">
        <v>0</v>
      </c>
      <c r="P767" s="79">
        <v>0</v>
      </c>
      <c r="Q767" s="79">
        <v>0</v>
      </c>
      <c r="R767" s="79">
        <v>0</v>
      </c>
      <c r="S767" s="79">
        <v>0</v>
      </c>
      <c r="T767" s="79">
        <v>0</v>
      </c>
      <c r="U767" s="79">
        <v>0</v>
      </c>
      <c r="V767" s="79">
        <v>0</v>
      </c>
      <c r="W767" s="79">
        <v>0</v>
      </c>
      <c r="X767" s="90">
        <v>0</v>
      </c>
    </row>
    <row r="768" spans="1:24" hidden="1" x14ac:dyDescent="0.25">
      <c r="A768" s="80" t="str">
        <v>PENDIENTE</v>
      </c>
      <c r="B768" s="80" t="str">
        <v>Pomahuaca</v>
      </c>
      <c r="C768" s="80" t="str">
        <v>Mayo</v>
      </c>
      <c r="D768" s="81">
        <v>46132</v>
      </c>
      <c r="E768" s="79">
        <v>1168</v>
      </c>
      <c r="F768" s="80">
        <v>46133</v>
      </c>
      <c r="G768" s="79" cm="1">
        <f t="array" ref="G768:X768">_xlfn._xlws.FILTER(Formulas!$C$2:$T$201, ISNUMBER(MATCH(Formulas!$B$2:$B$201, B768, 0)),0) * E768</f>
        <v>234</v>
      </c>
      <c r="H768" s="79">
        <v>818</v>
      </c>
      <c r="I768" s="79">
        <v>58</v>
      </c>
      <c r="J768" s="79">
        <v>58</v>
      </c>
      <c r="K768" s="79">
        <v>0</v>
      </c>
      <c r="L768" s="79">
        <v>0</v>
      </c>
      <c r="M768" s="79">
        <v>0</v>
      </c>
      <c r="N768" s="79">
        <v>0</v>
      </c>
      <c r="O768" s="79">
        <v>0</v>
      </c>
      <c r="P768" s="79">
        <v>0</v>
      </c>
      <c r="Q768" s="79">
        <v>0</v>
      </c>
      <c r="R768" s="79">
        <v>0</v>
      </c>
      <c r="S768" s="79">
        <v>0</v>
      </c>
      <c r="T768" s="79">
        <v>0</v>
      </c>
      <c r="U768" s="79">
        <v>0</v>
      </c>
      <c r="V768" s="79">
        <v>0</v>
      </c>
      <c r="W768" s="79">
        <v>0</v>
      </c>
      <c r="X768" s="90">
        <v>0</v>
      </c>
    </row>
    <row r="769" spans="1:24" hidden="1" x14ac:dyDescent="0.25">
      <c r="A769" s="80" t="str">
        <v>PENDIENTE</v>
      </c>
      <c r="B769" s="80" t="str">
        <v>Pomahuaca</v>
      </c>
      <c r="C769" s="80" t="str">
        <v>Junio</v>
      </c>
      <c r="D769" s="81">
        <v>46132</v>
      </c>
      <c r="E769" s="79">
        <v>1168</v>
      </c>
      <c r="F769" s="80">
        <v>46133</v>
      </c>
      <c r="G769" s="79" cm="1">
        <f t="array" ref="G769:X769">_xlfn._xlws.FILTER(Formulas!$C$2:$T$201, ISNUMBER(MATCH(Formulas!$B$2:$B$201, B769, 0)),0) * E769</f>
        <v>234</v>
      </c>
      <c r="H769" s="79">
        <v>818</v>
      </c>
      <c r="I769" s="79">
        <v>58</v>
      </c>
      <c r="J769" s="79">
        <v>58</v>
      </c>
      <c r="K769" s="79">
        <v>0</v>
      </c>
      <c r="L769" s="79">
        <v>0</v>
      </c>
      <c r="M769" s="79">
        <v>0</v>
      </c>
      <c r="N769" s="79">
        <v>0</v>
      </c>
      <c r="O769" s="79">
        <v>0</v>
      </c>
      <c r="P769" s="79">
        <v>0</v>
      </c>
      <c r="Q769" s="79">
        <v>0</v>
      </c>
      <c r="R769" s="79">
        <v>0</v>
      </c>
      <c r="S769" s="79">
        <v>0</v>
      </c>
      <c r="T769" s="79">
        <v>0</v>
      </c>
      <c r="U769" s="79">
        <v>0</v>
      </c>
      <c r="V769" s="79">
        <v>0</v>
      </c>
      <c r="W769" s="79">
        <v>0</v>
      </c>
      <c r="X769" s="90">
        <v>0</v>
      </c>
    </row>
    <row r="770" spans="1:24" hidden="1" x14ac:dyDescent="0.25">
      <c r="A770" s="80" t="str">
        <v>PENDIENTE</v>
      </c>
      <c r="B770" s="80" t="str">
        <v>Pomahuaca</v>
      </c>
      <c r="C770" s="80" t="str">
        <v>Julio</v>
      </c>
      <c r="D770" s="81">
        <v>46193</v>
      </c>
      <c r="E770" s="79">
        <v>1168</v>
      </c>
      <c r="F770" s="81">
        <v>46179</v>
      </c>
      <c r="G770" s="79" cm="1">
        <f t="array" ref="G770:X770">_xlfn._xlws.FILTER(Formulas!$C$2:$T$201, ISNUMBER(MATCH(Formulas!$B$2:$B$201, B770, 0)),0) * E770</f>
        <v>234</v>
      </c>
      <c r="H770" s="79">
        <v>818</v>
      </c>
      <c r="I770" s="79">
        <v>58</v>
      </c>
      <c r="J770" s="79">
        <v>58</v>
      </c>
      <c r="K770" s="79">
        <v>0</v>
      </c>
      <c r="L770" s="79">
        <v>0</v>
      </c>
      <c r="M770" s="79">
        <v>0</v>
      </c>
      <c r="N770" s="79">
        <v>0</v>
      </c>
      <c r="O770" s="79">
        <v>0</v>
      </c>
      <c r="P770" s="79">
        <v>0</v>
      </c>
      <c r="Q770" s="79">
        <v>0</v>
      </c>
      <c r="R770" s="79">
        <v>0</v>
      </c>
      <c r="S770" s="79">
        <v>0</v>
      </c>
      <c r="T770" s="79">
        <v>0</v>
      </c>
      <c r="U770" s="79">
        <v>0</v>
      </c>
      <c r="V770" s="79">
        <v>0</v>
      </c>
      <c r="W770" s="79">
        <v>0</v>
      </c>
      <c r="X770" s="90">
        <v>0</v>
      </c>
    </row>
    <row r="771" spans="1:24" hidden="1" x14ac:dyDescent="0.25">
      <c r="A771" s="80" t="str">
        <v>PENDIENTE</v>
      </c>
      <c r="B771" s="80" t="str">
        <v>Pomahuaca</v>
      </c>
      <c r="C771" s="80" t="str">
        <v>Agosto</v>
      </c>
      <c r="D771" s="81">
        <v>46193</v>
      </c>
      <c r="E771" s="79">
        <v>1168</v>
      </c>
      <c r="F771" s="81">
        <v>46179</v>
      </c>
      <c r="G771" s="79" cm="1">
        <f t="array" ref="G771:X771">_xlfn._xlws.FILTER(Formulas!$C$2:$T$201, ISNUMBER(MATCH(Formulas!$B$2:$B$201, B771, 0)),0) * E771</f>
        <v>234</v>
      </c>
      <c r="H771" s="79">
        <v>818</v>
      </c>
      <c r="I771" s="79">
        <v>58</v>
      </c>
      <c r="J771" s="79">
        <v>58</v>
      </c>
      <c r="K771" s="79">
        <v>0</v>
      </c>
      <c r="L771" s="79">
        <v>0</v>
      </c>
      <c r="M771" s="79">
        <v>0</v>
      </c>
      <c r="N771" s="79">
        <v>0</v>
      </c>
      <c r="O771" s="79">
        <v>0</v>
      </c>
      <c r="P771" s="79">
        <v>0</v>
      </c>
      <c r="Q771" s="79">
        <v>0</v>
      </c>
      <c r="R771" s="79">
        <v>0</v>
      </c>
      <c r="S771" s="79">
        <v>0</v>
      </c>
      <c r="T771" s="79">
        <v>0</v>
      </c>
      <c r="U771" s="79">
        <v>0</v>
      </c>
      <c r="V771" s="79">
        <v>0</v>
      </c>
      <c r="W771" s="79">
        <v>0</v>
      </c>
      <c r="X771" s="90">
        <v>0</v>
      </c>
    </row>
    <row r="772" spans="1:24" hidden="1" x14ac:dyDescent="0.25">
      <c r="A772" s="80" t="str">
        <v>PENDIENTE</v>
      </c>
      <c r="B772" s="80" t="str">
        <v>Pomahuaca</v>
      </c>
      <c r="C772" s="80" t="str">
        <v>Setiembre</v>
      </c>
      <c r="D772" s="81">
        <v>46223</v>
      </c>
      <c r="E772" s="79">
        <v>1168</v>
      </c>
      <c r="F772" s="80">
        <v>46242</v>
      </c>
      <c r="G772" s="79" cm="1">
        <f t="array" ref="G772:X772">_xlfn._xlws.FILTER(Formulas!$C$2:$T$201, ISNUMBER(MATCH(Formulas!$B$2:$B$201, B772, 0)),0) * E772</f>
        <v>234</v>
      </c>
      <c r="H772" s="79">
        <v>818</v>
      </c>
      <c r="I772" s="79">
        <v>58</v>
      </c>
      <c r="J772" s="79">
        <v>58</v>
      </c>
      <c r="K772" s="79">
        <v>0</v>
      </c>
      <c r="L772" s="79">
        <v>0</v>
      </c>
      <c r="M772" s="79">
        <v>0</v>
      </c>
      <c r="N772" s="79">
        <v>0</v>
      </c>
      <c r="O772" s="79">
        <v>0</v>
      </c>
      <c r="P772" s="79">
        <v>0</v>
      </c>
      <c r="Q772" s="79">
        <v>0</v>
      </c>
      <c r="R772" s="79">
        <v>0</v>
      </c>
      <c r="S772" s="79">
        <v>0</v>
      </c>
      <c r="T772" s="79">
        <v>0</v>
      </c>
      <c r="U772" s="79">
        <v>0</v>
      </c>
      <c r="V772" s="79">
        <v>0</v>
      </c>
      <c r="W772" s="79">
        <v>0</v>
      </c>
      <c r="X772" s="90">
        <v>0</v>
      </c>
    </row>
    <row r="773" spans="1:24" hidden="1" x14ac:dyDescent="0.25">
      <c r="A773" s="80" t="str">
        <v>PENDIENTE</v>
      </c>
      <c r="B773" s="80" t="str">
        <v>Pomahuaca</v>
      </c>
      <c r="C773" s="80" t="str">
        <v>Octubre</v>
      </c>
      <c r="D773" s="81">
        <v>46254</v>
      </c>
      <c r="E773" s="79">
        <v>1168</v>
      </c>
      <c r="F773" s="80">
        <v>46242</v>
      </c>
      <c r="G773" s="79" cm="1">
        <f t="array" ref="G773:X773">_xlfn._xlws.FILTER(Formulas!$C$2:$T$201, ISNUMBER(MATCH(Formulas!$B$2:$B$201, B773, 0)),0) * E773</f>
        <v>234</v>
      </c>
      <c r="H773" s="79">
        <v>818</v>
      </c>
      <c r="I773" s="79">
        <v>58</v>
      </c>
      <c r="J773" s="79">
        <v>58</v>
      </c>
      <c r="K773" s="79">
        <v>0</v>
      </c>
      <c r="L773" s="79">
        <v>0</v>
      </c>
      <c r="M773" s="79">
        <v>0</v>
      </c>
      <c r="N773" s="79">
        <v>0</v>
      </c>
      <c r="O773" s="79">
        <v>0</v>
      </c>
      <c r="P773" s="79">
        <v>0</v>
      </c>
      <c r="Q773" s="79">
        <v>0</v>
      </c>
      <c r="R773" s="79">
        <v>0</v>
      </c>
      <c r="S773" s="79">
        <v>0</v>
      </c>
      <c r="T773" s="79">
        <v>0</v>
      </c>
      <c r="U773" s="79">
        <v>0</v>
      </c>
      <c r="V773" s="79">
        <v>0</v>
      </c>
      <c r="W773" s="79">
        <v>0</v>
      </c>
      <c r="X773" s="90">
        <v>0</v>
      </c>
    </row>
    <row r="774" spans="1:24" hidden="1" x14ac:dyDescent="0.25">
      <c r="A774" s="80" t="str">
        <v>PENDIENTE</v>
      </c>
      <c r="B774" s="80" t="str">
        <v>Pomahuaca</v>
      </c>
      <c r="C774" s="80" t="str">
        <v>Noviembre</v>
      </c>
      <c r="D774" s="81">
        <v>46315</v>
      </c>
      <c r="E774" s="79">
        <v>1168</v>
      </c>
      <c r="F774" s="81">
        <v>0</v>
      </c>
      <c r="G774" s="79" cm="1">
        <f t="array" ref="G774:X774">_xlfn._xlws.FILTER(Formulas!$C$2:$T$201, ISNUMBER(MATCH(Formulas!$B$2:$B$201, B774, 0)),0) * E774</f>
        <v>234</v>
      </c>
      <c r="H774" s="79">
        <v>818</v>
      </c>
      <c r="I774" s="79">
        <v>58</v>
      </c>
      <c r="J774" s="79">
        <v>58</v>
      </c>
      <c r="K774" s="79">
        <v>0</v>
      </c>
      <c r="L774" s="79">
        <v>0</v>
      </c>
      <c r="M774" s="79">
        <v>0</v>
      </c>
      <c r="N774" s="79">
        <v>0</v>
      </c>
      <c r="O774" s="79">
        <v>0</v>
      </c>
      <c r="P774" s="79">
        <v>0</v>
      </c>
      <c r="Q774" s="79">
        <v>0</v>
      </c>
      <c r="R774" s="79">
        <v>0</v>
      </c>
      <c r="S774" s="79">
        <v>0</v>
      </c>
      <c r="T774" s="79">
        <v>0</v>
      </c>
      <c r="U774" s="79">
        <v>0</v>
      </c>
      <c r="V774" s="79">
        <v>0</v>
      </c>
      <c r="W774" s="79">
        <v>0</v>
      </c>
      <c r="X774" s="90">
        <v>0</v>
      </c>
    </row>
    <row r="775" spans="1:24" hidden="1" x14ac:dyDescent="0.25">
      <c r="A775" s="80" t="str">
        <v>PENDIENTE</v>
      </c>
      <c r="B775" s="80" t="str">
        <v>Pomahuaca</v>
      </c>
      <c r="C775" s="80" t="str">
        <v>Diciembre</v>
      </c>
      <c r="D775" s="81">
        <v>46315</v>
      </c>
      <c r="E775" s="79">
        <v>1169</v>
      </c>
      <c r="F775" s="81">
        <v>0</v>
      </c>
      <c r="G775" s="79" cm="1">
        <f t="array" ref="G775:X775">_xlfn._xlws.FILTER(Formulas!$C$2:$T$201, ISNUMBER(MATCH(Formulas!$B$2:$B$201, B775, 0)),0) * E775</f>
        <v>234.20034246575341</v>
      </c>
      <c r="H775" s="79">
        <v>818.70034246575335</v>
      </c>
      <c r="I775" s="79">
        <v>58.04965753424657</v>
      </c>
      <c r="J775" s="79">
        <v>58.04965753424657</v>
      </c>
      <c r="K775" s="79">
        <v>0</v>
      </c>
      <c r="L775" s="79">
        <v>0</v>
      </c>
      <c r="M775" s="79">
        <v>0</v>
      </c>
      <c r="N775" s="79">
        <v>0</v>
      </c>
      <c r="O775" s="79">
        <v>0</v>
      </c>
      <c r="P775" s="79">
        <v>0</v>
      </c>
      <c r="Q775" s="79">
        <v>0</v>
      </c>
      <c r="R775" s="79">
        <v>0</v>
      </c>
      <c r="S775" s="79">
        <v>0</v>
      </c>
      <c r="T775" s="79">
        <v>0</v>
      </c>
      <c r="U775" s="79">
        <v>0</v>
      </c>
      <c r="V775" s="79">
        <v>0</v>
      </c>
      <c r="W775" s="79">
        <v>0</v>
      </c>
      <c r="X775" s="90">
        <v>0</v>
      </c>
    </row>
    <row r="776" spans="1:24" hidden="1" x14ac:dyDescent="0.25">
      <c r="A776" s="80" t="str">
        <v>GRAN INDUST.</v>
      </c>
      <c r="B776" s="80" t="str">
        <v>Qaliwarma Avena</v>
      </c>
      <c r="C776" s="80" t="str">
        <v>Lima</v>
      </c>
      <c r="D776" s="81">
        <v>46244</v>
      </c>
      <c r="E776" s="79">
        <v>7488.26</v>
      </c>
      <c r="F776" s="81">
        <v>46237</v>
      </c>
      <c r="G776" s="79" cm="1">
        <f t="array" ref="G776:X776">_xlfn._xlws.FILTER(Formulas!$C$2:$T$201, ISNUMBER(MATCH(Formulas!$B$2:$B$201, B776, 0)),0) * E776</f>
        <v>0</v>
      </c>
      <c r="H776" s="79">
        <v>7488.26</v>
      </c>
      <c r="I776" s="79">
        <v>0</v>
      </c>
      <c r="J776" s="79">
        <v>0</v>
      </c>
      <c r="K776" s="79">
        <v>0</v>
      </c>
      <c r="L776" s="79">
        <v>0</v>
      </c>
      <c r="M776" s="79">
        <v>0</v>
      </c>
      <c r="N776" s="79">
        <v>0</v>
      </c>
      <c r="O776" s="79">
        <v>0</v>
      </c>
      <c r="P776" s="79">
        <v>0</v>
      </c>
      <c r="Q776" s="79">
        <v>0</v>
      </c>
      <c r="R776" s="79">
        <v>0</v>
      </c>
      <c r="S776" s="79">
        <v>0</v>
      </c>
      <c r="T776" s="79">
        <v>0</v>
      </c>
      <c r="U776" s="79">
        <v>0</v>
      </c>
      <c r="V776" s="79">
        <v>0</v>
      </c>
      <c r="W776" s="79">
        <v>0</v>
      </c>
      <c r="X776" s="90">
        <v>0</v>
      </c>
    </row>
    <row r="777" spans="1:24" hidden="1" x14ac:dyDescent="0.25">
      <c r="A777" s="80" t="str">
        <v>GRAN INDUST.</v>
      </c>
      <c r="B777" s="80" t="str">
        <v>Qaliwarma Avena</v>
      </c>
      <c r="C777" s="80" t="str">
        <v>Lima</v>
      </c>
      <c r="D777" s="81">
        <v>46244</v>
      </c>
      <c r="E777" s="79">
        <v>1179.6200000000001</v>
      </c>
      <c r="F777" s="81">
        <v>46237</v>
      </c>
      <c r="G777" s="79" cm="1">
        <f t="array" ref="G777:X777">_xlfn._xlws.FILTER(Formulas!$C$2:$T$201, ISNUMBER(MATCH(Formulas!$B$2:$B$201, B777, 0)),0) * E777</f>
        <v>0</v>
      </c>
      <c r="H777" s="79">
        <v>1179.6200000000001</v>
      </c>
      <c r="I777" s="79">
        <v>0</v>
      </c>
      <c r="J777" s="79">
        <v>0</v>
      </c>
      <c r="K777" s="79">
        <v>0</v>
      </c>
      <c r="L777" s="79">
        <v>0</v>
      </c>
      <c r="M777" s="79">
        <v>0</v>
      </c>
      <c r="N777" s="79">
        <v>0</v>
      </c>
      <c r="O777" s="79">
        <v>0</v>
      </c>
      <c r="P777" s="79">
        <v>0</v>
      </c>
      <c r="Q777" s="79">
        <v>0</v>
      </c>
      <c r="R777" s="79">
        <v>0</v>
      </c>
      <c r="S777" s="79">
        <v>0</v>
      </c>
      <c r="T777" s="79">
        <v>0</v>
      </c>
      <c r="U777" s="79">
        <v>0</v>
      </c>
      <c r="V777" s="79">
        <v>0</v>
      </c>
      <c r="W777" s="79">
        <v>0</v>
      </c>
      <c r="X777" s="90">
        <v>0</v>
      </c>
    </row>
    <row r="778" spans="1:24" hidden="1" x14ac:dyDescent="0.25">
      <c r="A778" s="80" t="str">
        <v>GRAN INDUST.</v>
      </c>
      <c r="B778" s="80" t="str">
        <v>Qaliwarma Avena</v>
      </c>
      <c r="C778" s="80" t="str">
        <v>Yurimag</v>
      </c>
      <c r="D778" s="81">
        <v>46295</v>
      </c>
      <c r="E778" s="79">
        <v>2849.6</v>
      </c>
      <c r="F778" s="81">
        <v>46293</v>
      </c>
      <c r="G778" s="79" cm="1">
        <f t="array" ref="G778:X778">_xlfn._xlws.FILTER(Formulas!$C$2:$T$201, ISNUMBER(MATCH(Formulas!$B$2:$B$201, B778, 0)),0) * E778</f>
        <v>0</v>
      </c>
      <c r="H778" s="79">
        <v>2849.6</v>
      </c>
      <c r="I778" s="79">
        <v>0</v>
      </c>
      <c r="J778" s="79">
        <v>0</v>
      </c>
      <c r="K778" s="79">
        <v>0</v>
      </c>
      <c r="L778" s="79">
        <v>0</v>
      </c>
      <c r="M778" s="79">
        <v>0</v>
      </c>
      <c r="N778" s="79">
        <v>0</v>
      </c>
      <c r="O778" s="79">
        <v>0</v>
      </c>
      <c r="P778" s="79">
        <v>0</v>
      </c>
      <c r="Q778" s="79">
        <v>0</v>
      </c>
      <c r="R778" s="79">
        <v>0</v>
      </c>
      <c r="S778" s="79">
        <v>0</v>
      </c>
      <c r="T778" s="79">
        <v>0</v>
      </c>
      <c r="U778" s="79">
        <v>0</v>
      </c>
      <c r="V778" s="79">
        <v>0</v>
      </c>
      <c r="W778" s="79">
        <v>0</v>
      </c>
      <c r="X778" s="90">
        <v>0</v>
      </c>
    </row>
    <row r="779" spans="1:24" hidden="1" x14ac:dyDescent="0.25">
      <c r="A779" s="80" t="str">
        <v>BACHOTA</v>
      </c>
      <c r="B779" s="80" t="str">
        <v>Qaliwarma Avena</v>
      </c>
      <c r="C779" s="80" t="str">
        <v>Cajamarca</v>
      </c>
      <c r="D779" s="81">
        <v>46295</v>
      </c>
      <c r="E779" s="79">
        <v>1209</v>
      </c>
      <c r="F779" s="81">
        <v>0</v>
      </c>
      <c r="G779" s="79" cm="1">
        <f t="array" ref="G779:X779">_xlfn._xlws.FILTER(Formulas!$C$2:$T$201, ISNUMBER(MATCH(Formulas!$B$2:$B$201, B779, 0)),0) * E779</f>
        <v>0</v>
      </c>
      <c r="H779" s="79">
        <v>1209</v>
      </c>
      <c r="I779" s="79">
        <v>0</v>
      </c>
      <c r="J779" s="79">
        <v>0</v>
      </c>
      <c r="K779" s="79">
        <v>0</v>
      </c>
      <c r="L779" s="79">
        <v>0</v>
      </c>
      <c r="M779" s="79">
        <v>0</v>
      </c>
      <c r="N779" s="79">
        <v>0</v>
      </c>
      <c r="O779" s="79">
        <v>0</v>
      </c>
      <c r="P779" s="79">
        <v>0</v>
      </c>
      <c r="Q779" s="79">
        <v>0</v>
      </c>
      <c r="R779" s="79">
        <v>0</v>
      </c>
      <c r="S779" s="79">
        <v>0</v>
      </c>
      <c r="T779" s="79">
        <v>0</v>
      </c>
      <c r="U779" s="79">
        <v>0</v>
      </c>
      <c r="V779" s="79">
        <v>0</v>
      </c>
      <c r="W779" s="79">
        <v>0</v>
      </c>
      <c r="X779" s="90">
        <v>0</v>
      </c>
    </row>
    <row r="780" spans="1:24" hidden="1" x14ac:dyDescent="0.25">
      <c r="A780" s="80" t="str">
        <v>GRAN INDUST.</v>
      </c>
      <c r="B780" s="80" t="str">
        <v>Qaliwarma Kiwicha</v>
      </c>
      <c r="C780" s="80" t="str">
        <v>Yurimag</v>
      </c>
      <c r="D780" s="81">
        <v>46066</v>
      </c>
      <c r="E780" s="79">
        <v>5218.2</v>
      </c>
      <c r="F780" s="81">
        <v>46059</v>
      </c>
      <c r="G780" s="79" cm="1">
        <f t="array" ref="G780:X780">_xlfn._xlws.FILTER(Formulas!$C$2:$T$201, ISNUMBER(MATCH(Formulas!$B$2:$B$201, B780, 0)),0) * E780</f>
        <v>0</v>
      </c>
      <c r="H780" s="79">
        <v>4905.1079999999993</v>
      </c>
      <c r="I780" s="79">
        <v>0</v>
      </c>
      <c r="J780" s="79">
        <v>0</v>
      </c>
      <c r="K780" s="79">
        <v>0</v>
      </c>
      <c r="L780" s="79">
        <v>0</v>
      </c>
      <c r="M780" s="79">
        <v>0</v>
      </c>
      <c r="N780" s="79">
        <v>0</v>
      </c>
      <c r="O780" s="79">
        <v>0</v>
      </c>
      <c r="P780" s="79">
        <v>0</v>
      </c>
      <c r="Q780" s="79">
        <v>313.09199999999998</v>
      </c>
      <c r="R780" s="79">
        <v>0</v>
      </c>
      <c r="S780" s="79">
        <v>0</v>
      </c>
      <c r="T780" s="79">
        <v>0</v>
      </c>
      <c r="U780" s="79">
        <v>0</v>
      </c>
      <c r="V780" s="79">
        <v>0</v>
      </c>
      <c r="W780" s="79">
        <v>0</v>
      </c>
      <c r="X780" s="90">
        <v>0</v>
      </c>
    </row>
    <row r="781" spans="1:24" hidden="1" x14ac:dyDescent="0.25">
      <c r="A781" s="80" t="str">
        <v>GRAN INDUST.</v>
      </c>
      <c r="B781" s="80" t="str">
        <v>Qaliwarma Kiwicha</v>
      </c>
      <c r="C781" s="80" t="str">
        <v>Yurimag</v>
      </c>
      <c r="D781" s="81">
        <v>46069</v>
      </c>
      <c r="E781" s="79">
        <v>1043.3800000000001</v>
      </c>
      <c r="F781" s="81">
        <v>46079</v>
      </c>
      <c r="G781" s="79" cm="1">
        <f t="array" ref="G781:X781">_xlfn._xlws.FILTER(Formulas!$C$2:$T$201, ISNUMBER(MATCH(Formulas!$B$2:$B$201, B781, 0)),0) * E781</f>
        <v>0</v>
      </c>
      <c r="H781" s="79">
        <v>980.77719999999999</v>
      </c>
      <c r="I781" s="79">
        <v>0</v>
      </c>
      <c r="J781" s="79">
        <v>0</v>
      </c>
      <c r="K781" s="79">
        <v>0</v>
      </c>
      <c r="L781" s="79">
        <v>0</v>
      </c>
      <c r="M781" s="79">
        <v>0</v>
      </c>
      <c r="N781" s="79">
        <v>0</v>
      </c>
      <c r="O781" s="79">
        <v>0</v>
      </c>
      <c r="P781" s="79">
        <v>0</v>
      </c>
      <c r="Q781" s="79">
        <v>62.602800000000002</v>
      </c>
      <c r="R781" s="79">
        <v>0</v>
      </c>
      <c r="S781" s="79">
        <v>0</v>
      </c>
      <c r="T781" s="79">
        <v>0</v>
      </c>
      <c r="U781" s="79">
        <v>0</v>
      </c>
      <c r="V781" s="79">
        <v>0</v>
      </c>
      <c r="W781" s="79">
        <v>0</v>
      </c>
      <c r="X781" s="90">
        <v>0</v>
      </c>
    </row>
    <row r="782" spans="1:24" hidden="1" x14ac:dyDescent="0.25">
      <c r="A782" s="80" t="str">
        <v>GRAN INDUST.</v>
      </c>
      <c r="B782" s="80" t="str">
        <v>Qaliwarma Kiwicha</v>
      </c>
      <c r="C782" s="80" t="str">
        <v>Lima</v>
      </c>
      <c r="D782" s="81">
        <v>46091</v>
      </c>
      <c r="E782" s="79">
        <v>1212.9000000000001</v>
      </c>
      <c r="F782" s="81">
        <v>46088</v>
      </c>
      <c r="G782" s="79" cm="1">
        <f t="array" ref="G782:X782">_xlfn._xlws.FILTER(Formulas!$C$2:$T$201, ISNUMBER(MATCH(Formulas!$B$2:$B$201, B782, 0)),0) * E782</f>
        <v>0</v>
      </c>
      <c r="H782" s="79">
        <v>1140.126</v>
      </c>
      <c r="I782" s="79">
        <v>0</v>
      </c>
      <c r="J782" s="79">
        <v>0</v>
      </c>
      <c r="K782" s="79">
        <v>0</v>
      </c>
      <c r="L782" s="79">
        <v>0</v>
      </c>
      <c r="M782" s="79">
        <v>0</v>
      </c>
      <c r="N782" s="79">
        <v>0</v>
      </c>
      <c r="O782" s="79">
        <v>0</v>
      </c>
      <c r="P782" s="79">
        <v>0</v>
      </c>
      <c r="Q782" s="79">
        <v>72.774000000000001</v>
      </c>
      <c r="R782" s="79">
        <v>0</v>
      </c>
      <c r="S782" s="79">
        <v>0</v>
      </c>
      <c r="T782" s="79">
        <v>0</v>
      </c>
      <c r="U782" s="79">
        <v>0</v>
      </c>
      <c r="V782" s="79">
        <v>0</v>
      </c>
      <c r="W782" s="79">
        <v>0</v>
      </c>
      <c r="X782" s="90">
        <v>0</v>
      </c>
    </row>
    <row r="783" spans="1:24" hidden="1" x14ac:dyDescent="0.25">
      <c r="A783" s="80" t="str">
        <v>GRAN INDUST.</v>
      </c>
      <c r="B783" s="80" t="str">
        <v>Qaliwarma Kiwicha</v>
      </c>
      <c r="C783" s="80" t="str">
        <v>Lima</v>
      </c>
      <c r="D783" s="81">
        <v>46111</v>
      </c>
      <c r="E783" s="79">
        <v>1077.44</v>
      </c>
      <c r="F783" s="81">
        <v>46099</v>
      </c>
      <c r="G783" s="79" cm="1">
        <f t="array" ref="G783:X783">_xlfn._xlws.FILTER(Formulas!$C$2:$T$201, ISNUMBER(MATCH(Formulas!$B$2:$B$201, B783, 0)),0) * E783</f>
        <v>0</v>
      </c>
      <c r="H783" s="79">
        <v>1012.7936</v>
      </c>
      <c r="I783" s="79">
        <v>0</v>
      </c>
      <c r="J783" s="79">
        <v>0</v>
      </c>
      <c r="K783" s="79">
        <v>0</v>
      </c>
      <c r="L783" s="79">
        <v>0</v>
      </c>
      <c r="M783" s="79">
        <v>0</v>
      </c>
      <c r="N783" s="79">
        <v>0</v>
      </c>
      <c r="O783" s="79">
        <v>0</v>
      </c>
      <c r="P783" s="79">
        <v>0</v>
      </c>
      <c r="Q783" s="79">
        <v>64.6464</v>
      </c>
      <c r="R783" s="79">
        <v>0</v>
      </c>
      <c r="S783" s="79">
        <v>0</v>
      </c>
      <c r="T783" s="79">
        <v>0</v>
      </c>
      <c r="U783" s="79">
        <v>0</v>
      </c>
      <c r="V783" s="79">
        <v>0</v>
      </c>
      <c r="W783" s="79">
        <v>0</v>
      </c>
      <c r="X783" s="90">
        <v>0</v>
      </c>
    </row>
    <row r="784" spans="1:24" hidden="1" x14ac:dyDescent="0.25">
      <c r="A784" s="80" t="str">
        <v>GRAN INDUST.</v>
      </c>
      <c r="B784" s="80" t="str">
        <v>Qaliwarma Kiwicha</v>
      </c>
      <c r="C784" s="80" t="str">
        <v>Yurimag</v>
      </c>
      <c r="D784" s="81">
        <v>46111</v>
      </c>
      <c r="E784" s="79">
        <v>1426.3600000000001</v>
      </c>
      <c r="F784" s="81">
        <v>46108</v>
      </c>
      <c r="G784" s="79" cm="1">
        <f t="array" ref="G784:X784">_xlfn._xlws.FILTER(Formulas!$C$2:$T$201, ISNUMBER(MATCH(Formulas!$B$2:$B$201, B784, 0)),0) * E784</f>
        <v>0</v>
      </c>
      <c r="H784" s="79">
        <v>1340.7784000000001</v>
      </c>
      <c r="I784" s="79">
        <v>0</v>
      </c>
      <c r="J784" s="79">
        <v>0</v>
      </c>
      <c r="K784" s="79">
        <v>0</v>
      </c>
      <c r="L784" s="79">
        <v>0</v>
      </c>
      <c r="M784" s="79">
        <v>0</v>
      </c>
      <c r="N784" s="79">
        <v>0</v>
      </c>
      <c r="O784" s="79">
        <v>0</v>
      </c>
      <c r="P784" s="79">
        <v>0</v>
      </c>
      <c r="Q784" s="79">
        <v>85.581600000000009</v>
      </c>
      <c r="R784" s="79">
        <v>0</v>
      </c>
      <c r="S784" s="79">
        <v>0</v>
      </c>
      <c r="T784" s="79">
        <v>0</v>
      </c>
      <c r="U784" s="79">
        <v>0</v>
      </c>
      <c r="V784" s="79">
        <v>0</v>
      </c>
      <c r="W784" s="79">
        <v>0</v>
      </c>
      <c r="X784" s="90">
        <v>0</v>
      </c>
    </row>
    <row r="785" spans="1:24" hidden="1" x14ac:dyDescent="0.25">
      <c r="A785" s="80" t="str">
        <v>GRAN INDUST.</v>
      </c>
      <c r="B785" s="80" t="str">
        <v>Qaliwarma Kiwicha</v>
      </c>
      <c r="C785" s="80" t="str">
        <v>Yurimag</v>
      </c>
      <c r="D785" s="81">
        <v>46139</v>
      </c>
      <c r="E785" s="79">
        <v>1425.32</v>
      </c>
      <c r="F785" s="81">
        <v>46132</v>
      </c>
      <c r="G785" s="79" cm="1">
        <f t="array" ref="G785:X785">_xlfn._xlws.FILTER(Formulas!$C$2:$T$201, ISNUMBER(MATCH(Formulas!$B$2:$B$201, B785, 0)),0) * E785</f>
        <v>0</v>
      </c>
      <c r="H785" s="79">
        <v>1339.8007999999998</v>
      </c>
      <c r="I785" s="79">
        <v>0</v>
      </c>
      <c r="J785" s="79">
        <v>0</v>
      </c>
      <c r="K785" s="79">
        <v>0</v>
      </c>
      <c r="L785" s="79">
        <v>0</v>
      </c>
      <c r="M785" s="79">
        <v>0</v>
      </c>
      <c r="N785" s="79">
        <v>0</v>
      </c>
      <c r="O785" s="79">
        <v>0</v>
      </c>
      <c r="P785" s="79">
        <v>0</v>
      </c>
      <c r="Q785" s="79">
        <v>85.519199999999998</v>
      </c>
      <c r="R785" s="79">
        <v>0</v>
      </c>
      <c r="S785" s="79">
        <v>0</v>
      </c>
      <c r="T785" s="79">
        <v>0</v>
      </c>
      <c r="U785" s="79">
        <v>0</v>
      </c>
      <c r="V785" s="79">
        <v>0</v>
      </c>
      <c r="W785" s="79">
        <v>0</v>
      </c>
      <c r="X785" s="90">
        <v>0</v>
      </c>
    </row>
    <row r="786" spans="1:24" hidden="1" x14ac:dyDescent="0.25">
      <c r="A786" s="80" t="str">
        <v>GRAN INDUST.</v>
      </c>
      <c r="B786" s="80" t="str">
        <v>Qaliwarma Kiwicha</v>
      </c>
      <c r="C786" s="80" t="str">
        <v>Lima</v>
      </c>
      <c r="D786" s="81">
        <v>46139</v>
      </c>
      <c r="E786" s="79">
        <v>1074.8400000000001</v>
      </c>
      <c r="F786" s="81">
        <v>46151</v>
      </c>
      <c r="G786" s="79" cm="1">
        <f t="array" ref="G786:X786">_xlfn._xlws.FILTER(Formulas!$C$2:$T$201, ISNUMBER(MATCH(Formulas!$B$2:$B$201, B786, 0)),0) * E786</f>
        <v>0</v>
      </c>
      <c r="H786" s="79">
        <v>1010.3496000000001</v>
      </c>
      <c r="I786" s="79">
        <v>0</v>
      </c>
      <c r="J786" s="79">
        <v>0</v>
      </c>
      <c r="K786" s="79">
        <v>0</v>
      </c>
      <c r="L786" s="79">
        <v>0</v>
      </c>
      <c r="M786" s="79">
        <v>0</v>
      </c>
      <c r="N786" s="79">
        <v>0</v>
      </c>
      <c r="O786" s="79">
        <v>0</v>
      </c>
      <c r="P786" s="79">
        <v>0</v>
      </c>
      <c r="Q786" s="79">
        <v>64.490400000000008</v>
      </c>
      <c r="R786" s="79">
        <v>0</v>
      </c>
      <c r="S786" s="79">
        <v>0</v>
      </c>
      <c r="T786" s="79">
        <v>0</v>
      </c>
      <c r="U786" s="79">
        <v>0</v>
      </c>
      <c r="V786" s="79">
        <v>0</v>
      </c>
      <c r="W786" s="79">
        <v>0</v>
      </c>
      <c r="X786" s="90">
        <v>0</v>
      </c>
    </row>
    <row r="787" spans="1:24" hidden="1" x14ac:dyDescent="0.25">
      <c r="A787" s="80" t="str">
        <v>BACHOTA</v>
      </c>
      <c r="B787" s="80" t="str">
        <v>Qaliwarma Kiwicha</v>
      </c>
      <c r="C787" s="80" t="str">
        <v>Cajamarca</v>
      </c>
      <c r="D787" s="81">
        <v>46142</v>
      </c>
      <c r="E787" s="79">
        <v>2548</v>
      </c>
      <c r="F787" s="81">
        <v>46136</v>
      </c>
      <c r="G787" s="79" cm="1">
        <f t="array" ref="G787:X787">_xlfn._xlws.FILTER(Formulas!$C$2:$T$201, ISNUMBER(MATCH(Formulas!$B$2:$B$201, B787, 0)),0) * E787</f>
        <v>0</v>
      </c>
      <c r="H787" s="79">
        <v>2395.12</v>
      </c>
      <c r="I787" s="79">
        <v>0</v>
      </c>
      <c r="J787" s="79">
        <v>0</v>
      </c>
      <c r="K787" s="79">
        <v>0</v>
      </c>
      <c r="L787" s="79">
        <v>0</v>
      </c>
      <c r="M787" s="79">
        <v>0</v>
      </c>
      <c r="N787" s="79">
        <v>0</v>
      </c>
      <c r="O787" s="79">
        <v>0</v>
      </c>
      <c r="P787" s="79">
        <v>0</v>
      </c>
      <c r="Q787" s="79">
        <v>152.88</v>
      </c>
      <c r="R787" s="79">
        <v>0</v>
      </c>
      <c r="S787" s="79">
        <v>0</v>
      </c>
      <c r="T787" s="79">
        <v>0</v>
      </c>
      <c r="U787" s="79">
        <v>0</v>
      </c>
      <c r="V787" s="79">
        <v>0</v>
      </c>
      <c r="W787" s="79">
        <v>0</v>
      </c>
      <c r="X787" s="90">
        <v>0</v>
      </c>
    </row>
    <row r="788" spans="1:24" hidden="1" x14ac:dyDescent="0.25">
      <c r="A788" s="80" t="str">
        <v>MEVAK</v>
      </c>
      <c r="B788" s="80" t="str">
        <v>Qaliwarma Kiwicha</v>
      </c>
      <c r="C788" s="80" t="str">
        <v>Cajamarca</v>
      </c>
      <c r="D788" s="81">
        <v>46142</v>
      </c>
      <c r="E788" s="79">
        <v>1729</v>
      </c>
      <c r="F788" s="81">
        <v>46142</v>
      </c>
      <c r="G788" s="79" cm="1">
        <f t="array" ref="G788:X788">_xlfn._xlws.FILTER(Formulas!$C$2:$T$201, ISNUMBER(MATCH(Formulas!$B$2:$B$201, B788, 0)),0) * E788</f>
        <v>0</v>
      </c>
      <c r="H788" s="79">
        <v>1625.26</v>
      </c>
      <c r="I788" s="79">
        <v>0</v>
      </c>
      <c r="J788" s="79">
        <v>0</v>
      </c>
      <c r="K788" s="79">
        <v>0</v>
      </c>
      <c r="L788" s="79">
        <v>0</v>
      </c>
      <c r="M788" s="79">
        <v>0</v>
      </c>
      <c r="N788" s="79">
        <v>0</v>
      </c>
      <c r="O788" s="79">
        <v>0</v>
      </c>
      <c r="P788" s="79">
        <v>0</v>
      </c>
      <c r="Q788" s="79">
        <v>103.74</v>
      </c>
      <c r="R788" s="79">
        <v>0</v>
      </c>
      <c r="S788" s="79">
        <v>0</v>
      </c>
      <c r="T788" s="79">
        <v>0</v>
      </c>
      <c r="U788" s="79">
        <v>0</v>
      </c>
      <c r="V788" s="79">
        <v>0</v>
      </c>
      <c r="W788" s="79">
        <v>0</v>
      </c>
      <c r="X788" s="90">
        <v>0</v>
      </c>
    </row>
    <row r="789" spans="1:24" hidden="1" x14ac:dyDescent="0.25">
      <c r="A789" s="80" t="str">
        <v>GRAN INDUST.</v>
      </c>
      <c r="B789" s="80" t="str">
        <v>Qaliwarma Kiwicha</v>
      </c>
      <c r="C789" s="80" t="str">
        <v>Yurimag</v>
      </c>
      <c r="D789" s="81">
        <v>46175</v>
      </c>
      <c r="E789" s="79">
        <v>1020.76</v>
      </c>
      <c r="F789" s="81">
        <v>46185</v>
      </c>
      <c r="G789" s="79" cm="1">
        <f t="array" ref="G789:X789">_xlfn._xlws.FILTER(Formulas!$C$2:$T$201, ISNUMBER(MATCH(Formulas!$B$2:$B$201, B789, 0)),0) * E789</f>
        <v>0</v>
      </c>
      <c r="H789" s="79">
        <v>959.51439999999991</v>
      </c>
      <c r="I789" s="79">
        <v>0</v>
      </c>
      <c r="J789" s="79">
        <v>0</v>
      </c>
      <c r="K789" s="79">
        <v>0</v>
      </c>
      <c r="L789" s="79">
        <v>0</v>
      </c>
      <c r="M789" s="79">
        <v>0</v>
      </c>
      <c r="N789" s="79">
        <v>0</v>
      </c>
      <c r="O789" s="79">
        <v>0</v>
      </c>
      <c r="P789" s="79">
        <v>0</v>
      </c>
      <c r="Q789" s="79">
        <v>61.245599999999996</v>
      </c>
      <c r="R789" s="79">
        <v>0</v>
      </c>
      <c r="S789" s="79">
        <v>0</v>
      </c>
      <c r="T789" s="79">
        <v>0</v>
      </c>
      <c r="U789" s="79">
        <v>0</v>
      </c>
      <c r="V789" s="79">
        <v>0</v>
      </c>
      <c r="W789" s="79">
        <v>0</v>
      </c>
      <c r="X789" s="90">
        <v>0</v>
      </c>
    </row>
    <row r="790" spans="1:24" hidden="1" x14ac:dyDescent="0.25">
      <c r="A790" s="80" t="str">
        <v>BACHOTA</v>
      </c>
      <c r="B790" s="80" t="str">
        <v>Qaliwarma Kiwicha</v>
      </c>
      <c r="C790" s="80" t="str">
        <v>Cajamarca</v>
      </c>
      <c r="D790" s="81">
        <v>46179</v>
      </c>
      <c r="E790" s="79">
        <v>2457</v>
      </c>
      <c r="F790" s="80">
        <v>46182</v>
      </c>
      <c r="G790" s="79" cm="1">
        <f t="array" ref="G790:X790">_xlfn._xlws.FILTER(Formulas!$C$2:$T$201, ISNUMBER(MATCH(Formulas!$B$2:$B$201, B790, 0)),0) * E790</f>
        <v>0</v>
      </c>
      <c r="H790" s="79">
        <v>2309.58</v>
      </c>
      <c r="I790" s="79">
        <v>0</v>
      </c>
      <c r="J790" s="79">
        <v>0</v>
      </c>
      <c r="K790" s="79">
        <v>0</v>
      </c>
      <c r="L790" s="79">
        <v>0</v>
      </c>
      <c r="M790" s="79">
        <v>0</v>
      </c>
      <c r="N790" s="79">
        <v>0</v>
      </c>
      <c r="O790" s="79">
        <v>0</v>
      </c>
      <c r="P790" s="79">
        <v>0</v>
      </c>
      <c r="Q790" s="79">
        <v>147.41999999999999</v>
      </c>
      <c r="R790" s="79">
        <v>0</v>
      </c>
      <c r="S790" s="79">
        <v>0</v>
      </c>
      <c r="T790" s="79">
        <v>0</v>
      </c>
      <c r="U790" s="79">
        <v>0</v>
      </c>
      <c r="V790" s="79">
        <v>0</v>
      </c>
      <c r="W790" s="79">
        <v>0</v>
      </c>
      <c r="X790" s="90">
        <v>0</v>
      </c>
    </row>
    <row r="791" spans="1:24" hidden="1" x14ac:dyDescent="0.25">
      <c r="A791" s="80" t="str">
        <v>GRAN INDUST.</v>
      </c>
      <c r="B791" s="80" t="str">
        <v>Qaliwarma Kiwicha</v>
      </c>
      <c r="C791" s="80" t="str">
        <v>Lima</v>
      </c>
      <c r="D791" s="81">
        <v>46192</v>
      </c>
      <c r="E791" s="79">
        <v>1169.22</v>
      </c>
      <c r="F791" s="80">
        <v>46185</v>
      </c>
      <c r="G791" s="79" cm="1">
        <f t="array" ref="G791:X791">_xlfn._xlws.FILTER(Formulas!$C$2:$T$201, ISNUMBER(MATCH(Formulas!$B$2:$B$201, B791, 0)),0) * E791</f>
        <v>0</v>
      </c>
      <c r="H791" s="79">
        <v>1099.0668000000001</v>
      </c>
      <c r="I791" s="79">
        <v>0</v>
      </c>
      <c r="J791" s="79">
        <v>0</v>
      </c>
      <c r="K791" s="79">
        <v>0</v>
      </c>
      <c r="L791" s="79">
        <v>0</v>
      </c>
      <c r="M791" s="79">
        <v>0</v>
      </c>
      <c r="N791" s="79">
        <v>0</v>
      </c>
      <c r="O791" s="79">
        <v>0</v>
      </c>
      <c r="P791" s="79">
        <v>0</v>
      </c>
      <c r="Q791" s="79">
        <v>70.153199999999998</v>
      </c>
      <c r="R791" s="79">
        <v>0</v>
      </c>
      <c r="S791" s="79">
        <v>0</v>
      </c>
      <c r="T791" s="79">
        <v>0</v>
      </c>
      <c r="U791" s="79">
        <v>0</v>
      </c>
      <c r="V791" s="79">
        <v>0</v>
      </c>
      <c r="W791" s="79">
        <v>0</v>
      </c>
      <c r="X791" s="90">
        <v>0</v>
      </c>
    </row>
    <row r="792" spans="1:24" hidden="1" x14ac:dyDescent="0.25">
      <c r="A792" s="80" t="str">
        <v>GRAN INDUST.</v>
      </c>
      <c r="B792" s="80" t="str">
        <v>Qaliwarma Kiwicha</v>
      </c>
      <c r="C792" s="80" t="str">
        <v>Yurimag</v>
      </c>
      <c r="D792" s="81">
        <v>46192</v>
      </c>
      <c r="E792" s="79">
        <v>2257.84</v>
      </c>
      <c r="F792" s="80">
        <v>46185</v>
      </c>
      <c r="G792" s="79" cm="1">
        <f t="array" ref="G792:X792">_xlfn._xlws.FILTER(Formulas!$C$2:$T$201, ISNUMBER(MATCH(Formulas!$B$2:$B$201, B792, 0)),0) * E792</f>
        <v>0</v>
      </c>
      <c r="H792" s="79">
        <v>2122.3696</v>
      </c>
      <c r="I792" s="79">
        <v>0</v>
      </c>
      <c r="J792" s="79">
        <v>0</v>
      </c>
      <c r="K792" s="79">
        <v>0</v>
      </c>
      <c r="L792" s="79">
        <v>0</v>
      </c>
      <c r="M792" s="79">
        <v>0</v>
      </c>
      <c r="N792" s="79">
        <v>0</v>
      </c>
      <c r="O792" s="79">
        <v>0</v>
      </c>
      <c r="P792" s="79">
        <v>0</v>
      </c>
      <c r="Q792" s="79">
        <v>135.47040000000001</v>
      </c>
      <c r="R792" s="79">
        <v>0</v>
      </c>
      <c r="S792" s="79">
        <v>0</v>
      </c>
      <c r="T792" s="79">
        <v>0</v>
      </c>
      <c r="U792" s="79">
        <v>0</v>
      </c>
      <c r="V792" s="79">
        <v>0</v>
      </c>
      <c r="W792" s="79">
        <v>0</v>
      </c>
      <c r="X792" s="90">
        <v>0</v>
      </c>
    </row>
    <row r="793" spans="1:24" hidden="1" x14ac:dyDescent="0.25">
      <c r="A793" s="80" t="str">
        <v>BACHOTA</v>
      </c>
      <c r="B793" s="80" t="str">
        <v>Qaliwarma Kiwicha</v>
      </c>
      <c r="C793" s="80" t="str">
        <v>Pizan</v>
      </c>
      <c r="D793" s="81">
        <v>46223</v>
      </c>
      <c r="E793" s="79">
        <v>2340</v>
      </c>
      <c r="F793" s="81">
        <v>46228</v>
      </c>
      <c r="G793" s="79" cm="1">
        <f t="array" ref="G793:X793">_xlfn._xlws.FILTER(Formulas!$C$2:$T$201, ISNUMBER(MATCH(Formulas!$B$2:$B$201, B793, 0)),0) * E793</f>
        <v>0</v>
      </c>
      <c r="H793" s="79">
        <v>2199.6</v>
      </c>
      <c r="I793" s="79">
        <v>0</v>
      </c>
      <c r="J793" s="79">
        <v>0</v>
      </c>
      <c r="K793" s="79">
        <v>0</v>
      </c>
      <c r="L793" s="79">
        <v>0</v>
      </c>
      <c r="M793" s="79">
        <v>0</v>
      </c>
      <c r="N793" s="79">
        <v>0</v>
      </c>
      <c r="O793" s="79">
        <v>0</v>
      </c>
      <c r="P793" s="79">
        <v>0</v>
      </c>
      <c r="Q793" s="79">
        <v>140.4</v>
      </c>
      <c r="R793" s="79">
        <v>0</v>
      </c>
      <c r="S793" s="79">
        <v>0</v>
      </c>
      <c r="T793" s="79">
        <v>0</v>
      </c>
      <c r="U793" s="79">
        <v>0</v>
      </c>
      <c r="V793" s="79">
        <v>0</v>
      </c>
      <c r="W793" s="79">
        <v>0</v>
      </c>
      <c r="X793" s="90">
        <v>0</v>
      </c>
    </row>
    <row r="794" spans="1:24" hidden="1" x14ac:dyDescent="0.25">
      <c r="A794" s="80" t="str">
        <v>GRAN INDUST.</v>
      </c>
      <c r="B794" s="80" t="str">
        <v>Qaliwarma Kiwicha</v>
      </c>
      <c r="C794" s="80" t="str">
        <v>Lima</v>
      </c>
      <c r="D794" s="81">
        <v>46244</v>
      </c>
      <c r="E794" s="79">
        <v>2193.36</v>
      </c>
      <c r="F794" s="81">
        <v>46239</v>
      </c>
      <c r="G794" s="79" cm="1">
        <f t="array" ref="G794:X794">_xlfn._xlws.FILTER(Formulas!$C$2:$T$201, ISNUMBER(MATCH(Formulas!$B$2:$B$201, B794, 0)),0) * E794</f>
        <v>0</v>
      </c>
      <c r="H794" s="79">
        <v>2061.7584000000002</v>
      </c>
      <c r="I794" s="79">
        <v>0</v>
      </c>
      <c r="J794" s="79">
        <v>0</v>
      </c>
      <c r="K794" s="79">
        <v>0</v>
      </c>
      <c r="L794" s="79">
        <v>0</v>
      </c>
      <c r="M794" s="79">
        <v>0</v>
      </c>
      <c r="N794" s="79">
        <v>0</v>
      </c>
      <c r="O794" s="79">
        <v>0</v>
      </c>
      <c r="P794" s="79">
        <v>0</v>
      </c>
      <c r="Q794" s="79">
        <v>131.60159999999999</v>
      </c>
      <c r="R794" s="79">
        <v>0</v>
      </c>
      <c r="S794" s="79">
        <v>0</v>
      </c>
      <c r="T794" s="79">
        <v>0</v>
      </c>
      <c r="U794" s="79">
        <v>0</v>
      </c>
      <c r="V794" s="79">
        <v>0</v>
      </c>
      <c r="W794" s="79">
        <v>0</v>
      </c>
      <c r="X794" s="90">
        <v>0</v>
      </c>
    </row>
    <row r="795" spans="1:24" hidden="1" x14ac:dyDescent="0.25">
      <c r="A795" s="80" t="str">
        <v>GRAN INDUST.</v>
      </c>
      <c r="B795" s="80" t="str">
        <v>Qaliwarma Kiwicha</v>
      </c>
      <c r="C795" s="80" t="str">
        <v>Lima</v>
      </c>
      <c r="D795" s="81">
        <v>46244</v>
      </c>
      <c r="E795" s="79">
        <v>1171.3</v>
      </c>
      <c r="F795" s="81">
        <v>46239</v>
      </c>
      <c r="G795" s="79" cm="1">
        <f t="array" ref="G795:X795">_xlfn._xlws.FILTER(Formulas!$C$2:$T$201, ISNUMBER(MATCH(Formulas!$B$2:$B$201, B795, 0)),0) * E795</f>
        <v>0</v>
      </c>
      <c r="H795" s="79">
        <v>1101.0219999999999</v>
      </c>
      <c r="I795" s="79">
        <v>0</v>
      </c>
      <c r="J795" s="79">
        <v>0</v>
      </c>
      <c r="K795" s="79">
        <v>0</v>
      </c>
      <c r="L795" s="79">
        <v>0</v>
      </c>
      <c r="M795" s="79">
        <v>0</v>
      </c>
      <c r="N795" s="79">
        <v>0</v>
      </c>
      <c r="O795" s="79">
        <v>0</v>
      </c>
      <c r="P795" s="79">
        <v>0</v>
      </c>
      <c r="Q795" s="79">
        <v>70.277999999999992</v>
      </c>
      <c r="R795" s="79">
        <v>0</v>
      </c>
      <c r="S795" s="79">
        <v>0</v>
      </c>
      <c r="T795" s="79">
        <v>0</v>
      </c>
      <c r="U795" s="79">
        <v>0</v>
      </c>
      <c r="V795" s="79">
        <v>0</v>
      </c>
      <c r="W795" s="79">
        <v>0</v>
      </c>
      <c r="X795" s="90">
        <v>0</v>
      </c>
    </row>
    <row r="796" spans="1:24" hidden="1" x14ac:dyDescent="0.25">
      <c r="A796" s="80" t="str">
        <v>GRAN INDUST.</v>
      </c>
      <c r="B796" s="80" t="str">
        <v>Qaliwarma Kiwicha</v>
      </c>
      <c r="C796" s="80" t="str">
        <v>Yurimag</v>
      </c>
      <c r="D796" s="81">
        <v>46295</v>
      </c>
      <c r="E796" s="79">
        <v>2649.14</v>
      </c>
      <c r="F796" s="81">
        <v>0</v>
      </c>
      <c r="G796" s="79" cm="1">
        <f t="array" ref="G796:X796">_xlfn._xlws.FILTER(Formulas!$C$2:$T$201, ISNUMBER(MATCH(Formulas!$B$2:$B$201, B796, 0)),0) * E796</f>
        <v>0</v>
      </c>
      <c r="H796" s="79">
        <v>2490.1915999999997</v>
      </c>
      <c r="I796" s="79">
        <v>0</v>
      </c>
      <c r="J796" s="79">
        <v>0</v>
      </c>
      <c r="K796" s="79">
        <v>0</v>
      </c>
      <c r="L796" s="79">
        <v>0</v>
      </c>
      <c r="M796" s="79">
        <v>0</v>
      </c>
      <c r="N796" s="79">
        <v>0</v>
      </c>
      <c r="O796" s="79">
        <v>0</v>
      </c>
      <c r="P796" s="79">
        <v>0</v>
      </c>
      <c r="Q796" s="79">
        <v>158.94839999999999</v>
      </c>
      <c r="R796" s="79">
        <v>0</v>
      </c>
      <c r="S796" s="79">
        <v>0</v>
      </c>
      <c r="T796" s="79">
        <v>0</v>
      </c>
      <c r="U796" s="79">
        <v>0</v>
      </c>
      <c r="V796" s="79">
        <v>0</v>
      </c>
      <c r="W796" s="79">
        <v>0</v>
      </c>
      <c r="X796" s="90">
        <v>0</v>
      </c>
    </row>
    <row r="797" spans="1:24" hidden="1" x14ac:dyDescent="0.25">
      <c r="A797" s="80" t="str">
        <v>GRAN INDUST.</v>
      </c>
      <c r="B797" s="80" t="str">
        <v>Qaliwarma Kiwicha</v>
      </c>
      <c r="C797" s="80" t="str">
        <v>Pucalpa</v>
      </c>
      <c r="D797" s="81">
        <v>46295</v>
      </c>
      <c r="E797" s="79">
        <v>1194.96</v>
      </c>
      <c r="F797" s="81">
        <v>0</v>
      </c>
      <c r="G797" s="79" cm="1">
        <f t="array" ref="G797:X797">_xlfn._xlws.FILTER(Formulas!$C$2:$T$201, ISNUMBER(MATCH(Formulas!$B$2:$B$201, B797, 0)),0) * E797</f>
        <v>0</v>
      </c>
      <c r="H797" s="79">
        <v>1123.2624000000001</v>
      </c>
      <c r="I797" s="79">
        <v>0</v>
      </c>
      <c r="J797" s="79">
        <v>0</v>
      </c>
      <c r="K797" s="79">
        <v>0</v>
      </c>
      <c r="L797" s="79">
        <v>0</v>
      </c>
      <c r="M797" s="79">
        <v>0</v>
      </c>
      <c r="N797" s="79">
        <v>0</v>
      </c>
      <c r="O797" s="79">
        <v>0</v>
      </c>
      <c r="P797" s="79">
        <v>0</v>
      </c>
      <c r="Q797" s="79">
        <v>71.697599999999994</v>
      </c>
      <c r="R797" s="79">
        <v>0</v>
      </c>
      <c r="S797" s="79">
        <v>0</v>
      </c>
      <c r="T797" s="79">
        <v>0</v>
      </c>
      <c r="U797" s="79">
        <v>0</v>
      </c>
      <c r="V797" s="79">
        <v>0</v>
      </c>
      <c r="W797" s="79">
        <v>0</v>
      </c>
      <c r="X797" s="90">
        <v>0</v>
      </c>
    </row>
    <row r="798" spans="1:24" hidden="1" x14ac:dyDescent="0.25">
      <c r="A798" s="80" t="str">
        <v>BACHOTA</v>
      </c>
      <c r="B798" s="80" t="str">
        <v>Qaliwarma Kiwicha</v>
      </c>
      <c r="C798" s="80" t="str">
        <v>Cajamarca</v>
      </c>
      <c r="D798" s="81">
        <v>46295</v>
      </c>
      <c r="E798" s="79">
        <v>1019.2</v>
      </c>
      <c r="F798" s="81">
        <v>0</v>
      </c>
      <c r="G798" s="79" cm="1">
        <f t="array" ref="G798:X798">_xlfn._xlws.FILTER(Formulas!$C$2:$T$201, ISNUMBER(MATCH(Formulas!$B$2:$B$201, B798, 0)),0) * E798</f>
        <v>0</v>
      </c>
      <c r="H798" s="79">
        <v>958.048</v>
      </c>
      <c r="I798" s="79">
        <v>0</v>
      </c>
      <c r="J798" s="79">
        <v>0</v>
      </c>
      <c r="K798" s="79">
        <v>0</v>
      </c>
      <c r="L798" s="79">
        <v>0</v>
      </c>
      <c r="M798" s="79">
        <v>0</v>
      </c>
      <c r="N798" s="79">
        <v>0</v>
      </c>
      <c r="O798" s="79">
        <v>0</v>
      </c>
      <c r="P798" s="79">
        <v>0</v>
      </c>
      <c r="Q798" s="79">
        <v>61.152000000000001</v>
      </c>
      <c r="R798" s="79">
        <v>0</v>
      </c>
      <c r="S798" s="79">
        <v>0</v>
      </c>
      <c r="T798" s="79">
        <v>0</v>
      </c>
      <c r="U798" s="79">
        <v>0</v>
      </c>
      <c r="V798" s="79">
        <v>0</v>
      </c>
      <c r="W798" s="79">
        <v>0</v>
      </c>
      <c r="X798" s="90">
        <v>0</v>
      </c>
    </row>
    <row r="799" spans="1:24" hidden="1" x14ac:dyDescent="0.25">
      <c r="A799" s="80" t="str">
        <v>MEVAK</v>
      </c>
      <c r="B799" s="80" t="str">
        <v>Qaliwarma Quinua</v>
      </c>
      <c r="C799" s="80" t="str">
        <v>Cajamarca</v>
      </c>
      <c r="D799" s="81">
        <v>46042</v>
      </c>
      <c r="E799" s="79">
        <v>3239.6</v>
      </c>
      <c r="F799" s="81">
        <v>46041</v>
      </c>
      <c r="G799" s="79" cm="1">
        <f t="array" ref="G799:X799">_xlfn._xlws.FILTER(Formulas!$C$2:$T$201, ISNUMBER(MATCH(Formulas!$B$2:$B$201, B799, 0)),0) * E799</f>
        <v>0</v>
      </c>
      <c r="H799" s="79">
        <v>3045.2239999999997</v>
      </c>
      <c r="I799" s="79">
        <v>0</v>
      </c>
      <c r="J799" s="79">
        <v>0</v>
      </c>
      <c r="K799" s="79">
        <v>0</v>
      </c>
      <c r="L799" s="79">
        <v>0</v>
      </c>
      <c r="M799" s="79">
        <v>0</v>
      </c>
      <c r="N799" s="79">
        <v>0</v>
      </c>
      <c r="O799" s="79">
        <v>0</v>
      </c>
      <c r="P799" s="79">
        <v>194.37599999999998</v>
      </c>
      <c r="Q799" s="79">
        <v>0</v>
      </c>
      <c r="R799" s="79">
        <v>0</v>
      </c>
      <c r="S799" s="79">
        <v>0</v>
      </c>
      <c r="T799" s="79">
        <v>0</v>
      </c>
      <c r="U799" s="79">
        <v>0</v>
      </c>
      <c r="V799" s="79">
        <v>0</v>
      </c>
      <c r="W799" s="79">
        <v>0</v>
      </c>
      <c r="X799" s="90">
        <v>0</v>
      </c>
    </row>
    <row r="800" spans="1:24" hidden="1" x14ac:dyDescent="0.25">
      <c r="A800" s="80" t="str">
        <v>BACHOTA</v>
      </c>
      <c r="B800" s="80" t="str">
        <v>Qaliwarma Quinua</v>
      </c>
      <c r="C800" s="80" t="str">
        <v>Cajamarca</v>
      </c>
      <c r="D800" s="81">
        <v>46052</v>
      </c>
      <c r="E800" s="79">
        <v>2574</v>
      </c>
      <c r="F800" s="81">
        <v>46046</v>
      </c>
      <c r="G800" s="79" cm="1">
        <f t="array" ref="G800:X800">_xlfn._xlws.FILTER(Formulas!$C$2:$T$201, ISNUMBER(MATCH(Formulas!$B$2:$B$201, B800, 0)),0) * E800</f>
        <v>0</v>
      </c>
      <c r="H800" s="79">
        <v>2419.56</v>
      </c>
      <c r="I800" s="79">
        <v>0</v>
      </c>
      <c r="J800" s="79">
        <v>0</v>
      </c>
      <c r="K800" s="79">
        <v>0</v>
      </c>
      <c r="L800" s="79">
        <v>0</v>
      </c>
      <c r="M800" s="79">
        <v>0</v>
      </c>
      <c r="N800" s="79">
        <v>0</v>
      </c>
      <c r="O800" s="79">
        <v>0</v>
      </c>
      <c r="P800" s="79">
        <v>154.44</v>
      </c>
      <c r="Q800" s="79">
        <v>0</v>
      </c>
      <c r="R800" s="79">
        <v>0</v>
      </c>
      <c r="S800" s="79">
        <v>0</v>
      </c>
      <c r="T800" s="79">
        <v>0</v>
      </c>
      <c r="U800" s="79">
        <v>0</v>
      </c>
      <c r="V800" s="79">
        <v>0</v>
      </c>
      <c r="W800" s="79">
        <v>0</v>
      </c>
      <c r="X800" s="90">
        <v>0</v>
      </c>
    </row>
    <row r="801" spans="1:24" hidden="1" x14ac:dyDescent="0.25">
      <c r="A801" s="80" t="str">
        <v>MOVA</v>
      </c>
      <c r="B801" s="80" t="str">
        <v>Qaliwarma Quinua</v>
      </c>
      <c r="C801" s="80" t="str">
        <v>Chimbote</v>
      </c>
      <c r="D801" s="81">
        <v>46068</v>
      </c>
      <c r="E801" s="79">
        <v>312</v>
      </c>
      <c r="F801" s="81">
        <v>46067</v>
      </c>
      <c r="G801" s="79" cm="1">
        <f t="array" ref="G801:X801">_xlfn._xlws.FILTER(Formulas!$C$2:$T$201, ISNUMBER(MATCH(Formulas!$B$2:$B$201, B801, 0)),0) * E801</f>
        <v>0</v>
      </c>
      <c r="H801" s="79">
        <v>293.27999999999997</v>
      </c>
      <c r="I801" s="79">
        <v>0</v>
      </c>
      <c r="J801" s="79">
        <v>0</v>
      </c>
      <c r="K801" s="79">
        <v>0</v>
      </c>
      <c r="L801" s="79">
        <v>0</v>
      </c>
      <c r="M801" s="79">
        <v>0</v>
      </c>
      <c r="N801" s="79">
        <v>0</v>
      </c>
      <c r="O801" s="79">
        <v>0</v>
      </c>
      <c r="P801" s="79">
        <v>18.72</v>
      </c>
      <c r="Q801" s="79">
        <v>0</v>
      </c>
      <c r="R801" s="79">
        <v>0</v>
      </c>
      <c r="S801" s="79">
        <v>0</v>
      </c>
      <c r="T801" s="79">
        <v>0</v>
      </c>
      <c r="U801" s="79">
        <v>0</v>
      </c>
      <c r="V801" s="79">
        <v>0</v>
      </c>
      <c r="W801" s="79">
        <v>0</v>
      </c>
      <c r="X801" s="90">
        <v>0</v>
      </c>
    </row>
    <row r="802" spans="1:24" hidden="1" x14ac:dyDescent="0.25">
      <c r="A802" s="80" t="str">
        <v>MOVA</v>
      </c>
      <c r="B802" s="80" t="str">
        <v>Qaliwarma Quinua</v>
      </c>
      <c r="C802" s="80" t="str">
        <v>Chota</v>
      </c>
      <c r="D802" s="81">
        <v>46068</v>
      </c>
      <c r="E802" s="79">
        <v>3250</v>
      </c>
      <c r="F802" s="81">
        <v>46067</v>
      </c>
      <c r="G802" s="79" cm="1">
        <f t="array" ref="G802:X802">_xlfn._xlws.FILTER(Formulas!$C$2:$T$201, ISNUMBER(MATCH(Formulas!$B$2:$B$201, B802, 0)),0) * E802</f>
        <v>0</v>
      </c>
      <c r="H802" s="79">
        <v>3055</v>
      </c>
      <c r="I802" s="79">
        <v>0</v>
      </c>
      <c r="J802" s="79">
        <v>0</v>
      </c>
      <c r="K802" s="79">
        <v>0</v>
      </c>
      <c r="L802" s="79">
        <v>0</v>
      </c>
      <c r="M802" s="79">
        <v>0</v>
      </c>
      <c r="N802" s="79">
        <v>0</v>
      </c>
      <c r="O802" s="79">
        <v>0</v>
      </c>
      <c r="P802" s="79">
        <v>195</v>
      </c>
      <c r="Q802" s="79">
        <v>0</v>
      </c>
      <c r="R802" s="79">
        <v>0</v>
      </c>
      <c r="S802" s="79">
        <v>0</v>
      </c>
      <c r="T802" s="79">
        <v>0</v>
      </c>
      <c r="U802" s="79">
        <v>0</v>
      </c>
      <c r="V802" s="79">
        <v>0</v>
      </c>
      <c r="W802" s="79">
        <v>0</v>
      </c>
      <c r="X802" s="90">
        <v>0</v>
      </c>
    </row>
    <row r="803" spans="1:24" hidden="1" x14ac:dyDescent="0.25">
      <c r="A803" s="80" t="str">
        <v>MOVA</v>
      </c>
      <c r="B803" s="80" t="str">
        <v>Qaliwarma Quinua</v>
      </c>
      <c r="C803" s="80" t="str">
        <v>Huaraz</v>
      </c>
      <c r="D803" s="81">
        <v>46068</v>
      </c>
      <c r="E803" s="79">
        <v>299</v>
      </c>
      <c r="F803" s="81">
        <v>46067</v>
      </c>
      <c r="G803" s="79" cm="1">
        <f t="array" ref="G803:X803">_xlfn._xlws.FILTER(Formulas!$C$2:$T$201, ISNUMBER(MATCH(Formulas!$B$2:$B$201, B803, 0)),0) * E803</f>
        <v>0</v>
      </c>
      <c r="H803" s="79">
        <v>281.06</v>
      </c>
      <c r="I803" s="79">
        <v>0</v>
      </c>
      <c r="J803" s="79">
        <v>0</v>
      </c>
      <c r="K803" s="79">
        <v>0</v>
      </c>
      <c r="L803" s="79">
        <v>0</v>
      </c>
      <c r="M803" s="79">
        <v>0</v>
      </c>
      <c r="N803" s="79">
        <v>0</v>
      </c>
      <c r="O803" s="79">
        <v>0</v>
      </c>
      <c r="P803" s="79">
        <v>17.939999999999998</v>
      </c>
      <c r="Q803" s="79">
        <v>0</v>
      </c>
      <c r="R803" s="79">
        <v>0</v>
      </c>
      <c r="S803" s="79">
        <v>0</v>
      </c>
      <c r="T803" s="79">
        <v>0</v>
      </c>
      <c r="U803" s="79">
        <v>0</v>
      </c>
      <c r="V803" s="79">
        <v>0</v>
      </c>
      <c r="W803" s="79">
        <v>0</v>
      </c>
      <c r="X803" s="90">
        <v>0</v>
      </c>
    </row>
    <row r="804" spans="1:24" hidden="1" x14ac:dyDescent="0.25">
      <c r="A804" s="80" t="str">
        <v>MEVAK</v>
      </c>
      <c r="B804" s="80" t="str">
        <v>Qaliwarma Quinua</v>
      </c>
      <c r="C804" s="80" t="str">
        <v>Cajamarca</v>
      </c>
      <c r="D804" s="81">
        <v>46068</v>
      </c>
      <c r="E804" s="79">
        <v>208</v>
      </c>
      <c r="F804" s="81">
        <v>46067</v>
      </c>
      <c r="G804" s="79" cm="1">
        <f t="array" ref="G804:X804">_xlfn._xlws.FILTER(Formulas!$C$2:$T$201, ISNUMBER(MATCH(Formulas!$B$2:$B$201, B804, 0)),0) * E804</f>
        <v>0</v>
      </c>
      <c r="H804" s="79">
        <v>195.51999999999998</v>
      </c>
      <c r="I804" s="79">
        <v>0</v>
      </c>
      <c r="J804" s="79">
        <v>0</v>
      </c>
      <c r="K804" s="79">
        <v>0</v>
      </c>
      <c r="L804" s="79">
        <v>0</v>
      </c>
      <c r="M804" s="79">
        <v>0</v>
      </c>
      <c r="N804" s="79">
        <v>0</v>
      </c>
      <c r="O804" s="79">
        <v>0</v>
      </c>
      <c r="P804" s="79">
        <v>12.48</v>
      </c>
      <c r="Q804" s="79">
        <v>0</v>
      </c>
      <c r="R804" s="79">
        <v>0</v>
      </c>
      <c r="S804" s="79">
        <v>0</v>
      </c>
      <c r="T804" s="79">
        <v>0</v>
      </c>
      <c r="U804" s="79">
        <v>0</v>
      </c>
      <c r="V804" s="79">
        <v>0</v>
      </c>
      <c r="W804" s="79">
        <v>0</v>
      </c>
      <c r="X804" s="90">
        <v>0</v>
      </c>
    </row>
    <row r="805" spans="1:24" hidden="1" x14ac:dyDescent="0.25">
      <c r="A805" s="80" t="str">
        <v>GRAN INDUST.</v>
      </c>
      <c r="B805" s="80" t="str">
        <v>Qaliwarma Quinua</v>
      </c>
      <c r="C805" s="80" t="str">
        <v>Lima</v>
      </c>
      <c r="D805" s="81">
        <v>46111</v>
      </c>
      <c r="E805" s="79">
        <v>1077.44</v>
      </c>
      <c r="F805" s="81">
        <v>46099</v>
      </c>
      <c r="G805" s="79" cm="1">
        <f t="array" ref="G805:X805">_xlfn._xlws.FILTER(Formulas!$C$2:$T$201, ISNUMBER(MATCH(Formulas!$B$2:$B$201, B805, 0)),0) * E805</f>
        <v>0</v>
      </c>
      <c r="H805" s="79">
        <v>1012.7936</v>
      </c>
      <c r="I805" s="79">
        <v>0</v>
      </c>
      <c r="J805" s="79">
        <v>0</v>
      </c>
      <c r="K805" s="79">
        <v>0</v>
      </c>
      <c r="L805" s="79">
        <v>0</v>
      </c>
      <c r="M805" s="79">
        <v>0</v>
      </c>
      <c r="N805" s="79">
        <v>0</v>
      </c>
      <c r="O805" s="79">
        <v>0</v>
      </c>
      <c r="P805" s="79">
        <v>64.6464</v>
      </c>
      <c r="Q805" s="79">
        <v>0</v>
      </c>
      <c r="R805" s="79">
        <v>0</v>
      </c>
      <c r="S805" s="79">
        <v>0</v>
      </c>
      <c r="T805" s="79">
        <v>0</v>
      </c>
      <c r="U805" s="79">
        <v>0</v>
      </c>
      <c r="V805" s="79">
        <v>0</v>
      </c>
      <c r="W805" s="79">
        <v>0</v>
      </c>
      <c r="X805" s="90">
        <v>0</v>
      </c>
    </row>
    <row r="806" spans="1:24" hidden="1" x14ac:dyDescent="0.25">
      <c r="A806" s="80" t="str">
        <v>GRAN INDUST.</v>
      </c>
      <c r="B806" s="80" t="str">
        <v>Qaliwarma Quinua</v>
      </c>
      <c r="C806" s="80" t="str">
        <v>Yurimag</v>
      </c>
      <c r="D806" s="81">
        <v>46111</v>
      </c>
      <c r="E806" s="79">
        <v>3764.02</v>
      </c>
      <c r="F806" s="81">
        <v>46108</v>
      </c>
      <c r="G806" s="79" cm="1">
        <f t="array" ref="G806:X806">_xlfn._xlws.FILTER(Formulas!$C$2:$T$201, ISNUMBER(MATCH(Formulas!$B$2:$B$201, B806, 0)),0) * E806</f>
        <v>0</v>
      </c>
      <c r="H806" s="79">
        <v>3538.1787999999997</v>
      </c>
      <c r="I806" s="79">
        <v>0</v>
      </c>
      <c r="J806" s="79">
        <v>0</v>
      </c>
      <c r="K806" s="79">
        <v>0</v>
      </c>
      <c r="L806" s="79">
        <v>0</v>
      </c>
      <c r="M806" s="79">
        <v>0</v>
      </c>
      <c r="N806" s="79">
        <v>0</v>
      </c>
      <c r="O806" s="79">
        <v>0</v>
      </c>
      <c r="P806" s="79">
        <v>225.84119999999999</v>
      </c>
      <c r="Q806" s="79">
        <v>0</v>
      </c>
      <c r="R806" s="79">
        <v>0</v>
      </c>
      <c r="S806" s="79">
        <v>0</v>
      </c>
      <c r="T806" s="79">
        <v>0</v>
      </c>
      <c r="U806" s="79">
        <v>0</v>
      </c>
      <c r="V806" s="79">
        <v>0</v>
      </c>
      <c r="W806" s="79">
        <v>0</v>
      </c>
      <c r="X806" s="90">
        <v>0</v>
      </c>
    </row>
    <row r="807" spans="1:24" hidden="1" x14ac:dyDescent="0.25">
      <c r="A807" s="80" t="str">
        <v>GRAN INDUST.</v>
      </c>
      <c r="B807" s="80" t="str">
        <v>Qaliwarma Quinua</v>
      </c>
      <c r="C807" s="80" t="str">
        <v>Yurimag</v>
      </c>
      <c r="D807" s="81">
        <v>46139</v>
      </c>
      <c r="E807" s="79">
        <v>3764.02</v>
      </c>
      <c r="F807" s="81">
        <v>46132</v>
      </c>
      <c r="G807" s="79" cm="1">
        <f t="array" ref="G807:X807">_xlfn._xlws.FILTER(Formulas!$C$2:$T$201, ISNUMBER(MATCH(Formulas!$B$2:$B$201, B807, 0)),0) * E807</f>
        <v>0</v>
      </c>
      <c r="H807" s="79">
        <v>3538.1787999999997</v>
      </c>
      <c r="I807" s="79">
        <v>0</v>
      </c>
      <c r="J807" s="79">
        <v>0</v>
      </c>
      <c r="K807" s="79">
        <v>0</v>
      </c>
      <c r="L807" s="79">
        <v>0</v>
      </c>
      <c r="M807" s="79">
        <v>0</v>
      </c>
      <c r="N807" s="79">
        <v>0</v>
      </c>
      <c r="O807" s="79">
        <v>0</v>
      </c>
      <c r="P807" s="79">
        <v>225.84119999999999</v>
      </c>
      <c r="Q807" s="79">
        <v>0</v>
      </c>
      <c r="R807" s="79">
        <v>0</v>
      </c>
      <c r="S807" s="79">
        <v>0</v>
      </c>
      <c r="T807" s="79">
        <v>0</v>
      </c>
      <c r="U807" s="79">
        <v>0</v>
      </c>
      <c r="V807" s="79">
        <v>0</v>
      </c>
      <c r="W807" s="79">
        <v>0</v>
      </c>
      <c r="X807" s="90">
        <v>0</v>
      </c>
    </row>
    <row r="808" spans="1:24" hidden="1" x14ac:dyDescent="0.25">
      <c r="A808" s="80" t="str">
        <v>GRAN INDUST.</v>
      </c>
      <c r="B808" s="80" t="str">
        <v>Qaliwarma Quinua</v>
      </c>
      <c r="C808" s="80" t="str">
        <v>Lima</v>
      </c>
      <c r="D808" s="81">
        <v>46139</v>
      </c>
      <c r="E808" s="79">
        <v>1077.44</v>
      </c>
      <c r="F808" s="81">
        <v>46151</v>
      </c>
      <c r="G808" s="79" cm="1">
        <f t="array" ref="G808:X808">_xlfn._xlws.FILTER(Formulas!$C$2:$T$201, ISNUMBER(MATCH(Formulas!$B$2:$B$201, B808, 0)),0) * E808</f>
        <v>0</v>
      </c>
      <c r="H808" s="79">
        <v>1012.7936</v>
      </c>
      <c r="I808" s="79">
        <v>0</v>
      </c>
      <c r="J808" s="79">
        <v>0</v>
      </c>
      <c r="K808" s="79">
        <v>0</v>
      </c>
      <c r="L808" s="79">
        <v>0</v>
      </c>
      <c r="M808" s="79">
        <v>0</v>
      </c>
      <c r="N808" s="79">
        <v>0</v>
      </c>
      <c r="O808" s="79">
        <v>0</v>
      </c>
      <c r="P808" s="79">
        <v>64.6464</v>
      </c>
      <c r="Q808" s="79">
        <v>0</v>
      </c>
      <c r="R808" s="79">
        <v>0</v>
      </c>
      <c r="S808" s="79">
        <v>0</v>
      </c>
      <c r="T808" s="79">
        <v>0</v>
      </c>
      <c r="U808" s="79">
        <v>0</v>
      </c>
      <c r="V808" s="79">
        <v>0</v>
      </c>
      <c r="W808" s="79">
        <v>0</v>
      </c>
      <c r="X808" s="90">
        <v>0</v>
      </c>
    </row>
    <row r="809" spans="1:24" hidden="1" x14ac:dyDescent="0.25">
      <c r="A809" s="80" t="str">
        <v>BACHOTA</v>
      </c>
      <c r="B809" s="80" t="str">
        <v>Qaliwarma Quinua</v>
      </c>
      <c r="C809" s="80" t="str">
        <v>Cajamarca</v>
      </c>
      <c r="D809" s="81">
        <v>46142</v>
      </c>
      <c r="E809" s="79">
        <v>2548</v>
      </c>
      <c r="F809" s="81">
        <v>46136</v>
      </c>
      <c r="G809" s="79" cm="1">
        <f t="array" ref="G809:X809">_xlfn._xlws.FILTER(Formulas!$C$2:$T$201, ISNUMBER(MATCH(Formulas!$B$2:$B$201, B809, 0)),0) * E809</f>
        <v>0</v>
      </c>
      <c r="H809" s="79">
        <v>2395.12</v>
      </c>
      <c r="I809" s="79">
        <v>0</v>
      </c>
      <c r="J809" s="79">
        <v>0</v>
      </c>
      <c r="K809" s="79">
        <v>0</v>
      </c>
      <c r="L809" s="79">
        <v>0</v>
      </c>
      <c r="M809" s="79">
        <v>0</v>
      </c>
      <c r="N809" s="79">
        <v>0</v>
      </c>
      <c r="O809" s="79">
        <v>0</v>
      </c>
      <c r="P809" s="79">
        <v>152.88</v>
      </c>
      <c r="Q809" s="79">
        <v>0</v>
      </c>
      <c r="R809" s="79">
        <v>0</v>
      </c>
      <c r="S809" s="79">
        <v>0</v>
      </c>
      <c r="T809" s="79">
        <v>0</v>
      </c>
      <c r="U809" s="79">
        <v>0</v>
      </c>
      <c r="V809" s="79">
        <v>0</v>
      </c>
      <c r="W809" s="79">
        <v>0</v>
      </c>
      <c r="X809" s="90">
        <v>0</v>
      </c>
    </row>
    <row r="810" spans="1:24" hidden="1" x14ac:dyDescent="0.25">
      <c r="A810" s="80" t="str">
        <v>MEVAK</v>
      </c>
      <c r="B810" s="80" t="str">
        <v>Qaliwarma Quinua</v>
      </c>
      <c r="C810" s="80" t="str">
        <v>Cajamarca</v>
      </c>
      <c r="D810" s="81">
        <v>46142</v>
      </c>
      <c r="E810" s="79">
        <v>1729</v>
      </c>
      <c r="F810" s="81">
        <v>46142</v>
      </c>
      <c r="G810" s="79" cm="1">
        <f t="array" ref="G810:X810">_xlfn._xlws.FILTER(Formulas!$C$2:$T$201, ISNUMBER(MATCH(Formulas!$B$2:$B$201, B810, 0)),0) * E810</f>
        <v>0</v>
      </c>
      <c r="H810" s="79">
        <v>1625.26</v>
      </c>
      <c r="I810" s="79">
        <v>0</v>
      </c>
      <c r="J810" s="79">
        <v>0</v>
      </c>
      <c r="K810" s="79">
        <v>0</v>
      </c>
      <c r="L810" s="79">
        <v>0</v>
      </c>
      <c r="M810" s="79">
        <v>0</v>
      </c>
      <c r="N810" s="79">
        <v>0</v>
      </c>
      <c r="O810" s="79">
        <v>0</v>
      </c>
      <c r="P810" s="79">
        <v>103.74</v>
      </c>
      <c r="Q810" s="79">
        <v>0</v>
      </c>
      <c r="R810" s="79">
        <v>0</v>
      </c>
      <c r="S810" s="79">
        <v>0</v>
      </c>
      <c r="T810" s="79">
        <v>0</v>
      </c>
      <c r="U810" s="79">
        <v>0</v>
      </c>
      <c r="V810" s="79">
        <v>0</v>
      </c>
      <c r="W810" s="79">
        <v>0</v>
      </c>
      <c r="X810" s="90">
        <v>0</v>
      </c>
    </row>
    <row r="811" spans="1:24" hidden="1" x14ac:dyDescent="0.25">
      <c r="A811" s="80" t="str">
        <v>BACHOTA</v>
      </c>
      <c r="B811" s="80" t="str">
        <v>Qaliwarma Quinua</v>
      </c>
      <c r="C811" s="80" t="str">
        <v>Cajamarca</v>
      </c>
      <c r="D811" s="81">
        <v>46179</v>
      </c>
      <c r="E811" s="79">
        <v>2457</v>
      </c>
      <c r="F811" s="80">
        <v>46182</v>
      </c>
      <c r="G811" s="79" cm="1">
        <f t="array" ref="G811:X811">_xlfn._xlws.FILTER(Formulas!$C$2:$T$201, ISNUMBER(MATCH(Formulas!$B$2:$B$201, B811, 0)),0) * E811</f>
        <v>0</v>
      </c>
      <c r="H811" s="79">
        <v>2309.58</v>
      </c>
      <c r="I811" s="79">
        <v>0</v>
      </c>
      <c r="J811" s="79">
        <v>0</v>
      </c>
      <c r="K811" s="79">
        <v>0</v>
      </c>
      <c r="L811" s="79">
        <v>0</v>
      </c>
      <c r="M811" s="79">
        <v>0</v>
      </c>
      <c r="N811" s="79">
        <v>0</v>
      </c>
      <c r="O811" s="79">
        <v>0</v>
      </c>
      <c r="P811" s="79">
        <v>147.41999999999999</v>
      </c>
      <c r="Q811" s="79">
        <v>0</v>
      </c>
      <c r="R811" s="79">
        <v>0</v>
      </c>
      <c r="S811" s="79">
        <v>0</v>
      </c>
      <c r="T811" s="79">
        <v>0</v>
      </c>
      <c r="U811" s="79">
        <v>0</v>
      </c>
      <c r="V811" s="79">
        <v>0</v>
      </c>
      <c r="W811" s="79">
        <v>0</v>
      </c>
      <c r="X811" s="90">
        <v>0</v>
      </c>
    </row>
    <row r="812" spans="1:24" hidden="1" x14ac:dyDescent="0.25">
      <c r="A812" s="80" t="str">
        <v>GRAN INDUST.</v>
      </c>
      <c r="B812" s="80" t="str">
        <v>Qaliwarma Quinua</v>
      </c>
      <c r="C812" s="80" t="str">
        <v>Lima</v>
      </c>
      <c r="D812" s="81">
        <v>46192</v>
      </c>
      <c r="E812" s="79">
        <v>1113.32</v>
      </c>
      <c r="F812" s="80">
        <v>46185</v>
      </c>
      <c r="G812" s="79" cm="1">
        <f t="array" ref="G812:X812">_xlfn._xlws.FILTER(Formulas!$C$2:$T$201, ISNUMBER(MATCH(Formulas!$B$2:$B$201, B812, 0)),0) * E812</f>
        <v>0</v>
      </c>
      <c r="H812" s="79">
        <v>1046.5207999999998</v>
      </c>
      <c r="I812" s="79">
        <v>0</v>
      </c>
      <c r="J812" s="79">
        <v>0</v>
      </c>
      <c r="K812" s="79">
        <v>0</v>
      </c>
      <c r="L812" s="79">
        <v>0</v>
      </c>
      <c r="M812" s="79">
        <v>0</v>
      </c>
      <c r="N812" s="79">
        <v>0</v>
      </c>
      <c r="O812" s="79">
        <v>0</v>
      </c>
      <c r="P812" s="79">
        <v>66.799199999999999</v>
      </c>
      <c r="Q812" s="79">
        <v>0</v>
      </c>
      <c r="R812" s="79">
        <v>0</v>
      </c>
      <c r="S812" s="79">
        <v>0</v>
      </c>
      <c r="T812" s="79">
        <v>0</v>
      </c>
      <c r="U812" s="79">
        <v>0</v>
      </c>
      <c r="V812" s="79">
        <v>0</v>
      </c>
      <c r="W812" s="79">
        <v>0</v>
      </c>
      <c r="X812" s="90">
        <v>0</v>
      </c>
    </row>
    <row r="813" spans="1:24" hidden="1" x14ac:dyDescent="0.25">
      <c r="A813" s="80" t="str">
        <v>GRAN INDUST.</v>
      </c>
      <c r="B813" s="80" t="str">
        <v>Qaliwarma Quinua</v>
      </c>
      <c r="C813" s="80" t="str">
        <v>Yurimag</v>
      </c>
      <c r="D813" s="81">
        <v>46192</v>
      </c>
      <c r="E813" s="79">
        <v>2628.34</v>
      </c>
      <c r="F813" s="81">
        <v>46185</v>
      </c>
      <c r="G813" s="79" cm="1">
        <f t="array" ref="G813:X813">_xlfn._xlws.FILTER(Formulas!$C$2:$T$201, ISNUMBER(MATCH(Formulas!$B$2:$B$201, B813, 0)),0) * E813</f>
        <v>0</v>
      </c>
      <c r="H813" s="79">
        <v>2470.6396</v>
      </c>
      <c r="I813" s="79">
        <v>0</v>
      </c>
      <c r="J813" s="79">
        <v>0</v>
      </c>
      <c r="K813" s="79">
        <v>0</v>
      </c>
      <c r="L813" s="79">
        <v>0</v>
      </c>
      <c r="M813" s="79">
        <v>0</v>
      </c>
      <c r="N813" s="79">
        <v>0</v>
      </c>
      <c r="O813" s="79">
        <v>0</v>
      </c>
      <c r="P813" s="79">
        <v>157.7004</v>
      </c>
      <c r="Q813" s="79">
        <v>0</v>
      </c>
      <c r="R813" s="79">
        <v>0</v>
      </c>
      <c r="S813" s="79">
        <v>0</v>
      </c>
      <c r="T813" s="79">
        <v>0</v>
      </c>
      <c r="U813" s="79">
        <v>0</v>
      </c>
      <c r="V813" s="79">
        <v>0</v>
      </c>
      <c r="W813" s="79">
        <v>0</v>
      </c>
      <c r="X813" s="90">
        <v>0</v>
      </c>
    </row>
    <row r="814" spans="1:24" hidden="1" x14ac:dyDescent="0.25">
      <c r="A814" s="80" t="str">
        <v>BACHOTA</v>
      </c>
      <c r="B814" s="80" t="str">
        <v>Qaliwarma Quinua</v>
      </c>
      <c r="C814" s="80" t="str">
        <v>Pizan</v>
      </c>
      <c r="D814" s="81">
        <v>46223</v>
      </c>
      <c r="E814" s="79">
        <v>2411.7600000000002</v>
      </c>
      <c r="F814" s="81">
        <v>46228</v>
      </c>
      <c r="G814" s="79" cm="1">
        <f t="array" ref="G814:X814">_xlfn._xlws.FILTER(Formulas!$C$2:$T$201, ISNUMBER(MATCH(Formulas!$B$2:$B$201, B814, 0)),0) * E814</f>
        <v>0</v>
      </c>
      <c r="H814" s="79">
        <v>2267.0544</v>
      </c>
      <c r="I814" s="79">
        <v>0</v>
      </c>
      <c r="J814" s="79">
        <v>0</v>
      </c>
      <c r="K814" s="79">
        <v>0</v>
      </c>
      <c r="L814" s="79">
        <v>0</v>
      </c>
      <c r="M814" s="79">
        <v>0</v>
      </c>
      <c r="N814" s="79">
        <v>0</v>
      </c>
      <c r="O814" s="79">
        <v>0</v>
      </c>
      <c r="P814" s="79">
        <v>144.7056</v>
      </c>
      <c r="Q814" s="79">
        <v>0</v>
      </c>
      <c r="R814" s="79">
        <v>0</v>
      </c>
      <c r="S814" s="79">
        <v>0</v>
      </c>
      <c r="T814" s="79">
        <v>0</v>
      </c>
      <c r="U814" s="79">
        <v>0</v>
      </c>
      <c r="V814" s="79">
        <v>0</v>
      </c>
      <c r="W814" s="79">
        <v>0</v>
      </c>
      <c r="X814" s="90">
        <v>0</v>
      </c>
    </row>
    <row r="815" spans="1:24" hidden="1" x14ac:dyDescent="0.25">
      <c r="A815" s="80" t="str">
        <v>GRAN INDUST.</v>
      </c>
      <c r="B815" s="80" t="str">
        <v>Qaliwarma Quinua</v>
      </c>
      <c r="C815" s="80" t="str">
        <v>Lima</v>
      </c>
      <c r="D815" s="81">
        <v>46244</v>
      </c>
      <c r="E815" s="79">
        <v>2612.48</v>
      </c>
      <c r="F815" s="81">
        <v>46238</v>
      </c>
      <c r="G815" s="79" cm="1">
        <f t="array" ref="G815:X815">_xlfn._xlws.FILTER(Formulas!$C$2:$T$201, ISNUMBER(MATCH(Formulas!$B$2:$B$201, B815, 0)),0) * E815</f>
        <v>0</v>
      </c>
      <c r="H815" s="79">
        <v>2455.7311999999997</v>
      </c>
      <c r="I815" s="79">
        <v>0</v>
      </c>
      <c r="J815" s="79">
        <v>0</v>
      </c>
      <c r="K815" s="79">
        <v>0</v>
      </c>
      <c r="L815" s="79">
        <v>0</v>
      </c>
      <c r="M815" s="79">
        <v>0</v>
      </c>
      <c r="N815" s="79">
        <v>0</v>
      </c>
      <c r="O815" s="79">
        <v>0</v>
      </c>
      <c r="P815" s="79">
        <v>156.74879999999999</v>
      </c>
      <c r="Q815" s="79">
        <v>0</v>
      </c>
      <c r="R815" s="79">
        <v>0</v>
      </c>
      <c r="S815" s="79">
        <v>0</v>
      </c>
      <c r="T815" s="79">
        <v>0</v>
      </c>
      <c r="U815" s="79">
        <v>0</v>
      </c>
      <c r="V815" s="79">
        <v>0</v>
      </c>
      <c r="W815" s="79">
        <v>0</v>
      </c>
      <c r="X815" s="90">
        <v>0</v>
      </c>
    </row>
    <row r="816" spans="1:24" hidden="1" x14ac:dyDescent="0.25">
      <c r="A816" s="80" t="str">
        <v>GRAN INDUST.</v>
      </c>
      <c r="B816" s="80" t="str">
        <v>Qaliwarma Quinua</v>
      </c>
      <c r="C816" s="80" t="str">
        <v>Lima</v>
      </c>
      <c r="D816" s="81">
        <v>46244</v>
      </c>
      <c r="E816" s="79">
        <v>1114.1000000000001</v>
      </c>
      <c r="F816" s="81">
        <v>46238</v>
      </c>
      <c r="G816" s="79" cm="1">
        <f t="array" ref="G816:X816">_xlfn._xlws.FILTER(Formulas!$C$2:$T$201, ISNUMBER(MATCH(Formulas!$B$2:$B$201, B816, 0)),0) * E816</f>
        <v>0</v>
      </c>
      <c r="H816" s="79">
        <v>1047.2540000000001</v>
      </c>
      <c r="I816" s="79">
        <v>0</v>
      </c>
      <c r="J816" s="79">
        <v>0</v>
      </c>
      <c r="K816" s="79">
        <v>0</v>
      </c>
      <c r="L816" s="79">
        <v>0</v>
      </c>
      <c r="M816" s="79">
        <v>0</v>
      </c>
      <c r="N816" s="79">
        <v>0</v>
      </c>
      <c r="O816" s="79">
        <v>0</v>
      </c>
      <c r="P816" s="79">
        <v>66.846000000000004</v>
      </c>
      <c r="Q816" s="79">
        <v>0</v>
      </c>
      <c r="R816" s="79">
        <v>0</v>
      </c>
      <c r="S816" s="79">
        <v>0</v>
      </c>
      <c r="T816" s="79">
        <v>0</v>
      </c>
      <c r="U816" s="79">
        <v>0</v>
      </c>
      <c r="V816" s="79">
        <v>0</v>
      </c>
      <c r="W816" s="79">
        <v>0</v>
      </c>
      <c r="X816" s="90">
        <v>0</v>
      </c>
    </row>
    <row r="817" spans="1:24" hidden="1" x14ac:dyDescent="0.25">
      <c r="A817" s="80" t="str">
        <v>GRAN INDUST.</v>
      </c>
      <c r="B817" s="80" t="str">
        <v>Qaliwarma Quinua</v>
      </c>
      <c r="C817" s="80" t="str">
        <v>Yurimag</v>
      </c>
      <c r="D817" s="81">
        <v>46295</v>
      </c>
      <c r="E817" s="79">
        <v>2091.1800000000003</v>
      </c>
      <c r="F817" s="81">
        <v>0</v>
      </c>
      <c r="G817" s="79" cm="1">
        <f t="array" ref="G817:X817">_xlfn._xlws.FILTER(Formulas!$C$2:$T$201, ISNUMBER(MATCH(Formulas!$B$2:$B$201, B817, 0)),0) * E817</f>
        <v>0</v>
      </c>
      <c r="H817" s="79">
        <v>1965.7092000000002</v>
      </c>
      <c r="I817" s="79">
        <v>0</v>
      </c>
      <c r="J817" s="79">
        <v>0</v>
      </c>
      <c r="K817" s="79">
        <v>0</v>
      </c>
      <c r="L817" s="79">
        <v>0</v>
      </c>
      <c r="M817" s="79">
        <v>0</v>
      </c>
      <c r="N817" s="79">
        <v>0</v>
      </c>
      <c r="O817" s="79">
        <v>0</v>
      </c>
      <c r="P817" s="79">
        <v>125.47080000000001</v>
      </c>
      <c r="Q817" s="79">
        <v>0</v>
      </c>
      <c r="R817" s="79">
        <v>0</v>
      </c>
      <c r="S817" s="79">
        <v>0</v>
      </c>
      <c r="T817" s="79">
        <v>0</v>
      </c>
      <c r="U817" s="79">
        <v>0</v>
      </c>
      <c r="V817" s="79">
        <v>0</v>
      </c>
      <c r="W817" s="79">
        <v>0</v>
      </c>
      <c r="X817" s="90">
        <v>0</v>
      </c>
    </row>
    <row r="818" spans="1:24" hidden="1" x14ac:dyDescent="0.25">
      <c r="A818" s="80" t="str">
        <v>GRAN INDUST.</v>
      </c>
      <c r="B818" s="80" t="str">
        <v>Qaliwarma Quinua</v>
      </c>
      <c r="C818" s="80" t="str">
        <v>Pucalpa</v>
      </c>
      <c r="D818" s="81">
        <v>46295</v>
      </c>
      <c r="E818" s="79">
        <v>1798.42</v>
      </c>
      <c r="F818" s="81">
        <v>0</v>
      </c>
      <c r="G818" s="79" cm="1">
        <f t="array" ref="G818:X818">_xlfn._xlws.FILTER(Formulas!$C$2:$T$201, ISNUMBER(MATCH(Formulas!$B$2:$B$201, B818, 0)),0) * E818</f>
        <v>0</v>
      </c>
      <c r="H818" s="79">
        <v>1690.5147999999999</v>
      </c>
      <c r="I818" s="79">
        <v>0</v>
      </c>
      <c r="J818" s="79">
        <v>0</v>
      </c>
      <c r="K818" s="79">
        <v>0</v>
      </c>
      <c r="L818" s="79">
        <v>0</v>
      </c>
      <c r="M818" s="79">
        <v>0</v>
      </c>
      <c r="N818" s="79">
        <v>0</v>
      </c>
      <c r="O818" s="79">
        <v>0</v>
      </c>
      <c r="P818" s="79">
        <v>107.90519999999999</v>
      </c>
      <c r="Q818" s="79">
        <v>0</v>
      </c>
      <c r="R818" s="79">
        <v>0</v>
      </c>
      <c r="S818" s="79">
        <v>0</v>
      </c>
      <c r="T818" s="79">
        <v>0</v>
      </c>
      <c r="U818" s="79">
        <v>0</v>
      </c>
      <c r="V818" s="79">
        <v>0</v>
      </c>
      <c r="W818" s="79">
        <v>0</v>
      </c>
      <c r="X818" s="90">
        <v>0</v>
      </c>
    </row>
    <row r="819" spans="1:24" hidden="1" x14ac:dyDescent="0.25">
      <c r="A819" s="80" t="str">
        <v>PENDIENTE</v>
      </c>
      <c r="B819" s="80" t="str">
        <v>Querocotillo</v>
      </c>
      <c r="C819" s="80" t="str">
        <v>Enero</v>
      </c>
      <c r="D819" s="81">
        <v>46012</v>
      </c>
      <c r="E819" s="79">
        <v>2564.1960000000004</v>
      </c>
      <c r="F819" s="81">
        <v>46008</v>
      </c>
      <c r="G819" s="79" cm="1">
        <f t="array" ref="G819:X819">_xlfn._xlws.FILTER(Formulas!$C$2:$T$201, ISNUMBER(MATCH(Formulas!$B$2:$B$201, B819, 0)),0) * E819</f>
        <v>461.85518596491232</v>
      </c>
      <c r="H819" s="79">
        <v>1716.4618058479534</v>
      </c>
      <c r="I819" s="79">
        <v>0</v>
      </c>
      <c r="J819" s="79">
        <v>102.96771461988305</v>
      </c>
      <c r="K819" s="79">
        <v>0</v>
      </c>
      <c r="L819" s="79">
        <v>76.975864327485397</v>
      </c>
      <c r="M819" s="79">
        <v>102.96771461988305</v>
      </c>
      <c r="N819" s="79">
        <v>0</v>
      </c>
      <c r="O819" s="79">
        <v>0</v>
      </c>
      <c r="P819" s="79">
        <v>0</v>
      </c>
      <c r="Q819" s="79">
        <v>102.96771461988305</v>
      </c>
      <c r="R819" s="79">
        <v>0</v>
      </c>
      <c r="S819" s="79">
        <v>0</v>
      </c>
      <c r="T819" s="79">
        <v>0</v>
      </c>
      <c r="U819" s="79">
        <v>0</v>
      </c>
      <c r="V819" s="79">
        <v>0</v>
      </c>
      <c r="W819" s="79">
        <v>0</v>
      </c>
      <c r="X819" s="90">
        <v>0</v>
      </c>
    </row>
    <row r="820" spans="1:24" hidden="1" x14ac:dyDescent="0.25">
      <c r="A820" s="80" t="str">
        <v>PENDIENTE</v>
      </c>
      <c r="B820" s="80" t="str">
        <v>Querocotillo</v>
      </c>
      <c r="C820" s="80" t="str">
        <v>Febrero</v>
      </c>
      <c r="D820" s="81">
        <v>46043</v>
      </c>
      <c r="E820" s="79">
        <v>2564.1960000000004</v>
      </c>
      <c r="F820" s="81">
        <v>46032</v>
      </c>
      <c r="G820" s="79" cm="1">
        <f t="array" ref="G820:X820">_xlfn._xlws.FILTER(Formulas!$C$2:$T$201, ISNUMBER(MATCH(Formulas!$B$2:$B$201, B820, 0)),0) * E820</f>
        <v>461.85518596491232</v>
      </c>
      <c r="H820" s="79">
        <v>1716.4618058479534</v>
      </c>
      <c r="I820" s="79">
        <v>0</v>
      </c>
      <c r="J820" s="79">
        <v>102.96771461988305</v>
      </c>
      <c r="K820" s="79">
        <v>0</v>
      </c>
      <c r="L820" s="79">
        <v>76.975864327485397</v>
      </c>
      <c r="M820" s="79">
        <v>102.96771461988305</v>
      </c>
      <c r="N820" s="79">
        <v>0</v>
      </c>
      <c r="O820" s="79">
        <v>0</v>
      </c>
      <c r="P820" s="79">
        <v>0</v>
      </c>
      <c r="Q820" s="79">
        <v>102.96771461988305</v>
      </c>
      <c r="R820" s="79">
        <v>0</v>
      </c>
      <c r="S820" s="79">
        <v>0</v>
      </c>
      <c r="T820" s="79">
        <v>0</v>
      </c>
      <c r="U820" s="79">
        <v>0</v>
      </c>
      <c r="V820" s="79">
        <v>0</v>
      </c>
      <c r="W820" s="79">
        <v>0</v>
      </c>
      <c r="X820" s="90">
        <v>0</v>
      </c>
    </row>
    <row r="821" spans="1:24" hidden="1" x14ac:dyDescent="0.25">
      <c r="A821" s="80" t="str">
        <v>PENDIENTE</v>
      </c>
      <c r="B821" s="80" t="str">
        <v>Querocotillo</v>
      </c>
      <c r="C821" s="80" t="str">
        <v>Marzo</v>
      </c>
      <c r="D821" s="81">
        <v>46074</v>
      </c>
      <c r="E821" s="79">
        <v>2564.1960000000004</v>
      </c>
      <c r="F821" s="81">
        <v>46064</v>
      </c>
      <c r="G821" s="79" cm="1">
        <f t="array" ref="G821:X821">_xlfn._xlws.FILTER(Formulas!$C$2:$T$201, ISNUMBER(MATCH(Formulas!$B$2:$B$201, B821, 0)),0) * E821</f>
        <v>461.85518596491232</v>
      </c>
      <c r="H821" s="79">
        <v>1716.4618058479534</v>
      </c>
      <c r="I821" s="79">
        <v>0</v>
      </c>
      <c r="J821" s="79">
        <v>102.96771461988305</v>
      </c>
      <c r="K821" s="79">
        <v>0</v>
      </c>
      <c r="L821" s="79">
        <v>76.975864327485397</v>
      </c>
      <c r="M821" s="79">
        <v>102.96771461988305</v>
      </c>
      <c r="N821" s="79">
        <v>0</v>
      </c>
      <c r="O821" s="79">
        <v>0</v>
      </c>
      <c r="P821" s="79">
        <v>0</v>
      </c>
      <c r="Q821" s="79">
        <v>102.96771461988305</v>
      </c>
      <c r="R821" s="79">
        <v>0</v>
      </c>
      <c r="S821" s="79">
        <v>0</v>
      </c>
      <c r="T821" s="79">
        <v>0</v>
      </c>
      <c r="U821" s="79">
        <v>0</v>
      </c>
      <c r="V821" s="79">
        <v>0</v>
      </c>
      <c r="W821" s="79">
        <v>0</v>
      </c>
      <c r="X821" s="90">
        <v>0</v>
      </c>
    </row>
    <row r="822" spans="1:24" hidden="1" x14ac:dyDescent="0.25">
      <c r="A822" s="80" t="str">
        <v>PENDIENTE</v>
      </c>
      <c r="B822" s="80" t="str">
        <v>Querocotillo</v>
      </c>
      <c r="C822" s="80" t="str">
        <v>Abril</v>
      </c>
      <c r="D822" s="81">
        <v>46142</v>
      </c>
      <c r="E822" s="79">
        <v>2564.1960000000004</v>
      </c>
      <c r="F822" s="80">
        <v>46126</v>
      </c>
      <c r="G822" s="79" cm="1">
        <f t="array" ref="G822:X822">_xlfn._xlws.FILTER(Formulas!$C$2:$T$201, ISNUMBER(MATCH(Formulas!$B$2:$B$201, B822, 0)),0) * E822</f>
        <v>461.85518596491232</v>
      </c>
      <c r="H822" s="79">
        <v>1716.4618058479534</v>
      </c>
      <c r="I822" s="79">
        <v>0</v>
      </c>
      <c r="J822" s="79">
        <v>102.96771461988305</v>
      </c>
      <c r="K822" s="79">
        <v>0</v>
      </c>
      <c r="L822" s="79">
        <v>76.975864327485397</v>
      </c>
      <c r="M822" s="79">
        <v>102.96771461988305</v>
      </c>
      <c r="N822" s="79">
        <v>0</v>
      </c>
      <c r="O822" s="79">
        <v>0</v>
      </c>
      <c r="P822" s="79">
        <v>0</v>
      </c>
      <c r="Q822" s="79">
        <v>102.96771461988305</v>
      </c>
      <c r="R822" s="79">
        <v>0</v>
      </c>
      <c r="S822" s="79">
        <v>0</v>
      </c>
      <c r="T822" s="79">
        <v>0</v>
      </c>
      <c r="U822" s="79">
        <v>0</v>
      </c>
      <c r="V822" s="79">
        <v>0</v>
      </c>
      <c r="W822" s="79">
        <v>0</v>
      </c>
      <c r="X822" s="90">
        <v>0</v>
      </c>
    </row>
    <row r="823" spans="1:24" hidden="1" x14ac:dyDescent="0.25">
      <c r="A823" s="80" t="str">
        <v>PENDIENTE</v>
      </c>
      <c r="B823" s="80" t="str">
        <v>Querocotillo</v>
      </c>
      <c r="C823" s="80" t="str">
        <v>Mayo</v>
      </c>
      <c r="D823" s="81">
        <v>46142</v>
      </c>
      <c r="E823" s="79">
        <v>2564.1960000000004</v>
      </c>
      <c r="F823" s="80">
        <v>46127</v>
      </c>
      <c r="G823" s="79" cm="1">
        <f t="array" ref="G823:X823">_xlfn._xlws.FILTER(Formulas!$C$2:$T$201, ISNUMBER(MATCH(Formulas!$B$2:$B$201, B823, 0)),0) * E823</f>
        <v>461.85518596491232</v>
      </c>
      <c r="H823" s="79">
        <v>1716.4618058479534</v>
      </c>
      <c r="I823" s="79">
        <v>0</v>
      </c>
      <c r="J823" s="79">
        <v>102.96771461988305</v>
      </c>
      <c r="K823" s="79">
        <v>0</v>
      </c>
      <c r="L823" s="79">
        <v>76.975864327485397</v>
      </c>
      <c r="M823" s="79">
        <v>102.96771461988305</v>
      </c>
      <c r="N823" s="79">
        <v>0</v>
      </c>
      <c r="O823" s="79">
        <v>0</v>
      </c>
      <c r="P823" s="79">
        <v>0</v>
      </c>
      <c r="Q823" s="79">
        <v>102.96771461988305</v>
      </c>
      <c r="R823" s="79">
        <v>0</v>
      </c>
      <c r="S823" s="79">
        <v>0</v>
      </c>
      <c r="T823" s="79">
        <v>0</v>
      </c>
      <c r="U823" s="79">
        <v>0</v>
      </c>
      <c r="V823" s="79">
        <v>0</v>
      </c>
      <c r="W823" s="79">
        <v>0</v>
      </c>
      <c r="X823" s="90">
        <v>0</v>
      </c>
    </row>
    <row r="824" spans="1:24" hidden="1" x14ac:dyDescent="0.25">
      <c r="A824" s="80" t="str">
        <v>PENDIENTE</v>
      </c>
      <c r="B824" s="80" t="str">
        <v>Querocotillo</v>
      </c>
      <c r="C824" s="80" t="str">
        <v>Junio</v>
      </c>
      <c r="D824" s="81">
        <v>46142</v>
      </c>
      <c r="E824" s="79">
        <v>2564.1960000000004</v>
      </c>
      <c r="F824" s="80">
        <v>46140</v>
      </c>
      <c r="G824" s="79" cm="1">
        <f t="array" ref="G824:X824">_xlfn._xlws.FILTER(Formulas!$C$2:$T$201, ISNUMBER(MATCH(Formulas!$B$2:$B$201, B824, 0)),0) * E824</f>
        <v>461.85518596491232</v>
      </c>
      <c r="H824" s="79">
        <v>1716.4618058479534</v>
      </c>
      <c r="I824" s="79">
        <v>0</v>
      </c>
      <c r="J824" s="79">
        <v>102.96771461988305</v>
      </c>
      <c r="K824" s="79">
        <v>0</v>
      </c>
      <c r="L824" s="79">
        <v>76.975864327485397</v>
      </c>
      <c r="M824" s="79">
        <v>102.96771461988305</v>
      </c>
      <c r="N824" s="79">
        <v>0</v>
      </c>
      <c r="O824" s="79">
        <v>0</v>
      </c>
      <c r="P824" s="79">
        <v>0</v>
      </c>
      <c r="Q824" s="79">
        <v>102.96771461988305</v>
      </c>
      <c r="R824" s="79">
        <v>0</v>
      </c>
      <c r="S824" s="79">
        <v>0</v>
      </c>
      <c r="T824" s="79">
        <v>0</v>
      </c>
      <c r="U824" s="79">
        <v>0</v>
      </c>
      <c r="V824" s="79">
        <v>0</v>
      </c>
      <c r="W824" s="79">
        <v>0</v>
      </c>
      <c r="X824" s="90">
        <v>0</v>
      </c>
    </row>
    <row r="825" spans="1:24" hidden="1" x14ac:dyDescent="0.25">
      <c r="A825" s="80" t="str">
        <v>PENDIENTE</v>
      </c>
      <c r="B825" s="80" t="str">
        <v>Querocotillo</v>
      </c>
      <c r="C825" s="80" t="str">
        <v>Julio</v>
      </c>
      <c r="D825" s="81">
        <v>46194</v>
      </c>
      <c r="E825" s="79">
        <v>2564.1960000000004</v>
      </c>
      <c r="F825" s="81">
        <v>46218</v>
      </c>
      <c r="G825" s="79" cm="1">
        <f t="array" ref="G825:X825">_xlfn._xlws.FILTER(Formulas!$C$2:$T$201, ISNUMBER(MATCH(Formulas!$B$2:$B$201, B825, 0)),0) * E825</f>
        <v>461.85518596491232</v>
      </c>
      <c r="H825" s="79">
        <v>1716.4618058479534</v>
      </c>
      <c r="I825" s="79">
        <v>0</v>
      </c>
      <c r="J825" s="79">
        <v>102.96771461988305</v>
      </c>
      <c r="K825" s="79">
        <v>0</v>
      </c>
      <c r="L825" s="79">
        <v>76.975864327485397</v>
      </c>
      <c r="M825" s="79">
        <v>102.96771461988305</v>
      </c>
      <c r="N825" s="79">
        <v>0</v>
      </c>
      <c r="O825" s="79">
        <v>0</v>
      </c>
      <c r="P825" s="79">
        <v>0</v>
      </c>
      <c r="Q825" s="79">
        <v>102.96771461988305</v>
      </c>
      <c r="R825" s="79">
        <v>0</v>
      </c>
      <c r="S825" s="79">
        <v>0</v>
      </c>
      <c r="T825" s="79">
        <v>0</v>
      </c>
      <c r="U825" s="79">
        <v>0</v>
      </c>
      <c r="V825" s="79">
        <v>0</v>
      </c>
      <c r="W825" s="79">
        <v>0</v>
      </c>
      <c r="X825" s="90">
        <v>0</v>
      </c>
    </row>
    <row r="826" spans="1:24" hidden="1" x14ac:dyDescent="0.25">
      <c r="A826" s="80" t="str">
        <v>PENDIENTE</v>
      </c>
      <c r="B826" s="80" t="str">
        <v>Querocotillo</v>
      </c>
      <c r="C826" s="80" t="str">
        <v>Agosto</v>
      </c>
      <c r="D826" s="81">
        <v>46194</v>
      </c>
      <c r="E826" s="79">
        <v>2564.1960000000004</v>
      </c>
      <c r="F826" s="81">
        <v>46218</v>
      </c>
      <c r="G826" s="79" cm="1">
        <f t="array" ref="G826:X826">_xlfn._xlws.FILTER(Formulas!$C$2:$T$201, ISNUMBER(MATCH(Formulas!$B$2:$B$201, B826, 0)),0) * E826</f>
        <v>461.85518596491232</v>
      </c>
      <c r="H826" s="79">
        <v>1716.4618058479534</v>
      </c>
      <c r="I826" s="79">
        <v>0</v>
      </c>
      <c r="J826" s="79">
        <v>102.96771461988305</v>
      </c>
      <c r="K826" s="79">
        <v>0</v>
      </c>
      <c r="L826" s="79">
        <v>76.975864327485397</v>
      </c>
      <c r="M826" s="79">
        <v>102.96771461988305</v>
      </c>
      <c r="N826" s="79">
        <v>0</v>
      </c>
      <c r="O826" s="79">
        <v>0</v>
      </c>
      <c r="P826" s="79">
        <v>0</v>
      </c>
      <c r="Q826" s="79">
        <v>102.96771461988305</v>
      </c>
      <c r="R826" s="79">
        <v>0</v>
      </c>
      <c r="S826" s="79">
        <v>0</v>
      </c>
      <c r="T826" s="79">
        <v>0</v>
      </c>
      <c r="U826" s="79">
        <v>0</v>
      </c>
      <c r="V826" s="79">
        <v>0</v>
      </c>
      <c r="W826" s="79">
        <v>0</v>
      </c>
      <c r="X826" s="90">
        <v>0</v>
      </c>
    </row>
    <row r="827" spans="1:24" hidden="1" x14ac:dyDescent="0.25">
      <c r="A827" s="80" t="str">
        <v>PENDIENTE</v>
      </c>
      <c r="B827" s="80" t="str">
        <v>Querocotillo</v>
      </c>
      <c r="C827" s="80" t="str">
        <v>Setiembre</v>
      </c>
      <c r="D827" s="81">
        <v>46194</v>
      </c>
      <c r="E827" s="79">
        <v>2564.1960000000004</v>
      </c>
      <c r="F827" s="81">
        <v>46218</v>
      </c>
      <c r="G827" s="79" cm="1">
        <f t="array" ref="G827:X827">_xlfn._xlws.FILTER(Formulas!$C$2:$T$201, ISNUMBER(MATCH(Formulas!$B$2:$B$201, B827, 0)),0) * E827</f>
        <v>461.85518596491232</v>
      </c>
      <c r="H827" s="79">
        <v>1716.4618058479534</v>
      </c>
      <c r="I827" s="79">
        <v>0</v>
      </c>
      <c r="J827" s="79">
        <v>102.96771461988305</v>
      </c>
      <c r="K827" s="79">
        <v>0</v>
      </c>
      <c r="L827" s="79">
        <v>76.975864327485397</v>
      </c>
      <c r="M827" s="79">
        <v>102.96771461988305</v>
      </c>
      <c r="N827" s="79">
        <v>0</v>
      </c>
      <c r="O827" s="79">
        <v>0</v>
      </c>
      <c r="P827" s="79">
        <v>0</v>
      </c>
      <c r="Q827" s="79">
        <v>102.96771461988305</v>
      </c>
      <c r="R827" s="79">
        <v>0</v>
      </c>
      <c r="S827" s="79">
        <v>0</v>
      </c>
      <c r="T827" s="79">
        <v>0</v>
      </c>
      <c r="U827" s="79">
        <v>0</v>
      </c>
      <c r="V827" s="79">
        <v>0</v>
      </c>
      <c r="W827" s="79">
        <v>0</v>
      </c>
      <c r="X827" s="90">
        <v>0</v>
      </c>
    </row>
    <row r="828" spans="1:24" hidden="1" x14ac:dyDescent="0.25">
      <c r="A828" s="80" t="str">
        <v>PENDIENTE</v>
      </c>
      <c r="B828" s="80" t="str">
        <v>Querocotillo</v>
      </c>
      <c r="C828" s="80" t="str">
        <v>Octubre</v>
      </c>
      <c r="D828" s="81">
        <v>46286</v>
      </c>
      <c r="E828" s="79">
        <v>2564.1960000000004</v>
      </c>
      <c r="F828" s="81">
        <v>0</v>
      </c>
      <c r="G828" s="79" cm="1">
        <f t="array" ref="G828:X828">_xlfn._xlws.FILTER(Formulas!$C$2:$T$201, ISNUMBER(MATCH(Formulas!$B$2:$B$201, B828, 0)),0) * E828</f>
        <v>461.85518596491232</v>
      </c>
      <c r="H828" s="79">
        <v>1716.4618058479534</v>
      </c>
      <c r="I828" s="79">
        <v>0</v>
      </c>
      <c r="J828" s="79">
        <v>102.96771461988305</v>
      </c>
      <c r="K828" s="79">
        <v>0</v>
      </c>
      <c r="L828" s="79">
        <v>76.975864327485397</v>
      </c>
      <c r="M828" s="79">
        <v>102.96771461988305</v>
      </c>
      <c r="N828" s="79">
        <v>0</v>
      </c>
      <c r="O828" s="79">
        <v>0</v>
      </c>
      <c r="P828" s="79">
        <v>0</v>
      </c>
      <c r="Q828" s="79">
        <v>102.96771461988305</v>
      </c>
      <c r="R828" s="79">
        <v>0</v>
      </c>
      <c r="S828" s="79">
        <v>0</v>
      </c>
      <c r="T828" s="79">
        <v>0</v>
      </c>
      <c r="U828" s="79">
        <v>0</v>
      </c>
      <c r="V828" s="79">
        <v>0</v>
      </c>
      <c r="W828" s="79">
        <v>0</v>
      </c>
      <c r="X828" s="90">
        <v>0</v>
      </c>
    </row>
    <row r="829" spans="1:24" hidden="1" x14ac:dyDescent="0.25">
      <c r="A829" s="80" t="str">
        <v>PENDIENTE</v>
      </c>
      <c r="B829" s="80" t="str">
        <v>Querocotillo</v>
      </c>
      <c r="C829" s="80" t="str">
        <v>Noviembre</v>
      </c>
      <c r="D829" s="81">
        <v>46286</v>
      </c>
      <c r="E829" s="79">
        <v>2564.1960000000004</v>
      </c>
      <c r="F829" s="81">
        <v>0</v>
      </c>
      <c r="G829" s="79" cm="1">
        <f t="array" ref="G829:X829">_xlfn._xlws.FILTER(Formulas!$C$2:$T$201, ISNUMBER(MATCH(Formulas!$B$2:$B$201, B829, 0)),0) * E829</f>
        <v>461.85518596491232</v>
      </c>
      <c r="H829" s="79">
        <v>1716.4618058479534</v>
      </c>
      <c r="I829" s="79">
        <v>0</v>
      </c>
      <c r="J829" s="79">
        <v>102.96771461988305</v>
      </c>
      <c r="K829" s="79">
        <v>0</v>
      </c>
      <c r="L829" s="79">
        <v>76.975864327485397</v>
      </c>
      <c r="M829" s="79">
        <v>102.96771461988305</v>
      </c>
      <c r="N829" s="79">
        <v>0</v>
      </c>
      <c r="O829" s="79">
        <v>0</v>
      </c>
      <c r="P829" s="79">
        <v>0</v>
      </c>
      <c r="Q829" s="79">
        <v>102.96771461988305</v>
      </c>
      <c r="R829" s="79">
        <v>0</v>
      </c>
      <c r="S829" s="79">
        <v>0</v>
      </c>
      <c r="T829" s="79">
        <v>0</v>
      </c>
      <c r="U829" s="79">
        <v>0</v>
      </c>
      <c r="V829" s="79">
        <v>0</v>
      </c>
      <c r="W829" s="79">
        <v>0</v>
      </c>
      <c r="X829" s="90">
        <v>0</v>
      </c>
    </row>
    <row r="830" spans="1:24" hidden="1" x14ac:dyDescent="0.25">
      <c r="A830" s="80" t="str">
        <v>PENDIENTE</v>
      </c>
      <c r="B830" s="80" t="str">
        <v>Querocotillo</v>
      </c>
      <c r="C830" s="80" t="str">
        <v>Diciembre</v>
      </c>
      <c r="D830" s="81">
        <v>46286</v>
      </c>
      <c r="E830" s="79">
        <v>2564.1960000000004</v>
      </c>
      <c r="F830" s="81">
        <v>0</v>
      </c>
      <c r="G830" s="79" cm="1">
        <f t="array" ref="G830:X830">_xlfn._xlws.FILTER(Formulas!$C$2:$T$201, ISNUMBER(MATCH(Formulas!$B$2:$B$201, B830, 0)),0) * E830</f>
        <v>461.85518596491232</v>
      </c>
      <c r="H830" s="79">
        <v>1716.4618058479534</v>
      </c>
      <c r="I830" s="79">
        <v>0</v>
      </c>
      <c r="J830" s="79">
        <v>102.96771461988305</v>
      </c>
      <c r="K830" s="79">
        <v>0</v>
      </c>
      <c r="L830" s="79">
        <v>76.975864327485397</v>
      </c>
      <c r="M830" s="79">
        <v>102.96771461988305</v>
      </c>
      <c r="N830" s="79">
        <v>0</v>
      </c>
      <c r="O830" s="79">
        <v>0</v>
      </c>
      <c r="P830" s="79">
        <v>0</v>
      </c>
      <c r="Q830" s="79">
        <v>102.96771461988305</v>
      </c>
      <c r="R830" s="79">
        <v>0</v>
      </c>
      <c r="S830" s="79">
        <v>0</v>
      </c>
      <c r="T830" s="79">
        <v>0</v>
      </c>
      <c r="U830" s="79">
        <v>0</v>
      </c>
      <c r="V830" s="79">
        <v>0</v>
      </c>
      <c r="W830" s="79">
        <v>0</v>
      </c>
      <c r="X830" s="90">
        <v>0</v>
      </c>
    </row>
    <row r="831" spans="1:24" hidden="1" x14ac:dyDescent="0.25">
      <c r="A831" s="80" t="str">
        <v>PENDIENTE</v>
      </c>
      <c r="B831" s="80" t="str">
        <v>Querocoto</v>
      </c>
      <c r="C831" s="80" t="str">
        <v>Enero</v>
      </c>
      <c r="D831" s="81">
        <v>46037</v>
      </c>
      <c r="E831" s="79">
        <v>1355</v>
      </c>
      <c r="F831" s="81">
        <v>46034</v>
      </c>
      <c r="G831" s="79" cm="1">
        <f t="array" ref="G831:X831">_xlfn._xlws.FILTER(Formulas!$C$2:$T$201, ISNUMBER(MATCH(Formulas!$B$2:$B$201, B831, 0)),0) * E831</f>
        <v>271</v>
      </c>
      <c r="H831" s="79">
        <v>941.99600000000009</v>
      </c>
      <c r="I831" s="79">
        <v>67.478999999999999</v>
      </c>
      <c r="J831" s="79">
        <v>0</v>
      </c>
      <c r="K831" s="79">
        <v>0</v>
      </c>
      <c r="L831" s="79">
        <v>0</v>
      </c>
      <c r="M831" s="79">
        <v>74.525000000000006</v>
      </c>
      <c r="N831" s="79">
        <v>0</v>
      </c>
      <c r="O831" s="79">
        <v>0</v>
      </c>
      <c r="P831" s="79">
        <v>0</v>
      </c>
      <c r="Q831" s="79">
        <v>0</v>
      </c>
      <c r="R831" s="79">
        <v>0</v>
      </c>
      <c r="S831" s="79">
        <v>0</v>
      </c>
      <c r="T831" s="79">
        <v>0</v>
      </c>
      <c r="U831" s="79">
        <v>0</v>
      </c>
      <c r="V831" s="79">
        <v>0</v>
      </c>
      <c r="W831" s="79">
        <v>0</v>
      </c>
      <c r="X831" s="90">
        <v>0</v>
      </c>
    </row>
    <row r="832" spans="1:24" hidden="1" x14ac:dyDescent="0.25">
      <c r="A832" s="80" t="str">
        <v>PENDIENTE</v>
      </c>
      <c r="B832" s="80" t="str">
        <v>Querocoto</v>
      </c>
      <c r="C832" s="80" t="str">
        <v>Febrero</v>
      </c>
      <c r="D832" s="81">
        <v>46037</v>
      </c>
      <c r="E832" s="79">
        <v>1355</v>
      </c>
      <c r="F832" s="81">
        <v>46034</v>
      </c>
      <c r="G832" s="79" cm="1">
        <f t="array" ref="G832:X832">_xlfn._xlws.FILTER(Formulas!$C$2:$T$201, ISNUMBER(MATCH(Formulas!$B$2:$B$201, B832, 0)),0) * E832</f>
        <v>271</v>
      </c>
      <c r="H832" s="79">
        <v>941.99600000000009</v>
      </c>
      <c r="I832" s="79">
        <v>67.478999999999999</v>
      </c>
      <c r="J832" s="79">
        <v>0</v>
      </c>
      <c r="K832" s="79">
        <v>0</v>
      </c>
      <c r="L832" s="79">
        <v>0</v>
      </c>
      <c r="M832" s="79">
        <v>74.525000000000006</v>
      </c>
      <c r="N832" s="79">
        <v>0</v>
      </c>
      <c r="O832" s="79">
        <v>0</v>
      </c>
      <c r="P832" s="79">
        <v>0</v>
      </c>
      <c r="Q832" s="79">
        <v>0</v>
      </c>
      <c r="R832" s="79">
        <v>0</v>
      </c>
      <c r="S832" s="79">
        <v>0</v>
      </c>
      <c r="T832" s="79">
        <v>0</v>
      </c>
      <c r="U832" s="79">
        <v>0</v>
      </c>
      <c r="V832" s="79">
        <v>0</v>
      </c>
      <c r="W832" s="79">
        <v>0</v>
      </c>
      <c r="X832" s="90">
        <v>0</v>
      </c>
    </row>
    <row r="833" spans="1:24" hidden="1" x14ac:dyDescent="0.25">
      <c r="A833" s="80" t="str">
        <v>PENDIENTE</v>
      </c>
      <c r="B833" s="80" t="str">
        <v>Querocoto</v>
      </c>
      <c r="C833" s="80" t="str">
        <v>Marzo</v>
      </c>
      <c r="D833" s="81">
        <v>46068</v>
      </c>
      <c r="E833" s="79">
        <v>1355</v>
      </c>
      <c r="F833" s="81">
        <v>46065</v>
      </c>
      <c r="G833" s="79" cm="1">
        <f t="array" ref="G833:X833">_xlfn._xlws.FILTER(Formulas!$C$2:$T$201, ISNUMBER(MATCH(Formulas!$B$2:$B$201, B833, 0)),0) * E833</f>
        <v>271</v>
      </c>
      <c r="H833" s="79">
        <v>941.99600000000009</v>
      </c>
      <c r="I833" s="79">
        <v>67.478999999999999</v>
      </c>
      <c r="J833" s="79">
        <v>0</v>
      </c>
      <c r="K833" s="79">
        <v>0</v>
      </c>
      <c r="L833" s="79">
        <v>0</v>
      </c>
      <c r="M833" s="79">
        <v>74.525000000000006</v>
      </c>
      <c r="N833" s="79">
        <v>0</v>
      </c>
      <c r="O833" s="79">
        <v>0</v>
      </c>
      <c r="P833" s="79">
        <v>0</v>
      </c>
      <c r="Q833" s="79">
        <v>0</v>
      </c>
      <c r="R833" s="79">
        <v>0</v>
      </c>
      <c r="S833" s="79">
        <v>0</v>
      </c>
      <c r="T833" s="79">
        <v>0</v>
      </c>
      <c r="U833" s="79">
        <v>0</v>
      </c>
      <c r="V833" s="79">
        <v>0</v>
      </c>
      <c r="W833" s="79">
        <v>0</v>
      </c>
      <c r="X833" s="90">
        <v>0</v>
      </c>
    </row>
    <row r="834" spans="1:24" hidden="1" x14ac:dyDescent="0.25">
      <c r="A834" s="80" t="str">
        <v>PENDIENTE</v>
      </c>
      <c r="B834" s="80" t="str">
        <v>Querocoto</v>
      </c>
      <c r="C834" s="80" t="str">
        <v>Abril</v>
      </c>
      <c r="D834" s="81">
        <v>46096</v>
      </c>
      <c r="E834" s="79">
        <v>1355</v>
      </c>
      <c r="F834" s="81">
        <v>46111</v>
      </c>
      <c r="G834" s="79" cm="1">
        <f t="array" ref="G834:X834">_xlfn._xlws.FILTER(Formulas!$C$2:$T$201, ISNUMBER(MATCH(Formulas!$B$2:$B$201, B834, 0)),0) * E834</f>
        <v>271</v>
      </c>
      <c r="H834" s="79">
        <v>941.99600000000009</v>
      </c>
      <c r="I834" s="79">
        <v>67.478999999999999</v>
      </c>
      <c r="J834" s="79">
        <v>0</v>
      </c>
      <c r="K834" s="79">
        <v>0</v>
      </c>
      <c r="L834" s="79">
        <v>0</v>
      </c>
      <c r="M834" s="79">
        <v>74.525000000000006</v>
      </c>
      <c r="N834" s="79">
        <v>0</v>
      </c>
      <c r="O834" s="79">
        <v>0</v>
      </c>
      <c r="P834" s="79">
        <v>0</v>
      </c>
      <c r="Q834" s="79">
        <v>0</v>
      </c>
      <c r="R834" s="79">
        <v>0</v>
      </c>
      <c r="S834" s="79">
        <v>0</v>
      </c>
      <c r="T834" s="79">
        <v>0</v>
      </c>
      <c r="U834" s="79">
        <v>0</v>
      </c>
      <c r="V834" s="79">
        <v>0</v>
      </c>
      <c r="W834" s="79">
        <v>0</v>
      </c>
      <c r="X834" s="90">
        <v>0</v>
      </c>
    </row>
    <row r="835" spans="1:24" hidden="1" x14ac:dyDescent="0.25">
      <c r="A835" s="80" t="str">
        <v>PENDIENTE</v>
      </c>
      <c r="B835" s="80" t="str">
        <v>Querocoto</v>
      </c>
      <c r="C835" s="80" t="str">
        <v>Mayo</v>
      </c>
      <c r="D835" s="81">
        <v>46127</v>
      </c>
      <c r="E835" s="79">
        <v>1355</v>
      </c>
      <c r="F835" s="80">
        <v>46140</v>
      </c>
      <c r="G835" s="79" cm="1">
        <f t="array" ref="G835:X835">_xlfn._xlws.FILTER(Formulas!$C$2:$T$201, ISNUMBER(MATCH(Formulas!$B$2:$B$201, B835, 0)),0) * E835</f>
        <v>271</v>
      </c>
      <c r="H835" s="79">
        <v>941.99600000000009</v>
      </c>
      <c r="I835" s="79">
        <v>67.478999999999999</v>
      </c>
      <c r="J835" s="79">
        <v>0</v>
      </c>
      <c r="K835" s="79">
        <v>0</v>
      </c>
      <c r="L835" s="79">
        <v>0</v>
      </c>
      <c r="M835" s="79">
        <v>74.525000000000006</v>
      </c>
      <c r="N835" s="79">
        <v>0</v>
      </c>
      <c r="O835" s="79">
        <v>0</v>
      </c>
      <c r="P835" s="79">
        <v>0</v>
      </c>
      <c r="Q835" s="79">
        <v>0</v>
      </c>
      <c r="R835" s="79">
        <v>0</v>
      </c>
      <c r="S835" s="79">
        <v>0</v>
      </c>
      <c r="T835" s="79">
        <v>0</v>
      </c>
      <c r="U835" s="79">
        <v>0</v>
      </c>
      <c r="V835" s="79">
        <v>0</v>
      </c>
      <c r="W835" s="79">
        <v>0</v>
      </c>
      <c r="X835" s="90">
        <v>0</v>
      </c>
    </row>
    <row r="836" spans="1:24" hidden="1" x14ac:dyDescent="0.25">
      <c r="A836" s="80" t="str">
        <v>PENDIENTE</v>
      </c>
      <c r="B836" s="80" t="str">
        <v>Querocoto</v>
      </c>
      <c r="C836" s="80" t="str">
        <v>Junio</v>
      </c>
      <c r="D836" s="81">
        <v>46157</v>
      </c>
      <c r="E836" s="79">
        <v>1355</v>
      </c>
      <c r="F836" s="80">
        <v>46168</v>
      </c>
      <c r="G836" s="79" cm="1">
        <f t="array" ref="G836:X836">_xlfn._xlws.FILTER(Formulas!$C$2:$T$201, ISNUMBER(MATCH(Formulas!$B$2:$B$201, B836, 0)),0) * E836</f>
        <v>271</v>
      </c>
      <c r="H836" s="79">
        <v>941.99600000000009</v>
      </c>
      <c r="I836" s="79">
        <v>67.478999999999999</v>
      </c>
      <c r="J836" s="79">
        <v>0</v>
      </c>
      <c r="K836" s="79">
        <v>0</v>
      </c>
      <c r="L836" s="79">
        <v>0</v>
      </c>
      <c r="M836" s="79">
        <v>74.525000000000006</v>
      </c>
      <c r="N836" s="79">
        <v>0</v>
      </c>
      <c r="O836" s="79">
        <v>0</v>
      </c>
      <c r="P836" s="79">
        <v>0</v>
      </c>
      <c r="Q836" s="79">
        <v>0</v>
      </c>
      <c r="R836" s="79">
        <v>0</v>
      </c>
      <c r="S836" s="79">
        <v>0</v>
      </c>
      <c r="T836" s="79">
        <v>0</v>
      </c>
      <c r="U836" s="79">
        <v>0</v>
      </c>
      <c r="V836" s="79">
        <v>0</v>
      </c>
      <c r="W836" s="79">
        <v>0</v>
      </c>
      <c r="X836" s="90">
        <v>0</v>
      </c>
    </row>
    <row r="837" spans="1:24" hidden="1" x14ac:dyDescent="0.25">
      <c r="A837" s="80" t="str">
        <v>PENDIENTE</v>
      </c>
      <c r="B837" s="80" t="str">
        <v>Querocoto</v>
      </c>
      <c r="C837" s="80" t="str">
        <v>Julio</v>
      </c>
      <c r="D837" s="81">
        <v>46188</v>
      </c>
      <c r="E837" s="79">
        <v>1355</v>
      </c>
      <c r="F837" s="80">
        <v>46198</v>
      </c>
      <c r="G837" s="79" cm="1">
        <f t="array" ref="G837:X837">_xlfn._xlws.FILTER(Formulas!$C$2:$T$201, ISNUMBER(MATCH(Formulas!$B$2:$B$201, B837, 0)),0) * E837</f>
        <v>271</v>
      </c>
      <c r="H837" s="79">
        <v>941.99600000000009</v>
      </c>
      <c r="I837" s="79">
        <v>67.478999999999999</v>
      </c>
      <c r="J837" s="79">
        <v>0</v>
      </c>
      <c r="K837" s="79">
        <v>0</v>
      </c>
      <c r="L837" s="79">
        <v>0</v>
      </c>
      <c r="M837" s="79">
        <v>74.525000000000006</v>
      </c>
      <c r="N837" s="79">
        <v>0</v>
      </c>
      <c r="O837" s="79">
        <v>0</v>
      </c>
      <c r="P837" s="79">
        <v>0</v>
      </c>
      <c r="Q837" s="79">
        <v>0</v>
      </c>
      <c r="R837" s="79">
        <v>0</v>
      </c>
      <c r="S837" s="79">
        <v>0</v>
      </c>
      <c r="T837" s="79">
        <v>0</v>
      </c>
      <c r="U837" s="79">
        <v>0</v>
      </c>
      <c r="V837" s="79">
        <v>0</v>
      </c>
      <c r="W837" s="79">
        <v>0</v>
      </c>
      <c r="X837" s="90">
        <v>0</v>
      </c>
    </row>
    <row r="838" spans="1:24" hidden="1" x14ac:dyDescent="0.25">
      <c r="A838" s="80" t="str">
        <v>PENDIENTE</v>
      </c>
      <c r="B838" s="80" t="str">
        <v>Querocoto</v>
      </c>
      <c r="C838" s="80" t="str">
        <v>Agosto</v>
      </c>
      <c r="D838" s="81">
        <v>46218</v>
      </c>
      <c r="E838" s="79">
        <v>1355</v>
      </c>
      <c r="F838" s="81">
        <v>46233</v>
      </c>
      <c r="G838" s="79" cm="1">
        <f t="array" ref="G838:X838">_xlfn._xlws.FILTER(Formulas!$C$2:$T$201, ISNUMBER(MATCH(Formulas!$B$2:$B$201, B838, 0)),0) * E838</f>
        <v>271</v>
      </c>
      <c r="H838" s="79">
        <v>941.99600000000009</v>
      </c>
      <c r="I838" s="79">
        <v>67.478999999999999</v>
      </c>
      <c r="J838" s="79">
        <v>0</v>
      </c>
      <c r="K838" s="79">
        <v>0</v>
      </c>
      <c r="L838" s="79">
        <v>0</v>
      </c>
      <c r="M838" s="79">
        <v>74.525000000000006</v>
      </c>
      <c r="N838" s="79">
        <v>0</v>
      </c>
      <c r="O838" s="79">
        <v>0</v>
      </c>
      <c r="P838" s="79">
        <v>0</v>
      </c>
      <c r="Q838" s="79">
        <v>0</v>
      </c>
      <c r="R838" s="79">
        <v>0</v>
      </c>
      <c r="S838" s="79">
        <v>0</v>
      </c>
      <c r="T838" s="79">
        <v>0</v>
      </c>
      <c r="U838" s="79">
        <v>0</v>
      </c>
      <c r="V838" s="79">
        <v>0</v>
      </c>
      <c r="W838" s="79">
        <v>0</v>
      </c>
      <c r="X838" s="90">
        <v>0</v>
      </c>
    </row>
    <row r="839" spans="1:24" hidden="1" x14ac:dyDescent="0.25">
      <c r="A839" s="80" t="str">
        <v>PENDIENTE</v>
      </c>
      <c r="B839" s="80" t="str">
        <v>Querocoto</v>
      </c>
      <c r="C839" s="80" t="str">
        <v>O.C.</v>
      </c>
      <c r="D839" s="81">
        <v>46248</v>
      </c>
      <c r="E839" s="79">
        <v>505.04400000000004</v>
      </c>
      <c r="F839" s="81">
        <v>46246</v>
      </c>
      <c r="G839" s="79" cm="1">
        <f t="array" ref="G839:X839">_xlfn._xlws.FILTER(Formulas!$C$2:$T$201, ISNUMBER(MATCH(Formulas!$B$2:$B$201, B839, 0)),0) * E839</f>
        <v>101.00880000000001</v>
      </c>
      <c r="H839" s="79">
        <v>351.10658880000005</v>
      </c>
      <c r="I839" s="79">
        <v>25.1511912</v>
      </c>
      <c r="J839" s="79">
        <v>0</v>
      </c>
      <c r="K839" s="79">
        <v>0</v>
      </c>
      <c r="L839" s="79">
        <v>0</v>
      </c>
      <c r="M839" s="79">
        <v>27.777420000000003</v>
      </c>
      <c r="N839" s="79">
        <v>0</v>
      </c>
      <c r="O839" s="79">
        <v>0</v>
      </c>
      <c r="P839" s="79">
        <v>0</v>
      </c>
      <c r="Q839" s="79">
        <v>0</v>
      </c>
      <c r="R839" s="79">
        <v>0</v>
      </c>
      <c r="S839" s="79">
        <v>0</v>
      </c>
      <c r="T839" s="79">
        <v>0</v>
      </c>
      <c r="U839" s="79">
        <v>0</v>
      </c>
      <c r="V839" s="79">
        <v>0</v>
      </c>
      <c r="W839" s="79">
        <v>0</v>
      </c>
      <c r="X839" s="90">
        <v>0</v>
      </c>
    </row>
    <row r="840" spans="1:24" hidden="1" x14ac:dyDescent="0.25">
      <c r="A840" s="80" t="str">
        <v>PENDIENTE</v>
      </c>
      <c r="B840" s="80" t="str">
        <v>Querocoto</v>
      </c>
      <c r="C840" s="80" t="str">
        <v>Setiembre</v>
      </c>
      <c r="D840" s="81">
        <v>46249</v>
      </c>
      <c r="E840" s="79">
        <v>1355</v>
      </c>
      <c r="F840" s="81">
        <v>46246</v>
      </c>
      <c r="G840" s="79" cm="1">
        <f t="array" ref="G840:X840">_xlfn._xlws.FILTER(Formulas!$C$2:$T$201, ISNUMBER(MATCH(Formulas!$B$2:$B$201, B840, 0)),0) * E840</f>
        <v>271</v>
      </c>
      <c r="H840" s="79">
        <v>941.99600000000009</v>
      </c>
      <c r="I840" s="79">
        <v>67.478999999999999</v>
      </c>
      <c r="J840" s="79">
        <v>0</v>
      </c>
      <c r="K840" s="79">
        <v>0</v>
      </c>
      <c r="L840" s="79">
        <v>0</v>
      </c>
      <c r="M840" s="79">
        <v>74.525000000000006</v>
      </c>
      <c r="N840" s="79">
        <v>0</v>
      </c>
      <c r="O840" s="79">
        <v>0</v>
      </c>
      <c r="P840" s="79">
        <v>0</v>
      </c>
      <c r="Q840" s="79">
        <v>0</v>
      </c>
      <c r="R840" s="79">
        <v>0</v>
      </c>
      <c r="S840" s="79">
        <v>0</v>
      </c>
      <c r="T840" s="79">
        <v>0</v>
      </c>
      <c r="U840" s="79">
        <v>0</v>
      </c>
      <c r="V840" s="79">
        <v>0</v>
      </c>
      <c r="W840" s="79">
        <v>0</v>
      </c>
      <c r="X840" s="90">
        <v>0</v>
      </c>
    </row>
    <row r="841" spans="1:24" hidden="1" x14ac:dyDescent="0.25">
      <c r="A841" s="80" t="str">
        <v>PENDIENTE</v>
      </c>
      <c r="B841" s="80" t="str">
        <v>Querocoto</v>
      </c>
      <c r="C841" s="80" t="str">
        <v>Octubre</v>
      </c>
      <c r="D841" s="81">
        <v>46280</v>
      </c>
      <c r="E841" s="79">
        <v>1355</v>
      </c>
      <c r="F841" s="81">
        <v>0</v>
      </c>
      <c r="G841" s="79" cm="1">
        <f t="array" ref="G841:X841">_xlfn._xlws.FILTER(Formulas!$C$2:$T$201, ISNUMBER(MATCH(Formulas!$B$2:$B$201, B841, 0)),0) * E841</f>
        <v>271</v>
      </c>
      <c r="H841" s="79">
        <v>941.99600000000009</v>
      </c>
      <c r="I841" s="79">
        <v>67.478999999999999</v>
      </c>
      <c r="J841" s="79">
        <v>0</v>
      </c>
      <c r="K841" s="79">
        <v>0</v>
      </c>
      <c r="L841" s="79">
        <v>0</v>
      </c>
      <c r="M841" s="79">
        <v>74.525000000000006</v>
      </c>
      <c r="N841" s="79">
        <v>0</v>
      </c>
      <c r="O841" s="79">
        <v>0</v>
      </c>
      <c r="P841" s="79">
        <v>0</v>
      </c>
      <c r="Q841" s="79">
        <v>0</v>
      </c>
      <c r="R841" s="79">
        <v>0</v>
      </c>
      <c r="S841" s="79">
        <v>0</v>
      </c>
      <c r="T841" s="79">
        <v>0</v>
      </c>
      <c r="U841" s="79">
        <v>0</v>
      </c>
      <c r="V841" s="79">
        <v>0</v>
      </c>
      <c r="W841" s="79">
        <v>0</v>
      </c>
      <c r="X841" s="90">
        <v>0</v>
      </c>
    </row>
    <row r="842" spans="1:24" hidden="1" x14ac:dyDescent="0.25">
      <c r="A842" s="80" t="str">
        <v>PENDIENTE</v>
      </c>
      <c r="B842" s="80" t="str">
        <v>Querocoto</v>
      </c>
      <c r="C842" s="80" t="str">
        <v>Noviembre</v>
      </c>
      <c r="D842" s="81">
        <v>46310</v>
      </c>
      <c r="E842" s="79">
        <v>1355</v>
      </c>
      <c r="F842" s="81">
        <v>0</v>
      </c>
      <c r="G842" s="79" cm="1">
        <f t="array" ref="G842:X842">_xlfn._xlws.FILTER(Formulas!$C$2:$T$201, ISNUMBER(MATCH(Formulas!$B$2:$B$201, B842, 0)),0) * E842</f>
        <v>271</v>
      </c>
      <c r="H842" s="79">
        <v>941.99600000000009</v>
      </c>
      <c r="I842" s="79">
        <v>67.478999999999999</v>
      </c>
      <c r="J842" s="79">
        <v>0</v>
      </c>
      <c r="K842" s="79">
        <v>0</v>
      </c>
      <c r="L842" s="79">
        <v>0</v>
      </c>
      <c r="M842" s="79">
        <v>74.525000000000006</v>
      </c>
      <c r="N842" s="79">
        <v>0</v>
      </c>
      <c r="O842" s="79">
        <v>0</v>
      </c>
      <c r="P842" s="79">
        <v>0</v>
      </c>
      <c r="Q842" s="79">
        <v>0</v>
      </c>
      <c r="R842" s="79">
        <v>0</v>
      </c>
      <c r="S842" s="79">
        <v>0</v>
      </c>
      <c r="T842" s="79">
        <v>0</v>
      </c>
      <c r="U842" s="79">
        <v>0</v>
      </c>
      <c r="V842" s="79">
        <v>0</v>
      </c>
      <c r="W842" s="79">
        <v>0</v>
      </c>
      <c r="X842" s="90">
        <v>0</v>
      </c>
    </row>
    <row r="843" spans="1:24" hidden="1" x14ac:dyDescent="0.25">
      <c r="A843" s="80" t="str">
        <v>PENDIENTE</v>
      </c>
      <c r="B843" s="80" t="str">
        <v>Querocoto</v>
      </c>
      <c r="C843" s="80" t="str">
        <v>Diciembre</v>
      </c>
      <c r="D843" s="81">
        <v>46341</v>
      </c>
      <c r="E843" s="79">
        <v>1355</v>
      </c>
      <c r="F843" s="81">
        <v>0</v>
      </c>
      <c r="G843" s="79" cm="1">
        <f t="array" ref="G843:X843">_xlfn._xlws.FILTER(Formulas!$C$2:$T$201, ISNUMBER(MATCH(Formulas!$B$2:$B$201, B843, 0)),0) * E843</f>
        <v>271</v>
      </c>
      <c r="H843" s="79">
        <v>941.99600000000009</v>
      </c>
      <c r="I843" s="79">
        <v>67.478999999999999</v>
      </c>
      <c r="J843" s="79">
        <v>0</v>
      </c>
      <c r="K843" s="79">
        <v>0</v>
      </c>
      <c r="L843" s="79">
        <v>0</v>
      </c>
      <c r="M843" s="79">
        <v>74.525000000000006</v>
      </c>
      <c r="N843" s="79">
        <v>0</v>
      </c>
      <c r="O843" s="79">
        <v>0</v>
      </c>
      <c r="P843" s="79">
        <v>0</v>
      </c>
      <c r="Q843" s="79">
        <v>0</v>
      </c>
      <c r="R843" s="79">
        <v>0</v>
      </c>
      <c r="S843" s="79">
        <v>0</v>
      </c>
      <c r="T843" s="79">
        <v>0</v>
      </c>
      <c r="U843" s="79">
        <v>0</v>
      </c>
      <c r="V843" s="79">
        <v>0</v>
      </c>
      <c r="W843" s="79">
        <v>0</v>
      </c>
      <c r="X843" s="90">
        <v>0</v>
      </c>
    </row>
    <row r="844" spans="1:24" hidden="1" x14ac:dyDescent="0.25">
      <c r="A844" s="80" t="str">
        <v>PENDIENTE</v>
      </c>
      <c r="B844" s="80" t="str">
        <v>Quillo</v>
      </c>
      <c r="C844" s="80" t="str">
        <v>Enero</v>
      </c>
      <c r="D844" s="81">
        <v>46022</v>
      </c>
      <c r="E844" s="79">
        <v>3154.25</v>
      </c>
      <c r="F844" s="81">
        <v>45996</v>
      </c>
      <c r="G844" s="79" cm="1">
        <f t="array" ref="G844:X844">_xlfn._xlws.FILTER(Formulas!$C$2:$T$201, ISNUMBER(MATCH(Formulas!$B$2:$B$201, B844, 0)),0) * E844</f>
        <v>914.73249999999996</v>
      </c>
      <c r="H844" s="79">
        <v>1892.55</v>
      </c>
      <c r="I844" s="79">
        <v>110.39875000000001</v>
      </c>
      <c r="J844" s="79">
        <v>0</v>
      </c>
      <c r="K844" s="79">
        <v>0</v>
      </c>
      <c r="L844" s="79">
        <v>0</v>
      </c>
      <c r="M844" s="79">
        <v>94.627499999999998</v>
      </c>
      <c r="N844" s="79">
        <v>141.94125</v>
      </c>
      <c r="O844" s="79">
        <v>0</v>
      </c>
      <c r="P844" s="79">
        <v>0</v>
      </c>
      <c r="Q844" s="79">
        <v>0</v>
      </c>
      <c r="R844" s="79">
        <v>0</v>
      </c>
      <c r="S844" s="79">
        <v>0</v>
      </c>
      <c r="T844" s="79">
        <v>0</v>
      </c>
      <c r="U844" s="79">
        <v>3.1542500000000002</v>
      </c>
      <c r="V844" s="79">
        <v>0</v>
      </c>
      <c r="W844" s="79">
        <v>0</v>
      </c>
      <c r="X844" s="90">
        <v>0</v>
      </c>
    </row>
    <row r="845" spans="1:24" hidden="1" x14ac:dyDescent="0.25">
      <c r="A845" s="80" t="str">
        <v>PENDIENTE</v>
      </c>
      <c r="B845" s="80" t="str">
        <v>Quillo</v>
      </c>
      <c r="C845" s="80" t="str">
        <v>Febrero</v>
      </c>
      <c r="D845" s="81">
        <v>46022</v>
      </c>
      <c r="E845" s="79">
        <v>1424.5</v>
      </c>
      <c r="F845" s="81">
        <v>45996</v>
      </c>
      <c r="G845" s="79" cm="1">
        <f t="array" ref="G845:X845">_xlfn._xlws.FILTER(Formulas!$C$2:$T$201, ISNUMBER(MATCH(Formulas!$B$2:$B$201, B845, 0)),0) * E845</f>
        <v>413.10499999999996</v>
      </c>
      <c r="H845" s="79">
        <v>854.69999999999993</v>
      </c>
      <c r="I845" s="79">
        <v>49.857500000000002</v>
      </c>
      <c r="J845" s="79">
        <v>0</v>
      </c>
      <c r="K845" s="79">
        <v>0</v>
      </c>
      <c r="L845" s="79">
        <v>0</v>
      </c>
      <c r="M845" s="79">
        <v>42.734999999999999</v>
      </c>
      <c r="N845" s="79">
        <v>64.102499999999992</v>
      </c>
      <c r="O845" s="79">
        <v>0</v>
      </c>
      <c r="P845" s="79">
        <v>0</v>
      </c>
      <c r="Q845" s="79">
        <v>0</v>
      </c>
      <c r="R845" s="79">
        <v>0</v>
      </c>
      <c r="S845" s="79">
        <v>0</v>
      </c>
      <c r="T845" s="79">
        <v>0</v>
      </c>
      <c r="U845" s="79">
        <v>1.4245000000000001</v>
      </c>
      <c r="V845" s="79">
        <v>0</v>
      </c>
      <c r="W845" s="79">
        <v>0</v>
      </c>
      <c r="X845" s="90">
        <v>0</v>
      </c>
    </row>
    <row r="846" spans="1:24" hidden="1" x14ac:dyDescent="0.25">
      <c r="A846" s="80" t="str">
        <v>PENDIENTE</v>
      </c>
      <c r="B846" s="80" t="str">
        <v>Quillo</v>
      </c>
      <c r="C846" s="80" t="str">
        <v>Abril</v>
      </c>
      <c r="D846" s="81">
        <v>46106</v>
      </c>
      <c r="E846" s="79">
        <v>3052.5</v>
      </c>
      <c r="F846" s="80">
        <v>46129</v>
      </c>
      <c r="G846" s="79" cm="1">
        <f t="array" ref="G846:X846">_xlfn._xlws.FILTER(Formulas!$C$2:$T$201, ISNUMBER(MATCH(Formulas!$B$2:$B$201, B846, 0)),0) * E846</f>
        <v>885.22499999999991</v>
      </c>
      <c r="H846" s="79">
        <v>1831.5</v>
      </c>
      <c r="I846" s="79">
        <v>106.83750000000001</v>
      </c>
      <c r="J846" s="79">
        <v>0</v>
      </c>
      <c r="K846" s="79">
        <v>0</v>
      </c>
      <c r="L846" s="79">
        <v>0</v>
      </c>
      <c r="M846" s="79">
        <v>91.575000000000003</v>
      </c>
      <c r="N846" s="79">
        <v>137.36249999999998</v>
      </c>
      <c r="O846" s="79">
        <v>0</v>
      </c>
      <c r="P846" s="79">
        <v>0</v>
      </c>
      <c r="Q846" s="79">
        <v>0</v>
      </c>
      <c r="R846" s="79">
        <v>0</v>
      </c>
      <c r="S846" s="79">
        <v>0</v>
      </c>
      <c r="T846" s="79">
        <v>0</v>
      </c>
      <c r="U846" s="79">
        <v>3.0525000000000002</v>
      </c>
      <c r="V846" s="79">
        <v>0</v>
      </c>
      <c r="W846" s="79">
        <v>0</v>
      </c>
      <c r="X846" s="90">
        <v>0</v>
      </c>
    </row>
    <row r="847" spans="1:24" hidden="1" x14ac:dyDescent="0.25">
      <c r="A847" s="80" t="str">
        <v>PENDIENTE</v>
      </c>
      <c r="B847" s="80" t="str">
        <v>Quillo</v>
      </c>
      <c r="C847" s="80" t="str">
        <v>Mayo</v>
      </c>
      <c r="D847" s="81">
        <v>46106</v>
      </c>
      <c r="E847" s="79">
        <v>1577.125</v>
      </c>
      <c r="F847" s="81">
        <v>46129</v>
      </c>
      <c r="G847" s="79" cm="1">
        <f t="array" ref="G847:X847">_xlfn._xlws.FILTER(Formulas!$C$2:$T$201, ISNUMBER(MATCH(Formulas!$B$2:$B$201, B847, 0)),0) * E847</f>
        <v>457.36624999999998</v>
      </c>
      <c r="H847" s="79">
        <v>946.27499999999998</v>
      </c>
      <c r="I847" s="79">
        <v>55.199375000000003</v>
      </c>
      <c r="J847" s="79">
        <v>0</v>
      </c>
      <c r="K847" s="79">
        <v>0</v>
      </c>
      <c r="L847" s="79">
        <v>0</v>
      </c>
      <c r="M847" s="79">
        <v>47.313749999999999</v>
      </c>
      <c r="N847" s="79">
        <v>70.970624999999998</v>
      </c>
      <c r="O847" s="79">
        <v>0</v>
      </c>
      <c r="P847" s="79">
        <v>0</v>
      </c>
      <c r="Q847" s="79">
        <v>0</v>
      </c>
      <c r="R847" s="79">
        <v>0</v>
      </c>
      <c r="S847" s="79">
        <v>0</v>
      </c>
      <c r="T847" s="79">
        <v>0</v>
      </c>
      <c r="U847" s="79">
        <v>1.5771250000000001</v>
      </c>
      <c r="V847" s="79">
        <v>0</v>
      </c>
      <c r="W847" s="79">
        <v>0</v>
      </c>
      <c r="X847" s="90">
        <v>0</v>
      </c>
    </row>
    <row r="848" spans="1:24" hidden="1" x14ac:dyDescent="0.25">
      <c r="A848" s="80" t="str">
        <v>PENDIENTE</v>
      </c>
      <c r="B848" s="80" t="str">
        <v>Quillo</v>
      </c>
      <c r="C848" s="80" t="str">
        <v>Junio</v>
      </c>
      <c r="D848" s="81">
        <v>46197</v>
      </c>
      <c r="E848" s="79">
        <v>3052.5</v>
      </c>
      <c r="F848" s="81">
        <v>46201</v>
      </c>
      <c r="G848" s="79" cm="1">
        <f t="array" ref="G848:X848">_xlfn._xlws.FILTER(Formulas!$C$2:$T$201, ISNUMBER(MATCH(Formulas!$B$2:$B$201, B848, 0)),0) * E848</f>
        <v>885.22499999999991</v>
      </c>
      <c r="H848" s="79">
        <v>1831.5</v>
      </c>
      <c r="I848" s="79">
        <v>106.83750000000001</v>
      </c>
      <c r="J848" s="79">
        <v>0</v>
      </c>
      <c r="K848" s="79">
        <v>0</v>
      </c>
      <c r="L848" s="79">
        <v>0</v>
      </c>
      <c r="M848" s="79">
        <v>91.575000000000003</v>
      </c>
      <c r="N848" s="79">
        <v>137.36249999999998</v>
      </c>
      <c r="O848" s="79">
        <v>0</v>
      </c>
      <c r="P848" s="79">
        <v>0</v>
      </c>
      <c r="Q848" s="79">
        <v>0</v>
      </c>
      <c r="R848" s="79">
        <v>0</v>
      </c>
      <c r="S848" s="79">
        <v>0</v>
      </c>
      <c r="T848" s="79">
        <v>0</v>
      </c>
      <c r="U848" s="79">
        <v>3.0525000000000002</v>
      </c>
      <c r="V848" s="79">
        <v>0</v>
      </c>
      <c r="W848" s="79">
        <v>0</v>
      </c>
      <c r="X848" s="90">
        <v>0</v>
      </c>
    </row>
    <row r="849" spans="1:24" hidden="1" x14ac:dyDescent="0.25">
      <c r="A849" s="80" t="str">
        <v>PENDIENTE</v>
      </c>
      <c r="B849" s="80" t="str">
        <v>Quillo</v>
      </c>
      <c r="C849" s="80" t="str">
        <v>Julio</v>
      </c>
      <c r="D849" s="81">
        <v>46197</v>
      </c>
      <c r="E849" s="79">
        <v>1577.125</v>
      </c>
      <c r="F849" s="81">
        <v>46201</v>
      </c>
      <c r="G849" s="79" cm="1">
        <f t="array" ref="G849:X849">_xlfn._xlws.FILTER(Formulas!$C$2:$T$201, ISNUMBER(MATCH(Formulas!$B$2:$B$201, B849, 0)),0) * E849</f>
        <v>457.36624999999998</v>
      </c>
      <c r="H849" s="79">
        <v>946.27499999999998</v>
      </c>
      <c r="I849" s="79">
        <v>55.199375000000003</v>
      </c>
      <c r="J849" s="79">
        <v>0</v>
      </c>
      <c r="K849" s="79">
        <v>0</v>
      </c>
      <c r="L849" s="79">
        <v>0</v>
      </c>
      <c r="M849" s="79">
        <v>47.313749999999999</v>
      </c>
      <c r="N849" s="79">
        <v>70.970624999999998</v>
      </c>
      <c r="O849" s="79">
        <v>0</v>
      </c>
      <c r="P849" s="79">
        <v>0</v>
      </c>
      <c r="Q849" s="79">
        <v>0</v>
      </c>
      <c r="R849" s="79">
        <v>0</v>
      </c>
      <c r="S849" s="79">
        <v>0</v>
      </c>
      <c r="T849" s="79">
        <v>0</v>
      </c>
      <c r="U849" s="79">
        <v>1.5771250000000001</v>
      </c>
      <c r="V849" s="79">
        <v>0</v>
      </c>
      <c r="W849" s="79">
        <v>0</v>
      </c>
      <c r="X849" s="90">
        <v>0</v>
      </c>
    </row>
    <row r="850" spans="1:24" hidden="1" x14ac:dyDescent="0.25">
      <c r="A850" s="80" t="str">
        <v>PENDIENTE</v>
      </c>
      <c r="B850" s="80" t="str">
        <v>Quillo</v>
      </c>
      <c r="C850" s="80" t="str">
        <v>Octubre</v>
      </c>
      <c r="D850" s="81">
        <v>46197</v>
      </c>
      <c r="E850" s="79">
        <v>3154.25</v>
      </c>
      <c r="F850" s="81">
        <v>46256</v>
      </c>
      <c r="G850" s="79" cm="1">
        <f t="array" ref="G850:X850">_xlfn._xlws.FILTER(Formulas!$C$2:$T$201, ISNUMBER(MATCH(Formulas!$B$2:$B$201, B850, 0)),0) * E850</f>
        <v>914.73249999999996</v>
      </c>
      <c r="H850" s="79">
        <v>1892.55</v>
      </c>
      <c r="I850" s="79">
        <v>110.39875000000001</v>
      </c>
      <c r="J850" s="79">
        <v>0</v>
      </c>
      <c r="K850" s="79">
        <v>0</v>
      </c>
      <c r="L850" s="79">
        <v>0</v>
      </c>
      <c r="M850" s="79">
        <v>94.627499999999998</v>
      </c>
      <c r="N850" s="79">
        <v>141.94125</v>
      </c>
      <c r="O850" s="79">
        <v>0</v>
      </c>
      <c r="P850" s="79">
        <v>0</v>
      </c>
      <c r="Q850" s="79">
        <v>0</v>
      </c>
      <c r="R850" s="79">
        <v>0</v>
      </c>
      <c r="S850" s="79">
        <v>0</v>
      </c>
      <c r="T850" s="79">
        <v>0</v>
      </c>
      <c r="U850" s="79">
        <v>3.1542500000000002</v>
      </c>
      <c r="V850" s="79">
        <v>0</v>
      </c>
      <c r="W850" s="79">
        <v>0</v>
      </c>
      <c r="X850" s="90">
        <v>0</v>
      </c>
    </row>
    <row r="851" spans="1:24" hidden="1" x14ac:dyDescent="0.25">
      <c r="A851" s="80" t="str">
        <v>PENDIENTE</v>
      </c>
      <c r="B851" s="80" t="str">
        <v>Quillo</v>
      </c>
      <c r="C851" s="80" t="str">
        <v>Noviembre</v>
      </c>
      <c r="D851" s="81">
        <v>46288</v>
      </c>
      <c r="E851" s="79">
        <v>3052.5</v>
      </c>
      <c r="F851" s="81">
        <v>46256</v>
      </c>
      <c r="G851" s="79" cm="1">
        <f t="array" ref="G851:X851">_xlfn._xlws.FILTER(Formulas!$C$2:$T$201, ISNUMBER(MATCH(Formulas!$B$2:$B$201, B851, 0)),0) * E851</f>
        <v>885.22499999999991</v>
      </c>
      <c r="H851" s="79">
        <v>1831.5</v>
      </c>
      <c r="I851" s="79">
        <v>106.83750000000001</v>
      </c>
      <c r="J851" s="79">
        <v>0</v>
      </c>
      <c r="K851" s="79">
        <v>0</v>
      </c>
      <c r="L851" s="79">
        <v>0</v>
      </c>
      <c r="M851" s="79">
        <v>91.575000000000003</v>
      </c>
      <c r="N851" s="79">
        <v>137.36249999999998</v>
      </c>
      <c r="O851" s="79">
        <v>0</v>
      </c>
      <c r="P851" s="79">
        <v>0</v>
      </c>
      <c r="Q851" s="79">
        <v>0</v>
      </c>
      <c r="R851" s="79">
        <v>0</v>
      </c>
      <c r="S851" s="79">
        <v>0</v>
      </c>
      <c r="T851" s="79">
        <v>0</v>
      </c>
      <c r="U851" s="79">
        <v>3.0525000000000002</v>
      </c>
      <c r="V851" s="79">
        <v>0</v>
      </c>
      <c r="W851" s="79">
        <v>0</v>
      </c>
      <c r="X851" s="90">
        <v>0</v>
      </c>
    </row>
    <row r="852" spans="1:24" hidden="1" x14ac:dyDescent="0.25">
      <c r="A852" s="80" t="str">
        <v>PENDIENTE</v>
      </c>
      <c r="B852" s="80" t="str">
        <v>Quillo</v>
      </c>
      <c r="C852" s="80" t="str">
        <v>Diciembre</v>
      </c>
      <c r="D852" s="81">
        <v>46288</v>
      </c>
      <c r="E852" s="79">
        <v>3154.25</v>
      </c>
      <c r="F852" s="81">
        <v>0</v>
      </c>
      <c r="G852" s="79" cm="1">
        <f t="array" ref="G852:X852">_xlfn._xlws.FILTER(Formulas!$C$2:$T$201, ISNUMBER(MATCH(Formulas!$B$2:$B$201, B852, 0)),0) * E852</f>
        <v>914.73249999999996</v>
      </c>
      <c r="H852" s="79">
        <v>1892.55</v>
      </c>
      <c r="I852" s="79">
        <v>110.39875000000001</v>
      </c>
      <c r="J852" s="79">
        <v>0</v>
      </c>
      <c r="K852" s="79">
        <v>0</v>
      </c>
      <c r="L852" s="79">
        <v>0</v>
      </c>
      <c r="M852" s="79">
        <v>94.627499999999998</v>
      </c>
      <c r="N852" s="79">
        <v>141.94125</v>
      </c>
      <c r="O852" s="79">
        <v>0</v>
      </c>
      <c r="P852" s="79">
        <v>0</v>
      </c>
      <c r="Q852" s="79">
        <v>0</v>
      </c>
      <c r="R852" s="79">
        <v>0</v>
      </c>
      <c r="S852" s="79">
        <v>0</v>
      </c>
      <c r="T852" s="79">
        <v>0</v>
      </c>
      <c r="U852" s="79">
        <v>3.1542500000000002</v>
      </c>
      <c r="V852" s="79">
        <v>0</v>
      </c>
      <c r="W852" s="79">
        <v>0</v>
      </c>
      <c r="X852" s="90">
        <v>0</v>
      </c>
    </row>
    <row r="853" spans="1:24" hidden="1" x14ac:dyDescent="0.25">
      <c r="A853" s="80" t="str">
        <v>PENDIENTE</v>
      </c>
      <c r="B853" s="80" t="str">
        <v>Salaverry</v>
      </c>
      <c r="C853" s="80" t="str">
        <v>Enero</v>
      </c>
      <c r="D853" s="81">
        <v>46023</v>
      </c>
      <c r="E853" s="79">
        <v>853</v>
      </c>
      <c r="F853" s="81">
        <v>46027</v>
      </c>
      <c r="G853" s="79" cm="1">
        <f t="array" ref="G853:X853">_xlfn._xlws.FILTER(Formulas!$C$2:$T$201, ISNUMBER(MATCH(Formulas!$B$2:$B$201, B853, 0)),0) * E853</f>
        <v>154</v>
      </c>
      <c r="H853" s="79">
        <v>648</v>
      </c>
      <c r="I853" s="79">
        <v>51</v>
      </c>
      <c r="J853" s="79">
        <v>0</v>
      </c>
      <c r="K853" s="79">
        <v>0</v>
      </c>
      <c r="L853" s="79">
        <v>0</v>
      </c>
      <c r="M853" s="79">
        <v>0</v>
      </c>
      <c r="N853" s="79">
        <v>0</v>
      </c>
      <c r="O853" s="79">
        <v>0</v>
      </c>
      <c r="P853" s="79">
        <v>0</v>
      </c>
      <c r="Q853" s="79">
        <v>0</v>
      </c>
      <c r="R853" s="79">
        <v>0</v>
      </c>
      <c r="S853" s="79">
        <v>0</v>
      </c>
      <c r="T853" s="79">
        <v>0</v>
      </c>
      <c r="U853" s="79">
        <v>0</v>
      </c>
      <c r="V853" s="79">
        <v>0</v>
      </c>
      <c r="W853" s="79">
        <v>0</v>
      </c>
      <c r="X853" s="90">
        <v>0</v>
      </c>
    </row>
    <row r="854" spans="1:24" hidden="1" x14ac:dyDescent="0.25">
      <c r="A854" s="80" t="str">
        <v>PENDIENTE</v>
      </c>
      <c r="B854" s="80" t="str">
        <v>Salaverry</v>
      </c>
      <c r="C854" s="80" t="str">
        <v>Febrero</v>
      </c>
      <c r="D854" s="81">
        <v>46052</v>
      </c>
      <c r="E854" s="79">
        <v>770</v>
      </c>
      <c r="F854" s="81">
        <v>46050</v>
      </c>
      <c r="G854" s="79" cm="1">
        <f t="array" ref="G854:X854">_xlfn._xlws.FILTER(Formulas!$C$2:$T$201, ISNUMBER(MATCH(Formulas!$B$2:$B$201, B854, 0)),0) * E854</f>
        <v>139.01524032825324</v>
      </c>
      <c r="H854" s="79">
        <v>584.94724501758503</v>
      </c>
      <c r="I854" s="79">
        <v>46.037514654161782</v>
      </c>
      <c r="J854" s="79">
        <v>0</v>
      </c>
      <c r="K854" s="79">
        <v>0</v>
      </c>
      <c r="L854" s="79">
        <v>0</v>
      </c>
      <c r="M854" s="79">
        <v>0</v>
      </c>
      <c r="N854" s="79">
        <v>0</v>
      </c>
      <c r="O854" s="79">
        <v>0</v>
      </c>
      <c r="P854" s="79">
        <v>0</v>
      </c>
      <c r="Q854" s="79">
        <v>0</v>
      </c>
      <c r="R854" s="79">
        <v>0</v>
      </c>
      <c r="S854" s="79">
        <v>0</v>
      </c>
      <c r="T854" s="79">
        <v>0</v>
      </c>
      <c r="U854" s="79">
        <v>0</v>
      </c>
      <c r="V854" s="79">
        <v>0</v>
      </c>
      <c r="W854" s="79">
        <v>0</v>
      </c>
      <c r="X854" s="90">
        <v>0</v>
      </c>
    </row>
    <row r="855" spans="1:24" hidden="1" x14ac:dyDescent="0.25">
      <c r="A855" s="80" t="str">
        <v>PENDIENTE</v>
      </c>
      <c r="B855" s="80" t="str">
        <v>Salaverry</v>
      </c>
      <c r="C855" s="80" t="str">
        <v>Marzo</v>
      </c>
      <c r="D855" s="81">
        <v>46081</v>
      </c>
      <c r="E855" s="79">
        <v>853</v>
      </c>
      <c r="F855" s="81">
        <v>46079</v>
      </c>
      <c r="G855" s="79" cm="1">
        <f t="array" ref="G855:X855">_xlfn._xlws.FILTER(Formulas!$C$2:$T$201, ISNUMBER(MATCH(Formulas!$B$2:$B$201, B855, 0)),0) * E855</f>
        <v>154</v>
      </c>
      <c r="H855" s="79">
        <v>648</v>
      </c>
      <c r="I855" s="79">
        <v>51</v>
      </c>
      <c r="J855" s="79">
        <v>0</v>
      </c>
      <c r="K855" s="79">
        <v>0</v>
      </c>
      <c r="L855" s="79">
        <v>0</v>
      </c>
      <c r="M855" s="79">
        <v>0</v>
      </c>
      <c r="N855" s="79">
        <v>0</v>
      </c>
      <c r="O855" s="79">
        <v>0</v>
      </c>
      <c r="P855" s="79">
        <v>0</v>
      </c>
      <c r="Q855" s="79">
        <v>0</v>
      </c>
      <c r="R855" s="79">
        <v>0</v>
      </c>
      <c r="S855" s="79">
        <v>0</v>
      </c>
      <c r="T855" s="79">
        <v>0</v>
      </c>
      <c r="U855" s="79">
        <v>0</v>
      </c>
      <c r="V855" s="79">
        <v>0</v>
      </c>
      <c r="W855" s="79">
        <v>0</v>
      </c>
      <c r="X855" s="90">
        <v>0</v>
      </c>
    </row>
    <row r="856" spans="1:24" hidden="1" x14ac:dyDescent="0.25">
      <c r="A856" s="80" t="str">
        <v>PENDIENTE</v>
      </c>
      <c r="B856" s="80" t="str">
        <v>Salaverry</v>
      </c>
      <c r="C856" s="80" t="str">
        <v>Abril</v>
      </c>
      <c r="D856" s="81">
        <v>46111</v>
      </c>
      <c r="E856" s="79">
        <v>825</v>
      </c>
      <c r="F856" s="81">
        <v>46108</v>
      </c>
      <c r="G856" s="79" cm="1">
        <f t="array" ref="G856:X856">_xlfn._xlws.FILTER(Formulas!$C$2:$T$201, ISNUMBER(MATCH(Formulas!$B$2:$B$201, B856, 0)),0) * E856</f>
        <v>148.94490035169989</v>
      </c>
      <c r="H856" s="79">
        <v>626.72919109026964</v>
      </c>
      <c r="I856" s="79">
        <v>49.325908558030477</v>
      </c>
      <c r="J856" s="79">
        <v>0</v>
      </c>
      <c r="K856" s="79">
        <v>0</v>
      </c>
      <c r="L856" s="79">
        <v>0</v>
      </c>
      <c r="M856" s="79">
        <v>0</v>
      </c>
      <c r="N856" s="79">
        <v>0</v>
      </c>
      <c r="O856" s="79">
        <v>0</v>
      </c>
      <c r="P856" s="79">
        <v>0</v>
      </c>
      <c r="Q856" s="79">
        <v>0</v>
      </c>
      <c r="R856" s="79">
        <v>0</v>
      </c>
      <c r="S856" s="79">
        <v>0</v>
      </c>
      <c r="T856" s="79">
        <v>0</v>
      </c>
      <c r="U856" s="79">
        <v>0</v>
      </c>
      <c r="V856" s="79">
        <v>0</v>
      </c>
      <c r="W856" s="79">
        <v>0</v>
      </c>
      <c r="X856" s="90">
        <v>0</v>
      </c>
    </row>
    <row r="857" spans="1:24" hidden="1" x14ac:dyDescent="0.25">
      <c r="A857" s="80" t="str">
        <v>PENDIENTE</v>
      </c>
      <c r="B857" s="80" t="str">
        <v>Salaverry</v>
      </c>
      <c r="C857" s="80" t="str">
        <v>Mayo</v>
      </c>
      <c r="D857" s="81">
        <v>46142</v>
      </c>
      <c r="E857" s="79">
        <v>853</v>
      </c>
      <c r="F857" s="80">
        <v>46139</v>
      </c>
      <c r="G857" s="79" cm="1">
        <f t="array" ref="G857:X857">_xlfn._xlws.FILTER(Formulas!$C$2:$T$201, ISNUMBER(MATCH(Formulas!$B$2:$B$201, B857, 0)),0) * E857</f>
        <v>154</v>
      </c>
      <c r="H857" s="79">
        <v>648</v>
      </c>
      <c r="I857" s="79">
        <v>51</v>
      </c>
      <c r="J857" s="79">
        <v>0</v>
      </c>
      <c r="K857" s="79">
        <v>0</v>
      </c>
      <c r="L857" s="79">
        <v>0</v>
      </c>
      <c r="M857" s="79">
        <v>0</v>
      </c>
      <c r="N857" s="79">
        <v>0</v>
      </c>
      <c r="O857" s="79">
        <v>0</v>
      </c>
      <c r="P857" s="79">
        <v>0</v>
      </c>
      <c r="Q857" s="79">
        <v>0</v>
      </c>
      <c r="R857" s="79">
        <v>0</v>
      </c>
      <c r="S857" s="79">
        <v>0</v>
      </c>
      <c r="T857" s="79">
        <v>0</v>
      </c>
      <c r="U857" s="79">
        <v>0</v>
      </c>
      <c r="V857" s="79">
        <v>0</v>
      </c>
      <c r="W857" s="79">
        <v>0</v>
      </c>
      <c r="X857" s="90">
        <v>0</v>
      </c>
    </row>
    <row r="858" spans="1:24" hidden="1" x14ac:dyDescent="0.25">
      <c r="A858" s="80" t="str">
        <v>PENDIENTE</v>
      </c>
      <c r="B858" s="80" t="str">
        <v>Salaverry</v>
      </c>
      <c r="C858" s="80" t="str">
        <v>Junio</v>
      </c>
      <c r="D858" s="81">
        <v>46172</v>
      </c>
      <c r="E858" s="79">
        <v>825</v>
      </c>
      <c r="F858" s="80">
        <v>46163</v>
      </c>
      <c r="G858" s="79" cm="1">
        <f t="array" ref="G858:X858">_xlfn._xlws.FILTER(Formulas!$C$2:$T$201, ISNUMBER(MATCH(Formulas!$B$2:$B$201, B858, 0)),0) * E858</f>
        <v>148.94490035169989</v>
      </c>
      <c r="H858" s="79">
        <v>626.72919109026964</v>
      </c>
      <c r="I858" s="79">
        <v>49.325908558030477</v>
      </c>
      <c r="J858" s="79">
        <v>0</v>
      </c>
      <c r="K858" s="79">
        <v>0</v>
      </c>
      <c r="L858" s="79">
        <v>0</v>
      </c>
      <c r="M858" s="79">
        <v>0</v>
      </c>
      <c r="N858" s="79">
        <v>0</v>
      </c>
      <c r="O858" s="79">
        <v>0</v>
      </c>
      <c r="P858" s="79">
        <v>0</v>
      </c>
      <c r="Q858" s="79">
        <v>0</v>
      </c>
      <c r="R858" s="79">
        <v>0</v>
      </c>
      <c r="S858" s="79">
        <v>0</v>
      </c>
      <c r="T858" s="79">
        <v>0</v>
      </c>
      <c r="U858" s="79">
        <v>0</v>
      </c>
      <c r="V858" s="79">
        <v>0</v>
      </c>
      <c r="W858" s="79">
        <v>0</v>
      </c>
      <c r="X858" s="90">
        <v>0</v>
      </c>
    </row>
    <row r="859" spans="1:24" hidden="1" x14ac:dyDescent="0.25">
      <c r="A859" s="80" t="str">
        <v>PENDIENTE</v>
      </c>
      <c r="B859" s="80" t="str">
        <v>Salaverry</v>
      </c>
      <c r="C859" s="80" t="str">
        <v>Julio</v>
      </c>
      <c r="D859" s="81">
        <v>46203</v>
      </c>
      <c r="E859" s="79">
        <v>853</v>
      </c>
      <c r="F859" s="80">
        <v>46198</v>
      </c>
      <c r="G859" s="79" cm="1">
        <f t="array" ref="G859:X859">_xlfn._xlws.FILTER(Formulas!$C$2:$T$201, ISNUMBER(MATCH(Formulas!$B$2:$B$201, B859, 0)),0) * E859</f>
        <v>154</v>
      </c>
      <c r="H859" s="79">
        <v>648</v>
      </c>
      <c r="I859" s="79">
        <v>51</v>
      </c>
      <c r="J859" s="79">
        <v>0</v>
      </c>
      <c r="K859" s="79">
        <v>0</v>
      </c>
      <c r="L859" s="79">
        <v>0</v>
      </c>
      <c r="M859" s="79">
        <v>0</v>
      </c>
      <c r="N859" s="79">
        <v>0</v>
      </c>
      <c r="O859" s="79">
        <v>0</v>
      </c>
      <c r="P859" s="79">
        <v>0</v>
      </c>
      <c r="Q859" s="79">
        <v>0</v>
      </c>
      <c r="R859" s="79">
        <v>0</v>
      </c>
      <c r="S859" s="79">
        <v>0</v>
      </c>
      <c r="T859" s="79">
        <v>0</v>
      </c>
      <c r="U859" s="79">
        <v>0</v>
      </c>
      <c r="V859" s="79">
        <v>0</v>
      </c>
      <c r="W859" s="79">
        <v>0</v>
      </c>
      <c r="X859" s="90">
        <v>0</v>
      </c>
    </row>
    <row r="860" spans="1:24" hidden="1" x14ac:dyDescent="0.25">
      <c r="A860" s="80" t="str">
        <v>PENDIENTE</v>
      </c>
      <c r="B860" s="80" t="str">
        <v>Salaverry</v>
      </c>
      <c r="C860" s="80" t="str">
        <v>Agosto</v>
      </c>
      <c r="D860" s="81">
        <v>46233</v>
      </c>
      <c r="E860" s="79">
        <v>853</v>
      </c>
      <c r="F860" s="81">
        <v>46230</v>
      </c>
      <c r="G860" s="79" cm="1">
        <f t="array" ref="G860:X860">_xlfn._xlws.FILTER(Formulas!$C$2:$T$201, ISNUMBER(MATCH(Formulas!$B$2:$B$201, B860, 0)),0) * E860</f>
        <v>154</v>
      </c>
      <c r="H860" s="79">
        <v>648</v>
      </c>
      <c r="I860" s="79">
        <v>51</v>
      </c>
      <c r="J860" s="79">
        <v>0</v>
      </c>
      <c r="K860" s="79">
        <v>0</v>
      </c>
      <c r="L860" s="79">
        <v>0</v>
      </c>
      <c r="M860" s="79">
        <v>0</v>
      </c>
      <c r="N860" s="79">
        <v>0</v>
      </c>
      <c r="O860" s="79">
        <v>0</v>
      </c>
      <c r="P860" s="79">
        <v>0</v>
      </c>
      <c r="Q860" s="79">
        <v>0</v>
      </c>
      <c r="R860" s="79">
        <v>0</v>
      </c>
      <c r="S860" s="79">
        <v>0</v>
      </c>
      <c r="T860" s="79">
        <v>0</v>
      </c>
      <c r="U860" s="79">
        <v>0</v>
      </c>
      <c r="V860" s="79">
        <v>0</v>
      </c>
      <c r="W860" s="79">
        <v>0</v>
      </c>
      <c r="X860" s="90">
        <v>0</v>
      </c>
    </row>
    <row r="861" spans="1:24" hidden="1" x14ac:dyDescent="0.25">
      <c r="A861" s="80" t="str">
        <v>PENDIENTE</v>
      </c>
      <c r="B861" s="80" t="str">
        <v>Salaverry</v>
      </c>
      <c r="C861" s="80" t="str">
        <v>O.C.</v>
      </c>
      <c r="D861" s="81">
        <v>46264</v>
      </c>
      <c r="E861" s="79">
        <v>561.42999999999995</v>
      </c>
      <c r="F861" s="81">
        <v>46239</v>
      </c>
      <c r="G861" s="79" cm="1">
        <f t="array" ref="G861:X861">_xlfn._xlws.FILTER(Formulas!$C$2:$T$201, ISNUMBER(MATCH(Formulas!$B$2:$B$201, B861, 0)),0) * E861</f>
        <v>101.36016412661195</v>
      </c>
      <c r="H861" s="79">
        <v>426.50250879249705</v>
      </c>
      <c r="I861" s="79">
        <v>33.567327080890969</v>
      </c>
      <c r="J861" s="79">
        <v>0</v>
      </c>
      <c r="K861" s="79">
        <v>0</v>
      </c>
      <c r="L861" s="79">
        <v>0</v>
      </c>
      <c r="M861" s="79">
        <v>0</v>
      </c>
      <c r="N861" s="79">
        <v>0</v>
      </c>
      <c r="O861" s="79">
        <v>0</v>
      </c>
      <c r="P861" s="79">
        <v>0</v>
      </c>
      <c r="Q861" s="79">
        <v>0</v>
      </c>
      <c r="R861" s="79">
        <v>0</v>
      </c>
      <c r="S861" s="79">
        <v>0</v>
      </c>
      <c r="T861" s="79">
        <v>0</v>
      </c>
      <c r="U861" s="79">
        <v>0</v>
      </c>
      <c r="V861" s="79">
        <v>0</v>
      </c>
      <c r="W861" s="79">
        <v>0</v>
      </c>
      <c r="X861" s="90">
        <v>0</v>
      </c>
    </row>
    <row r="862" spans="1:24" hidden="1" x14ac:dyDescent="0.25">
      <c r="A862" s="80" t="str">
        <v>PENDIENTE</v>
      </c>
      <c r="B862" s="80" t="str">
        <v>Salaverry</v>
      </c>
      <c r="C862" s="80" t="str">
        <v>Setiembre</v>
      </c>
      <c r="D862" s="81">
        <v>46264</v>
      </c>
      <c r="E862" s="79">
        <v>825</v>
      </c>
      <c r="F862" s="81">
        <v>46262</v>
      </c>
      <c r="G862" s="79" cm="1">
        <f t="array" ref="G862:X862">_xlfn._xlws.FILTER(Formulas!$C$2:$T$201, ISNUMBER(MATCH(Formulas!$B$2:$B$201, B862, 0)),0) * E862</f>
        <v>148.94490035169989</v>
      </c>
      <c r="H862" s="79">
        <v>626.72919109026964</v>
      </c>
      <c r="I862" s="79">
        <v>49.325908558030477</v>
      </c>
      <c r="J862" s="79">
        <v>0</v>
      </c>
      <c r="K862" s="79">
        <v>0</v>
      </c>
      <c r="L862" s="79">
        <v>0</v>
      </c>
      <c r="M862" s="79">
        <v>0</v>
      </c>
      <c r="N862" s="79">
        <v>0</v>
      </c>
      <c r="O862" s="79">
        <v>0</v>
      </c>
      <c r="P862" s="79">
        <v>0</v>
      </c>
      <c r="Q862" s="79">
        <v>0</v>
      </c>
      <c r="R862" s="79">
        <v>0</v>
      </c>
      <c r="S862" s="79">
        <v>0</v>
      </c>
      <c r="T862" s="79">
        <v>0</v>
      </c>
      <c r="U862" s="79">
        <v>0</v>
      </c>
      <c r="V862" s="79">
        <v>0</v>
      </c>
      <c r="W862" s="79">
        <v>0</v>
      </c>
      <c r="X862" s="90">
        <v>0</v>
      </c>
    </row>
    <row r="863" spans="1:24" hidden="1" x14ac:dyDescent="0.25">
      <c r="A863" s="80" t="str">
        <v>PENDIENTE</v>
      </c>
      <c r="B863" s="80" t="str">
        <v>Salaverry</v>
      </c>
      <c r="C863" s="80" t="str">
        <v>Octubre</v>
      </c>
      <c r="D863" s="81">
        <v>46295</v>
      </c>
      <c r="E863" s="79">
        <v>853</v>
      </c>
      <c r="F863" s="81">
        <v>0</v>
      </c>
      <c r="G863" s="79" cm="1">
        <f t="array" ref="G863:X863">_xlfn._xlws.FILTER(Formulas!$C$2:$T$201, ISNUMBER(MATCH(Formulas!$B$2:$B$201, B863, 0)),0) * E863</f>
        <v>154</v>
      </c>
      <c r="H863" s="79">
        <v>648</v>
      </c>
      <c r="I863" s="79">
        <v>51</v>
      </c>
      <c r="J863" s="79">
        <v>0</v>
      </c>
      <c r="K863" s="79">
        <v>0</v>
      </c>
      <c r="L863" s="79">
        <v>0</v>
      </c>
      <c r="M863" s="79">
        <v>0</v>
      </c>
      <c r="N863" s="79">
        <v>0</v>
      </c>
      <c r="O863" s="79">
        <v>0</v>
      </c>
      <c r="P863" s="79">
        <v>0</v>
      </c>
      <c r="Q863" s="79">
        <v>0</v>
      </c>
      <c r="R863" s="79">
        <v>0</v>
      </c>
      <c r="S863" s="79">
        <v>0</v>
      </c>
      <c r="T863" s="79">
        <v>0</v>
      </c>
      <c r="U863" s="79">
        <v>0</v>
      </c>
      <c r="V863" s="79">
        <v>0</v>
      </c>
      <c r="W863" s="79">
        <v>0</v>
      </c>
      <c r="X863" s="90">
        <v>0</v>
      </c>
    </row>
    <row r="864" spans="1:24" hidden="1" x14ac:dyDescent="0.25">
      <c r="A864" s="80" t="str">
        <v>PENDIENTE</v>
      </c>
      <c r="B864" s="80" t="str">
        <v>Salaverry</v>
      </c>
      <c r="C864" s="80" t="str">
        <v>Noviembre</v>
      </c>
      <c r="D864" s="81">
        <v>46325</v>
      </c>
      <c r="E864" s="79">
        <v>825</v>
      </c>
      <c r="F864" s="81">
        <v>0</v>
      </c>
      <c r="G864" s="79" cm="1">
        <f t="array" ref="G864:X864">_xlfn._xlws.FILTER(Formulas!$C$2:$T$201, ISNUMBER(MATCH(Formulas!$B$2:$B$201, B864, 0)),0) * E864</f>
        <v>148.94490035169989</v>
      </c>
      <c r="H864" s="79">
        <v>626.72919109026964</v>
      </c>
      <c r="I864" s="79">
        <v>49.325908558030477</v>
      </c>
      <c r="J864" s="79">
        <v>0</v>
      </c>
      <c r="K864" s="79">
        <v>0</v>
      </c>
      <c r="L864" s="79">
        <v>0</v>
      </c>
      <c r="M864" s="79">
        <v>0</v>
      </c>
      <c r="N864" s="79">
        <v>0</v>
      </c>
      <c r="O864" s="79">
        <v>0</v>
      </c>
      <c r="P864" s="79">
        <v>0</v>
      </c>
      <c r="Q864" s="79">
        <v>0</v>
      </c>
      <c r="R864" s="79">
        <v>0</v>
      </c>
      <c r="S864" s="79">
        <v>0</v>
      </c>
      <c r="T864" s="79">
        <v>0</v>
      </c>
      <c r="U864" s="79">
        <v>0</v>
      </c>
      <c r="V864" s="79">
        <v>0</v>
      </c>
      <c r="W864" s="79">
        <v>0</v>
      </c>
      <c r="X864" s="90">
        <v>0</v>
      </c>
    </row>
    <row r="865" spans="1:24" hidden="1" x14ac:dyDescent="0.25">
      <c r="A865" s="80" t="str">
        <v>PENDIENTE</v>
      </c>
      <c r="B865" s="80" t="str">
        <v>Salaverry</v>
      </c>
      <c r="C865" s="80" t="str">
        <v>Diciembre</v>
      </c>
      <c r="D865" s="81">
        <v>46356</v>
      </c>
      <c r="E865" s="79">
        <v>853</v>
      </c>
      <c r="F865" s="81">
        <v>0</v>
      </c>
      <c r="G865" s="79" cm="1">
        <f t="array" ref="G865:X865">_xlfn._xlws.FILTER(Formulas!$C$2:$T$201, ISNUMBER(MATCH(Formulas!$B$2:$B$201, B865, 0)),0) * E865</f>
        <v>154</v>
      </c>
      <c r="H865" s="79">
        <v>648</v>
      </c>
      <c r="I865" s="79">
        <v>51</v>
      </c>
      <c r="J865" s="79">
        <v>0</v>
      </c>
      <c r="K865" s="79">
        <v>0</v>
      </c>
      <c r="L865" s="79">
        <v>0</v>
      </c>
      <c r="M865" s="79">
        <v>0</v>
      </c>
      <c r="N865" s="79">
        <v>0</v>
      </c>
      <c r="O865" s="79">
        <v>0</v>
      </c>
      <c r="P865" s="79">
        <v>0</v>
      </c>
      <c r="Q865" s="79">
        <v>0</v>
      </c>
      <c r="R865" s="79">
        <v>0</v>
      </c>
      <c r="S865" s="79">
        <v>0</v>
      </c>
      <c r="T865" s="79">
        <v>0</v>
      </c>
      <c r="U865" s="79">
        <v>0</v>
      </c>
      <c r="V865" s="79">
        <v>0</v>
      </c>
      <c r="W865" s="79">
        <v>0</v>
      </c>
      <c r="X865" s="90">
        <v>0</v>
      </c>
    </row>
    <row r="866" spans="1:24" hidden="1" x14ac:dyDescent="0.25">
      <c r="A866" s="80" t="str">
        <v>PENDIENTE</v>
      </c>
      <c r="B866" s="80" t="str">
        <v>San Antonio</v>
      </c>
      <c r="C866" s="80" t="str">
        <v>Enero</v>
      </c>
      <c r="D866" s="81">
        <v>46022</v>
      </c>
      <c r="E866" s="79">
        <v>303</v>
      </c>
      <c r="F866" s="81">
        <v>46024</v>
      </c>
      <c r="G866" s="79" cm="1">
        <f t="array" ref="G866:X866">_xlfn._xlws.FILTER(Formulas!$C$2:$T$201, ISNUMBER(MATCH(Formulas!$B$2:$B$201, B866, 0)),0) * E866</f>
        <v>45</v>
      </c>
      <c r="H866" s="79">
        <v>238</v>
      </c>
      <c r="I866" s="79">
        <v>19.999999999999996</v>
      </c>
      <c r="J866" s="79">
        <v>0</v>
      </c>
      <c r="K866" s="79">
        <v>0</v>
      </c>
      <c r="L866" s="79">
        <v>0</v>
      </c>
      <c r="M866" s="79">
        <v>0</v>
      </c>
      <c r="N866" s="79">
        <v>0</v>
      </c>
      <c r="O866" s="79">
        <v>0</v>
      </c>
      <c r="P866" s="79">
        <v>0</v>
      </c>
      <c r="Q866" s="79">
        <v>0</v>
      </c>
      <c r="R866" s="79">
        <v>0</v>
      </c>
      <c r="S866" s="79">
        <v>0</v>
      </c>
      <c r="T866" s="79">
        <v>0</v>
      </c>
      <c r="U866" s="79">
        <v>0</v>
      </c>
      <c r="V866" s="79">
        <v>0</v>
      </c>
      <c r="W866" s="79">
        <v>0</v>
      </c>
      <c r="X866" s="90">
        <v>0</v>
      </c>
    </row>
    <row r="867" spans="1:24" hidden="1" x14ac:dyDescent="0.25">
      <c r="A867" s="80" t="str">
        <v>PENDIENTE</v>
      </c>
      <c r="B867" s="80" t="str">
        <v>San Antonio</v>
      </c>
      <c r="C867" s="80" t="str">
        <v>Febrero</v>
      </c>
      <c r="D867" s="81">
        <v>46027</v>
      </c>
      <c r="E867" s="79">
        <v>303</v>
      </c>
      <c r="F867" s="81">
        <v>46024</v>
      </c>
      <c r="G867" s="79" cm="1">
        <f t="array" ref="G867:X867">_xlfn._xlws.FILTER(Formulas!$C$2:$T$201, ISNUMBER(MATCH(Formulas!$B$2:$B$201, B867, 0)),0) * E867</f>
        <v>45</v>
      </c>
      <c r="H867" s="79">
        <v>238</v>
      </c>
      <c r="I867" s="79">
        <v>19.999999999999996</v>
      </c>
      <c r="J867" s="79">
        <v>0</v>
      </c>
      <c r="K867" s="79">
        <v>0</v>
      </c>
      <c r="L867" s="79">
        <v>0</v>
      </c>
      <c r="M867" s="79">
        <v>0</v>
      </c>
      <c r="N867" s="79">
        <v>0</v>
      </c>
      <c r="O867" s="79">
        <v>0</v>
      </c>
      <c r="P867" s="79">
        <v>0</v>
      </c>
      <c r="Q867" s="79">
        <v>0</v>
      </c>
      <c r="R867" s="79">
        <v>0</v>
      </c>
      <c r="S867" s="79">
        <v>0</v>
      </c>
      <c r="T867" s="79">
        <v>0</v>
      </c>
      <c r="U867" s="79">
        <v>0</v>
      </c>
      <c r="V867" s="79">
        <v>0</v>
      </c>
      <c r="W867" s="79">
        <v>0</v>
      </c>
      <c r="X867" s="90">
        <v>0</v>
      </c>
    </row>
    <row r="868" spans="1:24" hidden="1" x14ac:dyDescent="0.25">
      <c r="A868" s="80" t="str">
        <v>PENDIENTE</v>
      </c>
      <c r="B868" s="80" t="str">
        <v>San Antonio</v>
      </c>
      <c r="C868" s="80" t="str">
        <v>Marzo</v>
      </c>
      <c r="D868" s="81">
        <v>46058</v>
      </c>
      <c r="E868" s="79">
        <v>303</v>
      </c>
      <c r="F868" s="81">
        <v>46076</v>
      </c>
      <c r="G868" s="79" cm="1">
        <f t="array" ref="G868:X868">_xlfn._xlws.FILTER(Formulas!$C$2:$T$201, ISNUMBER(MATCH(Formulas!$B$2:$B$201, B868, 0)),0) * E868</f>
        <v>45</v>
      </c>
      <c r="H868" s="79">
        <v>238</v>
      </c>
      <c r="I868" s="79">
        <v>19.999999999999996</v>
      </c>
      <c r="J868" s="79">
        <v>0</v>
      </c>
      <c r="K868" s="79">
        <v>0</v>
      </c>
      <c r="L868" s="79">
        <v>0</v>
      </c>
      <c r="M868" s="79">
        <v>0</v>
      </c>
      <c r="N868" s="79">
        <v>0</v>
      </c>
      <c r="O868" s="79">
        <v>0</v>
      </c>
      <c r="P868" s="79">
        <v>0</v>
      </c>
      <c r="Q868" s="79">
        <v>0</v>
      </c>
      <c r="R868" s="79">
        <v>0</v>
      </c>
      <c r="S868" s="79">
        <v>0</v>
      </c>
      <c r="T868" s="79">
        <v>0</v>
      </c>
      <c r="U868" s="79">
        <v>0</v>
      </c>
      <c r="V868" s="79">
        <v>0</v>
      </c>
      <c r="W868" s="79">
        <v>0</v>
      </c>
      <c r="X868" s="90">
        <v>0</v>
      </c>
    </row>
    <row r="869" spans="1:24" hidden="1" x14ac:dyDescent="0.25">
      <c r="A869" s="80" t="str">
        <v>PENDIENTE</v>
      </c>
      <c r="B869" s="80" t="str">
        <v>San Antonio</v>
      </c>
      <c r="C869" s="80" t="str">
        <v>Abril</v>
      </c>
      <c r="D869" s="81">
        <v>46058</v>
      </c>
      <c r="E869" s="79">
        <v>303</v>
      </c>
      <c r="F869" s="81">
        <v>46076</v>
      </c>
      <c r="G869" s="79" cm="1">
        <f t="array" ref="G869:X869">_xlfn._xlws.FILTER(Formulas!$C$2:$T$201, ISNUMBER(MATCH(Formulas!$B$2:$B$201, B869, 0)),0) * E869</f>
        <v>45</v>
      </c>
      <c r="H869" s="79">
        <v>238</v>
      </c>
      <c r="I869" s="79">
        <v>19.999999999999996</v>
      </c>
      <c r="J869" s="79">
        <v>0</v>
      </c>
      <c r="K869" s="79">
        <v>0</v>
      </c>
      <c r="L869" s="79">
        <v>0</v>
      </c>
      <c r="M869" s="79">
        <v>0</v>
      </c>
      <c r="N869" s="79">
        <v>0</v>
      </c>
      <c r="O869" s="79">
        <v>0</v>
      </c>
      <c r="P869" s="79">
        <v>0</v>
      </c>
      <c r="Q869" s="79">
        <v>0</v>
      </c>
      <c r="R869" s="79">
        <v>0</v>
      </c>
      <c r="S869" s="79">
        <v>0</v>
      </c>
      <c r="T869" s="79">
        <v>0</v>
      </c>
      <c r="U869" s="79">
        <v>0</v>
      </c>
      <c r="V869" s="79">
        <v>0</v>
      </c>
      <c r="W869" s="79">
        <v>0</v>
      </c>
      <c r="X869" s="90">
        <v>0</v>
      </c>
    </row>
    <row r="870" spans="1:24" hidden="1" x14ac:dyDescent="0.25">
      <c r="A870" s="80" t="str">
        <v>PENDIENTE</v>
      </c>
      <c r="B870" s="80" t="str">
        <v>San Antonio</v>
      </c>
      <c r="C870" s="80" t="str">
        <v>Mayo</v>
      </c>
      <c r="D870" s="81">
        <v>46142</v>
      </c>
      <c r="E870" s="79">
        <v>303</v>
      </c>
      <c r="F870" s="80">
        <v>46147</v>
      </c>
      <c r="G870" s="79" cm="1">
        <f t="array" ref="G870:X870">_xlfn._xlws.FILTER(Formulas!$C$2:$T$201, ISNUMBER(MATCH(Formulas!$B$2:$B$201, B870, 0)),0) * E870</f>
        <v>45</v>
      </c>
      <c r="H870" s="79">
        <v>238</v>
      </c>
      <c r="I870" s="79">
        <v>19.999999999999996</v>
      </c>
      <c r="J870" s="79">
        <v>0</v>
      </c>
      <c r="K870" s="79">
        <v>0</v>
      </c>
      <c r="L870" s="79">
        <v>0</v>
      </c>
      <c r="M870" s="79">
        <v>0</v>
      </c>
      <c r="N870" s="79">
        <v>0</v>
      </c>
      <c r="O870" s="79">
        <v>0</v>
      </c>
      <c r="P870" s="79">
        <v>0</v>
      </c>
      <c r="Q870" s="79">
        <v>0</v>
      </c>
      <c r="R870" s="79">
        <v>0</v>
      </c>
      <c r="S870" s="79">
        <v>0</v>
      </c>
      <c r="T870" s="79">
        <v>0</v>
      </c>
      <c r="U870" s="79">
        <v>0</v>
      </c>
      <c r="V870" s="79">
        <v>0</v>
      </c>
      <c r="W870" s="79">
        <v>0</v>
      </c>
      <c r="X870" s="90">
        <v>0</v>
      </c>
    </row>
    <row r="871" spans="1:24" hidden="1" x14ac:dyDescent="0.25">
      <c r="A871" s="80" t="str">
        <v>PENDIENTE</v>
      </c>
      <c r="B871" s="80" t="str">
        <v>San Antonio</v>
      </c>
      <c r="C871" s="80" t="str">
        <v>Junio</v>
      </c>
      <c r="D871" s="81">
        <v>46142</v>
      </c>
      <c r="E871" s="79">
        <v>303</v>
      </c>
      <c r="F871" s="80">
        <v>46147</v>
      </c>
      <c r="G871" s="79" cm="1">
        <f t="array" ref="G871:X871">_xlfn._xlws.FILTER(Formulas!$C$2:$T$201, ISNUMBER(MATCH(Formulas!$B$2:$B$201, B871, 0)),0) * E871</f>
        <v>45</v>
      </c>
      <c r="H871" s="79">
        <v>238</v>
      </c>
      <c r="I871" s="79">
        <v>19.999999999999996</v>
      </c>
      <c r="J871" s="79">
        <v>0</v>
      </c>
      <c r="K871" s="79">
        <v>0</v>
      </c>
      <c r="L871" s="79">
        <v>0</v>
      </c>
      <c r="M871" s="79">
        <v>0</v>
      </c>
      <c r="N871" s="79">
        <v>0</v>
      </c>
      <c r="O871" s="79">
        <v>0</v>
      </c>
      <c r="P871" s="79">
        <v>0</v>
      </c>
      <c r="Q871" s="79">
        <v>0</v>
      </c>
      <c r="R871" s="79">
        <v>0</v>
      </c>
      <c r="S871" s="79">
        <v>0</v>
      </c>
      <c r="T871" s="79">
        <v>0</v>
      </c>
      <c r="U871" s="79">
        <v>0</v>
      </c>
      <c r="V871" s="79">
        <v>0</v>
      </c>
      <c r="W871" s="79">
        <v>0</v>
      </c>
      <c r="X871" s="90">
        <v>0</v>
      </c>
    </row>
    <row r="872" spans="1:24" hidden="1" x14ac:dyDescent="0.25">
      <c r="A872" s="80" t="str">
        <v>PENDIENTE</v>
      </c>
      <c r="B872" s="80" t="str">
        <v>San Antonio</v>
      </c>
      <c r="C872" s="80" t="str">
        <v>Julio</v>
      </c>
      <c r="D872" s="81">
        <v>46203</v>
      </c>
      <c r="E872" s="79">
        <v>303</v>
      </c>
      <c r="F872" s="81">
        <v>46182</v>
      </c>
      <c r="G872" s="79" cm="1">
        <f t="array" ref="G872:X872">_xlfn._xlws.FILTER(Formulas!$C$2:$T$201, ISNUMBER(MATCH(Formulas!$B$2:$B$201, B872, 0)),0) * E872</f>
        <v>45</v>
      </c>
      <c r="H872" s="79">
        <v>238</v>
      </c>
      <c r="I872" s="79">
        <v>19.999999999999996</v>
      </c>
      <c r="J872" s="79">
        <v>0</v>
      </c>
      <c r="K872" s="79">
        <v>0</v>
      </c>
      <c r="L872" s="79">
        <v>0</v>
      </c>
      <c r="M872" s="79">
        <v>0</v>
      </c>
      <c r="N872" s="79">
        <v>0</v>
      </c>
      <c r="O872" s="79">
        <v>0</v>
      </c>
      <c r="P872" s="79">
        <v>0</v>
      </c>
      <c r="Q872" s="79">
        <v>0</v>
      </c>
      <c r="R872" s="79">
        <v>0</v>
      </c>
      <c r="S872" s="79">
        <v>0</v>
      </c>
      <c r="T872" s="79">
        <v>0</v>
      </c>
      <c r="U872" s="79">
        <v>0</v>
      </c>
      <c r="V872" s="79">
        <v>0</v>
      </c>
      <c r="W872" s="79">
        <v>0</v>
      </c>
      <c r="X872" s="90">
        <v>0</v>
      </c>
    </row>
    <row r="873" spans="1:24" hidden="1" x14ac:dyDescent="0.25">
      <c r="A873" s="80" t="str">
        <v>PENDIENTE</v>
      </c>
      <c r="B873" s="80" t="str">
        <v>San Antonio</v>
      </c>
      <c r="C873" s="80" t="str">
        <v>Agosto</v>
      </c>
      <c r="D873" s="81">
        <v>46203</v>
      </c>
      <c r="E873" s="79">
        <v>303</v>
      </c>
      <c r="F873" s="81">
        <v>46182</v>
      </c>
      <c r="G873" s="79" cm="1">
        <f t="array" ref="G873:X873">_xlfn._xlws.FILTER(Formulas!$C$2:$T$201, ISNUMBER(MATCH(Formulas!$B$2:$B$201, B873, 0)),0) * E873</f>
        <v>45</v>
      </c>
      <c r="H873" s="79">
        <v>238</v>
      </c>
      <c r="I873" s="79">
        <v>19.999999999999996</v>
      </c>
      <c r="J873" s="79">
        <v>0</v>
      </c>
      <c r="K873" s="79">
        <v>0</v>
      </c>
      <c r="L873" s="79">
        <v>0</v>
      </c>
      <c r="M873" s="79">
        <v>0</v>
      </c>
      <c r="N873" s="79">
        <v>0</v>
      </c>
      <c r="O873" s="79">
        <v>0</v>
      </c>
      <c r="P873" s="79">
        <v>0</v>
      </c>
      <c r="Q873" s="79">
        <v>0</v>
      </c>
      <c r="R873" s="79">
        <v>0</v>
      </c>
      <c r="S873" s="79">
        <v>0</v>
      </c>
      <c r="T873" s="79">
        <v>0</v>
      </c>
      <c r="U873" s="79">
        <v>0</v>
      </c>
      <c r="V873" s="79">
        <v>0</v>
      </c>
      <c r="W873" s="79">
        <v>0</v>
      </c>
      <c r="X873" s="90">
        <v>0</v>
      </c>
    </row>
    <row r="874" spans="1:24" hidden="1" x14ac:dyDescent="0.25">
      <c r="A874" s="80" t="str">
        <v>PENDIENTE</v>
      </c>
      <c r="B874" s="80" t="str">
        <v>San Antonio</v>
      </c>
      <c r="C874" s="80" t="str">
        <v>Setiembre</v>
      </c>
      <c r="D874" s="81">
        <v>46264</v>
      </c>
      <c r="E874" s="79">
        <v>303</v>
      </c>
      <c r="F874" s="81">
        <v>46266</v>
      </c>
      <c r="G874" s="79" cm="1">
        <f t="array" ref="G874:X874">_xlfn._xlws.FILTER(Formulas!$C$2:$T$201, ISNUMBER(MATCH(Formulas!$B$2:$B$201, B874, 0)),0) * E874</f>
        <v>45</v>
      </c>
      <c r="H874" s="79">
        <v>238</v>
      </c>
      <c r="I874" s="79">
        <v>19.999999999999996</v>
      </c>
      <c r="J874" s="79">
        <v>0</v>
      </c>
      <c r="K874" s="79">
        <v>0</v>
      </c>
      <c r="L874" s="79">
        <v>0</v>
      </c>
      <c r="M874" s="79">
        <v>0</v>
      </c>
      <c r="N874" s="79">
        <v>0</v>
      </c>
      <c r="O874" s="79">
        <v>0</v>
      </c>
      <c r="P874" s="79">
        <v>0</v>
      </c>
      <c r="Q874" s="79">
        <v>0</v>
      </c>
      <c r="R874" s="79">
        <v>0</v>
      </c>
      <c r="S874" s="79">
        <v>0</v>
      </c>
      <c r="T874" s="79">
        <v>0</v>
      </c>
      <c r="U874" s="79">
        <v>0</v>
      </c>
      <c r="V874" s="79">
        <v>0</v>
      </c>
      <c r="W874" s="79">
        <v>0</v>
      </c>
      <c r="X874" s="90">
        <v>0</v>
      </c>
    </row>
    <row r="875" spans="1:24" hidden="1" x14ac:dyDescent="0.25">
      <c r="A875" s="80" t="str">
        <v>PENDIENTE</v>
      </c>
      <c r="B875" s="80" t="str">
        <v>San Antonio</v>
      </c>
      <c r="C875" s="80" t="str">
        <v>Octubre</v>
      </c>
      <c r="D875" s="81">
        <v>46264</v>
      </c>
      <c r="E875" s="79">
        <v>303</v>
      </c>
      <c r="F875" s="81">
        <v>46266</v>
      </c>
      <c r="G875" s="79" cm="1">
        <f t="array" ref="G875:X875">_xlfn._xlws.FILTER(Formulas!$C$2:$T$201, ISNUMBER(MATCH(Formulas!$B$2:$B$201, B875, 0)),0) * E875</f>
        <v>45</v>
      </c>
      <c r="H875" s="79">
        <v>238</v>
      </c>
      <c r="I875" s="79">
        <v>19.999999999999996</v>
      </c>
      <c r="J875" s="79">
        <v>0</v>
      </c>
      <c r="K875" s="79">
        <v>0</v>
      </c>
      <c r="L875" s="79">
        <v>0</v>
      </c>
      <c r="M875" s="79">
        <v>0</v>
      </c>
      <c r="N875" s="79">
        <v>0</v>
      </c>
      <c r="O875" s="79">
        <v>0</v>
      </c>
      <c r="P875" s="79">
        <v>0</v>
      </c>
      <c r="Q875" s="79">
        <v>0</v>
      </c>
      <c r="R875" s="79">
        <v>0</v>
      </c>
      <c r="S875" s="79">
        <v>0</v>
      </c>
      <c r="T875" s="79">
        <v>0</v>
      </c>
      <c r="U875" s="79">
        <v>0</v>
      </c>
      <c r="V875" s="79">
        <v>0</v>
      </c>
      <c r="W875" s="79">
        <v>0</v>
      </c>
      <c r="X875" s="90">
        <v>0</v>
      </c>
    </row>
    <row r="876" spans="1:24" hidden="1" x14ac:dyDescent="0.25">
      <c r="A876" s="80" t="str">
        <v>PENDIENTE</v>
      </c>
      <c r="B876" s="80" t="str">
        <v>San Antonio</v>
      </c>
      <c r="C876" s="80" t="str">
        <v>Noviembre</v>
      </c>
      <c r="D876" s="81">
        <v>46325</v>
      </c>
      <c r="E876" s="79">
        <v>303</v>
      </c>
      <c r="F876" s="81">
        <v>0</v>
      </c>
      <c r="G876" s="79" cm="1">
        <f t="array" ref="G876:X876">_xlfn._xlws.FILTER(Formulas!$C$2:$T$201, ISNUMBER(MATCH(Formulas!$B$2:$B$201, B876, 0)),0) * E876</f>
        <v>45</v>
      </c>
      <c r="H876" s="79">
        <v>238</v>
      </c>
      <c r="I876" s="79">
        <v>19.999999999999996</v>
      </c>
      <c r="J876" s="79">
        <v>0</v>
      </c>
      <c r="K876" s="79">
        <v>0</v>
      </c>
      <c r="L876" s="79">
        <v>0</v>
      </c>
      <c r="M876" s="79">
        <v>0</v>
      </c>
      <c r="N876" s="79">
        <v>0</v>
      </c>
      <c r="O876" s="79">
        <v>0</v>
      </c>
      <c r="P876" s="79">
        <v>0</v>
      </c>
      <c r="Q876" s="79">
        <v>0</v>
      </c>
      <c r="R876" s="79">
        <v>0</v>
      </c>
      <c r="S876" s="79">
        <v>0</v>
      </c>
      <c r="T876" s="79">
        <v>0</v>
      </c>
      <c r="U876" s="79">
        <v>0</v>
      </c>
      <c r="V876" s="79">
        <v>0</v>
      </c>
      <c r="W876" s="79">
        <v>0</v>
      </c>
      <c r="X876" s="90">
        <v>0</v>
      </c>
    </row>
    <row r="877" spans="1:24" hidden="1" x14ac:dyDescent="0.25">
      <c r="A877" s="80" t="str">
        <v>PENDIENTE</v>
      </c>
      <c r="B877" s="80" t="str">
        <v>San Antonio</v>
      </c>
      <c r="C877" s="80" t="str">
        <v>Diciembre</v>
      </c>
      <c r="D877" s="81">
        <v>46325</v>
      </c>
      <c r="E877" s="79">
        <v>303</v>
      </c>
      <c r="F877" s="81">
        <v>0</v>
      </c>
      <c r="G877" s="79" cm="1">
        <f t="array" ref="G877:X877">_xlfn._xlws.FILTER(Formulas!$C$2:$T$201, ISNUMBER(MATCH(Formulas!$B$2:$B$201, B877, 0)),0) * E877</f>
        <v>45</v>
      </c>
      <c r="H877" s="79">
        <v>238</v>
      </c>
      <c r="I877" s="79">
        <v>19.999999999999996</v>
      </c>
      <c r="J877" s="79">
        <v>0</v>
      </c>
      <c r="K877" s="79">
        <v>0</v>
      </c>
      <c r="L877" s="79">
        <v>0</v>
      </c>
      <c r="M877" s="79">
        <v>0</v>
      </c>
      <c r="N877" s="79">
        <v>0</v>
      </c>
      <c r="O877" s="79">
        <v>0</v>
      </c>
      <c r="P877" s="79">
        <v>0</v>
      </c>
      <c r="Q877" s="79">
        <v>0</v>
      </c>
      <c r="R877" s="79">
        <v>0</v>
      </c>
      <c r="S877" s="79">
        <v>0</v>
      </c>
      <c r="T877" s="79">
        <v>0</v>
      </c>
      <c r="U877" s="79">
        <v>0</v>
      </c>
      <c r="V877" s="79">
        <v>0</v>
      </c>
      <c r="W877" s="79">
        <v>0</v>
      </c>
      <c r="X877" s="90">
        <v>0</v>
      </c>
    </row>
    <row r="878" spans="1:24" hidden="1" x14ac:dyDescent="0.25">
      <c r="A878" s="80" t="str">
        <v>PENDIENTE</v>
      </c>
      <c r="B878" s="80" t="str">
        <v>San Benito</v>
      </c>
      <c r="C878" s="80" t="str">
        <v>Enero</v>
      </c>
      <c r="D878" s="81">
        <v>46048</v>
      </c>
      <c r="E878" s="79">
        <v>737.59500000000003</v>
      </c>
      <c r="F878" s="81">
        <v>46058</v>
      </c>
      <c r="G878" s="79" cm="1">
        <f t="array" ref="G878:X878">_xlfn._xlws.FILTER(Formulas!$C$2:$T$201, ISNUMBER(MATCH(Formulas!$B$2:$B$201, B878, 0)),0) * E878</f>
        <v>132.91461900000002</v>
      </c>
      <c r="H878" s="79">
        <v>520.74207000000001</v>
      </c>
      <c r="I878" s="79">
        <v>25.0044705</v>
      </c>
      <c r="J878" s="79">
        <v>30.0201165</v>
      </c>
      <c r="K878" s="79">
        <v>0</v>
      </c>
      <c r="L878" s="79">
        <v>0</v>
      </c>
      <c r="M878" s="79">
        <v>28.987483500000003</v>
      </c>
      <c r="N878" s="79">
        <v>0</v>
      </c>
      <c r="O878" s="79">
        <v>0</v>
      </c>
      <c r="P878" s="79">
        <v>0</v>
      </c>
      <c r="Q878" s="79">
        <v>0</v>
      </c>
      <c r="R878" s="79">
        <v>0</v>
      </c>
      <c r="S878" s="79">
        <v>0</v>
      </c>
      <c r="T878" s="79">
        <v>0</v>
      </c>
      <c r="U878" s="79">
        <v>0</v>
      </c>
      <c r="V878" s="79">
        <v>0</v>
      </c>
      <c r="W878" s="79">
        <v>0</v>
      </c>
      <c r="X878" s="90">
        <v>0</v>
      </c>
    </row>
    <row r="879" spans="1:24" hidden="1" x14ac:dyDescent="0.25">
      <c r="A879" s="80" t="str">
        <v>PENDIENTE</v>
      </c>
      <c r="B879" s="80" t="str">
        <v>San Benito</v>
      </c>
      <c r="C879" s="80" t="str">
        <v>Febrero</v>
      </c>
      <c r="D879" s="81">
        <v>46048</v>
      </c>
      <c r="E879" s="79">
        <v>737.59500000000003</v>
      </c>
      <c r="F879" s="81">
        <v>46058</v>
      </c>
      <c r="G879" s="79" cm="1">
        <f t="array" ref="G879:X879">_xlfn._xlws.FILTER(Formulas!$C$2:$T$201, ISNUMBER(MATCH(Formulas!$B$2:$B$201, B879, 0)),0) * E879</f>
        <v>132.91461900000002</v>
      </c>
      <c r="H879" s="79">
        <v>520.74207000000001</v>
      </c>
      <c r="I879" s="79">
        <v>25.0044705</v>
      </c>
      <c r="J879" s="79">
        <v>30.0201165</v>
      </c>
      <c r="K879" s="79">
        <v>0</v>
      </c>
      <c r="L879" s="79">
        <v>0</v>
      </c>
      <c r="M879" s="79">
        <v>28.987483500000003</v>
      </c>
      <c r="N879" s="79">
        <v>0</v>
      </c>
      <c r="O879" s="79">
        <v>0</v>
      </c>
      <c r="P879" s="79">
        <v>0</v>
      </c>
      <c r="Q879" s="79">
        <v>0</v>
      </c>
      <c r="R879" s="79">
        <v>0</v>
      </c>
      <c r="S879" s="79">
        <v>0</v>
      </c>
      <c r="T879" s="79">
        <v>0</v>
      </c>
      <c r="U879" s="79">
        <v>0</v>
      </c>
      <c r="V879" s="79">
        <v>0</v>
      </c>
      <c r="W879" s="79">
        <v>0</v>
      </c>
      <c r="X879" s="90">
        <v>0</v>
      </c>
    </row>
    <row r="880" spans="1:24" hidden="1" x14ac:dyDescent="0.25">
      <c r="A880" s="80" t="str">
        <v>PENDIENTE</v>
      </c>
      <c r="B880" s="80" t="str">
        <v>San Benito</v>
      </c>
      <c r="C880" s="80" t="str">
        <v>Marzo</v>
      </c>
      <c r="D880" s="81">
        <v>46076</v>
      </c>
      <c r="E880" s="79">
        <v>737.59500000000003</v>
      </c>
      <c r="F880" s="81">
        <v>46058</v>
      </c>
      <c r="G880" s="79" cm="1">
        <f t="array" ref="G880:X880">_xlfn._xlws.FILTER(Formulas!$C$2:$T$201, ISNUMBER(MATCH(Formulas!$B$2:$B$201, B880, 0)),0) * E880</f>
        <v>132.91461900000002</v>
      </c>
      <c r="H880" s="79">
        <v>520.74207000000001</v>
      </c>
      <c r="I880" s="79">
        <v>25.0044705</v>
      </c>
      <c r="J880" s="79">
        <v>30.0201165</v>
      </c>
      <c r="K880" s="79">
        <v>0</v>
      </c>
      <c r="L880" s="79">
        <v>0</v>
      </c>
      <c r="M880" s="79">
        <v>28.987483500000003</v>
      </c>
      <c r="N880" s="79">
        <v>0</v>
      </c>
      <c r="O880" s="79">
        <v>0</v>
      </c>
      <c r="P880" s="79">
        <v>0</v>
      </c>
      <c r="Q880" s="79">
        <v>0</v>
      </c>
      <c r="R880" s="79">
        <v>0</v>
      </c>
      <c r="S880" s="79">
        <v>0</v>
      </c>
      <c r="T880" s="79">
        <v>0</v>
      </c>
      <c r="U880" s="79">
        <v>0</v>
      </c>
      <c r="V880" s="79">
        <v>0</v>
      </c>
      <c r="W880" s="79">
        <v>0</v>
      </c>
      <c r="X880" s="90">
        <v>0</v>
      </c>
    </row>
    <row r="881" spans="1:24" hidden="1" x14ac:dyDescent="0.25">
      <c r="A881" s="80" t="str">
        <v>PENDIENTE</v>
      </c>
      <c r="B881" s="80" t="str">
        <v>San Benito</v>
      </c>
      <c r="C881" s="80" t="str">
        <v>Abril</v>
      </c>
      <c r="D881" s="81">
        <v>46139</v>
      </c>
      <c r="E881" s="79">
        <v>737.59500000000003</v>
      </c>
      <c r="F881" s="80">
        <v>46126</v>
      </c>
      <c r="G881" s="79" cm="1">
        <f t="array" ref="G881:X881">_xlfn._xlws.FILTER(Formulas!$C$2:$T$201, ISNUMBER(MATCH(Formulas!$B$2:$B$201, B881, 0)),0) * E881</f>
        <v>132.91461900000002</v>
      </c>
      <c r="H881" s="79">
        <v>520.74207000000001</v>
      </c>
      <c r="I881" s="79">
        <v>25.0044705</v>
      </c>
      <c r="J881" s="79">
        <v>30.0201165</v>
      </c>
      <c r="K881" s="79">
        <v>0</v>
      </c>
      <c r="L881" s="79">
        <v>0</v>
      </c>
      <c r="M881" s="79">
        <v>28.987483500000003</v>
      </c>
      <c r="N881" s="79">
        <v>0</v>
      </c>
      <c r="O881" s="79">
        <v>0</v>
      </c>
      <c r="P881" s="79">
        <v>0</v>
      </c>
      <c r="Q881" s="79">
        <v>0</v>
      </c>
      <c r="R881" s="79">
        <v>0</v>
      </c>
      <c r="S881" s="79">
        <v>0</v>
      </c>
      <c r="T881" s="79">
        <v>0</v>
      </c>
      <c r="U881" s="79">
        <v>0</v>
      </c>
      <c r="V881" s="79">
        <v>0</v>
      </c>
      <c r="W881" s="79">
        <v>0</v>
      </c>
      <c r="X881" s="90">
        <v>0</v>
      </c>
    </row>
    <row r="882" spans="1:24" hidden="1" x14ac:dyDescent="0.25">
      <c r="A882" s="80" t="str">
        <v>PENDIENTE</v>
      </c>
      <c r="B882" s="80" t="str">
        <v>San Benito</v>
      </c>
      <c r="C882" s="80" t="str">
        <v>Mayo</v>
      </c>
      <c r="D882" s="81">
        <v>46139</v>
      </c>
      <c r="E882" s="79">
        <v>737.59500000000003</v>
      </c>
      <c r="F882" s="80">
        <v>46126</v>
      </c>
      <c r="G882" s="79" cm="1">
        <f t="array" ref="G882:X882">_xlfn._xlws.FILTER(Formulas!$C$2:$T$201, ISNUMBER(MATCH(Formulas!$B$2:$B$201, B882, 0)),0) * E882</f>
        <v>132.91461900000002</v>
      </c>
      <c r="H882" s="79">
        <v>520.74207000000001</v>
      </c>
      <c r="I882" s="79">
        <v>25.0044705</v>
      </c>
      <c r="J882" s="79">
        <v>30.0201165</v>
      </c>
      <c r="K882" s="79">
        <v>0</v>
      </c>
      <c r="L882" s="79">
        <v>0</v>
      </c>
      <c r="M882" s="79">
        <v>28.987483500000003</v>
      </c>
      <c r="N882" s="79">
        <v>0</v>
      </c>
      <c r="O882" s="79">
        <v>0</v>
      </c>
      <c r="P882" s="79">
        <v>0</v>
      </c>
      <c r="Q882" s="79">
        <v>0</v>
      </c>
      <c r="R882" s="79">
        <v>0</v>
      </c>
      <c r="S882" s="79">
        <v>0</v>
      </c>
      <c r="T882" s="79">
        <v>0</v>
      </c>
      <c r="U882" s="79">
        <v>0</v>
      </c>
      <c r="V882" s="79">
        <v>0</v>
      </c>
      <c r="W882" s="79">
        <v>0</v>
      </c>
      <c r="X882" s="90">
        <v>0</v>
      </c>
    </row>
    <row r="883" spans="1:24" hidden="1" x14ac:dyDescent="0.25">
      <c r="A883" s="80" t="str">
        <v>PENDIENTE</v>
      </c>
      <c r="B883" s="80" t="str">
        <v>San Benito</v>
      </c>
      <c r="C883" s="80" t="str">
        <v>Junio</v>
      </c>
      <c r="D883" s="81">
        <v>46139</v>
      </c>
      <c r="E883" s="79">
        <v>737.59500000000003</v>
      </c>
      <c r="F883" s="80">
        <v>46126</v>
      </c>
      <c r="G883" s="79" cm="1">
        <f t="array" ref="G883:X883">_xlfn._xlws.FILTER(Formulas!$C$2:$T$201, ISNUMBER(MATCH(Formulas!$B$2:$B$201, B883, 0)),0) * E883</f>
        <v>132.91461900000002</v>
      </c>
      <c r="H883" s="79">
        <v>520.74207000000001</v>
      </c>
      <c r="I883" s="79">
        <v>25.0044705</v>
      </c>
      <c r="J883" s="79">
        <v>30.0201165</v>
      </c>
      <c r="K883" s="79">
        <v>0</v>
      </c>
      <c r="L883" s="79">
        <v>0</v>
      </c>
      <c r="M883" s="79">
        <v>28.987483500000003</v>
      </c>
      <c r="N883" s="79">
        <v>0</v>
      </c>
      <c r="O883" s="79">
        <v>0</v>
      </c>
      <c r="P883" s="79">
        <v>0</v>
      </c>
      <c r="Q883" s="79">
        <v>0</v>
      </c>
      <c r="R883" s="79">
        <v>0</v>
      </c>
      <c r="S883" s="79">
        <v>0</v>
      </c>
      <c r="T883" s="79">
        <v>0</v>
      </c>
      <c r="U883" s="79">
        <v>0</v>
      </c>
      <c r="V883" s="79">
        <v>0</v>
      </c>
      <c r="W883" s="79">
        <v>0</v>
      </c>
      <c r="X883" s="90">
        <v>0</v>
      </c>
    </row>
    <row r="884" spans="1:24" hidden="1" x14ac:dyDescent="0.25">
      <c r="A884" s="80" t="str">
        <v>PENDIENTE</v>
      </c>
      <c r="B884" s="80" t="str">
        <v>San Benito</v>
      </c>
      <c r="C884" s="80" t="str">
        <v>Julio</v>
      </c>
      <c r="D884" s="81">
        <v>46197</v>
      </c>
      <c r="E884" s="79">
        <v>737.59500000000003</v>
      </c>
      <c r="F884" s="81">
        <v>46205</v>
      </c>
      <c r="G884" s="79" cm="1">
        <f t="array" ref="G884:X884">_xlfn._xlws.FILTER(Formulas!$C$2:$T$201, ISNUMBER(MATCH(Formulas!$B$2:$B$201, B884, 0)),0) * E884</f>
        <v>132.91461900000002</v>
      </c>
      <c r="H884" s="79">
        <v>520.74207000000001</v>
      </c>
      <c r="I884" s="79">
        <v>25.0044705</v>
      </c>
      <c r="J884" s="79">
        <v>30.0201165</v>
      </c>
      <c r="K884" s="79">
        <v>0</v>
      </c>
      <c r="L884" s="79">
        <v>0</v>
      </c>
      <c r="M884" s="79">
        <v>28.987483500000003</v>
      </c>
      <c r="N884" s="79">
        <v>0</v>
      </c>
      <c r="O884" s="79">
        <v>0</v>
      </c>
      <c r="P884" s="79">
        <v>0</v>
      </c>
      <c r="Q884" s="79">
        <v>0</v>
      </c>
      <c r="R884" s="79">
        <v>0</v>
      </c>
      <c r="S884" s="79">
        <v>0</v>
      </c>
      <c r="T884" s="79">
        <v>0</v>
      </c>
      <c r="U884" s="79">
        <v>0</v>
      </c>
      <c r="V884" s="79">
        <v>0</v>
      </c>
      <c r="W884" s="79">
        <v>0</v>
      </c>
      <c r="X884" s="90">
        <v>0</v>
      </c>
    </row>
    <row r="885" spans="1:24" hidden="1" x14ac:dyDescent="0.25">
      <c r="A885" s="80" t="str">
        <v>PENDIENTE</v>
      </c>
      <c r="B885" s="80" t="str">
        <v>San Benito</v>
      </c>
      <c r="C885" s="80" t="str">
        <v>Agosto</v>
      </c>
      <c r="D885" s="81">
        <v>46197</v>
      </c>
      <c r="E885" s="79">
        <v>737.59500000000003</v>
      </c>
      <c r="F885" s="81">
        <v>46205</v>
      </c>
      <c r="G885" s="79" cm="1">
        <f t="array" ref="G885:X885">_xlfn._xlws.FILTER(Formulas!$C$2:$T$201, ISNUMBER(MATCH(Formulas!$B$2:$B$201, B885, 0)),0) * E885</f>
        <v>132.91461900000002</v>
      </c>
      <c r="H885" s="79">
        <v>520.74207000000001</v>
      </c>
      <c r="I885" s="79">
        <v>25.0044705</v>
      </c>
      <c r="J885" s="79">
        <v>30.0201165</v>
      </c>
      <c r="K885" s="79">
        <v>0</v>
      </c>
      <c r="L885" s="79">
        <v>0</v>
      </c>
      <c r="M885" s="79">
        <v>28.987483500000003</v>
      </c>
      <c r="N885" s="79">
        <v>0</v>
      </c>
      <c r="O885" s="79">
        <v>0</v>
      </c>
      <c r="P885" s="79">
        <v>0</v>
      </c>
      <c r="Q885" s="79">
        <v>0</v>
      </c>
      <c r="R885" s="79">
        <v>0</v>
      </c>
      <c r="S885" s="79">
        <v>0</v>
      </c>
      <c r="T885" s="79">
        <v>0</v>
      </c>
      <c r="U885" s="79">
        <v>0</v>
      </c>
      <c r="V885" s="79">
        <v>0</v>
      </c>
      <c r="W885" s="79">
        <v>0</v>
      </c>
      <c r="X885" s="90">
        <v>0</v>
      </c>
    </row>
    <row r="886" spans="1:24" hidden="1" x14ac:dyDescent="0.25">
      <c r="A886" s="80" t="str">
        <v>PENDIENTE</v>
      </c>
      <c r="B886" s="80" t="str">
        <v>San Benito</v>
      </c>
      <c r="C886" s="80" t="str">
        <v>Setiembre</v>
      </c>
      <c r="D886" s="81">
        <v>46197</v>
      </c>
      <c r="E886" s="79">
        <v>737.59500000000003</v>
      </c>
      <c r="F886" s="81">
        <v>46205</v>
      </c>
      <c r="G886" s="79" cm="1">
        <f t="array" ref="G886:X886">_xlfn._xlws.FILTER(Formulas!$C$2:$T$201, ISNUMBER(MATCH(Formulas!$B$2:$B$201, B886, 0)),0) * E886</f>
        <v>132.91461900000002</v>
      </c>
      <c r="H886" s="79">
        <v>520.74207000000001</v>
      </c>
      <c r="I886" s="79">
        <v>25.0044705</v>
      </c>
      <c r="J886" s="79">
        <v>30.0201165</v>
      </c>
      <c r="K886" s="79">
        <v>0</v>
      </c>
      <c r="L886" s="79">
        <v>0</v>
      </c>
      <c r="M886" s="79">
        <v>28.987483500000003</v>
      </c>
      <c r="N886" s="79">
        <v>0</v>
      </c>
      <c r="O886" s="79">
        <v>0</v>
      </c>
      <c r="P886" s="79">
        <v>0</v>
      </c>
      <c r="Q886" s="79">
        <v>0</v>
      </c>
      <c r="R886" s="79">
        <v>0</v>
      </c>
      <c r="S886" s="79">
        <v>0</v>
      </c>
      <c r="T886" s="79">
        <v>0</v>
      </c>
      <c r="U886" s="79">
        <v>0</v>
      </c>
      <c r="V886" s="79">
        <v>0</v>
      </c>
      <c r="W886" s="79">
        <v>0</v>
      </c>
      <c r="X886" s="90">
        <v>0</v>
      </c>
    </row>
    <row r="887" spans="1:24" hidden="1" x14ac:dyDescent="0.25">
      <c r="A887" s="80" t="str">
        <v>PENDIENTE</v>
      </c>
      <c r="B887" s="80" t="str">
        <v>San Benito</v>
      </c>
      <c r="C887" s="80" t="str">
        <v>Octubre</v>
      </c>
      <c r="D887" s="81">
        <v>46288</v>
      </c>
      <c r="E887" s="79">
        <v>737.59500000000003</v>
      </c>
      <c r="F887" s="81">
        <v>0</v>
      </c>
      <c r="G887" s="79" cm="1">
        <f t="array" ref="G887:X887">_xlfn._xlws.FILTER(Formulas!$C$2:$T$201, ISNUMBER(MATCH(Formulas!$B$2:$B$201, B887, 0)),0) * E887</f>
        <v>132.91461900000002</v>
      </c>
      <c r="H887" s="79">
        <v>520.74207000000001</v>
      </c>
      <c r="I887" s="79">
        <v>25.0044705</v>
      </c>
      <c r="J887" s="79">
        <v>30.0201165</v>
      </c>
      <c r="K887" s="79">
        <v>0</v>
      </c>
      <c r="L887" s="79">
        <v>0</v>
      </c>
      <c r="M887" s="79">
        <v>28.987483500000003</v>
      </c>
      <c r="N887" s="79">
        <v>0</v>
      </c>
      <c r="O887" s="79">
        <v>0</v>
      </c>
      <c r="P887" s="79">
        <v>0</v>
      </c>
      <c r="Q887" s="79">
        <v>0</v>
      </c>
      <c r="R887" s="79">
        <v>0</v>
      </c>
      <c r="S887" s="79">
        <v>0</v>
      </c>
      <c r="T887" s="79">
        <v>0</v>
      </c>
      <c r="U887" s="79">
        <v>0</v>
      </c>
      <c r="V887" s="79">
        <v>0</v>
      </c>
      <c r="W887" s="79">
        <v>0</v>
      </c>
      <c r="X887" s="90">
        <v>0</v>
      </c>
    </row>
    <row r="888" spans="1:24" hidden="1" x14ac:dyDescent="0.25">
      <c r="A888" s="80" t="str">
        <v>PENDIENTE</v>
      </c>
      <c r="B888" s="80" t="str">
        <v>San Benito</v>
      </c>
      <c r="C888" s="80" t="str">
        <v>Noviembre</v>
      </c>
      <c r="D888" s="81">
        <v>46288</v>
      </c>
      <c r="E888" s="79">
        <v>737.59500000000003</v>
      </c>
      <c r="F888" s="80">
        <v>0</v>
      </c>
      <c r="G888" s="79" cm="1">
        <f t="array" ref="G888:X888">_xlfn._xlws.FILTER(Formulas!$C$2:$T$201, ISNUMBER(MATCH(Formulas!$B$2:$B$201, B888, 0)),0) * E888</f>
        <v>132.91461900000002</v>
      </c>
      <c r="H888" s="79">
        <v>520.74207000000001</v>
      </c>
      <c r="I888" s="79">
        <v>25.0044705</v>
      </c>
      <c r="J888" s="79">
        <v>30.0201165</v>
      </c>
      <c r="K888" s="79">
        <v>0</v>
      </c>
      <c r="L888" s="79">
        <v>0</v>
      </c>
      <c r="M888" s="79">
        <v>28.987483500000003</v>
      </c>
      <c r="N888" s="79">
        <v>0</v>
      </c>
      <c r="O888" s="79">
        <v>0</v>
      </c>
      <c r="P888" s="79">
        <v>0</v>
      </c>
      <c r="Q888" s="79">
        <v>0</v>
      </c>
      <c r="R888" s="79">
        <v>0</v>
      </c>
      <c r="S888" s="79">
        <v>0</v>
      </c>
      <c r="T888" s="79">
        <v>0</v>
      </c>
      <c r="U888" s="79">
        <v>0</v>
      </c>
      <c r="V888" s="79">
        <v>0</v>
      </c>
      <c r="W888" s="79">
        <v>0</v>
      </c>
      <c r="X888" s="90">
        <v>0</v>
      </c>
    </row>
    <row r="889" spans="1:24" hidden="1" x14ac:dyDescent="0.25">
      <c r="A889" s="80" t="str">
        <v>PENDIENTE</v>
      </c>
      <c r="B889" s="80" t="str">
        <v>San Benito</v>
      </c>
      <c r="C889" s="80" t="str">
        <v>Diciembre</v>
      </c>
      <c r="D889" s="81">
        <v>46288</v>
      </c>
      <c r="E889" s="79">
        <v>737.59500000000003</v>
      </c>
      <c r="F889" s="81">
        <v>0</v>
      </c>
      <c r="G889" s="79" cm="1">
        <f t="array" ref="G889:X889">_xlfn._xlws.FILTER(Formulas!$C$2:$T$201, ISNUMBER(MATCH(Formulas!$B$2:$B$201, B889, 0)),0) * E889</f>
        <v>132.91461900000002</v>
      </c>
      <c r="H889" s="79">
        <v>520.74207000000001</v>
      </c>
      <c r="I889" s="79">
        <v>25.0044705</v>
      </c>
      <c r="J889" s="79">
        <v>30.0201165</v>
      </c>
      <c r="K889" s="79">
        <v>0</v>
      </c>
      <c r="L889" s="79">
        <v>0</v>
      </c>
      <c r="M889" s="79">
        <v>28.987483500000003</v>
      </c>
      <c r="N889" s="79">
        <v>0</v>
      </c>
      <c r="O889" s="79">
        <v>0</v>
      </c>
      <c r="P889" s="79">
        <v>0</v>
      </c>
      <c r="Q889" s="79">
        <v>0</v>
      </c>
      <c r="R889" s="79">
        <v>0</v>
      </c>
      <c r="S889" s="79">
        <v>0</v>
      </c>
      <c r="T889" s="79">
        <v>0</v>
      </c>
      <c r="U889" s="79">
        <v>0</v>
      </c>
      <c r="V889" s="79">
        <v>0</v>
      </c>
      <c r="W889" s="79">
        <v>0</v>
      </c>
      <c r="X889" s="90">
        <v>0</v>
      </c>
    </row>
    <row r="890" spans="1:24" hidden="1" x14ac:dyDescent="0.25">
      <c r="A890" s="80" t="str">
        <v>ENHA</v>
      </c>
      <c r="B890" s="80" t="str">
        <v>San Carlos</v>
      </c>
      <c r="C890" s="80" t="str">
        <v>O.C.</v>
      </c>
      <c r="D890" s="81">
        <v>46120</v>
      </c>
      <c r="E890" s="79">
        <v>220</v>
      </c>
      <c r="F890" s="81">
        <v>46119</v>
      </c>
      <c r="G890" s="79" cm="1">
        <f t="array" ref="G890:X890">_xlfn._xlws.FILTER(Formulas!$C$2:$T$201, ISNUMBER(MATCH(Formulas!$B$2:$B$201, B890, 0)),0) * E890</f>
        <v>103</v>
      </c>
      <c r="H890" s="79">
        <v>104</v>
      </c>
      <c r="I890" s="79">
        <v>12</v>
      </c>
      <c r="J890" s="79">
        <v>0</v>
      </c>
      <c r="K890" s="79">
        <v>0</v>
      </c>
      <c r="L890" s="79">
        <v>0</v>
      </c>
      <c r="M890" s="79">
        <v>0</v>
      </c>
      <c r="N890" s="79">
        <v>0</v>
      </c>
      <c r="O890" s="79">
        <v>0</v>
      </c>
      <c r="P890" s="79">
        <v>0</v>
      </c>
      <c r="Q890" s="79">
        <v>0</v>
      </c>
      <c r="R890" s="79">
        <v>0</v>
      </c>
      <c r="S890" s="79">
        <v>0</v>
      </c>
      <c r="T890" s="79">
        <v>0</v>
      </c>
      <c r="U890" s="79">
        <v>0</v>
      </c>
      <c r="V890" s="79">
        <v>0.3</v>
      </c>
      <c r="W890" s="79">
        <v>0</v>
      </c>
      <c r="X890" s="90">
        <v>0</v>
      </c>
    </row>
    <row r="891" spans="1:24" hidden="1" x14ac:dyDescent="0.25">
      <c r="A891" s="80" t="str">
        <v>PENDIENTE</v>
      </c>
      <c r="B891" s="80" t="str">
        <v>San Gregorio</v>
      </c>
      <c r="C891" s="80" t="str">
        <v>Enero / Febrero / Marzo</v>
      </c>
      <c r="D891" s="81">
        <v>46101</v>
      </c>
      <c r="E891" s="79">
        <v>900</v>
      </c>
      <c r="F891" s="81">
        <v>46099</v>
      </c>
      <c r="G891" s="79" cm="1">
        <f t="array" ref="G891:X891">_xlfn._xlws.FILTER(Formulas!$C$2:$T$201, ISNUMBER(MATCH(Formulas!$B$2:$B$201, B891, 0)),0) * E891</f>
        <v>180</v>
      </c>
      <c r="H891" s="79">
        <v>624.14999999999986</v>
      </c>
      <c r="I891" s="79">
        <v>31.949999999999996</v>
      </c>
      <c r="J891" s="79">
        <v>31.949999999999996</v>
      </c>
      <c r="K891" s="79">
        <v>0</v>
      </c>
      <c r="L891" s="79">
        <v>0</v>
      </c>
      <c r="M891" s="79">
        <v>31.949999999999996</v>
      </c>
      <c r="N891" s="79">
        <v>0</v>
      </c>
      <c r="O891" s="79">
        <v>0</v>
      </c>
      <c r="P891" s="79">
        <v>0</v>
      </c>
      <c r="Q891" s="79">
        <v>0</v>
      </c>
      <c r="R891" s="79">
        <v>0</v>
      </c>
      <c r="S891" s="79">
        <v>0</v>
      </c>
      <c r="T891" s="79">
        <v>0</v>
      </c>
      <c r="U891" s="79">
        <v>0</v>
      </c>
      <c r="V891" s="79">
        <v>0</v>
      </c>
      <c r="W891" s="79">
        <v>0</v>
      </c>
      <c r="X891" s="90">
        <v>0</v>
      </c>
    </row>
    <row r="892" spans="1:24" hidden="1" x14ac:dyDescent="0.25">
      <c r="A892" s="80" t="str">
        <v>PENDIENTE</v>
      </c>
      <c r="B892" s="80" t="str">
        <v>San Gregorio</v>
      </c>
      <c r="C892" s="80" t="str">
        <v>Abril / Mayo / Junio</v>
      </c>
      <c r="D892" s="81">
        <v>46101</v>
      </c>
      <c r="E892" s="79">
        <v>900</v>
      </c>
      <c r="F892" s="81">
        <v>46099</v>
      </c>
      <c r="G892" s="79" cm="1">
        <f t="array" ref="G892:X892">_xlfn._xlws.FILTER(Formulas!$C$2:$T$201, ISNUMBER(MATCH(Formulas!$B$2:$B$201, B892, 0)),0) * E892</f>
        <v>180</v>
      </c>
      <c r="H892" s="79">
        <v>624.14999999999986</v>
      </c>
      <c r="I892" s="79">
        <v>31.949999999999996</v>
      </c>
      <c r="J892" s="79">
        <v>31.949999999999996</v>
      </c>
      <c r="K892" s="79">
        <v>0</v>
      </c>
      <c r="L892" s="79">
        <v>0</v>
      </c>
      <c r="M892" s="79">
        <v>31.949999999999996</v>
      </c>
      <c r="N892" s="79">
        <v>0</v>
      </c>
      <c r="O892" s="79">
        <v>0</v>
      </c>
      <c r="P892" s="79">
        <v>0</v>
      </c>
      <c r="Q892" s="79">
        <v>0</v>
      </c>
      <c r="R892" s="79">
        <v>0</v>
      </c>
      <c r="S892" s="79">
        <v>0</v>
      </c>
      <c r="T892" s="79">
        <v>0</v>
      </c>
      <c r="U892" s="79">
        <v>0</v>
      </c>
      <c r="V892" s="79">
        <v>0</v>
      </c>
      <c r="W892" s="79">
        <v>0</v>
      </c>
      <c r="X892" s="90">
        <v>0</v>
      </c>
    </row>
    <row r="893" spans="1:24" hidden="1" x14ac:dyDescent="0.25">
      <c r="A893" s="80" t="str">
        <v>PENDIENTE</v>
      </c>
      <c r="B893" s="80" t="str">
        <v>San Gregorio</v>
      </c>
      <c r="C893" s="80" t="str">
        <v>Julio / Agosto / Septiembre</v>
      </c>
      <c r="D893" s="81">
        <v>46192</v>
      </c>
      <c r="E893" s="79">
        <v>900</v>
      </c>
      <c r="F893" s="81">
        <v>46195</v>
      </c>
      <c r="G893" s="79" cm="1">
        <f t="array" ref="G893:X893">_xlfn._xlws.FILTER(Formulas!$C$2:$T$201, ISNUMBER(MATCH(Formulas!$B$2:$B$201, B893, 0)),0) * E893</f>
        <v>180</v>
      </c>
      <c r="H893" s="79">
        <v>624.14999999999986</v>
      </c>
      <c r="I893" s="79">
        <v>31.949999999999996</v>
      </c>
      <c r="J893" s="79">
        <v>31.949999999999996</v>
      </c>
      <c r="K893" s="79">
        <v>0</v>
      </c>
      <c r="L893" s="79">
        <v>0</v>
      </c>
      <c r="M893" s="79">
        <v>31.949999999999996</v>
      </c>
      <c r="N893" s="79">
        <v>0</v>
      </c>
      <c r="O893" s="79">
        <v>0</v>
      </c>
      <c r="P893" s="79">
        <v>0</v>
      </c>
      <c r="Q893" s="79">
        <v>0</v>
      </c>
      <c r="R893" s="79">
        <v>0</v>
      </c>
      <c r="S893" s="79">
        <v>0</v>
      </c>
      <c r="T893" s="79">
        <v>0</v>
      </c>
      <c r="U893" s="79">
        <v>0</v>
      </c>
      <c r="V893" s="79">
        <v>0</v>
      </c>
      <c r="W893" s="79">
        <v>0</v>
      </c>
      <c r="X893" s="90">
        <v>0</v>
      </c>
    </row>
    <row r="894" spans="1:24" hidden="1" x14ac:dyDescent="0.25">
      <c r="A894" s="80" t="str">
        <v>PENDIENTE</v>
      </c>
      <c r="B894" s="80" t="str">
        <v>San Gregorio</v>
      </c>
      <c r="C894" s="80" t="str">
        <v>Octubre / Noviembre / Diciembre</v>
      </c>
      <c r="D894" s="81">
        <v>46287</v>
      </c>
      <c r="E894" s="79">
        <v>900</v>
      </c>
      <c r="F894" s="81">
        <v>46287</v>
      </c>
      <c r="G894" s="79" cm="1">
        <f t="array" ref="G894:X894">_xlfn._xlws.FILTER(Formulas!$C$2:$T$201, ISNUMBER(MATCH(Formulas!$B$2:$B$201, B894, 0)),0) * E894</f>
        <v>180</v>
      </c>
      <c r="H894" s="79">
        <v>624.14999999999986</v>
      </c>
      <c r="I894" s="79">
        <v>31.949999999999996</v>
      </c>
      <c r="J894" s="79">
        <v>31.949999999999996</v>
      </c>
      <c r="K894" s="79">
        <v>0</v>
      </c>
      <c r="L894" s="79">
        <v>0</v>
      </c>
      <c r="M894" s="79">
        <v>31.949999999999996</v>
      </c>
      <c r="N894" s="79">
        <v>0</v>
      </c>
      <c r="O894" s="79">
        <v>0</v>
      </c>
      <c r="P894" s="79">
        <v>0</v>
      </c>
      <c r="Q894" s="79">
        <v>0</v>
      </c>
      <c r="R894" s="79">
        <v>0</v>
      </c>
      <c r="S894" s="79">
        <v>0</v>
      </c>
      <c r="T894" s="79">
        <v>0</v>
      </c>
      <c r="U894" s="79">
        <v>0</v>
      </c>
      <c r="V894" s="79">
        <v>0</v>
      </c>
      <c r="W894" s="79">
        <v>0</v>
      </c>
      <c r="X894" s="90">
        <v>0</v>
      </c>
    </row>
    <row r="895" spans="1:24" hidden="1" x14ac:dyDescent="0.25">
      <c r="A895" s="80" t="str">
        <v>PENDIENTE</v>
      </c>
      <c r="B895" s="80" t="str">
        <v>San Ignacio</v>
      </c>
      <c r="C895" s="80" t="str">
        <v>Enero / Febrero</v>
      </c>
      <c r="D895" s="81">
        <v>46042</v>
      </c>
      <c r="E895" s="79">
        <v>5616</v>
      </c>
      <c r="F895" s="80">
        <v>46028</v>
      </c>
      <c r="G895" s="79" cm="1">
        <f t="array" ref="G895:X895">_xlfn._xlws.FILTER(Formulas!$C$2:$T$201, ISNUMBER(MATCH(Formulas!$B$2:$B$201, B895, 0)),0) * E895</f>
        <v>1235</v>
      </c>
      <c r="H895" s="79">
        <v>3699.9999999999995</v>
      </c>
      <c r="I895" s="79">
        <v>281</v>
      </c>
      <c r="J895" s="79">
        <v>197.00000000000003</v>
      </c>
      <c r="K895" s="79">
        <v>0</v>
      </c>
      <c r="L895" s="79">
        <v>0</v>
      </c>
      <c r="M895" s="79">
        <v>197.00000000000003</v>
      </c>
      <c r="N895" s="79">
        <v>0</v>
      </c>
      <c r="O895" s="79">
        <v>0</v>
      </c>
      <c r="P895" s="79">
        <v>0</v>
      </c>
      <c r="Q895" s="79">
        <v>0</v>
      </c>
      <c r="R895" s="79">
        <v>0</v>
      </c>
      <c r="S895" s="79">
        <v>0</v>
      </c>
      <c r="T895" s="79">
        <v>5.6160000000000005</v>
      </c>
      <c r="U895" s="79">
        <v>0</v>
      </c>
      <c r="V895" s="79">
        <v>0</v>
      </c>
      <c r="W895" s="79">
        <v>0</v>
      </c>
      <c r="X895" s="90">
        <v>0</v>
      </c>
    </row>
    <row r="896" spans="1:24" hidden="1" x14ac:dyDescent="0.25">
      <c r="A896" s="80" t="str">
        <v>PENDIENTE</v>
      </c>
      <c r="B896" s="80" t="str">
        <v>San Ignacio</v>
      </c>
      <c r="C896" s="80" t="str">
        <v>Marzo / Abril</v>
      </c>
      <c r="D896" s="81">
        <v>46073</v>
      </c>
      <c r="E896" s="79">
        <v>5616</v>
      </c>
      <c r="F896" s="81">
        <v>46083</v>
      </c>
      <c r="G896" s="79" cm="1">
        <f t="array" ref="G896:X896">_xlfn._xlws.FILTER(Formulas!$C$2:$T$201, ISNUMBER(MATCH(Formulas!$B$2:$B$201, B896, 0)),0) * E896</f>
        <v>1235</v>
      </c>
      <c r="H896" s="79">
        <v>3699.9999999999995</v>
      </c>
      <c r="I896" s="79">
        <v>281</v>
      </c>
      <c r="J896" s="79">
        <v>197.00000000000003</v>
      </c>
      <c r="K896" s="79">
        <v>0</v>
      </c>
      <c r="L896" s="79">
        <v>0</v>
      </c>
      <c r="M896" s="79">
        <v>197.00000000000003</v>
      </c>
      <c r="N896" s="79">
        <v>0</v>
      </c>
      <c r="O896" s="79">
        <v>0</v>
      </c>
      <c r="P896" s="79">
        <v>0</v>
      </c>
      <c r="Q896" s="79">
        <v>0</v>
      </c>
      <c r="R896" s="79">
        <v>0</v>
      </c>
      <c r="S896" s="79">
        <v>0</v>
      </c>
      <c r="T896" s="79">
        <v>5.6160000000000005</v>
      </c>
      <c r="U896" s="79">
        <v>0</v>
      </c>
      <c r="V896" s="79">
        <v>0</v>
      </c>
      <c r="W896" s="79">
        <v>0</v>
      </c>
      <c r="X896" s="90">
        <v>0</v>
      </c>
    </row>
    <row r="897" spans="1:24" hidden="1" x14ac:dyDescent="0.25">
      <c r="A897" s="80" t="str">
        <v>PENDIENTE</v>
      </c>
      <c r="B897" s="80" t="str">
        <v>San Ignacio</v>
      </c>
      <c r="C897" s="80" t="str">
        <v>Mayo / Junio</v>
      </c>
      <c r="D897" s="81">
        <v>46132</v>
      </c>
      <c r="E897" s="79">
        <v>5616</v>
      </c>
      <c r="F897" s="81">
        <v>46119</v>
      </c>
      <c r="G897" s="79" cm="1">
        <f t="array" ref="G897:X897">_xlfn._xlws.FILTER(Formulas!$C$2:$T$201, ISNUMBER(MATCH(Formulas!$B$2:$B$201, B897, 0)),0) * E897</f>
        <v>1235</v>
      </c>
      <c r="H897" s="79">
        <v>3699.9999999999995</v>
      </c>
      <c r="I897" s="79">
        <v>281</v>
      </c>
      <c r="J897" s="79">
        <v>197.00000000000003</v>
      </c>
      <c r="K897" s="79">
        <v>0</v>
      </c>
      <c r="L897" s="79">
        <v>0</v>
      </c>
      <c r="M897" s="79">
        <v>197.00000000000003</v>
      </c>
      <c r="N897" s="79">
        <v>0</v>
      </c>
      <c r="O897" s="79">
        <v>0</v>
      </c>
      <c r="P897" s="79">
        <v>0</v>
      </c>
      <c r="Q897" s="79">
        <v>0</v>
      </c>
      <c r="R897" s="79">
        <v>0</v>
      </c>
      <c r="S897" s="79">
        <v>0</v>
      </c>
      <c r="T897" s="79">
        <v>5.6160000000000005</v>
      </c>
      <c r="U897" s="79">
        <v>0</v>
      </c>
      <c r="V897" s="79">
        <v>0</v>
      </c>
      <c r="W897" s="79">
        <v>0</v>
      </c>
      <c r="X897" s="90">
        <v>0</v>
      </c>
    </row>
    <row r="898" spans="1:24" hidden="1" x14ac:dyDescent="0.25">
      <c r="A898" s="80" t="str">
        <v>PENDIENTE</v>
      </c>
      <c r="B898" s="80" t="str">
        <v>San Ignacio</v>
      </c>
      <c r="C898" s="80" t="str">
        <v>Julio / Agosto</v>
      </c>
      <c r="D898" s="81">
        <v>46192</v>
      </c>
      <c r="E898" s="79">
        <v>5616</v>
      </c>
      <c r="F898" s="81">
        <v>46181</v>
      </c>
      <c r="G898" s="79" cm="1">
        <f t="array" ref="G898:X898">_xlfn._xlws.FILTER(Formulas!$C$2:$T$201, ISNUMBER(MATCH(Formulas!$B$2:$B$201, B898, 0)),0) * E898</f>
        <v>1235</v>
      </c>
      <c r="H898" s="79">
        <v>3699.9999999999995</v>
      </c>
      <c r="I898" s="79">
        <v>281</v>
      </c>
      <c r="J898" s="79">
        <v>197.00000000000003</v>
      </c>
      <c r="K898" s="79">
        <v>0</v>
      </c>
      <c r="L898" s="79">
        <v>0</v>
      </c>
      <c r="M898" s="79">
        <v>197.00000000000003</v>
      </c>
      <c r="N898" s="79">
        <v>0</v>
      </c>
      <c r="O898" s="79">
        <v>0</v>
      </c>
      <c r="P898" s="79">
        <v>0</v>
      </c>
      <c r="Q898" s="79">
        <v>0</v>
      </c>
      <c r="R898" s="79">
        <v>0</v>
      </c>
      <c r="S898" s="79">
        <v>0</v>
      </c>
      <c r="T898" s="79">
        <v>5.6160000000000005</v>
      </c>
      <c r="U898" s="79">
        <v>0</v>
      </c>
      <c r="V898" s="79">
        <v>0</v>
      </c>
      <c r="W898" s="79">
        <v>0</v>
      </c>
      <c r="X898" s="90">
        <v>0</v>
      </c>
    </row>
    <row r="899" spans="1:24" hidden="1" x14ac:dyDescent="0.25">
      <c r="A899" s="80" t="str">
        <v>PENDIENTE</v>
      </c>
      <c r="B899" s="80" t="str">
        <v>San Ignacio</v>
      </c>
      <c r="C899" s="80" t="str">
        <v>O.C.</v>
      </c>
      <c r="D899" s="81">
        <v>46192</v>
      </c>
      <c r="E899" s="79">
        <v>4101.3</v>
      </c>
      <c r="F899" s="81">
        <v>46198</v>
      </c>
      <c r="G899" s="79" cm="1">
        <f t="array" ref="G899:X899">_xlfn._xlws.FILTER(Formulas!$C$2:$T$201, ISNUMBER(MATCH(Formulas!$B$2:$B$201, B899, 0)),0) * E899</f>
        <v>901.90625000000011</v>
      </c>
      <c r="H899" s="79">
        <v>2702.0673076923076</v>
      </c>
      <c r="I899" s="79">
        <v>205.21105769230769</v>
      </c>
      <c r="J899" s="79">
        <v>143.86682692307693</v>
      </c>
      <c r="K899" s="79">
        <v>0</v>
      </c>
      <c r="L899" s="79">
        <v>0</v>
      </c>
      <c r="M899" s="79">
        <v>143.86682692307693</v>
      </c>
      <c r="N899" s="79">
        <v>0</v>
      </c>
      <c r="O899" s="79">
        <v>0</v>
      </c>
      <c r="P899" s="79">
        <v>0</v>
      </c>
      <c r="Q899" s="79">
        <v>0</v>
      </c>
      <c r="R899" s="79">
        <v>0</v>
      </c>
      <c r="S899" s="79">
        <v>0</v>
      </c>
      <c r="T899" s="79">
        <v>4.1013000000000002</v>
      </c>
      <c r="U899" s="79">
        <v>0</v>
      </c>
      <c r="V899" s="79">
        <v>0</v>
      </c>
      <c r="W899" s="79">
        <v>0</v>
      </c>
      <c r="X899" s="90">
        <v>0</v>
      </c>
    </row>
    <row r="900" spans="1:24" hidden="1" x14ac:dyDescent="0.25">
      <c r="A900" s="80" t="str">
        <v>PENDIENTE</v>
      </c>
      <c r="B900" s="80" t="str">
        <v>San Ignacio</v>
      </c>
      <c r="C900" s="80" t="str">
        <v>Septiembre / Octubre</v>
      </c>
      <c r="D900" s="81">
        <v>46254</v>
      </c>
      <c r="E900" s="79">
        <v>5616</v>
      </c>
      <c r="F900" s="81">
        <v>46257</v>
      </c>
      <c r="G900" s="79" cm="1">
        <f t="array" ref="G900:X900">_xlfn._xlws.FILTER(Formulas!$C$2:$T$201, ISNUMBER(MATCH(Formulas!$B$2:$B$201, B900, 0)),0) * E900</f>
        <v>1235</v>
      </c>
      <c r="H900" s="79">
        <v>3699.9999999999995</v>
      </c>
      <c r="I900" s="79">
        <v>281</v>
      </c>
      <c r="J900" s="79">
        <v>197.00000000000003</v>
      </c>
      <c r="K900" s="79">
        <v>0</v>
      </c>
      <c r="L900" s="79">
        <v>0</v>
      </c>
      <c r="M900" s="79">
        <v>197.00000000000003</v>
      </c>
      <c r="N900" s="79">
        <v>0</v>
      </c>
      <c r="O900" s="79">
        <v>0</v>
      </c>
      <c r="P900" s="79">
        <v>0</v>
      </c>
      <c r="Q900" s="79">
        <v>0</v>
      </c>
      <c r="R900" s="79">
        <v>0</v>
      </c>
      <c r="S900" s="79">
        <v>0</v>
      </c>
      <c r="T900" s="79">
        <v>5.6160000000000005</v>
      </c>
      <c r="U900" s="79">
        <v>0</v>
      </c>
      <c r="V900" s="79">
        <v>0</v>
      </c>
      <c r="W900" s="79">
        <v>0</v>
      </c>
      <c r="X900" s="90">
        <v>0</v>
      </c>
    </row>
    <row r="901" spans="1:24" hidden="1" x14ac:dyDescent="0.25">
      <c r="A901" s="80" t="str">
        <v>PENDIENTE</v>
      </c>
      <c r="B901" s="80" t="str">
        <v>San Ignacio</v>
      </c>
      <c r="C901" s="80" t="str">
        <v>Noviembre / Diciembre</v>
      </c>
      <c r="D901" s="81">
        <v>46315</v>
      </c>
      <c r="E901" s="79">
        <v>5616</v>
      </c>
      <c r="F901" s="81">
        <v>0</v>
      </c>
      <c r="G901" s="79" cm="1">
        <f t="array" ref="G901:X901">_xlfn._xlws.FILTER(Formulas!$C$2:$T$201, ISNUMBER(MATCH(Formulas!$B$2:$B$201, B901, 0)),0) * E901</f>
        <v>1235</v>
      </c>
      <c r="H901" s="79">
        <v>3699.9999999999995</v>
      </c>
      <c r="I901" s="79">
        <v>281</v>
      </c>
      <c r="J901" s="79">
        <v>197.00000000000003</v>
      </c>
      <c r="K901" s="79">
        <v>0</v>
      </c>
      <c r="L901" s="79">
        <v>0</v>
      </c>
      <c r="M901" s="79">
        <v>197.00000000000003</v>
      </c>
      <c r="N901" s="79">
        <v>0</v>
      </c>
      <c r="O901" s="79">
        <v>0</v>
      </c>
      <c r="P901" s="79">
        <v>0</v>
      </c>
      <c r="Q901" s="79">
        <v>0</v>
      </c>
      <c r="R901" s="79">
        <v>0</v>
      </c>
      <c r="S901" s="79">
        <v>0</v>
      </c>
      <c r="T901" s="79">
        <v>5.6160000000000005</v>
      </c>
      <c r="U901" s="79">
        <v>0</v>
      </c>
      <c r="V901" s="79">
        <v>0</v>
      </c>
      <c r="W901" s="79">
        <v>0</v>
      </c>
      <c r="X901" s="90">
        <v>0</v>
      </c>
    </row>
    <row r="902" spans="1:24" hidden="1" x14ac:dyDescent="0.25">
      <c r="A902" s="80" t="str">
        <v>ENHA</v>
      </c>
      <c r="B902" s="80" t="str">
        <v>San Isidro de Maino</v>
      </c>
      <c r="C902" s="80" t="str">
        <v>O.C.</v>
      </c>
      <c r="D902" s="81">
        <v>46120</v>
      </c>
      <c r="E902" s="79">
        <v>260</v>
      </c>
      <c r="F902" s="81">
        <v>46119</v>
      </c>
      <c r="G902" s="79" cm="1">
        <f t="array" ref="G902:X902">_xlfn._xlws.FILTER(Formulas!$C$2:$T$201, ISNUMBER(MATCH(Formulas!$B$2:$B$201, B902, 0)),0) * E902</f>
        <v>121</v>
      </c>
      <c r="H902" s="79">
        <v>121</v>
      </c>
      <c r="I902" s="79">
        <v>15</v>
      </c>
      <c r="J902" s="79">
        <v>0</v>
      </c>
      <c r="K902" s="79">
        <v>0</v>
      </c>
      <c r="L902" s="79">
        <v>0</v>
      </c>
      <c r="M902" s="79">
        <v>0</v>
      </c>
      <c r="N902" s="79">
        <v>0</v>
      </c>
      <c r="O902" s="79">
        <v>0</v>
      </c>
      <c r="P902" s="79">
        <v>0</v>
      </c>
      <c r="Q902" s="79">
        <v>0</v>
      </c>
      <c r="R902" s="79">
        <v>0</v>
      </c>
      <c r="S902" s="79">
        <v>0</v>
      </c>
      <c r="T902" s="79">
        <v>0</v>
      </c>
      <c r="U902" s="79">
        <v>0</v>
      </c>
      <c r="V902" s="79">
        <v>0.5</v>
      </c>
      <c r="W902" s="79">
        <v>0</v>
      </c>
      <c r="X902" s="90">
        <v>0</v>
      </c>
    </row>
    <row r="903" spans="1:24" hidden="1" x14ac:dyDescent="0.25">
      <c r="A903" s="80" t="str">
        <v>ENHA</v>
      </c>
      <c r="B903" s="80" t="str">
        <v>San Isidro Maino</v>
      </c>
      <c r="C903" s="80" t="str">
        <v>O.C.</v>
      </c>
      <c r="D903" s="81">
        <v>46120</v>
      </c>
      <c r="E903" s="79">
        <v>72</v>
      </c>
      <c r="F903" s="81">
        <v>46120</v>
      </c>
      <c r="G903" s="79" cm="1">
        <f t="array" ref="G903:X903">_xlfn._xlws.FILTER(Formulas!$C$2:$T$201, ISNUMBER(MATCH(Formulas!$B$2:$B$201, B903, 0)),0) * E903</f>
        <v>14</v>
      </c>
      <c r="H903" s="79">
        <v>58</v>
      </c>
      <c r="I903" s="79">
        <v>0</v>
      </c>
      <c r="J903" s="79">
        <v>0</v>
      </c>
      <c r="K903" s="79">
        <v>0</v>
      </c>
      <c r="L903" s="79">
        <v>0</v>
      </c>
      <c r="M903" s="79">
        <v>0</v>
      </c>
      <c r="N903" s="79">
        <v>0</v>
      </c>
      <c r="O903" s="79">
        <v>0</v>
      </c>
      <c r="P903" s="79">
        <v>0</v>
      </c>
      <c r="Q903" s="79">
        <v>0</v>
      </c>
      <c r="R903" s="79">
        <v>0</v>
      </c>
      <c r="S903" s="79">
        <v>0</v>
      </c>
      <c r="T903" s="79">
        <v>0</v>
      </c>
      <c r="U903" s="79">
        <v>0</v>
      </c>
      <c r="V903" s="79">
        <v>0</v>
      </c>
      <c r="W903" s="79">
        <v>0</v>
      </c>
      <c r="X903" s="90">
        <v>0</v>
      </c>
    </row>
    <row r="904" spans="1:24" hidden="1" x14ac:dyDescent="0.25">
      <c r="A904" s="80" t="str">
        <v>PENDIENTE</v>
      </c>
      <c r="B904" s="80" t="str">
        <v>San Jose</v>
      </c>
      <c r="C904" s="80" t="str">
        <v>Enero</v>
      </c>
      <c r="D904" s="81">
        <v>46015</v>
      </c>
      <c r="E904" s="79">
        <v>1135</v>
      </c>
      <c r="F904" s="81">
        <v>45997</v>
      </c>
      <c r="G904" s="79" cm="1">
        <f t="array" ref="G904:X904">_xlfn._xlws.FILTER(Formulas!$C$2:$T$201, ISNUMBER(MATCH(Formulas!$B$2:$B$201, B904, 0)),0) * E904</f>
        <v>250.04050000000001</v>
      </c>
      <c r="H904" s="79">
        <v>783.03649999999993</v>
      </c>
      <c r="I904" s="79">
        <v>34.049999999999997</v>
      </c>
      <c r="J904" s="79">
        <v>34.049999999999997</v>
      </c>
      <c r="K904" s="79">
        <v>0</v>
      </c>
      <c r="L904" s="79">
        <v>0</v>
      </c>
      <c r="M904" s="79">
        <v>34.049999999999997</v>
      </c>
      <c r="N904" s="79">
        <v>0</v>
      </c>
      <c r="O904" s="79">
        <v>0</v>
      </c>
      <c r="P904" s="79">
        <v>0</v>
      </c>
      <c r="Q904" s="79">
        <v>0</v>
      </c>
      <c r="R904" s="79">
        <v>0</v>
      </c>
      <c r="S904" s="79">
        <v>0</v>
      </c>
      <c r="T904" s="79">
        <v>0</v>
      </c>
      <c r="U904" s="79">
        <v>0</v>
      </c>
      <c r="V904" s="79">
        <v>0</v>
      </c>
      <c r="W904" s="79">
        <v>0</v>
      </c>
      <c r="X904" s="90">
        <v>0</v>
      </c>
    </row>
    <row r="905" spans="1:24" hidden="1" x14ac:dyDescent="0.25">
      <c r="A905" s="80" t="str">
        <v>PENDIENTE</v>
      </c>
      <c r="B905" s="80" t="str">
        <v>San Jose</v>
      </c>
      <c r="C905" s="80" t="str">
        <v>Febrero</v>
      </c>
      <c r="D905" s="81">
        <v>46046</v>
      </c>
      <c r="E905" s="79">
        <v>1025</v>
      </c>
      <c r="F905" s="81">
        <v>46044</v>
      </c>
      <c r="G905" s="79" cm="1">
        <f t="array" ref="G905:X905">_xlfn._xlws.FILTER(Formulas!$C$2:$T$201, ISNUMBER(MATCH(Formulas!$B$2:$B$201, B905, 0)),0) * E905</f>
        <v>225.8075</v>
      </c>
      <c r="H905" s="79">
        <v>707.14749999999992</v>
      </c>
      <c r="I905" s="79">
        <v>30.75</v>
      </c>
      <c r="J905" s="79">
        <v>30.75</v>
      </c>
      <c r="K905" s="79">
        <v>0</v>
      </c>
      <c r="L905" s="79">
        <v>0</v>
      </c>
      <c r="M905" s="79">
        <v>30.75</v>
      </c>
      <c r="N905" s="79">
        <v>0</v>
      </c>
      <c r="O905" s="79">
        <v>0</v>
      </c>
      <c r="P905" s="79">
        <v>0</v>
      </c>
      <c r="Q905" s="79">
        <v>0</v>
      </c>
      <c r="R905" s="79">
        <v>0</v>
      </c>
      <c r="S905" s="79">
        <v>0</v>
      </c>
      <c r="T905" s="79">
        <v>0</v>
      </c>
      <c r="U905" s="79">
        <v>0</v>
      </c>
      <c r="V905" s="79">
        <v>0</v>
      </c>
      <c r="W905" s="79">
        <v>0</v>
      </c>
      <c r="X905" s="90">
        <v>0</v>
      </c>
    </row>
    <row r="906" spans="1:24" hidden="1" x14ac:dyDescent="0.25">
      <c r="A906" s="80" t="str">
        <v>PENDIENTE</v>
      </c>
      <c r="B906" s="80" t="str">
        <v>San Jose</v>
      </c>
      <c r="C906" s="80" t="str">
        <v>Marzo</v>
      </c>
      <c r="D906" s="81">
        <v>46077</v>
      </c>
      <c r="E906" s="79">
        <v>1135</v>
      </c>
      <c r="F906" s="81">
        <v>46071</v>
      </c>
      <c r="G906" s="79" cm="1">
        <f t="array" ref="G906:X906">_xlfn._xlws.FILTER(Formulas!$C$2:$T$201, ISNUMBER(MATCH(Formulas!$B$2:$B$201, B906, 0)),0) * E906</f>
        <v>250.04050000000001</v>
      </c>
      <c r="H906" s="79">
        <v>783.03649999999993</v>
      </c>
      <c r="I906" s="79">
        <v>34.049999999999997</v>
      </c>
      <c r="J906" s="79">
        <v>34.049999999999997</v>
      </c>
      <c r="K906" s="79">
        <v>0</v>
      </c>
      <c r="L906" s="79">
        <v>0</v>
      </c>
      <c r="M906" s="79">
        <v>34.049999999999997</v>
      </c>
      <c r="N906" s="79">
        <v>0</v>
      </c>
      <c r="O906" s="79">
        <v>0</v>
      </c>
      <c r="P906" s="79">
        <v>0</v>
      </c>
      <c r="Q906" s="79">
        <v>0</v>
      </c>
      <c r="R906" s="79">
        <v>0</v>
      </c>
      <c r="S906" s="79">
        <v>0</v>
      </c>
      <c r="T906" s="79">
        <v>0</v>
      </c>
      <c r="U906" s="79">
        <v>0</v>
      </c>
      <c r="V906" s="79">
        <v>0</v>
      </c>
      <c r="W906" s="79">
        <v>0</v>
      </c>
      <c r="X906" s="90">
        <v>0</v>
      </c>
    </row>
    <row r="907" spans="1:24" hidden="1" x14ac:dyDescent="0.25">
      <c r="A907" s="80" t="str">
        <v>PENDIENTE</v>
      </c>
      <c r="B907" s="80" t="str">
        <v>San Jose</v>
      </c>
      <c r="C907" s="80" t="str">
        <v>Abril</v>
      </c>
      <c r="D907" s="81">
        <v>46105</v>
      </c>
      <c r="E907" s="79">
        <v>1098</v>
      </c>
      <c r="F907" s="81">
        <v>46107</v>
      </c>
      <c r="G907" s="79" cm="1">
        <f t="array" ref="G907:X907">_xlfn._xlws.FILTER(Formulas!$C$2:$T$201, ISNUMBER(MATCH(Formulas!$B$2:$B$201, B907, 0)),0) * E907</f>
        <v>241.88939999999999</v>
      </c>
      <c r="H907" s="79">
        <v>757.51019999999994</v>
      </c>
      <c r="I907" s="79">
        <v>32.94</v>
      </c>
      <c r="J907" s="79">
        <v>32.94</v>
      </c>
      <c r="K907" s="79">
        <v>0</v>
      </c>
      <c r="L907" s="79">
        <v>0</v>
      </c>
      <c r="M907" s="79">
        <v>32.94</v>
      </c>
      <c r="N907" s="79">
        <v>0</v>
      </c>
      <c r="O907" s="79">
        <v>0</v>
      </c>
      <c r="P907" s="79">
        <v>0</v>
      </c>
      <c r="Q907" s="79">
        <v>0</v>
      </c>
      <c r="R907" s="79">
        <v>0</v>
      </c>
      <c r="S907" s="79">
        <v>0</v>
      </c>
      <c r="T907" s="79">
        <v>0</v>
      </c>
      <c r="U907" s="79">
        <v>0</v>
      </c>
      <c r="V907" s="79">
        <v>0</v>
      </c>
      <c r="W907" s="79">
        <v>0</v>
      </c>
      <c r="X907" s="90">
        <v>0</v>
      </c>
    </row>
    <row r="908" spans="1:24" hidden="1" x14ac:dyDescent="0.25">
      <c r="A908" s="80" t="str">
        <v>PENDIENTE</v>
      </c>
      <c r="B908" s="80" t="str">
        <v>San Jose</v>
      </c>
      <c r="C908" s="80" t="str">
        <v>Mayo</v>
      </c>
      <c r="D908" s="81">
        <v>46136</v>
      </c>
      <c r="E908" s="79">
        <v>1135</v>
      </c>
      <c r="F908" s="80">
        <v>46141</v>
      </c>
      <c r="G908" s="79" cm="1">
        <f t="array" ref="G908:X908">_xlfn._xlws.FILTER(Formulas!$C$2:$T$201, ISNUMBER(MATCH(Formulas!$B$2:$B$201, B908, 0)),0) * E908</f>
        <v>250.04050000000001</v>
      </c>
      <c r="H908" s="79">
        <v>783.03649999999993</v>
      </c>
      <c r="I908" s="79">
        <v>34.049999999999997</v>
      </c>
      <c r="J908" s="79">
        <v>34.049999999999997</v>
      </c>
      <c r="K908" s="79">
        <v>0</v>
      </c>
      <c r="L908" s="79">
        <v>0</v>
      </c>
      <c r="M908" s="79">
        <v>34.049999999999997</v>
      </c>
      <c r="N908" s="79">
        <v>0</v>
      </c>
      <c r="O908" s="79">
        <v>0</v>
      </c>
      <c r="P908" s="79">
        <v>0</v>
      </c>
      <c r="Q908" s="79">
        <v>0</v>
      </c>
      <c r="R908" s="79">
        <v>0</v>
      </c>
      <c r="S908" s="79">
        <v>0</v>
      </c>
      <c r="T908" s="79">
        <v>0</v>
      </c>
      <c r="U908" s="79">
        <v>0</v>
      </c>
      <c r="V908" s="79">
        <v>0</v>
      </c>
      <c r="W908" s="79">
        <v>0</v>
      </c>
      <c r="X908" s="90">
        <v>0</v>
      </c>
    </row>
    <row r="909" spans="1:24" hidden="1" x14ac:dyDescent="0.25">
      <c r="A909" s="80" t="str">
        <v>PENDIENTE</v>
      </c>
      <c r="B909" s="80" t="str">
        <v>San Jose</v>
      </c>
      <c r="C909" s="80" t="str">
        <v>Junio</v>
      </c>
      <c r="D909" s="81">
        <v>46166</v>
      </c>
      <c r="E909" s="79">
        <v>1098</v>
      </c>
      <c r="F909" s="80">
        <v>46157</v>
      </c>
      <c r="G909" s="79" cm="1">
        <f t="array" ref="G909:X909">_xlfn._xlws.FILTER(Formulas!$C$2:$T$201, ISNUMBER(MATCH(Formulas!$B$2:$B$201, B909, 0)),0) * E909</f>
        <v>241.88939999999999</v>
      </c>
      <c r="H909" s="79">
        <v>757.51019999999994</v>
      </c>
      <c r="I909" s="79">
        <v>32.94</v>
      </c>
      <c r="J909" s="79">
        <v>32.94</v>
      </c>
      <c r="K909" s="79">
        <v>0</v>
      </c>
      <c r="L909" s="79">
        <v>0</v>
      </c>
      <c r="M909" s="79">
        <v>32.94</v>
      </c>
      <c r="N909" s="79">
        <v>0</v>
      </c>
      <c r="O909" s="79">
        <v>0</v>
      </c>
      <c r="P909" s="79">
        <v>0</v>
      </c>
      <c r="Q909" s="79">
        <v>0</v>
      </c>
      <c r="R909" s="79">
        <v>0</v>
      </c>
      <c r="S909" s="79">
        <v>0</v>
      </c>
      <c r="T909" s="79">
        <v>0</v>
      </c>
      <c r="U909" s="79">
        <v>0</v>
      </c>
      <c r="V909" s="79">
        <v>0</v>
      </c>
      <c r="W909" s="79">
        <v>0</v>
      </c>
      <c r="X909" s="90">
        <v>0</v>
      </c>
    </row>
    <row r="910" spans="1:24" hidden="1" x14ac:dyDescent="0.25">
      <c r="A910" s="80" t="str">
        <v>PENDIENTE</v>
      </c>
      <c r="B910" s="80" t="str">
        <v>San Jose</v>
      </c>
      <c r="C910" s="80" t="str">
        <v>Julio</v>
      </c>
      <c r="D910" s="81">
        <v>46197</v>
      </c>
      <c r="E910" s="79">
        <v>1135</v>
      </c>
      <c r="F910" s="80">
        <v>46202</v>
      </c>
      <c r="G910" s="79" cm="1">
        <f t="array" ref="G910:X910">_xlfn._xlws.FILTER(Formulas!$C$2:$T$201, ISNUMBER(MATCH(Formulas!$B$2:$B$201, B910, 0)),0) * E910</f>
        <v>250.04050000000001</v>
      </c>
      <c r="H910" s="79">
        <v>783.03649999999993</v>
      </c>
      <c r="I910" s="79">
        <v>34.049999999999997</v>
      </c>
      <c r="J910" s="79">
        <v>34.049999999999997</v>
      </c>
      <c r="K910" s="79">
        <v>0</v>
      </c>
      <c r="L910" s="79">
        <v>0</v>
      </c>
      <c r="M910" s="79">
        <v>34.049999999999997</v>
      </c>
      <c r="N910" s="79">
        <v>0</v>
      </c>
      <c r="O910" s="79">
        <v>0</v>
      </c>
      <c r="P910" s="79">
        <v>0</v>
      </c>
      <c r="Q910" s="79">
        <v>0</v>
      </c>
      <c r="R910" s="79">
        <v>0</v>
      </c>
      <c r="S910" s="79">
        <v>0</v>
      </c>
      <c r="T910" s="79">
        <v>0</v>
      </c>
      <c r="U910" s="79">
        <v>0</v>
      </c>
      <c r="V910" s="79">
        <v>0</v>
      </c>
      <c r="W910" s="79">
        <v>0</v>
      </c>
      <c r="X910" s="90">
        <v>0</v>
      </c>
    </row>
    <row r="911" spans="1:24" hidden="1" x14ac:dyDescent="0.25">
      <c r="A911" s="80" t="str">
        <v>PENDIENTE</v>
      </c>
      <c r="B911" s="80" t="str">
        <v>San Jose</v>
      </c>
      <c r="C911" s="80" t="str">
        <v>O.C.</v>
      </c>
      <c r="D911" s="81">
        <v>46227</v>
      </c>
      <c r="E911" s="79">
        <v>741.15</v>
      </c>
      <c r="F911" s="81">
        <v>46233</v>
      </c>
      <c r="G911" s="79" cm="1">
        <f t="array" ref="G911:X911">_xlfn._xlws.FILTER(Formulas!$C$2:$T$201, ISNUMBER(MATCH(Formulas!$B$2:$B$201, B911, 0)),0) * E911</f>
        <v>163.27534499999999</v>
      </c>
      <c r="H911" s="79">
        <v>511.31938499999995</v>
      </c>
      <c r="I911" s="79">
        <v>22.234499999999997</v>
      </c>
      <c r="J911" s="79">
        <v>22.234499999999997</v>
      </c>
      <c r="K911" s="79">
        <v>0</v>
      </c>
      <c r="L911" s="79">
        <v>0</v>
      </c>
      <c r="M911" s="79">
        <v>22.234499999999997</v>
      </c>
      <c r="N911" s="79">
        <v>0</v>
      </c>
      <c r="O911" s="79">
        <v>0</v>
      </c>
      <c r="P911" s="79">
        <v>0</v>
      </c>
      <c r="Q911" s="79">
        <v>0</v>
      </c>
      <c r="R911" s="79">
        <v>0</v>
      </c>
      <c r="S911" s="79">
        <v>0</v>
      </c>
      <c r="T911" s="79">
        <v>0</v>
      </c>
      <c r="U911" s="79">
        <v>0</v>
      </c>
      <c r="V911" s="79">
        <v>0</v>
      </c>
      <c r="W911" s="79">
        <v>0</v>
      </c>
      <c r="X911" s="90">
        <v>0</v>
      </c>
    </row>
    <row r="912" spans="1:24" hidden="1" x14ac:dyDescent="0.25">
      <c r="A912" s="80" t="str">
        <v>PENDIENTE</v>
      </c>
      <c r="B912" s="80" t="str">
        <v>San Jose</v>
      </c>
      <c r="C912" s="80" t="str">
        <v>Agosto</v>
      </c>
      <c r="D912" s="81">
        <v>46227</v>
      </c>
      <c r="E912" s="79">
        <v>1135</v>
      </c>
      <c r="F912" s="81">
        <v>46233</v>
      </c>
      <c r="G912" s="79" cm="1">
        <f t="array" ref="G912:X912">_xlfn._xlws.FILTER(Formulas!$C$2:$T$201, ISNUMBER(MATCH(Formulas!$B$2:$B$201, B912, 0)),0) * E912</f>
        <v>250.04050000000001</v>
      </c>
      <c r="H912" s="79">
        <v>783.03649999999993</v>
      </c>
      <c r="I912" s="79">
        <v>34.049999999999997</v>
      </c>
      <c r="J912" s="79">
        <v>34.049999999999997</v>
      </c>
      <c r="K912" s="79">
        <v>0</v>
      </c>
      <c r="L912" s="79">
        <v>0</v>
      </c>
      <c r="M912" s="79">
        <v>34.049999999999997</v>
      </c>
      <c r="N912" s="79">
        <v>0</v>
      </c>
      <c r="O912" s="79">
        <v>0</v>
      </c>
      <c r="P912" s="79">
        <v>0</v>
      </c>
      <c r="Q912" s="79">
        <v>0</v>
      </c>
      <c r="R912" s="79">
        <v>0</v>
      </c>
      <c r="S912" s="79">
        <v>0</v>
      </c>
      <c r="T912" s="79">
        <v>0</v>
      </c>
      <c r="U912" s="79">
        <v>0</v>
      </c>
      <c r="V912" s="79">
        <v>0</v>
      </c>
      <c r="W912" s="79">
        <v>0</v>
      </c>
      <c r="X912" s="90">
        <v>0</v>
      </c>
    </row>
    <row r="913" spans="1:24" hidden="1" x14ac:dyDescent="0.25">
      <c r="A913" s="80" t="str">
        <v>PENDIENTE</v>
      </c>
      <c r="B913" s="80" t="str">
        <v>San Jose</v>
      </c>
      <c r="C913" s="80" t="str">
        <v>Setiembre</v>
      </c>
      <c r="D913" s="81">
        <v>46258</v>
      </c>
      <c r="E913" s="79">
        <v>1098</v>
      </c>
      <c r="F913" s="81">
        <v>46266</v>
      </c>
      <c r="G913" s="79" cm="1">
        <f t="array" ref="G913:X913">_xlfn._xlws.FILTER(Formulas!$C$2:$T$201, ISNUMBER(MATCH(Formulas!$B$2:$B$201, B913, 0)),0) * E913</f>
        <v>241.88939999999999</v>
      </c>
      <c r="H913" s="79">
        <v>757.51019999999994</v>
      </c>
      <c r="I913" s="79">
        <v>32.94</v>
      </c>
      <c r="J913" s="79">
        <v>32.94</v>
      </c>
      <c r="K913" s="79">
        <v>0</v>
      </c>
      <c r="L913" s="79">
        <v>0</v>
      </c>
      <c r="M913" s="79">
        <v>32.94</v>
      </c>
      <c r="N913" s="79">
        <v>0</v>
      </c>
      <c r="O913" s="79">
        <v>0</v>
      </c>
      <c r="P913" s="79">
        <v>0</v>
      </c>
      <c r="Q913" s="79">
        <v>0</v>
      </c>
      <c r="R913" s="79">
        <v>0</v>
      </c>
      <c r="S913" s="79">
        <v>0</v>
      </c>
      <c r="T913" s="79">
        <v>0</v>
      </c>
      <c r="U913" s="79">
        <v>0</v>
      </c>
      <c r="V913" s="79">
        <v>0</v>
      </c>
      <c r="W913" s="79">
        <v>0</v>
      </c>
      <c r="X913" s="90">
        <v>0</v>
      </c>
    </row>
    <row r="914" spans="1:24" hidden="1" x14ac:dyDescent="0.25">
      <c r="A914" s="80" t="str">
        <v>PENDIENTE</v>
      </c>
      <c r="B914" s="80" t="str">
        <v>San Jose</v>
      </c>
      <c r="C914" s="80" t="str">
        <v>Octubre</v>
      </c>
      <c r="D914" s="81">
        <v>46289</v>
      </c>
      <c r="E914" s="79">
        <v>1135</v>
      </c>
      <c r="F914" s="81">
        <v>0</v>
      </c>
      <c r="G914" s="79" cm="1">
        <f t="array" ref="G914:X914">_xlfn._xlws.FILTER(Formulas!$C$2:$T$201, ISNUMBER(MATCH(Formulas!$B$2:$B$201, B914, 0)),0) * E914</f>
        <v>250.04050000000001</v>
      </c>
      <c r="H914" s="79">
        <v>783.03649999999993</v>
      </c>
      <c r="I914" s="79">
        <v>34.049999999999997</v>
      </c>
      <c r="J914" s="79">
        <v>34.049999999999997</v>
      </c>
      <c r="K914" s="79">
        <v>0</v>
      </c>
      <c r="L914" s="79">
        <v>0</v>
      </c>
      <c r="M914" s="79">
        <v>34.049999999999997</v>
      </c>
      <c r="N914" s="79">
        <v>0</v>
      </c>
      <c r="O914" s="79">
        <v>0</v>
      </c>
      <c r="P914" s="79">
        <v>0</v>
      </c>
      <c r="Q914" s="79">
        <v>0</v>
      </c>
      <c r="R914" s="79">
        <v>0</v>
      </c>
      <c r="S914" s="79">
        <v>0</v>
      </c>
      <c r="T914" s="79">
        <v>0</v>
      </c>
      <c r="U914" s="79">
        <v>0</v>
      </c>
      <c r="V914" s="79">
        <v>0</v>
      </c>
      <c r="W914" s="79">
        <v>0</v>
      </c>
      <c r="X914" s="90">
        <v>0</v>
      </c>
    </row>
    <row r="915" spans="1:24" hidden="1" x14ac:dyDescent="0.25">
      <c r="A915" s="80" t="str">
        <v>PENDIENTE</v>
      </c>
      <c r="B915" s="80" t="str">
        <v>San Jose</v>
      </c>
      <c r="C915" s="80" t="str">
        <v>Noviembre</v>
      </c>
      <c r="D915" s="81">
        <v>46319</v>
      </c>
      <c r="E915" s="79">
        <v>1098</v>
      </c>
      <c r="F915" s="81">
        <v>0</v>
      </c>
      <c r="G915" s="79" cm="1">
        <f t="array" ref="G915:X915">_xlfn._xlws.FILTER(Formulas!$C$2:$T$201, ISNUMBER(MATCH(Formulas!$B$2:$B$201, B915, 0)),0) * E915</f>
        <v>241.88939999999999</v>
      </c>
      <c r="H915" s="79">
        <v>757.51019999999994</v>
      </c>
      <c r="I915" s="79">
        <v>32.94</v>
      </c>
      <c r="J915" s="79">
        <v>32.94</v>
      </c>
      <c r="K915" s="79">
        <v>0</v>
      </c>
      <c r="L915" s="79">
        <v>0</v>
      </c>
      <c r="M915" s="79">
        <v>32.94</v>
      </c>
      <c r="N915" s="79">
        <v>0</v>
      </c>
      <c r="O915" s="79">
        <v>0</v>
      </c>
      <c r="P915" s="79">
        <v>0</v>
      </c>
      <c r="Q915" s="79">
        <v>0</v>
      </c>
      <c r="R915" s="79">
        <v>0</v>
      </c>
      <c r="S915" s="79">
        <v>0</v>
      </c>
      <c r="T915" s="79">
        <v>0</v>
      </c>
      <c r="U915" s="79">
        <v>0</v>
      </c>
      <c r="V915" s="79">
        <v>0</v>
      </c>
      <c r="W915" s="79">
        <v>0</v>
      </c>
      <c r="X915" s="90">
        <v>0</v>
      </c>
    </row>
    <row r="916" spans="1:24" hidden="1" x14ac:dyDescent="0.25">
      <c r="A916" s="80" t="str">
        <v>PENDIENTE</v>
      </c>
      <c r="B916" s="80" t="str">
        <v>San Jose</v>
      </c>
      <c r="C916" s="80" t="str">
        <v>Diciembre</v>
      </c>
      <c r="D916" s="81">
        <v>46350</v>
      </c>
      <c r="E916" s="79">
        <v>1135</v>
      </c>
      <c r="F916" s="80">
        <v>0</v>
      </c>
      <c r="G916" s="79" cm="1">
        <f t="array" ref="G916:X916">_xlfn._xlws.FILTER(Formulas!$C$2:$T$201, ISNUMBER(MATCH(Formulas!$B$2:$B$201, B916, 0)),0) * E916</f>
        <v>250.04050000000001</v>
      </c>
      <c r="H916" s="79">
        <v>783.03649999999993</v>
      </c>
      <c r="I916" s="79">
        <v>34.049999999999997</v>
      </c>
      <c r="J916" s="79">
        <v>34.049999999999997</v>
      </c>
      <c r="K916" s="79">
        <v>0</v>
      </c>
      <c r="L916" s="79">
        <v>0</v>
      </c>
      <c r="M916" s="79">
        <v>34.049999999999997</v>
      </c>
      <c r="N916" s="79">
        <v>0</v>
      </c>
      <c r="O916" s="79">
        <v>0</v>
      </c>
      <c r="P916" s="79">
        <v>0</v>
      </c>
      <c r="Q916" s="79">
        <v>0</v>
      </c>
      <c r="R916" s="79">
        <v>0</v>
      </c>
      <c r="S916" s="79">
        <v>0</v>
      </c>
      <c r="T916" s="79">
        <v>0</v>
      </c>
      <c r="U916" s="79">
        <v>0</v>
      </c>
      <c r="V916" s="79">
        <v>0</v>
      </c>
      <c r="W916" s="79">
        <v>0</v>
      </c>
      <c r="X916" s="90">
        <v>0</v>
      </c>
    </row>
    <row r="917" spans="1:24" hidden="1" x14ac:dyDescent="0.25">
      <c r="A917" s="80" t="str">
        <v>PENDIENTE</v>
      </c>
      <c r="B917" s="80" t="str">
        <v>San Jose Alto</v>
      </c>
      <c r="C917" s="80" t="str">
        <v>Enero / Febrero</v>
      </c>
      <c r="D917" s="81">
        <v>46081</v>
      </c>
      <c r="E917" s="79">
        <v>1760</v>
      </c>
      <c r="F917" s="81">
        <v>46079</v>
      </c>
      <c r="G917" s="79" cm="1">
        <f t="array" ref="G917:X917">_xlfn._xlws.FILTER(Formulas!$C$2:$T$201, ISNUMBER(MATCH(Formulas!$B$2:$B$201, B917, 0)),0) * E917</f>
        <v>432.96000000000004</v>
      </c>
      <c r="H917" s="79">
        <v>1208.2400000000002</v>
      </c>
      <c r="I917" s="79">
        <v>70.400000000000006</v>
      </c>
      <c r="J917" s="79">
        <v>48.4</v>
      </c>
      <c r="K917" s="79">
        <v>0</v>
      </c>
      <c r="L917" s="79">
        <v>0</v>
      </c>
      <c r="M917" s="79">
        <v>0</v>
      </c>
      <c r="N917" s="79">
        <v>0</v>
      </c>
      <c r="O917" s="79">
        <v>0</v>
      </c>
      <c r="P917" s="79">
        <v>0</v>
      </c>
      <c r="Q917" s="79">
        <v>0</v>
      </c>
      <c r="R917" s="79">
        <v>0</v>
      </c>
      <c r="S917" s="79">
        <v>0</v>
      </c>
      <c r="T917" s="79">
        <v>0</v>
      </c>
      <c r="U917" s="79">
        <v>0</v>
      </c>
      <c r="V917" s="79">
        <v>0</v>
      </c>
      <c r="W917" s="79">
        <v>0</v>
      </c>
      <c r="X917" s="90">
        <v>0</v>
      </c>
    </row>
    <row r="918" spans="1:24" hidden="1" x14ac:dyDescent="0.25">
      <c r="A918" s="80" t="str">
        <v>PENDIENTE</v>
      </c>
      <c r="B918" s="80" t="str">
        <v>San Jose Alto</v>
      </c>
      <c r="C918" s="80" t="str">
        <v>Marzo / Abril</v>
      </c>
      <c r="D918" s="81">
        <v>46092</v>
      </c>
      <c r="E918" s="79">
        <v>1760</v>
      </c>
      <c r="F918" s="81">
        <v>46090</v>
      </c>
      <c r="G918" s="79" cm="1">
        <f t="array" ref="G918:X918">_xlfn._xlws.FILTER(Formulas!$C$2:$T$201, ISNUMBER(MATCH(Formulas!$B$2:$B$201, B918, 0)),0) * E918</f>
        <v>432.96000000000004</v>
      </c>
      <c r="H918" s="79">
        <v>1208.2400000000002</v>
      </c>
      <c r="I918" s="79">
        <v>70.400000000000006</v>
      </c>
      <c r="J918" s="79">
        <v>48.4</v>
      </c>
      <c r="K918" s="79">
        <v>0</v>
      </c>
      <c r="L918" s="79">
        <v>0</v>
      </c>
      <c r="M918" s="79">
        <v>0</v>
      </c>
      <c r="N918" s="79">
        <v>0</v>
      </c>
      <c r="O918" s="79">
        <v>0</v>
      </c>
      <c r="P918" s="79">
        <v>0</v>
      </c>
      <c r="Q918" s="79">
        <v>0</v>
      </c>
      <c r="R918" s="79">
        <v>0</v>
      </c>
      <c r="S918" s="79">
        <v>0</v>
      </c>
      <c r="T918" s="79">
        <v>0</v>
      </c>
      <c r="U918" s="79">
        <v>0</v>
      </c>
      <c r="V918" s="79">
        <v>0</v>
      </c>
      <c r="W918" s="79">
        <v>0</v>
      </c>
      <c r="X918" s="90">
        <v>0</v>
      </c>
    </row>
    <row r="919" spans="1:24" hidden="1" x14ac:dyDescent="0.25">
      <c r="A919" s="80" t="str">
        <v>PENDIENTE</v>
      </c>
      <c r="B919" s="80" t="str">
        <v>San Jose Alto</v>
      </c>
      <c r="C919" s="80" t="str">
        <v>Mayo / Junio</v>
      </c>
      <c r="D919" s="81">
        <v>46155</v>
      </c>
      <c r="E919" s="79">
        <v>1760</v>
      </c>
      <c r="F919" s="81">
        <v>46146</v>
      </c>
      <c r="G919" s="79" cm="1">
        <f t="array" ref="G919:X919">_xlfn._xlws.FILTER(Formulas!$C$2:$T$201, ISNUMBER(MATCH(Formulas!$B$2:$B$201, B919, 0)),0) * E919</f>
        <v>432.96000000000004</v>
      </c>
      <c r="H919" s="79">
        <v>1208.2400000000002</v>
      </c>
      <c r="I919" s="79">
        <v>70.400000000000006</v>
      </c>
      <c r="J919" s="79">
        <v>48.4</v>
      </c>
      <c r="K919" s="79">
        <v>0</v>
      </c>
      <c r="L919" s="79">
        <v>0</v>
      </c>
      <c r="M919" s="79">
        <v>0</v>
      </c>
      <c r="N919" s="79">
        <v>0</v>
      </c>
      <c r="O919" s="79">
        <v>0</v>
      </c>
      <c r="P919" s="79">
        <v>0</v>
      </c>
      <c r="Q919" s="79">
        <v>0</v>
      </c>
      <c r="R919" s="79">
        <v>0</v>
      </c>
      <c r="S919" s="79">
        <v>0</v>
      </c>
      <c r="T919" s="79">
        <v>0</v>
      </c>
      <c r="U919" s="79">
        <v>0</v>
      </c>
      <c r="V919" s="79">
        <v>0</v>
      </c>
      <c r="W919" s="79">
        <v>0</v>
      </c>
      <c r="X919" s="90">
        <v>0</v>
      </c>
    </row>
    <row r="920" spans="1:24" hidden="1" x14ac:dyDescent="0.25">
      <c r="A920" s="80" t="str">
        <v>PENDIENTE</v>
      </c>
      <c r="B920" s="80" t="str">
        <v>San Jose Alto</v>
      </c>
      <c r="C920" s="80" t="str">
        <v>Julio / Agosto</v>
      </c>
      <c r="D920" s="81">
        <v>46218</v>
      </c>
      <c r="E920" s="79">
        <v>1760</v>
      </c>
      <c r="F920" s="81">
        <v>46216</v>
      </c>
      <c r="G920" s="79" cm="1">
        <f t="array" ref="G920:X920">_xlfn._xlws.FILTER(Formulas!$C$2:$T$201, ISNUMBER(MATCH(Formulas!$B$2:$B$201, B920, 0)),0) * E920</f>
        <v>432.96000000000004</v>
      </c>
      <c r="H920" s="79">
        <v>1208.2400000000002</v>
      </c>
      <c r="I920" s="79">
        <v>70.400000000000006</v>
      </c>
      <c r="J920" s="79">
        <v>48.4</v>
      </c>
      <c r="K920" s="79">
        <v>0</v>
      </c>
      <c r="L920" s="79">
        <v>0</v>
      </c>
      <c r="M920" s="79">
        <v>0</v>
      </c>
      <c r="N920" s="79">
        <v>0</v>
      </c>
      <c r="O920" s="79">
        <v>0</v>
      </c>
      <c r="P920" s="79">
        <v>0</v>
      </c>
      <c r="Q920" s="79">
        <v>0</v>
      </c>
      <c r="R920" s="79">
        <v>0</v>
      </c>
      <c r="S920" s="79">
        <v>0</v>
      </c>
      <c r="T920" s="79">
        <v>0</v>
      </c>
      <c r="U920" s="79">
        <v>0</v>
      </c>
      <c r="V920" s="79">
        <v>0</v>
      </c>
      <c r="W920" s="79">
        <v>0</v>
      </c>
      <c r="X920" s="90">
        <v>0</v>
      </c>
    </row>
    <row r="921" spans="1:24" hidden="1" x14ac:dyDescent="0.25">
      <c r="A921" s="80" t="str">
        <v>PENDIENTE</v>
      </c>
      <c r="B921" s="80" t="str">
        <v>San Jose Alto</v>
      </c>
      <c r="C921" s="80" t="str">
        <v>Septiembre / Octubre</v>
      </c>
      <c r="D921" s="81">
        <v>46280</v>
      </c>
      <c r="E921" s="79">
        <v>1760</v>
      </c>
      <c r="F921" s="81">
        <v>46273</v>
      </c>
      <c r="G921" s="79" cm="1">
        <f t="array" ref="G921:X921">_xlfn._xlws.FILTER(Formulas!$C$2:$T$201, ISNUMBER(MATCH(Formulas!$B$2:$B$201, B921, 0)),0) * E921</f>
        <v>432.96000000000004</v>
      </c>
      <c r="H921" s="79">
        <v>1208.2400000000002</v>
      </c>
      <c r="I921" s="79">
        <v>70.400000000000006</v>
      </c>
      <c r="J921" s="79">
        <v>48.4</v>
      </c>
      <c r="K921" s="79">
        <v>0</v>
      </c>
      <c r="L921" s="79">
        <v>0</v>
      </c>
      <c r="M921" s="79">
        <v>0</v>
      </c>
      <c r="N921" s="79">
        <v>0</v>
      </c>
      <c r="O921" s="79">
        <v>0</v>
      </c>
      <c r="P921" s="79">
        <v>0</v>
      </c>
      <c r="Q921" s="79">
        <v>0</v>
      </c>
      <c r="R921" s="79">
        <v>0</v>
      </c>
      <c r="S921" s="79">
        <v>0</v>
      </c>
      <c r="T921" s="79">
        <v>0</v>
      </c>
      <c r="U921" s="79">
        <v>0</v>
      </c>
      <c r="V921" s="79">
        <v>0</v>
      </c>
      <c r="W921" s="79">
        <v>0</v>
      </c>
      <c r="X921" s="90">
        <v>0</v>
      </c>
    </row>
    <row r="922" spans="1:24" hidden="1" x14ac:dyDescent="0.25">
      <c r="A922" s="80" t="str">
        <v>PENDIENTE</v>
      </c>
      <c r="B922" s="80" t="str">
        <v>San Jose Alto</v>
      </c>
      <c r="C922" s="80" t="str">
        <v>Noviembre / Diciembre</v>
      </c>
      <c r="D922" s="81">
        <v>46344</v>
      </c>
      <c r="E922" s="79">
        <v>1760</v>
      </c>
      <c r="F922" s="80">
        <v>0</v>
      </c>
      <c r="G922" s="79" cm="1">
        <f t="array" ref="G922:X922">_xlfn._xlws.FILTER(Formulas!$C$2:$T$201, ISNUMBER(MATCH(Formulas!$B$2:$B$201, B922, 0)),0) * E922</f>
        <v>432.96000000000004</v>
      </c>
      <c r="H922" s="79">
        <v>1208.2400000000002</v>
      </c>
      <c r="I922" s="79">
        <v>70.400000000000006</v>
      </c>
      <c r="J922" s="79">
        <v>48.4</v>
      </c>
      <c r="K922" s="79">
        <v>0</v>
      </c>
      <c r="L922" s="79">
        <v>0</v>
      </c>
      <c r="M922" s="79">
        <v>0</v>
      </c>
      <c r="N922" s="79">
        <v>0</v>
      </c>
      <c r="O922" s="79">
        <v>0</v>
      </c>
      <c r="P922" s="79">
        <v>0</v>
      </c>
      <c r="Q922" s="79">
        <v>0</v>
      </c>
      <c r="R922" s="79">
        <v>0</v>
      </c>
      <c r="S922" s="79">
        <v>0</v>
      </c>
      <c r="T922" s="79">
        <v>0</v>
      </c>
      <c r="U922" s="79">
        <v>0</v>
      </c>
      <c r="V922" s="79">
        <v>0</v>
      </c>
      <c r="W922" s="79">
        <v>0</v>
      </c>
      <c r="X922" s="90">
        <v>0</v>
      </c>
    </row>
    <row r="923" spans="1:24" hidden="1" x14ac:dyDescent="0.25">
      <c r="A923" s="80" t="str">
        <v>PENDIENTE</v>
      </c>
      <c r="B923" s="80" t="str">
        <v>San Jose de Lourdes</v>
      </c>
      <c r="C923" s="80" t="str">
        <v>Enero / Febrero</v>
      </c>
      <c r="D923" s="81">
        <v>46042</v>
      </c>
      <c r="E923" s="79">
        <v>5237.5</v>
      </c>
      <c r="F923" s="81">
        <v>46029</v>
      </c>
      <c r="G923" s="79" cm="1">
        <f t="array" ref="G923:X923">_xlfn._xlws.FILTER(Formulas!$C$2:$T$201, ISNUMBER(MATCH(Formulas!$B$2:$B$201, B923, 0)),0) * E923</f>
        <v>1047.3018350359439</v>
      </c>
      <c r="H923" s="79">
        <v>3667.042659856224</v>
      </c>
      <c r="I923" s="79">
        <v>261.57775255391601</v>
      </c>
      <c r="J923" s="79">
        <v>0</v>
      </c>
      <c r="K923" s="79">
        <v>0</v>
      </c>
      <c r="L923" s="79">
        <v>0</v>
      </c>
      <c r="M923" s="79">
        <v>261.57775255391601</v>
      </c>
      <c r="N923" s="79">
        <v>0</v>
      </c>
      <c r="O923" s="79">
        <v>0</v>
      </c>
      <c r="P923" s="79">
        <v>0</v>
      </c>
      <c r="Q923" s="79">
        <v>0</v>
      </c>
      <c r="R923" s="79">
        <v>0</v>
      </c>
      <c r="S923" s="79">
        <v>0</v>
      </c>
      <c r="T923" s="79">
        <v>0</v>
      </c>
      <c r="U923" s="79">
        <v>0</v>
      </c>
      <c r="V923" s="79">
        <v>0</v>
      </c>
      <c r="W923" s="79">
        <v>0</v>
      </c>
      <c r="X923" s="90">
        <v>0</v>
      </c>
    </row>
    <row r="924" spans="1:24" hidden="1" x14ac:dyDescent="0.25">
      <c r="A924" s="80" t="str">
        <v>PENDIENTE</v>
      </c>
      <c r="B924" s="80" t="str">
        <v>San Jose de Lourdes</v>
      </c>
      <c r="C924" s="80" t="str">
        <v>Marzo / Abril</v>
      </c>
      <c r="D924" s="81">
        <v>46073</v>
      </c>
      <c r="E924" s="79">
        <v>5237.5</v>
      </c>
      <c r="F924" s="81">
        <v>46090</v>
      </c>
      <c r="G924" s="79" cm="1">
        <f t="array" ref="G924:X924">_xlfn._xlws.FILTER(Formulas!$C$2:$T$201, ISNUMBER(MATCH(Formulas!$B$2:$B$201, B924, 0)),0) * E924</f>
        <v>1047.3018350359439</v>
      </c>
      <c r="H924" s="79">
        <v>3667.042659856224</v>
      </c>
      <c r="I924" s="79">
        <v>261.57775255391601</v>
      </c>
      <c r="J924" s="79">
        <v>0</v>
      </c>
      <c r="K924" s="79">
        <v>0</v>
      </c>
      <c r="L924" s="79">
        <v>0</v>
      </c>
      <c r="M924" s="79">
        <v>261.57775255391601</v>
      </c>
      <c r="N924" s="79">
        <v>0</v>
      </c>
      <c r="O924" s="79">
        <v>0</v>
      </c>
      <c r="P924" s="79">
        <v>0</v>
      </c>
      <c r="Q924" s="79">
        <v>0</v>
      </c>
      <c r="R924" s="79">
        <v>0</v>
      </c>
      <c r="S924" s="79">
        <v>0</v>
      </c>
      <c r="T924" s="79">
        <v>0</v>
      </c>
      <c r="U924" s="79">
        <v>0</v>
      </c>
      <c r="V924" s="79">
        <v>0</v>
      </c>
      <c r="W924" s="79">
        <v>0</v>
      </c>
      <c r="X924" s="90">
        <v>0</v>
      </c>
    </row>
    <row r="925" spans="1:24" hidden="1" x14ac:dyDescent="0.25">
      <c r="A925" s="80" t="str">
        <v>PENDIENTE</v>
      </c>
      <c r="B925" s="80" t="str">
        <v>San Jose de Lourdes</v>
      </c>
      <c r="C925" s="80" t="str">
        <v>Mayo / Junio</v>
      </c>
      <c r="D925" s="81">
        <v>46132</v>
      </c>
      <c r="E925" s="79">
        <v>5237.5</v>
      </c>
      <c r="F925" s="81">
        <v>46146</v>
      </c>
      <c r="G925" s="79" cm="1">
        <f t="array" ref="G925:X925">_xlfn._xlws.FILTER(Formulas!$C$2:$T$201, ISNUMBER(MATCH(Formulas!$B$2:$B$201, B925, 0)),0) * E925</f>
        <v>1047.3018350359439</v>
      </c>
      <c r="H925" s="79">
        <v>3667.042659856224</v>
      </c>
      <c r="I925" s="79">
        <v>261.57775255391601</v>
      </c>
      <c r="J925" s="79">
        <v>0</v>
      </c>
      <c r="K925" s="79">
        <v>0</v>
      </c>
      <c r="L925" s="79">
        <v>0</v>
      </c>
      <c r="M925" s="79">
        <v>261.57775255391601</v>
      </c>
      <c r="N925" s="79">
        <v>0</v>
      </c>
      <c r="O925" s="79">
        <v>0</v>
      </c>
      <c r="P925" s="79">
        <v>0</v>
      </c>
      <c r="Q925" s="79">
        <v>0</v>
      </c>
      <c r="R925" s="79">
        <v>0</v>
      </c>
      <c r="S925" s="79">
        <v>0</v>
      </c>
      <c r="T925" s="79">
        <v>0</v>
      </c>
      <c r="U925" s="79">
        <v>0</v>
      </c>
      <c r="V925" s="79">
        <v>0</v>
      </c>
      <c r="W925" s="79">
        <v>0</v>
      </c>
      <c r="X925" s="90">
        <v>0</v>
      </c>
    </row>
    <row r="926" spans="1:24" hidden="1" x14ac:dyDescent="0.25">
      <c r="A926" s="80" t="str">
        <v>PENDIENTE</v>
      </c>
      <c r="B926" s="80" t="str">
        <v>San Jose de Lourdes</v>
      </c>
      <c r="C926" s="80" t="str">
        <v>Julio / Agosto</v>
      </c>
      <c r="D926" s="81">
        <v>46192</v>
      </c>
      <c r="E926" s="79">
        <v>5237.5</v>
      </c>
      <c r="F926" s="80">
        <v>46216</v>
      </c>
      <c r="G926" s="79" cm="1">
        <f t="array" ref="G926:X926">_xlfn._xlws.FILTER(Formulas!$C$2:$T$201, ISNUMBER(MATCH(Formulas!$B$2:$B$201, B926, 0)),0) * E926</f>
        <v>1047.3018350359439</v>
      </c>
      <c r="H926" s="79">
        <v>3667.042659856224</v>
      </c>
      <c r="I926" s="79">
        <v>261.57775255391601</v>
      </c>
      <c r="J926" s="79">
        <v>0</v>
      </c>
      <c r="K926" s="79">
        <v>0</v>
      </c>
      <c r="L926" s="79">
        <v>0</v>
      </c>
      <c r="M926" s="79">
        <v>261.57775255391601</v>
      </c>
      <c r="N926" s="79">
        <v>0</v>
      </c>
      <c r="O926" s="79">
        <v>0</v>
      </c>
      <c r="P926" s="79">
        <v>0</v>
      </c>
      <c r="Q926" s="79">
        <v>0</v>
      </c>
      <c r="R926" s="79">
        <v>0</v>
      </c>
      <c r="S926" s="79">
        <v>0</v>
      </c>
      <c r="T926" s="79">
        <v>0</v>
      </c>
      <c r="U926" s="79">
        <v>0</v>
      </c>
      <c r="V926" s="79">
        <v>0</v>
      </c>
      <c r="W926" s="79">
        <v>0</v>
      </c>
      <c r="X926" s="90">
        <v>0</v>
      </c>
    </row>
    <row r="927" spans="1:24" hidden="1" x14ac:dyDescent="0.25">
      <c r="A927" s="80" t="str">
        <v>PENDIENTE</v>
      </c>
      <c r="B927" s="80" t="str">
        <v>San Jose de Lourdes</v>
      </c>
      <c r="C927" s="80" t="str">
        <v>Septiembre / Octubre</v>
      </c>
      <c r="D927" s="81">
        <v>46280</v>
      </c>
      <c r="E927" s="79">
        <v>5237.5</v>
      </c>
      <c r="F927" s="81">
        <v>46272</v>
      </c>
      <c r="G927" s="79" cm="1">
        <f t="array" ref="G927:X927">_xlfn._xlws.FILTER(Formulas!$C$2:$T$201, ISNUMBER(MATCH(Formulas!$B$2:$B$201, B927, 0)),0) * E927</f>
        <v>1047.3018350359439</v>
      </c>
      <c r="H927" s="79">
        <v>3667.042659856224</v>
      </c>
      <c r="I927" s="79">
        <v>261.57775255391601</v>
      </c>
      <c r="J927" s="79">
        <v>0</v>
      </c>
      <c r="K927" s="79">
        <v>0</v>
      </c>
      <c r="L927" s="79">
        <v>0</v>
      </c>
      <c r="M927" s="79">
        <v>261.57775255391601</v>
      </c>
      <c r="N927" s="79">
        <v>0</v>
      </c>
      <c r="O927" s="79">
        <v>0</v>
      </c>
      <c r="P927" s="79">
        <v>0</v>
      </c>
      <c r="Q927" s="79">
        <v>0</v>
      </c>
      <c r="R927" s="79">
        <v>0</v>
      </c>
      <c r="S927" s="79">
        <v>0</v>
      </c>
      <c r="T927" s="79">
        <v>0</v>
      </c>
      <c r="U927" s="79">
        <v>0</v>
      </c>
      <c r="V927" s="79">
        <v>0</v>
      </c>
      <c r="W927" s="79">
        <v>0</v>
      </c>
      <c r="X927" s="90">
        <v>0</v>
      </c>
    </row>
    <row r="928" spans="1:24" hidden="1" x14ac:dyDescent="0.25">
      <c r="A928" s="80" t="str">
        <v>PENDIENTE</v>
      </c>
      <c r="B928" s="80" t="str">
        <v>San Jose de Lourdes</v>
      </c>
      <c r="C928" s="80" t="str">
        <v>Noviembre / Diciembre</v>
      </c>
      <c r="D928" s="81">
        <v>46315</v>
      </c>
      <c r="E928" s="79">
        <v>5237.5</v>
      </c>
      <c r="F928" s="81">
        <v>0</v>
      </c>
      <c r="G928" s="79" cm="1">
        <f t="array" ref="G928:X928">_xlfn._xlws.FILTER(Formulas!$C$2:$T$201, ISNUMBER(MATCH(Formulas!$B$2:$B$201, B928, 0)),0) * E928</f>
        <v>1047.3018350359439</v>
      </c>
      <c r="H928" s="79">
        <v>3667.042659856224</v>
      </c>
      <c r="I928" s="79">
        <v>261.57775255391601</v>
      </c>
      <c r="J928" s="79">
        <v>0</v>
      </c>
      <c r="K928" s="79">
        <v>0</v>
      </c>
      <c r="L928" s="79">
        <v>0</v>
      </c>
      <c r="M928" s="79">
        <v>261.57775255391601</v>
      </c>
      <c r="N928" s="79">
        <v>0</v>
      </c>
      <c r="O928" s="79">
        <v>0</v>
      </c>
      <c r="P928" s="79">
        <v>0</v>
      </c>
      <c r="Q928" s="79">
        <v>0</v>
      </c>
      <c r="R928" s="79">
        <v>0</v>
      </c>
      <c r="S928" s="79">
        <v>0</v>
      </c>
      <c r="T928" s="79">
        <v>0</v>
      </c>
      <c r="U928" s="79">
        <v>0</v>
      </c>
      <c r="V928" s="79">
        <v>0</v>
      </c>
      <c r="W928" s="79">
        <v>0</v>
      </c>
      <c r="X928" s="90">
        <v>0</v>
      </c>
    </row>
    <row r="929" spans="1:24" hidden="1" x14ac:dyDescent="0.25">
      <c r="A929" s="80" t="str">
        <v>PENDIENTE</v>
      </c>
      <c r="B929" s="80" t="str">
        <v>San Juan</v>
      </c>
      <c r="C929" s="80" t="str">
        <v>Enero / Febrero / Marzo</v>
      </c>
      <c r="D929" s="81">
        <v>46022</v>
      </c>
      <c r="E929" s="79">
        <v>4739.76</v>
      </c>
      <c r="F929" s="81">
        <v>46011</v>
      </c>
      <c r="G929" s="79" cm="1">
        <f t="array" ref="G929:X929">_xlfn._xlws.FILTER(Formulas!$C$2:$T$201, ISNUMBER(MATCH(Formulas!$B$2:$B$201, B929, 0)),0) * E929</f>
        <v>1032.9476962025317</v>
      </c>
      <c r="H929" s="79">
        <v>3138.8410632911396</v>
      </c>
      <c r="I929" s="79">
        <v>189.99037974683546</v>
      </c>
      <c r="J929" s="79">
        <v>188.99043037974684</v>
      </c>
      <c r="K929" s="79">
        <v>0</v>
      </c>
      <c r="L929" s="79">
        <v>0</v>
      </c>
      <c r="M929" s="79">
        <v>188.99043037974684</v>
      </c>
      <c r="N929" s="79">
        <v>0</v>
      </c>
      <c r="O929" s="79">
        <v>0</v>
      </c>
      <c r="P929" s="79">
        <v>0</v>
      </c>
      <c r="Q929" s="79">
        <v>0</v>
      </c>
      <c r="R929" s="79">
        <v>0</v>
      </c>
      <c r="S929" s="79">
        <v>0</v>
      </c>
      <c r="T929" s="79">
        <v>0</v>
      </c>
      <c r="U929" s="79">
        <v>0</v>
      </c>
      <c r="V929" s="79">
        <v>0</v>
      </c>
      <c r="W929" s="79">
        <v>0</v>
      </c>
      <c r="X929" s="90">
        <v>0</v>
      </c>
    </row>
    <row r="930" spans="1:24" hidden="1" x14ac:dyDescent="0.25">
      <c r="A930" s="80" t="str">
        <v>PENDIENTE</v>
      </c>
      <c r="B930" s="80" t="str">
        <v>San Juan</v>
      </c>
      <c r="C930" s="80" t="str">
        <v>Abril / Mayo / Junio</v>
      </c>
      <c r="D930" s="81">
        <v>46107</v>
      </c>
      <c r="E930" s="79">
        <v>4739.76</v>
      </c>
      <c r="F930" s="81">
        <v>46104</v>
      </c>
      <c r="G930" s="79" cm="1">
        <f t="array" ref="G930:X930">_xlfn._xlws.FILTER(Formulas!$C$2:$T$201, ISNUMBER(MATCH(Formulas!$B$2:$B$201, B930, 0)),0) * E930</f>
        <v>1032.9476962025317</v>
      </c>
      <c r="H930" s="79">
        <v>3138.8410632911396</v>
      </c>
      <c r="I930" s="79">
        <v>189.99037974683546</v>
      </c>
      <c r="J930" s="79">
        <v>188.99043037974684</v>
      </c>
      <c r="K930" s="79">
        <v>0</v>
      </c>
      <c r="L930" s="79">
        <v>0</v>
      </c>
      <c r="M930" s="79">
        <v>188.99043037974684</v>
      </c>
      <c r="N930" s="79">
        <v>0</v>
      </c>
      <c r="O930" s="79">
        <v>0</v>
      </c>
      <c r="P930" s="79">
        <v>0</v>
      </c>
      <c r="Q930" s="79">
        <v>0</v>
      </c>
      <c r="R930" s="79">
        <v>0</v>
      </c>
      <c r="S930" s="79">
        <v>0</v>
      </c>
      <c r="T930" s="79">
        <v>0</v>
      </c>
      <c r="U930" s="79">
        <v>0</v>
      </c>
      <c r="V930" s="79">
        <v>0</v>
      </c>
      <c r="W930" s="79">
        <v>0</v>
      </c>
      <c r="X930" s="90">
        <v>0</v>
      </c>
    </row>
    <row r="931" spans="1:24" hidden="1" x14ac:dyDescent="0.25">
      <c r="A931" s="80" t="str">
        <v>PENDIENTE</v>
      </c>
      <c r="B931" s="80" t="str">
        <v>San Juan</v>
      </c>
      <c r="C931" s="80" t="str">
        <v>Julio / Agosto / Septiembre</v>
      </c>
      <c r="D931" s="81">
        <v>46198</v>
      </c>
      <c r="E931" s="79">
        <v>4739.76</v>
      </c>
      <c r="F931" s="81">
        <v>46177</v>
      </c>
      <c r="G931" s="79" cm="1">
        <f t="array" ref="G931:X931">_xlfn._xlws.FILTER(Formulas!$C$2:$T$201, ISNUMBER(MATCH(Formulas!$B$2:$B$201, B931, 0)),0) * E931</f>
        <v>1032.9476962025317</v>
      </c>
      <c r="H931" s="79">
        <v>3138.8410632911396</v>
      </c>
      <c r="I931" s="79">
        <v>189.99037974683546</v>
      </c>
      <c r="J931" s="79">
        <v>188.99043037974684</v>
      </c>
      <c r="K931" s="79">
        <v>0</v>
      </c>
      <c r="L931" s="79">
        <v>0</v>
      </c>
      <c r="M931" s="79">
        <v>188.99043037974684</v>
      </c>
      <c r="N931" s="79">
        <v>0</v>
      </c>
      <c r="O931" s="79">
        <v>0</v>
      </c>
      <c r="P931" s="79">
        <v>0</v>
      </c>
      <c r="Q931" s="79">
        <v>0</v>
      </c>
      <c r="R931" s="79">
        <v>0</v>
      </c>
      <c r="S931" s="79">
        <v>0</v>
      </c>
      <c r="T931" s="79">
        <v>0</v>
      </c>
      <c r="U931" s="79">
        <v>0</v>
      </c>
      <c r="V931" s="79">
        <v>0</v>
      </c>
      <c r="W931" s="79">
        <v>0</v>
      </c>
      <c r="X931" s="90">
        <v>0</v>
      </c>
    </row>
    <row r="932" spans="1:24" hidden="1" x14ac:dyDescent="0.25">
      <c r="A932" s="80" t="str">
        <v>PENDIENTE</v>
      </c>
      <c r="B932" s="80" t="str">
        <v>San Juan</v>
      </c>
      <c r="C932" s="80" t="str">
        <v>Octubre / Noviembre / Diciembre</v>
      </c>
      <c r="D932" s="81">
        <v>46289</v>
      </c>
      <c r="E932" s="79">
        <v>4739.76</v>
      </c>
      <c r="F932" s="81">
        <v>46285</v>
      </c>
      <c r="G932" s="79" cm="1">
        <f t="array" ref="G932:X932">_xlfn._xlws.FILTER(Formulas!$C$2:$T$201, ISNUMBER(MATCH(Formulas!$B$2:$B$201, B932, 0)),0) * E932</f>
        <v>1032.9476962025317</v>
      </c>
      <c r="H932" s="79">
        <v>3138.8410632911396</v>
      </c>
      <c r="I932" s="79">
        <v>189.99037974683546</v>
      </c>
      <c r="J932" s="79">
        <v>188.99043037974684</v>
      </c>
      <c r="K932" s="79">
        <v>0</v>
      </c>
      <c r="L932" s="79">
        <v>0</v>
      </c>
      <c r="M932" s="79">
        <v>188.99043037974684</v>
      </c>
      <c r="N932" s="79">
        <v>0</v>
      </c>
      <c r="O932" s="79">
        <v>0</v>
      </c>
      <c r="P932" s="79">
        <v>0</v>
      </c>
      <c r="Q932" s="79">
        <v>0</v>
      </c>
      <c r="R932" s="79">
        <v>0</v>
      </c>
      <c r="S932" s="79">
        <v>0</v>
      </c>
      <c r="T932" s="79">
        <v>0</v>
      </c>
      <c r="U932" s="79">
        <v>0</v>
      </c>
      <c r="V932" s="79">
        <v>0</v>
      </c>
      <c r="W932" s="79">
        <v>0</v>
      </c>
      <c r="X932" s="90">
        <v>0</v>
      </c>
    </row>
    <row r="933" spans="1:24" hidden="1" x14ac:dyDescent="0.25">
      <c r="A933" s="80" t="str">
        <v>PENDIENTE</v>
      </c>
      <c r="B933" s="80" t="str">
        <v>San Luis - 25</v>
      </c>
      <c r="C933" s="80" t="str">
        <v>O.C.</v>
      </c>
      <c r="D933" s="81">
        <v>46045</v>
      </c>
      <c r="E933" s="79">
        <v>791.38799999999992</v>
      </c>
      <c r="F933" s="81">
        <v>46044</v>
      </c>
      <c r="G933" s="79" cm="1">
        <f t="array" ref="G933:X933">_xlfn._xlws.FILTER(Formulas!$C$2:$T$201, ISNUMBER(MATCH(Formulas!$B$2:$B$201, B933, 0)),0) * E933</f>
        <v>142.62812515644552</v>
      </c>
      <c r="H933" s="79">
        <v>553.67445807259071</v>
      </c>
      <c r="I933" s="79">
        <v>31.695138923654564</v>
      </c>
      <c r="J933" s="79">
        <v>31.695138923654564</v>
      </c>
      <c r="K933" s="79">
        <v>0</v>
      </c>
      <c r="L933" s="79">
        <v>0</v>
      </c>
      <c r="M933" s="79">
        <v>31.695138923654564</v>
      </c>
      <c r="N933" s="79">
        <v>0</v>
      </c>
      <c r="O933" s="79">
        <v>0</v>
      </c>
      <c r="P933" s="79">
        <v>0</v>
      </c>
      <c r="Q933" s="79">
        <v>0</v>
      </c>
      <c r="R933" s="79">
        <v>0</v>
      </c>
      <c r="S933" s="79">
        <v>0</v>
      </c>
      <c r="T933" s="79">
        <v>0</v>
      </c>
      <c r="U933" s="79">
        <v>0</v>
      </c>
      <c r="V933" s="79">
        <v>0</v>
      </c>
      <c r="W933" s="79">
        <v>0</v>
      </c>
      <c r="X933" s="90">
        <v>0</v>
      </c>
    </row>
    <row r="934" spans="1:24" hidden="1" x14ac:dyDescent="0.25">
      <c r="A934" s="80" t="str">
        <v>PENDIENTE</v>
      </c>
      <c r="B934" s="80" t="str">
        <v>San Luis - 25</v>
      </c>
      <c r="C934" s="80" t="str">
        <v>O.C.</v>
      </c>
      <c r="D934" s="81">
        <v>46112</v>
      </c>
      <c r="E934" s="79">
        <v>791.38799999999992</v>
      </c>
      <c r="F934" s="81">
        <v>46111</v>
      </c>
      <c r="G934" s="79" cm="1">
        <f t="array" ref="G934:X934">_xlfn._xlws.FILTER(Formulas!$C$2:$T$201, ISNUMBER(MATCH(Formulas!$B$2:$B$201, B934, 0)),0) * E934</f>
        <v>142.62812515644552</v>
      </c>
      <c r="H934" s="79">
        <v>553.67445807259071</v>
      </c>
      <c r="I934" s="79">
        <v>31.695138923654564</v>
      </c>
      <c r="J934" s="79">
        <v>31.695138923654564</v>
      </c>
      <c r="K934" s="79">
        <v>0</v>
      </c>
      <c r="L934" s="79">
        <v>0</v>
      </c>
      <c r="M934" s="79">
        <v>31.695138923654564</v>
      </c>
      <c r="N934" s="79">
        <v>0</v>
      </c>
      <c r="O934" s="79">
        <v>0</v>
      </c>
      <c r="P934" s="79">
        <v>0</v>
      </c>
      <c r="Q934" s="79">
        <v>0</v>
      </c>
      <c r="R934" s="79">
        <v>0</v>
      </c>
      <c r="S934" s="79">
        <v>0</v>
      </c>
      <c r="T934" s="79">
        <v>0</v>
      </c>
      <c r="U934" s="79">
        <v>0</v>
      </c>
      <c r="V934" s="79">
        <v>0</v>
      </c>
      <c r="W934" s="79">
        <v>0</v>
      </c>
      <c r="X934" s="90">
        <v>0</v>
      </c>
    </row>
    <row r="935" spans="1:24" hidden="1" x14ac:dyDescent="0.25">
      <c r="A935" s="80" t="str">
        <v>PENDIENTE</v>
      </c>
      <c r="B935" s="80" t="str">
        <v>San Luis - 25</v>
      </c>
      <c r="C935" s="80" t="str">
        <v>O.C.</v>
      </c>
      <c r="D935" s="81">
        <v>46203</v>
      </c>
      <c r="E935" s="79">
        <v>791.38799999999992</v>
      </c>
      <c r="F935" s="81">
        <v>46205</v>
      </c>
      <c r="G935" s="79" cm="1">
        <f t="array" ref="G935:X935">_xlfn._xlws.FILTER(Formulas!$C$2:$T$201, ISNUMBER(MATCH(Formulas!$B$2:$B$201, B935, 0)),0) * E935</f>
        <v>142.62812515644552</v>
      </c>
      <c r="H935" s="79">
        <v>553.67445807259071</v>
      </c>
      <c r="I935" s="79">
        <v>31.695138923654564</v>
      </c>
      <c r="J935" s="79">
        <v>31.695138923654564</v>
      </c>
      <c r="K935" s="79">
        <v>0</v>
      </c>
      <c r="L935" s="79">
        <v>0</v>
      </c>
      <c r="M935" s="79">
        <v>31.695138923654564</v>
      </c>
      <c r="N935" s="79">
        <v>0</v>
      </c>
      <c r="O935" s="79">
        <v>0</v>
      </c>
      <c r="P935" s="79">
        <v>0</v>
      </c>
      <c r="Q935" s="79">
        <v>0</v>
      </c>
      <c r="R935" s="79">
        <v>0</v>
      </c>
      <c r="S935" s="79">
        <v>0</v>
      </c>
      <c r="T935" s="79">
        <v>0</v>
      </c>
      <c r="U935" s="79">
        <v>0</v>
      </c>
      <c r="V935" s="79">
        <v>0</v>
      </c>
      <c r="W935" s="79">
        <v>0</v>
      </c>
      <c r="X935" s="90">
        <v>0</v>
      </c>
    </row>
    <row r="936" spans="1:24" hidden="1" x14ac:dyDescent="0.25">
      <c r="A936" s="80" t="str">
        <v>PENDIENTE</v>
      </c>
      <c r="B936" s="80" t="str">
        <v>San Marcos - Ancash</v>
      </c>
      <c r="C936" s="80" t="str">
        <v>Enero</v>
      </c>
      <c r="D936" s="81">
        <v>46037</v>
      </c>
      <c r="E936" s="79">
        <v>2705.4348</v>
      </c>
      <c r="F936" s="81">
        <v>46035</v>
      </c>
      <c r="G936" s="79" cm="1">
        <f t="array" ref="G936:X936">_xlfn._xlws.FILTER(Formulas!$C$2:$T$201, ISNUMBER(MATCH(Formulas!$B$2:$B$201, B936, 0)),0) * E936</f>
        <v>600.75549342560555</v>
      </c>
      <c r="H936" s="79">
        <v>1812.4418782006921</v>
      </c>
      <c r="I936" s="79">
        <v>162.3993508650519</v>
      </c>
      <c r="J936" s="79">
        <v>101.75397923875433</v>
      </c>
      <c r="K936" s="79">
        <v>0</v>
      </c>
      <c r="L936" s="79">
        <v>0</v>
      </c>
      <c r="M936" s="79">
        <v>101.75397923875433</v>
      </c>
      <c r="N936" s="79">
        <v>0</v>
      </c>
      <c r="O936" s="79">
        <v>0</v>
      </c>
      <c r="P936" s="79">
        <v>0</v>
      </c>
      <c r="Q936" s="79">
        <v>0</v>
      </c>
      <c r="R936" s="79">
        <v>0</v>
      </c>
      <c r="S936" s="79">
        <v>0</v>
      </c>
      <c r="T936" s="79">
        <v>0</v>
      </c>
      <c r="U936" s="79">
        <v>0</v>
      </c>
      <c r="V936" s="79">
        <v>0</v>
      </c>
      <c r="W936" s="79">
        <v>0</v>
      </c>
      <c r="X936" s="90">
        <v>2.7054347999999999</v>
      </c>
    </row>
    <row r="937" spans="1:24" hidden="1" x14ac:dyDescent="0.25">
      <c r="A937" s="80" t="str">
        <v>PENDIENTE</v>
      </c>
      <c r="B937" s="80" t="str">
        <v>San Marcos - Ancash</v>
      </c>
      <c r="C937" s="80" t="str">
        <v>Febrero</v>
      </c>
      <c r="D937" s="81">
        <v>46037</v>
      </c>
      <c r="E937" s="79">
        <v>2705.4348</v>
      </c>
      <c r="F937" s="81">
        <v>46035</v>
      </c>
      <c r="G937" s="79" cm="1">
        <f t="array" ref="G937:X937">_xlfn._xlws.FILTER(Formulas!$C$2:$T$201, ISNUMBER(MATCH(Formulas!$B$2:$B$201, B937, 0)),0) * E937</f>
        <v>600.75549342560555</v>
      </c>
      <c r="H937" s="79">
        <v>1812.4418782006921</v>
      </c>
      <c r="I937" s="79">
        <v>162.3993508650519</v>
      </c>
      <c r="J937" s="79">
        <v>101.75397923875433</v>
      </c>
      <c r="K937" s="79">
        <v>0</v>
      </c>
      <c r="L937" s="79">
        <v>0</v>
      </c>
      <c r="M937" s="79">
        <v>101.75397923875433</v>
      </c>
      <c r="N937" s="79">
        <v>0</v>
      </c>
      <c r="O937" s="79">
        <v>0</v>
      </c>
      <c r="P937" s="79">
        <v>0</v>
      </c>
      <c r="Q937" s="79">
        <v>0</v>
      </c>
      <c r="R937" s="79">
        <v>0</v>
      </c>
      <c r="S937" s="79">
        <v>0</v>
      </c>
      <c r="T937" s="79">
        <v>0</v>
      </c>
      <c r="U937" s="79">
        <v>0</v>
      </c>
      <c r="V937" s="79">
        <v>0</v>
      </c>
      <c r="W937" s="79">
        <v>0</v>
      </c>
      <c r="X937" s="90">
        <v>2.7054347999999999</v>
      </c>
    </row>
    <row r="938" spans="1:24" hidden="1" x14ac:dyDescent="0.25">
      <c r="A938" s="80" t="str">
        <v>PENDIENTE</v>
      </c>
      <c r="B938" s="80" t="str">
        <v>San Marcos - Ancash</v>
      </c>
      <c r="C938" s="80" t="str">
        <v>Marzo</v>
      </c>
      <c r="D938" s="81">
        <v>46106</v>
      </c>
      <c r="E938" s="79">
        <v>2738.0304000000001</v>
      </c>
      <c r="F938" s="81">
        <v>46094</v>
      </c>
      <c r="G938" s="79" cm="1">
        <f t="array" ref="G938:X938">_xlfn._xlws.FILTER(Formulas!$C$2:$T$201, ISNUMBER(MATCH(Formulas!$B$2:$B$201, B938, 0)),0) * E938</f>
        <v>607.9935114186851</v>
      </c>
      <c r="H938" s="79">
        <v>1834.2785273356403</v>
      </c>
      <c r="I938" s="79">
        <v>164.35596955017303</v>
      </c>
      <c r="J938" s="79">
        <v>102.97993079584776</v>
      </c>
      <c r="K938" s="79">
        <v>0</v>
      </c>
      <c r="L938" s="79">
        <v>0</v>
      </c>
      <c r="M938" s="79">
        <v>102.97993079584776</v>
      </c>
      <c r="N938" s="79">
        <v>0</v>
      </c>
      <c r="O938" s="79">
        <v>0</v>
      </c>
      <c r="P938" s="79">
        <v>0</v>
      </c>
      <c r="Q938" s="79">
        <v>0</v>
      </c>
      <c r="R938" s="79">
        <v>0</v>
      </c>
      <c r="S938" s="79">
        <v>0</v>
      </c>
      <c r="T938" s="79">
        <v>0</v>
      </c>
      <c r="U938" s="79">
        <v>0</v>
      </c>
      <c r="V938" s="79">
        <v>0</v>
      </c>
      <c r="W938" s="79">
        <v>0</v>
      </c>
      <c r="X938" s="90">
        <v>2.7380304</v>
      </c>
    </row>
    <row r="939" spans="1:24" hidden="1" x14ac:dyDescent="0.25">
      <c r="A939" s="80" t="str">
        <v>PENDIENTE</v>
      </c>
      <c r="B939" s="80" t="str">
        <v>San Marcos - Ancash</v>
      </c>
      <c r="C939" s="80" t="str">
        <v>Abril</v>
      </c>
      <c r="D939" s="81">
        <v>46106</v>
      </c>
      <c r="E939" s="79">
        <v>2738.0304000000001</v>
      </c>
      <c r="F939" s="81">
        <v>46094</v>
      </c>
      <c r="G939" s="79" cm="1">
        <f t="array" ref="G939:X939">_xlfn._xlws.FILTER(Formulas!$C$2:$T$201, ISNUMBER(MATCH(Formulas!$B$2:$B$201, B939, 0)),0) * E939</f>
        <v>607.9935114186851</v>
      </c>
      <c r="H939" s="79">
        <v>1834.2785273356403</v>
      </c>
      <c r="I939" s="79">
        <v>164.35596955017303</v>
      </c>
      <c r="J939" s="79">
        <v>102.97993079584776</v>
      </c>
      <c r="K939" s="79">
        <v>0</v>
      </c>
      <c r="L939" s="79">
        <v>0</v>
      </c>
      <c r="M939" s="79">
        <v>102.97993079584776</v>
      </c>
      <c r="N939" s="79">
        <v>0</v>
      </c>
      <c r="O939" s="79">
        <v>0</v>
      </c>
      <c r="P939" s="79">
        <v>0</v>
      </c>
      <c r="Q939" s="79">
        <v>0</v>
      </c>
      <c r="R939" s="79">
        <v>0</v>
      </c>
      <c r="S939" s="79">
        <v>0</v>
      </c>
      <c r="T939" s="79">
        <v>0</v>
      </c>
      <c r="U939" s="79">
        <v>0</v>
      </c>
      <c r="V939" s="79">
        <v>0</v>
      </c>
      <c r="W939" s="79">
        <v>0</v>
      </c>
      <c r="X939" s="90">
        <v>2.7380304</v>
      </c>
    </row>
    <row r="940" spans="1:24" hidden="1" x14ac:dyDescent="0.25">
      <c r="A940" s="80" t="str">
        <v>PENDIENTE</v>
      </c>
      <c r="B940" s="80" t="str">
        <v>San Marcos - Ancash</v>
      </c>
      <c r="C940" s="80" t="str">
        <v>Mayo</v>
      </c>
      <c r="D940" s="81">
        <v>46137</v>
      </c>
      <c r="E940" s="79">
        <v>2738.0304000000001</v>
      </c>
      <c r="F940" s="81">
        <v>46140</v>
      </c>
      <c r="G940" s="79" cm="1">
        <f t="array" ref="G940:X940">_xlfn._xlws.FILTER(Formulas!$C$2:$T$201, ISNUMBER(MATCH(Formulas!$B$2:$B$201, B940, 0)),0) * E940</f>
        <v>607.9935114186851</v>
      </c>
      <c r="H940" s="79">
        <v>1834.2785273356403</v>
      </c>
      <c r="I940" s="79">
        <v>164.35596955017303</v>
      </c>
      <c r="J940" s="79">
        <v>102.97993079584776</v>
      </c>
      <c r="K940" s="79">
        <v>0</v>
      </c>
      <c r="L940" s="79">
        <v>0</v>
      </c>
      <c r="M940" s="79">
        <v>102.97993079584776</v>
      </c>
      <c r="N940" s="79">
        <v>0</v>
      </c>
      <c r="O940" s="79">
        <v>0</v>
      </c>
      <c r="P940" s="79">
        <v>0</v>
      </c>
      <c r="Q940" s="79">
        <v>0</v>
      </c>
      <c r="R940" s="79">
        <v>0</v>
      </c>
      <c r="S940" s="79">
        <v>0</v>
      </c>
      <c r="T940" s="79">
        <v>0</v>
      </c>
      <c r="U940" s="79">
        <v>0</v>
      </c>
      <c r="V940" s="79">
        <v>0</v>
      </c>
      <c r="W940" s="79">
        <v>0</v>
      </c>
      <c r="X940" s="90">
        <v>2.7380304</v>
      </c>
    </row>
    <row r="941" spans="1:24" hidden="1" x14ac:dyDescent="0.25">
      <c r="A941" s="80" t="str">
        <v>PENDIENTE</v>
      </c>
      <c r="B941" s="80" t="str">
        <v>San Marcos - Ancash</v>
      </c>
      <c r="C941" s="80" t="str">
        <v>Junio</v>
      </c>
      <c r="D941" s="81">
        <v>46137</v>
      </c>
      <c r="E941" s="79">
        <v>2738.0304000000001</v>
      </c>
      <c r="F941" s="80">
        <v>46140</v>
      </c>
      <c r="G941" s="79" cm="1">
        <f t="array" ref="G941:X941">_xlfn._xlws.FILTER(Formulas!$C$2:$T$201, ISNUMBER(MATCH(Formulas!$B$2:$B$201, B941, 0)),0) * E941</f>
        <v>607.9935114186851</v>
      </c>
      <c r="H941" s="79">
        <v>1834.2785273356403</v>
      </c>
      <c r="I941" s="79">
        <v>164.35596955017303</v>
      </c>
      <c r="J941" s="79">
        <v>102.97993079584776</v>
      </c>
      <c r="K941" s="79">
        <v>0</v>
      </c>
      <c r="L941" s="79">
        <v>0</v>
      </c>
      <c r="M941" s="79">
        <v>102.97993079584776</v>
      </c>
      <c r="N941" s="79">
        <v>0</v>
      </c>
      <c r="O941" s="79">
        <v>0</v>
      </c>
      <c r="P941" s="79">
        <v>0</v>
      </c>
      <c r="Q941" s="79">
        <v>0</v>
      </c>
      <c r="R941" s="79">
        <v>0</v>
      </c>
      <c r="S941" s="79">
        <v>0</v>
      </c>
      <c r="T941" s="79">
        <v>0</v>
      </c>
      <c r="U941" s="79">
        <v>0</v>
      </c>
      <c r="V941" s="79">
        <v>0</v>
      </c>
      <c r="W941" s="79">
        <v>0</v>
      </c>
      <c r="X941" s="90">
        <v>2.7380304</v>
      </c>
    </row>
    <row r="942" spans="1:24" hidden="1" x14ac:dyDescent="0.25">
      <c r="A942" s="80" t="str">
        <v>PENDIENTE</v>
      </c>
      <c r="B942" s="80" t="str">
        <v>San Marcos - Ancash</v>
      </c>
      <c r="C942" s="80" t="str">
        <v>Julio</v>
      </c>
      <c r="D942" s="81">
        <v>46198</v>
      </c>
      <c r="E942" s="79">
        <v>2738.0304000000001</v>
      </c>
      <c r="F942" s="80">
        <v>46200</v>
      </c>
      <c r="G942" s="79" cm="1">
        <f t="array" ref="G942:X942">_xlfn._xlws.FILTER(Formulas!$C$2:$T$201, ISNUMBER(MATCH(Formulas!$B$2:$B$201, B942, 0)),0) * E942</f>
        <v>607.9935114186851</v>
      </c>
      <c r="H942" s="79">
        <v>1834.2785273356403</v>
      </c>
      <c r="I942" s="79">
        <v>164.35596955017303</v>
      </c>
      <c r="J942" s="79">
        <v>102.97993079584776</v>
      </c>
      <c r="K942" s="79">
        <v>0</v>
      </c>
      <c r="L942" s="79">
        <v>0</v>
      </c>
      <c r="M942" s="79">
        <v>102.97993079584776</v>
      </c>
      <c r="N942" s="79">
        <v>0</v>
      </c>
      <c r="O942" s="79">
        <v>0</v>
      </c>
      <c r="P942" s="79">
        <v>0</v>
      </c>
      <c r="Q942" s="79">
        <v>0</v>
      </c>
      <c r="R942" s="79">
        <v>0</v>
      </c>
      <c r="S942" s="79">
        <v>0</v>
      </c>
      <c r="T942" s="79">
        <v>0</v>
      </c>
      <c r="U942" s="79">
        <v>0</v>
      </c>
      <c r="V942" s="79">
        <v>0</v>
      </c>
      <c r="W942" s="79">
        <v>0</v>
      </c>
      <c r="X942" s="90">
        <v>2.7380304</v>
      </c>
    </row>
    <row r="943" spans="1:24" hidden="1" x14ac:dyDescent="0.25">
      <c r="A943" s="80" t="str">
        <v>PENDIENTE</v>
      </c>
      <c r="B943" s="80" t="str">
        <v>San Marcos - Ancash</v>
      </c>
      <c r="C943" s="80" t="str">
        <v>Agosto</v>
      </c>
      <c r="D943" s="81">
        <v>46198</v>
      </c>
      <c r="E943" s="79">
        <v>2738.0304000000001</v>
      </c>
      <c r="F943" s="81">
        <v>46200</v>
      </c>
      <c r="G943" s="79" cm="1">
        <f t="array" ref="G943:X943">_xlfn._xlws.FILTER(Formulas!$C$2:$T$201, ISNUMBER(MATCH(Formulas!$B$2:$B$201, B943, 0)),0) * E943</f>
        <v>607.9935114186851</v>
      </c>
      <c r="H943" s="79">
        <v>1834.2785273356403</v>
      </c>
      <c r="I943" s="79">
        <v>164.35596955017303</v>
      </c>
      <c r="J943" s="79">
        <v>102.97993079584776</v>
      </c>
      <c r="K943" s="79">
        <v>0</v>
      </c>
      <c r="L943" s="79">
        <v>0</v>
      </c>
      <c r="M943" s="79">
        <v>102.97993079584776</v>
      </c>
      <c r="N943" s="79">
        <v>0</v>
      </c>
      <c r="O943" s="79">
        <v>0</v>
      </c>
      <c r="P943" s="79">
        <v>0</v>
      </c>
      <c r="Q943" s="79">
        <v>0</v>
      </c>
      <c r="R943" s="79">
        <v>0</v>
      </c>
      <c r="S943" s="79">
        <v>0</v>
      </c>
      <c r="T943" s="79">
        <v>0</v>
      </c>
      <c r="U943" s="79">
        <v>0</v>
      </c>
      <c r="V943" s="79">
        <v>0</v>
      </c>
      <c r="W943" s="79">
        <v>0</v>
      </c>
      <c r="X943" s="90">
        <v>2.7380304</v>
      </c>
    </row>
    <row r="944" spans="1:24" hidden="1" x14ac:dyDescent="0.25">
      <c r="A944" s="80" t="str">
        <v>PENDIENTE</v>
      </c>
      <c r="B944" s="80" t="str">
        <v>San Marcos - Ancash</v>
      </c>
      <c r="C944" s="80" t="str">
        <v>Setiembre</v>
      </c>
      <c r="D944" s="81">
        <v>46259</v>
      </c>
      <c r="E944" s="79">
        <v>2738.0304000000001</v>
      </c>
      <c r="F944" s="81">
        <v>46252</v>
      </c>
      <c r="G944" s="79" cm="1">
        <f t="array" ref="G944:X944">_xlfn._xlws.FILTER(Formulas!$C$2:$T$201, ISNUMBER(MATCH(Formulas!$B$2:$B$201, B944, 0)),0) * E944</f>
        <v>607.9935114186851</v>
      </c>
      <c r="H944" s="79">
        <v>1834.2785273356403</v>
      </c>
      <c r="I944" s="79">
        <v>164.35596955017303</v>
      </c>
      <c r="J944" s="79">
        <v>102.97993079584776</v>
      </c>
      <c r="K944" s="79">
        <v>0</v>
      </c>
      <c r="L944" s="79">
        <v>0</v>
      </c>
      <c r="M944" s="79">
        <v>102.97993079584776</v>
      </c>
      <c r="N944" s="79">
        <v>0</v>
      </c>
      <c r="O944" s="79">
        <v>0</v>
      </c>
      <c r="P944" s="79">
        <v>0</v>
      </c>
      <c r="Q944" s="79">
        <v>0</v>
      </c>
      <c r="R944" s="79">
        <v>0</v>
      </c>
      <c r="S944" s="79">
        <v>0</v>
      </c>
      <c r="T944" s="79">
        <v>0</v>
      </c>
      <c r="U944" s="79">
        <v>0</v>
      </c>
      <c r="V944" s="79">
        <v>0</v>
      </c>
      <c r="W944" s="79">
        <v>0</v>
      </c>
      <c r="X944" s="90">
        <v>2.7380304</v>
      </c>
    </row>
    <row r="945" spans="1:24" hidden="1" x14ac:dyDescent="0.25">
      <c r="A945" s="80" t="str">
        <v>PENDIENTE</v>
      </c>
      <c r="B945" s="80" t="str">
        <v>San Marcos - Ancash</v>
      </c>
      <c r="C945" s="80" t="str">
        <v>Octubre</v>
      </c>
      <c r="D945" s="81">
        <v>46259</v>
      </c>
      <c r="E945" s="79">
        <v>2738.0304000000001</v>
      </c>
      <c r="F945" s="81">
        <v>46252</v>
      </c>
      <c r="G945" s="79" cm="1">
        <f t="array" ref="G945:X945">_xlfn._xlws.FILTER(Formulas!$C$2:$T$201, ISNUMBER(MATCH(Formulas!$B$2:$B$201, B945, 0)),0) * E945</f>
        <v>607.9935114186851</v>
      </c>
      <c r="H945" s="79">
        <v>1834.2785273356403</v>
      </c>
      <c r="I945" s="79">
        <v>164.35596955017303</v>
      </c>
      <c r="J945" s="79">
        <v>102.97993079584776</v>
      </c>
      <c r="K945" s="79">
        <v>0</v>
      </c>
      <c r="L945" s="79">
        <v>0</v>
      </c>
      <c r="M945" s="79">
        <v>102.97993079584776</v>
      </c>
      <c r="N945" s="79">
        <v>0</v>
      </c>
      <c r="O945" s="79">
        <v>0</v>
      </c>
      <c r="P945" s="79">
        <v>0</v>
      </c>
      <c r="Q945" s="79">
        <v>0</v>
      </c>
      <c r="R945" s="79">
        <v>0</v>
      </c>
      <c r="S945" s="79">
        <v>0</v>
      </c>
      <c r="T945" s="79">
        <v>0</v>
      </c>
      <c r="U945" s="79">
        <v>0</v>
      </c>
      <c r="V945" s="79">
        <v>0</v>
      </c>
      <c r="W945" s="79">
        <v>0</v>
      </c>
      <c r="X945" s="90">
        <v>2.7380304</v>
      </c>
    </row>
    <row r="946" spans="1:24" hidden="1" x14ac:dyDescent="0.25">
      <c r="A946" s="80" t="str">
        <v>PENDIENTE</v>
      </c>
      <c r="B946" s="80" t="str">
        <v>San Marcos - Ancash</v>
      </c>
      <c r="C946" s="80" t="str">
        <v>O.C.</v>
      </c>
      <c r="D946" s="81">
        <v>46259</v>
      </c>
      <c r="E946" s="79">
        <v>2809.3211999999999</v>
      </c>
      <c r="F946" s="80">
        <v>46263</v>
      </c>
      <c r="G946" s="79" cm="1">
        <f t="array" ref="G946:X946">_xlfn._xlws.FILTER(Formulas!$C$2:$T$201, ISNUMBER(MATCH(Formulas!$B$2:$B$201, B946, 0)),0) * E946</f>
        <v>623.82399446366776</v>
      </c>
      <c r="H946" s="79">
        <v>1882.0381079584774</v>
      </c>
      <c r="I946" s="79">
        <v>168.63534809688582</v>
      </c>
      <c r="J946" s="79">
        <v>105.66124567474048</v>
      </c>
      <c r="K946" s="79">
        <v>0</v>
      </c>
      <c r="L946" s="79">
        <v>0</v>
      </c>
      <c r="M946" s="79">
        <v>105.66124567474048</v>
      </c>
      <c r="N946" s="79">
        <v>0</v>
      </c>
      <c r="O946" s="79">
        <v>0</v>
      </c>
      <c r="P946" s="79">
        <v>0</v>
      </c>
      <c r="Q946" s="79">
        <v>0</v>
      </c>
      <c r="R946" s="79">
        <v>0</v>
      </c>
      <c r="S946" s="79">
        <v>0</v>
      </c>
      <c r="T946" s="79">
        <v>0</v>
      </c>
      <c r="U946" s="79">
        <v>0</v>
      </c>
      <c r="V946" s="79">
        <v>0</v>
      </c>
      <c r="W946" s="79">
        <v>0</v>
      </c>
      <c r="X946" s="90">
        <v>2.8093211999999999</v>
      </c>
    </row>
    <row r="947" spans="1:24" hidden="1" x14ac:dyDescent="0.25">
      <c r="A947" s="80" t="str">
        <v>PENDIENTE</v>
      </c>
      <c r="B947" s="80" t="str">
        <v>San Marcos - Ancash</v>
      </c>
      <c r="C947" s="80" t="str">
        <v>Noviembre</v>
      </c>
      <c r="D947" s="81">
        <v>46320</v>
      </c>
      <c r="E947" s="79">
        <v>2738.0304000000001</v>
      </c>
      <c r="F947" s="81">
        <v>0</v>
      </c>
      <c r="G947" s="79" cm="1">
        <f t="array" ref="G947:X947">_xlfn._xlws.FILTER(Formulas!$C$2:$T$201, ISNUMBER(MATCH(Formulas!$B$2:$B$201, B947, 0)),0) * E947</f>
        <v>607.9935114186851</v>
      </c>
      <c r="H947" s="79">
        <v>1834.2785273356403</v>
      </c>
      <c r="I947" s="79">
        <v>164.35596955017303</v>
      </c>
      <c r="J947" s="79">
        <v>102.97993079584776</v>
      </c>
      <c r="K947" s="79">
        <v>0</v>
      </c>
      <c r="L947" s="79">
        <v>0</v>
      </c>
      <c r="M947" s="79">
        <v>102.97993079584776</v>
      </c>
      <c r="N947" s="79">
        <v>0</v>
      </c>
      <c r="O947" s="79">
        <v>0</v>
      </c>
      <c r="P947" s="79">
        <v>0</v>
      </c>
      <c r="Q947" s="79">
        <v>0</v>
      </c>
      <c r="R947" s="79">
        <v>0</v>
      </c>
      <c r="S947" s="79">
        <v>0</v>
      </c>
      <c r="T947" s="79">
        <v>0</v>
      </c>
      <c r="U947" s="79">
        <v>0</v>
      </c>
      <c r="V947" s="79">
        <v>0</v>
      </c>
      <c r="W947" s="79">
        <v>0</v>
      </c>
      <c r="X947" s="90">
        <v>2.7380304</v>
      </c>
    </row>
    <row r="948" spans="1:24" hidden="1" x14ac:dyDescent="0.25">
      <c r="A948" s="80" t="str">
        <v>PENDIENTE</v>
      </c>
      <c r="B948" s="80" t="str">
        <v>San Marcos - Ancash</v>
      </c>
      <c r="C948" s="80" t="str">
        <v>Diciembre</v>
      </c>
      <c r="D948" s="81">
        <v>46320</v>
      </c>
      <c r="E948" s="79">
        <v>2760.7056000000002</v>
      </c>
      <c r="F948" s="81">
        <v>0</v>
      </c>
      <c r="G948" s="79" cm="1">
        <f t="array" ref="G948:X948">_xlfn._xlws.FILTER(Formulas!$C$2:$T$201, ISNUMBER(MATCH(Formulas!$B$2:$B$201, B948, 0)),0) * E948</f>
        <v>613.0286543703927</v>
      </c>
      <c r="H948" s="79">
        <v>1849.4692397773433</v>
      </c>
      <c r="I948" s="79">
        <v>165.71709559199641</v>
      </c>
      <c r="J948" s="79">
        <v>103.83276666165189</v>
      </c>
      <c r="K948" s="79">
        <v>0</v>
      </c>
      <c r="L948" s="79">
        <v>0</v>
      </c>
      <c r="M948" s="79">
        <v>103.83276666165189</v>
      </c>
      <c r="N948" s="79">
        <v>0</v>
      </c>
      <c r="O948" s="79">
        <v>0</v>
      </c>
      <c r="P948" s="79">
        <v>0</v>
      </c>
      <c r="Q948" s="79">
        <v>0</v>
      </c>
      <c r="R948" s="79">
        <v>0</v>
      </c>
      <c r="S948" s="79">
        <v>0</v>
      </c>
      <c r="T948" s="79">
        <v>0</v>
      </c>
      <c r="U948" s="79">
        <v>0</v>
      </c>
      <c r="V948" s="79">
        <v>0</v>
      </c>
      <c r="W948" s="79">
        <v>0</v>
      </c>
      <c r="X948" s="90">
        <v>2.7607056000000001</v>
      </c>
    </row>
    <row r="949" spans="1:24" hidden="1" x14ac:dyDescent="0.25">
      <c r="A949" s="80" t="str">
        <v>PENDIENTE</v>
      </c>
      <c r="B949" s="80" t="str">
        <v>San Marcos - Caj.25</v>
      </c>
      <c r="C949" s="80" t="str">
        <v>O.C.</v>
      </c>
      <c r="D949" s="81">
        <v>46029</v>
      </c>
      <c r="E949" s="79">
        <v>3105.35</v>
      </c>
      <c r="F949" s="81">
        <v>46029</v>
      </c>
      <c r="G949" s="79" cm="1">
        <f t="array" ref="G949:X949">_xlfn._xlws.FILTER(Formulas!$C$2:$T$201, ISNUMBER(MATCH(Formulas!$B$2:$B$201, B949, 0)),0) * E949</f>
        <v>209.95605280103027</v>
      </c>
      <c r="H949" s="79">
        <v>1248.7386188023181</v>
      </c>
      <c r="I949" s="79">
        <v>108.97718931101093</v>
      </c>
      <c r="J949" s="79">
        <v>109.97698003863491</v>
      </c>
      <c r="K949" s="79">
        <v>0</v>
      </c>
      <c r="L949" s="79">
        <v>0</v>
      </c>
      <c r="M949" s="79">
        <v>0</v>
      </c>
      <c r="N949" s="79">
        <v>185.96107533805539</v>
      </c>
      <c r="O949" s="79">
        <v>1241.7400837089504</v>
      </c>
      <c r="P949" s="79">
        <v>0</v>
      </c>
      <c r="Q949" s="79">
        <v>0</v>
      </c>
      <c r="R949" s="79">
        <v>0</v>
      </c>
      <c r="S949" s="79">
        <v>0</v>
      </c>
      <c r="T949" s="79">
        <v>0</v>
      </c>
      <c r="U949" s="79">
        <v>3.1053500000000001</v>
      </c>
      <c r="V949" s="79">
        <v>0</v>
      </c>
      <c r="W949" s="79">
        <v>0</v>
      </c>
      <c r="X949" s="90">
        <v>0</v>
      </c>
    </row>
    <row r="950" spans="1:24" hidden="1" x14ac:dyDescent="0.25">
      <c r="A950" s="80" t="str">
        <v>PENDIENTE</v>
      </c>
      <c r="B950" s="80" t="str">
        <v>San Marcos - Caj.25</v>
      </c>
      <c r="C950" s="80" t="str">
        <v>Primera</v>
      </c>
      <c r="D950" s="81">
        <v>46137</v>
      </c>
      <c r="E950" s="79">
        <v>3105.1462499999998</v>
      </c>
      <c r="F950" s="81">
        <v>46131</v>
      </c>
      <c r="G950" s="79" cm="1">
        <f t="array" ref="G950:X950">_xlfn._xlws.FILTER(Formulas!$C$2:$T$201, ISNUMBER(MATCH(Formulas!$B$2:$B$201, B950, 0)),0) * E950</f>
        <v>209.94227704443014</v>
      </c>
      <c r="H950" s="79">
        <v>1248.6566858499677</v>
      </c>
      <c r="I950" s="79">
        <v>108.97003903734705</v>
      </c>
      <c r="J950" s="79">
        <v>109.96976416613008</v>
      </c>
      <c r="K950" s="79">
        <v>0</v>
      </c>
      <c r="L950" s="79">
        <v>0</v>
      </c>
      <c r="M950" s="79">
        <v>0</v>
      </c>
      <c r="N950" s="79">
        <v>185.94887395363813</v>
      </c>
      <c r="O950" s="79">
        <v>1241.6586099484866</v>
      </c>
      <c r="P950" s="79">
        <v>0</v>
      </c>
      <c r="Q950" s="79">
        <v>0</v>
      </c>
      <c r="R950" s="79">
        <v>0</v>
      </c>
      <c r="S950" s="79">
        <v>0</v>
      </c>
      <c r="T950" s="79">
        <v>0</v>
      </c>
      <c r="U950" s="79">
        <v>3.1051462499999998</v>
      </c>
      <c r="V950" s="79">
        <v>0</v>
      </c>
      <c r="W950" s="79">
        <v>0</v>
      </c>
      <c r="X950" s="90">
        <v>0</v>
      </c>
    </row>
    <row r="951" spans="1:24" hidden="1" x14ac:dyDescent="0.25">
      <c r="A951" s="80" t="str">
        <v>PENDIENTE</v>
      </c>
      <c r="B951" s="80" t="str">
        <v>San Marcos - Caj.25</v>
      </c>
      <c r="C951" s="80" t="str">
        <v>Segunda</v>
      </c>
      <c r="D951" s="81">
        <v>46193</v>
      </c>
      <c r="E951" s="79">
        <v>3105.1462499999998</v>
      </c>
      <c r="F951" s="81">
        <v>46190</v>
      </c>
      <c r="G951" s="79" cm="1">
        <f t="array" ref="G951:X951">_xlfn._xlws.FILTER(Formulas!$C$2:$T$201, ISNUMBER(MATCH(Formulas!$B$2:$B$201, B951, 0)),0) * E951</f>
        <v>209.94227704443014</v>
      </c>
      <c r="H951" s="79">
        <v>1248.6566858499677</v>
      </c>
      <c r="I951" s="79">
        <v>108.97003903734705</v>
      </c>
      <c r="J951" s="79">
        <v>109.96976416613008</v>
      </c>
      <c r="K951" s="79">
        <v>0</v>
      </c>
      <c r="L951" s="79">
        <v>0</v>
      </c>
      <c r="M951" s="79">
        <v>0</v>
      </c>
      <c r="N951" s="79">
        <v>185.94887395363813</v>
      </c>
      <c r="O951" s="79">
        <v>1241.6586099484866</v>
      </c>
      <c r="P951" s="79">
        <v>0</v>
      </c>
      <c r="Q951" s="79">
        <v>0</v>
      </c>
      <c r="R951" s="79">
        <v>0</v>
      </c>
      <c r="S951" s="79">
        <v>0</v>
      </c>
      <c r="T951" s="79">
        <v>0</v>
      </c>
      <c r="U951" s="79">
        <v>3.1051462499999998</v>
      </c>
      <c r="V951" s="79">
        <v>0</v>
      </c>
      <c r="W951" s="79">
        <v>0</v>
      </c>
      <c r="X951" s="90">
        <v>0</v>
      </c>
    </row>
    <row r="952" spans="1:24" hidden="1" x14ac:dyDescent="0.25">
      <c r="A952" s="80" t="str">
        <v>PENDIENTE</v>
      </c>
      <c r="B952" s="80" t="str">
        <v>San Marcos - Caj.25</v>
      </c>
      <c r="C952" s="80" t="str">
        <v>Tercera</v>
      </c>
      <c r="D952" s="81">
        <v>46287</v>
      </c>
      <c r="E952" s="79">
        <v>3105.1462499999998</v>
      </c>
      <c r="F952" s="81">
        <v>46287</v>
      </c>
      <c r="G952" s="79" cm="1">
        <f t="array" ref="G952:X952">_xlfn._xlws.FILTER(Formulas!$C$2:$T$201, ISNUMBER(MATCH(Formulas!$B$2:$B$201, B952, 0)),0) * E952</f>
        <v>209.94227704443014</v>
      </c>
      <c r="H952" s="79">
        <v>1248.6566858499677</v>
      </c>
      <c r="I952" s="79">
        <v>108.97003903734705</v>
      </c>
      <c r="J952" s="79">
        <v>109.96976416613008</v>
      </c>
      <c r="K952" s="79">
        <v>0</v>
      </c>
      <c r="L952" s="79">
        <v>0</v>
      </c>
      <c r="M952" s="79">
        <v>0</v>
      </c>
      <c r="N952" s="79">
        <v>185.94887395363813</v>
      </c>
      <c r="O952" s="79">
        <v>1241.6586099484866</v>
      </c>
      <c r="P952" s="79">
        <v>0</v>
      </c>
      <c r="Q952" s="79">
        <v>0</v>
      </c>
      <c r="R952" s="79">
        <v>0</v>
      </c>
      <c r="S952" s="79">
        <v>0</v>
      </c>
      <c r="T952" s="79">
        <v>0</v>
      </c>
      <c r="U952" s="79">
        <v>3.1051462499999998</v>
      </c>
      <c r="V952" s="79">
        <v>0</v>
      </c>
      <c r="W952" s="79">
        <v>0</v>
      </c>
      <c r="X952" s="90">
        <v>0</v>
      </c>
    </row>
    <row r="953" spans="1:24" hidden="1" x14ac:dyDescent="0.25">
      <c r="A953" s="80" t="str">
        <v>PENDIENTE</v>
      </c>
      <c r="B953" s="80" t="str">
        <v>San Martin</v>
      </c>
      <c r="C953" s="80" t="str">
        <v>Marzo</v>
      </c>
      <c r="D953" s="81">
        <v>46073</v>
      </c>
      <c r="E953" s="79">
        <v>3536</v>
      </c>
      <c r="F953" s="81">
        <v>46063</v>
      </c>
      <c r="G953" s="79" cm="1">
        <f t="array" ref="G953:X953">_xlfn._xlws.FILTER(Formulas!$C$2:$T$201, ISNUMBER(MATCH(Formulas!$B$2:$B$201, B953, 0)),0) * E953</f>
        <v>530</v>
      </c>
      <c r="H953" s="79">
        <v>1658</v>
      </c>
      <c r="I953" s="79">
        <v>0</v>
      </c>
      <c r="J953" s="79">
        <v>0</v>
      </c>
      <c r="K953" s="79">
        <v>0</v>
      </c>
      <c r="L953" s="79">
        <v>106</v>
      </c>
      <c r="M953" s="79">
        <v>0</v>
      </c>
      <c r="N953" s="79">
        <v>0</v>
      </c>
      <c r="O953" s="79">
        <v>1132</v>
      </c>
      <c r="P953" s="79">
        <v>0</v>
      </c>
      <c r="Q953" s="79">
        <v>106</v>
      </c>
      <c r="R953" s="79">
        <v>0</v>
      </c>
      <c r="S953" s="79">
        <v>0</v>
      </c>
      <c r="T953" s="79">
        <v>0</v>
      </c>
      <c r="U953" s="79">
        <v>0</v>
      </c>
      <c r="V953" s="79">
        <v>4</v>
      </c>
      <c r="W953" s="79">
        <v>0</v>
      </c>
      <c r="X953" s="90">
        <v>0</v>
      </c>
    </row>
    <row r="954" spans="1:24" hidden="1" x14ac:dyDescent="0.25">
      <c r="A954" s="80" t="str">
        <v>PENDIENTE</v>
      </c>
      <c r="B954" s="80" t="str">
        <v>San Martin</v>
      </c>
      <c r="C954" s="80" t="str">
        <v>Abril</v>
      </c>
      <c r="D954" s="81">
        <v>46101</v>
      </c>
      <c r="E954" s="79">
        <v>3422</v>
      </c>
      <c r="F954" s="81">
        <v>46087</v>
      </c>
      <c r="G954" s="79" cm="1">
        <f t="array" ref="G954:X954">_xlfn._xlws.FILTER(Formulas!$C$2:$T$201, ISNUMBER(MATCH(Formulas!$B$2:$B$201, B954, 0)),0) * E954</f>
        <v>512.91289592760177</v>
      </c>
      <c r="H954" s="79">
        <v>1604.5463800904977</v>
      </c>
      <c r="I954" s="79">
        <v>0</v>
      </c>
      <c r="J954" s="79">
        <v>0</v>
      </c>
      <c r="K954" s="79">
        <v>0</v>
      </c>
      <c r="L954" s="79">
        <v>102.58257918552036</v>
      </c>
      <c r="M954" s="79">
        <v>0</v>
      </c>
      <c r="N954" s="79">
        <v>0</v>
      </c>
      <c r="O954" s="79">
        <v>1095.5045248868778</v>
      </c>
      <c r="P954" s="79">
        <v>0</v>
      </c>
      <c r="Q954" s="79">
        <v>102.58257918552036</v>
      </c>
      <c r="R954" s="79">
        <v>0</v>
      </c>
      <c r="S954" s="79">
        <v>0</v>
      </c>
      <c r="T954" s="79">
        <v>0</v>
      </c>
      <c r="U954" s="79">
        <v>0</v>
      </c>
      <c r="V954" s="79">
        <v>3.8710407239819009</v>
      </c>
      <c r="W954" s="79">
        <v>0</v>
      </c>
      <c r="X954" s="90">
        <v>0</v>
      </c>
    </row>
    <row r="955" spans="1:24" hidden="1" x14ac:dyDescent="0.25">
      <c r="A955" s="80" t="str">
        <v>PENDIENTE</v>
      </c>
      <c r="B955" s="80" t="str">
        <v>San Martin</v>
      </c>
      <c r="C955" s="80" t="str">
        <v>Mayo</v>
      </c>
      <c r="D955" s="81">
        <v>46132</v>
      </c>
      <c r="E955" s="79">
        <v>3536</v>
      </c>
      <c r="F955" s="80">
        <v>46118</v>
      </c>
      <c r="G955" s="79" cm="1">
        <f t="array" ref="G955:X955">_xlfn._xlws.FILTER(Formulas!$C$2:$T$201, ISNUMBER(MATCH(Formulas!$B$2:$B$201, B955, 0)),0) * E955</f>
        <v>530</v>
      </c>
      <c r="H955" s="79">
        <v>1658</v>
      </c>
      <c r="I955" s="79">
        <v>0</v>
      </c>
      <c r="J955" s="79">
        <v>0</v>
      </c>
      <c r="K955" s="79">
        <v>0</v>
      </c>
      <c r="L955" s="79">
        <v>106</v>
      </c>
      <c r="M955" s="79">
        <v>0</v>
      </c>
      <c r="N955" s="79">
        <v>0</v>
      </c>
      <c r="O955" s="79">
        <v>1132</v>
      </c>
      <c r="P955" s="79">
        <v>0</v>
      </c>
      <c r="Q955" s="79">
        <v>106</v>
      </c>
      <c r="R955" s="79">
        <v>0</v>
      </c>
      <c r="S955" s="79">
        <v>0</v>
      </c>
      <c r="T955" s="79">
        <v>0</v>
      </c>
      <c r="U955" s="79">
        <v>0</v>
      </c>
      <c r="V955" s="79">
        <v>4</v>
      </c>
      <c r="W955" s="79">
        <v>0</v>
      </c>
      <c r="X955" s="90">
        <v>0</v>
      </c>
    </row>
    <row r="956" spans="1:24" hidden="1" x14ac:dyDescent="0.25">
      <c r="A956" s="80" t="str">
        <v>PENDIENTE</v>
      </c>
      <c r="B956" s="80" t="str">
        <v>San Martin</v>
      </c>
      <c r="C956" s="80" t="str">
        <v>Junio</v>
      </c>
      <c r="D956" s="81">
        <v>46162</v>
      </c>
      <c r="E956" s="79">
        <v>3422</v>
      </c>
      <c r="F956" s="80">
        <v>46147</v>
      </c>
      <c r="G956" s="79" cm="1">
        <f t="array" ref="G956:X956">_xlfn._xlws.FILTER(Formulas!$C$2:$T$201, ISNUMBER(MATCH(Formulas!$B$2:$B$201, B956, 0)),0) * E956</f>
        <v>512.91289592760177</v>
      </c>
      <c r="H956" s="79">
        <v>1604.5463800904977</v>
      </c>
      <c r="I956" s="79">
        <v>0</v>
      </c>
      <c r="J956" s="79">
        <v>0</v>
      </c>
      <c r="K956" s="79">
        <v>0</v>
      </c>
      <c r="L956" s="79">
        <v>102.58257918552036</v>
      </c>
      <c r="M956" s="79">
        <v>0</v>
      </c>
      <c r="N956" s="79">
        <v>0</v>
      </c>
      <c r="O956" s="79">
        <v>1095.5045248868778</v>
      </c>
      <c r="P956" s="79">
        <v>0</v>
      </c>
      <c r="Q956" s="79">
        <v>102.58257918552036</v>
      </c>
      <c r="R956" s="79">
        <v>0</v>
      </c>
      <c r="S956" s="79">
        <v>0</v>
      </c>
      <c r="T956" s="79">
        <v>0</v>
      </c>
      <c r="U956" s="79">
        <v>0</v>
      </c>
      <c r="V956" s="79">
        <v>3.8710407239819009</v>
      </c>
      <c r="W956" s="79">
        <v>0</v>
      </c>
      <c r="X956" s="90">
        <v>0</v>
      </c>
    </row>
    <row r="957" spans="1:24" hidden="1" x14ac:dyDescent="0.25">
      <c r="A957" s="80" t="str">
        <v>PENDIENTE</v>
      </c>
      <c r="B957" s="80" t="str">
        <v>San Martin</v>
      </c>
      <c r="C957" s="80" t="str">
        <v>Julio</v>
      </c>
      <c r="D957" s="81">
        <v>46193</v>
      </c>
      <c r="E957" s="79">
        <v>3536</v>
      </c>
      <c r="F957" s="81">
        <v>46170</v>
      </c>
      <c r="G957" s="79" cm="1">
        <f t="array" ref="G957:X957">_xlfn._xlws.FILTER(Formulas!$C$2:$T$201, ISNUMBER(MATCH(Formulas!$B$2:$B$201, B957, 0)),0) * E957</f>
        <v>530</v>
      </c>
      <c r="H957" s="79">
        <v>1658</v>
      </c>
      <c r="I957" s="79">
        <v>0</v>
      </c>
      <c r="J957" s="79">
        <v>0</v>
      </c>
      <c r="K957" s="79">
        <v>0</v>
      </c>
      <c r="L957" s="79">
        <v>106</v>
      </c>
      <c r="M957" s="79">
        <v>0</v>
      </c>
      <c r="N957" s="79">
        <v>0</v>
      </c>
      <c r="O957" s="79">
        <v>1132</v>
      </c>
      <c r="P957" s="79">
        <v>0</v>
      </c>
      <c r="Q957" s="79">
        <v>106</v>
      </c>
      <c r="R957" s="79">
        <v>0</v>
      </c>
      <c r="S957" s="79">
        <v>0</v>
      </c>
      <c r="T957" s="79">
        <v>0</v>
      </c>
      <c r="U957" s="79">
        <v>0</v>
      </c>
      <c r="V957" s="79">
        <v>4</v>
      </c>
      <c r="W957" s="79">
        <v>0</v>
      </c>
      <c r="X957" s="90">
        <v>0</v>
      </c>
    </row>
    <row r="958" spans="1:24" hidden="1" x14ac:dyDescent="0.25">
      <c r="A958" s="80" t="str">
        <v>PENDIENTE</v>
      </c>
      <c r="B958" s="80" t="str">
        <v>San Martin</v>
      </c>
      <c r="C958" s="80" t="str">
        <v>Agosto</v>
      </c>
      <c r="D958" s="81">
        <v>46223</v>
      </c>
      <c r="E958" s="79">
        <v>3537</v>
      </c>
      <c r="F958" s="81">
        <v>46213</v>
      </c>
      <c r="G958" s="79" cm="1">
        <f t="array" ref="G958:X958">_xlfn._xlws.FILTER(Formulas!$C$2:$T$201, ISNUMBER(MATCH(Formulas!$B$2:$B$201, B958, 0)),0) * E958</f>
        <v>530.14988687782807</v>
      </c>
      <c r="H958" s="79">
        <v>1658.4688914027149</v>
      </c>
      <c r="I958" s="79">
        <v>0</v>
      </c>
      <c r="J958" s="79">
        <v>0</v>
      </c>
      <c r="K958" s="79">
        <v>0</v>
      </c>
      <c r="L958" s="79">
        <v>106.02997737556561</v>
      </c>
      <c r="M958" s="79">
        <v>0</v>
      </c>
      <c r="N958" s="79">
        <v>0</v>
      </c>
      <c r="O958" s="79">
        <v>1132.3201357466062</v>
      </c>
      <c r="P958" s="79">
        <v>0</v>
      </c>
      <c r="Q958" s="79">
        <v>106.02997737556561</v>
      </c>
      <c r="R958" s="79">
        <v>0</v>
      </c>
      <c r="S958" s="79">
        <v>0</v>
      </c>
      <c r="T958" s="79">
        <v>0</v>
      </c>
      <c r="U958" s="79">
        <v>0</v>
      </c>
      <c r="V958" s="79">
        <v>4.001131221719457</v>
      </c>
      <c r="W958" s="79">
        <v>0</v>
      </c>
      <c r="X958" s="90">
        <v>0</v>
      </c>
    </row>
    <row r="959" spans="1:24" hidden="1" x14ac:dyDescent="0.25">
      <c r="A959" s="80" t="str">
        <v>PENDIENTE</v>
      </c>
      <c r="B959" s="80" t="str">
        <v>San Martin</v>
      </c>
      <c r="C959" s="80" t="str">
        <v>Setiembre</v>
      </c>
      <c r="D959" s="81">
        <v>46254</v>
      </c>
      <c r="E959" s="79">
        <v>3423</v>
      </c>
      <c r="F959" s="81">
        <v>46234</v>
      </c>
      <c r="G959" s="79" cm="1">
        <f t="array" ref="G959:X959">_xlfn._xlws.FILTER(Formulas!$C$2:$T$201, ISNUMBER(MATCH(Formulas!$B$2:$B$201, B959, 0)),0) * E959</f>
        <v>513.06278280542983</v>
      </c>
      <c r="H959" s="79">
        <v>1605.0152714932126</v>
      </c>
      <c r="I959" s="79">
        <v>0</v>
      </c>
      <c r="J959" s="79">
        <v>0</v>
      </c>
      <c r="K959" s="79">
        <v>0</v>
      </c>
      <c r="L959" s="79">
        <v>102.61255656108598</v>
      </c>
      <c r="M959" s="79">
        <v>0</v>
      </c>
      <c r="N959" s="79">
        <v>0</v>
      </c>
      <c r="O959" s="79">
        <v>1095.824660633484</v>
      </c>
      <c r="P959" s="79">
        <v>0</v>
      </c>
      <c r="Q959" s="79">
        <v>102.61255656108598</v>
      </c>
      <c r="R959" s="79">
        <v>0</v>
      </c>
      <c r="S959" s="79">
        <v>0</v>
      </c>
      <c r="T959" s="79">
        <v>0</v>
      </c>
      <c r="U959" s="79">
        <v>0</v>
      </c>
      <c r="V959" s="79">
        <v>3.8721719457013579</v>
      </c>
      <c r="W959" s="79">
        <v>0</v>
      </c>
      <c r="X959" s="90">
        <v>0</v>
      </c>
    </row>
    <row r="960" spans="1:24" hidden="1" x14ac:dyDescent="0.25">
      <c r="A960" s="80" t="str">
        <v>PENDIENTE</v>
      </c>
      <c r="B960" s="80" t="str">
        <v>San Martin</v>
      </c>
      <c r="C960" s="80" t="str">
        <v>Octubre</v>
      </c>
      <c r="D960" s="81">
        <v>46285</v>
      </c>
      <c r="E960" s="79">
        <v>3537</v>
      </c>
      <c r="F960" s="81">
        <v>46269</v>
      </c>
      <c r="G960" s="79" cm="1">
        <f t="array" ref="G960:X960">_xlfn._xlws.FILTER(Formulas!$C$2:$T$201, ISNUMBER(MATCH(Formulas!$B$2:$B$201, B960, 0)),0) * E960</f>
        <v>530.14988687782807</v>
      </c>
      <c r="H960" s="79">
        <v>1658.4688914027149</v>
      </c>
      <c r="I960" s="79">
        <v>0</v>
      </c>
      <c r="J960" s="79">
        <v>0</v>
      </c>
      <c r="K960" s="79">
        <v>0</v>
      </c>
      <c r="L960" s="79">
        <v>106.02997737556561</v>
      </c>
      <c r="M960" s="79">
        <v>0</v>
      </c>
      <c r="N960" s="79">
        <v>0</v>
      </c>
      <c r="O960" s="79">
        <v>1132.3201357466062</v>
      </c>
      <c r="P960" s="79">
        <v>0</v>
      </c>
      <c r="Q960" s="79">
        <v>106.02997737556561</v>
      </c>
      <c r="R960" s="79">
        <v>0</v>
      </c>
      <c r="S960" s="79">
        <v>0</v>
      </c>
      <c r="T960" s="79">
        <v>0</v>
      </c>
      <c r="U960" s="79">
        <v>0</v>
      </c>
      <c r="V960" s="79">
        <v>4.001131221719457</v>
      </c>
      <c r="W960" s="79">
        <v>0</v>
      </c>
      <c r="X960" s="90">
        <v>0</v>
      </c>
    </row>
    <row r="961" spans="1:24" hidden="1" x14ac:dyDescent="0.25">
      <c r="A961" s="80" t="str">
        <v>PENDIENTE</v>
      </c>
      <c r="B961" s="80" t="str">
        <v>San Martin</v>
      </c>
      <c r="C961" s="80" t="str">
        <v>Noviembre</v>
      </c>
      <c r="D961" s="81">
        <v>46315</v>
      </c>
      <c r="E961" s="79">
        <v>3423</v>
      </c>
      <c r="F961" s="81">
        <v>0</v>
      </c>
      <c r="G961" s="79" cm="1">
        <f t="array" ref="G961:X961">_xlfn._xlws.FILTER(Formulas!$C$2:$T$201, ISNUMBER(MATCH(Formulas!$B$2:$B$201, B961, 0)),0) * E961</f>
        <v>513.06278280542983</v>
      </c>
      <c r="H961" s="79">
        <v>1605.0152714932126</v>
      </c>
      <c r="I961" s="79">
        <v>0</v>
      </c>
      <c r="J961" s="79">
        <v>0</v>
      </c>
      <c r="K961" s="79">
        <v>0</v>
      </c>
      <c r="L961" s="79">
        <v>102.61255656108598</v>
      </c>
      <c r="M961" s="79">
        <v>0</v>
      </c>
      <c r="N961" s="79">
        <v>0</v>
      </c>
      <c r="O961" s="79">
        <v>1095.824660633484</v>
      </c>
      <c r="P961" s="79">
        <v>0</v>
      </c>
      <c r="Q961" s="79">
        <v>102.61255656108598</v>
      </c>
      <c r="R961" s="79">
        <v>0</v>
      </c>
      <c r="S961" s="79">
        <v>0</v>
      </c>
      <c r="T961" s="79">
        <v>0</v>
      </c>
      <c r="U961" s="79">
        <v>0</v>
      </c>
      <c r="V961" s="79">
        <v>3.8721719457013579</v>
      </c>
      <c r="W961" s="79">
        <v>0</v>
      </c>
      <c r="X961" s="90">
        <v>0</v>
      </c>
    </row>
    <row r="962" spans="1:24" hidden="1" x14ac:dyDescent="0.25">
      <c r="A962" s="80" t="str">
        <v>PENDIENTE</v>
      </c>
      <c r="B962" s="80" t="str">
        <v>San Martin</v>
      </c>
      <c r="C962" s="80" t="str">
        <v>Diciembre</v>
      </c>
      <c r="D962" s="81">
        <v>46346</v>
      </c>
      <c r="E962" s="79">
        <v>3537</v>
      </c>
      <c r="F962" s="81">
        <v>0</v>
      </c>
      <c r="G962" s="79" cm="1">
        <f t="array" ref="G962:X962">_xlfn._xlws.FILTER(Formulas!$C$2:$T$201, ISNUMBER(MATCH(Formulas!$B$2:$B$201, B962, 0)),0) * E962</f>
        <v>530.14988687782807</v>
      </c>
      <c r="H962" s="79">
        <v>1658.4688914027149</v>
      </c>
      <c r="I962" s="79">
        <v>0</v>
      </c>
      <c r="J962" s="79">
        <v>0</v>
      </c>
      <c r="K962" s="79">
        <v>0</v>
      </c>
      <c r="L962" s="79">
        <v>106.02997737556561</v>
      </c>
      <c r="M962" s="79">
        <v>0</v>
      </c>
      <c r="N962" s="79">
        <v>0</v>
      </c>
      <c r="O962" s="79">
        <v>1132.3201357466062</v>
      </c>
      <c r="P962" s="79">
        <v>0</v>
      </c>
      <c r="Q962" s="79">
        <v>106.02997737556561</v>
      </c>
      <c r="R962" s="79">
        <v>0</v>
      </c>
      <c r="S962" s="79">
        <v>0</v>
      </c>
      <c r="T962" s="79">
        <v>0</v>
      </c>
      <c r="U962" s="79">
        <v>0</v>
      </c>
      <c r="V962" s="79">
        <v>4.001131221719457</v>
      </c>
      <c r="W962" s="79">
        <v>0</v>
      </c>
      <c r="X962" s="90">
        <v>0</v>
      </c>
    </row>
    <row r="963" spans="1:24" hidden="1" x14ac:dyDescent="0.25">
      <c r="A963" s="80" t="str">
        <v>PENDIENTE</v>
      </c>
      <c r="B963" s="80" t="str">
        <v>San Martin-25</v>
      </c>
      <c r="C963" s="80" t="str">
        <v>Enero</v>
      </c>
      <c r="D963" s="81">
        <v>46006</v>
      </c>
      <c r="E963" s="79">
        <v>3557</v>
      </c>
      <c r="F963" s="81">
        <v>46004</v>
      </c>
      <c r="G963" s="79" cm="1">
        <f t="array" ref="G963:X963">_xlfn._xlws.FILTER(Formulas!$C$2:$T$201, ISNUMBER(MATCH(Formulas!$B$2:$B$201, B963, 0)),0) * E963</f>
        <v>465.96700000000004</v>
      </c>
      <c r="H963" s="79">
        <v>1666.4545000000001</v>
      </c>
      <c r="I963" s="79">
        <v>142.28</v>
      </c>
      <c r="J963" s="79">
        <v>106.71</v>
      </c>
      <c r="K963" s="79">
        <v>0</v>
      </c>
      <c r="L963" s="79">
        <v>0</v>
      </c>
      <c r="M963" s="79">
        <v>106.71</v>
      </c>
      <c r="N963" s="79">
        <v>0</v>
      </c>
      <c r="O963" s="79">
        <v>1067.0999999999999</v>
      </c>
      <c r="P963" s="79">
        <v>0</v>
      </c>
      <c r="Q963" s="79">
        <v>0</v>
      </c>
      <c r="R963" s="79">
        <v>0</v>
      </c>
      <c r="S963" s="79">
        <v>0</v>
      </c>
      <c r="T963" s="79">
        <v>0</v>
      </c>
      <c r="U963" s="79">
        <v>0</v>
      </c>
      <c r="V963" s="79">
        <v>0</v>
      </c>
      <c r="W963" s="79">
        <v>0</v>
      </c>
      <c r="X963" s="90">
        <v>0</v>
      </c>
    </row>
    <row r="964" spans="1:24" hidden="1" x14ac:dyDescent="0.25">
      <c r="A964" s="80" t="str">
        <v>PENDIENTE</v>
      </c>
      <c r="B964" s="80" t="str">
        <v>San Martin-25</v>
      </c>
      <c r="C964" s="80" t="str">
        <v>Febrero</v>
      </c>
      <c r="D964" s="81">
        <v>46037</v>
      </c>
      <c r="E964" s="79">
        <v>3213</v>
      </c>
      <c r="F964" s="81">
        <v>46027</v>
      </c>
      <c r="G964" s="79" cm="1">
        <f t="array" ref="G964:X964">_xlfn._xlws.FILTER(Formulas!$C$2:$T$201, ISNUMBER(MATCH(Formulas!$B$2:$B$201, B964, 0)),0) * E964</f>
        <v>420.90300000000002</v>
      </c>
      <c r="H964" s="79">
        <v>1505.2905000000001</v>
      </c>
      <c r="I964" s="79">
        <v>128.52000000000001</v>
      </c>
      <c r="J964" s="79">
        <v>96.39</v>
      </c>
      <c r="K964" s="79">
        <v>0</v>
      </c>
      <c r="L964" s="79">
        <v>0</v>
      </c>
      <c r="M964" s="79">
        <v>96.39</v>
      </c>
      <c r="N964" s="79">
        <v>0</v>
      </c>
      <c r="O964" s="79">
        <v>963.9</v>
      </c>
      <c r="P964" s="79">
        <v>0</v>
      </c>
      <c r="Q964" s="79">
        <v>0</v>
      </c>
      <c r="R964" s="79">
        <v>0</v>
      </c>
      <c r="S964" s="79">
        <v>0</v>
      </c>
      <c r="T964" s="79">
        <v>0</v>
      </c>
      <c r="U964" s="79">
        <v>0</v>
      </c>
      <c r="V964" s="79">
        <v>0</v>
      </c>
      <c r="W964" s="79">
        <v>0</v>
      </c>
      <c r="X964" s="90">
        <v>0</v>
      </c>
    </row>
    <row r="965" spans="1:24" hidden="1" x14ac:dyDescent="0.25">
      <c r="A965" s="80" t="str">
        <v>PENDIENTE</v>
      </c>
      <c r="B965" s="80" t="str">
        <v>San Miguel</v>
      </c>
      <c r="C965" s="80" t="str">
        <v>Enero</v>
      </c>
      <c r="D965" s="81">
        <v>46045</v>
      </c>
      <c r="E965" s="79">
        <v>613.79999999999995</v>
      </c>
      <c r="F965" s="81">
        <v>46043</v>
      </c>
      <c r="G965" s="79" cm="1">
        <f t="array" ref="G965:X965">_xlfn._xlws.FILTER(Formulas!$C$2:$T$201, ISNUMBER(MATCH(Formulas!$B$2:$B$201, B965, 0)),0) * E965</f>
        <v>91.99484081632653</v>
      </c>
      <c r="H965" s="79">
        <v>257.84610612244893</v>
      </c>
      <c r="I965" s="79">
        <v>24.552</v>
      </c>
      <c r="J965" s="79">
        <v>0</v>
      </c>
      <c r="K965" s="79">
        <v>0</v>
      </c>
      <c r="L965" s="79">
        <v>0</v>
      </c>
      <c r="M965" s="79">
        <v>24.552</v>
      </c>
      <c r="N965" s="79">
        <v>0</v>
      </c>
      <c r="O965" s="79">
        <v>214.85505306122448</v>
      </c>
      <c r="P965" s="79">
        <v>0</v>
      </c>
      <c r="Q965" s="79">
        <v>0</v>
      </c>
      <c r="R965" s="79">
        <v>0</v>
      </c>
      <c r="S965" s="79">
        <v>0</v>
      </c>
      <c r="T965" s="79">
        <v>0</v>
      </c>
      <c r="U965" s="79">
        <v>0</v>
      </c>
      <c r="V965" s="79">
        <v>0</v>
      </c>
      <c r="W965" s="79">
        <v>0</v>
      </c>
      <c r="X965" s="90">
        <v>0</v>
      </c>
    </row>
    <row r="966" spans="1:24" hidden="1" x14ac:dyDescent="0.25">
      <c r="A966" s="80" t="str">
        <v>PENDIENTE</v>
      </c>
      <c r="B966" s="80" t="str">
        <v>San Miguel</v>
      </c>
      <c r="C966" s="80" t="str">
        <v>Febrero</v>
      </c>
      <c r="D966" s="81">
        <v>46045</v>
      </c>
      <c r="E966" s="79">
        <v>554.4</v>
      </c>
      <c r="F966" s="81">
        <v>46043</v>
      </c>
      <c r="G966" s="79" cm="1">
        <f t="array" ref="G966:X966">_xlfn._xlws.FILTER(Formulas!$C$2:$T$201, ISNUMBER(MATCH(Formulas!$B$2:$B$201, B966, 0)),0) * E966</f>
        <v>83.092114285714288</v>
      </c>
      <c r="H966" s="79">
        <v>232.89325714285712</v>
      </c>
      <c r="I966" s="79">
        <v>22.175999999999998</v>
      </c>
      <c r="J966" s="79">
        <v>0</v>
      </c>
      <c r="K966" s="79">
        <v>0</v>
      </c>
      <c r="L966" s="79">
        <v>0</v>
      </c>
      <c r="M966" s="79">
        <v>22.175999999999998</v>
      </c>
      <c r="N966" s="79">
        <v>0</v>
      </c>
      <c r="O966" s="79">
        <v>194.06262857142858</v>
      </c>
      <c r="P966" s="79">
        <v>0</v>
      </c>
      <c r="Q966" s="79">
        <v>0</v>
      </c>
      <c r="R966" s="79">
        <v>0</v>
      </c>
      <c r="S966" s="79">
        <v>0</v>
      </c>
      <c r="T966" s="79">
        <v>0</v>
      </c>
      <c r="U966" s="79">
        <v>0</v>
      </c>
      <c r="V966" s="79">
        <v>0</v>
      </c>
      <c r="W966" s="79">
        <v>0</v>
      </c>
      <c r="X966" s="90">
        <v>0</v>
      </c>
    </row>
    <row r="967" spans="1:24" hidden="1" x14ac:dyDescent="0.25">
      <c r="A967" s="80" t="str">
        <v>PENDIENTE</v>
      </c>
      <c r="B967" s="80" t="str">
        <v>San Miguel</v>
      </c>
      <c r="C967" s="80" t="str">
        <v>Enero</v>
      </c>
      <c r="D967" s="81">
        <v>46045</v>
      </c>
      <c r="E967" s="79">
        <v>2604</v>
      </c>
      <c r="F967" s="81">
        <v>46043</v>
      </c>
      <c r="G967" s="79" cm="1">
        <f t="array" ref="G967:X967">_xlfn._xlws.FILTER(Formulas!$C$2:$T$201, ISNUMBER(MATCH(Formulas!$B$2:$B$201, B967, 0)),0) * E967</f>
        <v>390.28114285714287</v>
      </c>
      <c r="H967" s="79">
        <v>1093.8925714285713</v>
      </c>
      <c r="I967" s="79">
        <v>104.16</v>
      </c>
      <c r="J967" s="79">
        <v>0</v>
      </c>
      <c r="K967" s="79">
        <v>0</v>
      </c>
      <c r="L967" s="79">
        <v>0</v>
      </c>
      <c r="M967" s="79">
        <v>104.16</v>
      </c>
      <c r="N967" s="79">
        <v>0</v>
      </c>
      <c r="O967" s="79">
        <v>911.5062857142857</v>
      </c>
      <c r="P967" s="79">
        <v>0</v>
      </c>
      <c r="Q967" s="79">
        <v>0</v>
      </c>
      <c r="R967" s="79">
        <v>0</v>
      </c>
      <c r="S967" s="79">
        <v>0</v>
      </c>
      <c r="T967" s="79">
        <v>0</v>
      </c>
      <c r="U967" s="79">
        <v>0</v>
      </c>
      <c r="V967" s="79">
        <v>0</v>
      </c>
      <c r="W967" s="79">
        <v>0</v>
      </c>
      <c r="X967" s="90">
        <v>0</v>
      </c>
    </row>
    <row r="968" spans="1:24" hidden="1" x14ac:dyDescent="0.25">
      <c r="A968" s="80" t="str">
        <v>PENDIENTE</v>
      </c>
      <c r="B968" s="80" t="str">
        <v>San Miguel</v>
      </c>
      <c r="C968" s="80" t="str">
        <v>Febrero</v>
      </c>
      <c r="D968" s="81">
        <v>46045</v>
      </c>
      <c r="E968" s="79">
        <v>2352</v>
      </c>
      <c r="F968" s="81">
        <v>46043</v>
      </c>
      <c r="G968" s="79" cm="1">
        <f t="array" ref="G968:X968">_xlfn._xlws.FILTER(Formulas!$C$2:$T$201, ISNUMBER(MATCH(Formulas!$B$2:$B$201, B968, 0)),0) * E968</f>
        <v>352.512</v>
      </c>
      <c r="H968" s="79">
        <v>988.03199999999993</v>
      </c>
      <c r="I968" s="79">
        <v>94.08</v>
      </c>
      <c r="J968" s="79">
        <v>0</v>
      </c>
      <c r="K968" s="79">
        <v>0</v>
      </c>
      <c r="L968" s="79">
        <v>0</v>
      </c>
      <c r="M968" s="79">
        <v>94.08</v>
      </c>
      <c r="N968" s="79">
        <v>0</v>
      </c>
      <c r="O968" s="79">
        <v>823.29600000000005</v>
      </c>
      <c r="P968" s="79">
        <v>0</v>
      </c>
      <c r="Q968" s="79">
        <v>0</v>
      </c>
      <c r="R968" s="79">
        <v>0</v>
      </c>
      <c r="S968" s="79">
        <v>0</v>
      </c>
      <c r="T968" s="79">
        <v>0</v>
      </c>
      <c r="U968" s="79">
        <v>0</v>
      </c>
      <c r="V968" s="79">
        <v>0</v>
      </c>
      <c r="W968" s="79">
        <v>0</v>
      </c>
      <c r="X968" s="90">
        <v>0</v>
      </c>
    </row>
    <row r="969" spans="1:24" hidden="1" x14ac:dyDescent="0.25">
      <c r="A969" s="80" t="str">
        <v>PENDIENTE</v>
      </c>
      <c r="B969" s="80" t="str">
        <v>San Miguel</v>
      </c>
      <c r="C969" s="80" t="str">
        <v>Marzo</v>
      </c>
      <c r="D969" s="81">
        <v>46073</v>
      </c>
      <c r="E969" s="79">
        <v>613.79999999999995</v>
      </c>
      <c r="F969" s="81">
        <v>46069</v>
      </c>
      <c r="G969" s="79" cm="1">
        <f t="array" ref="G969:X969">_xlfn._xlws.FILTER(Formulas!$C$2:$T$201, ISNUMBER(MATCH(Formulas!$B$2:$B$201, B969, 0)),0) * E969</f>
        <v>91.99484081632653</v>
      </c>
      <c r="H969" s="79">
        <v>257.84610612244893</v>
      </c>
      <c r="I969" s="79">
        <v>24.552</v>
      </c>
      <c r="J969" s="79">
        <v>0</v>
      </c>
      <c r="K969" s="79">
        <v>0</v>
      </c>
      <c r="L969" s="79">
        <v>0</v>
      </c>
      <c r="M969" s="79">
        <v>24.552</v>
      </c>
      <c r="N969" s="79">
        <v>0</v>
      </c>
      <c r="O969" s="79">
        <v>214.85505306122448</v>
      </c>
      <c r="P969" s="79">
        <v>0</v>
      </c>
      <c r="Q969" s="79">
        <v>0</v>
      </c>
      <c r="R969" s="79">
        <v>0</v>
      </c>
      <c r="S969" s="79">
        <v>0</v>
      </c>
      <c r="T969" s="79">
        <v>0</v>
      </c>
      <c r="U969" s="79">
        <v>0</v>
      </c>
      <c r="V969" s="79">
        <v>0</v>
      </c>
      <c r="W969" s="79">
        <v>0</v>
      </c>
      <c r="X969" s="90">
        <v>0</v>
      </c>
    </row>
    <row r="970" spans="1:24" hidden="1" x14ac:dyDescent="0.25">
      <c r="A970" s="80" t="str">
        <v>PENDIENTE</v>
      </c>
      <c r="B970" s="80" t="str">
        <v>San Miguel</v>
      </c>
      <c r="C970" s="80" t="str">
        <v>Marzo</v>
      </c>
      <c r="D970" s="81">
        <v>46073</v>
      </c>
      <c r="E970" s="79">
        <v>2604</v>
      </c>
      <c r="F970" s="81">
        <v>46069</v>
      </c>
      <c r="G970" s="79" cm="1">
        <f t="array" ref="G970:X970">_xlfn._xlws.FILTER(Formulas!$C$2:$T$201, ISNUMBER(MATCH(Formulas!$B$2:$B$201, B970, 0)),0) * E970</f>
        <v>390.28114285714287</v>
      </c>
      <c r="H970" s="79">
        <v>1093.8925714285713</v>
      </c>
      <c r="I970" s="79">
        <v>104.16</v>
      </c>
      <c r="J970" s="79">
        <v>0</v>
      </c>
      <c r="K970" s="79">
        <v>0</v>
      </c>
      <c r="L970" s="79">
        <v>0</v>
      </c>
      <c r="M970" s="79">
        <v>104.16</v>
      </c>
      <c r="N970" s="79">
        <v>0</v>
      </c>
      <c r="O970" s="79">
        <v>911.5062857142857</v>
      </c>
      <c r="P970" s="79">
        <v>0</v>
      </c>
      <c r="Q970" s="79">
        <v>0</v>
      </c>
      <c r="R970" s="79">
        <v>0</v>
      </c>
      <c r="S970" s="79">
        <v>0</v>
      </c>
      <c r="T970" s="79">
        <v>0</v>
      </c>
      <c r="U970" s="79">
        <v>0</v>
      </c>
      <c r="V970" s="79">
        <v>0</v>
      </c>
      <c r="W970" s="79">
        <v>0</v>
      </c>
      <c r="X970" s="90">
        <v>0</v>
      </c>
    </row>
    <row r="971" spans="1:24" hidden="1" x14ac:dyDescent="0.25">
      <c r="A971" s="80" t="str">
        <v>PENDIENTE</v>
      </c>
      <c r="B971" s="80" t="str">
        <v>San Miguel</v>
      </c>
      <c r="C971" s="80" t="str">
        <v>Abril</v>
      </c>
      <c r="D971" s="81">
        <v>46073</v>
      </c>
      <c r="E971" s="79">
        <v>594</v>
      </c>
      <c r="F971" s="81">
        <v>46069</v>
      </c>
      <c r="G971" s="79" cm="1">
        <f t="array" ref="G971:X971">_xlfn._xlws.FILTER(Formulas!$C$2:$T$201, ISNUMBER(MATCH(Formulas!$B$2:$B$201, B971, 0)),0) * E971</f>
        <v>89.027265306122459</v>
      </c>
      <c r="H971" s="79">
        <v>249.52848979591835</v>
      </c>
      <c r="I971" s="79">
        <v>23.76</v>
      </c>
      <c r="J971" s="79">
        <v>0</v>
      </c>
      <c r="K971" s="79">
        <v>0</v>
      </c>
      <c r="L971" s="79">
        <v>0</v>
      </c>
      <c r="M971" s="79">
        <v>23.76</v>
      </c>
      <c r="N971" s="79">
        <v>0</v>
      </c>
      <c r="O971" s="79">
        <v>207.92424489795917</v>
      </c>
      <c r="P971" s="79">
        <v>0</v>
      </c>
      <c r="Q971" s="79">
        <v>0</v>
      </c>
      <c r="R971" s="79">
        <v>0</v>
      </c>
      <c r="S971" s="79">
        <v>0</v>
      </c>
      <c r="T971" s="79">
        <v>0</v>
      </c>
      <c r="U971" s="79">
        <v>0</v>
      </c>
      <c r="V971" s="79">
        <v>0</v>
      </c>
      <c r="W971" s="79">
        <v>0</v>
      </c>
      <c r="X971" s="90">
        <v>0</v>
      </c>
    </row>
    <row r="972" spans="1:24" hidden="1" x14ac:dyDescent="0.25">
      <c r="A972" s="80" t="str">
        <v>PENDIENTE</v>
      </c>
      <c r="B972" s="80" t="str">
        <v>San Miguel</v>
      </c>
      <c r="C972" s="80" t="str">
        <v>Abril</v>
      </c>
      <c r="D972" s="81">
        <v>46073</v>
      </c>
      <c r="E972" s="79">
        <v>2520</v>
      </c>
      <c r="F972" s="81">
        <v>46069</v>
      </c>
      <c r="G972" s="79" cm="1">
        <f t="array" ref="G972:X972">_xlfn._xlws.FILTER(Formulas!$C$2:$T$201, ISNUMBER(MATCH(Formulas!$B$2:$B$201, B972, 0)),0) * E972</f>
        <v>377.69142857142862</v>
      </c>
      <c r="H972" s="79">
        <v>1058.6057142857142</v>
      </c>
      <c r="I972" s="79">
        <v>100.8</v>
      </c>
      <c r="J972" s="79">
        <v>0</v>
      </c>
      <c r="K972" s="79">
        <v>0</v>
      </c>
      <c r="L972" s="79">
        <v>0</v>
      </c>
      <c r="M972" s="79">
        <v>100.8</v>
      </c>
      <c r="N972" s="79">
        <v>0</v>
      </c>
      <c r="O972" s="79">
        <v>882.10285714285715</v>
      </c>
      <c r="P972" s="79">
        <v>0</v>
      </c>
      <c r="Q972" s="79">
        <v>0</v>
      </c>
      <c r="R972" s="79">
        <v>0</v>
      </c>
      <c r="S972" s="79">
        <v>0</v>
      </c>
      <c r="T972" s="79">
        <v>0</v>
      </c>
      <c r="U972" s="79">
        <v>0</v>
      </c>
      <c r="V972" s="79">
        <v>0</v>
      </c>
      <c r="W972" s="79">
        <v>0</v>
      </c>
      <c r="X972" s="90">
        <v>0</v>
      </c>
    </row>
    <row r="973" spans="1:24" hidden="1" x14ac:dyDescent="0.25">
      <c r="A973" s="80" t="str">
        <v>PENDIENTE</v>
      </c>
      <c r="B973" s="80" t="str">
        <v>San Miguel</v>
      </c>
      <c r="C973" s="80" t="str">
        <v>Mayo</v>
      </c>
      <c r="D973" s="81">
        <v>46136</v>
      </c>
      <c r="E973" s="79">
        <v>613.79999999999995</v>
      </c>
      <c r="F973" s="81">
        <v>46128</v>
      </c>
      <c r="G973" s="79" cm="1">
        <f t="array" ref="G973:X973">_xlfn._xlws.FILTER(Formulas!$C$2:$T$201, ISNUMBER(MATCH(Formulas!$B$2:$B$201, B973, 0)),0) * E973</f>
        <v>91.99484081632653</v>
      </c>
      <c r="H973" s="79">
        <v>257.84610612244893</v>
      </c>
      <c r="I973" s="79">
        <v>24.552</v>
      </c>
      <c r="J973" s="79">
        <v>0</v>
      </c>
      <c r="K973" s="79">
        <v>0</v>
      </c>
      <c r="L973" s="79">
        <v>0</v>
      </c>
      <c r="M973" s="79">
        <v>24.552</v>
      </c>
      <c r="N973" s="79">
        <v>0</v>
      </c>
      <c r="O973" s="79">
        <v>214.85505306122448</v>
      </c>
      <c r="P973" s="79">
        <v>0</v>
      </c>
      <c r="Q973" s="79">
        <v>0</v>
      </c>
      <c r="R973" s="79">
        <v>0</v>
      </c>
      <c r="S973" s="79">
        <v>0</v>
      </c>
      <c r="T973" s="79">
        <v>0</v>
      </c>
      <c r="U973" s="79">
        <v>0</v>
      </c>
      <c r="V973" s="79">
        <v>0</v>
      </c>
      <c r="W973" s="79">
        <v>0</v>
      </c>
      <c r="X973" s="90">
        <v>0</v>
      </c>
    </row>
    <row r="974" spans="1:24" hidden="1" x14ac:dyDescent="0.25">
      <c r="A974" s="80" t="str">
        <v>PENDIENTE</v>
      </c>
      <c r="B974" s="80" t="str">
        <v>San Miguel</v>
      </c>
      <c r="C974" s="80" t="str">
        <v>Mayo</v>
      </c>
      <c r="D974" s="81">
        <v>46136</v>
      </c>
      <c r="E974" s="79">
        <v>2604</v>
      </c>
      <c r="F974" s="81">
        <v>46128</v>
      </c>
      <c r="G974" s="79" cm="1">
        <f t="array" ref="G974:X974">_xlfn._xlws.FILTER(Formulas!$C$2:$T$201, ISNUMBER(MATCH(Formulas!$B$2:$B$201, B974, 0)),0) * E974</f>
        <v>390.28114285714287</v>
      </c>
      <c r="H974" s="79">
        <v>1093.8925714285713</v>
      </c>
      <c r="I974" s="79">
        <v>104.16</v>
      </c>
      <c r="J974" s="79">
        <v>0</v>
      </c>
      <c r="K974" s="79">
        <v>0</v>
      </c>
      <c r="L974" s="79">
        <v>0</v>
      </c>
      <c r="M974" s="79">
        <v>104.16</v>
      </c>
      <c r="N974" s="79">
        <v>0</v>
      </c>
      <c r="O974" s="79">
        <v>911.5062857142857</v>
      </c>
      <c r="P974" s="79">
        <v>0</v>
      </c>
      <c r="Q974" s="79">
        <v>0</v>
      </c>
      <c r="R974" s="79">
        <v>0</v>
      </c>
      <c r="S974" s="79">
        <v>0</v>
      </c>
      <c r="T974" s="79">
        <v>0</v>
      </c>
      <c r="U974" s="79">
        <v>0</v>
      </c>
      <c r="V974" s="79">
        <v>0</v>
      </c>
      <c r="W974" s="79">
        <v>0</v>
      </c>
      <c r="X974" s="90">
        <v>0</v>
      </c>
    </row>
    <row r="975" spans="1:24" hidden="1" x14ac:dyDescent="0.25">
      <c r="A975" s="80" t="str">
        <v>PENDIENTE</v>
      </c>
      <c r="B975" s="80" t="str">
        <v>San Miguel</v>
      </c>
      <c r="C975" s="80" t="str">
        <v>Junio</v>
      </c>
      <c r="D975" s="81">
        <v>46165</v>
      </c>
      <c r="E975" s="79">
        <v>594</v>
      </c>
      <c r="F975" s="81">
        <v>46128</v>
      </c>
      <c r="G975" s="79" cm="1">
        <f t="array" ref="G975:X975">_xlfn._xlws.FILTER(Formulas!$C$2:$T$201, ISNUMBER(MATCH(Formulas!$B$2:$B$201, B975, 0)),0) * E975</f>
        <v>89.027265306122459</v>
      </c>
      <c r="H975" s="79">
        <v>249.52848979591835</v>
      </c>
      <c r="I975" s="79">
        <v>23.76</v>
      </c>
      <c r="J975" s="79">
        <v>0</v>
      </c>
      <c r="K975" s="79">
        <v>0</v>
      </c>
      <c r="L975" s="79">
        <v>0</v>
      </c>
      <c r="M975" s="79">
        <v>23.76</v>
      </c>
      <c r="N975" s="79">
        <v>0</v>
      </c>
      <c r="O975" s="79">
        <v>207.92424489795917</v>
      </c>
      <c r="P975" s="79">
        <v>0</v>
      </c>
      <c r="Q975" s="79">
        <v>0</v>
      </c>
      <c r="R975" s="79">
        <v>0</v>
      </c>
      <c r="S975" s="79">
        <v>0</v>
      </c>
      <c r="T975" s="79">
        <v>0</v>
      </c>
      <c r="U975" s="79">
        <v>0</v>
      </c>
      <c r="V975" s="79">
        <v>0</v>
      </c>
      <c r="W975" s="79">
        <v>0</v>
      </c>
      <c r="X975" s="90">
        <v>0</v>
      </c>
    </row>
    <row r="976" spans="1:24" hidden="1" x14ac:dyDescent="0.25">
      <c r="A976" s="80" t="str">
        <v>PENDIENTE</v>
      </c>
      <c r="B976" s="80" t="str">
        <v>San Miguel</v>
      </c>
      <c r="C976" s="80" t="str">
        <v>Junio</v>
      </c>
      <c r="D976" s="81">
        <v>46165</v>
      </c>
      <c r="E976" s="79">
        <v>2520</v>
      </c>
      <c r="F976" s="81">
        <v>46128</v>
      </c>
      <c r="G976" s="79" cm="1">
        <f t="array" ref="G976:X976">_xlfn._xlws.FILTER(Formulas!$C$2:$T$201, ISNUMBER(MATCH(Formulas!$B$2:$B$201, B976, 0)),0) * E976</f>
        <v>377.69142857142862</v>
      </c>
      <c r="H976" s="79">
        <v>1058.6057142857142</v>
      </c>
      <c r="I976" s="79">
        <v>100.8</v>
      </c>
      <c r="J976" s="79">
        <v>0</v>
      </c>
      <c r="K976" s="79">
        <v>0</v>
      </c>
      <c r="L976" s="79">
        <v>0</v>
      </c>
      <c r="M976" s="79">
        <v>100.8</v>
      </c>
      <c r="N976" s="79">
        <v>0</v>
      </c>
      <c r="O976" s="79">
        <v>882.10285714285715</v>
      </c>
      <c r="P976" s="79">
        <v>0</v>
      </c>
      <c r="Q976" s="79">
        <v>0</v>
      </c>
      <c r="R976" s="79">
        <v>0</v>
      </c>
      <c r="S976" s="79">
        <v>0</v>
      </c>
      <c r="T976" s="79">
        <v>0</v>
      </c>
      <c r="U976" s="79">
        <v>0</v>
      </c>
      <c r="V976" s="79">
        <v>0</v>
      </c>
      <c r="W976" s="79">
        <v>0</v>
      </c>
      <c r="X976" s="90">
        <v>0</v>
      </c>
    </row>
    <row r="977" spans="1:24" hidden="1" x14ac:dyDescent="0.25">
      <c r="A977" s="80" t="str">
        <v>PENDIENTE</v>
      </c>
      <c r="B977" s="80" t="str">
        <v>San Miguel</v>
      </c>
      <c r="C977" s="80" t="str">
        <v>Julio</v>
      </c>
      <c r="D977" s="81">
        <v>46192</v>
      </c>
      <c r="E977" s="79">
        <v>2604</v>
      </c>
      <c r="F977" s="81">
        <v>46174</v>
      </c>
      <c r="G977" s="79" cm="1">
        <f t="array" ref="G977:X977">_xlfn._xlws.FILTER(Formulas!$C$2:$T$201, ISNUMBER(MATCH(Formulas!$B$2:$B$201, B977, 0)),0) * E977</f>
        <v>390.28114285714287</v>
      </c>
      <c r="H977" s="79">
        <v>1093.8925714285713</v>
      </c>
      <c r="I977" s="79">
        <v>104.16</v>
      </c>
      <c r="J977" s="79">
        <v>0</v>
      </c>
      <c r="K977" s="79">
        <v>0</v>
      </c>
      <c r="L977" s="79">
        <v>0</v>
      </c>
      <c r="M977" s="79">
        <v>104.16</v>
      </c>
      <c r="N977" s="79">
        <v>0</v>
      </c>
      <c r="O977" s="79">
        <v>911.5062857142857</v>
      </c>
      <c r="P977" s="79">
        <v>0</v>
      </c>
      <c r="Q977" s="79">
        <v>0</v>
      </c>
      <c r="R977" s="79">
        <v>0</v>
      </c>
      <c r="S977" s="79">
        <v>0</v>
      </c>
      <c r="T977" s="79">
        <v>0</v>
      </c>
      <c r="U977" s="79">
        <v>0</v>
      </c>
      <c r="V977" s="79">
        <v>0</v>
      </c>
      <c r="W977" s="79">
        <v>0</v>
      </c>
      <c r="X977" s="90">
        <v>0</v>
      </c>
    </row>
    <row r="978" spans="1:24" hidden="1" x14ac:dyDescent="0.25">
      <c r="A978" s="80" t="str">
        <v>PENDIENTE</v>
      </c>
      <c r="B978" s="80" t="str">
        <v>San Miguel</v>
      </c>
      <c r="C978" s="80" t="str">
        <v>Agosto</v>
      </c>
      <c r="D978" s="81">
        <v>46192</v>
      </c>
      <c r="E978" s="79">
        <v>2604</v>
      </c>
      <c r="F978" s="81">
        <v>46174</v>
      </c>
      <c r="G978" s="79" cm="1">
        <f t="array" ref="G978:X978">_xlfn._xlws.FILTER(Formulas!$C$2:$T$201, ISNUMBER(MATCH(Formulas!$B$2:$B$201, B978, 0)),0) * E978</f>
        <v>390.28114285714287</v>
      </c>
      <c r="H978" s="79">
        <v>1093.8925714285713</v>
      </c>
      <c r="I978" s="79">
        <v>104.16</v>
      </c>
      <c r="J978" s="79">
        <v>0</v>
      </c>
      <c r="K978" s="79">
        <v>0</v>
      </c>
      <c r="L978" s="79">
        <v>0</v>
      </c>
      <c r="M978" s="79">
        <v>104.16</v>
      </c>
      <c r="N978" s="79">
        <v>0</v>
      </c>
      <c r="O978" s="79">
        <v>911.5062857142857</v>
      </c>
      <c r="P978" s="79">
        <v>0</v>
      </c>
      <c r="Q978" s="79">
        <v>0</v>
      </c>
      <c r="R978" s="79">
        <v>0</v>
      </c>
      <c r="S978" s="79">
        <v>0</v>
      </c>
      <c r="T978" s="79">
        <v>0</v>
      </c>
      <c r="U978" s="79">
        <v>0</v>
      </c>
      <c r="V978" s="79">
        <v>0</v>
      </c>
      <c r="W978" s="79">
        <v>0</v>
      </c>
      <c r="X978" s="90">
        <v>0</v>
      </c>
    </row>
    <row r="979" spans="1:24" hidden="1" x14ac:dyDescent="0.25">
      <c r="A979" s="80" t="str">
        <v>PENDIENTE</v>
      </c>
      <c r="B979" s="80" t="str">
        <v>San Miguel</v>
      </c>
      <c r="C979" s="80" t="str">
        <v>Julio</v>
      </c>
      <c r="D979" s="81">
        <v>46192</v>
      </c>
      <c r="E979" s="79">
        <v>613.79999999999995</v>
      </c>
      <c r="F979" s="81">
        <v>46187</v>
      </c>
      <c r="G979" s="79" cm="1">
        <f t="array" ref="G979:X979">_xlfn._xlws.FILTER(Formulas!$C$2:$T$201, ISNUMBER(MATCH(Formulas!$B$2:$B$201, B979, 0)),0) * E979</f>
        <v>91.99484081632653</v>
      </c>
      <c r="H979" s="79">
        <v>257.84610612244893</v>
      </c>
      <c r="I979" s="79">
        <v>24.552</v>
      </c>
      <c r="J979" s="79">
        <v>0</v>
      </c>
      <c r="K979" s="79">
        <v>0</v>
      </c>
      <c r="L979" s="79">
        <v>0</v>
      </c>
      <c r="M979" s="79">
        <v>24.552</v>
      </c>
      <c r="N979" s="79">
        <v>0</v>
      </c>
      <c r="O979" s="79">
        <v>214.85505306122448</v>
      </c>
      <c r="P979" s="79">
        <v>0</v>
      </c>
      <c r="Q979" s="79">
        <v>0</v>
      </c>
      <c r="R979" s="79">
        <v>0</v>
      </c>
      <c r="S979" s="79">
        <v>0</v>
      </c>
      <c r="T979" s="79">
        <v>0</v>
      </c>
      <c r="U979" s="79">
        <v>0</v>
      </c>
      <c r="V979" s="79">
        <v>0</v>
      </c>
      <c r="W979" s="79">
        <v>0</v>
      </c>
      <c r="X979" s="90">
        <v>0</v>
      </c>
    </row>
    <row r="980" spans="1:24" hidden="1" x14ac:dyDescent="0.25">
      <c r="A980" s="80" t="str">
        <v>PENDIENTE</v>
      </c>
      <c r="B980" s="80" t="str">
        <v>San Miguel</v>
      </c>
      <c r="C980" s="80" t="str">
        <v>Agosto</v>
      </c>
      <c r="D980" s="81">
        <v>46192</v>
      </c>
      <c r="E980" s="79">
        <v>613.79999999999995</v>
      </c>
      <c r="F980" s="81">
        <v>46187</v>
      </c>
      <c r="G980" s="79" cm="1">
        <f t="array" ref="G980:X980">_xlfn._xlws.FILTER(Formulas!$C$2:$T$201, ISNUMBER(MATCH(Formulas!$B$2:$B$201, B980, 0)),0) * E980</f>
        <v>91.99484081632653</v>
      </c>
      <c r="H980" s="79">
        <v>257.84610612244893</v>
      </c>
      <c r="I980" s="79">
        <v>24.552</v>
      </c>
      <c r="J980" s="79">
        <v>0</v>
      </c>
      <c r="K980" s="79">
        <v>0</v>
      </c>
      <c r="L980" s="79">
        <v>0</v>
      </c>
      <c r="M980" s="79">
        <v>24.552</v>
      </c>
      <c r="N980" s="79">
        <v>0</v>
      </c>
      <c r="O980" s="79">
        <v>214.85505306122448</v>
      </c>
      <c r="P980" s="79">
        <v>0</v>
      </c>
      <c r="Q980" s="79">
        <v>0</v>
      </c>
      <c r="R980" s="79">
        <v>0</v>
      </c>
      <c r="S980" s="79">
        <v>0</v>
      </c>
      <c r="T980" s="79">
        <v>0</v>
      </c>
      <c r="U980" s="79">
        <v>0</v>
      </c>
      <c r="V980" s="79">
        <v>0</v>
      </c>
      <c r="W980" s="79">
        <v>0</v>
      </c>
      <c r="X980" s="90">
        <v>0</v>
      </c>
    </row>
    <row r="981" spans="1:24" hidden="1" x14ac:dyDescent="0.25">
      <c r="A981" s="80" t="str">
        <v>PENDIENTE</v>
      </c>
      <c r="B981" s="80" t="str">
        <v>San Miguel</v>
      </c>
      <c r="C981" s="80" t="str">
        <v>Enero</v>
      </c>
      <c r="D981" s="81">
        <v>46192</v>
      </c>
      <c r="E981" s="79">
        <v>310.99199999999996</v>
      </c>
      <c r="F981" s="81">
        <v>46187</v>
      </c>
      <c r="G981" s="79" cm="1">
        <f t="array" ref="G981:X981">_xlfn._xlws.FILTER(Formulas!$C$2:$T$201, ISNUMBER(MATCH(Formulas!$B$2:$B$201, B981, 0)),0) * E981</f>
        <v>46.610719346938772</v>
      </c>
      <c r="H981" s="79">
        <v>130.6420271020408</v>
      </c>
      <c r="I981" s="79">
        <v>12.439679999999999</v>
      </c>
      <c r="J981" s="79">
        <v>0</v>
      </c>
      <c r="K981" s="79">
        <v>0</v>
      </c>
      <c r="L981" s="79">
        <v>0</v>
      </c>
      <c r="M981" s="79">
        <v>12.439679999999999</v>
      </c>
      <c r="N981" s="79">
        <v>0</v>
      </c>
      <c r="O981" s="79">
        <v>108.85989355102039</v>
      </c>
      <c r="P981" s="79">
        <v>0</v>
      </c>
      <c r="Q981" s="79">
        <v>0</v>
      </c>
      <c r="R981" s="79">
        <v>0</v>
      </c>
      <c r="S981" s="79">
        <v>0</v>
      </c>
      <c r="T981" s="79">
        <v>0</v>
      </c>
      <c r="U981" s="79">
        <v>0</v>
      </c>
      <c r="V981" s="79">
        <v>0</v>
      </c>
      <c r="W981" s="79">
        <v>0</v>
      </c>
      <c r="X981" s="90">
        <v>0</v>
      </c>
    </row>
    <row r="982" spans="1:24" hidden="1" x14ac:dyDescent="0.25">
      <c r="A982" s="80" t="str">
        <v>PENDIENTE</v>
      </c>
      <c r="B982" s="80" t="str">
        <v>San Miguel</v>
      </c>
      <c r="C982" s="80" t="str">
        <v>Febrero</v>
      </c>
      <c r="D982" s="81">
        <v>46192</v>
      </c>
      <c r="E982" s="79">
        <v>280.89600000000002</v>
      </c>
      <c r="F982" s="81">
        <v>46187</v>
      </c>
      <c r="G982" s="79" cm="1">
        <f t="array" ref="G982:X982">_xlfn._xlws.FILTER(Formulas!$C$2:$T$201, ISNUMBER(MATCH(Formulas!$B$2:$B$201, B982, 0)),0) * E982</f>
        <v>42.100004571428578</v>
      </c>
      <c r="H982" s="79">
        <v>117.99925028571428</v>
      </c>
      <c r="I982" s="79">
        <v>11.235840000000001</v>
      </c>
      <c r="J982" s="79">
        <v>0</v>
      </c>
      <c r="K982" s="79">
        <v>0</v>
      </c>
      <c r="L982" s="79">
        <v>0</v>
      </c>
      <c r="M982" s="79">
        <v>11.235840000000001</v>
      </c>
      <c r="N982" s="79">
        <v>0</v>
      </c>
      <c r="O982" s="79">
        <v>98.325065142857142</v>
      </c>
      <c r="P982" s="79">
        <v>0</v>
      </c>
      <c r="Q982" s="79">
        <v>0</v>
      </c>
      <c r="R982" s="79">
        <v>0</v>
      </c>
      <c r="S982" s="79">
        <v>0</v>
      </c>
      <c r="T982" s="79">
        <v>0</v>
      </c>
      <c r="U982" s="79">
        <v>0</v>
      </c>
      <c r="V982" s="79">
        <v>0</v>
      </c>
      <c r="W982" s="79">
        <v>0</v>
      </c>
      <c r="X982" s="90">
        <v>0</v>
      </c>
    </row>
    <row r="983" spans="1:24" hidden="1" x14ac:dyDescent="0.25">
      <c r="A983" s="80" t="str">
        <v>PENDIENTE</v>
      </c>
      <c r="B983" s="80" t="str">
        <v>San Miguel</v>
      </c>
      <c r="C983" s="80" t="str">
        <v>Marzo</v>
      </c>
      <c r="D983" s="81">
        <v>46192</v>
      </c>
      <c r="E983" s="79">
        <v>310.99199999999996</v>
      </c>
      <c r="F983" s="81">
        <v>46187</v>
      </c>
      <c r="G983" s="79" cm="1">
        <f t="array" ref="G983:X983">_xlfn._xlws.FILTER(Formulas!$C$2:$T$201, ISNUMBER(MATCH(Formulas!$B$2:$B$201, B983, 0)),0) * E983</f>
        <v>46.610719346938772</v>
      </c>
      <c r="H983" s="79">
        <v>130.6420271020408</v>
      </c>
      <c r="I983" s="79">
        <v>12.439679999999999</v>
      </c>
      <c r="J983" s="79">
        <v>0</v>
      </c>
      <c r="K983" s="79">
        <v>0</v>
      </c>
      <c r="L983" s="79">
        <v>0</v>
      </c>
      <c r="M983" s="79">
        <v>12.439679999999999</v>
      </c>
      <c r="N983" s="79">
        <v>0</v>
      </c>
      <c r="O983" s="79">
        <v>108.85989355102039</v>
      </c>
      <c r="P983" s="79">
        <v>0</v>
      </c>
      <c r="Q983" s="79">
        <v>0</v>
      </c>
      <c r="R983" s="79">
        <v>0</v>
      </c>
      <c r="S983" s="79">
        <v>0</v>
      </c>
      <c r="T983" s="79">
        <v>0</v>
      </c>
      <c r="U983" s="79">
        <v>0</v>
      </c>
      <c r="V983" s="79">
        <v>0</v>
      </c>
      <c r="W983" s="79">
        <v>0</v>
      </c>
      <c r="X983" s="90">
        <v>0</v>
      </c>
    </row>
    <row r="984" spans="1:24" hidden="1" x14ac:dyDescent="0.25">
      <c r="A984" s="80" t="str">
        <v>PENDIENTE</v>
      </c>
      <c r="B984" s="80" t="str">
        <v>San Miguel</v>
      </c>
      <c r="C984" s="80" t="str">
        <v>Abril</v>
      </c>
      <c r="D984" s="81">
        <v>46192</v>
      </c>
      <c r="E984" s="79">
        <v>300.95999999999998</v>
      </c>
      <c r="F984" s="81">
        <v>46187</v>
      </c>
      <c r="G984" s="79" cm="1">
        <f t="array" ref="G984:X984">_xlfn._xlws.FILTER(Formulas!$C$2:$T$201, ISNUMBER(MATCH(Formulas!$B$2:$B$201, B984, 0)),0) * E984</f>
        <v>45.107147755102041</v>
      </c>
      <c r="H984" s="79">
        <v>126.42776816326528</v>
      </c>
      <c r="I984" s="79">
        <v>12.038399999999999</v>
      </c>
      <c r="J984" s="79">
        <v>0</v>
      </c>
      <c r="K984" s="79">
        <v>0</v>
      </c>
      <c r="L984" s="79">
        <v>0</v>
      </c>
      <c r="M984" s="79">
        <v>12.038399999999999</v>
      </c>
      <c r="N984" s="79">
        <v>0</v>
      </c>
      <c r="O984" s="79">
        <v>105.34828408163264</v>
      </c>
      <c r="P984" s="79">
        <v>0</v>
      </c>
      <c r="Q984" s="79">
        <v>0</v>
      </c>
      <c r="R984" s="79">
        <v>0</v>
      </c>
      <c r="S984" s="79">
        <v>0</v>
      </c>
      <c r="T984" s="79">
        <v>0</v>
      </c>
      <c r="U984" s="79">
        <v>0</v>
      </c>
      <c r="V984" s="79">
        <v>0</v>
      </c>
      <c r="W984" s="79">
        <v>0</v>
      </c>
      <c r="X984" s="90">
        <v>0</v>
      </c>
    </row>
    <row r="985" spans="1:24" hidden="1" x14ac:dyDescent="0.25">
      <c r="A985" s="80" t="str">
        <v>PENDIENTE</v>
      </c>
      <c r="B985" s="80" t="str">
        <v>San Miguel</v>
      </c>
      <c r="C985" s="80" t="str">
        <v>Mayo</v>
      </c>
      <c r="D985" s="81">
        <v>46192</v>
      </c>
      <c r="E985" s="79">
        <v>310.99199999999996</v>
      </c>
      <c r="F985" s="81">
        <v>46187</v>
      </c>
      <c r="G985" s="79" cm="1">
        <f t="array" ref="G985:X985">_xlfn._xlws.FILTER(Formulas!$C$2:$T$201, ISNUMBER(MATCH(Formulas!$B$2:$B$201, B985, 0)),0) * E985</f>
        <v>46.610719346938772</v>
      </c>
      <c r="H985" s="79">
        <v>130.6420271020408</v>
      </c>
      <c r="I985" s="79">
        <v>12.439679999999999</v>
      </c>
      <c r="J985" s="79">
        <v>0</v>
      </c>
      <c r="K985" s="79">
        <v>0</v>
      </c>
      <c r="L985" s="79">
        <v>0</v>
      </c>
      <c r="M985" s="79">
        <v>12.439679999999999</v>
      </c>
      <c r="N985" s="79">
        <v>0</v>
      </c>
      <c r="O985" s="79">
        <v>108.85989355102039</v>
      </c>
      <c r="P985" s="79">
        <v>0</v>
      </c>
      <c r="Q985" s="79">
        <v>0</v>
      </c>
      <c r="R985" s="79">
        <v>0</v>
      </c>
      <c r="S985" s="79">
        <v>0</v>
      </c>
      <c r="T985" s="79">
        <v>0</v>
      </c>
      <c r="U985" s="79">
        <v>0</v>
      </c>
      <c r="V985" s="79">
        <v>0</v>
      </c>
      <c r="W985" s="79">
        <v>0</v>
      </c>
      <c r="X985" s="90">
        <v>0</v>
      </c>
    </row>
    <row r="986" spans="1:24" hidden="1" x14ac:dyDescent="0.25">
      <c r="A986" s="80" t="str">
        <v>PENDIENTE</v>
      </c>
      <c r="B986" s="80" t="str">
        <v>San Miguel</v>
      </c>
      <c r="C986" s="80" t="str">
        <v>Junio</v>
      </c>
      <c r="D986" s="81">
        <v>46192</v>
      </c>
      <c r="E986" s="79">
        <v>300.95999999999998</v>
      </c>
      <c r="F986" s="81">
        <v>46187</v>
      </c>
      <c r="G986" s="79" cm="1">
        <f t="array" ref="G986:X986">_xlfn._xlws.FILTER(Formulas!$C$2:$T$201, ISNUMBER(MATCH(Formulas!$B$2:$B$201, B986, 0)),0) * E986</f>
        <v>45.107147755102041</v>
      </c>
      <c r="H986" s="79">
        <v>126.42776816326528</v>
      </c>
      <c r="I986" s="79">
        <v>12.038399999999999</v>
      </c>
      <c r="J986" s="79">
        <v>0</v>
      </c>
      <c r="K986" s="79">
        <v>0</v>
      </c>
      <c r="L986" s="79">
        <v>0</v>
      </c>
      <c r="M986" s="79">
        <v>12.038399999999999</v>
      </c>
      <c r="N986" s="79">
        <v>0</v>
      </c>
      <c r="O986" s="79">
        <v>105.34828408163264</v>
      </c>
      <c r="P986" s="79">
        <v>0</v>
      </c>
      <c r="Q986" s="79">
        <v>0</v>
      </c>
      <c r="R986" s="79">
        <v>0</v>
      </c>
      <c r="S986" s="79">
        <v>0</v>
      </c>
      <c r="T986" s="79">
        <v>0</v>
      </c>
      <c r="U986" s="79">
        <v>0</v>
      </c>
      <c r="V986" s="79">
        <v>0</v>
      </c>
      <c r="W986" s="79">
        <v>0</v>
      </c>
      <c r="X986" s="90">
        <v>0</v>
      </c>
    </row>
    <row r="987" spans="1:24" hidden="1" x14ac:dyDescent="0.25">
      <c r="A987" s="80" t="str">
        <v>PENDIENTE</v>
      </c>
      <c r="B987" s="80" t="str">
        <v>San Miguel</v>
      </c>
      <c r="C987" s="80" t="str">
        <v>Julio</v>
      </c>
      <c r="D987" s="81">
        <v>46192</v>
      </c>
      <c r="E987" s="79">
        <v>310.99199999999996</v>
      </c>
      <c r="F987" s="81">
        <v>46187</v>
      </c>
      <c r="G987" s="79" cm="1">
        <f t="array" ref="G987:X987">_xlfn._xlws.FILTER(Formulas!$C$2:$T$201, ISNUMBER(MATCH(Formulas!$B$2:$B$201, B987, 0)),0) * E987</f>
        <v>46.610719346938772</v>
      </c>
      <c r="H987" s="79">
        <v>130.6420271020408</v>
      </c>
      <c r="I987" s="79">
        <v>12.439679999999999</v>
      </c>
      <c r="J987" s="79">
        <v>0</v>
      </c>
      <c r="K987" s="79">
        <v>0</v>
      </c>
      <c r="L987" s="79">
        <v>0</v>
      </c>
      <c r="M987" s="79">
        <v>12.439679999999999</v>
      </c>
      <c r="N987" s="79">
        <v>0</v>
      </c>
      <c r="O987" s="79">
        <v>108.85989355102039</v>
      </c>
      <c r="P987" s="79">
        <v>0</v>
      </c>
      <c r="Q987" s="79">
        <v>0</v>
      </c>
      <c r="R987" s="79">
        <v>0</v>
      </c>
      <c r="S987" s="79">
        <v>0</v>
      </c>
      <c r="T987" s="79">
        <v>0</v>
      </c>
      <c r="U987" s="79">
        <v>0</v>
      </c>
      <c r="V987" s="79">
        <v>0</v>
      </c>
      <c r="W987" s="79">
        <v>0</v>
      </c>
      <c r="X987" s="90">
        <v>0</v>
      </c>
    </row>
    <row r="988" spans="1:24" hidden="1" x14ac:dyDescent="0.25">
      <c r="A988" s="80" t="str">
        <v>PENDIENTE</v>
      </c>
      <c r="B988" s="80" t="str">
        <v>San Miguel</v>
      </c>
      <c r="C988" s="80" t="str">
        <v>Agosto</v>
      </c>
      <c r="D988" s="81">
        <v>46192</v>
      </c>
      <c r="E988" s="79">
        <v>310.99199999999996</v>
      </c>
      <c r="F988" s="81">
        <v>46187</v>
      </c>
      <c r="G988" s="79" cm="1">
        <f t="array" ref="G988:X988">_xlfn._xlws.FILTER(Formulas!$C$2:$T$201, ISNUMBER(MATCH(Formulas!$B$2:$B$201, B988, 0)),0) * E988</f>
        <v>46.610719346938772</v>
      </c>
      <c r="H988" s="79">
        <v>130.6420271020408</v>
      </c>
      <c r="I988" s="79">
        <v>12.439679999999999</v>
      </c>
      <c r="J988" s="79">
        <v>0</v>
      </c>
      <c r="K988" s="79">
        <v>0</v>
      </c>
      <c r="L988" s="79">
        <v>0</v>
      </c>
      <c r="M988" s="79">
        <v>12.439679999999999</v>
      </c>
      <c r="N988" s="79">
        <v>0</v>
      </c>
      <c r="O988" s="79">
        <v>108.85989355102039</v>
      </c>
      <c r="P988" s="79">
        <v>0</v>
      </c>
      <c r="Q988" s="79">
        <v>0</v>
      </c>
      <c r="R988" s="79">
        <v>0</v>
      </c>
      <c r="S988" s="79">
        <v>0</v>
      </c>
      <c r="T988" s="79">
        <v>0</v>
      </c>
      <c r="U988" s="79">
        <v>0</v>
      </c>
      <c r="V988" s="79">
        <v>0</v>
      </c>
      <c r="W988" s="79">
        <v>0</v>
      </c>
      <c r="X988" s="90">
        <v>0</v>
      </c>
    </row>
    <row r="989" spans="1:24" hidden="1" x14ac:dyDescent="0.25">
      <c r="A989" s="80" t="str">
        <v>PENDIENTE</v>
      </c>
      <c r="B989" s="80" t="str">
        <v>San Miguel</v>
      </c>
      <c r="C989" s="80" t="str">
        <v>Septiembre</v>
      </c>
      <c r="D989" s="81">
        <v>46192</v>
      </c>
      <c r="E989" s="79">
        <v>300.95999999999998</v>
      </c>
      <c r="F989" s="80">
        <v>46187</v>
      </c>
      <c r="G989" s="79" cm="1">
        <f t="array" ref="G989:X989">_xlfn._xlws.FILTER(Formulas!$C$2:$T$201, ISNUMBER(MATCH(Formulas!$B$2:$B$201, B989, 0)),0) * E989</f>
        <v>45.107147755102041</v>
      </c>
      <c r="H989" s="79">
        <v>126.42776816326528</v>
      </c>
      <c r="I989" s="79">
        <v>12.038399999999999</v>
      </c>
      <c r="J989" s="79">
        <v>0</v>
      </c>
      <c r="K989" s="79">
        <v>0</v>
      </c>
      <c r="L989" s="79">
        <v>0</v>
      </c>
      <c r="M989" s="79">
        <v>12.038399999999999</v>
      </c>
      <c r="N989" s="79">
        <v>0</v>
      </c>
      <c r="O989" s="79">
        <v>105.34828408163264</v>
      </c>
      <c r="P989" s="79">
        <v>0</v>
      </c>
      <c r="Q989" s="79">
        <v>0</v>
      </c>
      <c r="R989" s="79">
        <v>0</v>
      </c>
      <c r="S989" s="79">
        <v>0</v>
      </c>
      <c r="T989" s="79">
        <v>0</v>
      </c>
      <c r="U989" s="79">
        <v>0</v>
      </c>
      <c r="V989" s="79">
        <v>0</v>
      </c>
      <c r="W989" s="79">
        <v>0</v>
      </c>
      <c r="X989" s="90">
        <v>0</v>
      </c>
    </row>
    <row r="990" spans="1:24" hidden="1" x14ac:dyDescent="0.25">
      <c r="A990" s="80" t="str">
        <v>PENDIENTE</v>
      </c>
      <c r="B990" s="80" t="str">
        <v>San Miguel</v>
      </c>
      <c r="C990" s="80" t="str">
        <v>Setiembre</v>
      </c>
      <c r="D990" s="81">
        <v>46230</v>
      </c>
      <c r="E990" s="79">
        <v>594</v>
      </c>
      <c r="F990" s="80">
        <v>46232</v>
      </c>
      <c r="G990" s="79" cm="1">
        <f t="array" ref="G990:X990">_xlfn._xlws.FILTER(Formulas!$C$2:$T$201, ISNUMBER(MATCH(Formulas!$B$2:$B$201, B990, 0)),0) * E990</f>
        <v>89.027265306122459</v>
      </c>
      <c r="H990" s="79">
        <v>249.52848979591835</v>
      </c>
      <c r="I990" s="79">
        <v>23.76</v>
      </c>
      <c r="J990" s="79">
        <v>0</v>
      </c>
      <c r="K990" s="79">
        <v>0</v>
      </c>
      <c r="L990" s="79">
        <v>0</v>
      </c>
      <c r="M990" s="79">
        <v>23.76</v>
      </c>
      <c r="N990" s="79">
        <v>0</v>
      </c>
      <c r="O990" s="79">
        <v>207.92424489795917</v>
      </c>
      <c r="P990" s="79">
        <v>0</v>
      </c>
      <c r="Q990" s="79">
        <v>0</v>
      </c>
      <c r="R990" s="79">
        <v>0</v>
      </c>
      <c r="S990" s="79">
        <v>0</v>
      </c>
      <c r="T990" s="79">
        <v>0</v>
      </c>
      <c r="U990" s="79">
        <v>0</v>
      </c>
      <c r="V990" s="79">
        <v>0</v>
      </c>
      <c r="W990" s="79">
        <v>0</v>
      </c>
      <c r="X990" s="90">
        <v>0</v>
      </c>
    </row>
    <row r="991" spans="1:24" hidden="1" x14ac:dyDescent="0.25">
      <c r="A991" s="80" t="str">
        <v>PENDIENTE</v>
      </c>
      <c r="B991" s="80" t="str">
        <v>San Miguel</v>
      </c>
      <c r="C991" s="80" t="str">
        <v>Setiembre</v>
      </c>
      <c r="D991" s="81">
        <v>46230</v>
      </c>
      <c r="E991" s="79">
        <v>2520</v>
      </c>
      <c r="F991" s="80">
        <v>46232</v>
      </c>
      <c r="G991" s="79" cm="1">
        <f t="array" ref="G991:X991">_xlfn._xlws.FILTER(Formulas!$C$2:$T$201, ISNUMBER(MATCH(Formulas!$B$2:$B$201, B991, 0)),0) * E991</f>
        <v>377.69142857142862</v>
      </c>
      <c r="H991" s="79">
        <v>1058.6057142857142</v>
      </c>
      <c r="I991" s="79">
        <v>100.8</v>
      </c>
      <c r="J991" s="79">
        <v>0</v>
      </c>
      <c r="K991" s="79">
        <v>0</v>
      </c>
      <c r="L991" s="79">
        <v>0</v>
      </c>
      <c r="M991" s="79">
        <v>100.8</v>
      </c>
      <c r="N991" s="79">
        <v>0</v>
      </c>
      <c r="O991" s="79">
        <v>882.10285714285715</v>
      </c>
      <c r="P991" s="79">
        <v>0</v>
      </c>
      <c r="Q991" s="79">
        <v>0</v>
      </c>
      <c r="R991" s="79">
        <v>0</v>
      </c>
      <c r="S991" s="79">
        <v>0</v>
      </c>
      <c r="T991" s="79">
        <v>0</v>
      </c>
      <c r="U991" s="79">
        <v>0</v>
      </c>
      <c r="V991" s="79">
        <v>0</v>
      </c>
      <c r="W991" s="79">
        <v>0</v>
      </c>
      <c r="X991" s="90">
        <v>0</v>
      </c>
    </row>
    <row r="992" spans="1:24" hidden="1" x14ac:dyDescent="0.25">
      <c r="A992" s="80" t="str">
        <v>PENDIENTE</v>
      </c>
      <c r="B992" s="80" t="str">
        <v>San Miguel</v>
      </c>
      <c r="C992" s="80" t="str">
        <v>Octubre</v>
      </c>
      <c r="D992" s="81">
        <v>46230</v>
      </c>
      <c r="E992" s="79">
        <v>613.79999999999995</v>
      </c>
      <c r="F992" s="80">
        <v>46232</v>
      </c>
      <c r="G992" s="79" cm="1">
        <f t="array" ref="G992:X992">_xlfn._xlws.FILTER(Formulas!$C$2:$T$201, ISNUMBER(MATCH(Formulas!$B$2:$B$201, B992, 0)),0) * E992</f>
        <v>91.99484081632653</v>
      </c>
      <c r="H992" s="79">
        <v>257.84610612244893</v>
      </c>
      <c r="I992" s="79">
        <v>24.552</v>
      </c>
      <c r="J992" s="79">
        <v>0</v>
      </c>
      <c r="K992" s="79">
        <v>0</v>
      </c>
      <c r="L992" s="79">
        <v>0</v>
      </c>
      <c r="M992" s="79">
        <v>24.552</v>
      </c>
      <c r="N992" s="79">
        <v>0</v>
      </c>
      <c r="O992" s="79">
        <v>214.85505306122448</v>
      </c>
      <c r="P992" s="79">
        <v>0</v>
      </c>
      <c r="Q992" s="79">
        <v>0</v>
      </c>
      <c r="R992" s="79">
        <v>0</v>
      </c>
      <c r="S992" s="79">
        <v>0</v>
      </c>
      <c r="T992" s="79">
        <v>0</v>
      </c>
      <c r="U992" s="79">
        <v>0</v>
      </c>
      <c r="V992" s="79">
        <v>0</v>
      </c>
      <c r="W992" s="79">
        <v>0</v>
      </c>
      <c r="X992" s="90">
        <v>0</v>
      </c>
    </row>
    <row r="993" spans="1:24" hidden="1" x14ac:dyDescent="0.25">
      <c r="A993" s="80" t="str">
        <v>PENDIENTE</v>
      </c>
      <c r="B993" s="80" t="str">
        <v>San Miguel</v>
      </c>
      <c r="C993" s="80" t="str">
        <v>Octubre</v>
      </c>
      <c r="D993" s="81">
        <v>46230</v>
      </c>
      <c r="E993" s="79">
        <v>2604</v>
      </c>
      <c r="F993" s="80">
        <v>46232</v>
      </c>
      <c r="G993" s="79" cm="1">
        <f t="array" ref="G993:X993">_xlfn._xlws.FILTER(Formulas!$C$2:$T$201, ISNUMBER(MATCH(Formulas!$B$2:$B$201, B993, 0)),0) * E993</f>
        <v>390.28114285714287</v>
      </c>
      <c r="H993" s="79">
        <v>1093.8925714285713</v>
      </c>
      <c r="I993" s="79">
        <v>104.16</v>
      </c>
      <c r="J993" s="79">
        <v>0</v>
      </c>
      <c r="K993" s="79">
        <v>0</v>
      </c>
      <c r="L993" s="79">
        <v>0</v>
      </c>
      <c r="M993" s="79">
        <v>104.16</v>
      </c>
      <c r="N993" s="79">
        <v>0</v>
      </c>
      <c r="O993" s="79">
        <v>911.5062857142857</v>
      </c>
      <c r="P993" s="79">
        <v>0</v>
      </c>
      <c r="Q993" s="79">
        <v>0</v>
      </c>
      <c r="R993" s="79">
        <v>0</v>
      </c>
      <c r="S993" s="79">
        <v>0</v>
      </c>
      <c r="T993" s="79">
        <v>0</v>
      </c>
      <c r="U993" s="79">
        <v>0</v>
      </c>
      <c r="V993" s="79">
        <v>0</v>
      </c>
      <c r="W993" s="79">
        <v>0</v>
      </c>
      <c r="X993" s="90">
        <v>0</v>
      </c>
    </row>
    <row r="994" spans="1:24" hidden="1" x14ac:dyDescent="0.25">
      <c r="A994" s="80" t="str">
        <v>PENDIENTE</v>
      </c>
      <c r="B994" s="80" t="str">
        <v>San Miguel</v>
      </c>
      <c r="C994" s="80" t="str">
        <v>Octubre</v>
      </c>
      <c r="D994" s="81">
        <v>46230</v>
      </c>
      <c r="E994" s="79">
        <v>932.97599999999989</v>
      </c>
      <c r="F994" s="80">
        <v>46232</v>
      </c>
      <c r="G994" s="79" cm="1">
        <f t="array" ref="G994:X994">_xlfn._xlws.FILTER(Formulas!$C$2:$T$201, ISNUMBER(MATCH(Formulas!$B$2:$B$201, B994, 0)),0) * E994</f>
        <v>139.83215804081632</v>
      </c>
      <c r="H994" s="79">
        <v>391.9260813061224</v>
      </c>
      <c r="I994" s="79">
        <v>37.319039999999994</v>
      </c>
      <c r="J994" s="79">
        <v>0</v>
      </c>
      <c r="K994" s="79">
        <v>0</v>
      </c>
      <c r="L994" s="79">
        <v>0</v>
      </c>
      <c r="M994" s="79">
        <v>37.319039999999994</v>
      </c>
      <c r="N994" s="79">
        <v>0</v>
      </c>
      <c r="O994" s="79">
        <v>326.57968065306119</v>
      </c>
      <c r="P994" s="79">
        <v>0</v>
      </c>
      <c r="Q994" s="79">
        <v>0</v>
      </c>
      <c r="R994" s="79">
        <v>0</v>
      </c>
      <c r="S994" s="79">
        <v>0</v>
      </c>
      <c r="T994" s="79">
        <v>0</v>
      </c>
      <c r="U994" s="79">
        <v>0</v>
      </c>
      <c r="V994" s="79">
        <v>0</v>
      </c>
      <c r="W994" s="79">
        <v>0</v>
      </c>
      <c r="X994" s="90">
        <v>0</v>
      </c>
    </row>
    <row r="995" spans="1:24" hidden="1" x14ac:dyDescent="0.25">
      <c r="A995" s="80" t="str">
        <v>PENDIENTE</v>
      </c>
      <c r="B995" s="80" t="str">
        <v>San Miguel</v>
      </c>
      <c r="C995" s="80" t="str">
        <v>Noviembre</v>
      </c>
      <c r="D995" s="81">
        <v>46314</v>
      </c>
      <c r="E995" s="79">
        <v>300.95999999999998</v>
      </c>
      <c r="F995" s="81">
        <v>0</v>
      </c>
      <c r="G995" s="79" cm="1">
        <f t="array" ref="G995:X995">_xlfn._xlws.FILTER(Formulas!$C$2:$T$201, ISNUMBER(MATCH(Formulas!$B$2:$B$201, B995, 0)),0) * E995</f>
        <v>45.107147755102041</v>
      </c>
      <c r="H995" s="79">
        <v>126.42776816326528</v>
      </c>
      <c r="I995" s="79">
        <v>12.038399999999999</v>
      </c>
      <c r="J995" s="79">
        <v>0</v>
      </c>
      <c r="K995" s="79">
        <v>0</v>
      </c>
      <c r="L995" s="79">
        <v>0</v>
      </c>
      <c r="M995" s="79">
        <v>12.038399999999999</v>
      </c>
      <c r="N995" s="79">
        <v>0</v>
      </c>
      <c r="O995" s="79">
        <v>105.34828408163264</v>
      </c>
      <c r="P995" s="79">
        <v>0</v>
      </c>
      <c r="Q995" s="79">
        <v>0</v>
      </c>
      <c r="R995" s="79">
        <v>0</v>
      </c>
      <c r="S995" s="79">
        <v>0</v>
      </c>
      <c r="T995" s="79">
        <v>0</v>
      </c>
      <c r="U995" s="79">
        <v>0</v>
      </c>
      <c r="V995" s="79">
        <v>0</v>
      </c>
      <c r="W995" s="79">
        <v>0</v>
      </c>
      <c r="X995" s="90">
        <v>0</v>
      </c>
    </row>
    <row r="996" spans="1:24" hidden="1" x14ac:dyDescent="0.25">
      <c r="A996" s="80" t="str">
        <v>PENDIENTE</v>
      </c>
      <c r="B996" s="80" t="str">
        <v>San Miguel</v>
      </c>
      <c r="C996" s="80" t="str">
        <v>Noviembre</v>
      </c>
      <c r="D996" s="81">
        <v>46318</v>
      </c>
      <c r="E996" s="79">
        <v>594</v>
      </c>
      <c r="F996" s="81">
        <v>0</v>
      </c>
      <c r="G996" s="79" cm="1">
        <f t="array" ref="G996:X996">_xlfn._xlws.FILTER(Formulas!$C$2:$T$201, ISNUMBER(MATCH(Formulas!$B$2:$B$201, B996, 0)),0) * E996</f>
        <v>89.027265306122459</v>
      </c>
      <c r="H996" s="79">
        <v>249.52848979591835</v>
      </c>
      <c r="I996" s="79">
        <v>23.76</v>
      </c>
      <c r="J996" s="79">
        <v>0</v>
      </c>
      <c r="K996" s="79">
        <v>0</v>
      </c>
      <c r="L996" s="79">
        <v>0</v>
      </c>
      <c r="M996" s="79">
        <v>23.76</v>
      </c>
      <c r="N996" s="79">
        <v>0</v>
      </c>
      <c r="O996" s="79">
        <v>207.92424489795917</v>
      </c>
      <c r="P996" s="79">
        <v>0</v>
      </c>
      <c r="Q996" s="79">
        <v>0</v>
      </c>
      <c r="R996" s="79">
        <v>0</v>
      </c>
      <c r="S996" s="79">
        <v>0</v>
      </c>
      <c r="T996" s="79">
        <v>0</v>
      </c>
      <c r="U996" s="79">
        <v>0</v>
      </c>
      <c r="V996" s="79">
        <v>0</v>
      </c>
      <c r="W996" s="79">
        <v>0</v>
      </c>
      <c r="X996" s="90">
        <v>0</v>
      </c>
    </row>
    <row r="997" spans="1:24" hidden="1" x14ac:dyDescent="0.25">
      <c r="A997" s="80" t="str">
        <v>PENDIENTE</v>
      </c>
      <c r="B997" s="80" t="str">
        <v>San Miguel</v>
      </c>
      <c r="C997" s="80" t="str">
        <v>Noviembre</v>
      </c>
      <c r="D997" s="81">
        <v>46318</v>
      </c>
      <c r="E997" s="79">
        <v>2520</v>
      </c>
      <c r="F997" s="81">
        <v>0</v>
      </c>
      <c r="G997" s="79" cm="1">
        <f t="array" ref="G997:X997">_xlfn._xlws.FILTER(Formulas!$C$2:$T$201, ISNUMBER(MATCH(Formulas!$B$2:$B$201, B997, 0)),0) * E997</f>
        <v>377.69142857142862</v>
      </c>
      <c r="H997" s="79">
        <v>1058.6057142857142</v>
      </c>
      <c r="I997" s="79">
        <v>100.8</v>
      </c>
      <c r="J997" s="79">
        <v>0</v>
      </c>
      <c r="K997" s="79">
        <v>0</v>
      </c>
      <c r="L997" s="79">
        <v>0</v>
      </c>
      <c r="M997" s="79">
        <v>100.8</v>
      </c>
      <c r="N997" s="79">
        <v>0</v>
      </c>
      <c r="O997" s="79">
        <v>882.10285714285715</v>
      </c>
      <c r="P997" s="79">
        <v>0</v>
      </c>
      <c r="Q997" s="79">
        <v>0</v>
      </c>
      <c r="R997" s="79">
        <v>0</v>
      </c>
      <c r="S997" s="79">
        <v>0</v>
      </c>
      <c r="T997" s="79">
        <v>0</v>
      </c>
      <c r="U997" s="79">
        <v>0</v>
      </c>
      <c r="V997" s="79">
        <v>0</v>
      </c>
      <c r="W997" s="79">
        <v>0</v>
      </c>
      <c r="X997" s="90">
        <v>0</v>
      </c>
    </row>
    <row r="998" spans="1:24" hidden="1" x14ac:dyDescent="0.25">
      <c r="A998" s="80" t="str">
        <v>PENDIENTE</v>
      </c>
      <c r="B998" s="80" t="str">
        <v>San Miguel</v>
      </c>
      <c r="C998" s="80" t="str">
        <v>Diciembre</v>
      </c>
      <c r="D998" s="81">
        <v>46318</v>
      </c>
      <c r="E998" s="79">
        <v>613.79999999999995</v>
      </c>
      <c r="F998" s="80">
        <v>0</v>
      </c>
      <c r="G998" s="79" cm="1">
        <f t="array" ref="G998:X998">_xlfn._xlws.FILTER(Formulas!$C$2:$T$201, ISNUMBER(MATCH(Formulas!$B$2:$B$201, B998, 0)),0) * E998</f>
        <v>91.99484081632653</v>
      </c>
      <c r="H998" s="79">
        <v>257.84610612244893</v>
      </c>
      <c r="I998" s="79">
        <v>24.552</v>
      </c>
      <c r="J998" s="79">
        <v>0</v>
      </c>
      <c r="K998" s="79">
        <v>0</v>
      </c>
      <c r="L998" s="79">
        <v>0</v>
      </c>
      <c r="M998" s="79">
        <v>24.552</v>
      </c>
      <c r="N998" s="79">
        <v>0</v>
      </c>
      <c r="O998" s="79">
        <v>214.85505306122448</v>
      </c>
      <c r="P998" s="79">
        <v>0</v>
      </c>
      <c r="Q998" s="79">
        <v>0</v>
      </c>
      <c r="R998" s="79">
        <v>0</v>
      </c>
      <c r="S998" s="79">
        <v>0</v>
      </c>
      <c r="T998" s="79">
        <v>0</v>
      </c>
      <c r="U998" s="79">
        <v>0</v>
      </c>
      <c r="V998" s="79">
        <v>0</v>
      </c>
      <c r="W998" s="79">
        <v>0</v>
      </c>
      <c r="X998" s="90">
        <v>0</v>
      </c>
    </row>
    <row r="999" spans="1:24" hidden="1" x14ac:dyDescent="0.25">
      <c r="A999" s="80" t="str">
        <v>PENDIENTE</v>
      </c>
      <c r="B999" s="80" t="str">
        <v>San Miguel</v>
      </c>
      <c r="C999" s="80" t="str">
        <v>Diciembre</v>
      </c>
      <c r="D999" s="81">
        <v>46318</v>
      </c>
      <c r="E999" s="79">
        <v>2604</v>
      </c>
      <c r="F999" s="80">
        <v>0</v>
      </c>
      <c r="G999" s="79" cm="1">
        <f t="array" ref="G999:X999">_xlfn._xlws.FILTER(Formulas!$C$2:$T$201, ISNUMBER(MATCH(Formulas!$B$2:$B$201, B999, 0)),0) * E999</f>
        <v>390.28114285714287</v>
      </c>
      <c r="H999" s="79">
        <v>1093.8925714285713</v>
      </c>
      <c r="I999" s="79">
        <v>104.16</v>
      </c>
      <c r="J999" s="79">
        <v>0</v>
      </c>
      <c r="K999" s="79">
        <v>0</v>
      </c>
      <c r="L999" s="79">
        <v>0</v>
      </c>
      <c r="M999" s="79">
        <v>104.16</v>
      </c>
      <c r="N999" s="79">
        <v>0</v>
      </c>
      <c r="O999" s="79">
        <v>911.5062857142857</v>
      </c>
      <c r="P999" s="79">
        <v>0</v>
      </c>
      <c r="Q999" s="79">
        <v>0</v>
      </c>
      <c r="R999" s="79">
        <v>0</v>
      </c>
      <c r="S999" s="79">
        <v>0</v>
      </c>
      <c r="T999" s="79">
        <v>0</v>
      </c>
      <c r="U999" s="79">
        <v>0</v>
      </c>
      <c r="V999" s="79">
        <v>0</v>
      </c>
      <c r="W999" s="79">
        <v>0</v>
      </c>
      <c r="X999" s="90">
        <v>0</v>
      </c>
    </row>
    <row r="1000" spans="1:24" hidden="1" x14ac:dyDescent="0.25">
      <c r="A1000" s="80" t="str">
        <v>PENDIENTE</v>
      </c>
      <c r="B1000" s="80" t="str">
        <v>San Miguel</v>
      </c>
      <c r="C1000" s="80" t="str">
        <v>Diciembre</v>
      </c>
      <c r="D1000" s="81">
        <v>46342</v>
      </c>
      <c r="E1000" s="79">
        <v>310.99199999999996</v>
      </c>
      <c r="F1000" s="81">
        <v>0</v>
      </c>
      <c r="G1000" s="79" cm="1">
        <f t="array" ref="G1000:X1000">_xlfn._xlws.FILTER(Formulas!$C$2:$T$201, ISNUMBER(MATCH(Formulas!$B$2:$B$201, B1000, 0)),0) * E1000</f>
        <v>46.610719346938772</v>
      </c>
      <c r="H1000" s="79">
        <v>130.6420271020408</v>
      </c>
      <c r="I1000" s="79">
        <v>12.439679999999999</v>
      </c>
      <c r="J1000" s="79">
        <v>0</v>
      </c>
      <c r="K1000" s="79">
        <v>0</v>
      </c>
      <c r="L1000" s="79">
        <v>0</v>
      </c>
      <c r="M1000" s="79">
        <v>12.439679999999999</v>
      </c>
      <c r="N1000" s="79">
        <v>0</v>
      </c>
      <c r="O1000" s="79">
        <v>108.85989355102039</v>
      </c>
      <c r="P1000" s="79">
        <v>0</v>
      </c>
      <c r="Q1000" s="79">
        <v>0</v>
      </c>
      <c r="R1000" s="79">
        <v>0</v>
      </c>
      <c r="S1000" s="79">
        <v>0</v>
      </c>
      <c r="T1000" s="79">
        <v>0</v>
      </c>
      <c r="U1000" s="79">
        <v>0</v>
      </c>
      <c r="V1000" s="79">
        <v>0</v>
      </c>
      <c r="W1000" s="79">
        <v>0</v>
      </c>
      <c r="X1000" s="90">
        <v>0</v>
      </c>
    </row>
    <row r="1001" spans="1:24" hidden="1" x14ac:dyDescent="0.25">
      <c r="A1001" s="80" t="str">
        <v>PENDIENTE</v>
      </c>
      <c r="B1001" s="80" t="str">
        <v>San Pablo</v>
      </c>
      <c r="C1001" s="80" t="str">
        <v>Enero / Febrero / Marzo</v>
      </c>
      <c r="D1001" s="81">
        <v>46039</v>
      </c>
      <c r="E1001" s="79">
        <v>3782.0673000000002</v>
      </c>
      <c r="F1001" s="81">
        <v>46052</v>
      </c>
      <c r="G1001" s="79" cm="1">
        <f t="array" ref="G1001:X1001">_xlfn._xlws.FILTER(Formulas!$C$2:$T$201, ISNUMBER(MATCH(Formulas!$B$2:$B$201, B1001, 0)),0) * E1001</f>
        <v>820.79758215701827</v>
      </c>
      <c r="H1001" s="79">
        <v>2533.3752413957177</v>
      </c>
      <c r="I1001" s="79">
        <v>169.95808643933387</v>
      </c>
      <c r="J1001" s="79">
        <v>143.96449674861222</v>
      </c>
      <c r="K1001" s="79">
        <v>0</v>
      </c>
      <c r="L1001" s="79">
        <v>0</v>
      </c>
      <c r="M1001" s="79">
        <v>113.97189325931801</v>
      </c>
      <c r="N1001" s="79">
        <v>0</v>
      </c>
      <c r="O1001" s="79">
        <v>0</v>
      </c>
      <c r="P1001" s="79">
        <v>0</v>
      </c>
      <c r="Q1001" s="79">
        <v>0</v>
      </c>
      <c r="R1001" s="79">
        <v>0</v>
      </c>
      <c r="S1001" s="79">
        <v>0</v>
      </c>
      <c r="T1001" s="79">
        <v>0</v>
      </c>
      <c r="U1001" s="79">
        <v>0</v>
      </c>
      <c r="V1001" s="79">
        <v>0</v>
      </c>
      <c r="W1001" s="79">
        <v>0</v>
      </c>
      <c r="X1001" s="90">
        <v>0</v>
      </c>
    </row>
    <row r="1002" spans="1:24" hidden="1" x14ac:dyDescent="0.25">
      <c r="A1002" s="80" t="str">
        <v>PENDIENTE</v>
      </c>
      <c r="B1002" s="80" t="str">
        <v>San Pablo</v>
      </c>
      <c r="C1002" s="80" t="str">
        <v>Abril / Mayo / Junio</v>
      </c>
      <c r="D1002" s="81">
        <v>46106</v>
      </c>
      <c r="E1002" s="79">
        <v>3782.0673000000002</v>
      </c>
      <c r="F1002" s="81">
        <v>46106</v>
      </c>
      <c r="G1002" s="79" cm="1">
        <f t="array" ref="G1002:X1002">_xlfn._xlws.FILTER(Formulas!$C$2:$T$201, ISNUMBER(MATCH(Formulas!$B$2:$B$201, B1002, 0)),0) * E1002</f>
        <v>820.79758215701827</v>
      </c>
      <c r="H1002" s="79">
        <v>2533.3752413957177</v>
      </c>
      <c r="I1002" s="79">
        <v>169.95808643933387</v>
      </c>
      <c r="J1002" s="79">
        <v>143.96449674861222</v>
      </c>
      <c r="K1002" s="79">
        <v>0</v>
      </c>
      <c r="L1002" s="79">
        <v>0</v>
      </c>
      <c r="M1002" s="79">
        <v>113.97189325931801</v>
      </c>
      <c r="N1002" s="79">
        <v>0</v>
      </c>
      <c r="O1002" s="79">
        <v>0</v>
      </c>
      <c r="P1002" s="79">
        <v>0</v>
      </c>
      <c r="Q1002" s="79">
        <v>0</v>
      </c>
      <c r="R1002" s="79">
        <v>0</v>
      </c>
      <c r="S1002" s="79">
        <v>0</v>
      </c>
      <c r="T1002" s="79">
        <v>0</v>
      </c>
      <c r="U1002" s="79">
        <v>0</v>
      </c>
      <c r="V1002" s="79">
        <v>0</v>
      </c>
      <c r="W1002" s="79">
        <v>0</v>
      </c>
      <c r="X1002" s="90">
        <v>0</v>
      </c>
    </row>
    <row r="1003" spans="1:24" hidden="1" x14ac:dyDescent="0.25">
      <c r="A1003" s="80" t="str">
        <v>PENDIENTE</v>
      </c>
      <c r="B1003" s="80" t="str">
        <v>San Pablo</v>
      </c>
      <c r="C1003" s="80" t="str">
        <v>Julio / Agosto / Septiembre</v>
      </c>
      <c r="D1003" s="81">
        <v>46198</v>
      </c>
      <c r="E1003" s="79">
        <v>3782.0673000000002</v>
      </c>
      <c r="F1003" s="80">
        <v>46189</v>
      </c>
      <c r="G1003" s="79" cm="1">
        <f t="array" ref="G1003:X1003">_xlfn._xlws.FILTER(Formulas!$C$2:$T$201, ISNUMBER(MATCH(Formulas!$B$2:$B$201, B1003, 0)),0) * E1003</f>
        <v>820.79758215701827</v>
      </c>
      <c r="H1003" s="79">
        <v>2533.3752413957177</v>
      </c>
      <c r="I1003" s="79">
        <v>169.95808643933387</v>
      </c>
      <c r="J1003" s="79">
        <v>143.96449674861222</v>
      </c>
      <c r="K1003" s="79">
        <v>0</v>
      </c>
      <c r="L1003" s="79">
        <v>0</v>
      </c>
      <c r="M1003" s="79">
        <v>113.97189325931801</v>
      </c>
      <c r="N1003" s="79">
        <v>0</v>
      </c>
      <c r="O1003" s="79">
        <v>0</v>
      </c>
      <c r="P1003" s="79">
        <v>0</v>
      </c>
      <c r="Q1003" s="79">
        <v>0</v>
      </c>
      <c r="R1003" s="79">
        <v>0</v>
      </c>
      <c r="S1003" s="79">
        <v>0</v>
      </c>
      <c r="T1003" s="79">
        <v>0</v>
      </c>
      <c r="U1003" s="79">
        <v>0</v>
      </c>
      <c r="V1003" s="79">
        <v>0</v>
      </c>
      <c r="W1003" s="79">
        <v>0</v>
      </c>
      <c r="X1003" s="90">
        <v>0</v>
      </c>
    </row>
    <row r="1004" spans="1:24" hidden="1" x14ac:dyDescent="0.25">
      <c r="A1004" s="80" t="str">
        <v>PENDIENTE</v>
      </c>
      <c r="B1004" s="80" t="str">
        <v>San Pablo</v>
      </c>
      <c r="C1004" s="80" t="str">
        <v>Octubre / Noviembre / Diciembre</v>
      </c>
      <c r="D1004" s="81">
        <v>46290</v>
      </c>
      <c r="E1004" s="79">
        <v>3782.0673000000002</v>
      </c>
      <c r="F1004" s="81">
        <v>0</v>
      </c>
      <c r="G1004" s="79" cm="1">
        <f t="array" ref="G1004:X1004">_xlfn._xlws.FILTER(Formulas!$C$2:$T$201, ISNUMBER(MATCH(Formulas!$B$2:$B$201, B1004, 0)),0) * E1004</f>
        <v>820.79758215701827</v>
      </c>
      <c r="H1004" s="79">
        <v>2533.3752413957177</v>
      </c>
      <c r="I1004" s="79">
        <v>169.95808643933387</v>
      </c>
      <c r="J1004" s="79">
        <v>143.96449674861222</v>
      </c>
      <c r="K1004" s="79">
        <v>0</v>
      </c>
      <c r="L1004" s="79">
        <v>0</v>
      </c>
      <c r="M1004" s="79">
        <v>113.97189325931801</v>
      </c>
      <c r="N1004" s="79">
        <v>0</v>
      </c>
      <c r="O1004" s="79">
        <v>0</v>
      </c>
      <c r="P1004" s="79">
        <v>0</v>
      </c>
      <c r="Q1004" s="79">
        <v>0</v>
      </c>
      <c r="R1004" s="79">
        <v>0</v>
      </c>
      <c r="S1004" s="79">
        <v>0</v>
      </c>
      <c r="T1004" s="79">
        <v>0</v>
      </c>
      <c r="U1004" s="79">
        <v>0</v>
      </c>
      <c r="V1004" s="79">
        <v>0</v>
      </c>
      <c r="W1004" s="79">
        <v>0</v>
      </c>
      <c r="X1004" s="90">
        <v>0</v>
      </c>
    </row>
    <row r="1005" spans="1:24" hidden="1" x14ac:dyDescent="0.25">
      <c r="A1005" s="80" t="str">
        <v>PENDIENTE</v>
      </c>
      <c r="B1005" s="80" t="str">
        <v>San Pablo</v>
      </c>
      <c r="C1005" s="80" t="str">
        <v>O.C.</v>
      </c>
      <c r="D1005" s="81">
        <v>46283</v>
      </c>
      <c r="E1005" s="79">
        <v>2394</v>
      </c>
      <c r="F1005" s="81">
        <v>46280</v>
      </c>
      <c r="G1005" s="79" cm="1">
        <f t="array" ref="G1005:X1005">_xlfn._xlws.FILTER(Formulas!$C$2:$T$201, ISNUMBER(MATCH(Formulas!$B$2:$B$201, B1005, 0)),0) * E1005</f>
        <v>519.55432196669312</v>
      </c>
      <c r="H1005" s="79">
        <v>1603.5939730372718</v>
      </c>
      <c r="I1005" s="79">
        <v>107.58128469468676</v>
      </c>
      <c r="J1005" s="79">
        <v>91.127676447264065</v>
      </c>
      <c r="K1005" s="79">
        <v>0</v>
      </c>
      <c r="L1005" s="79">
        <v>0</v>
      </c>
      <c r="M1005" s="79">
        <v>72.14274385408406</v>
      </c>
      <c r="N1005" s="79">
        <v>0</v>
      </c>
      <c r="O1005" s="79">
        <v>0</v>
      </c>
      <c r="P1005" s="79">
        <v>0</v>
      </c>
      <c r="Q1005" s="79">
        <v>0</v>
      </c>
      <c r="R1005" s="79">
        <v>0</v>
      </c>
      <c r="S1005" s="79">
        <v>0</v>
      </c>
      <c r="T1005" s="79">
        <v>0</v>
      </c>
      <c r="U1005" s="79">
        <v>0</v>
      </c>
      <c r="V1005" s="79">
        <v>0</v>
      </c>
      <c r="W1005" s="79">
        <v>0</v>
      </c>
      <c r="X1005" s="90">
        <v>0</v>
      </c>
    </row>
    <row r="1006" spans="1:24" hidden="1" x14ac:dyDescent="0.25">
      <c r="A1006" s="80" t="str">
        <v>PENDIENTE</v>
      </c>
      <c r="B1006" s="80" t="str">
        <v>San Pablo - Trigo</v>
      </c>
      <c r="C1006" s="80" t="str">
        <v>Enero / Febrero / Marzo</v>
      </c>
      <c r="D1006" s="81">
        <v>46039</v>
      </c>
      <c r="E1006" s="79">
        <v>1033.8522</v>
      </c>
      <c r="F1006" s="81">
        <v>46051</v>
      </c>
      <c r="G1006" s="79" cm="1">
        <f t="array" ref="G1006:X1006">_xlfn._xlws.FILTER(Formulas!$C$2:$T$201, ISNUMBER(MATCH(Formulas!$B$2:$B$201, B1006, 0)),0) * E1006</f>
        <v>1033.8522</v>
      </c>
      <c r="H1006" s="79">
        <v>0</v>
      </c>
      <c r="I1006" s="79">
        <v>0</v>
      </c>
      <c r="J1006" s="79">
        <v>0</v>
      </c>
      <c r="K1006" s="79">
        <v>0</v>
      </c>
      <c r="L1006" s="79">
        <v>0</v>
      </c>
      <c r="M1006" s="79">
        <v>0</v>
      </c>
      <c r="N1006" s="79">
        <v>0</v>
      </c>
      <c r="O1006" s="79">
        <v>0</v>
      </c>
      <c r="P1006" s="79">
        <v>0</v>
      </c>
      <c r="Q1006" s="79">
        <v>0</v>
      </c>
      <c r="R1006" s="79">
        <v>0</v>
      </c>
      <c r="S1006" s="79">
        <v>0</v>
      </c>
      <c r="T1006" s="79">
        <v>0</v>
      </c>
      <c r="U1006" s="79">
        <v>0</v>
      </c>
      <c r="V1006" s="79">
        <v>0</v>
      </c>
      <c r="W1006" s="79">
        <v>0</v>
      </c>
      <c r="X1006" s="90">
        <v>0</v>
      </c>
    </row>
    <row r="1007" spans="1:24" hidden="1" x14ac:dyDescent="0.25">
      <c r="A1007" s="80" t="str">
        <v>PENDIENTE</v>
      </c>
      <c r="B1007" s="80" t="str">
        <v>San Pablo - Trigo</v>
      </c>
      <c r="C1007" s="80" t="str">
        <v>Abril / Mayo / Junio</v>
      </c>
      <c r="D1007" s="81">
        <v>46106</v>
      </c>
      <c r="E1007" s="79">
        <v>1033.8522</v>
      </c>
      <c r="F1007" s="81">
        <v>46106</v>
      </c>
      <c r="G1007" s="79" cm="1">
        <f t="array" ref="G1007:X1007">_xlfn._xlws.FILTER(Formulas!$C$2:$T$201, ISNUMBER(MATCH(Formulas!$B$2:$B$201, B1007, 0)),0) * E1007</f>
        <v>1033.8522</v>
      </c>
      <c r="H1007" s="79">
        <v>0</v>
      </c>
      <c r="I1007" s="79">
        <v>0</v>
      </c>
      <c r="J1007" s="79">
        <v>0</v>
      </c>
      <c r="K1007" s="79">
        <v>0</v>
      </c>
      <c r="L1007" s="79">
        <v>0</v>
      </c>
      <c r="M1007" s="79">
        <v>0</v>
      </c>
      <c r="N1007" s="79">
        <v>0</v>
      </c>
      <c r="O1007" s="79">
        <v>0</v>
      </c>
      <c r="P1007" s="79">
        <v>0</v>
      </c>
      <c r="Q1007" s="79">
        <v>0</v>
      </c>
      <c r="R1007" s="79">
        <v>0</v>
      </c>
      <c r="S1007" s="79">
        <v>0</v>
      </c>
      <c r="T1007" s="79">
        <v>0</v>
      </c>
      <c r="U1007" s="79">
        <v>0</v>
      </c>
      <c r="V1007" s="79">
        <v>0</v>
      </c>
      <c r="W1007" s="79">
        <v>0</v>
      </c>
      <c r="X1007" s="90">
        <v>0</v>
      </c>
    </row>
    <row r="1008" spans="1:24" hidden="1" x14ac:dyDescent="0.25">
      <c r="A1008" s="80" t="str">
        <v>PENDIENTE</v>
      </c>
      <c r="B1008" s="80" t="str">
        <v>San Pablo - Trigo</v>
      </c>
      <c r="C1008" s="80" t="str">
        <v>Julio / Agosto / Septiembre</v>
      </c>
      <c r="D1008" s="81">
        <v>46198</v>
      </c>
      <c r="E1008" s="79">
        <v>1033.8522</v>
      </c>
      <c r="F1008" s="81">
        <v>46178</v>
      </c>
      <c r="G1008" s="79" cm="1">
        <f t="array" ref="G1008:X1008">_xlfn._xlws.FILTER(Formulas!$C$2:$T$201, ISNUMBER(MATCH(Formulas!$B$2:$B$201, B1008, 0)),0) * E1008</f>
        <v>1033.8522</v>
      </c>
      <c r="H1008" s="79">
        <v>0</v>
      </c>
      <c r="I1008" s="79">
        <v>0</v>
      </c>
      <c r="J1008" s="79">
        <v>0</v>
      </c>
      <c r="K1008" s="79">
        <v>0</v>
      </c>
      <c r="L1008" s="79">
        <v>0</v>
      </c>
      <c r="M1008" s="79">
        <v>0</v>
      </c>
      <c r="N1008" s="79">
        <v>0</v>
      </c>
      <c r="O1008" s="79">
        <v>0</v>
      </c>
      <c r="P1008" s="79">
        <v>0</v>
      </c>
      <c r="Q1008" s="79">
        <v>0</v>
      </c>
      <c r="R1008" s="79">
        <v>0</v>
      </c>
      <c r="S1008" s="79">
        <v>0</v>
      </c>
      <c r="T1008" s="79">
        <v>0</v>
      </c>
      <c r="U1008" s="79">
        <v>0</v>
      </c>
      <c r="V1008" s="79">
        <v>0</v>
      </c>
      <c r="W1008" s="79">
        <v>0</v>
      </c>
      <c r="X1008" s="90">
        <v>0</v>
      </c>
    </row>
    <row r="1009" spans="1:24" hidden="1" x14ac:dyDescent="0.25">
      <c r="A1009" s="80" t="str">
        <v>PENDIENTE</v>
      </c>
      <c r="B1009" s="80" t="str">
        <v>San Pablo - Trigo</v>
      </c>
      <c r="C1009" s="80" t="str">
        <v>Octubre / Noviembre / Diciembre</v>
      </c>
      <c r="D1009" s="81">
        <v>46290</v>
      </c>
      <c r="E1009" s="79">
        <v>1033.8522</v>
      </c>
      <c r="F1009" s="81">
        <v>46290</v>
      </c>
      <c r="G1009" s="79" cm="1">
        <f t="array" ref="G1009:X1009">_xlfn._xlws.FILTER(Formulas!$C$2:$T$201, ISNUMBER(MATCH(Formulas!$B$2:$B$201, B1009, 0)),0) * E1009</f>
        <v>1033.8522</v>
      </c>
      <c r="H1009" s="79">
        <v>0</v>
      </c>
      <c r="I1009" s="79">
        <v>0</v>
      </c>
      <c r="J1009" s="79">
        <v>0</v>
      </c>
      <c r="K1009" s="79">
        <v>0</v>
      </c>
      <c r="L1009" s="79">
        <v>0</v>
      </c>
      <c r="M1009" s="79">
        <v>0</v>
      </c>
      <c r="N1009" s="79">
        <v>0</v>
      </c>
      <c r="O1009" s="79">
        <v>0</v>
      </c>
      <c r="P1009" s="79">
        <v>0</v>
      </c>
      <c r="Q1009" s="79">
        <v>0</v>
      </c>
      <c r="R1009" s="79">
        <v>0</v>
      </c>
      <c r="S1009" s="79">
        <v>0</v>
      </c>
      <c r="T1009" s="79">
        <v>0</v>
      </c>
      <c r="U1009" s="79">
        <v>0</v>
      </c>
      <c r="V1009" s="79">
        <v>0</v>
      </c>
      <c r="W1009" s="79">
        <v>0</v>
      </c>
      <c r="X1009" s="90">
        <v>0</v>
      </c>
    </row>
    <row r="1010" spans="1:24" hidden="1" x14ac:dyDescent="0.25">
      <c r="A1010" s="80" t="str">
        <v>PENDIENTE</v>
      </c>
      <c r="B1010" s="80" t="str">
        <v>San Pedro</v>
      </c>
      <c r="C1010" s="80" t="str">
        <v>Enero</v>
      </c>
      <c r="D1010" s="81">
        <v>46037</v>
      </c>
      <c r="E1010" s="79">
        <v>1102</v>
      </c>
      <c r="F1010" s="81">
        <v>46036</v>
      </c>
      <c r="G1010" s="79" cm="1">
        <f t="array" ref="G1010:X1010">_xlfn._xlws.FILTER(Formulas!$C$2:$T$201, ISNUMBER(MATCH(Formulas!$B$2:$B$201, B1010, 0)),0) * E1010</f>
        <v>220.4</v>
      </c>
      <c r="H1010" s="79">
        <v>749.36</v>
      </c>
      <c r="I1010" s="79">
        <v>44.08</v>
      </c>
      <c r="J1010" s="79">
        <v>44.08</v>
      </c>
      <c r="K1010" s="79">
        <v>0</v>
      </c>
      <c r="L1010" s="79">
        <v>44.08</v>
      </c>
      <c r="M1010" s="79">
        <v>0</v>
      </c>
      <c r="N1010" s="79">
        <v>0</v>
      </c>
      <c r="O1010" s="79">
        <v>0</v>
      </c>
      <c r="P1010" s="79">
        <v>0</v>
      </c>
      <c r="Q1010" s="79">
        <v>0</v>
      </c>
      <c r="R1010" s="79">
        <v>0</v>
      </c>
      <c r="S1010" s="79">
        <v>0</v>
      </c>
      <c r="T1010" s="79">
        <v>0</v>
      </c>
      <c r="U1010" s="79">
        <v>0</v>
      </c>
      <c r="V1010" s="79">
        <v>0</v>
      </c>
      <c r="W1010" s="79">
        <v>0</v>
      </c>
      <c r="X1010" s="90">
        <v>0</v>
      </c>
    </row>
    <row r="1011" spans="1:24" hidden="1" x14ac:dyDescent="0.25">
      <c r="A1011" s="80" t="str">
        <v>PENDIENTE</v>
      </c>
      <c r="B1011" s="80" t="str">
        <v>San Pedro</v>
      </c>
      <c r="C1011" s="80" t="str">
        <v>Febrero</v>
      </c>
      <c r="D1011" s="81">
        <v>46042</v>
      </c>
      <c r="E1011" s="79">
        <v>1429</v>
      </c>
      <c r="F1011" s="81">
        <v>46036</v>
      </c>
      <c r="G1011" s="79" cm="1">
        <f t="array" ref="G1011:X1011">_xlfn._xlws.FILTER(Formulas!$C$2:$T$201, ISNUMBER(MATCH(Formulas!$B$2:$B$201, B1011, 0)),0) * E1011</f>
        <v>285.8</v>
      </c>
      <c r="H1011" s="79">
        <v>971.72</v>
      </c>
      <c r="I1011" s="79">
        <v>57.160000000000004</v>
      </c>
      <c r="J1011" s="79">
        <v>57.160000000000004</v>
      </c>
      <c r="K1011" s="79">
        <v>0</v>
      </c>
      <c r="L1011" s="79">
        <v>57.160000000000004</v>
      </c>
      <c r="M1011" s="79">
        <v>0</v>
      </c>
      <c r="N1011" s="79">
        <v>0</v>
      </c>
      <c r="O1011" s="79">
        <v>0</v>
      </c>
      <c r="P1011" s="79">
        <v>0</v>
      </c>
      <c r="Q1011" s="79">
        <v>0</v>
      </c>
      <c r="R1011" s="79">
        <v>0</v>
      </c>
      <c r="S1011" s="79">
        <v>0</v>
      </c>
      <c r="T1011" s="79">
        <v>0</v>
      </c>
      <c r="U1011" s="79">
        <v>0</v>
      </c>
      <c r="V1011" s="79">
        <v>0</v>
      </c>
      <c r="W1011" s="79">
        <v>0</v>
      </c>
      <c r="X1011" s="90">
        <v>0</v>
      </c>
    </row>
    <row r="1012" spans="1:24" hidden="1" x14ac:dyDescent="0.25">
      <c r="A1012" s="80" t="str">
        <v>PENDIENTE</v>
      </c>
      <c r="B1012" s="80" t="str">
        <v>San Pedro</v>
      </c>
      <c r="C1012" s="80" t="str">
        <v>Marzo</v>
      </c>
      <c r="D1012" s="81">
        <v>46073</v>
      </c>
      <c r="E1012" s="79">
        <v>1582</v>
      </c>
      <c r="F1012" s="81">
        <v>46071</v>
      </c>
      <c r="G1012" s="79" cm="1">
        <f t="array" ref="G1012:X1012">_xlfn._xlws.FILTER(Formulas!$C$2:$T$201, ISNUMBER(MATCH(Formulas!$B$2:$B$201, B1012, 0)),0) * E1012</f>
        <v>316.40000000000003</v>
      </c>
      <c r="H1012" s="79">
        <v>1075.76</v>
      </c>
      <c r="I1012" s="79">
        <v>63.28</v>
      </c>
      <c r="J1012" s="79">
        <v>63.28</v>
      </c>
      <c r="K1012" s="79">
        <v>0</v>
      </c>
      <c r="L1012" s="79">
        <v>63.28</v>
      </c>
      <c r="M1012" s="79">
        <v>0</v>
      </c>
      <c r="N1012" s="79">
        <v>0</v>
      </c>
      <c r="O1012" s="79">
        <v>0</v>
      </c>
      <c r="P1012" s="79">
        <v>0</v>
      </c>
      <c r="Q1012" s="79">
        <v>0</v>
      </c>
      <c r="R1012" s="79">
        <v>0</v>
      </c>
      <c r="S1012" s="79">
        <v>0</v>
      </c>
      <c r="T1012" s="79">
        <v>0</v>
      </c>
      <c r="U1012" s="79">
        <v>0</v>
      </c>
      <c r="V1012" s="79">
        <v>0</v>
      </c>
      <c r="W1012" s="79">
        <v>0</v>
      </c>
      <c r="X1012" s="90">
        <v>0</v>
      </c>
    </row>
    <row r="1013" spans="1:24" hidden="1" x14ac:dyDescent="0.25">
      <c r="A1013" s="80" t="str">
        <v>PENDIENTE</v>
      </c>
      <c r="B1013" s="80" t="str">
        <v>San Pedro</v>
      </c>
      <c r="C1013" s="80" t="str">
        <v>Abril</v>
      </c>
      <c r="D1013" s="81">
        <v>46101</v>
      </c>
      <c r="E1013" s="79">
        <v>1531</v>
      </c>
      <c r="F1013" s="80">
        <v>46100</v>
      </c>
      <c r="G1013" s="79" cm="1">
        <f t="array" ref="G1013:X1013">_xlfn._xlws.FILTER(Formulas!$C$2:$T$201, ISNUMBER(MATCH(Formulas!$B$2:$B$201, B1013, 0)),0) * E1013</f>
        <v>306.2</v>
      </c>
      <c r="H1013" s="79">
        <v>1041.0800000000002</v>
      </c>
      <c r="I1013" s="79">
        <v>61.24</v>
      </c>
      <c r="J1013" s="79">
        <v>61.24</v>
      </c>
      <c r="K1013" s="79">
        <v>0</v>
      </c>
      <c r="L1013" s="79">
        <v>61.24</v>
      </c>
      <c r="M1013" s="79">
        <v>0</v>
      </c>
      <c r="N1013" s="79">
        <v>0</v>
      </c>
      <c r="O1013" s="79">
        <v>0</v>
      </c>
      <c r="P1013" s="79">
        <v>0</v>
      </c>
      <c r="Q1013" s="79">
        <v>0</v>
      </c>
      <c r="R1013" s="79">
        <v>0</v>
      </c>
      <c r="S1013" s="79">
        <v>0</v>
      </c>
      <c r="T1013" s="79">
        <v>0</v>
      </c>
      <c r="U1013" s="79">
        <v>0</v>
      </c>
      <c r="V1013" s="79">
        <v>0</v>
      </c>
      <c r="W1013" s="79">
        <v>0</v>
      </c>
      <c r="X1013" s="90">
        <v>0</v>
      </c>
    </row>
    <row r="1014" spans="1:24" hidden="1" x14ac:dyDescent="0.25">
      <c r="A1014" s="80" t="str">
        <v>PENDIENTE</v>
      </c>
      <c r="B1014" s="80" t="str">
        <v>San Pedro</v>
      </c>
      <c r="C1014" s="80" t="str">
        <v>Mayo</v>
      </c>
      <c r="D1014" s="81">
        <v>46132</v>
      </c>
      <c r="E1014" s="79">
        <v>1582</v>
      </c>
      <c r="F1014" s="80">
        <v>46127</v>
      </c>
      <c r="G1014" s="79" cm="1">
        <f t="array" ref="G1014:X1014">_xlfn._xlws.FILTER(Formulas!$C$2:$T$201, ISNUMBER(MATCH(Formulas!$B$2:$B$201, B1014, 0)),0) * E1014</f>
        <v>316.40000000000003</v>
      </c>
      <c r="H1014" s="79">
        <v>1075.76</v>
      </c>
      <c r="I1014" s="79">
        <v>63.28</v>
      </c>
      <c r="J1014" s="79">
        <v>63.28</v>
      </c>
      <c r="K1014" s="79">
        <v>0</v>
      </c>
      <c r="L1014" s="79">
        <v>63.28</v>
      </c>
      <c r="M1014" s="79">
        <v>0</v>
      </c>
      <c r="N1014" s="79">
        <v>0</v>
      </c>
      <c r="O1014" s="79">
        <v>0</v>
      </c>
      <c r="P1014" s="79">
        <v>0</v>
      </c>
      <c r="Q1014" s="79">
        <v>0</v>
      </c>
      <c r="R1014" s="79">
        <v>0</v>
      </c>
      <c r="S1014" s="79">
        <v>0</v>
      </c>
      <c r="T1014" s="79">
        <v>0</v>
      </c>
      <c r="U1014" s="79">
        <v>0</v>
      </c>
      <c r="V1014" s="79">
        <v>0</v>
      </c>
      <c r="W1014" s="79">
        <v>0</v>
      </c>
      <c r="X1014" s="90">
        <v>0</v>
      </c>
    </row>
    <row r="1015" spans="1:24" hidden="1" x14ac:dyDescent="0.25">
      <c r="A1015" s="80" t="str">
        <v>PENDIENTE</v>
      </c>
      <c r="B1015" s="80" t="str">
        <v>San Pedro</v>
      </c>
      <c r="C1015" s="80" t="str">
        <v>Junio</v>
      </c>
      <c r="D1015" s="81">
        <v>46162</v>
      </c>
      <c r="E1015" s="79">
        <v>1531</v>
      </c>
      <c r="F1015" s="80">
        <v>46157</v>
      </c>
      <c r="G1015" s="79" cm="1">
        <f t="array" ref="G1015:X1015">_xlfn._xlws.FILTER(Formulas!$C$2:$T$201, ISNUMBER(MATCH(Formulas!$B$2:$B$201, B1015, 0)),0) * E1015</f>
        <v>306.2</v>
      </c>
      <c r="H1015" s="79">
        <v>1041.0800000000002</v>
      </c>
      <c r="I1015" s="79">
        <v>61.24</v>
      </c>
      <c r="J1015" s="79">
        <v>61.24</v>
      </c>
      <c r="K1015" s="79">
        <v>0</v>
      </c>
      <c r="L1015" s="79">
        <v>61.24</v>
      </c>
      <c r="M1015" s="79">
        <v>0</v>
      </c>
      <c r="N1015" s="79">
        <v>0</v>
      </c>
      <c r="O1015" s="79">
        <v>0</v>
      </c>
      <c r="P1015" s="79">
        <v>0</v>
      </c>
      <c r="Q1015" s="79">
        <v>0</v>
      </c>
      <c r="R1015" s="79">
        <v>0</v>
      </c>
      <c r="S1015" s="79">
        <v>0</v>
      </c>
      <c r="T1015" s="79">
        <v>0</v>
      </c>
      <c r="U1015" s="79">
        <v>0</v>
      </c>
      <c r="V1015" s="79">
        <v>0</v>
      </c>
      <c r="W1015" s="79">
        <v>0</v>
      </c>
      <c r="X1015" s="90">
        <v>0</v>
      </c>
    </row>
    <row r="1016" spans="1:24" hidden="1" x14ac:dyDescent="0.25">
      <c r="A1016" s="80" t="str">
        <v>PENDIENTE</v>
      </c>
      <c r="B1016" s="80" t="str">
        <v>San Pedro</v>
      </c>
      <c r="C1016" s="80" t="str">
        <v>Julio</v>
      </c>
      <c r="D1016" s="81">
        <v>46192</v>
      </c>
      <c r="E1016" s="79">
        <v>1582</v>
      </c>
      <c r="F1016" s="81">
        <v>46185</v>
      </c>
      <c r="G1016" s="79" cm="1">
        <f t="array" ref="G1016:X1016">_xlfn._xlws.FILTER(Formulas!$C$2:$T$201, ISNUMBER(MATCH(Formulas!$B$2:$B$201, B1016, 0)),0) * E1016</f>
        <v>316.40000000000003</v>
      </c>
      <c r="H1016" s="79">
        <v>1075.76</v>
      </c>
      <c r="I1016" s="79">
        <v>63.28</v>
      </c>
      <c r="J1016" s="79">
        <v>63.28</v>
      </c>
      <c r="K1016" s="79">
        <v>0</v>
      </c>
      <c r="L1016" s="79">
        <v>63.28</v>
      </c>
      <c r="M1016" s="79">
        <v>0</v>
      </c>
      <c r="N1016" s="79">
        <v>0</v>
      </c>
      <c r="O1016" s="79">
        <v>0</v>
      </c>
      <c r="P1016" s="79">
        <v>0</v>
      </c>
      <c r="Q1016" s="79">
        <v>0</v>
      </c>
      <c r="R1016" s="79">
        <v>0</v>
      </c>
      <c r="S1016" s="79">
        <v>0</v>
      </c>
      <c r="T1016" s="79">
        <v>0</v>
      </c>
      <c r="U1016" s="79">
        <v>0</v>
      </c>
      <c r="V1016" s="79">
        <v>0</v>
      </c>
      <c r="W1016" s="79">
        <v>0</v>
      </c>
      <c r="X1016" s="90">
        <v>0</v>
      </c>
    </row>
    <row r="1017" spans="1:24" hidden="1" x14ac:dyDescent="0.25">
      <c r="A1017" s="80" t="str">
        <v>PENDIENTE</v>
      </c>
      <c r="B1017" s="80" t="str">
        <v>San Pedro</v>
      </c>
      <c r="C1017" s="80" t="str">
        <v>Agosto</v>
      </c>
      <c r="D1017" s="81">
        <v>46223</v>
      </c>
      <c r="E1017" s="79">
        <v>1582</v>
      </c>
      <c r="F1017" s="81">
        <v>46223</v>
      </c>
      <c r="G1017" s="79" cm="1">
        <f t="array" ref="G1017:X1017">_xlfn._xlws.FILTER(Formulas!$C$2:$T$201, ISNUMBER(MATCH(Formulas!$B$2:$B$201, B1017, 0)),0) * E1017</f>
        <v>316.40000000000003</v>
      </c>
      <c r="H1017" s="79">
        <v>1075.76</v>
      </c>
      <c r="I1017" s="79">
        <v>63.28</v>
      </c>
      <c r="J1017" s="79">
        <v>63.28</v>
      </c>
      <c r="K1017" s="79">
        <v>0</v>
      </c>
      <c r="L1017" s="79">
        <v>63.28</v>
      </c>
      <c r="M1017" s="79">
        <v>0</v>
      </c>
      <c r="N1017" s="79">
        <v>0</v>
      </c>
      <c r="O1017" s="79">
        <v>0</v>
      </c>
      <c r="P1017" s="79">
        <v>0</v>
      </c>
      <c r="Q1017" s="79">
        <v>0</v>
      </c>
      <c r="R1017" s="79">
        <v>0</v>
      </c>
      <c r="S1017" s="79">
        <v>0</v>
      </c>
      <c r="T1017" s="79">
        <v>0</v>
      </c>
      <c r="U1017" s="79">
        <v>0</v>
      </c>
      <c r="V1017" s="79">
        <v>0</v>
      </c>
      <c r="W1017" s="79">
        <v>0</v>
      </c>
      <c r="X1017" s="90">
        <v>0</v>
      </c>
    </row>
    <row r="1018" spans="1:24" hidden="1" x14ac:dyDescent="0.25">
      <c r="A1018" s="80" t="str">
        <v>PENDIENTE</v>
      </c>
      <c r="B1018" s="80" t="str">
        <v>San Pedro</v>
      </c>
      <c r="C1018" s="80" t="str">
        <v>Setiembre</v>
      </c>
      <c r="D1018" s="81">
        <v>46254</v>
      </c>
      <c r="E1018" s="79">
        <v>1531</v>
      </c>
      <c r="F1018" s="81">
        <v>46253</v>
      </c>
      <c r="G1018" s="79" cm="1">
        <f t="array" ref="G1018:X1018">_xlfn._xlws.FILTER(Formulas!$C$2:$T$201, ISNUMBER(MATCH(Formulas!$B$2:$B$201, B1018, 0)),0) * E1018</f>
        <v>306.2</v>
      </c>
      <c r="H1018" s="79">
        <v>1041.0800000000002</v>
      </c>
      <c r="I1018" s="79">
        <v>61.24</v>
      </c>
      <c r="J1018" s="79">
        <v>61.24</v>
      </c>
      <c r="K1018" s="79">
        <v>0</v>
      </c>
      <c r="L1018" s="79">
        <v>61.24</v>
      </c>
      <c r="M1018" s="79">
        <v>0</v>
      </c>
      <c r="N1018" s="79">
        <v>0</v>
      </c>
      <c r="O1018" s="79">
        <v>0</v>
      </c>
      <c r="P1018" s="79">
        <v>0</v>
      </c>
      <c r="Q1018" s="79">
        <v>0</v>
      </c>
      <c r="R1018" s="79">
        <v>0</v>
      </c>
      <c r="S1018" s="79">
        <v>0</v>
      </c>
      <c r="T1018" s="79">
        <v>0</v>
      </c>
      <c r="U1018" s="79">
        <v>0</v>
      </c>
      <c r="V1018" s="79">
        <v>0</v>
      </c>
      <c r="W1018" s="79">
        <v>0</v>
      </c>
      <c r="X1018" s="90">
        <v>0</v>
      </c>
    </row>
    <row r="1019" spans="1:24" hidden="1" x14ac:dyDescent="0.25">
      <c r="A1019" s="80" t="str">
        <v>PENDIENTE</v>
      </c>
      <c r="B1019" s="80" t="str">
        <v>San Pedro</v>
      </c>
      <c r="C1019" s="80" t="str">
        <v>Octubre</v>
      </c>
      <c r="D1019" s="81">
        <v>46283</v>
      </c>
      <c r="E1019" s="79">
        <v>1582</v>
      </c>
      <c r="F1019" s="81">
        <v>46281</v>
      </c>
      <c r="G1019" s="79" cm="1">
        <f t="array" ref="G1019:X1019">_xlfn._xlws.FILTER(Formulas!$C$2:$T$201, ISNUMBER(MATCH(Formulas!$B$2:$B$201, B1019, 0)),0) * E1019</f>
        <v>316.40000000000003</v>
      </c>
      <c r="H1019" s="79">
        <v>1075.76</v>
      </c>
      <c r="I1019" s="79">
        <v>63.28</v>
      </c>
      <c r="J1019" s="79">
        <v>63.28</v>
      </c>
      <c r="K1019" s="79">
        <v>0</v>
      </c>
      <c r="L1019" s="79">
        <v>63.28</v>
      </c>
      <c r="M1019" s="79">
        <v>0</v>
      </c>
      <c r="N1019" s="79">
        <v>0</v>
      </c>
      <c r="O1019" s="79">
        <v>0</v>
      </c>
      <c r="P1019" s="79">
        <v>0</v>
      </c>
      <c r="Q1019" s="79">
        <v>0</v>
      </c>
      <c r="R1019" s="79">
        <v>0</v>
      </c>
      <c r="S1019" s="79">
        <v>0</v>
      </c>
      <c r="T1019" s="79">
        <v>0</v>
      </c>
      <c r="U1019" s="79">
        <v>0</v>
      </c>
      <c r="V1019" s="79">
        <v>0</v>
      </c>
      <c r="W1019" s="79">
        <v>0</v>
      </c>
      <c r="X1019" s="90">
        <v>0</v>
      </c>
    </row>
    <row r="1020" spans="1:24" hidden="1" x14ac:dyDescent="0.25">
      <c r="A1020" s="80" t="str">
        <v>PENDIENTE</v>
      </c>
      <c r="B1020" s="80" t="str">
        <v>San Pedro</v>
      </c>
      <c r="C1020" s="80" t="str">
        <v>Noviembre</v>
      </c>
      <c r="D1020" s="81">
        <v>46315</v>
      </c>
      <c r="E1020" s="79">
        <v>1531</v>
      </c>
      <c r="F1020" s="81">
        <v>0</v>
      </c>
      <c r="G1020" s="79" cm="1">
        <f t="array" ref="G1020:X1020">_xlfn._xlws.FILTER(Formulas!$C$2:$T$201, ISNUMBER(MATCH(Formulas!$B$2:$B$201, B1020, 0)),0) * E1020</f>
        <v>306.2</v>
      </c>
      <c r="H1020" s="79">
        <v>1041.0800000000002</v>
      </c>
      <c r="I1020" s="79">
        <v>61.24</v>
      </c>
      <c r="J1020" s="79">
        <v>61.24</v>
      </c>
      <c r="K1020" s="79">
        <v>0</v>
      </c>
      <c r="L1020" s="79">
        <v>61.24</v>
      </c>
      <c r="M1020" s="79">
        <v>0</v>
      </c>
      <c r="N1020" s="79">
        <v>0</v>
      </c>
      <c r="O1020" s="79">
        <v>0</v>
      </c>
      <c r="P1020" s="79">
        <v>0</v>
      </c>
      <c r="Q1020" s="79">
        <v>0</v>
      </c>
      <c r="R1020" s="79">
        <v>0</v>
      </c>
      <c r="S1020" s="79">
        <v>0</v>
      </c>
      <c r="T1020" s="79">
        <v>0</v>
      </c>
      <c r="U1020" s="79">
        <v>0</v>
      </c>
      <c r="V1020" s="79">
        <v>0</v>
      </c>
      <c r="W1020" s="79">
        <v>0</v>
      </c>
      <c r="X1020" s="90">
        <v>0</v>
      </c>
    </row>
    <row r="1021" spans="1:24" hidden="1" x14ac:dyDescent="0.25">
      <c r="A1021" s="80" t="str">
        <v>PENDIENTE</v>
      </c>
      <c r="B1021" s="80" t="str">
        <v>San Pedro</v>
      </c>
      <c r="C1021" s="80" t="str">
        <v>Diciembre</v>
      </c>
      <c r="D1021" s="81">
        <v>46346</v>
      </c>
      <c r="E1021" s="79">
        <v>1582</v>
      </c>
      <c r="F1021" s="81">
        <v>0</v>
      </c>
      <c r="G1021" s="79" cm="1">
        <f t="array" ref="G1021:X1021">_xlfn._xlws.FILTER(Formulas!$C$2:$T$201, ISNUMBER(MATCH(Formulas!$B$2:$B$201, B1021, 0)),0) * E1021</f>
        <v>316.40000000000003</v>
      </c>
      <c r="H1021" s="79">
        <v>1075.76</v>
      </c>
      <c r="I1021" s="79">
        <v>63.28</v>
      </c>
      <c r="J1021" s="79">
        <v>63.28</v>
      </c>
      <c r="K1021" s="79">
        <v>0</v>
      </c>
      <c r="L1021" s="79">
        <v>63.28</v>
      </c>
      <c r="M1021" s="79">
        <v>0</v>
      </c>
      <c r="N1021" s="79">
        <v>0</v>
      </c>
      <c r="O1021" s="79">
        <v>0</v>
      </c>
      <c r="P1021" s="79">
        <v>0</v>
      </c>
      <c r="Q1021" s="79">
        <v>0</v>
      </c>
      <c r="R1021" s="79">
        <v>0</v>
      </c>
      <c r="S1021" s="79">
        <v>0</v>
      </c>
      <c r="T1021" s="79">
        <v>0</v>
      </c>
      <c r="U1021" s="79">
        <v>0</v>
      </c>
      <c r="V1021" s="79">
        <v>0</v>
      </c>
      <c r="W1021" s="79">
        <v>0</v>
      </c>
      <c r="X1021" s="90">
        <v>0</v>
      </c>
    </row>
    <row r="1022" spans="1:24" hidden="1" x14ac:dyDescent="0.25">
      <c r="A1022" s="80" t="str">
        <v>PENDIENTE</v>
      </c>
      <c r="B1022" s="80" t="str">
        <v>San Roque</v>
      </c>
      <c r="C1022" s="80" t="str">
        <v>Enero</v>
      </c>
      <c r="D1022" s="81">
        <v>46042</v>
      </c>
      <c r="E1022" s="79">
        <v>180.47200000000001</v>
      </c>
      <c r="F1022" s="81">
        <v>46039</v>
      </c>
      <c r="G1022" s="79" cm="1">
        <f t="array" ref="G1022:X1022">_xlfn._xlws.FILTER(Formulas!$C$2:$T$201, ISNUMBER(MATCH(Formulas!$B$2:$B$201, B1022, 0)),0) * E1022</f>
        <v>36.111353687177079</v>
      </c>
      <c r="H1022" s="79">
        <v>66.797527477689059</v>
      </c>
      <c r="I1022" s="79">
        <v>7.205317050258337</v>
      </c>
      <c r="J1022" s="79">
        <v>0</v>
      </c>
      <c r="K1022" s="79">
        <v>0</v>
      </c>
      <c r="L1022" s="79">
        <v>0</v>
      </c>
      <c r="M1022" s="79">
        <v>7.205317050258337</v>
      </c>
      <c r="N1022" s="79">
        <v>0</v>
      </c>
      <c r="O1022" s="79">
        <v>63.152484734617197</v>
      </c>
      <c r="P1022" s="79">
        <v>0</v>
      </c>
      <c r="Q1022" s="79">
        <v>0</v>
      </c>
      <c r="R1022" s="79">
        <v>0</v>
      </c>
      <c r="S1022" s="79">
        <v>0</v>
      </c>
      <c r="T1022" s="79">
        <v>0</v>
      </c>
      <c r="U1022" s="79">
        <v>0</v>
      </c>
      <c r="V1022" s="79">
        <v>0</v>
      </c>
      <c r="W1022" s="79">
        <v>0</v>
      </c>
      <c r="X1022" s="90">
        <v>0</v>
      </c>
    </row>
    <row r="1023" spans="1:24" hidden="1" x14ac:dyDescent="0.25">
      <c r="A1023" s="80" t="str">
        <v>PENDIENTE</v>
      </c>
      <c r="B1023" s="80" t="str">
        <v>San Roque</v>
      </c>
      <c r="C1023" s="80" t="str">
        <v>Febrero</v>
      </c>
      <c r="D1023" s="81">
        <v>46042</v>
      </c>
      <c r="E1023" s="79">
        <v>163.00700000000001</v>
      </c>
      <c r="F1023" s="81">
        <v>46039</v>
      </c>
      <c r="G1023" s="79" cm="1">
        <f t="array" ref="G1023:X1023">_xlfn._xlws.FILTER(Formulas!$C$2:$T$201, ISNUMBER(MATCH(Formulas!$B$2:$B$201, B1023, 0)),0) * E1023</f>
        <v>32.616713010803196</v>
      </c>
      <c r="H1023" s="79">
        <v>60.333262564584317</v>
      </c>
      <c r="I1023" s="79">
        <v>6.5080295913574444</v>
      </c>
      <c r="J1023" s="79">
        <v>0</v>
      </c>
      <c r="K1023" s="79">
        <v>0</v>
      </c>
      <c r="L1023" s="79">
        <v>0</v>
      </c>
      <c r="M1023" s="79">
        <v>6.5080295913574444</v>
      </c>
      <c r="N1023" s="79">
        <v>0</v>
      </c>
      <c r="O1023" s="79">
        <v>57.040965241897602</v>
      </c>
      <c r="P1023" s="79">
        <v>0</v>
      </c>
      <c r="Q1023" s="79">
        <v>0</v>
      </c>
      <c r="R1023" s="79">
        <v>0</v>
      </c>
      <c r="S1023" s="79">
        <v>0</v>
      </c>
      <c r="T1023" s="79">
        <v>0</v>
      </c>
      <c r="U1023" s="79">
        <v>0</v>
      </c>
      <c r="V1023" s="79">
        <v>0</v>
      </c>
      <c r="W1023" s="79">
        <v>0</v>
      </c>
      <c r="X1023" s="90">
        <v>0</v>
      </c>
    </row>
    <row r="1024" spans="1:24" hidden="1" x14ac:dyDescent="0.25">
      <c r="A1024" s="80" t="str">
        <v>PENDIENTE</v>
      </c>
      <c r="B1024" s="80" t="str">
        <v>San Roque</v>
      </c>
      <c r="C1024" s="80" t="str">
        <v>Marzo</v>
      </c>
      <c r="D1024" s="81">
        <v>46042</v>
      </c>
      <c r="E1024" s="79">
        <v>180.47200000000001</v>
      </c>
      <c r="F1024" s="81">
        <v>46039</v>
      </c>
      <c r="G1024" s="79" cm="1">
        <f t="array" ref="G1024:X1024">_xlfn._xlws.FILTER(Formulas!$C$2:$T$201, ISNUMBER(MATCH(Formulas!$B$2:$B$201, B1024, 0)),0) * E1024</f>
        <v>36.111353687177079</v>
      </c>
      <c r="H1024" s="79">
        <v>66.797527477689059</v>
      </c>
      <c r="I1024" s="79">
        <v>7.205317050258337</v>
      </c>
      <c r="J1024" s="79">
        <v>0</v>
      </c>
      <c r="K1024" s="79">
        <v>0</v>
      </c>
      <c r="L1024" s="79">
        <v>0</v>
      </c>
      <c r="M1024" s="79">
        <v>7.205317050258337</v>
      </c>
      <c r="N1024" s="79">
        <v>0</v>
      </c>
      <c r="O1024" s="79">
        <v>63.152484734617197</v>
      </c>
      <c r="P1024" s="79">
        <v>0</v>
      </c>
      <c r="Q1024" s="79">
        <v>0</v>
      </c>
      <c r="R1024" s="79">
        <v>0</v>
      </c>
      <c r="S1024" s="79">
        <v>0</v>
      </c>
      <c r="T1024" s="79">
        <v>0</v>
      </c>
      <c r="U1024" s="79">
        <v>0</v>
      </c>
      <c r="V1024" s="79">
        <v>0</v>
      </c>
      <c r="W1024" s="79">
        <v>0</v>
      </c>
      <c r="X1024" s="90">
        <v>0</v>
      </c>
    </row>
    <row r="1025" spans="1:24" hidden="1" x14ac:dyDescent="0.25">
      <c r="A1025" s="80" t="str">
        <v>PENDIENTE</v>
      </c>
      <c r="B1025" s="80" t="str">
        <v>San Roque</v>
      </c>
      <c r="C1025" s="80" t="str">
        <v>Abril</v>
      </c>
      <c r="D1025" s="81">
        <v>46106</v>
      </c>
      <c r="E1025" s="79">
        <v>174.65</v>
      </c>
      <c r="F1025" s="81">
        <v>46091</v>
      </c>
      <c r="G1025" s="79" cm="1">
        <f t="array" ref="G1025:X1025">_xlfn._xlws.FILTER(Formulas!$C$2:$T$201, ISNUMBER(MATCH(Formulas!$B$2:$B$201, B1025, 0)),0) * E1025</f>
        <v>34.946406763738842</v>
      </c>
      <c r="H1025" s="79">
        <v>64.642649131047449</v>
      </c>
      <c r="I1025" s="79">
        <v>6.9728745890089243</v>
      </c>
      <c r="J1025" s="79">
        <v>0</v>
      </c>
      <c r="K1025" s="79">
        <v>0</v>
      </c>
      <c r="L1025" s="79">
        <v>0</v>
      </c>
      <c r="M1025" s="79">
        <v>6.9728745890089243</v>
      </c>
      <c r="N1025" s="79">
        <v>0</v>
      </c>
      <c r="O1025" s="79">
        <v>61.115194927195866</v>
      </c>
      <c r="P1025" s="79">
        <v>0</v>
      </c>
      <c r="Q1025" s="79">
        <v>0</v>
      </c>
      <c r="R1025" s="79">
        <v>0</v>
      </c>
      <c r="S1025" s="79">
        <v>0</v>
      </c>
      <c r="T1025" s="79">
        <v>0</v>
      </c>
      <c r="U1025" s="79">
        <v>0</v>
      </c>
      <c r="V1025" s="79">
        <v>0</v>
      </c>
      <c r="W1025" s="79">
        <v>0</v>
      </c>
      <c r="X1025" s="90">
        <v>0</v>
      </c>
    </row>
    <row r="1026" spans="1:24" hidden="1" x14ac:dyDescent="0.25">
      <c r="A1026" s="80" t="str">
        <v>PENDIENTE</v>
      </c>
      <c r="B1026" s="80" t="str">
        <v>San Roque</v>
      </c>
      <c r="C1026" s="80" t="str">
        <v>Mayo</v>
      </c>
      <c r="D1026" s="81">
        <v>46106</v>
      </c>
      <c r="E1026" s="79">
        <v>180.47200000000001</v>
      </c>
      <c r="F1026" s="81">
        <v>46091</v>
      </c>
      <c r="G1026" s="79" cm="1">
        <f t="array" ref="G1026:X1026">_xlfn._xlws.FILTER(Formulas!$C$2:$T$201, ISNUMBER(MATCH(Formulas!$B$2:$B$201, B1026, 0)),0) * E1026</f>
        <v>36.111353687177079</v>
      </c>
      <c r="H1026" s="79">
        <v>66.797527477689059</v>
      </c>
      <c r="I1026" s="79">
        <v>7.205317050258337</v>
      </c>
      <c r="J1026" s="79">
        <v>0</v>
      </c>
      <c r="K1026" s="79">
        <v>0</v>
      </c>
      <c r="L1026" s="79">
        <v>0</v>
      </c>
      <c r="M1026" s="79">
        <v>7.205317050258337</v>
      </c>
      <c r="N1026" s="79">
        <v>0</v>
      </c>
      <c r="O1026" s="79">
        <v>63.152484734617197</v>
      </c>
      <c r="P1026" s="79">
        <v>0</v>
      </c>
      <c r="Q1026" s="79">
        <v>0</v>
      </c>
      <c r="R1026" s="79">
        <v>0</v>
      </c>
      <c r="S1026" s="79">
        <v>0</v>
      </c>
      <c r="T1026" s="79">
        <v>0</v>
      </c>
      <c r="U1026" s="79">
        <v>0</v>
      </c>
      <c r="V1026" s="79">
        <v>0</v>
      </c>
      <c r="W1026" s="79">
        <v>0</v>
      </c>
      <c r="X1026" s="90">
        <v>0</v>
      </c>
    </row>
    <row r="1027" spans="1:24" hidden="1" x14ac:dyDescent="0.25">
      <c r="A1027" s="80" t="str">
        <v>PENDIENTE</v>
      </c>
      <c r="B1027" s="80" t="str">
        <v>San Roque</v>
      </c>
      <c r="C1027" s="80" t="str">
        <v>Junio</v>
      </c>
      <c r="D1027" s="81">
        <v>46106</v>
      </c>
      <c r="E1027" s="79">
        <v>174.65</v>
      </c>
      <c r="F1027" s="81">
        <v>46091</v>
      </c>
      <c r="G1027" s="79" cm="1">
        <f t="array" ref="G1027:X1027">_xlfn._xlws.FILTER(Formulas!$C$2:$T$201, ISNUMBER(MATCH(Formulas!$B$2:$B$201, B1027, 0)),0) * E1027</f>
        <v>34.946406763738842</v>
      </c>
      <c r="H1027" s="79">
        <v>64.642649131047449</v>
      </c>
      <c r="I1027" s="79">
        <v>6.9728745890089243</v>
      </c>
      <c r="J1027" s="79">
        <v>0</v>
      </c>
      <c r="K1027" s="79">
        <v>0</v>
      </c>
      <c r="L1027" s="79">
        <v>0</v>
      </c>
      <c r="M1027" s="79">
        <v>6.9728745890089243</v>
      </c>
      <c r="N1027" s="79">
        <v>0</v>
      </c>
      <c r="O1027" s="79">
        <v>61.115194927195866</v>
      </c>
      <c r="P1027" s="79">
        <v>0</v>
      </c>
      <c r="Q1027" s="79">
        <v>0</v>
      </c>
      <c r="R1027" s="79">
        <v>0</v>
      </c>
      <c r="S1027" s="79">
        <v>0</v>
      </c>
      <c r="T1027" s="79">
        <v>0</v>
      </c>
      <c r="U1027" s="79">
        <v>0</v>
      </c>
      <c r="V1027" s="79">
        <v>0</v>
      </c>
      <c r="W1027" s="79">
        <v>0</v>
      </c>
      <c r="X1027" s="90">
        <v>0</v>
      </c>
    </row>
    <row r="1028" spans="1:24" hidden="1" x14ac:dyDescent="0.25">
      <c r="A1028" s="80" t="str">
        <v>PENDIENTE</v>
      </c>
      <c r="B1028" s="80" t="str">
        <v>San Roque</v>
      </c>
      <c r="C1028" s="80" t="str">
        <v>Julio</v>
      </c>
      <c r="D1028" s="81">
        <v>46198</v>
      </c>
      <c r="E1028" s="79">
        <v>180.47200000000001</v>
      </c>
      <c r="F1028" s="81">
        <v>46171</v>
      </c>
      <c r="G1028" s="79" cm="1">
        <f t="array" ref="G1028:X1028">_xlfn._xlws.FILTER(Formulas!$C$2:$T$201, ISNUMBER(MATCH(Formulas!$B$2:$B$201, B1028, 0)),0) * E1028</f>
        <v>36.111353687177079</v>
      </c>
      <c r="H1028" s="79">
        <v>66.797527477689059</v>
      </c>
      <c r="I1028" s="79">
        <v>7.205317050258337</v>
      </c>
      <c r="J1028" s="79">
        <v>0</v>
      </c>
      <c r="K1028" s="79">
        <v>0</v>
      </c>
      <c r="L1028" s="79">
        <v>0</v>
      </c>
      <c r="M1028" s="79">
        <v>7.205317050258337</v>
      </c>
      <c r="N1028" s="79">
        <v>0</v>
      </c>
      <c r="O1028" s="79">
        <v>63.152484734617197</v>
      </c>
      <c r="P1028" s="79">
        <v>0</v>
      </c>
      <c r="Q1028" s="79">
        <v>0</v>
      </c>
      <c r="R1028" s="79">
        <v>0</v>
      </c>
      <c r="S1028" s="79">
        <v>0</v>
      </c>
      <c r="T1028" s="79">
        <v>0</v>
      </c>
      <c r="U1028" s="79">
        <v>0</v>
      </c>
      <c r="V1028" s="79">
        <v>0</v>
      </c>
      <c r="W1028" s="79">
        <v>0</v>
      </c>
      <c r="X1028" s="90">
        <v>0</v>
      </c>
    </row>
    <row r="1029" spans="1:24" hidden="1" x14ac:dyDescent="0.25">
      <c r="A1029" s="80" t="str">
        <v>PENDIENTE</v>
      </c>
      <c r="B1029" s="80" t="str">
        <v>San Roque</v>
      </c>
      <c r="C1029" s="80" t="str">
        <v>Agosto</v>
      </c>
      <c r="D1029" s="81">
        <v>46228</v>
      </c>
      <c r="E1029" s="79">
        <v>180.47200000000001</v>
      </c>
      <c r="F1029" s="81">
        <v>46171</v>
      </c>
      <c r="G1029" s="79" cm="1">
        <f t="array" ref="G1029:X1029">_xlfn._xlws.FILTER(Formulas!$C$2:$T$201, ISNUMBER(MATCH(Formulas!$B$2:$B$201, B1029, 0)),0) * E1029</f>
        <v>36.111353687177079</v>
      </c>
      <c r="H1029" s="79">
        <v>66.797527477689059</v>
      </c>
      <c r="I1029" s="79">
        <v>7.205317050258337</v>
      </c>
      <c r="J1029" s="79">
        <v>0</v>
      </c>
      <c r="K1029" s="79">
        <v>0</v>
      </c>
      <c r="L1029" s="79">
        <v>0</v>
      </c>
      <c r="M1029" s="79">
        <v>7.205317050258337</v>
      </c>
      <c r="N1029" s="79">
        <v>0</v>
      </c>
      <c r="O1029" s="79">
        <v>63.152484734617197</v>
      </c>
      <c r="P1029" s="79">
        <v>0</v>
      </c>
      <c r="Q1029" s="79">
        <v>0</v>
      </c>
      <c r="R1029" s="79">
        <v>0</v>
      </c>
      <c r="S1029" s="79">
        <v>0</v>
      </c>
      <c r="T1029" s="79">
        <v>0</v>
      </c>
      <c r="U1029" s="79">
        <v>0</v>
      </c>
      <c r="V1029" s="79">
        <v>0</v>
      </c>
      <c r="W1029" s="79">
        <v>0</v>
      </c>
      <c r="X1029" s="90">
        <v>0</v>
      </c>
    </row>
    <row r="1030" spans="1:24" hidden="1" x14ac:dyDescent="0.25">
      <c r="A1030" s="80" t="str">
        <v>PENDIENTE</v>
      </c>
      <c r="B1030" s="80" t="str">
        <v>San Roque</v>
      </c>
      <c r="C1030" s="80" t="str">
        <v>Setiembre</v>
      </c>
      <c r="D1030" s="81">
        <v>46259</v>
      </c>
      <c r="E1030" s="79">
        <v>174.65</v>
      </c>
      <c r="F1030" s="81">
        <v>46171</v>
      </c>
      <c r="G1030" s="79" cm="1">
        <f t="array" ref="G1030:X1030">_xlfn._xlws.FILTER(Formulas!$C$2:$T$201, ISNUMBER(MATCH(Formulas!$B$2:$B$201, B1030, 0)),0) * E1030</f>
        <v>34.946406763738842</v>
      </c>
      <c r="H1030" s="79">
        <v>64.642649131047449</v>
      </c>
      <c r="I1030" s="79">
        <v>6.9728745890089243</v>
      </c>
      <c r="J1030" s="79">
        <v>0</v>
      </c>
      <c r="K1030" s="79">
        <v>0</v>
      </c>
      <c r="L1030" s="79">
        <v>0</v>
      </c>
      <c r="M1030" s="79">
        <v>6.9728745890089243</v>
      </c>
      <c r="N1030" s="79">
        <v>0</v>
      </c>
      <c r="O1030" s="79">
        <v>61.115194927195866</v>
      </c>
      <c r="P1030" s="79">
        <v>0</v>
      </c>
      <c r="Q1030" s="79">
        <v>0</v>
      </c>
      <c r="R1030" s="79">
        <v>0</v>
      </c>
      <c r="S1030" s="79">
        <v>0</v>
      </c>
      <c r="T1030" s="79">
        <v>0</v>
      </c>
      <c r="U1030" s="79">
        <v>0</v>
      </c>
      <c r="V1030" s="79">
        <v>0</v>
      </c>
      <c r="W1030" s="79">
        <v>0</v>
      </c>
      <c r="X1030" s="90">
        <v>0</v>
      </c>
    </row>
    <row r="1031" spans="1:24" hidden="1" x14ac:dyDescent="0.25">
      <c r="A1031" s="80" t="str">
        <v>PENDIENTE</v>
      </c>
      <c r="B1031" s="80" t="str">
        <v>San Roque</v>
      </c>
      <c r="C1031" s="80" t="str">
        <v>Octubre</v>
      </c>
      <c r="D1031" s="81">
        <v>46290</v>
      </c>
      <c r="E1031" s="79">
        <v>180.47200000000001</v>
      </c>
      <c r="F1031" s="81">
        <v>46276</v>
      </c>
      <c r="G1031" s="79" cm="1">
        <f t="array" ref="G1031:X1031">_xlfn._xlws.FILTER(Formulas!$C$2:$T$201, ISNUMBER(MATCH(Formulas!$B$2:$B$201, B1031, 0)),0) * E1031</f>
        <v>36.111353687177079</v>
      </c>
      <c r="H1031" s="79">
        <v>66.797527477689059</v>
      </c>
      <c r="I1031" s="79">
        <v>7.205317050258337</v>
      </c>
      <c r="J1031" s="79">
        <v>0</v>
      </c>
      <c r="K1031" s="79">
        <v>0</v>
      </c>
      <c r="L1031" s="79">
        <v>0</v>
      </c>
      <c r="M1031" s="79">
        <v>7.205317050258337</v>
      </c>
      <c r="N1031" s="79">
        <v>0</v>
      </c>
      <c r="O1031" s="79">
        <v>63.152484734617197</v>
      </c>
      <c r="P1031" s="79">
        <v>0</v>
      </c>
      <c r="Q1031" s="79">
        <v>0</v>
      </c>
      <c r="R1031" s="79">
        <v>0</v>
      </c>
      <c r="S1031" s="79">
        <v>0</v>
      </c>
      <c r="T1031" s="79">
        <v>0</v>
      </c>
      <c r="U1031" s="79">
        <v>0</v>
      </c>
      <c r="V1031" s="79">
        <v>0</v>
      </c>
      <c r="W1031" s="79">
        <v>0</v>
      </c>
      <c r="X1031" s="90">
        <v>0</v>
      </c>
    </row>
    <row r="1032" spans="1:24" hidden="1" x14ac:dyDescent="0.25">
      <c r="A1032" s="80" t="str">
        <v>PENDIENTE</v>
      </c>
      <c r="B1032" s="80" t="str">
        <v>San Roque</v>
      </c>
      <c r="C1032" s="80" t="str">
        <v>Noviembre</v>
      </c>
      <c r="D1032" s="81">
        <v>46290</v>
      </c>
      <c r="E1032" s="79">
        <v>174.65</v>
      </c>
      <c r="F1032" s="81">
        <v>46276</v>
      </c>
      <c r="G1032" s="79" cm="1">
        <f t="array" ref="G1032:X1032">_xlfn._xlws.FILTER(Formulas!$C$2:$T$201, ISNUMBER(MATCH(Formulas!$B$2:$B$201, B1032, 0)),0) * E1032</f>
        <v>34.946406763738842</v>
      </c>
      <c r="H1032" s="79">
        <v>64.642649131047449</v>
      </c>
      <c r="I1032" s="79">
        <v>6.9728745890089243</v>
      </c>
      <c r="J1032" s="79">
        <v>0</v>
      </c>
      <c r="K1032" s="79">
        <v>0</v>
      </c>
      <c r="L1032" s="79">
        <v>0</v>
      </c>
      <c r="M1032" s="79">
        <v>6.9728745890089243</v>
      </c>
      <c r="N1032" s="79">
        <v>0</v>
      </c>
      <c r="O1032" s="79">
        <v>61.115194927195866</v>
      </c>
      <c r="P1032" s="79">
        <v>0</v>
      </c>
      <c r="Q1032" s="79">
        <v>0</v>
      </c>
      <c r="R1032" s="79">
        <v>0</v>
      </c>
      <c r="S1032" s="79">
        <v>0</v>
      </c>
      <c r="T1032" s="79">
        <v>0</v>
      </c>
      <c r="U1032" s="79">
        <v>0</v>
      </c>
      <c r="V1032" s="79">
        <v>0</v>
      </c>
      <c r="W1032" s="79">
        <v>0</v>
      </c>
      <c r="X1032" s="90">
        <v>0</v>
      </c>
    </row>
    <row r="1033" spans="1:24" hidden="1" x14ac:dyDescent="0.25">
      <c r="A1033" s="80" t="str">
        <v>PENDIENTE</v>
      </c>
      <c r="B1033" s="80" t="str">
        <v>San Roque</v>
      </c>
      <c r="C1033" s="80" t="str">
        <v>Diciembre</v>
      </c>
      <c r="D1033" s="81">
        <v>46290</v>
      </c>
      <c r="E1033" s="79">
        <v>180.47200000000001</v>
      </c>
      <c r="F1033" s="81">
        <v>46276</v>
      </c>
      <c r="G1033" s="79" cm="1">
        <f t="array" ref="G1033:X1033">_xlfn._xlws.FILTER(Formulas!$C$2:$T$201, ISNUMBER(MATCH(Formulas!$B$2:$B$201, B1033, 0)),0) * E1033</f>
        <v>36.111353687177079</v>
      </c>
      <c r="H1033" s="79">
        <v>66.797527477689059</v>
      </c>
      <c r="I1033" s="79">
        <v>7.205317050258337</v>
      </c>
      <c r="J1033" s="79">
        <v>0</v>
      </c>
      <c r="K1033" s="79">
        <v>0</v>
      </c>
      <c r="L1033" s="79">
        <v>0</v>
      </c>
      <c r="M1033" s="79">
        <v>7.205317050258337</v>
      </c>
      <c r="N1033" s="79">
        <v>0</v>
      </c>
      <c r="O1033" s="79">
        <v>63.152484734617197</v>
      </c>
      <c r="P1033" s="79">
        <v>0</v>
      </c>
      <c r="Q1033" s="79">
        <v>0</v>
      </c>
      <c r="R1033" s="79">
        <v>0</v>
      </c>
      <c r="S1033" s="79">
        <v>0</v>
      </c>
      <c r="T1033" s="79">
        <v>0</v>
      </c>
      <c r="U1033" s="79">
        <v>0</v>
      </c>
      <c r="V1033" s="79">
        <v>0</v>
      </c>
      <c r="W1033" s="79">
        <v>0</v>
      </c>
      <c r="X1033" s="90">
        <v>0</v>
      </c>
    </row>
    <row r="1034" spans="1:24" hidden="1" x14ac:dyDescent="0.25">
      <c r="A1034" s="80" t="str">
        <v>PENDIENTE</v>
      </c>
      <c r="B1034" s="80" t="str">
        <v>Santa</v>
      </c>
      <c r="C1034" s="80" t="str">
        <v>Enero</v>
      </c>
      <c r="D1034" s="81">
        <v>46020</v>
      </c>
      <c r="E1034" s="79">
        <v>2308</v>
      </c>
      <c r="F1034" s="81">
        <v>45997</v>
      </c>
      <c r="G1034" s="79" cm="1">
        <f t="array" ref="G1034:X1034">_xlfn._xlws.FILTER(Formulas!$C$2:$T$201, ISNUMBER(MATCH(Formulas!$B$2:$B$201, B1034, 0)),0) * E1034</f>
        <v>600.08000000000004</v>
      </c>
      <c r="H1034" s="79">
        <v>1500.2</v>
      </c>
      <c r="I1034" s="79">
        <v>103.86</v>
      </c>
      <c r="J1034" s="79">
        <v>103.86</v>
      </c>
      <c r="K1034" s="79">
        <v>0</v>
      </c>
      <c r="L1034" s="79">
        <v>0</v>
      </c>
      <c r="M1034" s="79">
        <v>0</v>
      </c>
      <c r="N1034" s="79">
        <v>0</v>
      </c>
      <c r="O1034" s="79">
        <v>0</v>
      </c>
      <c r="P1034" s="79">
        <v>0</v>
      </c>
      <c r="Q1034" s="79">
        <v>0</v>
      </c>
      <c r="R1034" s="79">
        <v>0</v>
      </c>
      <c r="S1034" s="79">
        <v>0</v>
      </c>
      <c r="T1034" s="79">
        <v>0</v>
      </c>
      <c r="U1034" s="79">
        <v>0</v>
      </c>
      <c r="V1034" s="79">
        <v>0</v>
      </c>
      <c r="W1034" s="79">
        <v>0</v>
      </c>
      <c r="X1034" s="90">
        <v>0</v>
      </c>
    </row>
    <row r="1035" spans="1:24" hidden="1" x14ac:dyDescent="0.25">
      <c r="A1035" s="80" t="str">
        <v>PENDIENTE</v>
      </c>
      <c r="B1035" s="80" t="str">
        <v>Santa</v>
      </c>
      <c r="C1035" s="80" t="str">
        <v>Febrero</v>
      </c>
      <c r="D1035" s="81">
        <v>46048</v>
      </c>
      <c r="E1035" s="79">
        <v>2308</v>
      </c>
      <c r="F1035" s="81">
        <v>46045</v>
      </c>
      <c r="G1035" s="79" cm="1">
        <f t="array" ref="G1035:X1035">_xlfn._xlws.FILTER(Formulas!$C$2:$T$201, ISNUMBER(MATCH(Formulas!$B$2:$B$201, B1035, 0)),0) * E1035</f>
        <v>600.08000000000004</v>
      </c>
      <c r="H1035" s="79">
        <v>1500.2</v>
      </c>
      <c r="I1035" s="79">
        <v>103.86</v>
      </c>
      <c r="J1035" s="79">
        <v>103.86</v>
      </c>
      <c r="K1035" s="79">
        <v>0</v>
      </c>
      <c r="L1035" s="79">
        <v>0</v>
      </c>
      <c r="M1035" s="79">
        <v>0</v>
      </c>
      <c r="N1035" s="79">
        <v>0</v>
      </c>
      <c r="O1035" s="79">
        <v>0</v>
      </c>
      <c r="P1035" s="79">
        <v>0</v>
      </c>
      <c r="Q1035" s="79">
        <v>0</v>
      </c>
      <c r="R1035" s="79">
        <v>0</v>
      </c>
      <c r="S1035" s="79">
        <v>0</v>
      </c>
      <c r="T1035" s="79">
        <v>0</v>
      </c>
      <c r="U1035" s="79">
        <v>0</v>
      </c>
      <c r="V1035" s="79">
        <v>0</v>
      </c>
      <c r="W1035" s="79">
        <v>0</v>
      </c>
      <c r="X1035" s="90">
        <v>0</v>
      </c>
    </row>
    <row r="1036" spans="1:24" hidden="1" x14ac:dyDescent="0.25">
      <c r="A1036" s="80" t="str">
        <v>PENDIENTE</v>
      </c>
      <c r="B1036" s="80" t="str">
        <v>Santa</v>
      </c>
      <c r="C1036" s="80" t="str">
        <v>Marzo</v>
      </c>
      <c r="D1036" s="81">
        <v>46076</v>
      </c>
      <c r="E1036" s="79">
        <v>2308</v>
      </c>
      <c r="F1036" s="81">
        <v>46073</v>
      </c>
      <c r="G1036" s="79" cm="1">
        <f t="array" ref="G1036:X1036">_xlfn._xlws.FILTER(Formulas!$C$2:$T$201, ISNUMBER(MATCH(Formulas!$B$2:$B$201, B1036, 0)),0) * E1036</f>
        <v>600.08000000000004</v>
      </c>
      <c r="H1036" s="79">
        <v>1500.2</v>
      </c>
      <c r="I1036" s="79">
        <v>103.86</v>
      </c>
      <c r="J1036" s="79">
        <v>103.86</v>
      </c>
      <c r="K1036" s="79">
        <v>0</v>
      </c>
      <c r="L1036" s="79">
        <v>0</v>
      </c>
      <c r="M1036" s="79">
        <v>0</v>
      </c>
      <c r="N1036" s="79">
        <v>0</v>
      </c>
      <c r="O1036" s="79">
        <v>0</v>
      </c>
      <c r="P1036" s="79">
        <v>0</v>
      </c>
      <c r="Q1036" s="79">
        <v>0</v>
      </c>
      <c r="R1036" s="79">
        <v>0</v>
      </c>
      <c r="S1036" s="79">
        <v>0</v>
      </c>
      <c r="T1036" s="79">
        <v>0</v>
      </c>
      <c r="U1036" s="79">
        <v>0</v>
      </c>
      <c r="V1036" s="79">
        <v>0</v>
      </c>
      <c r="W1036" s="79">
        <v>0</v>
      </c>
      <c r="X1036" s="90">
        <v>0</v>
      </c>
    </row>
    <row r="1037" spans="1:24" hidden="1" x14ac:dyDescent="0.25">
      <c r="A1037" s="80" t="str">
        <v>PENDIENTE</v>
      </c>
      <c r="B1037" s="80" t="str">
        <v>Santa</v>
      </c>
      <c r="C1037" s="80" t="str">
        <v>Abril</v>
      </c>
      <c r="D1037" s="81">
        <v>46106</v>
      </c>
      <c r="E1037" s="79">
        <v>2308</v>
      </c>
      <c r="F1037" s="81">
        <v>46104</v>
      </c>
      <c r="G1037" s="79" cm="1">
        <f t="array" ref="G1037:X1037">_xlfn._xlws.FILTER(Formulas!$C$2:$T$201, ISNUMBER(MATCH(Formulas!$B$2:$B$201, B1037, 0)),0) * E1037</f>
        <v>600.08000000000004</v>
      </c>
      <c r="H1037" s="79">
        <v>1500.2</v>
      </c>
      <c r="I1037" s="79">
        <v>103.86</v>
      </c>
      <c r="J1037" s="79">
        <v>103.86</v>
      </c>
      <c r="K1037" s="79">
        <v>0</v>
      </c>
      <c r="L1037" s="79">
        <v>0</v>
      </c>
      <c r="M1037" s="79">
        <v>0</v>
      </c>
      <c r="N1037" s="79">
        <v>0</v>
      </c>
      <c r="O1037" s="79">
        <v>0</v>
      </c>
      <c r="P1037" s="79">
        <v>0</v>
      </c>
      <c r="Q1037" s="79">
        <v>0</v>
      </c>
      <c r="R1037" s="79">
        <v>0</v>
      </c>
      <c r="S1037" s="79">
        <v>0</v>
      </c>
      <c r="T1037" s="79">
        <v>0</v>
      </c>
      <c r="U1037" s="79">
        <v>0</v>
      </c>
      <c r="V1037" s="79">
        <v>0</v>
      </c>
      <c r="W1037" s="79">
        <v>0</v>
      </c>
      <c r="X1037" s="90">
        <v>0</v>
      </c>
    </row>
    <row r="1038" spans="1:24" hidden="1" x14ac:dyDescent="0.25">
      <c r="A1038" s="80" t="str">
        <v>PENDIENTE</v>
      </c>
      <c r="B1038" s="80" t="str">
        <v>Santa</v>
      </c>
      <c r="C1038" s="80" t="str">
        <v>Mayo</v>
      </c>
      <c r="D1038" s="81">
        <v>46136</v>
      </c>
      <c r="E1038" s="79">
        <v>2308</v>
      </c>
      <c r="F1038" s="80">
        <v>46135</v>
      </c>
      <c r="G1038" s="79" cm="1">
        <f t="array" ref="G1038:X1038">_xlfn._xlws.FILTER(Formulas!$C$2:$T$201, ISNUMBER(MATCH(Formulas!$B$2:$B$201, B1038, 0)),0) * E1038</f>
        <v>600.08000000000004</v>
      </c>
      <c r="H1038" s="79">
        <v>1500.2</v>
      </c>
      <c r="I1038" s="79">
        <v>103.86</v>
      </c>
      <c r="J1038" s="79">
        <v>103.86</v>
      </c>
      <c r="K1038" s="79">
        <v>0</v>
      </c>
      <c r="L1038" s="79">
        <v>0</v>
      </c>
      <c r="M1038" s="79">
        <v>0</v>
      </c>
      <c r="N1038" s="79">
        <v>0</v>
      </c>
      <c r="O1038" s="79">
        <v>0</v>
      </c>
      <c r="P1038" s="79">
        <v>0</v>
      </c>
      <c r="Q1038" s="79">
        <v>0</v>
      </c>
      <c r="R1038" s="79">
        <v>0</v>
      </c>
      <c r="S1038" s="79">
        <v>0</v>
      </c>
      <c r="T1038" s="79">
        <v>0</v>
      </c>
      <c r="U1038" s="79">
        <v>0</v>
      </c>
      <c r="V1038" s="79">
        <v>0</v>
      </c>
      <c r="W1038" s="79">
        <v>0</v>
      </c>
      <c r="X1038" s="90">
        <v>0</v>
      </c>
    </row>
    <row r="1039" spans="1:24" hidden="1" x14ac:dyDescent="0.25">
      <c r="A1039" s="80" t="str">
        <v>PENDIENTE</v>
      </c>
      <c r="B1039" s="80" t="str">
        <v>Santa</v>
      </c>
      <c r="C1039" s="80" t="str">
        <v>Junio</v>
      </c>
      <c r="D1039" s="81">
        <v>46167</v>
      </c>
      <c r="E1039" s="79">
        <v>2308</v>
      </c>
      <c r="F1039" s="80">
        <v>46154</v>
      </c>
      <c r="G1039" s="79" cm="1">
        <f t="array" ref="G1039:X1039">_xlfn._xlws.FILTER(Formulas!$C$2:$T$201, ISNUMBER(MATCH(Formulas!$B$2:$B$201, B1039, 0)),0) * E1039</f>
        <v>600.08000000000004</v>
      </c>
      <c r="H1039" s="79">
        <v>1500.2</v>
      </c>
      <c r="I1039" s="79">
        <v>103.86</v>
      </c>
      <c r="J1039" s="79">
        <v>103.86</v>
      </c>
      <c r="K1039" s="79">
        <v>0</v>
      </c>
      <c r="L1039" s="79">
        <v>0</v>
      </c>
      <c r="M1039" s="79">
        <v>0</v>
      </c>
      <c r="N1039" s="79">
        <v>0</v>
      </c>
      <c r="O1039" s="79">
        <v>0</v>
      </c>
      <c r="P1039" s="79">
        <v>0</v>
      </c>
      <c r="Q1039" s="79">
        <v>0</v>
      </c>
      <c r="R1039" s="79">
        <v>0</v>
      </c>
      <c r="S1039" s="79">
        <v>0</v>
      </c>
      <c r="T1039" s="79">
        <v>0</v>
      </c>
      <c r="U1039" s="79">
        <v>0</v>
      </c>
      <c r="V1039" s="79">
        <v>0</v>
      </c>
      <c r="W1039" s="79">
        <v>0</v>
      </c>
      <c r="X1039" s="90">
        <v>0</v>
      </c>
    </row>
    <row r="1040" spans="1:24" hidden="1" x14ac:dyDescent="0.25">
      <c r="A1040" s="80" t="str">
        <v>PENDIENTE</v>
      </c>
      <c r="B1040" s="80" t="str">
        <v>Santa</v>
      </c>
      <c r="C1040" s="80" t="str">
        <v>Julio</v>
      </c>
      <c r="D1040" s="81">
        <v>46198</v>
      </c>
      <c r="E1040" s="79">
        <v>2308</v>
      </c>
      <c r="F1040" s="80">
        <v>46196</v>
      </c>
      <c r="G1040" s="79" cm="1">
        <f t="array" ref="G1040:X1040">_xlfn._xlws.FILTER(Formulas!$C$2:$T$201, ISNUMBER(MATCH(Formulas!$B$2:$B$201, B1040, 0)),0) * E1040</f>
        <v>600.08000000000004</v>
      </c>
      <c r="H1040" s="79">
        <v>1500.2</v>
      </c>
      <c r="I1040" s="79">
        <v>103.86</v>
      </c>
      <c r="J1040" s="79">
        <v>103.86</v>
      </c>
      <c r="K1040" s="79">
        <v>0</v>
      </c>
      <c r="L1040" s="79">
        <v>0</v>
      </c>
      <c r="M1040" s="79">
        <v>0</v>
      </c>
      <c r="N1040" s="79">
        <v>0</v>
      </c>
      <c r="O1040" s="79">
        <v>0</v>
      </c>
      <c r="P1040" s="79">
        <v>0</v>
      </c>
      <c r="Q1040" s="79">
        <v>0</v>
      </c>
      <c r="R1040" s="79">
        <v>0</v>
      </c>
      <c r="S1040" s="79">
        <v>0</v>
      </c>
      <c r="T1040" s="79">
        <v>0</v>
      </c>
      <c r="U1040" s="79">
        <v>0</v>
      </c>
      <c r="V1040" s="79">
        <v>0</v>
      </c>
      <c r="W1040" s="79">
        <v>0</v>
      </c>
      <c r="X1040" s="90">
        <v>0</v>
      </c>
    </row>
    <row r="1041" spans="1:24" hidden="1" x14ac:dyDescent="0.25">
      <c r="A1041" s="80" t="str">
        <v>PENDIENTE</v>
      </c>
      <c r="B1041" s="80" t="str">
        <v>Santa</v>
      </c>
      <c r="C1041" s="80" t="str">
        <v>Agosto</v>
      </c>
      <c r="D1041" s="81">
        <v>46227</v>
      </c>
      <c r="E1041" s="79">
        <v>2308</v>
      </c>
      <c r="F1041" s="81">
        <v>46225</v>
      </c>
      <c r="G1041" s="79" cm="1">
        <f t="array" ref="G1041:X1041">_xlfn._xlws.FILTER(Formulas!$C$2:$T$201, ISNUMBER(MATCH(Formulas!$B$2:$B$201, B1041, 0)),0) * E1041</f>
        <v>600.08000000000004</v>
      </c>
      <c r="H1041" s="79">
        <v>1500.2</v>
      </c>
      <c r="I1041" s="79">
        <v>103.86</v>
      </c>
      <c r="J1041" s="79">
        <v>103.86</v>
      </c>
      <c r="K1041" s="79">
        <v>0</v>
      </c>
      <c r="L1041" s="79">
        <v>0</v>
      </c>
      <c r="M1041" s="79">
        <v>0</v>
      </c>
      <c r="N1041" s="79">
        <v>0</v>
      </c>
      <c r="O1041" s="79">
        <v>0</v>
      </c>
      <c r="P1041" s="79">
        <v>0</v>
      </c>
      <c r="Q1041" s="79">
        <v>0</v>
      </c>
      <c r="R1041" s="79">
        <v>0</v>
      </c>
      <c r="S1041" s="79">
        <v>0</v>
      </c>
      <c r="T1041" s="79">
        <v>0</v>
      </c>
      <c r="U1041" s="79">
        <v>0</v>
      </c>
      <c r="V1041" s="79">
        <v>0</v>
      </c>
      <c r="W1041" s="79">
        <v>0</v>
      </c>
      <c r="X1041" s="90">
        <v>0</v>
      </c>
    </row>
    <row r="1042" spans="1:24" hidden="1" x14ac:dyDescent="0.25">
      <c r="A1042" s="80" t="str">
        <v>PENDIENTE</v>
      </c>
      <c r="B1042" s="80" t="str">
        <v>Santa</v>
      </c>
      <c r="C1042" s="80" t="str">
        <v>O.C.</v>
      </c>
      <c r="D1042" s="81">
        <v>46255</v>
      </c>
      <c r="E1042" s="79">
        <v>1876</v>
      </c>
      <c r="F1042" s="81">
        <v>46258</v>
      </c>
      <c r="G1042" s="79" cm="1">
        <f t="array" ref="G1042:X1042">_xlfn._xlws.FILTER(Formulas!$C$2:$T$201, ISNUMBER(MATCH(Formulas!$B$2:$B$201, B1042, 0)),0) * E1042</f>
        <v>487.76</v>
      </c>
      <c r="H1042" s="79">
        <v>1219.4000000000001</v>
      </c>
      <c r="I1042" s="79">
        <v>84.42</v>
      </c>
      <c r="J1042" s="79">
        <v>84.42</v>
      </c>
      <c r="K1042" s="79">
        <v>0</v>
      </c>
      <c r="L1042" s="79">
        <v>0</v>
      </c>
      <c r="M1042" s="79">
        <v>0</v>
      </c>
      <c r="N1042" s="79">
        <v>0</v>
      </c>
      <c r="O1042" s="79">
        <v>0</v>
      </c>
      <c r="P1042" s="79">
        <v>0</v>
      </c>
      <c r="Q1042" s="79">
        <v>0</v>
      </c>
      <c r="R1042" s="79">
        <v>0</v>
      </c>
      <c r="S1042" s="79">
        <v>0</v>
      </c>
      <c r="T1042" s="79">
        <v>0</v>
      </c>
      <c r="U1042" s="79">
        <v>0</v>
      </c>
      <c r="V1042" s="79">
        <v>0</v>
      </c>
      <c r="W1042" s="79">
        <v>0</v>
      </c>
      <c r="X1042" s="90">
        <v>0</v>
      </c>
    </row>
    <row r="1043" spans="1:24" hidden="1" x14ac:dyDescent="0.25">
      <c r="A1043" s="80" t="str">
        <v>PENDIENTE</v>
      </c>
      <c r="B1043" s="80" t="str">
        <v>Santa</v>
      </c>
      <c r="C1043" s="80" t="str">
        <v>Setiembre</v>
      </c>
      <c r="D1043" s="81">
        <v>46259</v>
      </c>
      <c r="E1043" s="79">
        <v>2308</v>
      </c>
      <c r="F1043" s="81">
        <v>46258</v>
      </c>
      <c r="G1043" s="79" cm="1">
        <f t="array" ref="G1043:X1043">_xlfn._xlws.FILTER(Formulas!$C$2:$T$201, ISNUMBER(MATCH(Formulas!$B$2:$B$201, B1043, 0)),0) * E1043</f>
        <v>600.08000000000004</v>
      </c>
      <c r="H1043" s="79">
        <v>1500.2</v>
      </c>
      <c r="I1043" s="79">
        <v>103.86</v>
      </c>
      <c r="J1043" s="79">
        <v>103.86</v>
      </c>
      <c r="K1043" s="79">
        <v>0</v>
      </c>
      <c r="L1043" s="79">
        <v>0</v>
      </c>
      <c r="M1043" s="79">
        <v>0</v>
      </c>
      <c r="N1043" s="79">
        <v>0</v>
      </c>
      <c r="O1043" s="79">
        <v>0</v>
      </c>
      <c r="P1043" s="79">
        <v>0</v>
      </c>
      <c r="Q1043" s="79">
        <v>0</v>
      </c>
      <c r="R1043" s="79">
        <v>0</v>
      </c>
      <c r="S1043" s="79">
        <v>0</v>
      </c>
      <c r="T1043" s="79">
        <v>0</v>
      </c>
      <c r="U1043" s="79">
        <v>0</v>
      </c>
      <c r="V1043" s="79">
        <v>0</v>
      </c>
      <c r="W1043" s="79">
        <v>0</v>
      </c>
      <c r="X1043" s="90">
        <v>0</v>
      </c>
    </row>
    <row r="1044" spans="1:24" hidden="1" x14ac:dyDescent="0.25">
      <c r="A1044" s="80" t="str">
        <v>PENDIENTE</v>
      </c>
      <c r="B1044" s="80" t="str">
        <v>Santa</v>
      </c>
      <c r="C1044" s="80" t="str">
        <v>Octubre</v>
      </c>
      <c r="D1044" s="81">
        <v>46290</v>
      </c>
      <c r="E1044" s="79">
        <v>2308</v>
      </c>
      <c r="F1044" s="81">
        <v>46293</v>
      </c>
      <c r="G1044" s="79" cm="1">
        <f t="array" ref="G1044:X1044">_xlfn._xlws.FILTER(Formulas!$C$2:$T$201, ISNUMBER(MATCH(Formulas!$B$2:$B$201, B1044, 0)),0) * E1044</f>
        <v>600.08000000000004</v>
      </c>
      <c r="H1044" s="79">
        <v>1500.2</v>
      </c>
      <c r="I1044" s="79">
        <v>103.86</v>
      </c>
      <c r="J1044" s="79">
        <v>103.86</v>
      </c>
      <c r="K1044" s="79">
        <v>0</v>
      </c>
      <c r="L1044" s="79">
        <v>0</v>
      </c>
      <c r="M1044" s="79">
        <v>0</v>
      </c>
      <c r="N1044" s="79">
        <v>0</v>
      </c>
      <c r="O1044" s="79">
        <v>0</v>
      </c>
      <c r="P1044" s="79">
        <v>0</v>
      </c>
      <c r="Q1044" s="79">
        <v>0</v>
      </c>
      <c r="R1044" s="79">
        <v>0</v>
      </c>
      <c r="S1044" s="79">
        <v>0</v>
      </c>
      <c r="T1044" s="79">
        <v>0</v>
      </c>
      <c r="U1044" s="79">
        <v>0</v>
      </c>
      <c r="V1044" s="79">
        <v>0</v>
      </c>
      <c r="W1044" s="79">
        <v>0</v>
      </c>
      <c r="X1044" s="90">
        <v>0</v>
      </c>
    </row>
    <row r="1045" spans="1:24" hidden="1" x14ac:dyDescent="0.25">
      <c r="A1045" s="80" t="str">
        <v>PENDIENTE</v>
      </c>
      <c r="B1045" s="80" t="str">
        <v>Santa</v>
      </c>
      <c r="C1045" s="80" t="str">
        <v>Noviembre</v>
      </c>
      <c r="D1045" s="81">
        <v>46318</v>
      </c>
      <c r="E1045" s="79">
        <v>2308</v>
      </c>
      <c r="F1045" s="81">
        <v>0</v>
      </c>
      <c r="G1045" s="79" cm="1">
        <f t="array" ref="G1045:X1045">_xlfn._xlws.FILTER(Formulas!$C$2:$T$201, ISNUMBER(MATCH(Formulas!$B$2:$B$201, B1045, 0)),0) * E1045</f>
        <v>600.08000000000004</v>
      </c>
      <c r="H1045" s="79">
        <v>1500.2</v>
      </c>
      <c r="I1045" s="79">
        <v>103.86</v>
      </c>
      <c r="J1045" s="79">
        <v>103.86</v>
      </c>
      <c r="K1045" s="79">
        <v>0</v>
      </c>
      <c r="L1045" s="79">
        <v>0</v>
      </c>
      <c r="M1045" s="79">
        <v>0</v>
      </c>
      <c r="N1045" s="79">
        <v>0</v>
      </c>
      <c r="O1045" s="79">
        <v>0</v>
      </c>
      <c r="P1045" s="79">
        <v>0</v>
      </c>
      <c r="Q1045" s="79">
        <v>0</v>
      </c>
      <c r="R1045" s="79">
        <v>0</v>
      </c>
      <c r="S1045" s="79">
        <v>0</v>
      </c>
      <c r="T1045" s="79">
        <v>0</v>
      </c>
      <c r="U1045" s="79">
        <v>0</v>
      </c>
      <c r="V1045" s="79">
        <v>0</v>
      </c>
      <c r="W1045" s="79">
        <v>0</v>
      </c>
      <c r="X1045" s="90">
        <v>0</v>
      </c>
    </row>
    <row r="1046" spans="1:24" hidden="1" x14ac:dyDescent="0.25">
      <c r="A1046" s="80" t="str">
        <v>PENDIENTE</v>
      </c>
      <c r="B1046" s="80" t="str">
        <v>Santa</v>
      </c>
      <c r="C1046" s="80" t="str">
        <v>Diciembre</v>
      </c>
      <c r="D1046" s="81">
        <v>46350</v>
      </c>
      <c r="E1046" s="79">
        <v>2308</v>
      </c>
      <c r="F1046" s="81">
        <v>0</v>
      </c>
      <c r="G1046" s="79" cm="1">
        <f t="array" ref="G1046:X1046">_xlfn._xlws.FILTER(Formulas!$C$2:$T$201, ISNUMBER(MATCH(Formulas!$B$2:$B$201, B1046, 0)),0) * E1046</f>
        <v>600.08000000000004</v>
      </c>
      <c r="H1046" s="79">
        <v>1500.2</v>
      </c>
      <c r="I1046" s="79">
        <v>103.86</v>
      </c>
      <c r="J1046" s="79">
        <v>103.86</v>
      </c>
      <c r="K1046" s="79">
        <v>0</v>
      </c>
      <c r="L1046" s="79">
        <v>0</v>
      </c>
      <c r="M1046" s="79">
        <v>0</v>
      </c>
      <c r="N1046" s="79">
        <v>0</v>
      </c>
      <c r="O1046" s="79">
        <v>0</v>
      </c>
      <c r="P1046" s="79">
        <v>0</v>
      </c>
      <c r="Q1046" s="79">
        <v>0</v>
      </c>
      <c r="R1046" s="79">
        <v>0</v>
      </c>
      <c r="S1046" s="79">
        <v>0</v>
      </c>
      <c r="T1046" s="79">
        <v>0</v>
      </c>
      <c r="U1046" s="79">
        <v>0</v>
      </c>
      <c r="V1046" s="79">
        <v>0</v>
      </c>
      <c r="W1046" s="79">
        <v>0</v>
      </c>
      <c r="X1046" s="90">
        <v>0</v>
      </c>
    </row>
    <row r="1047" spans="1:24" hidden="1" x14ac:dyDescent="0.25">
      <c r="A1047" s="80" t="str">
        <v>PENDIENTE</v>
      </c>
      <c r="B1047" s="80" t="str">
        <v>Sarin</v>
      </c>
      <c r="C1047" s="80" t="str">
        <v>Enero</v>
      </c>
      <c r="D1047" s="81">
        <v>46011</v>
      </c>
      <c r="E1047" s="79">
        <v>2394.3042500000001</v>
      </c>
      <c r="F1047" s="81">
        <v>46008</v>
      </c>
      <c r="G1047" s="79" cm="1">
        <f t="array" ref="G1047:X1047">_xlfn._xlws.FILTER(Formulas!$C$2:$T$201, ISNUMBER(MATCH(Formulas!$B$2:$B$201, B1047, 0)),0) * E1047</f>
        <v>478.86085000000003</v>
      </c>
      <c r="H1047" s="79">
        <v>1790.4797126304802</v>
      </c>
      <c r="I1047" s="79">
        <v>131.96165386221296</v>
      </c>
      <c r="J1047" s="79">
        <v>0</v>
      </c>
      <c r="K1047" s="79">
        <v>0</v>
      </c>
      <c r="L1047" s="79">
        <v>0</v>
      </c>
      <c r="M1047" s="79">
        <v>0</v>
      </c>
      <c r="N1047" s="79">
        <v>0</v>
      </c>
      <c r="O1047" s="79">
        <v>0</v>
      </c>
      <c r="P1047" s="79">
        <v>0</v>
      </c>
      <c r="Q1047" s="79">
        <v>0</v>
      </c>
      <c r="R1047" s="79">
        <v>0</v>
      </c>
      <c r="S1047" s="79">
        <v>0</v>
      </c>
      <c r="T1047" s="79">
        <v>0</v>
      </c>
      <c r="U1047" s="79">
        <v>0</v>
      </c>
      <c r="V1047" s="79">
        <v>0</v>
      </c>
      <c r="W1047" s="79">
        <v>2.3943042500000002</v>
      </c>
      <c r="X1047" s="90">
        <v>0</v>
      </c>
    </row>
    <row r="1048" spans="1:24" hidden="1" x14ac:dyDescent="0.25">
      <c r="A1048" s="80" t="str">
        <v>PENDIENTE</v>
      </c>
      <c r="B1048" s="80" t="str">
        <v>Sarin</v>
      </c>
      <c r="C1048" s="80" t="str">
        <v>Febrero</v>
      </c>
      <c r="D1048" s="81">
        <v>46038</v>
      </c>
      <c r="E1048" s="79">
        <v>2394.3042500000001</v>
      </c>
      <c r="F1048" s="81">
        <v>46032</v>
      </c>
      <c r="G1048" s="79" cm="1">
        <f t="array" ref="G1048:X1048">_xlfn._xlws.FILTER(Formulas!$C$2:$T$201, ISNUMBER(MATCH(Formulas!$B$2:$B$201, B1048, 0)),0) * E1048</f>
        <v>478.86085000000003</v>
      </c>
      <c r="H1048" s="79">
        <v>1790.4797126304802</v>
      </c>
      <c r="I1048" s="79">
        <v>131.96165386221296</v>
      </c>
      <c r="J1048" s="79">
        <v>0</v>
      </c>
      <c r="K1048" s="79">
        <v>0</v>
      </c>
      <c r="L1048" s="79">
        <v>0</v>
      </c>
      <c r="M1048" s="79">
        <v>0</v>
      </c>
      <c r="N1048" s="79">
        <v>0</v>
      </c>
      <c r="O1048" s="79">
        <v>0</v>
      </c>
      <c r="P1048" s="79">
        <v>0</v>
      </c>
      <c r="Q1048" s="79">
        <v>0</v>
      </c>
      <c r="R1048" s="79">
        <v>0</v>
      </c>
      <c r="S1048" s="79">
        <v>0</v>
      </c>
      <c r="T1048" s="79">
        <v>0</v>
      </c>
      <c r="U1048" s="79">
        <v>0</v>
      </c>
      <c r="V1048" s="79">
        <v>0</v>
      </c>
      <c r="W1048" s="79">
        <v>2.3943042500000002</v>
      </c>
      <c r="X1048" s="90">
        <v>0</v>
      </c>
    </row>
    <row r="1049" spans="1:24" hidden="1" x14ac:dyDescent="0.25">
      <c r="A1049" s="80" t="str">
        <v>PENDIENTE</v>
      </c>
      <c r="B1049" s="80" t="str">
        <v>Sarin</v>
      </c>
      <c r="C1049" s="80" t="str">
        <v>Marzo</v>
      </c>
      <c r="D1049" s="81">
        <v>46069</v>
      </c>
      <c r="E1049" s="79">
        <v>2394.3042500000001</v>
      </c>
      <c r="F1049" s="81">
        <v>46067</v>
      </c>
      <c r="G1049" s="79" cm="1">
        <f t="array" ref="G1049:X1049">_xlfn._xlws.FILTER(Formulas!$C$2:$T$201, ISNUMBER(MATCH(Formulas!$B$2:$B$201, B1049, 0)),0) * E1049</f>
        <v>478.86085000000003</v>
      </c>
      <c r="H1049" s="79">
        <v>1790.4797126304802</v>
      </c>
      <c r="I1049" s="79">
        <v>131.96165386221296</v>
      </c>
      <c r="J1049" s="79">
        <v>0</v>
      </c>
      <c r="K1049" s="79">
        <v>0</v>
      </c>
      <c r="L1049" s="79">
        <v>0</v>
      </c>
      <c r="M1049" s="79">
        <v>0</v>
      </c>
      <c r="N1049" s="79">
        <v>0</v>
      </c>
      <c r="O1049" s="79">
        <v>0</v>
      </c>
      <c r="P1049" s="79">
        <v>0</v>
      </c>
      <c r="Q1049" s="79">
        <v>0</v>
      </c>
      <c r="R1049" s="79">
        <v>0</v>
      </c>
      <c r="S1049" s="79">
        <v>0</v>
      </c>
      <c r="T1049" s="79">
        <v>0</v>
      </c>
      <c r="U1049" s="79">
        <v>0</v>
      </c>
      <c r="V1049" s="79">
        <v>0</v>
      </c>
      <c r="W1049" s="79">
        <v>2.3943042500000002</v>
      </c>
      <c r="X1049" s="90">
        <v>0</v>
      </c>
    </row>
    <row r="1050" spans="1:24" hidden="1" x14ac:dyDescent="0.25">
      <c r="A1050" s="80" t="str">
        <v>PENDIENTE</v>
      </c>
      <c r="B1050" s="80" t="str">
        <v>Sarin</v>
      </c>
      <c r="C1050" s="80" t="str">
        <v>Abril</v>
      </c>
      <c r="D1050" s="81">
        <v>46097</v>
      </c>
      <c r="E1050" s="79">
        <v>2394.3042500000001</v>
      </c>
      <c r="F1050" s="80">
        <v>46095</v>
      </c>
      <c r="G1050" s="79" cm="1">
        <f t="array" ref="G1050:X1050">_xlfn._xlws.FILTER(Formulas!$C$2:$T$201, ISNUMBER(MATCH(Formulas!$B$2:$B$201, B1050, 0)),0) * E1050</f>
        <v>478.86085000000003</v>
      </c>
      <c r="H1050" s="79">
        <v>1790.4797126304802</v>
      </c>
      <c r="I1050" s="79">
        <v>131.96165386221296</v>
      </c>
      <c r="J1050" s="79">
        <v>0</v>
      </c>
      <c r="K1050" s="79">
        <v>0</v>
      </c>
      <c r="L1050" s="79">
        <v>0</v>
      </c>
      <c r="M1050" s="79">
        <v>0</v>
      </c>
      <c r="N1050" s="79">
        <v>0</v>
      </c>
      <c r="O1050" s="79">
        <v>0</v>
      </c>
      <c r="P1050" s="79">
        <v>0</v>
      </c>
      <c r="Q1050" s="79">
        <v>0</v>
      </c>
      <c r="R1050" s="79">
        <v>0</v>
      </c>
      <c r="S1050" s="79">
        <v>0</v>
      </c>
      <c r="T1050" s="79">
        <v>0</v>
      </c>
      <c r="U1050" s="79">
        <v>0</v>
      </c>
      <c r="V1050" s="79">
        <v>0</v>
      </c>
      <c r="W1050" s="79">
        <v>2.3943042500000002</v>
      </c>
      <c r="X1050" s="90">
        <v>0</v>
      </c>
    </row>
    <row r="1051" spans="1:24" hidden="1" x14ac:dyDescent="0.25">
      <c r="A1051" s="80" t="str">
        <v>PENDIENTE</v>
      </c>
      <c r="B1051" s="80" t="str">
        <v>Sarin</v>
      </c>
      <c r="C1051" s="80" t="str">
        <v>Mayo</v>
      </c>
      <c r="D1051" s="81">
        <v>46129</v>
      </c>
      <c r="E1051" s="79">
        <v>2394.3042500000001</v>
      </c>
      <c r="F1051" s="80">
        <v>46125</v>
      </c>
      <c r="G1051" s="79" cm="1">
        <f t="array" ref="G1051:X1051">_xlfn._xlws.FILTER(Formulas!$C$2:$T$201, ISNUMBER(MATCH(Formulas!$B$2:$B$201, B1051, 0)),0) * E1051</f>
        <v>478.86085000000003</v>
      </c>
      <c r="H1051" s="79">
        <v>1790.4797126304802</v>
      </c>
      <c r="I1051" s="79">
        <v>131.96165386221296</v>
      </c>
      <c r="J1051" s="79">
        <v>0</v>
      </c>
      <c r="K1051" s="79">
        <v>0</v>
      </c>
      <c r="L1051" s="79">
        <v>0</v>
      </c>
      <c r="M1051" s="79">
        <v>0</v>
      </c>
      <c r="N1051" s="79">
        <v>0</v>
      </c>
      <c r="O1051" s="79">
        <v>0</v>
      </c>
      <c r="P1051" s="79">
        <v>0</v>
      </c>
      <c r="Q1051" s="79">
        <v>0</v>
      </c>
      <c r="R1051" s="79">
        <v>0</v>
      </c>
      <c r="S1051" s="79">
        <v>0</v>
      </c>
      <c r="T1051" s="79">
        <v>0</v>
      </c>
      <c r="U1051" s="79">
        <v>0</v>
      </c>
      <c r="V1051" s="79">
        <v>0</v>
      </c>
      <c r="W1051" s="79">
        <v>2.3943042500000002</v>
      </c>
      <c r="X1051" s="90">
        <v>0</v>
      </c>
    </row>
    <row r="1052" spans="1:24" hidden="1" x14ac:dyDescent="0.25">
      <c r="A1052" s="80" t="str">
        <v>PENDIENTE</v>
      </c>
      <c r="B1052" s="80" t="str">
        <v>Sarin</v>
      </c>
      <c r="C1052" s="80" t="str">
        <v>Junio</v>
      </c>
      <c r="D1052" s="81">
        <v>46160</v>
      </c>
      <c r="E1052" s="79">
        <v>2394.3042500000001</v>
      </c>
      <c r="F1052" s="80">
        <v>46153</v>
      </c>
      <c r="G1052" s="79" cm="1">
        <f t="array" ref="G1052:X1052">_xlfn._xlws.FILTER(Formulas!$C$2:$T$201, ISNUMBER(MATCH(Formulas!$B$2:$B$201, B1052, 0)),0) * E1052</f>
        <v>478.86085000000003</v>
      </c>
      <c r="H1052" s="79">
        <v>1790.4797126304802</v>
      </c>
      <c r="I1052" s="79">
        <v>131.96165386221296</v>
      </c>
      <c r="J1052" s="79">
        <v>0</v>
      </c>
      <c r="K1052" s="79">
        <v>0</v>
      </c>
      <c r="L1052" s="79">
        <v>0</v>
      </c>
      <c r="M1052" s="79">
        <v>0</v>
      </c>
      <c r="N1052" s="79">
        <v>0</v>
      </c>
      <c r="O1052" s="79">
        <v>0</v>
      </c>
      <c r="P1052" s="79">
        <v>0</v>
      </c>
      <c r="Q1052" s="79">
        <v>0</v>
      </c>
      <c r="R1052" s="79">
        <v>0</v>
      </c>
      <c r="S1052" s="79">
        <v>0</v>
      </c>
      <c r="T1052" s="79">
        <v>0</v>
      </c>
      <c r="U1052" s="79">
        <v>0</v>
      </c>
      <c r="V1052" s="79">
        <v>0</v>
      </c>
      <c r="W1052" s="79">
        <v>2.3943042500000002</v>
      </c>
      <c r="X1052" s="90">
        <v>0</v>
      </c>
    </row>
    <row r="1053" spans="1:24" hidden="1" x14ac:dyDescent="0.25">
      <c r="A1053" s="80" t="str">
        <v>PENDIENTE</v>
      </c>
      <c r="B1053" s="80" t="str">
        <v>Sarin</v>
      </c>
      <c r="C1053" s="80" t="str">
        <v>Julio</v>
      </c>
      <c r="D1053" s="81">
        <v>46189</v>
      </c>
      <c r="E1053" s="79">
        <v>2394.3042500000001</v>
      </c>
      <c r="F1053" s="81">
        <v>46184</v>
      </c>
      <c r="G1053" s="79" cm="1">
        <f t="array" ref="G1053:X1053">_xlfn._xlws.FILTER(Formulas!$C$2:$T$201, ISNUMBER(MATCH(Formulas!$B$2:$B$201, B1053, 0)),0) * E1053</f>
        <v>478.86085000000003</v>
      </c>
      <c r="H1053" s="79">
        <v>1790.4797126304802</v>
      </c>
      <c r="I1053" s="79">
        <v>131.96165386221296</v>
      </c>
      <c r="J1053" s="79">
        <v>0</v>
      </c>
      <c r="K1053" s="79">
        <v>0</v>
      </c>
      <c r="L1053" s="79">
        <v>0</v>
      </c>
      <c r="M1053" s="79">
        <v>0</v>
      </c>
      <c r="N1053" s="79">
        <v>0</v>
      </c>
      <c r="O1053" s="79">
        <v>0</v>
      </c>
      <c r="P1053" s="79">
        <v>0</v>
      </c>
      <c r="Q1053" s="79">
        <v>0</v>
      </c>
      <c r="R1053" s="79">
        <v>0</v>
      </c>
      <c r="S1053" s="79">
        <v>0</v>
      </c>
      <c r="T1053" s="79">
        <v>0</v>
      </c>
      <c r="U1053" s="79">
        <v>0</v>
      </c>
      <c r="V1053" s="79">
        <v>0</v>
      </c>
      <c r="W1053" s="79">
        <v>2.3943042500000002</v>
      </c>
      <c r="X1053" s="90">
        <v>0</v>
      </c>
    </row>
    <row r="1054" spans="1:24" hidden="1" x14ac:dyDescent="0.25">
      <c r="A1054" s="80" t="str">
        <v>PENDIENTE</v>
      </c>
      <c r="B1054" s="80" t="str">
        <v>Sarin</v>
      </c>
      <c r="C1054" s="80" t="str">
        <v>Agosto</v>
      </c>
      <c r="D1054" s="81">
        <v>46220</v>
      </c>
      <c r="E1054" s="79">
        <v>2394.3042500000001</v>
      </c>
      <c r="F1054" s="81">
        <v>46216</v>
      </c>
      <c r="G1054" s="79" cm="1">
        <f t="array" ref="G1054:X1054">_xlfn._xlws.FILTER(Formulas!$C$2:$T$201, ISNUMBER(MATCH(Formulas!$B$2:$B$201, B1054, 0)),0) * E1054</f>
        <v>478.86085000000003</v>
      </c>
      <c r="H1054" s="79">
        <v>1790.4797126304802</v>
      </c>
      <c r="I1054" s="79">
        <v>131.96165386221296</v>
      </c>
      <c r="J1054" s="79">
        <v>0</v>
      </c>
      <c r="K1054" s="79">
        <v>0</v>
      </c>
      <c r="L1054" s="79">
        <v>0</v>
      </c>
      <c r="M1054" s="79">
        <v>0</v>
      </c>
      <c r="N1054" s="79">
        <v>0</v>
      </c>
      <c r="O1054" s="79">
        <v>0</v>
      </c>
      <c r="P1054" s="79">
        <v>0</v>
      </c>
      <c r="Q1054" s="79">
        <v>0</v>
      </c>
      <c r="R1054" s="79">
        <v>0</v>
      </c>
      <c r="S1054" s="79">
        <v>0</v>
      </c>
      <c r="T1054" s="79">
        <v>0</v>
      </c>
      <c r="U1054" s="79">
        <v>0</v>
      </c>
      <c r="V1054" s="79">
        <v>0</v>
      </c>
      <c r="W1054" s="79">
        <v>2.3943042500000002</v>
      </c>
      <c r="X1054" s="90">
        <v>0</v>
      </c>
    </row>
    <row r="1055" spans="1:24" hidden="1" x14ac:dyDescent="0.25">
      <c r="A1055" s="80" t="str">
        <v>PENDIENTE</v>
      </c>
      <c r="B1055" s="80" t="str">
        <v>Sarin</v>
      </c>
      <c r="C1055" s="80" t="str">
        <v>Setiembre</v>
      </c>
      <c r="D1055" s="81">
        <v>46251</v>
      </c>
      <c r="E1055" s="79">
        <v>2394.3042500000001</v>
      </c>
      <c r="F1055" s="81">
        <v>46241</v>
      </c>
      <c r="G1055" s="79" cm="1">
        <f t="array" ref="G1055:X1055">_xlfn._xlws.FILTER(Formulas!$C$2:$T$201, ISNUMBER(MATCH(Formulas!$B$2:$B$201, B1055, 0)),0) * E1055</f>
        <v>478.86085000000003</v>
      </c>
      <c r="H1055" s="79">
        <v>1790.4797126304802</v>
      </c>
      <c r="I1055" s="79">
        <v>131.96165386221296</v>
      </c>
      <c r="J1055" s="79">
        <v>0</v>
      </c>
      <c r="K1055" s="79">
        <v>0</v>
      </c>
      <c r="L1055" s="79">
        <v>0</v>
      </c>
      <c r="M1055" s="79">
        <v>0</v>
      </c>
      <c r="N1055" s="79">
        <v>0</v>
      </c>
      <c r="O1055" s="79">
        <v>0</v>
      </c>
      <c r="P1055" s="79">
        <v>0</v>
      </c>
      <c r="Q1055" s="79">
        <v>0</v>
      </c>
      <c r="R1055" s="79">
        <v>0</v>
      </c>
      <c r="S1055" s="79">
        <v>0</v>
      </c>
      <c r="T1055" s="79">
        <v>0</v>
      </c>
      <c r="U1055" s="79">
        <v>0</v>
      </c>
      <c r="V1055" s="79">
        <v>0</v>
      </c>
      <c r="W1055" s="79">
        <v>2.3943042500000002</v>
      </c>
      <c r="X1055" s="90">
        <v>0</v>
      </c>
    </row>
    <row r="1056" spans="1:24" hidden="1" x14ac:dyDescent="0.25">
      <c r="A1056" s="80" t="str">
        <v>PENDIENTE</v>
      </c>
      <c r="B1056" s="80" t="str">
        <v>Sarin</v>
      </c>
      <c r="C1056" s="80" t="str">
        <v>Octubre</v>
      </c>
      <c r="D1056" s="81">
        <v>46283</v>
      </c>
      <c r="E1056" s="79">
        <v>2394.3042500000001</v>
      </c>
      <c r="F1056" s="81">
        <v>46282</v>
      </c>
      <c r="G1056" s="79" cm="1">
        <f t="array" ref="G1056:X1056">_xlfn._xlws.FILTER(Formulas!$C$2:$T$201, ISNUMBER(MATCH(Formulas!$B$2:$B$201, B1056, 0)),0) * E1056</f>
        <v>478.86085000000003</v>
      </c>
      <c r="H1056" s="79">
        <v>1790.4797126304802</v>
      </c>
      <c r="I1056" s="79">
        <v>131.96165386221296</v>
      </c>
      <c r="J1056" s="79">
        <v>0</v>
      </c>
      <c r="K1056" s="79">
        <v>0</v>
      </c>
      <c r="L1056" s="79">
        <v>0</v>
      </c>
      <c r="M1056" s="79">
        <v>0</v>
      </c>
      <c r="N1056" s="79">
        <v>0</v>
      </c>
      <c r="O1056" s="79">
        <v>0</v>
      </c>
      <c r="P1056" s="79">
        <v>0</v>
      </c>
      <c r="Q1056" s="79">
        <v>0</v>
      </c>
      <c r="R1056" s="79">
        <v>0</v>
      </c>
      <c r="S1056" s="79">
        <v>0</v>
      </c>
      <c r="T1056" s="79">
        <v>0</v>
      </c>
      <c r="U1056" s="79">
        <v>0</v>
      </c>
      <c r="V1056" s="79">
        <v>0</v>
      </c>
      <c r="W1056" s="79">
        <v>2.3943042500000002</v>
      </c>
      <c r="X1056" s="90">
        <v>0</v>
      </c>
    </row>
    <row r="1057" spans="1:24" hidden="1" x14ac:dyDescent="0.25">
      <c r="A1057" s="80" t="str">
        <v>PENDIENTE</v>
      </c>
      <c r="B1057" s="80" t="str">
        <v>Sarin</v>
      </c>
      <c r="C1057" s="80" t="str">
        <v>Noviembre</v>
      </c>
      <c r="D1057" s="81">
        <v>46314</v>
      </c>
      <c r="E1057" s="79">
        <v>2394.3042500000001</v>
      </c>
      <c r="F1057" s="81">
        <v>0</v>
      </c>
      <c r="G1057" s="79" cm="1">
        <f t="array" ref="G1057:X1057">_xlfn._xlws.FILTER(Formulas!$C$2:$T$201, ISNUMBER(MATCH(Formulas!$B$2:$B$201, B1057, 0)),0) * E1057</f>
        <v>478.86085000000003</v>
      </c>
      <c r="H1057" s="79">
        <v>1790.4797126304802</v>
      </c>
      <c r="I1057" s="79">
        <v>131.96165386221296</v>
      </c>
      <c r="J1057" s="79">
        <v>0</v>
      </c>
      <c r="K1057" s="79">
        <v>0</v>
      </c>
      <c r="L1057" s="79">
        <v>0</v>
      </c>
      <c r="M1057" s="79">
        <v>0</v>
      </c>
      <c r="N1057" s="79">
        <v>0</v>
      </c>
      <c r="O1057" s="79">
        <v>0</v>
      </c>
      <c r="P1057" s="79">
        <v>0</v>
      </c>
      <c r="Q1057" s="79">
        <v>0</v>
      </c>
      <c r="R1057" s="79">
        <v>0</v>
      </c>
      <c r="S1057" s="79">
        <v>0</v>
      </c>
      <c r="T1057" s="79">
        <v>0</v>
      </c>
      <c r="U1057" s="79">
        <v>0</v>
      </c>
      <c r="V1057" s="79">
        <v>0</v>
      </c>
      <c r="W1057" s="79">
        <v>2.3943042500000002</v>
      </c>
      <c r="X1057" s="90">
        <v>0</v>
      </c>
    </row>
    <row r="1058" spans="1:24" hidden="1" x14ac:dyDescent="0.25">
      <c r="A1058" s="80" t="str">
        <v>PENDIENTE</v>
      </c>
      <c r="B1058" s="80" t="str">
        <v>Sarin</v>
      </c>
      <c r="C1058" s="80" t="str">
        <v>Diciembre</v>
      </c>
      <c r="D1058" s="81">
        <v>46342</v>
      </c>
      <c r="E1058" s="79">
        <v>2395.7440000000001</v>
      </c>
      <c r="F1058" s="81">
        <v>0</v>
      </c>
      <c r="G1058" s="79" cm="1">
        <f t="array" ref="G1058:X1058">_xlfn._xlws.FILTER(Formulas!$C$2:$T$201, ISNUMBER(MATCH(Formulas!$B$2:$B$201, B1058, 0)),0) * E1058</f>
        <v>479.14880000000005</v>
      </c>
      <c r="H1058" s="79">
        <v>1791.5563691022967</v>
      </c>
      <c r="I1058" s="79">
        <v>132.04100542797494</v>
      </c>
      <c r="J1058" s="79">
        <v>0</v>
      </c>
      <c r="K1058" s="79">
        <v>0</v>
      </c>
      <c r="L1058" s="79">
        <v>0</v>
      </c>
      <c r="M1058" s="79">
        <v>0</v>
      </c>
      <c r="N1058" s="79">
        <v>0</v>
      </c>
      <c r="O1058" s="79">
        <v>0</v>
      </c>
      <c r="P1058" s="79">
        <v>0</v>
      </c>
      <c r="Q1058" s="79">
        <v>0</v>
      </c>
      <c r="R1058" s="79">
        <v>0</v>
      </c>
      <c r="S1058" s="79">
        <v>0</v>
      </c>
      <c r="T1058" s="79">
        <v>0</v>
      </c>
      <c r="U1058" s="79">
        <v>0</v>
      </c>
      <c r="V1058" s="79">
        <v>0</v>
      </c>
      <c r="W1058" s="79">
        <v>2.3957440000000001</v>
      </c>
      <c r="X1058" s="90">
        <v>0</v>
      </c>
    </row>
    <row r="1059" spans="1:24" hidden="1" x14ac:dyDescent="0.25">
      <c r="A1059" s="80" t="str">
        <v>PENDIENTE</v>
      </c>
      <c r="B1059" s="80" t="str">
        <v>Shanao - 25</v>
      </c>
      <c r="C1059" s="80" t="str">
        <v>Enero / Febrero / Marzo</v>
      </c>
      <c r="D1059" s="81">
        <v>46049</v>
      </c>
      <c r="E1059" s="79">
        <v>351</v>
      </c>
      <c r="F1059" s="81">
        <v>46051</v>
      </c>
      <c r="G1059" s="79" cm="1">
        <f t="array" ref="G1059:X1059">_xlfn._xlws.FILTER(Formulas!$C$2:$T$201, ISNUMBER(MATCH(Formulas!$B$2:$B$201, B1059, 0)),0) * E1059</f>
        <v>40.365000000000002</v>
      </c>
      <c r="H1059" s="79">
        <v>159.70500000000001</v>
      </c>
      <c r="I1059" s="79">
        <v>14.040000000000001</v>
      </c>
      <c r="J1059" s="79">
        <v>0</v>
      </c>
      <c r="K1059" s="79">
        <v>0</v>
      </c>
      <c r="L1059" s="79">
        <v>0</v>
      </c>
      <c r="M1059" s="79">
        <v>14.040000000000001</v>
      </c>
      <c r="N1059" s="79">
        <v>0</v>
      </c>
      <c r="O1059" s="79">
        <v>122.85</v>
      </c>
      <c r="P1059" s="79">
        <v>0</v>
      </c>
      <c r="Q1059" s="79">
        <v>0</v>
      </c>
      <c r="R1059" s="79">
        <v>0</v>
      </c>
      <c r="S1059" s="79">
        <v>0</v>
      </c>
      <c r="T1059" s="79">
        <v>0</v>
      </c>
      <c r="U1059" s="79">
        <v>0</v>
      </c>
      <c r="V1059" s="79">
        <v>0</v>
      </c>
      <c r="W1059" s="79">
        <v>0</v>
      </c>
      <c r="X1059" s="90">
        <v>0</v>
      </c>
    </row>
    <row r="1060" spans="1:24" hidden="1" x14ac:dyDescent="0.25">
      <c r="A1060" s="80" t="str">
        <v>PENDIENTE</v>
      </c>
      <c r="B1060" s="80" t="str">
        <v>Shanao - 25</v>
      </c>
      <c r="C1060" s="80" t="str">
        <v>Abril / Mayo / Junio</v>
      </c>
      <c r="D1060" s="81">
        <v>46106</v>
      </c>
      <c r="E1060" s="79">
        <v>353</v>
      </c>
      <c r="F1060" s="81">
        <v>46091</v>
      </c>
      <c r="G1060" s="79" cm="1">
        <f t="array" ref="G1060:X1060">_xlfn._xlws.FILTER(Formulas!$C$2:$T$201, ISNUMBER(MATCH(Formulas!$B$2:$B$201, B1060, 0)),0) * E1060</f>
        <v>40.594999999999999</v>
      </c>
      <c r="H1060" s="79">
        <v>160.61500000000001</v>
      </c>
      <c r="I1060" s="79">
        <v>14.120000000000001</v>
      </c>
      <c r="J1060" s="79">
        <v>0</v>
      </c>
      <c r="K1060" s="79">
        <v>0</v>
      </c>
      <c r="L1060" s="79">
        <v>0</v>
      </c>
      <c r="M1060" s="79">
        <v>14.120000000000001</v>
      </c>
      <c r="N1060" s="79">
        <v>0</v>
      </c>
      <c r="O1060" s="79">
        <v>123.55</v>
      </c>
      <c r="P1060" s="79">
        <v>0</v>
      </c>
      <c r="Q1060" s="79">
        <v>0</v>
      </c>
      <c r="R1060" s="79">
        <v>0</v>
      </c>
      <c r="S1060" s="79">
        <v>0</v>
      </c>
      <c r="T1060" s="79">
        <v>0</v>
      </c>
      <c r="U1060" s="79">
        <v>0</v>
      </c>
      <c r="V1060" s="79">
        <v>0</v>
      </c>
      <c r="W1060" s="79">
        <v>0</v>
      </c>
      <c r="X1060" s="90">
        <v>0</v>
      </c>
    </row>
    <row r="1061" spans="1:24" hidden="1" x14ac:dyDescent="0.25">
      <c r="A1061" s="80" t="str">
        <v>PENDIENTE</v>
      </c>
      <c r="B1061" s="80" t="str">
        <v>Shanao - 25</v>
      </c>
      <c r="C1061" s="80" t="str">
        <v>Julio / Agosto / Septiembre</v>
      </c>
      <c r="D1061" s="81">
        <v>46198</v>
      </c>
      <c r="E1061" s="79">
        <v>358</v>
      </c>
      <c r="F1061" s="81">
        <v>46171</v>
      </c>
      <c r="G1061" s="79" cm="1">
        <f t="array" ref="G1061:X1061">_xlfn._xlws.FILTER(Formulas!$C$2:$T$201, ISNUMBER(MATCH(Formulas!$B$2:$B$201, B1061, 0)),0) * E1061</f>
        <v>41.17</v>
      </c>
      <c r="H1061" s="79">
        <v>162.89000000000001</v>
      </c>
      <c r="I1061" s="79">
        <v>14.32</v>
      </c>
      <c r="J1061" s="79">
        <v>0</v>
      </c>
      <c r="K1061" s="79">
        <v>0</v>
      </c>
      <c r="L1061" s="79">
        <v>0</v>
      </c>
      <c r="M1061" s="79">
        <v>14.32</v>
      </c>
      <c r="N1061" s="79">
        <v>0</v>
      </c>
      <c r="O1061" s="79">
        <v>125.3</v>
      </c>
      <c r="P1061" s="79">
        <v>0</v>
      </c>
      <c r="Q1061" s="79">
        <v>0</v>
      </c>
      <c r="R1061" s="79">
        <v>0</v>
      </c>
      <c r="S1061" s="79">
        <v>0</v>
      </c>
      <c r="T1061" s="79">
        <v>0</v>
      </c>
      <c r="U1061" s="79">
        <v>0</v>
      </c>
      <c r="V1061" s="79">
        <v>0</v>
      </c>
      <c r="W1061" s="79">
        <v>0</v>
      </c>
      <c r="X1061" s="90">
        <v>0</v>
      </c>
    </row>
    <row r="1062" spans="1:24" hidden="1" x14ac:dyDescent="0.25">
      <c r="A1062" s="80" t="str">
        <v>PENDIENTE</v>
      </c>
      <c r="B1062" s="80" t="str">
        <v>Shanao - 25</v>
      </c>
      <c r="C1062" s="80" t="str">
        <v>Octubre / Noviembre / Diciembre</v>
      </c>
      <c r="D1062" s="81">
        <v>46291</v>
      </c>
      <c r="E1062" s="79">
        <v>358</v>
      </c>
      <c r="F1062" s="81">
        <v>46276</v>
      </c>
      <c r="G1062" s="79" cm="1">
        <f t="array" ref="G1062:X1062">_xlfn._xlws.FILTER(Formulas!$C$2:$T$201, ISNUMBER(MATCH(Formulas!$B$2:$B$201, B1062, 0)),0) * E1062</f>
        <v>41.17</v>
      </c>
      <c r="H1062" s="79">
        <v>162.89000000000001</v>
      </c>
      <c r="I1062" s="79">
        <v>14.32</v>
      </c>
      <c r="J1062" s="79">
        <v>0</v>
      </c>
      <c r="K1062" s="79">
        <v>0</v>
      </c>
      <c r="L1062" s="79">
        <v>0</v>
      </c>
      <c r="M1062" s="79">
        <v>14.32</v>
      </c>
      <c r="N1062" s="79">
        <v>0</v>
      </c>
      <c r="O1062" s="79">
        <v>125.3</v>
      </c>
      <c r="P1062" s="79">
        <v>0</v>
      </c>
      <c r="Q1062" s="79">
        <v>0</v>
      </c>
      <c r="R1062" s="79">
        <v>0</v>
      </c>
      <c r="S1062" s="79">
        <v>0</v>
      </c>
      <c r="T1062" s="79">
        <v>0</v>
      </c>
      <c r="U1062" s="79">
        <v>0</v>
      </c>
      <c r="V1062" s="79">
        <v>0</v>
      </c>
      <c r="W1062" s="79">
        <v>0</v>
      </c>
      <c r="X1062" s="90">
        <v>0</v>
      </c>
    </row>
    <row r="1063" spans="1:24" hidden="1" x14ac:dyDescent="0.25">
      <c r="A1063" s="80" t="str">
        <v>CORDELAN</v>
      </c>
      <c r="B1063" s="80" t="str">
        <v>Sitacocha</v>
      </c>
      <c r="C1063" s="80" t="str">
        <v>O.C.</v>
      </c>
      <c r="D1063" s="81">
        <v>46002</v>
      </c>
      <c r="E1063" s="79">
        <v>178.63410999999999</v>
      </c>
      <c r="F1063" s="81">
        <v>45997</v>
      </c>
      <c r="G1063" s="79" cm="1">
        <f t="array" ref="G1063:X1063">_xlfn._xlws.FILTER(Formulas!$C$2:$T$201, ISNUMBER(MATCH(Formulas!$B$2:$B$201, B1063, 0)),0) * E1063</f>
        <v>50.892857938999995</v>
      </c>
      <c r="H1063" s="79">
        <v>119.68485370000001</v>
      </c>
      <c r="I1063" s="79">
        <v>8.0563983609999994</v>
      </c>
      <c r="J1063" s="79">
        <v>0</v>
      </c>
      <c r="K1063" s="79">
        <v>0</v>
      </c>
      <c r="L1063" s="79">
        <v>0</v>
      </c>
      <c r="M1063" s="79">
        <v>0</v>
      </c>
      <c r="N1063" s="79">
        <v>0</v>
      </c>
      <c r="O1063" s="79">
        <v>0</v>
      </c>
      <c r="P1063" s="79">
        <v>0</v>
      </c>
      <c r="Q1063" s="79">
        <v>0</v>
      </c>
      <c r="R1063" s="79">
        <v>0</v>
      </c>
      <c r="S1063" s="79">
        <v>0</v>
      </c>
      <c r="T1063" s="79">
        <v>0</v>
      </c>
      <c r="U1063" s="79">
        <v>0</v>
      </c>
      <c r="V1063" s="79">
        <v>0</v>
      </c>
      <c r="W1063" s="79">
        <v>0</v>
      </c>
      <c r="X1063" s="90">
        <v>0</v>
      </c>
    </row>
    <row r="1064" spans="1:24" hidden="1" x14ac:dyDescent="0.25">
      <c r="A1064" s="80" t="str">
        <v>PENDIENTE</v>
      </c>
      <c r="B1064" s="80" t="str">
        <v>Sitacocha</v>
      </c>
      <c r="C1064" s="80" t="str">
        <v>Enero</v>
      </c>
      <c r="D1064" s="81">
        <v>46022</v>
      </c>
      <c r="E1064" s="79">
        <v>1652.9405199999999</v>
      </c>
      <c r="F1064" s="81">
        <v>45996</v>
      </c>
      <c r="G1064" s="79" cm="1">
        <f t="array" ref="G1064:X1064">_xlfn._xlws.FILTER(Formulas!$C$2:$T$201, ISNUMBER(MATCH(Formulas!$B$2:$B$201, B1064, 0)),0) * E1064</f>
        <v>470.92275414799997</v>
      </c>
      <c r="H1064" s="79">
        <v>1107.4701484</v>
      </c>
      <c r="I1064" s="79">
        <v>74.547617451999997</v>
      </c>
      <c r="J1064" s="79">
        <v>0</v>
      </c>
      <c r="K1064" s="79">
        <v>0</v>
      </c>
      <c r="L1064" s="79">
        <v>0</v>
      </c>
      <c r="M1064" s="79">
        <v>0</v>
      </c>
      <c r="N1064" s="79">
        <v>0</v>
      </c>
      <c r="O1064" s="79">
        <v>0</v>
      </c>
      <c r="P1064" s="79">
        <v>0</v>
      </c>
      <c r="Q1064" s="79">
        <v>0</v>
      </c>
      <c r="R1064" s="79">
        <v>0</v>
      </c>
      <c r="S1064" s="79">
        <v>0</v>
      </c>
      <c r="T1064" s="79">
        <v>0</v>
      </c>
      <c r="U1064" s="79">
        <v>0</v>
      </c>
      <c r="V1064" s="79">
        <v>0</v>
      </c>
      <c r="W1064" s="79">
        <v>0</v>
      </c>
      <c r="X1064" s="90">
        <v>0</v>
      </c>
    </row>
    <row r="1065" spans="1:24" hidden="1" x14ac:dyDescent="0.25">
      <c r="A1065" s="80" t="str">
        <v>PENDIENTE</v>
      </c>
      <c r="B1065" s="80" t="str">
        <v>Sitacocha</v>
      </c>
      <c r="C1065" s="80" t="str">
        <v>Febrero</v>
      </c>
      <c r="D1065" s="81">
        <v>46022</v>
      </c>
      <c r="E1065" s="79">
        <v>1652.9405199999999</v>
      </c>
      <c r="F1065" s="81">
        <v>45996</v>
      </c>
      <c r="G1065" s="79" cm="1">
        <f t="array" ref="G1065:X1065">_xlfn._xlws.FILTER(Formulas!$C$2:$T$201, ISNUMBER(MATCH(Formulas!$B$2:$B$201, B1065, 0)),0) * E1065</f>
        <v>470.92275414799997</v>
      </c>
      <c r="H1065" s="79">
        <v>1107.4701484</v>
      </c>
      <c r="I1065" s="79">
        <v>74.547617451999997</v>
      </c>
      <c r="J1065" s="79">
        <v>0</v>
      </c>
      <c r="K1065" s="79">
        <v>0</v>
      </c>
      <c r="L1065" s="79">
        <v>0</v>
      </c>
      <c r="M1065" s="79">
        <v>0</v>
      </c>
      <c r="N1065" s="79">
        <v>0</v>
      </c>
      <c r="O1065" s="79">
        <v>0</v>
      </c>
      <c r="P1065" s="79">
        <v>0</v>
      </c>
      <c r="Q1065" s="79">
        <v>0</v>
      </c>
      <c r="R1065" s="79">
        <v>0</v>
      </c>
      <c r="S1065" s="79">
        <v>0</v>
      </c>
      <c r="T1065" s="79">
        <v>0</v>
      </c>
      <c r="U1065" s="79">
        <v>0</v>
      </c>
      <c r="V1065" s="79">
        <v>0</v>
      </c>
      <c r="W1065" s="79">
        <v>0</v>
      </c>
      <c r="X1065" s="90">
        <v>0</v>
      </c>
    </row>
    <row r="1066" spans="1:24" hidden="1" x14ac:dyDescent="0.25">
      <c r="A1066" s="80" t="str">
        <v>PENDIENTE</v>
      </c>
      <c r="B1066" s="80" t="str">
        <v>Sitacocha</v>
      </c>
      <c r="C1066" s="80" t="str">
        <v>Marzo</v>
      </c>
      <c r="D1066" s="81">
        <v>46070</v>
      </c>
      <c r="E1066" s="79">
        <v>1652.9405199999999</v>
      </c>
      <c r="F1066" s="81">
        <v>46067</v>
      </c>
      <c r="G1066" s="79" cm="1">
        <f t="array" ref="G1066:X1066">_xlfn._xlws.FILTER(Formulas!$C$2:$T$201, ISNUMBER(MATCH(Formulas!$B$2:$B$201, B1066, 0)),0) * E1066</f>
        <v>470.92275414799997</v>
      </c>
      <c r="H1066" s="79">
        <v>1107.4701484</v>
      </c>
      <c r="I1066" s="79">
        <v>74.547617451999997</v>
      </c>
      <c r="J1066" s="79">
        <v>0</v>
      </c>
      <c r="K1066" s="79">
        <v>0</v>
      </c>
      <c r="L1066" s="79">
        <v>0</v>
      </c>
      <c r="M1066" s="79">
        <v>0</v>
      </c>
      <c r="N1066" s="79">
        <v>0</v>
      </c>
      <c r="O1066" s="79">
        <v>0</v>
      </c>
      <c r="P1066" s="79">
        <v>0</v>
      </c>
      <c r="Q1066" s="79">
        <v>0</v>
      </c>
      <c r="R1066" s="79">
        <v>0</v>
      </c>
      <c r="S1066" s="79">
        <v>0</v>
      </c>
      <c r="T1066" s="79">
        <v>0</v>
      </c>
      <c r="U1066" s="79">
        <v>0</v>
      </c>
      <c r="V1066" s="79">
        <v>0</v>
      </c>
      <c r="W1066" s="79">
        <v>0</v>
      </c>
      <c r="X1066" s="90">
        <v>0</v>
      </c>
    </row>
    <row r="1067" spans="1:24" hidden="1" x14ac:dyDescent="0.25">
      <c r="A1067" s="80" t="str">
        <v>PENDIENTE</v>
      </c>
      <c r="B1067" s="80" t="str">
        <v>Sitacocha</v>
      </c>
      <c r="C1067" s="80" t="str">
        <v>Abril</v>
      </c>
      <c r="D1067" s="81">
        <v>46070</v>
      </c>
      <c r="E1067" s="79">
        <v>1652.9405199999999</v>
      </c>
      <c r="F1067" s="81">
        <v>46067</v>
      </c>
      <c r="G1067" s="79" cm="1">
        <f t="array" ref="G1067:X1067">_xlfn._xlws.FILTER(Formulas!$C$2:$T$201, ISNUMBER(MATCH(Formulas!$B$2:$B$201, B1067, 0)),0) * E1067</f>
        <v>470.92275414799997</v>
      </c>
      <c r="H1067" s="79">
        <v>1107.4701484</v>
      </c>
      <c r="I1067" s="79">
        <v>74.547617451999997</v>
      </c>
      <c r="J1067" s="79">
        <v>0</v>
      </c>
      <c r="K1067" s="79">
        <v>0</v>
      </c>
      <c r="L1067" s="79">
        <v>0</v>
      </c>
      <c r="M1067" s="79">
        <v>0</v>
      </c>
      <c r="N1067" s="79">
        <v>0</v>
      </c>
      <c r="O1067" s="79">
        <v>0</v>
      </c>
      <c r="P1067" s="79">
        <v>0</v>
      </c>
      <c r="Q1067" s="79">
        <v>0</v>
      </c>
      <c r="R1067" s="79">
        <v>0</v>
      </c>
      <c r="S1067" s="79">
        <v>0</v>
      </c>
      <c r="T1067" s="79">
        <v>0</v>
      </c>
      <c r="U1067" s="79">
        <v>0</v>
      </c>
      <c r="V1067" s="79">
        <v>0</v>
      </c>
      <c r="W1067" s="79">
        <v>0</v>
      </c>
      <c r="X1067" s="90">
        <v>0</v>
      </c>
    </row>
    <row r="1068" spans="1:24" hidden="1" x14ac:dyDescent="0.25">
      <c r="A1068" s="80" t="str">
        <v>PENDIENTE</v>
      </c>
      <c r="B1068" s="80" t="str">
        <v>Sitacocha</v>
      </c>
      <c r="C1068" s="80" t="str">
        <v>Mayo</v>
      </c>
      <c r="D1068" s="81">
        <v>46133</v>
      </c>
      <c r="E1068" s="79">
        <v>1652.9405199999999</v>
      </c>
      <c r="F1068" s="80">
        <v>46122</v>
      </c>
      <c r="G1068" s="79" cm="1">
        <f t="array" ref="G1068:X1068">_xlfn._xlws.FILTER(Formulas!$C$2:$T$201, ISNUMBER(MATCH(Formulas!$B$2:$B$201, B1068, 0)),0) * E1068</f>
        <v>470.92275414799997</v>
      </c>
      <c r="H1068" s="79">
        <v>1107.4701484</v>
      </c>
      <c r="I1068" s="79">
        <v>74.547617451999997</v>
      </c>
      <c r="J1068" s="79">
        <v>0</v>
      </c>
      <c r="K1068" s="79">
        <v>0</v>
      </c>
      <c r="L1068" s="79">
        <v>0</v>
      </c>
      <c r="M1068" s="79">
        <v>0</v>
      </c>
      <c r="N1068" s="79">
        <v>0</v>
      </c>
      <c r="O1068" s="79">
        <v>0</v>
      </c>
      <c r="P1068" s="79">
        <v>0</v>
      </c>
      <c r="Q1068" s="79">
        <v>0</v>
      </c>
      <c r="R1068" s="79">
        <v>0</v>
      </c>
      <c r="S1068" s="79">
        <v>0</v>
      </c>
      <c r="T1068" s="79">
        <v>0</v>
      </c>
      <c r="U1068" s="79">
        <v>0</v>
      </c>
      <c r="V1068" s="79">
        <v>0</v>
      </c>
      <c r="W1068" s="79">
        <v>0</v>
      </c>
      <c r="X1068" s="90">
        <v>0</v>
      </c>
    </row>
    <row r="1069" spans="1:24" hidden="1" x14ac:dyDescent="0.25">
      <c r="A1069" s="80" t="str">
        <v>PENDIENTE</v>
      </c>
      <c r="B1069" s="80" t="str">
        <v>Sitacocha</v>
      </c>
      <c r="C1069" s="80" t="str">
        <v>Junio</v>
      </c>
      <c r="D1069" s="81">
        <v>46133</v>
      </c>
      <c r="E1069" s="79">
        <v>1652.9405199999999</v>
      </c>
      <c r="F1069" s="80">
        <v>46122</v>
      </c>
      <c r="G1069" s="79" cm="1">
        <f t="array" ref="G1069:X1069">_xlfn._xlws.FILTER(Formulas!$C$2:$T$201, ISNUMBER(MATCH(Formulas!$B$2:$B$201, B1069, 0)),0) * E1069</f>
        <v>470.92275414799997</v>
      </c>
      <c r="H1069" s="79">
        <v>1107.4701484</v>
      </c>
      <c r="I1069" s="79">
        <v>74.547617451999997</v>
      </c>
      <c r="J1069" s="79">
        <v>0</v>
      </c>
      <c r="K1069" s="79">
        <v>0</v>
      </c>
      <c r="L1069" s="79">
        <v>0</v>
      </c>
      <c r="M1069" s="79">
        <v>0</v>
      </c>
      <c r="N1069" s="79">
        <v>0</v>
      </c>
      <c r="O1069" s="79">
        <v>0</v>
      </c>
      <c r="P1069" s="79">
        <v>0</v>
      </c>
      <c r="Q1069" s="79">
        <v>0</v>
      </c>
      <c r="R1069" s="79">
        <v>0</v>
      </c>
      <c r="S1069" s="79">
        <v>0</v>
      </c>
      <c r="T1069" s="79">
        <v>0</v>
      </c>
      <c r="U1069" s="79">
        <v>0</v>
      </c>
      <c r="V1069" s="79">
        <v>0</v>
      </c>
      <c r="W1069" s="79">
        <v>0</v>
      </c>
      <c r="X1069" s="90">
        <v>0</v>
      </c>
    </row>
    <row r="1070" spans="1:24" hidden="1" x14ac:dyDescent="0.25">
      <c r="A1070" s="80" t="str">
        <v>PENDIENTE</v>
      </c>
      <c r="B1070" s="80" t="str">
        <v>Sitacocha</v>
      </c>
      <c r="C1070" s="80" t="str">
        <v>Julio</v>
      </c>
      <c r="D1070" s="81">
        <v>46192</v>
      </c>
      <c r="E1070" s="79">
        <v>1652.9405199999999</v>
      </c>
      <c r="F1070" s="81">
        <v>46187</v>
      </c>
      <c r="G1070" s="79" cm="1">
        <f t="array" ref="G1070:X1070">_xlfn._xlws.FILTER(Formulas!$C$2:$T$201, ISNUMBER(MATCH(Formulas!$B$2:$B$201, B1070, 0)),0) * E1070</f>
        <v>470.92275414799997</v>
      </c>
      <c r="H1070" s="79">
        <v>1107.4701484</v>
      </c>
      <c r="I1070" s="79">
        <v>74.547617451999997</v>
      </c>
      <c r="J1070" s="79">
        <v>0</v>
      </c>
      <c r="K1070" s="79">
        <v>0</v>
      </c>
      <c r="L1070" s="79">
        <v>0</v>
      </c>
      <c r="M1070" s="79">
        <v>0</v>
      </c>
      <c r="N1070" s="79">
        <v>0</v>
      </c>
      <c r="O1070" s="79">
        <v>0</v>
      </c>
      <c r="P1070" s="79">
        <v>0</v>
      </c>
      <c r="Q1070" s="79">
        <v>0</v>
      </c>
      <c r="R1070" s="79">
        <v>0</v>
      </c>
      <c r="S1070" s="79">
        <v>0</v>
      </c>
      <c r="T1070" s="79">
        <v>0</v>
      </c>
      <c r="U1070" s="79">
        <v>0</v>
      </c>
      <c r="V1070" s="79">
        <v>0</v>
      </c>
      <c r="W1070" s="79">
        <v>0</v>
      </c>
      <c r="X1070" s="90">
        <v>0</v>
      </c>
    </row>
    <row r="1071" spans="1:24" hidden="1" x14ac:dyDescent="0.25">
      <c r="A1071" s="80" t="str">
        <v>PENDIENTE</v>
      </c>
      <c r="B1071" s="80" t="str">
        <v>Sitacocha</v>
      </c>
      <c r="C1071" s="80" t="str">
        <v>Agosto</v>
      </c>
      <c r="D1071" s="81">
        <v>46192</v>
      </c>
      <c r="E1071" s="79">
        <v>1652.9405199999999</v>
      </c>
      <c r="F1071" s="81">
        <v>46187</v>
      </c>
      <c r="G1071" s="79" cm="1">
        <f t="array" ref="G1071:X1071">_xlfn._xlws.FILTER(Formulas!$C$2:$T$201, ISNUMBER(MATCH(Formulas!$B$2:$B$201, B1071, 0)),0) * E1071</f>
        <v>470.92275414799997</v>
      </c>
      <c r="H1071" s="79">
        <v>1107.4701484</v>
      </c>
      <c r="I1071" s="79">
        <v>74.547617451999997</v>
      </c>
      <c r="J1071" s="79">
        <v>0</v>
      </c>
      <c r="K1071" s="79">
        <v>0</v>
      </c>
      <c r="L1071" s="79">
        <v>0</v>
      </c>
      <c r="M1071" s="79">
        <v>0</v>
      </c>
      <c r="N1071" s="79">
        <v>0</v>
      </c>
      <c r="O1071" s="79">
        <v>0</v>
      </c>
      <c r="P1071" s="79">
        <v>0</v>
      </c>
      <c r="Q1071" s="79">
        <v>0</v>
      </c>
      <c r="R1071" s="79">
        <v>0</v>
      </c>
      <c r="S1071" s="79">
        <v>0</v>
      </c>
      <c r="T1071" s="79">
        <v>0</v>
      </c>
      <c r="U1071" s="79">
        <v>0</v>
      </c>
      <c r="V1071" s="79">
        <v>0</v>
      </c>
      <c r="W1071" s="79">
        <v>0</v>
      </c>
      <c r="X1071" s="90">
        <v>0</v>
      </c>
    </row>
    <row r="1072" spans="1:24" hidden="1" x14ac:dyDescent="0.25">
      <c r="A1072" s="80" t="str">
        <v>PENDIENTE</v>
      </c>
      <c r="B1072" s="80" t="str">
        <v>Sitacocha</v>
      </c>
      <c r="C1072" s="80" t="str">
        <v>Setiembre</v>
      </c>
      <c r="D1072" s="81">
        <v>46254</v>
      </c>
      <c r="E1072" s="79">
        <v>1652.9405199999999</v>
      </c>
      <c r="F1072" s="80">
        <v>46244</v>
      </c>
      <c r="G1072" s="79" cm="1">
        <f t="array" ref="G1072:X1072">_xlfn._xlws.FILTER(Formulas!$C$2:$T$201, ISNUMBER(MATCH(Formulas!$B$2:$B$201, B1072, 0)),0) * E1072</f>
        <v>470.92275414799997</v>
      </c>
      <c r="H1072" s="79">
        <v>1107.4701484</v>
      </c>
      <c r="I1072" s="79">
        <v>74.547617451999997</v>
      </c>
      <c r="J1072" s="79">
        <v>0</v>
      </c>
      <c r="K1072" s="79">
        <v>0</v>
      </c>
      <c r="L1072" s="79">
        <v>0</v>
      </c>
      <c r="M1072" s="79">
        <v>0</v>
      </c>
      <c r="N1072" s="79">
        <v>0</v>
      </c>
      <c r="O1072" s="79">
        <v>0</v>
      </c>
      <c r="P1072" s="79">
        <v>0</v>
      </c>
      <c r="Q1072" s="79">
        <v>0</v>
      </c>
      <c r="R1072" s="79">
        <v>0</v>
      </c>
      <c r="S1072" s="79">
        <v>0</v>
      </c>
      <c r="T1072" s="79">
        <v>0</v>
      </c>
      <c r="U1072" s="79">
        <v>0</v>
      </c>
      <c r="V1072" s="79">
        <v>0</v>
      </c>
      <c r="W1072" s="79">
        <v>0</v>
      </c>
      <c r="X1072" s="90">
        <v>0</v>
      </c>
    </row>
    <row r="1073" spans="1:24" hidden="1" x14ac:dyDescent="0.25">
      <c r="A1073" s="80" t="str">
        <v>PENDIENTE</v>
      </c>
      <c r="B1073" s="80" t="str">
        <v>Sitacocha</v>
      </c>
      <c r="C1073" s="80" t="str">
        <v>Octubre</v>
      </c>
      <c r="D1073" s="81">
        <v>46254</v>
      </c>
      <c r="E1073" s="79">
        <v>1652.9405199999999</v>
      </c>
      <c r="F1073" s="81">
        <v>46244</v>
      </c>
      <c r="G1073" s="79" cm="1">
        <f t="array" ref="G1073:X1073">_xlfn._xlws.FILTER(Formulas!$C$2:$T$201, ISNUMBER(MATCH(Formulas!$B$2:$B$201, B1073, 0)),0) * E1073</f>
        <v>470.92275414799997</v>
      </c>
      <c r="H1073" s="79">
        <v>1107.4701484</v>
      </c>
      <c r="I1073" s="79">
        <v>74.547617451999997</v>
      </c>
      <c r="J1073" s="79">
        <v>0</v>
      </c>
      <c r="K1073" s="79">
        <v>0</v>
      </c>
      <c r="L1073" s="79">
        <v>0</v>
      </c>
      <c r="M1073" s="79">
        <v>0</v>
      </c>
      <c r="N1073" s="79">
        <v>0</v>
      </c>
      <c r="O1073" s="79">
        <v>0</v>
      </c>
      <c r="P1073" s="79">
        <v>0</v>
      </c>
      <c r="Q1073" s="79">
        <v>0</v>
      </c>
      <c r="R1073" s="79">
        <v>0</v>
      </c>
      <c r="S1073" s="79">
        <v>0</v>
      </c>
      <c r="T1073" s="79">
        <v>0</v>
      </c>
      <c r="U1073" s="79">
        <v>0</v>
      </c>
      <c r="V1073" s="79">
        <v>0</v>
      </c>
      <c r="W1073" s="79">
        <v>0</v>
      </c>
      <c r="X1073" s="90">
        <v>0</v>
      </c>
    </row>
    <row r="1074" spans="1:24" hidden="1" x14ac:dyDescent="0.25">
      <c r="A1074" s="80" t="str">
        <v>PENDIENTE</v>
      </c>
      <c r="B1074" s="80" t="str">
        <v>Sitacocha</v>
      </c>
      <c r="C1074" s="80" t="str">
        <v>Noviembre</v>
      </c>
      <c r="D1074" s="81">
        <v>46315</v>
      </c>
      <c r="E1074" s="79">
        <v>1652.9405199999999</v>
      </c>
      <c r="F1074" s="80">
        <v>0</v>
      </c>
      <c r="G1074" s="79" cm="1">
        <f t="array" ref="G1074:X1074">_xlfn._xlws.FILTER(Formulas!$C$2:$T$201, ISNUMBER(MATCH(Formulas!$B$2:$B$201, B1074, 0)),0) * E1074</f>
        <v>470.92275414799997</v>
      </c>
      <c r="H1074" s="79">
        <v>1107.4701484</v>
      </c>
      <c r="I1074" s="79">
        <v>74.547617451999997</v>
      </c>
      <c r="J1074" s="79">
        <v>0</v>
      </c>
      <c r="K1074" s="79">
        <v>0</v>
      </c>
      <c r="L1074" s="79">
        <v>0</v>
      </c>
      <c r="M1074" s="79">
        <v>0</v>
      </c>
      <c r="N1074" s="79">
        <v>0</v>
      </c>
      <c r="O1074" s="79">
        <v>0</v>
      </c>
      <c r="P1074" s="79">
        <v>0</v>
      </c>
      <c r="Q1074" s="79">
        <v>0</v>
      </c>
      <c r="R1074" s="79">
        <v>0</v>
      </c>
      <c r="S1074" s="79">
        <v>0</v>
      </c>
      <c r="T1074" s="79">
        <v>0</v>
      </c>
      <c r="U1074" s="79">
        <v>0</v>
      </c>
      <c r="V1074" s="79">
        <v>0</v>
      </c>
      <c r="W1074" s="79">
        <v>0</v>
      </c>
      <c r="X1074" s="90">
        <v>0</v>
      </c>
    </row>
    <row r="1075" spans="1:24" hidden="1" x14ac:dyDescent="0.25">
      <c r="A1075" s="80" t="str">
        <v>PENDIENTE</v>
      </c>
      <c r="B1075" s="80" t="str">
        <v>Sitacocha</v>
      </c>
      <c r="C1075" s="80" t="str">
        <v>Diciembre</v>
      </c>
      <c r="D1075" s="81">
        <v>46315</v>
      </c>
      <c r="E1075" s="79">
        <v>1652.9405199999999</v>
      </c>
      <c r="F1075" s="80">
        <v>0</v>
      </c>
      <c r="G1075" s="79" cm="1">
        <f t="array" ref="G1075:X1075">_xlfn._xlws.FILTER(Formulas!$C$2:$T$201, ISNUMBER(MATCH(Formulas!$B$2:$B$201, B1075, 0)),0) * E1075</f>
        <v>470.92275414799997</v>
      </c>
      <c r="H1075" s="79">
        <v>1107.4701484</v>
      </c>
      <c r="I1075" s="79">
        <v>74.547617451999997</v>
      </c>
      <c r="J1075" s="79">
        <v>0</v>
      </c>
      <c r="K1075" s="79">
        <v>0</v>
      </c>
      <c r="L1075" s="79">
        <v>0</v>
      </c>
      <c r="M1075" s="79">
        <v>0</v>
      </c>
      <c r="N1075" s="79">
        <v>0</v>
      </c>
      <c r="O1075" s="79">
        <v>0</v>
      </c>
      <c r="P1075" s="79">
        <v>0</v>
      </c>
      <c r="Q1075" s="79">
        <v>0</v>
      </c>
      <c r="R1075" s="79">
        <v>0</v>
      </c>
      <c r="S1075" s="79">
        <v>0</v>
      </c>
      <c r="T1075" s="79">
        <v>0</v>
      </c>
      <c r="U1075" s="79">
        <v>0</v>
      </c>
      <c r="V1075" s="79">
        <v>0</v>
      </c>
      <c r="W1075" s="79">
        <v>0</v>
      </c>
      <c r="X1075" s="90">
        <v>0</v>
      </c>
    </row>
    <row r="1076" spans="1:24" hidden="1" x14ac:dyDescent="0.25">
      <c r="A1076" s="80" t="str">
        <v>ENHA</v>
      </c>
      <c r="B1076" s="80" t="str">
        <v>Soloco</v>
      </c>
      <c r="C1076" s="80" t="str">
        <v>O.C.</v>
      </c>
      <c r="D1076" s="81">
        <v>46120</v>
      </c>
      <c r="E1076" s="79">
        <v>726</v>
      </c>
      <c r="F1076" s="80">
        <v>46120</v>
      </c>
      <c r="G1076" s="79" cm="1">
        <f t="array" ref="G1076:X1076">_xlfn._xlws.FILTER(Formulas!$C$2:$T$201, ISNUMBER(MATCH(Formulas!$B$2:$B$201, B1076, 0)),0) * E1076</f>
        <v>342</v>
      </c>
      <c r="H1076" s="79">
        <v>343</v>
      </c>
      <c r="I1076" s="79">
        <v>40</v>
      </c>
      <c r="J1076" s="79">
        <v>0</v>
      </c>
      <c r="K1076" s="79">
        <v>0</v>
      </c>
      <c r="L1076" s="79">
        <v>0</v>
      </c>
      <c r="M1076" s="79">
        <v>0</v>
      </c>
      <c r="N1076" s="79">
        <v>0</v>
      </c>
      <c r="O1076" s="79">
        <v>0</v>
      </c>
      <c r="P1076" s="79">
        <v>0</v>
      </c>
      <c r="Q1076" s="79">
        <v>0</v>
      </c>
      <c r="R1076" s="79">
        <v>0</v>
      </c>
      <c r="S1076" s="79">
        <v>0</v>
      </c>
      <c r="T1076" s="79">
        <v>0</v>
      </c>
      <c r="U1076" s="79">
        <v>0</v>
      </c>
      <c r="V1076" s="79">
        <v>1</v>
      </c>
      <c r="W1076" s="79">
        <v>0</v>
      </c>
      <c r="X1076" s="90">
        <v>0</v>
      </c>
    </row>
    <row r="1077" spans="1:24" hidden="1" x14ac:dyDescent="0.25">
      <c r="A1077" s="80" t="str">
        <v>ENHA</v>
      </c>
      <c r="B1077" s="80" t="str">
        <v>Soloco</v>
      </c>
      <c r="C1077" s="80" t="str">
        <v>O.C.</v>
      </c>
      <c r="D1077" s="81">
        <v>46188</v>
      </c>
      <c r="E1077" s="79">
        <v>370</v>
      </c>
      <c r="F1077" s="81">
        <v>46206</v>
      </c>
      <c r="G1077" s="79" cm="1">
        <f t="array" ref="G1077:X1077">_xlfn._xlws.FILTER(Formulas!$C$2:$T$201, ISNUMBER(MATCH(Formulas!$B$2:$B$201, B1077, 0)),0) * E1077</f>
        <v>174.29752066115702</v>
      </c>
      <c r="H1077" s="79">
        <v>174.80716253443526</v>
      </c>
      <c r="I1077" s="79">
        <v>20.385674931129476</v>
      </c>
      <c r="J1077" s="79">
        <v>0</v>
      </c>
      <c r="K1077" s="79">
        <v>0</v>
      </c>
      <c r="L1077" s="79">
        <v>0</v>
      </c>
      <c r="M1077" s="79">
        <v>0</v>
      </c>
      <c r="N1077" s="79">
        <v>0</v>
      </c>
      <c r="O1077" s="79">
        <v>0</v>
      </c>
      <c r="P1077" s="79">
        <v>0</v>
      </c>
      <c r="Q1077" s="79">
        <v>0</v>
      </c>
      <c r="R1077" s="79">
        <v>0</v>
      </c>
      <c r="S1077" s="79">
        <v>0</v>
      </c>
      <c r="T1077" s="79">
        <v>0</v>
      </c>
      <c r="U1077" s="79">
        <v>0</v>
      </c>
      <c r="V1077" s="79">
        <v>0.50964187327823696</v>
      </c>
      <c r="W1077" s="79">
        <v>0</v>
      </c>
      <c r="X1077" s="90">
        <v>0</v>
      </c>
    </row>
    <row r="1078" spans="1:24" hidden="1" x14ac:dyDescent="0.25">
      <c r="A1078" s="80" t="str">
        <v>ENHA</v>
      </c>
      <c r="B1078" s="80" t="str">
        <v>Soloco</v>
      </c>
      <c r="C1078" s="80" t="str">
        <v>O.C.</v>
      </c>
      <c r="D1078" s="81">
        <v>46274</v>
      </c>
      <c r="E1078" s="79">
        <v>400</v>
      </c>
      <c r="F1078" s="81">
        <v>0</v>
      </c>
      <c r="G1078" s="79" cm="1">
        <f t="array" ref="G1078:X1078">_xlfn._xlws.FILTER(Formulas!$C$2:$T$201, ISNUMBER(MATCH(Formulas!$B$2:$B$201, B1078, 0)),0) * E1078</f>
        <v>188.4297520661157</v>
      </c>
      <c r="H1078" s="79">
        <v>188.98071625344352</v>
      </c>
      <c r="I1078" s="79">
        <v>22.03856749311295</v>
      </c>
      <c r="J1078" s="79">
        <v>0</v>
      </c>
      <c r="K1078" s="79">
        <v>0</v>
      </c>
      <c r="L1078" s="79">
        <v>0</v>
      </c>
      <c r="M1078" s="79">
        <v>0</v>
      </c>
      <c r="N1078" s="79">
        <v>0</v>
      </c>
      <c r="O1078" s="79">
        <v>0</v>
      </c>
      <c r="P1078" s="79">
        <v>0</v>
      </c>
      <c r="Q1078" s="79">
        <v>0</v>
      </c>
      <c r="R1078" s="79">
        <v>0</v>
      </c>
      <c r="S1078" s="79">
        <v>0</v>
      </c>
      <c r="T1078" s="79">
        <v>0</v>
      </c>
      <c r="U1078" s="79">
        <v>0</v>
      </c>
      <c r="V1078" s="79">
        <v>0.55096418732782371</v>
      </c>
      <c r="W1078" s="79">
        <v>0</v>
      </c>
      <c r="X1078" s="90">
        <v>0</v>
      </c>
    </row>
    <row r="1079" spans="1:24" hidden="1" x14ac:dyDescent="0.25">
      <c r="A1079" s="80" t="str">
        <v>PENDIENTE</v>
      </c>
      <c r="B1079" s="80" t="str">
        <v>Supe</v>
      </c>
      <c r="C1079" s="80" t="str">
        <v>Ene - Agos</v>
      </c>
      <c r="D1079" s="81">
        <v>46265</v>
      </c>
      <c r="E1079" s="79">
        <v>6148.7999999999993</v>
      </c>
      <c r="F1079" s="81">
        <v>46266</v>
      </c>
      <c r="G1079" s="79" cm="1">
        <f t="array" ref="G1079:X1079">_xlfn._xlws.FILTER(Formulas!$C$2:$T$201, ISNUMBER(MATCH(Formulas!$B$2:$B$201, B1079, 0)),0) * E1079</f>
        <v>1229.76</v>
      </c>
      <c r="H1079" s="79">
        <v>4550.1119999999992</v>
      </c>
      <c r="I1079" s="79">
        <v>368.92799999999994</v>
      </c>
      <c r="J1079" s="79">
        <v>0</v>
      </c>
      <c r="K1079" s="79">
        <v>0</v>
      </c>
      <c r="L1079" s="79">
        <v>0</v>
      </c>
      <c r="M1079" s="79">
        <v>0</v>
      </c>
      <c r="N1079" s="79">
        <v>0</v>
      </c>
      <c r="O1079" s="79">
        <v>0</v>
      </c>
      <c r="P1079" s="79">
        <v>0</v>
      </c>
      <c r="Q1079" s="79">
        <v>0</v>
      </c>
      <c r="R1079" s="79">
        <v>0</v>
      </c>
      <c r="S1079" s="79">
        <v>0</v>
      </c>
      <c r="T1079" s="79">
        <v>0</v>
      </c>
      <c r="U1079" s="79">
        <v>0</v>
      </c>
      <c r="V1079" s="79">
        <v>0</v>
      </c>
      <c r="W1079" s="79">
        <v>0</v>
      </c>
      <c r="X1079" s="90">
        <v>0</v>
      </c>
    </row>
    <row r="1080" spans="1:24" hidden="1" x14ac:dyDescent="0.25">
      <c r="A1080" s="80" t="str">
        <v>PENDIENTE</v>
      </c>
      <c r="B1080" s="80" t="str">
        <v>Supe</v>
      </c>
      <c r="C1080" s="80" t="str">
        <v>Septiembre / Octubre</v>
      </c>
      <c r="D1080" s="81">
        <v>46295</v>
      </c>
      <c r="E1080" s="79">
        <v>1537.1999999999998</v>
      </c>
      <c r="F1080" s="81">
        <v>0</v>
      </c>
      <c r="G1080" s="79" cm="1">
        <f t="array" ref="G1080:X1080">_xlfn._xlws.FILTER(Formulas!$C$2:$T$201, ISNUMBER(MATCH(Formulas!$B$2:$B$201, B1080, 0)),0) * E1080</f>
        <v>307.44</v>
      </c>
      <c r="H1080" s="79">
        <v>1137.5279999999998</v>
      </c>
      <c r="I1080" s="79">
        <v>92.231999999999985</v>
      </c>
      <c r="J1080" s="79">
        <v>0</v>
      </c>
      <c r="K1080" s="79">
        <v>0</v>
      </c>
      <c r="L1080" s="79">
        <v>0</v>
      </c>
      <c r="M1080" s="79">
        <v>0</v>
      </c>
      <c r="N1080" s="79">
        <v>0</v>
      </c>
      <c r="O1080" s="79">
        <v>0</v>
      </c>
      <c r="P1080" s="79">
        <v>0</v>
      </c>
      <c r="Q1080" s="79">
        <v>0</v>
      </c>
      <c r="R1080" s="79">
        <v>0</v>
      </c>
      <c r="S1080" s="79">
        <v>0</v>
      </c>
      <c r="T1080" s="79">
        <v>0</v>
      </c>
      <c r="U1080" s="79">
        <v>0</v>
      </c>
      <c r="V1080" s="79">
        <v>0</v>
      </c>
      <c r="W1080" s="79">
        <v>0</v>
      </c>
      <c r="X1080" s="90">
        <v>0</v>
      </c>
    </row>
    <row r="1081" spans="1:24" hidden="1" x14ac:dyDescent="0.25">
      <c r="A1081" s="80" t="str">
        <v>PENDIENTE</v>
      </c>
      <c r="B1081" s="80" t="str">
        <v>Supe</v>
      </c>
      <c r="C1081" s="80" t="str">
        <v>Noviembre</v>
      </c>
      <c r="D1081" s="81">
        <v>46326</v>
      </c>
      <c r="E1081" s="79">
        <v>768.59999999999991</v>
      </c>
      <c r="F1081" s="81">
        <v>0</v>
      </c>
      <c r="G1081" s="79" cm="1">
        <f t="array" ref="G1081:X1081">_xlfn._xlws.FILTER(Formulas!$C$2:$T$201, ISNUMBER(MATCH(Formulas!$B$2:$B$201, B1081, 0)),0) * E1081</f>
        <v>153.72</v>
      </c>
      <c r="H1081" s="79">
        <v>568.7639999999999</v>
      </c>
      <c r="I1081" s="79">
        <v>46.115999999999993</v>
      </c>
      <c r="J1081" s="79">
        <v>0</v>
      </c>
      <c r="K1081" s="79">
        <v>0</v>
      </c>
      <c r="L1081" s="79">
        <v>0</v>
      </c>
      <c r="M1081" s="79">
        <v>0</v>
      </c>
      <c r="N1081" s="79">
        <v>0</v>
      </c>
      <c r="O1081" s="79">
        <v>0</v>
      </c>
      <c r="P1081" s="79">
        <v>0</v>
      </c>
      <c r="Q1081" s="79">
        <v>0</v>
      </c>
      <c r="R1081" s="79">
        <v>0</v>
      </c>
      <c r="S1081" s="79">
        <v>0</v>
      </c>
      <c r="T1081" s="79">
        <v>0</v>
      </c>
      <c r="U1081" s="79">
        <v>0</v>
      </c>
      <c r="V1081" s="79">
        <v>0</v>
      </c>
      <c r="W1081" s="79">
        <v>0</v>
      </c>
      <c r="X1081" s="90">
        <v>0</v>
      </c>
    </row>
    <row r="1082" spans="1:24" hidden="1" x14ac:dyDescent="0.25">
      <c r="A1082" s="80" t="str">
        <v>PENDIENTE</v>
      </c>
      <c r="B1082" s="80" t="str">
        <v>Supe</v>
      </c>
      <c r="C1082" s="80" t="str">
        <v>Diciembre</v>
      </c>
      <c r="D1082" s="81">
        <v>46356</v>
      </c>
      <c r="E1082" s="79">
        <v>768.59999999999991</v>
      </c>
      <c r="F1082" s="80">
        <v>0</v>
      </c>
      <c r="G1082" s="79" cm="1">
        <f t="array" ref="G1082:X1082">_xlfn._xlws.FILTER(Formulas!$C$2:$T$201, ISNUMBER(MATCH(Formulas!$B$2:$B$201, B1082, 0)),0) * E1082</f>
        <v>153.72</v>
      </c>
      <c r="H1082" s="79">
        <v>568.7639999999999</v>
      </c>
      <c r="I1082" s="79">
        <v>46.115999999999993</v>
      </c>
      <c r="J1082" s="79">
        <v>0</v>
      </c>
      <c r="K1082" s="79">
        <v>0</v>
      </c>
      <c r="L1082" s="79">
        <v>0</v>
      </c>
      <c r="M1082" s="79">
        <v>0</v>
      </c>
      <c r="N1082" s="79">
        <v>0</v>
      </c>
      <c r="O1082" s="79">
        <v>0</v>
      </c>
      <c r="P1082" s="79">
        <v>0</v>
      </c>
      <c r="Q1082" s="79">
        <v>0</v>
      </c>
      <c r="R1082" s="79">
        <v>0</v>
      </c>
      <c r="S1082" s="79">
        <v>0</v>
      </c>
      <c r="T1082" s="79">
        <v>0</v>
      </c>
      <c r="U1082" s="79">
        <v>0</v>
      </c>
      <c r="V1082" s="79">
        <v>0</v>
      </c>
      <c r="W1082" s="79">
        <v>0</v>
      </c>
      <c r="X1082" s="90">
        <v>0</v>
      </c>
    </row>
    <row r="1083" spans="1:24" hidden="1" x14ac:dyDescent="0.25">
      <c r="A1083" s="80" t="str">
        <v>PENDIENTE</v>
      </c>
      <c r="B1083" s="80" t="str">
        <v>Suyo</v>
      </c>
      <c r="C1083" s="80" t="str">
        <v>O.C.</v>
      </c>
      <c r="D1083" s="81">
        <v>46254</v>
      </c>
      <c r="E1083" s="79">
        <v>987.30720000000008</v>
      </c>
      <c r="F1083" s="81">
        <v>46252</v>
      </c>
      <c r="G1083" s="79" cm="1">
        <f t="array" ref="G1083:X1083">_xlfn._xlws.FILTER(Formulas!$C$2:$T$201, ISNUMBER(MATCH(Formulas!$B$2:$B$201, B1083, 0)),0) * E1083</f>
        <v>216.83335384615387</v>
      </c>
      <c r="H1083" s="79">
        <v>750.66166153846166</v>
      </c>
      <c r="I1083" s="79">
        <v>64.939938461538461</v>
      </c>
      <c r="J1083" s="79">
        <v>0</v>
      </c>
      <c r="K1083" s="79">
        <v>0</v>
      </c>
      <c r="L1083" s="79">
        <v>0</v>
      </c>
      <c r="M1083" s="79">
        <v>53.933169230769238</v>
      </c>
      <c r="N1083" s="79">
        <v>0</v>
      </c>
      <c r="O1083" s="79">
        <v>0</v>
      </c>
      <c r="P1083" s="79">
        <v>0</v>
      </c>
      <c r="Q1083" s="79">
        <v>0</v>
      </c>
      <c r="R1083" s="79">
        <v>0</v>
      </c>
      <c r="S1083" s="79">
        <v>0</v>
      </c>
      <c r="T1083" s="79">
        <v>0</v>
      </c>
      <c r="U1083" s="79">
        <v>0</v>
      </c>
      <c r="V1083" s="79">
        <v>0</v>
      </c>
      <c r="W1083" s="79">
        <v>0</v>
      </c>
      <c r="X1083" s="90">
        <v>0</v>
      </c>
    </row>
    <row r="1084" spans="1:24" hidden="1" x14ac:dyDescent="0.25">
      <c r="A1084" s="80" t="str">
        <v>PENDIENTE</v>
      </c>
      <c r="B1084" s="80" t="str">
        <v>Tantarica</v>
      </c>
      <c r="C1084" s="80" t="str">
        <v>Enero / Febrero / Marzo</v>
      </c>
      <c r="D1084" s="81">
        <v>46016</v>
      </c>
      <c r="E1084" s="79">
        <v>2258.6288400000003</v>
      </c>
      <c r="F1084" s="81">
        <v>46018</v>
      </c>
      <c r="G1084" s="79" cm="1">
        <f t="array" ref="G1084:X1084">_xlfn._xlws.FILTER(Formulas!$C$2:$T$201, ISNUMBER(MATCH(Formulas!$B$2:$B$201, B1084, 0)),0) * E1084</f>
        <v>474.31205640000007</v>
      </c>
      <c r="H1084" s="79">
        <v>1468.1087460000003</v>
      </c>
      <c r="I1084" s="79">
        <v>135.5177304</v>
      </c>
      <c r="J1084" s="79">
        <v>90.345153600000017</v>
      </c>
      <c r="K1084" s="79">
        <v>0</v>
      </c>
      <c r="L1084" s="79">
        <v>0</v>
      </c>
      <c r="M1084" s="79">
        <v>90.345153600000017</v>
      </c>
      <c r="N1084" s="79">
        <v>0</v>
      </c>
      <c r="O1084" s="79">
        <v>0</v>
      </c>
      <c r="P1084" s="79">
        <v>0</v>
      </c>
      <c r="Q1084" s="79">
        <v>0</v>
      </c>
      <c r="R1084" s="79">
        <v>0</v>
      </c>
      <c r="S1084" s="79">
        <v>0</v>
      </c>
      <c r="T1084" s="79">
        <v>0</v>
      </c>
      <c r="U1084" s="79">
        <v>0</v>
      </c>
      <c r="V1084" s="79">
        <v>0</v>
      </c>
      <c r="W1084" s="79">
        <v>0</v>
      </c>
      <c r="X1084" s="90">
        <v>0</v>
      </c>
    </row>
    <row r="1085" spans="1:24" hidden="1" x14ac:dyDescent="0.25">
      <c r="A1085" s="80" t="str">
        <v>PENDIENTE</v>
      </c>
      <c r="B1085" s="80" t="str">
        <v>Tantarica</v>
      </c>
      <c r="C1085" s="80" t="str">
        <v>Abril / Mayo / Junio</v>
      </c>
      <c r="D1085" s="81">
        <v>46106</v>
      </c>
      <c r="E1085" s="79">
        <v>2258.6288400000003</v>
      </c>
      <c r="F1085" s="81">
        <v>46106</v>
      </c>
      <c r="G1085" s="79" cm="1">
        <f t="array" ref="G1085:X1085">_xlfn._xlws.FILTER(Formulas!$C$2:$T$201, ISNUMBER(MATCH(Formulas!$B$2:$B$201, B1085, 0)),0) * E1085</f>
        <v>474.31205640000007</v>
      </c>
      <c r="H1085" s="79">
        <v>1468.1087460000003</v>
      </c>
      <c r="I1085" s="79">
        <v>135.5177304</v>
      </c>
      <c r="J1085" s="79">
        <v>90.345153600000017</v>
      </c>
      <c r="K1085" s="79">
        <v>0</v>
      </c>
      <c r="L1085" s="79">
        <v>0</v>
      </c>
      <c r="M1085" s="79">
        <v>90.345153600000017</v>
      </c>
      <c r="N1085" s="79">
        <v>0</v>
      </c>
      <c r="O1085" s="79">
        <v>0</v>
      </c>
      <c r="P1085" s="79">
        <v>0</v>
      </c>
      <c r="Q1085" s="79">
        <v>0</v>
      </c>
      <c r="R1085" s="79">
        <v>0</v>
      </c>
      <c r="S1085" s="79">
        <v>0</v>
      </c>
      <c r="T1085" s="79">
        <v>0</v>
      </c>
      <c r="U1085" s="79">
        <v>0</v>
      </c>
      <c r="V1085" s="79">
        <v>0</v>
      </c>
      <c r="W1085" s="79">
        <v>0</v>
      </c>
      <c r="X1085" s="90">
        <v>0</v>
      </c>
    </row>
    <row r="1086" spans="1:24" hidden="1" x14ac:dyDescent="0.25">
      <c r="A1086" s="80" t="str">
        <v>PENDIENTE</v>
      </c>
      <c r="B1086" s="80" t="str">
        <v>Tantarica</v>
      </c>
      <c r="C1086" s="80" t="str">
        <v>Julio / Agosto / Septiembre</v>
      </c>
      <c r="D1086" s="81">
        <v>46196</v>
      </c>
      <c r="E1086" s="79">
        <v>2258.6288400000003</v>
      </c>
      <c r="F1086" s="81">
        <v>46195</v>
      </c>
      <c r="G1086" s="79" cm="1">
        <f t="array" ref="G1086:X1086">_xlfn._xlws.FILTER(Formulas!$C$2:$T$201, ISNUMBER(MATCH(Formulas!$B$2:$B$201, B1086, 0)),0) * E1086</f>
        <v>474.31205640000007</v>
      </c>
      <c r="H1086" s="79">
        <v>1468.1087460000003</v>
      </c>
      <c r="I1086" s="79">
        <v>135.5177304</v>
      </c>
      <c r="J1086" s="79">
        <v>90.345153600000017</v>
      </c>
      <c r="K1086" s="79">
        <v>0</v>
      </c>
      <c r="L1086" s="79">
        <v>0</v>
      </c>
      <c r="M1086" s="79">
        <v>90.345153600000017</v>
      </c>
      <c r="N1086" s="79">
        <v>0</v>
      </c>
      <c r="O1086" s="79">
        <v>0</v>
      </c>
      <c r="P1086" s="79">
        <v>0</v>
      </c>
      <c r="Q1086" s="79">
        <v>0</v>
      </c>
      <c r="R1086" s="79">
        <v>0</v>
      </c>
      <c r="S1086" s="79">
        <v>0</v>
      </c>
      <c r="T1086" s="79">
        <v>0</v>
      </c>
      <c r="U1086" s="79">
        <v>0</v>
      </c>
      <c r="V1086" s="79">
        <v>0</v>
      </c>
      <c r="W1086" s="79">
        <v>0</v>
      </c>
      <c r="X1086" s="90">
        <v>0</v>
      </c>
    </row>
    <row r="1087" spans="1:24" hidden="1" x14ac:dyDescent="0.25">
      <c r="A1087" s="80" t="str">
        <v>PENDIENTE</v>
      </c>
      <c r="B1087" s="80" t="str">
        <v>Tantarica</v>
      </c>
      <c r="C1087" s="80" t="str">
        <v>O.C.</v>
      </c>
      <c r="D1087" s="81">
        <v>46244</v>
      </c>
      <c r="E1087" s="79">
        <v>818.19504000000006</v>
      </c>
      <c r="F1087" s="81">
        <v>46244</v>
      </c>
      <c r="G1087" s="79" cm="1">
        <f t="array" ref="G1087:X1087">_xlfn._xlws.FILTER(Formulas!$C$2:$T$201, ISNUMBER(MATCH(Formulas!$B$2:$B$201, B1087, 0)),0) * E1087</f>
        <v>171.82095839999999</v>
      </c>
      <c r="H1087" s="79">
        <v>531.82677600000011</v>
      </c>
      <c r="I1087" s="79">
        <v>49.091702400000003</v>
      </c>
      <c r="J1087" s="79">
        <v>32.727801600000006</v>
      </c>
      <c r="K1087" s="79">
        <v>0</v>
      </c>
      <c r="L1087" s="79">
        <v>0</v>
      </c>
      <c r="M1087" s="79">
        <v>32.727801600000006</v>
      </c>
      <c r="N1087" s="79">
        <v>0</v>
      </c>
      <c r="O1087" s="79">
        <v>0</v>
      </c>
      <c r="P1087" s="79">
        <v>0</v>
      </c>
      <c r="Q1087" s="79">
        <v>0</v>
      </c>
      <c r="R1087" s="79">
        <v>0</v>
      </c>
      <c r="S1087" s="79">
        <v>0</v>
      </c>
      <c r="T1087" s="79">
        <v>0</v>
      </c>
      <c r="U1087" s="79">
        <v>0</v>
      </c>
      <c r="V1087" s="79">
        <v>0</v>
      </c>
      <c r="W1087" s="79">
        <v>0</v>
      </c>
      <c r="X1087" s="90">
        <v>0</v>
      </c>
    </row>
    <row r="1088" spans="1:24" hidden="1" x14ac:dyDescent="0.25">
      <c r="A1088" s="80" t="str">
        <v>PENDIENTE</v>
      </c>
      <c r="B1088" s="80" t="str">
        <v>Tantarica</v>
      </c>
      <c r="C1088" s="80" t="str">
        <v>Octubre / Noviembre / Diciembre</v>
      </c>
      <c r="D1088" s="81">
        <v>46287</v>
      </c>
      <c r="E1088" s="79">
        <v>2277.8510319000002</v>
      </c>
      <c r="F1088" s="81">
        <v>46287</v>
      </c>
      <c r="G1088" s="79" cm="1">
        <f t="array" ref="G1088:X1088">_xlfn._xlws.FILTER(Formulas!$C$2:$T$201, ISNUMBER(MATCH(Formulas!$B$2:$B$201, B1088, 0)),0) * E1088</f>
        <v>478.34871669900002</v>
      </c>
      <c r="H1088" s="79">
        <v>1480.6031707350003</v>
      </c>
      <c r="I1088" s="79">
        <v>136.67106191400001</v>
      </c>
      <c r="J1088" s="79">
        <v>91.114041276000009</v>
      </c>
      <c r="K1088" s="79">
        <v>0</v>
      </c>
      <c r="L1088" s="79">
        <v>0</v>
      </c>
      <c r="M1088" s="79">
        <v>91.114041276000009</v>
      </c>
      <c r="N1088" s="79">
        <v>0</v>
      </c>
      <c r="O1088" s="79">
        <v>0</v>
      </c>
      <c r="P1088" s="79">
        <v>0</v>
      </c>
      <c r="Q1088" s="79">
        <v>0</v>
      </c>
      <c r="R1088" s="79">
        <v>0</v>
      </c>
      <c r="S1088" s="79">
        <v>0</v>
      </c>
      <c r="T1088" s="79">
        <v>0</v>
      </c>
      <c r="U1088" s="79">
        <v>0</v>
      </c>
      <c r="V1088" s="79">
        <v>0</v>
      </c>
      <c r="W1088" s="79">
        <v>0</v>
      </c>
      <c r="X1088" s="90">
        <v>0</v>
      </c>
    </row>
    <row r="1089" spans="1:24" hidden="1" x14ac:dyDescent="0.25">
      <c r="A1089" s="80" t="str">
        <v>PENDIENTE</v>
      </c>
      <c r="B1089" s="80" t="str">
        <v>Taurija</v>
      </c>
      <c r="C1089" s="80" t="str">
        <v>Enero</v>
      </c>
      <c r="D1089" s="81">
        <v>46032</v>
      </c>
      <c r="E1089" s="79">
        <v>335.08799999999997</v>
      </c>
      <c r="F1089" s="81">
        <v>46053</v>
      </c>
      <c r="G1089" s="79" cm="1">
        <f t="array" ref="G1089:X1089">_xlfn._xlws.FILTER(Formulas!$C$2:$T$201, ISNUMBER(MATCH(Formulas!$B$2:$B$201, B1089, 0)),0) * E1089</f>
        <v>67.017600000000002</v>
      </c>
      <c r="H1089" s="79">
        <v>218.55739701492536</v>
      </c>
      <c r="I1089" s="79">
        <v>16.504334328358208</v>
      </c>
      <c r="J1089" s="79">
        <v>16.504334328358208</v>
      </c>
      <c r="K1089" s="79">
        <v>0</v>
      </c>
      <c r="L1089" s="79">
        <v>0</v>
      </c>
      <c r="M1089" s="79">
        <v>16.504334328358208</v>
      </c>
      <c r="N1089" s="79">
        <v>0</v>
      </c>
      <c r="O1089" s="79">
        <v>0</v>
      </c>
      <c r="P1089" s="79">
        <v>0</v>
      </c>
      <c r="Q1089" s="79">
        <v>0</v>
      </c>
      <c r="R1089" s="79">
        <v>0</v>
      </c>
      <c r="S1089" s="79">
        <v>0</v>
      </c>
      <c r="T1089" s="79">
        <v>0</v>
      </c>
      <c r="U1089" s="79">
        <v>0</v>
      </c>
      <c r="V1089" s="79">
        <v>0</v>
      </c>
      <c r="W1089" s="79">
        <v>0</v>
      </c>
      <c r="X1089" s="90">
        <v>0</v>
      </c>
    </row>
    <row r="1090" spans="1:24" hidden="1" x14ac:dyDescent="0.25">
      <c r="A1090" s="80" t="str">
        <v>PENDIENTE</v>
      </c>
      <c r="B1090" s="80" t="str">
        <v>Taurija</v>
      </c>
      <c r="C1090" s="80" t="str">
        <v>Febrero</v>
      </c>
      <c r="D1090" s="81">
        <v>46063</v>
      </c>
      <c r="E1090" s="79">
        <v>335.08799999999997</v>
      </c>
      <c r="F1090" s="81">
        <v>46053</v>
      </c>
      <c r="G1090" s="79" cm="1">
        <f t="array" ref="G1090:X1090">_xlfn._xlws.FILTER(Formulas!$C$2:$T$201, ISNUMBER(MATCH(Formulas!$B$2:$B$201, B1090, 0)),0) * E1090</f>
        <v>67.017600000000002</v>
      </c>
      <c r="H1090" s="79">
        <v>218.55739701492536</v>
      </c>
      <c r="I1090" s="79">
        <v>16.504334328358208</v>
      </c>
      <c r="J1090" s="79">
        <v>16.504334328358208</v>
      </c>
      <c r="K1090" s="79">
        <v>0</v>
      </c>
      <c r="L1090" s="79">
        <v>0</v>
      </c>
      <c r="M1090" s="79">
        <v>16.504334328358208</v>
      </c>
      <c r="N1090" s="79">
        <v>0</v>
      </c>
      <c r="O1090" s="79">
        <v>0</v>
      </c>
      <c r="P1090" s="79">
        <v>0</v>
      </c>
      <c r="Q1090" s="79">
        <v>0</v>
      </c>
      <c r="R1090" s="79">
        <v>0</v>
      </c>
      <c r="S1090" s="79">
        <v>0</v>
      </c>
      <c r="T1090" s="79">
        <v>0</v>
      </c>
      <c r="U1090" s="79">
        <v>0</v>
      </c>
      <c r="V1090" s="79">
        <v>0</v>
      </c>
      <c r="W1090" s="79">
        <v>0</v>
      </c>
      <c r="X1090" s="90">
        <v>0</v>
      </c>
    </row>
    <row r="1091" spans="1:24" hidden="1" x14ac:dyDescent="0.25">
      <c r="A1091" s="80" t="str">
        <v>PENDIENTE</v>
      </c>
      <c r="B1091" s="80" t="str">
        <v>Taurija</v>
      </c>
      <c r="C1091" s="80" t="str">
        <v>Marzo</v>
      </c>
      <c r="D1091" s="81">
        <v>46091</v>
      </c>
      <c r="E1091" s="79">
        <v>335.08799999999997</v>
      </c>
      <c r="F1091" s="81">
        <v>46086</v>
      </c>
      <c r="G1091" s="79" cm="1">
        <f t="array" ref="G1091:X1091">_xlfn._xlws.FILTER(Formulas!$C$2:$T$201, ISNUMBER(MATCH(Formulas!$B$2:$B$201, B1091, 0)),0) * E1091</f>
        <v>67.017600000000002</v>
      </c>
      <c r="H1091" s="79">
        <v>218.55739701492536</v>
      </c>
      <c r="I1091" s="79">
        <v>16.504334328358208</v>
      </c>
      <c r="J1091" s="79">
        <v>16.504334328358208</v>
      </c>
      <c r="K1091" s="79">
        <v>0</v>
      </c>
      <c r="L1091" s="79">
        <v>0</v>
      </c>
      <c r="M1091" s="79">
        <v>16.504334328358208</v>
      </c>
      <c r="N1091" s="79">
        <v>0</v>
      </c>
      <c r="O1091" s="79">
        <v>0</v>
      </c>
      <c r="P1091" s="79">
        <v>0</v>
      </c>
      <c r="Q1091" s="79">
        <v>0</v>
      </c>
      <c r="R1091" s="79">
        <v>0</v>
      </c>
      <c r="S1091" s="79">
        <v>0</v>
      </c>
      <c r="T1091" s="79">
        <v>0</v>
      </c>
      <c r="U1091" s="79">
        <v>0</v>
      </c>
      <c r="V1091" s="79">
        <v>0</v>
      </c>
      <c r="W1091" s="79">
        <v>0</v>
      </c>
      <c r="X1091" s="90">
        <v>0</v>
      </c>
    </row>
    <row r="1092" spans="1:24" hidden="1" x14ac:dyDescent="0.25">
      <c r="A1092" s="80" t="str">
        <v>PENDIENTE</v>
      </c>
      <c r="B1092" s="80" t="str">
        <v>Taurija</v>
      </c>
      <c r="C1092" s="80" t="str">
        <v>Abril</v>
      </c>
      <c r="D1092" s="81">
        <v>46091</v>
      </c>
      <c r="E1092" s="79">
        <v>335.08799999999997</v>
      </c>
      <c r="F1092" s="80">
        <v>46086</v>
      </c>
      <c r="G1092" s="79" cm="1">
        <f t="array" ref="G1092:X1092">_xlfn._xlws.FILTER(Formulas!$C$2:$T$201, ISNUMBER(MATCH(Formulas!$B$2:$B$201, B1092, 0)),0) * E1092</f>
        <v>67.017600000000002</v>
      </c>
      <c r="H1092" s="79">
        <v>218.55739701492536</v>
      </c>
      <c r="I1092" s="79">
        <v>16.504334328358208</v>
      </c>
      <c r="J1092" s="79">
        <v>16.504334328358208</v>
      </c>
      <c r="K1092" s="79">
        <v>0</v>
      </c>
      <c r="L1092" s="79">
        <v>0</v>
      </c>
      <c r="M1092" s="79">
        <v>16.504334328358208</v>
      </c>
      <c r="N1092" s="79">
        <v>0</v>
      </c>
      <c r="O1092" s="79">
        <v>0</v>
      </c>
      <c r="P1092" s="79">
        <v>0</v>
      </c>
      <c r="Q1092" s="79">
        <v>0</v>
      </c>
      <c r="R1092" s="79">
        <v>0</v>
      </c>
      <c r="S1092" s="79">
        <v>0</v>
      </c>
      <c r="T1092" s="79">
        <v>0</v>
      </c>
      <c r="U1092" s="79">
        <v>0</v>
      </c>
      <c r="V1092" s="79">
        <v>0</v>
      </c>
      <c r="W1092" s="79">
        <v>0</v>
      </c>
      <c r="X1092" s="90">
        <v>0</v>
      </c>
    </row>
    <row r="1093" spans="1:24" hidden="1" x14ac:dyDescent="0.25">
      <c r="A1093" s="80" t="str">
        <v>PENDIENTE</v>
      </c>
      <c r="B1093" s="80" t="str">
        <v>Taurija</v>
      </c>
      <c r="C1093" s="80" t="str">
        <v>Mayo</v>
      </c>
      <c r="D1093" s="81">
        <v>46091</v>
      </c>
      <c r="E1093" s="79">
        <v>335.08799999999997</v>
      </c>
      <c r="F1093" s="80">
        <v>46086</v>
      </c>
      <c r="G1093" s="79" cm="1">
        <f t="array" ref="G1093:X1093">_xlfn._xlws.FILTER(Formulas!$C$2:$T$201, ISNUMBER(MATCH(Formulas!$B$2:$B$201, B1093, 0)),0) * E1093</f>
        <v>67.017600000000002</v>
      </c>
      <c r="H1093" s="79">
        <v>218.55739701492536</v>
      </c>
      <c r="I1093" s="79">
        <v>16.504334328358208</v>
      </c>
      <c r="J1093" s="79">
        <v>16.504334328358208</v>
      </c>
      <c r="K1093" s="79">
        <v>0</v>
      </c>
      <c r="L1093" s="79">
        <v>0</v>
      </c>
      <c r="M1093" s="79">
        <v>16.504334328358208</v>
      </c>
      <c r="N1093" s="79">
        <v>0</v>
      </c>
      <c r="O1093" s="79">
        <v>0</v>
      </c>
      <c r="P1093" s="79">
        <v>0</v>
      </c>
      <c r="Q1093" s="79">
        <v>0</v>
      </c>
      <c r="R1093" s="79">
        <v>0</v>
      </c>
      <c r="S1093" s="79">
        <v>0</v>
      </c>
      <c r="T1093" s="79">
        <v>0</v>
      </c>
      <c r="U1093" s="79">
        <v>0</v>
      </c>
      <c r="V1093" s="79">
        <v>0</v>
      </c>
      <c r="W1093" s="79">
        <v>0</v>
      </c>
      <c r="X1093" s="90">
        <v>0</v>
      </c>
    </row>
    <row r="1094" spans="1:24" hidden="1" x14ac:dyDescent="0.25">
      <c r="A1094" s="80" t="str">
        <v>PENDIENTE</v>
      </c>
      <c r="B1094" s="80" t="str">
        <v>Taurija</v>
      </c>
      <c r="C1094" s="80" t="str">
        <v>Junio</v>
      </c>
      <c r="D1094" s="81">
        <v>46091</v>
      </c>
      <c r="E1094" s="79">
        <v>335.08799999999997</v>
      </c>
      <c r="F1094" s="80">
        <v>46086</v>
      </c>
      <c r="G1094" s="79" cm="1">
        <f t="array" ref="G1094:X1094">_xlfn._xlws.FILTER(Formulas!$C$2:$T$201, ISNUMBER(MATCH(Formulas!$B$2:$B$201, B1094, 0)),0) * E1094</f>
        <v>67.017600000000002</v>
      </c>
      <c r="H1094" s="79">
        <v>218.55739701492536</v>
      </c>
      <c r="I1094" s="79">
        <v>16.504334328358208</v>
      </c>
      <c r="J1094" s="79">
        <v>16.504334328358208</v>
      </c>
      <c r="K1094" s="79">
        <v>0</v>
      </c>
      <c r="L1094" s="79">
        <v>0</v>
      </c>
      <c r="M1094" s="79">
        <v>16.504334328358208</v>
      </c>
      <c r="N1094" s="79">
        <v>0</v>
      </c>
      <c r="O1094" s="79">
        <v>0</v>
      </c>
      <c r="P1094" s="79">
        <v>0</v>
      </c>
      <c r="Q1094" s="79">
        <v>0</v>
      </c>
      <c r="R1094" s="79">
        <v>0</v>
      </c>
      <c r="S1094" s="79">
        <v>0</v>
      </c>
      <c r="T1094" s="79">
        <v>0</v>
      </c>
      <c r="U1094" s="79">
        <v>0</v>
      </c>
      <c r="V1094" s="79">
        <v>0</v>
      </c>
      <c r="W1094" s="79">
        <v>0</v>
      </c>
      <c r="X1094" s="90">
        <v>0</v>
      </c>
    </row>
    <row r="1095" spans="1:24" hidden="1" x14ac:dyDescent="0.25">
      <c r="A1095" s="80" t="str">
        <v>PENDIENTE</v>
      </c>
      <c r="B1095" s="80" t="str">
        <v>Taurija</v>
      </c>
      <c r="C1095" s="80" t="str">
        <v>Julio</v>
      </c>
      <c r="D1095" s="81">
        <v>46183</v>
      </c>
      <c r="E1095" s="79">
        <v>335.08799999999997</v>
      </c>
      <c r="F1095" s="81">
        <v>46171</v>
      </c>
      <c r="G1095" s="79" cm="1">
        <f t="array" ref="G1095:X1095">_xlfn._xlws.FILTER(Formulas!$C$2:$T$201, ISNUMBER(MATCH(Formulas!$B$2:$B$201, B1095, 0)),0) * E1095</f>
        <v>67.017600000000002</v>
      </c>
      <c r="H1095" s="79">
        <v>218.55739701492536</v>
      </c>
      <c r="I1095" s="79">
        <v>16.504334328358208</v>
      </c>
      <c r="J1095" s="79">
        <v>16.504334328358208</v>
      </c>
      <c r="K1095" s="79">
        <v>0</v>
      </c>
      <c r="L1095" s="79">
        <v>0</v>
      </c>
      <c r="M1095" s="79">
        <v>16.504334328358208</v>
      </c>
      <c r="N1095" s="79">
        <v>0</v>
      </c>
      <c r="O1095" s="79">
        <v>0</v>
      </c>
      <c r="P1095" s="79">
        <v>0</v>
      </c>
      <c r="Q1095" s="79">
        <v>0</v>
      </c>
      <c r="R1095" s="79">
        <v>0</v>
      </c>
      <c r="S1095" s="79">
        <v>0</v>
      </c>
      <c r="T1095" s="79">
        <v>0</v>
      </c>
      <c r="U1095" s="79">
        <v>0</v>
      </c>
      <c r="V1095" s="79">
        <v>0</v>
      </c>
      <c r="W1095" s="79">
        <v>0</v>
      </c>
      <c r="X1095" s="90">
        <v>0</v>
      </c>
    </row>
    <row r="1096" spans="1:24" hidden="1" x14ac:dyDescent="0.25">
      <c r="A1096" s="80" t="str">
        <v>PENDIENTE</v>
      </c>
      <c r="B1096" s="80" t="str">
        <v>Taurija</v>
      </c>
      <c r="C1096" s="80" t="str">
        <v>Agosto</v>
      </c>
      <c r="D1096" s="81">
        <v>46183</v>
      </c>
      <c r="E1096" s="79">
        <v>335.08799999999997</v>
      </c>
      <c r="F1096" s="81">
        <v>46171</v>
      </c>
      <c r="G1096" s="79" cm="1">
        <f t="array" ref="G1096:X1096">_xlfn._xlws.FILTER(Formulas!$C$2:$T$201, ISNUMBER(MATCH(Formulas!$B$2:$B$201, B1096, 0)),0) * E1096</f>
        <v>67.017600000000002</v>
      </c>
      <c r="H1096" s="79">
        <v>218.55739701492536</v>
      </c>
      <c r="I1096" s="79">
        <v>16.504334328358208</v>
      </c>
      <c r="J1096" s="79">
        <v>16.504334328358208</v>
      </c>
      <c r="K1096" s="79">
        <v>0</v>
      </c>
      <c r="L1096" s="79">
        <v>0</v>
      </c>
      <c r="M1096" s="79">
        <v>16.504334328358208</v>
      </c>
      <c r="N1096" s="79">
        <v>0</v>
      </c>
      <c r="O1096" s="79">
        <v>0</v>
      </c>
      <c r="P1096" s="79">
        <v>0</v>
      </c>
      <c r="Q1096" s="79">
        <v>0</v>
      </c>
      <c r="R1096" s="79">
        <v>0</v>
      </c>
      <c r="S1096" s="79">
        <v>0</v>
      </c>
      <c r="T1096" s="79">
        <v>0</v>
      </c>
      <c r="U1096" s="79">
        <v>0</v>
      </c>
      <c r="V1096" s="79">
        <v>0</v>
      </c>
      <c r="W1096" s="79">
        <v>0</v>
      </c>
      <c r="X1096" s="90">
        <v>0</v>
      </c>
    </row>
    <row r="1097" spans="1:24" hidden="1" x14ac:dyDescent="0.25">
      <c r="A1097" s="80" t="str">
        <v>PENDIENTE</v>
      </c>
      <c r="B1097" s="80" t="str">
        <v>Taurija</v>
      </c>
      <c r="C1097" s="80" t="str">
        <v>Setiembre</v>
      </c>
      <c r="D1097" s="81">
        <v>46183</v>
      </c>
      <c r="E1097" s="79">
        <v>335.08799999999997</v>
      </c>
      <c r="F1097" s="81">
        <v>46171</v>
      </c>
      <c r="G1097" s="79" cm="1">
        <f t="array" ref="G1097:X1097">_xlfn._xlws.FILTER(Formulas!$C$2:$T$201, ISNUMBER(MATCH(Formulas!$B$2:$B$201, B1097, 0)),0) * E1097</f>
        <v>67.017600000000002</v>
      </c>
      <c r="H1097" s="79">
        <v>218.55739701492536</v>
      </c>
      <c r="I1097" s="79">
        <v>16.504334328358208</v>
      </c>
      <c r="J1097" s="79">
        <v>16.504334328358208</v>
      </c>
      <c r="K1097" s="79">
        <v>0</v>
      </c>
      <c r="L1097" s="79">
        <v>0</v>
      </c>
      <c r="M1097" s="79">
        <v>16.504334328358208</v>
      </c>
      <c r="N1097" s="79">
        <v>0</v>
      </c>
      <c r="O1097" s="79">
        <v>0</v>
      </c>
      <c r="P1097" s="79">
        <v>0</v>
      </c>
      <c r="Q1097" s="79">
        <v>0</v>
      </c>
      <c r="R1097" s="79">
        <v>0</v>
      </c>
      <c r="S1097" s="79">
        <v>0</v>
      </c>
      <c r="T1097" s="79">
        <v>0</v>
      </c>
      <c r="U1097" s="79">
        <v>0</v>
      </c>
      <c r="V1097" s="79">
        <v>0</v>
      </c>
      <c r="W1097" s="79">
        <v>0</v>
      </c>
      <c r="X1097" s="90">
        <v>0</v>
      </c>
    </row>
    <row r="1098" spans="1:24" hidden="1" x14ac:dyDescent="0.25">
      <c r="A1098" s="80" t="str">
        <v>PENDIENTE</v>
      </c>
      <c r="B1098" s="80" t="str">
        <v>Taurija</v>
      </c>
      <c r="C1098" s="80" t="str">
        <v>Octubre</v>
      </c>
      <c r="D1098" s="81">
        <v>46295</v>
      </c>
      <c r="E1098" s="79">
        <v>335.08799999999997</v>
      </c>
      <c r="F1098" s="81">
        <v>46281</v>
      </c>
      <c r="G1098" s="79" cm="1">
        <f t="array" ref="G1098:X1098">_xlfn._xlws.FILTER(Formulas!$C$2:$T$201, ISNUMBER(MATCH(Formulas!$B$2:$B$201, B1098, 0)),0) * E1098</f>
        <v>67.017600000000002</v>
      </c>
      <c r="H1098" s="79">
        <v>218.55739701492536</v>
      </c>
      <c r="I1098" s="79">
        <v>16.504334328358208</v>
      </c>
      <c r="J1098" s="79">
        <v>16.504334328358208</v>
      </c>
      <c r="K1098" s="79">
        <v>0</v>
      </c>
      <c r="L1098" s="79">
        <v>0</v>
      </c>
      <c r="M1098" s="79">
        <v>16.504334328358208</v>
      </c>
      <c r="N1098" s="79">
        <v>0</v>
      </c>
      <c r="O1098" s="79">
        <v>0</v>
      </c>
      <c r="P1098" s="79">
        <v>0</v>
      </c>
      <c r="Q1098" s="79">
        <v>0</v>
      </c>
      <c r="R1098" s="79">
        <v>0</v>
      </c>
      <c r="S1098" s="79">
        <v>0</v>
      </c>
      <c r="T1098" s="79">
        <v>0</v>
      </c>
      <c r="U1098" s="79">
        <v>0</v>
      </c>
      <c r="V1098" s="79">
        <v>0</v>
      </c>
      <c r="W1098" s="79">
        <v>0</v>
      </c>
      <c r="X1098" s="90">
        <v>0</v>
      </c>
    </row>
    <row r="1099" spans="1:24" hidden="1" x14ac:dyDescent="0.25">
      <c r="A1099" s="80" t="str">
        <v>PENDIENTE</v>
      </c>
      <c r="B1099" s="80" t="str">
        <v>Taurija</v>
      </c>
      <c r="C1099" s="80" t="str">
        <v>Noviembre</v>
      </c>
      <c r="D1099" s="81">
        <v>46295</v>
      </c>
      <c r="E1099" s="79">
        <v>335.08799999999997</v>
      </c>
      <c r="F1099" s="81">
        <v>46281</v>
      </c>
      <c r="G1099" s="79" cm="1">
        <f t="array" ref="G1099:X1099">_xlfn._xlws.FILTER(Formulas!$C$2:$T$201, ISNUMBER(MATCH(Formulas!$B$2:$B$201, B1099, 0)),0) * E1099</f>
        <v>67.017600000000002</v>
      </c>
      <c r="H1099" s="79">
        <v>218.55739701492536</v>
      </c>
      <c r="I1099" s="79">
        <v>16.504334328358208</v>
      </c>
      <c r="J1099" s="79">
        <v>16.504334328358208</v>
      </c>
      <c r="K1099" s="79">
        <v>0</v>
      </c>
      <c r="L1099" s="79">
        <v>0</v>
      </c>
      <c r="M1099" s="79">
        <v>16.504334328358208</v>
      </c>
      <c r="N1099" s="79">
        <v>0</v>
      </c>
      <c r="O1099" s="79">
        <v>0</v>
      </c>
      <c r="P1099" s="79">
        <v>0</v>
      </c>
      <c r="Q1099" s="79">
        <v>0</v>
      </c>
      <c r="R1099" s="79">
        <v>0</v>
      </c>
      <c r="S1099" s="79">
        <v>0</v>
      </c>
      <c r="T1099" s="79">
        <v>0</v>
      </c>
      <c r="U1099" s="79">
        <v>0</v>
      </c>
      <c r="V1099" s="79">
        <v>0</v>
      </c>
      <c r="W1099" s="79">
        <v>0</v>
      </c>
      <c r="X1099" s="90">
        <v>0</v>
      </c>
    </row>
    <row r="1100" spans="1:24" hidden="1" x14ac:dyDescent="0.25">
      <c r="A1100" s="80" t="str">
        <v>PENDIENTE</v>
      </c>
      <c r="B1100" s="80" t="str">
        <v>Taurija</v>
      </c>
      <c r="C1100" s="80" t="str">
        <v>Diciembre</v>
      </c>
      <c r="D1100" s="81">
        <v>46295</v>
      </c>
      <c r="E1100" s="79">
        <v>335.08799999999997</v>
      </c>
      <c r="F1100" s="81">
        <v>46281</v>
      </c>
      <c r="G1100" s="79" cm="1">
        <f t="array" ref="G1100:X1100">_xlfn._xlws.FILTER(Formulas!$C$2:$T$201, ISNUMBER(MATCH(Formulas!$B$2:$B$201, B1100, 0)),0) * E1100</f>
        <v>67.017600000000002</v>
      </c>
      <c r="H1100" s="79">
        <v>218.55739701492536</v>
      </c>
      <c r="I1100" s="79">
        <v>16.504334328358208</v>
      </c>
      <c r="J1100" s="79">
        <v>16.504334328358208</v>
      </c>
      <c r="K1100" s="79">
        <v>0</v>
      </c>
      <c r="L1100" s="79">
        <v>0</v>
      </c>
      <c r="M1100" s="79">
        <v>16.504334328358208</v>
      </c>
      <c r="N1100" s="79">
        <v>0</v>
      </c>
      <c r="O1100" s="79">
        <v>0</v>
      </c>
      <c r="P1100" s="79">
        <v>0</v>
      </c>
      <c r="Q1100" s="79">
        <v>0</v>
      </c>
      <c r="R1100" s="79">
        <v>0</v>
      </c>
      <c r="S1100" s="79">
        <v>0</v>
      </c>
      <c r="T1100" s="79">
        <v>0</v>
      </c>
      <c r="U1100" s="79">
        <v>0</v>
      </c>
      <c r="V1100" s="79">
        <v>0</v>
      </c>
      <c r="W1100" s="79">
        <v>0</v>
      </c>
      <c r="X1100" s="90">
        <v>0</v>
      </c>
    </row>
    <row r="1101" spans="1:24" hidden="1" x14ac:dyDescent="0.25">
      <c r="A1101" s="80" t="str">
        <v>PENDIENTE</v>
      </c>
      <c r="B1101" s="80" t="str">
        <v>Tongod</v>
      </c>
      <c r="C1101" s="80" t="str">
        <v>Enero / Febrero</v>
      </c>
      <c r="D1101" s="81">
        <v>46052</v>
      </c>
      <c r="E1101" s="79">
        <v>2394.0461439999999</v>
      </c>
      <c r="F1101" s="80">
        <v>46060</v>
      </c>
      <c r="G1101" s="79" cm="1">
        <f t="array" ref="G1101:X1101">_xlfn._xlws.FILTER(Formulas!$C$2:$T$201, ISNUMBER(MATCH(Formulas!$B$2:$B$201, B1101, 0)),0) * E1101</f>
        <v>334.86657964091853</v>
      </c>
      <c r="H1101" s="79">
        <v>1006.5989423832985</v>
      </c>
      <c r="I1101" s="79">
        <v>118.95260590229644</v>
      </c>
      <c r="J1101" s="79">
        <v>95.96176610605427</v>
      </c>
      <c r="K1101" s="79">
        <v>0</v>
      </c>
      <c r="L1101" s="79">
        <v>0</v>
      </c>
      <c r="M1101" s="79">
        <v>0</v>
      </c>
      <c r="N1101" s="79">
        <v>0</v>
      </c>
      <c r="O1101" s="79">
        <v>837.66624996743212</v>
      </c>
      <c r="P1101" s="79">
        <v>0</v>
      </c>
      <c r="Q1101" s="79">
        <v>0</v>
      </c>
      <c r="R1101" s="79">
        <v>0</v>
      </c>
      <c r="S1101" s="79">
        <v>0</v>
      </c>
      <c r="T1101" s="79">
        <v>0</v>
      </c>
      <c r="U1101" s="79">
        <v>0</v>
      </c>
      <c r="V1101" s="79">
        <v>0</v>
      </c>
      <c r="W1101" s="79">
        <v>0</v>
      </c>
      <c r="X1101" s="90">
        <v>0</v>
      </c>
    </row>
    <row r="1102" spans="1:24" hidden="1" x14ac:dyDescent="0.25">
      <c r="A1102" s="80" t="str">
        <v>PENDIENTE</v>
      </c>
      <c r="B1102" s="80" t="str">
        <v>Tongod</v>
      </c>
      <c r="C1102" s="80" t="str">
        <v>Marzo / Abril</v>
      </c>
      <c r="D1102" s="81">
        <v>46077</v>
      </c>
      <c r="E1102" s="79">
        <v>2394.0461439999999</v>
      </c>
      <c r="F1102" s="81">
        <v>46069</v>
      </c>
      <c r="G1102" s="79" cm="1">
        <f t="array" ref="G1102:X1102">_xlfn._xlws.FILTER(Formulas!$C$2:$T$201, ISNUMBER(MATCH(Formulas!$B$2:$B$201, B1102, 0)),0) * E1102</f>
        <v>334.86657964091853</v>
      </c>
      <c r="H1102" s="79">
        <v>1006.5989423832985</v>
      </c>
      <c r="I1102" s="79">
        <v>118.95260590229644</v>
      </c>
      <c r="J1102" s="79">
        <v>95.96176610605427</v>
      </c>
      <c r="K1102" s="79">
        <v>0</v>
      </c>
      <c r="L1102" s="79">
        <v>0</v>
      </c>
      <c r="M1102" s="79">
        <v>0</v>
      </c>
      <c r="N1102" s="79">
        <v>0</v>
      </c>
      <c r="O1102" s="79">
        <v>837.66624996743212</v>
      </c>
      <c r="P1102" s="79">
        <v>0</v>
      </c>
      <c r="Q1102" s="79">
        <v>0</v>
      </c>
      <c r="R1102" s="79">
        <v>0</v>
      </c>
      <c r="S1102" s="79">
        <v>0</v>
      </c>
      <c r="T1102" s="79">
        <v>0</v>
      </c>
      <c r="U1102" s="79">
        <v>0</v>
      </c>
      <c r="V1102" s="79">
        <v>0</v>
      </c>
      <c r="W1102" s="79">
        <v>0</v>
      </c>
      <c r="X1102" s="90">
        <v>0</v>
      </c>
    </row>
    <row r="1103" spans="1:24" hidden="1" x14ac:dyDescent="0.25">
      <c r="A1103" s="80" t="str">
        <v>PENDIENTE</v>
      </c>
      <c r="B1103" s="80" t="str">
        <v>Tongod</v>
      </c>
      <c r="C1103" s="80" t="str">
        <v>Mayo / Junio</v>
      </c>
      <c r="D1103" s="81">
        <v>46140</v>
      </c>
      <c r="E1103" s="79">
        <v>2394.0461439999999</v>
      </c>
      <c r="F1103" s="80">
        <v>46128</v>
      </c>
      <c r="G1103" s="79" cm="1">
        <f t="array" ref="G1103:X1103">_xlfn._xlws.FILTER(Formulas!$C$2:$T$201, ISNUMBER(MATCH(Formulas!$B$2:$B$201, B1103, 0)),0) * E1103</f>
        <v>334.86657964091853</v>
      </c>
      <c r="H1103" s="79">
        <v>1006.5989423832985</v>
      </c>
      <c r="I1103" s="79">
        <v>118.95260590229644</v>
      </c>
      <c r="J1103" s="79">
        <v>95.96176610605427</v>
      </c>
      <c r="K1103" s="79">
        <v>0</v>
      </c>
      <c r="L1103" s="79">
        <v>0</v>
      </c>
      <c r="M1103" s="79">
        <v>0</v>
      </c>
      <c r="N1103" s="79">
        <v>0</v>
      </c>
      <c r="O1103" s="79">
        <v>837.66624996743212</v>
      </c>
      <c r="P1103" s="79">
        <v>0</v>
      </c>
      <c r="Q1103" s="79">
        <v>0</v>
      </c>
      <c r="R1103" s="79">
        <v>0</v>
      </c>
      <c r="S1103" s="79">
        <v>0</v>
      </c>
      <c r="T1103" s="79">
        <v>0</v>
      </c>
      <c r="U1103" s="79">
        <v>0</v>
      </c>
      <c r="V1103" s="79">
        <v>0</v>
      </c>
      <c r="W1103" s="79">
        <v>0</v>
      </c>
      <c r="X1103" s="90">
        <v>0</v>
      </c>
    </row>
    <row r="1104" spans="1:24" hidden="1" x14ac:dyDescent="0.25">
      <c r="A1104" s="80" t="str">
        <v>PENDIENTE</v>
      </c>
      <c r="B1104" s="80" t="str">
        <v>Tongod</v>
      </c>
      <c r="C1104" s="80" t="str">
        <v>Julio / Agosto</v>
      </c>
      <c r="D1104" s="81">
        <v>46196</v>
      </c>
      <c r="E1104" s="79">
        <v>2394.0461439999999</v>
      </c>
      <c r="F1104" s="80">
        <v>46168</v>
      </c>
      <c r="G1104" s="79" cm="1">
        <f t="array" ref="G1104:X1104">_xlfn._xlws.FILTER(Formulas!$C$2:$T$201, ISNUMBER(MATCH(Formulas!$B$2:$B$201, B1104, 0)),0) * E1104</f>
        <v>334.86657964091853</v>
      </c>
      <c r="H1104" s="79">
        <v>1006.5989423832985</v>
      </c>
      <c r="I1104" s="79">
        <v>118.95260590229644</v>
      </c>
      <c r="J1104" s="79">
        <v>95.96176610605427</v>
      </c>
      <c r="K1104" s="79">
        <v>0</v>
      </c>
      <c r="L1104" s="79">
        <v>0</v>
      </c>
      <c r="M1104" s="79">
        <v>0</v>
      </c>
      <c r="N1104" s="79">
        <v>0</v>
      </c>
      <c r="O1104" s="79">
        <v>837.66624996743212</v>
      </c>
      <c r="P1104" s="79">
        <v>0</v>
      </c>
      <c r="Q1104" s="79">
        <v>0</v>
      </c>
      <c r="R1104" s="79">
        <v>0</v>
      </c>
      <c r="S1104" s="79">
        <v>0</v>
      </c>
      <c r="T1104" s="79">
        <v>0</v>
      </c>
      <c r="U1104" s="79">
        <v>0</v>
      </c>
      <c r="V1104" s="79">
        <v>0</v>
      </c>
      <c r="W1104" s="79">
        <v>0</v>
      </c>
      <c r="X1104" s="90">
        <v>0</v>
      </c>
    </row>
    <row r="1105" spans="1:24" hidden="1" x14ac:dyDescent="0.25">
      <c r="A1105" s="80" t="str">
        <v>PENDIENTE</v>
      </c>
      <c r="B1105" s="80" t="str">
        <v>Tongod</v>
      </c>
      <c r="C1105" s="80" t="str">
        <v>O.C.</v>
      </c>
      <c r="D1105" s="81">
        <v>46213</v>
      </c>
      <c r="E1105" s="79">
        <v>792.28304000000003</v>
      </c>
      <c r="F1105" s="80">
        <v>46210</v>
      </c>
      <c r="G1105" s="79" cm="1">
        <f t="array" ref="G1105:X1105">_xlfn._xlws.FILTER(Formulas!$C$2:$T$201, ISNUMBER(MATCH(Formulas!$B$2:$B$201, B1105, 0)),0) * E1105</f>
        <v>110.82038346555323</v>
      </c>
      <c r="H1105" s="79">
        <v>333.12276462630484</v>
      </c>
      <c r="I1105" s="79">
        <v>39.36604666388309</v>
      </c>
      <c r="J1105" s="79">
        <v>31.757483022964511</v>
      </c>
      <c r="K1105" s="79">
        <v>0</v>
      </c>
      <c r="L1105" s="79">
        <v>0</v>
      </c>
      <c r="M1105" s="79">
        <v>0</v>
      </c>
      <c r="N1105" s="79">
        <v>0</v>
      </c>
      <c r="O1105" s="79">
        <v>277.21636222129433</v>
      </c>
      <c r="P1105" s="79">
        <v>0</v>
      </c>
      <c r="Q1105" s="79">
        <v>0</v>
      </c>
      <c r="R1105" s="79">
        <v>0</v>
      </c>
      <c r="S1105" s="79">
        <v>0</v>
      </c>
      <c r="T1105" s="79">
        <v>0</v>
      </c>
      <c r="U1105" s="79">
        <v>0</v>
      </c>
      <c r="V1105" s="79">
        <v>0</v>
      </c>
      <c r="W1105" s="79">
        <v>0</v>
      </c>
      <c r="X1105" s="90">
        <v>0</v>
      </c>
    </row>
    <row r="1106" spans="1:24" hidden="1" x14ac:dyDescent="0.25">
      <c r="A1106" s="80" t="str">
        <v>PENDIENTE</v>
      </c>
      <c r="B1106" s="80" t="str">
        <v>Tongod</v>
      </c>
      <c r="C1106" s="80" t="str">
        <v>Septiembre / Octubre</v>
      </c>
      <c r="D1106" s="81">
        <v>46259</v>
      </c>
      <c r="E1106" s="79">
        <v>2394.0461439999999</v>
      </c>
      <c r="F1106" s="80">
        <v>46266</v>
      </c>
      <c r="G1106" s="79" cm="1">
        <f t="array" ref="G1106:X1106">_xlfn._xlws.FILTER(Formulas!$C$2:$T$201, ISNUMBER(MATCH(Formulas!$B$2:$B$201, B1106, 0)),0) * E1106</f>
        <v>334.86657964091853</v>
      </c>
      <c r="H1106" s="79">
        <v>1006.5989423832985</v>
      </c>
      <c r="I1106" s="79">
        <v>118.95260590229644</v>
      </c>
      <c r="J1106" s="79">
        <v>95.96176610605427</v>
      </c>
      <c r="K1106" s="79">
        <v>0</v>
      </c>
      <c r="L1106" s="79">
        <v>0</v>
      </c>
      <c r="M1106" s="79">
        <v>0</v>
      </c>
      <c r="N1106" s="79">
        <v>0</v>
      </c>
      <c r="O1106" s="79">
        <v>837.66624996743212</v>
      </c>
      <c r="P1106" s="79">
        <v>0</v>
      </c>
      <c r="Q1106" s="79">
        <v>0</v>
      </c>
      <c r="R1106" s="79">
        <v>0</v>
      </c>
      <c r="S1106" s="79">
        <v>0</v>
      </c>
      <c r="T1106" s="79">
        <v>0</v>
      </c>
      <c r="U1106" s="79">
        <v>0</v>
      </c>
      <c r="V1106" s="79">
        <v>0</v>
      </c>
      <c r="W1106" s="79">
        <v>0</v>
      </c>
      <c r="X1106" s="90">
        <v>0</v>
      </c>
    </row>
    <row r="1107" spans="1:24" hidden="1" x14ac:dyDescent="0.25">
      <c r="A1107" s="80" t="str">
        <v>PENDIENTE</v>
      </c>
      <c r="B1107" s="80" t="str">
        <v>Tongod</v>
      </c>
      <c r="C1107" s="80" t="str">
        <v>Noviembre / Diciembre</v>
      </c>
      <c r="D1107" s="81">
        <v>46322</v>
      </c>
      <c r="E1107" s="79">
        <v>2394.0461439999999</v>
      </c>
      <c r="F1107" s="80">
        <v>0</v>
      </c>
      <c r="G1107" s="79" cm="1">
        <f t="array" ref="G1107:X1107">_xlfn._xlws.FILTER(Formulas!$C$2:$T$201, ISNUMBER(MATCH(Formulas!$B$2:$B$201, B1107, 0)),0) * E1107</f>
        <v>334.86657964091853</v>
      </c>
      <c r="H1107" s="79">
        <v>1006.5989423832985</v>
      </c>
      <c r="I1107" s="79">
        <v>118.95260590229644</v>
      </c>
      <c r="J1107" s="79">
        <v>95.96176610605427</v>
      </c>
      <c r="K1107" s="79">
        <v>0</v>
      </c>
      <c r="L1107" s="79">
        <v>0</v>
      </c>
      <c r="M1107" s="79">
        <v>0</v>
      </c>
      <c r="N1107" s="79">
        <v>0</v>
      </c>
      <c r="O1107" s="79">
        <v>837.66624996743212</v>
      </c>
      <c r="P1107" s="79">
        <v>0</v>
      </c>
      <c r="Q1107" s="79">
        <v>0</v>
      </c>
      <c r="R1107" s="79">
        <v>0</v>
      </c>
      <c r="S1107" s="79">
        <v>0</v>
      </c>
      <c r="T1107" s="79">
        <v>0</v>
      </c>
      <c r="U1107" s="79">
        <v>0</v>
      </c>
      <c r="V1107" s="79">
        <v>0</v>
      </c>
      <c r="W1107" s="79">
        <v>0</v>
      </c>
      <c r="X1107" s="90">
        <v>0</v>
      </c>
    </row>
    <row r="1108" spans="1:24" hidden="1" x14ac:dyDescent="0.25">
      <c r="A1108" s="80" t="str">
        <v>ENHA</v>
      </c>
      <c r="B1108" s="80" t="str">
        <v>Totora</v>
      </c>
      <c r="C1108" s="80" t="str">
        <v>O.C.</v>
      </c>
      <c r="D1108" s="81">
        <v>46120</v>
      </c>
      <c r="E1108" s="79">
        <v>170</v>
      </c>
      <c r="F1108" s="80">
        <v>46119</v>
      </c>
      <c r="G1108" s="79" cm="1">
        <f t="array" ref="G1108:X1108">_xlfn._xlws.FILTER(Formulas!$C$2:$T$201, ISNUMBER(MATCH(Formulas!$B$2:$B$201, B1108, 0)),0) * E1108</f>
        <v>34</v>
      </c>
      <c r="H1108" s="79">
        <v>121.54205607476636</v>
      </c>
      <c r="I1108" s="79">
        <v>6.8317757009345801</v>
      </c>
      <c r="J1108" s="79">
        <v>0</v>
      </c>
      <c r="K1108" s="79">
        <v>0</v>
      </c>
      <c r="L1108" s="79">
        <v>0</v>
      </c>
      <c r="M1108" s="79">
        <v>7.6261682242990645</v>
      </c>
      <c r="N1108" s="79">
        <v>0</v>
      </c>
      <c r="O1108" s="79">
        <v>0</v>
      </c>
      <c r="P1108" s="79">
        <v>0</v>
      </c>
      <c r="Q1108" s="79">
        <v>0</v>
      </c>
      <c r="R1108" s="79">
        <v>0</v>
      </c>
      <c r="S1108" s="79">
        <v>0</v>
      </c>
      <c r="T1108" s="79">
        <v>0</v>
      </c>
      <c r="U1108" s="79">
        <v>0</v>
      </c>
      <c r="V1108" s="79">
        <v>0</v>
      </c>
      <c r="W1108" s="79">
        <v>0</v>
      </c>
      <c r="X1108" s="90">
        <v>0</v>
      </c>
    </row>
    <row r="1109" spans="1:24" hidden="1" x14ac:dyDescent="0.25">
      <c r="A1109" s="80" t="str">
        <v>ENHA</v>
      </c>
      <c r="B1109" s="80" t="str">
        <v>Totora</v>
      </c>
      <c r="C1109" s="80" t="str">
        <v>O.C.</v>
      </c>
      <c r="D1109" s="81">
        <v>46274</v>
      </c>
      <c r="E1109" s="79">
        <v>146</v>
      </c>
      <c r="F1109" s="81">
        <v>0</v>
      </c>
      <c r="G1109" s="79" cm="1">
        <f t="array" ref="G1109:X1109">_xlfn._xlws.FILTER(Formulas!$C$2:$T$201, ISNUMBER(MATCH(Formulas!$B$2:$B$201, B1109, 0)),0) * E1109</f>
        <v>29.200000000000003</v>
      </c>
      <c r="H1109" s="79">
        <v>104.38317757009347</v>
      </c>
      <c r="I1109" s="79">
        <v>5.8672897196261689</v>
      </c>
      <c r="J1109" s="79">
        <v>0</v>
      </c>
      <c r="K1109" s="79">
        <v>0</v>
      </c>
      <c r="L1109" s="79">
        <v>0</v>
      </c>
      <c r="M1109" s="79">
        <v>6.5495327102803733</v>
      </c>
      <c r="N1109" s="79">
        <v>0</v>
      </c>
      <c r="O1109" s="79">
        <v>0</v>
      </c>
      <c r="P1109" s="79">
        <v>0</v>
      </c>
      <c r="Q1109" s="79">
        <v>0</v>
      </c>
      <c r="R1109" s="79">
        <v>0</v>
      </c>
      <c r="S1109" s="79">
        <v>0</v>
      </c>
      <c r="T1109" s="79">
        <v>0</v>
      </c>
      <c r="U1109" s="79">
        <v>0</v>
      </c>
      <c r="V1109" s="79">
        <v>0</v>
      </c>
      <c r="W1109" s="79">
        <v>0</v>
      </c>
      <c r="X1109" s="90">
        <v>0</v>
      </c>
    </row>
    <row r="1110" spans="1:24" hidden="1" x14ac:dyDescent="0.25">
      <c r="A1110" s="80" t="str">
        <v>PENDIENTE</v>
      </c>
      <c r="B1110" s="80" t="str">
        <v>Trujillo</v>
      </c>
      <c r="C1110" s="80" t="str">
        <v>Agosto</v>
      </c>
      <c r="D1110" s="81">
        <v>46266</v>
      </c>
      <c r="E1110" s="79">
        <v>10802.3</v>
      </c>
      <c r="F1110" s="81">
        <v>0</v>
      </c>
      <c r="G1110" s="79" cm="1">
        <f t="array" ref="G1110:X1110">_xlfn._xlws.FILTER(Formulas!$C$2:$T$201, ISNUMBER(MATCH(Formulas!$B$2:$B$201, B1110, 0)),0) * E1110</f>
        <v>2376.5059999999999</v>
      </c>
      <c r="H1110" s="79">
        <v>7550.8076999999994</v>
      </c>
      <c r="I1110" s="79">
        <v>0</v>
      </c>
      <c r="J1110" s="79">
        <v>540.11500000000001</v>
      </c>
      <c r="K1110" s="79">
        <v>0</v>
      </c>
      <c r="L1110" s="79">
        <v>324.06899999999996</v>
      </c>
      <c r="M1110" s="79">
        <v>0</v>
      </c>
      <c r="N1110" s="79">
        <v>0</v>
      </c>
      <c r="O1110" s="79">
        <v>0</v>
      </c>
      <c r="P1110" s="79">
        <v>0</v>
      </c>
      <c r="Q1110" s="79">
        <v>0</v>
      </c>
      <c r="R1110" s="79">
        <v>0</v>
      </c>
      <c r="S1110" s="79">
        <v>0</v>
      </c>
      <c r="T1110" s="79">
        <v>0</v>
      </c>
      <c r="U1110" s="79">
        <v>0</v>
      </c>
      <c r="V1110" s="79">
        <v>10.802299999999999</v>
      </c>
      <c r="W1110" s="79">
        <v>0</v>
      </c>
      <c r="X1110" s="90">
        <v>0</v>
      </c>
    </row>
    <row r="1111" spans="1:24" hidden="1" x14ac:dyDescent="0.25">
      <c r="A1111" s="80" t="str">
        <v>PENDIENTE</v>
      </c>
      <c r="B1111" s="80" t="str">
        <v>Trujillo</v>
      </c>
      <c r="C1111" s="80" t="str">
        <v>Setiembre</v>
      </c>
      <c r="D1111" s="81">
        <v>46266</v>
      </c>
      <c r="E1111" s="79">
        <v>10802.3</v>
      </c>
      <c r="F1111" s="81">
        <v>0</v>
      </c>
      <c r="G1111" s="79" cm="1">
        <f t="array" ref="G1111:X1111">_xlfn._xlws.FILTER(Formulas!$C$2:$T$201, ISNUMBER(MATCH(Formulas!$B$2:$B$201, B1111, 0)),0) * E1111</f>
        <v>2376.5059999999999</v>
      </c>
      <c r="H1111" s="79">
        <v>7550.8076999999994</v>
      </c>
      <c r="I1111" s="79">
        <v>0</v>
      </c>
      <c r="J1111" s="79">
        <v>540.11500000000001</v>
      </c>
      <c r="K1111" s="79">
        <v>0</v>
      </c>
      <c r="L1111" s="79">
        <v>324.06899999999996</v>
      </c>
      <c r="M1111" s="79">
        <v>0</v>
      </c>
      <c r="N1111" s="79">
        <v>0</v>
      </c>
      <c r="O1111" s="79">
        <v>0</v>
      </c>
      <c r="P1111" s="79">
        <v>0</v>
      </c>
      <c r="Q1111" s="79">
        <v>0</v>
      </c>
      <c r="R1111" s="79">
        <v>0</v>
      </c>
      <c r="S1111" s="79">
        <v>0</v>
      </c>
      <c r="T1111" s="79">
        <v>0</v>
      </c>
      <c r="U1111" s="79">
        <v>0</v>
      </c>
      <c r="V1111" s="79">
        <v>10.802299999999999</v>
      </c>
      <c r="W1111" s="79">
        <v>0</v>
      </c>
      <c r="X1111" s="90">
        <v>0</v>
      </c>
    </row>
    <row r="1112" spans="1:24" hidden="1" x14ac:dyDescent="0.25">
      <c r="A1112" s="80" t="str">
        <v>PENDIENTE</v>
      </c>
      <c r="B1112" s="80" t="str">
        <v>Trujillo</v>
      </c>
      <c r="C1112" s="80" t="str">
        <v>Octubre</v>
      </c>
      <c r="D1112" s="81">
        <v>46266</v>
      </c>
      <c r="E1112" s="79">
        <v>10454</v>
      </c>
      <c r="F1112" s="81">
        <v>0</v>
      </c>
      <c r="G1112" s="79" cm="1">
        <f t="array" ref="G1112:X1112">_xlfn._xlws.FILTER(Formulas!$C$2:$T$201, ISNUMBER(MATCH(Formulas!$B$2:$B$201, B1112, 0)),0) * E1112</f>
        <v>2299.88</v>
      </c>
      <c r="H1112" s="79">
        <v>7307.3459999999995</v>
      </c>
      <c r="I1112" s="79">
        <v>0</v>
      </c>
      <c r="J1112" s="79">
        <v>522.70000000000005</v>
      </c>
      <c r="K1112" s="79">
        <v>0</v>
      </c>
      <c r="L1112" s="79">
        <v>313.62</v>
      </c>
      <c r="M1112" s="79">
        <v>0</v>
      </c>
      <c r="N1112" s="79">
        <v>0</v>
      </c>
      <c r="O1112" s="79">
        <v>0</v>
      </c>
      <c r="P1112" s="79">
        <v>0</v>
      </c>
      <c r="Q1112" s="79">
        <v>0</v>
      </c>
      <c r="R1112" s="79">
        <v>0</v>
      </c>
      <c r="S1112" s="79">
        <v>0</v>
      </c>
      <c r="T1112" s="79">
        <v>0</v>
      </c>
      <c r="U1112" s="79">
        <v>0</v>
      </c>
      <c r="V1112" s="79">
        <v>10.454000000000001</v>
      </c>
      <c r="W1112" s="79">
        <v>0</v>
      </c>
      <c r="X1112" s="90">
        <v>0</v>
      </c>
    </row>
    <row r="1113" spans="1:24" hidden="1" x14ac:dyDescent="0.25">
      <c r="A1113" s="80" t="str">
        <v>PENDIENTE</v>
      </c>
      <c r="B1113" s="80" t="str">
        <v>Trujillo</v>
      </c>
      <c r="C1113" s="80" t="str">
        <v>Noviembre</v>
      </c>
      <c r="D1113" s="81">
        <v>46326</v>
      </c>
      <c r="E1113" s="79">
        <v>10802.3</v>
      </c>
      <c r="F1113" s="80">
        <v>0</v>
      </c>
      <c r="G1113" s="79" cm="1">
        <f t="array" ref="G1113:X1113">_xlfn._xlws.FILTER(Formulas!$C$2:$T$201, ISNUMBER(MATCH(Formulas!$B$2:$B$201, B1113, 0)),0) * E1113</f>
        <v>2376.5059999999999</v>
      </c>
      <c r="H1113" s="79">
        <v>7550.8076999999994</v>
      </c>
      <c r="I1113" s="79">
        <v>0</v>
      </c>
      <c r="J1113" s="79">
        <v>540.11500000000001</v>
      </c>
      <c r="K1113" s="79">
        <v>0</v>
      </c>
      <c r="L1113" s="79">
        <v>324.06899999999996</v>
      </c>
      <c r="M1113" s="79">
        <v>0</v>
      </c>
      <c r="N1113" s="79">
        <v>0</v>
      </c>
      <c r="O1113" s="79">
        <v>0</v>
      </c>
      <c r="P1113" s="79">
        <v>0</v>
      </c>
      <c r="Q1113" s="79">
        <v>0</v>
      </c>
      <c r="R1113" s="79">
        <v>0</v>
      </c>
      <c r="S1113" s="79">
        <v>0</v>
      </c>
      <c r="T1113" s="79">
        <v>0</v>
      </c>
      <c r="U1113" s="79">
        <v>0</v>
      </c>
      <c r="V1113" s="79">
        <v>10.802299999999999</v>
      </c>
      <c r="W1113" s="79">
        <v>0</v>
      </c>
      <c r="X1113" s="90">
        <v>0</v>
      </c>
    </row>
    <row r="1114" spans="1:24" hidden="1" x14ac:dyDescent="0.25">
      <c r="A1114" s="80" t="str">
        <v>PENDIENTE</v>
      </c>
      <c r="B1114" s="80" t="str">
        <v>Trujillo</v>
      </c>
      <c r="C1114" s="80" t="str">
        <v>Diciembre</v>
      </c>
      <c r="D1114" s="81">
        <v>46356</v>
      </c>
      <c r="E1114" s="79">
        <v>10454</v>
      </c>
      <c r="F1114" s="81">
        <v>0</v>
      </c>
      <c r="G1114" s="79" cm="1">
        <f t="array" ref="G1114:X1114">_xlfn._xlws.FILTER(Formulas!$C$2:$T$201, ISNUMBER(MATCH(Formulas!$B$2:$B$201, B1114, 0)),0) * E1114</f>
        <v>2299.88</v>
      </c>
      <c r="H1114" s="79">
        <v>7307.3459999999995</v>
      </c>
      <c r="I1114" s="79">
        <v>0</v>
      </c>
      <c r="J1114" s="79">
        <v>522.70000000000005</v>
      </c>
      <c r="K1114" s="79">
        <v>0</v>
      </c>
      <c r="L1114" s="79">
        <v>313.62</v>
      </c>
      <c r="M1114" s="79">
        <v>0</v>
      </c>
      <c r="N1114" s="79">
        <v>0</v>
      </c>
      <c r="O1114" s="79">
        <v>0</v>
      </c>
      <c r="P1114" s="79">
        <v>0</v>
      </c>
      <c r="Q1114" s="79">
        <v>0</v>
      </c>
      <c r="R1114" s="79">
        <v>0</v>
      </c>
      <c r="S1114" s="79">
        <v>0</v>
      </c>
      <c r="T1114" s="79">
        <v>0</v>
      </c>
      <c r="U1114" s="79">
        <v>0</v>
      </c>
      <c r="V1114" s="79">
        <v>10.454000000000001</v>
      </c>
      <c r="W1114" s="79">
        <v>0</v>
      </c>
      <c r="X1114" s="90">
        <v>0</v>
      </c>
    </row>
    <row r="1115" spans="1:24" hidden="1" x14ac:dyDescent="0.25">
      <c r="A1115" s="80" t="str">
        <v>PENDIENTE</v>
      </c>
      <c r="B1115" s="80" t="str">
        <v>Tumbaden</v>
      </c>
      <c r="C1115" s="80" t="str">
        <v>Enero / Febrero / Marzo</v>
      </c>
      <c r="D1115" s="81">
        <v>46055</v>
      </c>
      <c r="E1115" s="79">
        <v>3449.4589999999998</v>
      </c>
      <c r="F1115" s="81">
        <v>46055</v>
      </c>
      <c r="G1115" s="79" cm="1">
        <f t="array" ref="G1115:X1115">_xlfn._xlws.FILTER(Formulas!$C$2:$T$201, ISNUMBER(MATCH(Formulas!$B$2:$B$201, B1115, 0)),0) * E1115</f>
        <v>0</v>
      </c>
      <c r="H1115" s="79">
        <v>1552.2565500000001</v>
      </c>
      <c r="I1115" s="79">
        <v>172.47295</v>
      </c>
      <c r="J1115" s="79">
        <v>172.47295</v>
      </c>
      <c r="K1115" s="79">
        <v>0</v>
      </c>
      <c r="L1115" s="79">
        <v>0</v>
      </c>
      <c r="M1115" s="79">
        <v>172.47295</v>
      </c>
      <c r="N1115" s="79">
        <v>0</v>
      </c>
      <c r="O1115" s="79">
        <v>1379.7836</v>
      </c>
      <c r="P1115" s="79">
        <v>0</v>
      </c>
      <c r="Q1115" s="79">
        <v>0</v>
      </c>
      <c r="R1115" s="79">
        <v>0</v>
      </c>
      <c r="S1115" s="79">
        <v>0</v>
      </c>
      <c r="T1115" s="79">
        <v>0</v>
      </c>
      <c r="U1115" s="79">
        <v>0</v>
      </c>
      <c r="V1115" s="79">
        <v>0</v>
      </c>
      <c r="W1115" s="79">
        <v>0</v>
      </c>
      <c r="X1115" s="90">
        <v>0</v>
      </c>
    </row>
    <row r="1116" spans="1:24" hidden="1" x14ac:dyDescent="0.25">
      <c r="A1116" s="80" t="str">
        <v>PENDIENTE</v>
      </c>
      <c r="B1116" s="80" t="str">
        <v>Tumbaden</v>
      </c>
      <c r="C1116" s="80" t="str">
        <v>Abril / Mayo / Junio</v>
      </c>
      <c r="D1116" s="81">
        <v>46111</v>
      </c>
      <c r="E1116" s="79">
        <v>3449.4589999999998</v>
      </c>
      <c r="F1116" s="81">
        <v>46109</v>
      </c>
      <c r="G1116" s="79" cm="1">
        <f t="array" ref="G1116:X1116">_xlfn._xlws.FILTER(Formulas!$C$2:$T$201, ISNUMBER(MATCH(Formulas!$B$2:$B$201, B1116, 0)),0) * E1116</f>
        <v>0</v>
      </c>
      <c r="H1116" s="79">
        <v>1552.2565500000001</v>
      </c>
      <c r="I1116" s="79">
        <v>172.47295</v>
      </c>
      <c r="J1116" s="79">
        <v>172.47295</v>
      </c>
      <c r="K1116" s="79">
        <v>0</v>
      </c>
      <c r="L1116" s="79">
        <v>0</v>
      </c>
      <c r="M1116" s="79">
        <v>172.47295</v>
      </c>
      <c r="N1116" s="79">
        <v>0</v>
      </c>
      <c r="O1116" s="79">
        <v>1379.7836</v>
      </c>
      <c r="P1116" s="79">
        <v>0</v>
      </c>
      <c r="Q1116" s="79">
        <v>0</v>
      </c>
      <c r="R1116" s="79">
        <v>0</v>
      </c>
      <c r="S1116" s="79">
        <v>0</v>
      </c>
      <c r="T1116" s="79">
        <v>0</v>
      </c>
      <c r="U1116" s="79">
        <v>0</v>
      </c>
      <c r="V1116" s="79">
        <v>0</v>
      </c>
      <c r="W1116" s="79">
        <v>0</v>
      </c>
      <c r="X1116" s="90">
        <v>0</v>
      </c>
    </row>
    <row r="1117" spans="1:24" hidden="1" x14ac:dyDescent="0.25">
      <c r="A1117" s="80" t="str">
        <v>PENDIENTE</v>
      </c>
      <c r="B1117" s="80" t="str">
        <v>Tumbaden</v>
      </c>
      <c r="C1117" s="80" t="str">
        <v>Julio / Agosto / Septiembre</v>
      </c>
      <c r="D1117" s="81">
        <v>46197</v>
      </c>
      <c r="E1117" s="79">
        <v>3449.4589999999998</v>
      </c>
      <c r="F1117" s="80">
        <v>46194</v>
      </c>
      <c r="G1117" s="79" cm="1">
        <f t="array" ref="G1117:X1117">_xlfn._xlws.FILTER(Formulas!$C$2:$T$201, ISNUMBER(MATCH(Formulas!$B$2:$B$201, B1117, 0)),0) * E1117</f>
        <v>0</v>
      </c>
      <c r="H1117" s="79">
        <v>1552.2565500000001</v>
      </c>
      <c r="I1117" s="79">
        <v>172.47295</v>
      </c>
      <c r="J1117" s="79">
        <v>172.47295</v>
      </c>
      <c r="K1117" s="79">
        <v>0</v>
      </c>
      <c r="L1117" s="79">
        <v>0</v>
      </c>
      <c r="M1117" s="79">
        <v>172.47295</v>
      </c>
      <c r="N1117" s="79">
        <v>0</v>
      </c>
      <c r="O1117" s="79">
        <v>1379.7836</v>
      </c>
      <c r="P1117" s="79">
        <v>0</v>
      </c>
      <c r="Q1117" s="79">
        <v>0</v>
      </c>
      <c r="R1117" s="79">
        <v>0</v>
      </c>
      <c r="S1117" s="79">
        <v>0</v>
      </c>
      <c r="T1117" s="79">
        <v>0</v>
      </c>
      <c r="U1117" s="79">
        <v>0</v>
      </c>
      <c r="V1117" s="79">
        <v>0</v>
      </c>
      <c r="W1117" s="79">
        <v>0</v>
      </c>
      <c r="X1117" s="90">
        <v>0</v>
      </c>
    </row>
    <row r="1118" spans="1:24" hidden="1" x14ac:dyDescent="0.25">
      <c r="A1118" s="80" t="str">
        <v>PENDIENTE</v>
      </c>
      <c r="B1118" s="80" t="str">
        <v>Tumbaden</v>
      </c>
      <c r="C1118" s="80" t="str">
        <v>O.C.</v>
      </c>
      <c r="D1118" s="81">
        <v>46214</v>
      </c>
      <c r="E1118" s="79">
        <v>2786</v>
      </c>
      <c r="F1118" s="81">
        <v>46210</v>
      </c>
      <c r="G1118" s="79" cm="1">
        <f t="array" ref="G1118:X1118">_xlfn._xlws.FILTER(Formulas!$C$2:$T$201, ISNUMBER(MATCH(Formulas!$B$2:$B$201, B1118, 0)),0) * E1118</f>
        <v>0</v>
      </c>
      <c r="H1118" s="79">
        <v>1253.7</v>
      </c>
      <c r="I1118" s="79">
        <v>139.30000000000001</v>
      </c>
      <c r="J1118" s="79">
        <v>139.30000000000001</v>
      </c>
      <c r="K1118" s="79">
        <v>0</v>
      </c>
      <c r="L1118" s="79">
        <v>0</v>
      </c>
      <c r="M1118" s="79">
        <v>139.30000000000001</v>
      </c>
      <c r="N1118" s="79">
        <v>0</v>
      </c>
      <c r="O1118" s="79">
        <v>1114.4000000000001</v>
      </c>
      <c r="P1118" s="79">
        <v>0</v>
      </c>
      <c r="Q1118" s="79">
        <v>0</v>
      </c>
      <c r="R1118" s="79">
        <v>0</v>
      </c>
      <c r="S1118" s="79">
        <v>0</v>
      </c>
      <c r="T1118" s="79">
        <v>0</v>
      </c>
      <c r="U1118" s="79">
        <v>0</v>
      </c>
      <c r="V1118" s="79">
        <v>0</v>
      </c>
      <c r="W1118" s="79">
        <v>0</v>
      </c>
      <c r="X1118" s="90">
        <v>0</v>
      </c>
    </row>
    <row r="1119" spans="1:24" hidden="1" x14ac:dyDescent="0.25">
      <c r="A1119" s="80" t="str">
        <v>PENDIENTE</v>
      </c>
      <c r="B1119" s="80" t="str">
        <v>Tumbaden</v>
      </c>
      <c r="C1119" s="80" t="str">
        <v>Octubre / Noviembre / Diciembre</v>
      </c>
      <c r="D1119" s="81">
        <v>46293</v>
      </c>
      <c r="E1119" s="79">
        <v>3449.4589999999998</v>
      </c>
      <c r="F1119" s="81">
        <v>0</v>
      </c>
      <c r="G1119" s="79" cm="1">
        <f t="array" ref="G1119:X1119">_xlfn._xlws.FILTER(Formulas!$C$2:$T$201, ISNUMBER(MATCH(Formulas!$B$2:$B$201, B1119, 0)),0) * E1119</f>
        <v>0</v>
      </c>
      <c r="H1119" s="79">
        <v>1552.2565500000001</v>
      </c>
      <c r="I1119" s="79">
        <v>172.47295</v>
      </c>
      <c r="J1119" s="79">
        <v>172.47295</v>
      </c>
      <c r="K1119" s="79">
        <v>0</v>
      </c>
      <c r="L1119" s="79">
        <v>0</v>
      </c>
      <c r="M1119" s="79">
        <v>172.47295</v>
      </c>
      <c r="N1119" s="79">
        <v>0</v>
      </c>
      <c r="O1119" s="79">
        <v>1379.7836</v>
      </c>
      <c r="P1119" s="79">
        <v>0</v>
      </c>
      <c r="Q1119" s="79">
        <v>0</v>
      </c>
      <c r="R1119" s="79">
        <v>0</v>
      </c>
      <c r="S1119" s="79">
        <v>0</v>
      </c>
      <c r="T1119" s="79">
        <v>0</v>
      </c>
      <c r="U1119" s="79">
        <v>0</v>
      </c>
      <c r="V1119" s="79">
        <v>0</v>
      </c>
      <c r="W1119" s="79">
        <v>0</v>
      </c>
      <c r="X1119" s="90">
        <v>0</v>
      </c>
    </row>
    <row r="1120" spans="1:24" hidden="1" x14ac:dyDescent="0.25">
      <c r="A1120" s="80" t="str">
        <v>FACOIMPEC</v>
      </c>
      <c r="B1120" s="80" t="str">
        <v>Urpay</v>
      </c>
      <c r="C1120" s="80" t="str">
        <v>Enero / Febrero / Marzo</v>
      </c>
      <c r="D1120" s="81">
        <v>46016</v>
      </c>
      <c r="E1120" s="79">
        <v>1316.13</v>
      </c>
      <c r="F1120" s="81">
        <v>46012</v>
      </c>
      <c r="G1120" s="79" cm="1">
        <f t="array" ref="G1120:X1120">_xlfn._xlws.FILTER(Formulas!$C$2:$T$201, ISNUMBER(MATCH(Formulas!$B$2:$B$201, B1120, 0)),0) * E1120</f>
        <v>263.22600000000006</v>
      </c>
      <c r="H1120" s="79">
        <v>894.96840000000009</v>
      </c>
      <c r="I1120" s="79">
        <v>52.645200000000003</v>
      </c>
      <c r="J1120" s="79">
        <v>52.645200000000003</v>
      </c>
      <c r="K1120" s="79">
        <v>0</v>
      </c>
      <c r="L1120" s="79">
        <v>0</v>
      </c>
      <c r="M1120" s="79">
        <v>52.645200000000003</v>
      </c>
      <c r="N1120" s="79">
        <v>0</v>
      </c>
      <c r="O1120" s="79">
        <v>0</v>
      </c>
      <c r="P1120" s="79">
        <v>0</v>
      </c>
      <c r="Q1120" s="79">
        <v>0</v>
      </c>
      <c r="R1120" s="79">
        <v>0</v>
      </c>
      <c r="S1120" s="79">
        <v>0</v>
      </c>
      <c r="T1120" s="79">
        <v>0</v>
      </c>
      <c r="U1120" s="79">
        <v>0</v>
      </c>
      <c r="V1120" s="79">
        <v>0</v>
      </c>
      <c r="W1120" s="79">
        <v>0</v>
      </c>
      <c r="X1120" s="90">
        <v>0</v>
      </c>
    </row>
    <row r="1121" spans="1:24" hidden="1" x14ac:dyDescent="0.25">
      <c r="A1121" s="80" t="str">
        <v>FACOIMPEC</v>
      </c>
      <c r="B1121" s="80" t="str">
        <v>Urpay</v>
      </c>
      <c r="C1121" s="80" t="str">
        <v>Abril / Mayo / Junio</v>
      </c>
      <c r="D1121" s="81">
        <v>46108</v>
      </c>
      <c r="E1121" s="79">
        <v>1316.13</v>
      </c>
      <c r="F1121" s="81">
        <v>46086</v>
      </c>
      <c r="G1121" s="79" cm="1">
        <f t="array" ref="G1121:X1121">_xlfn._xlws.FILTER(Formulas!$C$2:$T$201, ISNUMBER(MATCH(Formulas!$B$2:$B$201, B1121, 0)),0) * E1121</f>
        <v>263.22600000000006</v>
      </c>
      <c r="H1121" s="79">
        <v>894.96840000000009</v>
      </c>
      <c r="I1121" s="79">
        <v>52.645200000000003</v>
      </c>
      <c r="J1121" s="79">
        <v>52.645200000000003</v>
      </c>
      <c r="K1121" s="79">
        <v>0</v>
      </c>
      <c r="L1121" s="79">
        <v>0</v>
      </c>
      <c r="M1121" s="79">
        <v>52.645200000000003</v>
      </c>
      <c r="N1121" s="79">
        <v>0</v>
      </c>
      <c r="O1121" s="79">
        <v>0</v>
      </c>
      <c r="P1121" s="79">
        <v>0</v>
      </c>
      <c r="Q1121" s="79">
        <v>0</v>
      </c>
      <c r="R1121" s="79">
        <v>0</v>
      </c>
      <c r="S1121" s="79">
        <v>0</v>
      </c>
      <c r="T1121" s="79">
        <v>0</v>
      </c>
      <c r="U1121" s="79">
        <v>0</v>
      </c>
      <c r="V1121" s="79">
        <v>0</v>
      </c>
      <c r="W1121" s="79">
        <v>0</v>
      </c>
      <c r="X1121" s="90">
        <v>0</v>
      </c>
    </row>
    <row r="1122" spans="1:24" hidden="1" x14ac:dyDescent="0.25">
      <c r="A1122" s="80" t="str">
        <v>FACOIMPEC</v>
      </c>
      <c r="B1122" s="80" t="str">
        <v>Urpay</v>
      </c>
      <c r="C1122" s="80" t="str">
        <v>Julio / Agosto / Septiembre</v>
      </c>
      <c r="D1122" s="81">
        <v>46198</v>
      </c>
      <c r="E1122" s="79">
        <v>1316.13</v>
      </c>
      <c r="F1122" s="81">
        <v>46169</v>
      </c>
      <c r="G1122" s="79" cm="1">
        <f t="array" ref="G1122:X1122">_xlfn._xlws.FILTER(Formulas!$C$2:$T$201, ISNUMBER(MATCH(Formulas!$B$2:$B$201, B1122, 0)),0) * E1122</f>
        <v>263.22600000000006</v>
      </c>
      <c r="H1122" s="79">
        <v>894.96840000000009</v>
      </c>
      <c r="I1122" s="79">
        <v>52.645200000000003</v>
      </c>
      <c r="J1122" s="79">
        <v>52.645200000000003</v>
      </c>
      <c r="K1122" s="79">
        <v>0</v>
      </c>
      <c r="L1122" s="79">
        <v>0</v>
      </c>
      <c r="M1122" s="79">
        <v>52.645200000000003</v>
      </c>
      <c r="N1122" s="79">
        <v>0</v>
      </c>
      <c r="O1122" s="79">
        <v>0</v>
      </c>
      <c r="P1122" s="79">
        <v>0</v>
      </c>
      <c r="Q1122" s="79">
        <v>0</v>
      </c>
      <c r="R1122" s="79">
        <v>0</v>
      </c>
      <c r="S1122" s="79">
        <v>0</v>
      </c>
      <c r="T1122" s="79">
        <v>0</v>
      </c>
      <c r="U1122" s="79">
        <v>0</v>
      </c>
      <c r="V1122" s="79">
        <v>0</v>
      </c>
      <c r="W1122" s="79">
        <v>0</v>
      </c>
      <c r="X1122" s="90">
        <v>0</v>
      </c>
    </row>
    <row r="1123" spans="1:24" hidden="1" x14ac:dyDescent="0.25">
      <c r="A1123" s="80" t="str">
        <v>FACOIMPEC</v>
      </c>
      <c r="B1123" s="80" t="str">
        <v>Urpay</v>
      </c>
      <c r="C1123" s="80" t="str">
        <v>Octubre / Noviembre / Diciembre</v>
      </c>
      <c r="D1123" s="81">
        <v>46288</v>
      </c>
      <c r="E1123" s="79">
        <v>1316.13</v>
      </c>
      <c r="F1123" s="81">
        <v>46282</v>
      </c>
      <c r="G1123" s="79" cm="1">
        <f t="array" ref="G1123:X1123">_xlfn._xlws.FILTER(Formulas!$C$2:$T$201, ISNUMBER(MATCH(Formulas!$B$2:$B$201, B1123, 0)),0) * E1123</f>
        <v>263.22600000000006</v>
      </c>
      <c r="H1123" s="79">
        <v>894.96840000000009</v>
      </c>
      <c r="I1123" s="79">
        <v>52.645200000000003</v>
      </c>
      <c r="J1123" s="79">
        <v>52.645200000000003</v>
      </c>
      <c r="K1123" s="79">
        <v>0</v>
      </c>
      <c r="L1123" s="79">
        <v>0</v>
      </c>
      <c r="M1123" s="79">
        <v>52.645200000000003</v>
      </c>
      <c r="N1123" s="79">
        <v>0</v>
      </c>
      <c r="O1123" s="79">
        <v>0</v>
      </c>
      <c r="P1123" s="79">
        <v>0</v>
      </c>
      <c r="Q1123" s="79">
        <v>0</v>
      </c>
      <c r="R1123" s="79">
        <v>0</v>
      </c>
      <c r="S1123" s="79">
        <v>0</v>
      </c>
      <c r="T1123" s="79">
        <v>0</v>
      </c>
      <c r="U1123" s="79">
        <v>0</v>
      </c>
      <c r="V1123" s="79">
        <v>0</v>
      </c>
      <c r="W1123" s="79">
        <v>0</v>
      </c>
      <c r="X1123" s="90">
        <v>0</v>
      </c>
    </row>
    <row r="1124" spans="1:24" hidden="1" x14ac:dyDescent="0.25">
      <c r="A1124" s="80" t="str">
        <v>PENDIENTE</v>
      </c>
      <c r="B1124" s="80" t="str">
        <v>Utcubamba</v>
      </c>
      <c r="C1124" s="80" t="str">
        <v>Marzo</v>
      </c>
      <c r="D1124" s="81">
        <v>46110</v>
      </c>
      <c r="E1124" s="79">
        <v>4385.92</v>
      </c>
      <c r="F1124" s="81">
        <v>46111</v>
      </c>
      <c r="G1124" s="79" cm="1">
        <f t="array" ref="G1124:X1124">_xlfn._xlws.FILTER(Formulas!$C$2:$T$201, ISNUMBER(MATCH(Formulas!$B$2:$B$201, B1124, 0)),0) * E1124</f>
        <v>679.81759999999997</v>
      </c>
      <c r="H1124" s="79">
        <v>3179.7919999999999</v>
      </c>
      <c r="I1124" s="79">
        <v>131.57759999999999</v>
      </c>
      <c r="J1124" s="79">
        <v>197.3664</v>
      </c>
      <c r="K1124" s="79">
        <v>0</v>
      </c>
      <c r="L1124" s="79">
        <v>0</v>
      </c>
      <c r="M1124" s="79">
        <v>197.3664</v>
      </c>
      <c r="N1124" s="79">
        <v>0</v>
      </c>
      <c r="O1124" s="79">
        <v>0</v>
      </c>
      <c r="P1124" s="79">
        <v>0</v>
      </c>
      <c r="Q1124" s="79">
        <v>0</v>
      </c>
      <c r="R1124" s="79">
        <v>0</v>
      </c>
      <c r="S1124" s="79">
        <v>0</v>
      </c>
      <c r="T1124" s="79">
        <v>0</v>
      </c>
      <c r="U1124" s="79">
        <v>0</v>
      </c>
      <c r="V1124" s="79">
        <v>0</v>
      </c>
      <c r="W1124" s="79">
        <v>0</v>
      </c>
      <c r="X1124" s="90">
        <v>0</v>
      </c>
    </row>
    <row r="1125" spans="1:24" hidden="1" x14ac:dyDescent="0.25">
      <c r="A1125" s="80" t="str">
        <v>PENDIENTE</v>
      </c>
      <c r="B1125" s="80" t="str">
        <v>Utcubamba</v>
      </c>
      <c r="C1125" s="80" t="str">
        <v>Abril</v>
      </c>
      <c r="D1125" s="81">
        <v>46110</v>
      </c>
      <c r="E1125" s="79">
        <v>4385.92</v>
      </c>
      <c r="F1125" s="81">
        <v>46111</v>
      </c>
      <c r="G1125" s="79" cm="1">
        <f t="array" ref="G1125:X1125">_xlfn._xlws.FILTER(Formulas!$C$2:$T$201, ISNUMBER(MATCH(Formulas!$B$2:$B$201, B1125, 0)),0) * E1125</f>
        <v>679.81759999999997</v>
      </c>
      <c r="H1125" s="79">
        <v>3179.7919999999999</v>
      </c>
      <c r="I1125" s="79">
        <v>131.57759999999999</v>
      </c>
      <c r="J1125" s="79">
        <v>197.3664</v>
      </c>
      <c r="K1125" s="79">
        <v>0</v>
      </c>
      <c r="L1125" s="79">
        <v>0</v>
      </c>
      <c r="M1125" s="79">
        <v>197.3664</v>
      </c>
      <c r="N1125" s="79">
        <v>0</v>
      </c>
      <c r="O1125" s="79">
        <v>0</v>
      </c>
      <c r="P1125" s="79">
        <v>0</v>
      </c>
      <c r="Q1125" s="79">
        <v>0</v>
      </c>
      <c r="R1125" s="79">
        <v>0</v>
      </c>
      <c r="S1125" s="79">
        <v>0</v>
      </c>
      <c r="T1125" s="79">
        <v>0</v>
      </c>
      <c r="U1125" s="79">
        <v>0</v>
      </c>
      <c r="V1125" s="79">
        <v>0</v>
      </c>
      <c r="W1125" s="79">
        <v>0</v>
      </c>
      <c r="X1125" s="90">
        <v>0</v>
      </c>
    </row>
    <row r="1126" spans="1:24" hidden="1" x14ac:dyDescent="0.25">
      <c r="A1126" s="80" t="str">
        <v>PENDIENTE</v>
      </c>
      <c r="B1126" s="80" t="str">
        <v>Utcubamba</v>
      </c>
      <c r="C1126" s="80" t="str">
        <v>Mayo</v>
      </c>
      <c r="D1126" s="81">
        <v>46132</v>
      </c>
      <c r="E1126" s="79">
        <v>4385.92</v>
      </c>
      <c r="F1126" s="80">
        <v>46124</v>
      </c>
      <c r="G1126" s="79" cm="1">
        <f t="array" ref="G1126:X1126">_xlfn._xlws.FILTER(Formulas!$C$2:$T$201, ISNUMBER(MATCH(Formulas!$B$2:$B$201, B1126, 0)),0) * E1126</f>
        <v>679.81759999999997</v>
      </c>
      <c r="H1126" s="79">
        <v>3179.7919999999999</v>
      </c>
      <c r="I1126" s="79">
        <v>131.57759999999999</v>
      </c>
      <c r="J1126" s="79">
        <v>197.3664</v>
      </c>
      <c r="K1126" s="79">
        <v>0</v>
      </c>
      <c r="L1126" s="79">
        <v>0</v>
      </c>
      <c r="M1126" s="79">
        <v>197.3664</v>
      </c>
      <c r="N1126" s="79">
        <v>0</v>
      </c>
      <c r="O1126" s="79">
        <v>0</v>
      </c>
      <c r="P1126" s="79">
        <v>0</v>
      </c>
      <c r="Q1126" s="79">
        <v>0</v>
      </c>
      <c r="R1126" s="79">
        <v>0</v>
      </c>
      <c r="S1126" s="79">
        <v>0</v>
      </c>
      <c r="T1126" s="79">
        <v>0</v>
      </c>
      <c r="U1126" s="79">
        <v>0</v>
      </c>
      <c r="V1126" s="79">
        <v>0</v>
      </c>
      <c r="W1126" s="79">
        <v>0</v>
      </c>
      <c r="X1126" s="90">
        <v>0</v>
      </c>
    </row>
    <row r="1127" spans="1:24" hidden="1" x14ac:dyDescent="0.25">
      <c r="A1127" s="80" t="str">
        <v>PENDIENTE</v>
      </c>
      <c r="B1127" s="80" t="str">
        <v>Utcubamba</v>
      </c>
      <c r="C1127" s="80" t="str">
        <v>Junio</v>
      </c>
      <c r="D1127" s="81">
        <v>46160</v>
      </c>
      <c r="E1127" s="79">
        <v>4385.92</v>
      </c>
      <c r="F1127" s="80">
        <v>46153</v>
      </c>
      <c r="G1127" s="79" cm="1">
        <f t="array" ref="G1127:X1127">_xlfn._xlws.FILTER(Formulas!$C$2:$T$201, ISNUMBER(MATCH(Formulas!$B$2:$B$201, B1127, 0)),0) * E1127</f>
        <v>679.81759999999997</v>
      </c>
      <c r="H1127" s="79">
        <v>3179.7919999999999</v>
      </c>
      <c r="I1127" s="79">
        <v>131.57759999999999</v>
      </c>
      <c r="J1127" s="79">
        <v>197.3664</v>
      </c>
      <c r="K1127" s="79">
        <v>0</v>
      </c>
      <c r="L1127" s="79">
        <v>0</v>
      </c>
      <c r="M1127" s="79">
        <v>197.3664</v>
      </c>
      <c r="N1127" s="79">
        <v>0</v>
      </c>
      <c r="O1127" s="79">
        <v>0</v>
      </c>
      <c r="P1127" s="79">
        <v>0</v>
      </c>
      <c r="Q1127" s="79">
        <v>0</v>
      </c>
      <c r="R1127" s="79">
        <v>0</v>
      </c>
      <c r="S1127" s="79">
        <v>0</v>
      </c>
      <c r="T1127" s="79">
        <v>0</v>
      </c>
      <c r="U1127" s="79">
        <v>0</v>
      </c>
      <c r="V1127" s="79">
        <v>0</v>
      </c>
      <c r="W1127" s="79">
        <v>0</v>
      </c>
      <c r="X1127" s="90">
        <v>0</v>
      </c>
    </row>
    <row r="1128" spans="1:24" hidden="1" x14ac:dyDescent="0.25">
      <c r="A1128" s="80" t="str">
        <v>PENDIENTE</v>
      </c>
      <c r="B1128" s="80" t="str">
        <v>Utcubamba</v>
      </c>
      <c r="C1128" s="80" t="str">
        <v>Julio</v>
      </c>
      <c r="D1128" s="81">
        <v>46188</v>
      </c>
      <c r="E1128" s="79">
        <v>4385.92</v>
      </c>
      <c r="F1128" s="81">
        <v>46185</v>
      </c>
      <c r="G1128" s="79" cm="1">
        <f t="array" ref="G1128:X1128">_xlfn._xlws.FILTER(Formulas!$C$2:$T$201, ISNUMBER(MATCH(Formulas!$B$2:$B$201, B1128, 0)),0) * E1128</f>
        <v>679.81759999999997</v>
      </c>
      <c r="H1128" s="79">
        <v>3179.7919999999999</v>
      </c>
      <c r="I1128" s="79">
        <v>131.57759999999999</v>
      </c>
      <c r="J1128" s="79">
        <v>197.3664</v>
      </c>
      <c r="K1128" s="79">
        <v>0</v>
      </c>
      <c r="L1128" s="79">
        <v>0</v>
      </c>
      <c r="M1128" s="79">
        <v>197.3664</v>
      </c>
      <c r="N1128" s="79">
        <v>0</v>
      </c>
      <c r="O1128" s="79">
        <v>0</v>
      </c>
      <c r="P1128" s="79">
        <v>0</v>
      </c>
      <c r="Q1128" s="79">
        <v>0</v>
      </c>
      <c r="R1128" s="79">
        <v>0</v>
      </c>
      <c r="S1128" s="79">
        <v>0</v>
      </c>
      <c r="T1128" s="79">
        <v>0</v>
      </c>
      <c r="U1128" s="79">
        <v>0</v>
      </c>
      <c r="V1128" s="79">
        <v>0</v>
      </c>
      <c r="W1128" s="79">
        <v>0</v>
      </c>
      <c r="X1128" s="90">
        <v>0</v>
      </c>
    </row>
    <row r="1129" spans="1:24" hidden="1" x14ac:dyDescent="0.25">
      <c r="A1129" s="80" t="str">
        <v>PENDIENTE</v>
      </c>
      <c r="B1129" s="80" t="str">
        <v>Utcubamba</v>
      </c>
      <c r="C1129" s="80" t="str">
        <v>Agosto</v>
      </c>
      <c r="D1129" s="81">
        <v>46223</v>
      </c>
      <c r="E1129" s="79">
        <v>4385.92</v>
      </c>
      <c r="F1129" s="81">
        <v>46221</v>
      </c>
      <c r="G1129" s="79" cm="1">
        <f t="array" ref="G1129:X1129">_xlfn._xlws.FILTER(Formulas!$C$2:$T$201, ISNUMBER(MATCH(Formulas!$B$2:$B$201, B1129, 0)),0) * E1129</f>
        <v>679.81759999999997</v>
      </c>
      <c r="H1129" s="79">
        <v>3179.7919999999999</v>
      </c>
      <c r="I1129" s="79">
        <v>131.57759999999999</v>
      </c>
      <c r="J1129" s="79">
        <v>197.3664</v>
      </c>
      <c r="K1129" s="79">
        <v>0</v>
      </c>
      <c r="L1129" s="79">
        <v>0</v>
      </c>
      <c r="M1129" s="79">
        <v>197.3664</v>
      </c>
      <c r="N1129" s="79">
        <v>0</v>
      </c>
      <c r="O1129" s="79">
        <v>0</v>
      </c>
      <c r="P1129" s="79">
        <v>0</v>
      </c>
      <c r="Q1129" s="79">
        <v>0</v>
      </c>
      <c r="R1129" s="79">
        <v>0</v>
      </c>
      <c r="S1129" s="79">
        <v>0</v>
      </c>
      <c r="T1129" s="79">
        <v>0</v>
      </c>
      <c r="U1129" s="79">
        <v>0</v>
      </c>
      <c r="V1129" s="79">
        <v>0</v>
      </c>
      <c r="W1129" s="79">
        <v>0</v>
      </c>
      <c r="X1129" s="90">
        <v>0</v>
      </c>
    </row>
    <row r="1130" spans="1:24" hidden="1" x14ac:dyDescent="0.25">
      <c r="A1130" s="80" t="str">
        <v>PENDIENTE</v>
      </c>
      <c r="B1130" s="80" t="str">
        <v>Utcubamba</v>
      </c>
      <c r="C1130" s="80" t="str">
        <v>Setiembre</v>
      </c>
      <c r="D1130" s="81">
        <v>46251</v>
      </c>
      <c r="E1130" s="79">
        <v>4385.92</v>
      </c>
      <c r="F1130" s="81">
        <v>46251</v>
      </c>
      <c r="G1130" s="79" cm="1">
        <f t="array" ref="G1130:X1130">_xlfn._xlws.FILTER(Formulas!$C$2:$T$201, ISNUMBER(MATCH(Formulas!$B$2:$B$201, B1130, 0)),0) * E1130</f>
        <v>679.81759999999997</v>
      </c>
      <c r="H1130" s="79">
        <v>3179.7919999999999</v>
      </c>
      <c r="I1130" s="79">
        <v>131.57759999999999</v>
      </c>
      <c r="J1130" s="79">
        <v>197.3664</v>
      </c>
      <c r="K1130" s="79">
        <v>0</v>
      </c>
      <c r="L1130" s="79">
        <v>0</v>
      </c>
      <c r="M1130" s="79">
        <v>197.3664</v>
      </c>
      <c r="N1130" s="79">
        <v>0</v>
      </c>
      <c r="O1130" s="79">
        <v>0</v>
      </c>
      <c r="P1130" s="79">
        <v>0</v>
      </c>
      <c r="Q1130" s="79">
        <v>0</v>
      </c>
      <c r="R1130" s="79">
        <v>0</v>
      </c>
      <c r="S1130" s="79">
        <v>0</v>
      </c>
      <c r="T1130" s="79">
        <v>0</v>
      </c>
      <c r="U1130" s="79">
        <v>0</v>
      </c>
      <c r="V1130" s="79">
        <v>0</v>
      </c>
      <c r="W1130" s="79">
        <v>0</v>
      </c>
      <c r="X1130" s="90">
        <v>0</v>
      </c>
    </row>
    <row r="1131" spans="1:24" hidden="1" x14ac:dyDescent="0.25">
      <c r="A1131" s="80" t="str">
        <v>PENDIENTE</v>
      </c>
      <c r="B1131" s="80" t="str">
        <v>Utcubamba</v>
      </c>
      <c r="C1131" s="80" t="str">
        <v>Octubre</v>
      </c>
      <c r="D1131" s="81">
        <v>46251</v>
      </c>
      <c r="E1131" s="79">
        <v>4385.92</v>
      </c>
      <c r="F1131" s="81">
        <v>46275</v>
      </c>
      <c r="G1131" s="79" cm="1">
        <f t="array" ref="G1131:X1131">_xlfn._xlws.FILTER(Formulas!$C$2:$T$201, ISNUMBER(MATCH(Formulas!$B$2:$B$201, B1131, 0)),0) * E1131</f>
        <v>679.81759999999997</v>
      </c>
      <c r="H1131" s="79">
        <v>3179.7919999999999</v>
      </c>
      <c r="I1131" s="79">
        <v>131.57759999999999</v>
      </c>
      <c r="J1131" s="79">
        <v>197.3664</v>
      </c>
      <c r="K1131" s="79">
        <v>0</v>
      </c>
      <c r="L1131" s="79">
        <v>0</v>
      </c>
      <c r="M1131" s="79">
        <v>197.3664</v>
      </c>
      <c r="N1131" s="79">
        <v>0</v>
      </c>
      <c r="O1131" s="79">
        <v>0</v>
      </c>
      <c r="P1131" s="79">
        <v>0</v>
      </c>
      <c r="Q1131" s="79">
        <v>0</v>
      </c>
      <c r="R1131" s="79">
        <v>0</v>
      </c>
      <c r="S1131" s="79">
        <v>0</v>
      </c>
      <c r="T1131" s="79">
        <v>0</v>
      </c>
      <c r="U1131" s="79">
        <v>0</v>
      </c>
      <c r="V1131" s="79">
        <v>0</v>
      </c>
      <c r="W1131" s="79">
        <v>0</v>
      </c>
      <c r="X1131" s="90">
        <v>0</v>
      </c>
    </row>
    <row r="1132" spans="1:24" hidden="1" x14ac:dyDescent="0.25">
      <c r="A1132" s="80" t="str">
        <v>PENDIENTE</v>
      </c>
      <c r="B1132" s="80" t="str">
        <v>Utcubamba</v>
      </c>
      <c r="C1132" s="80" t="str">
        <v>Noviembre</v>
      </c>
      <c r="D1132" s="81">
        <v>46314</v>
      </c>
      <c r="E1132" s="79">
        <v>4385.92</v>
      </c>
      <c r="F1132" s="81">
        <v>0</v>
      </c>
      <c r="G1132" s="79" cm="1">
        <f t="array" ref="G1132:X1132">_xlfn._xlws.FILTER(Formulas!$C$2:$T$201, ISNUMBER(MATCH(Formulas!$B$2:$B$201, B1132, 0)),0) * E1132</f>
        <v>679.81759999999997</v>
      </c>
      <c r="H1132" s="79">
        <v>3179.7919999999999</v>
      </c>
      <c r="I1132" s="79">
        <v>131.57759999999999</v>
      </c>
      <c r="J1132" s="79">
        <v>197.3664</v>
      </c>
      <c r="K1132" s="79">
        <v>0</v>
      </c>
      <c r="L1132" s="79">
        <v>0</v>
      </c>
      <c r="M1132" s="79">
        <v>197.3664</v>
      </c>
      <c r="N1132" s="79">
        <v>0</v>
      </c>
      <c r="O1132" s="79">
        <v>0</v>
      </c>
      <c r="P1132" s="79">
        <v>0</v>
      </c>
      <c r="Q1132" s="79">
        <v>0</v>
      </c>
      <c r="R1132" s="79">
        <v>0</v>
      </c>
      <c r="S1132" s="79">
        <v>0</v>
      </c>
      <c r="T1132" s="79">
        <v>0</v>
      </c>
      <c r="U1132" s="79">
        <v>0</v>
      </c>
      <c r="V1132" s="79">
        <v>0</v>
      </c>
      <c r="W1132" s="79">
        <v>0</v>
      </c>
      <c r="X1132" s="90">
        <v>0</v>
      </c>
    </row>
    <row r="1133" spans="1:24" hidden="1" x14ac:dyDescent="0.25">
      <c r="A1133" s="80" t="str">
        <v>PENDIENTE</v>
      </c>
      <c r="B1133" s="80" t="str">
        <v>Utcubamba</v>
      </c>
      <c r="C1133" s="80" t="str">
        <v>Diciembre</v>
      </c>
      <c r="D1133" s="81">
        <v>46341</v>
      </c>
      <c r="E1133" s="79">
        <v>4385.92</v>
      </c>
      <c r="F1133" s="81">
        <v>0</v>
      </c>
      <c r="G1133" s="79" cm="1">
        <f t="array" ref="G1133:X1133">_xlfn._xlws.FILTER(Formulas!$C$2:$T$201, ISNUMBER(MATCH(Formulas!$B$2:$B$201, B1133, 0)),0) * E1133</f>
        <v>679.81759999999997</v>
      </c>
      <c r="H1133" s="79">
        <v>3179.7919999999999</v>
      </c>
      <c r="I1133" s="79">
        <v>131.57759999999999</v>
      </c>
      <c r="J1133" s="79">
        <v>197.3664</v>
      </c>
      <c r="K1133" s="79">
        <v>0</v>
      </c>
      <c r="L1133" s="79">
        <v>0</v>
      </c>
      <c r="M1133" s="79">
        <v>197.3664</v>
      </c>
      <c r="N1133" s="79">
        <v>0</v>
      </c>
      <c r="O1133" s="79">
        <v>0</v>
      </c>
      <c r="P1133" s="79">
        <v>0</v>
      </c>
      <c r="Q1133" s="79">
        <v>0</v>
      </c>
      <c r="R1133" s="79">
        <v>0</v>
      </c>
      <c r="S1133" s="79">
        <v>0</v>
      </c>
      <c r="T1133" s="79">
        <v>0</v>
      </c>
      <c r="U1133" s="79">
        <v>0</v>
      </c>
      <c r="V1133" s="79">
        <v>0</v>
      </c>
      <c r="W1133" s="79">
        <v>0</v>
      </c>
      <c r="X1133" s="90">
        <v>0</v>
      </c>
    </row>
    <row r="1134" spans="1:24" hidden="1" x14ac:dyDescent="0.25">
      <c r="A1134" s="80" t="str">
        <v>PENDIENTE</v>
      </c>
      <c r="B1134" s="80" t="str">
        <v>Utcubamba - 25</v>
      </c>
      <c r="C1134" s="80" t="str">
        <v>O.C.</v>
      </c>
      <c r="D1134" s="81">
        <v>46068</v>
      </c>
      <c r="E1134" s="79">
        <v>7836.4000000000005</v>
      </c>
      <c r="F1134" s="81">
        <v>46057</v>
      </c>
      <c r="G1134" s="79" cm="1">
        <f t="array" ref="G1134:X1134">_xlfn._xlws.FILTER(Formulas!$C$2:$T$201, ISNUMBER(MATCH(Formulas!$B$2:$B$201, B1134, 0)),0) * E1134</f>
        <v>1567.2800000000002</v>
      </c>
      <c r="H1134" s="79">
        <v>5328.7520000000004</v>
      </c>
      <c r="I1134" s="79">
        <v>313.45600000000002</v>
      </c>
      <c r="J1134" s="79">
        <v>313.45600000000002</v>
      </c>
      <c r="K1134" s="79">
        <v>0</v>
      </c>
      <c r="L1134" s="79">
        <v>0</v>
      </c>
      <c r="M1134" s="79">
        <v>313.45600000000002</v>
      </c>
      <c r="N1134" s="79">
        <v>0</v>
      </c>
      <c r="O1134" s="79">
        <v>0</v>
      </c>
      <c r="P1134" s="79">
        <v>0</v>
      </c>
      <c r="Q1134" s="79">
        <v>0</v>
      </c>
      <c r="R1134" s="79">
        <v>0</v>
      </c>
      <c r="S1134" s="79">
        <v>0</v>
      </c>
      <c r="T1134" s="79">
        <v>0</v>
      </c>
      <c r="U1134" s="79">
        <v>0</v>
      </c>
      <c r="V1134" s="79">
        <v>0</v>
      </c>
      <c r="W1134" s="79">
        <v>0</v>
      </c>
      <c r="X1134" s="90">
        <v>0</v>
      </c>
    </row>
    <row r="1135" spans="1:24" hidden="1" x14ac:dyDescent="0.25">
      <c r="A1135" s="80" t="str">
        <v>PENDIENTE</v>
      </c>
      <c r="B1135" s="80" t="str">
        <v>Val y Fio Av</v>
      </c>
      <c r="C1135" s="80" t="str">
        <v>O.C. - 8</v>
      </c>
      <c r="D1135" s="81">
        <v>46137</v>
      </c>
      <c r="E1135" s="79">
        <v>229</v>
      </c>
      <c r="F1135" s="81">
        <v>46135</v>
      </c>
      <c r="G1135" s="79" cm="1">
        <f t="array" ref="G1135:X1135">_xlfn._xlws.FILTER(Formulas!$C$2:$T$201, ISNUMBER(MATCH(Formulas!$B$2:$B$201, B1135, 0)),0) * E1135</f>
        <v>45.8</v>
      </c>
      <c r="H1135" s="79">
        <v>183.2</v>
      </c>
      <c r="I1135" s="79">
        <v>0</v>
      </c>
      <c r="J1135" s="79">
        <v>0</v>
      </c>
      <c r="K1135" s="79">
        <v>0</v>
      </c>
      <c r="L1135" s="79">
        <v>0</v>
      </c>
      <c r="M1135" s="79">
        <v>0</v>
      </c>
      <c r="N1135" s="79">
        <v>0</v>
      </c>
      <c r="O1135" s="79">
        <v>0</v>
      </c>
      <c r="P1135" s="79">
        <v>0</v>
      </c>
      <c r="Q1135" s="79">
        <v>0</v>
      </c>
      <c r="R1135" s="79">
        <v>0</v>
      </c>
      <c r="S1135" s="79">
        <v>0</v>
      </c>
      <c r="T1135" s="79">
        <v>0</v>
      </c>
      <c r="U1135" s="79">
        <v>0</v>
      </c>
      <c r="V1135" s="79">
        <v>0</v>
      </c>
      <c r="W1135" s="79">
        <v>0</v>
      </c>
      <c r="X1135" s="90">
        <v>0</v>
      </c>
    </row>
    <row r="1136" spans="1:24" hidden="1" x14ac:dyDescent="0.25">
      <c r="A1136" s="80" t="str">
        <v>PENDIENTE</v>
      </c>
      <c r="B1136" s="80" t="str">
        <v>Val y Fio Av</v>
      </c>
      <c r="C1136" s="80" t="str">
        <v>O.C. - 12</v>
      </c>
      <c r="D1136" s="81">
        <v>46186</v>
      </c>
      <c r="E1136" s="79">
        <v>46</v>
      </c>
      <c r="F1136" s="81">
        <v>46190</v>
      </c>
      <c r="G1136" s="79" cm="1">
        <f t="array" ref="G1136:X1136">_xlfn._xlws.FILTER(Formulas!$C$2:$T$201, ISNUMBER(MATCH(Formulas!$B$2:$B$201, B1136, 0)),0) * E1136</f>
        <v>9.1999999999999993</v>
      </c>
      <c r="H1136" s="79">
        <v>36.799999999999997</v>
      </c>
      <c r="I1136" s="79">
        <v>0</v>
      </c>
      <c r="J1136" s="79">
        <v>0</v>
      </c>
      <c r="K1136" s="79">
        <v>0</v>
      </c>
      <c r="L1136" s="79">
        <v>0</v>
      </c>
      <c r="M1136" s="79">
        <v>0</v>
      </c>
      <c r="N1136" s="79">
        <v>0</v>
      </c>
      <c r="O1136" s="79">
        <v>0</v>
      </c>
      <c r="P1136" s="79">
        <v>0</v>
      </c>
      <c r="Q1136" s="79">
        <v>0</v>
      </c>
      <c r="R1136" s="79">
        <v>0</v>
      </c>
      <c r="S1136" s="79">
        <v>0</v>
      </c>
      <c r="T1136" s="79">
        <v>0</v>
      </c>
      <c r="U1136" s="79">
        <v>0</v>
      </c>
      <c r="V1136" s="79">
        <v>0</v>
      </c>
      <c r="W1136" s="79">
        <v>0</v>
      </c>
      <c r="X1136" s="90">
        <v>0</v>
      </c>
    </row>
    <row r="1137" spans="1:24" hidden="1" x14ac:dyDescent="0.25">
      <c r="A1137" s="80" t="str">
        <v>PENDIENTE</v>
      </c>
      <c r="B1137" s="80" t="str">
        <v>Val y Fio Coc</v>
      </c>
      <c r="C1137" s="80" t="str">
        <v>O.C. - 8</v>
      </c>
      <c r="D1137" s="81">
        <v>46137</v>
      </c>
      <c r="E1137" s="79">
        <v>189</v>
      </c>
      <c r="F1137" s="81">
        <v>46135</v>
      </c>
      <c r="G1137" s="79" cm="1">
        <f t="array" ref="G1137:X1137">_xlfn._xlws.FILTER(Formulas!$C$2:$T$201, ISNUMBER(MATCH(Formulas!$B$2:$B$201, B1137, 0)),0) * E1137</f>
        <v>36</v>
      </c>
      <c r="H1137" s="79">
        <v>133.5</v>
      </c>
      <c r="I1137" s="79">
        <v>9</v>
      </c>
      <c r="J1137" s="79">
        <v>0</v>
      </c>
      <c r="K1137" s="79">
        <v>0</v>
      </c>
      <c r="L1137" s="79">
        <v>0</v>
      </c>
      <c r="M1137" s="79">
        <v>9</v>
      </c>
      <c r="N1137" s="79">
        <v>0</v>
      </c>
      <c r="O1137" s="79">
        <v>0</v>
      </c>
      <c r="P1137" s="79">
        <v>0</v>
      </c>
      <c r="Q1137" s="79">
        <v>0</v>
      </c>
      <c r="R1137" s="79">
        <v>1.5</v>
      </c>
      <c r="S1137" s="79">
        <v>0</v>
      </c>
      <c r="T1137" s="79">
        <v>0</v>
      </c>
      <c r="U1137" s="79">
        <v>0</v>
      </c>
      <c r="V1137" s="79">
        <v>0</v>
      </c>
      <c r="W1137" s="79">
        <v>0</v>
      </c>
      <c r="X1137" s="90">
        <v>0</v>
      </c>
    </row>
    <row r="1138" spans="1:24" hidden="1" x14ac:dyDescent="0.25">
      <c r="A1138" s="80" t="str">
        <v>PENDIENTE</v>
      </c>
      <c r="B1138" s="80" t="str">
        <v>Val y Fio Coc</v>
      </c>
      <c r="C1138" s="80" t="str">
        <v>O.C. - 12</v>
      </c>
      <c r="D1138" s="81">
        <v>46186</v>
      </c>
      <c r="E1138" s="79">
        <v>192</v>
      </c>
      <c r="F1138" s="81">
        <v>46190</v>
      </c>
      <c r="G1138" s="79" cm="1">
        <f t="array" ref="G1138:X1138">_xlfn._xlws.FILTER(Formulas!$C$2:$T$201, ISNUMBER(MATCH(Formulas!$B$2:$B$201, B1138, 0)),0) * E1138</f>
        <v>36.571428571428569</v>
      </c>
      <c r="H1138" s="79">
        <v>135.61904761904762</v>
      </c>
      <c r="I1138" s="79">
        <v>9.1428571428571423</v>
      </c>
      <c r="J1138" s="79">
        <v>0</v>
      </c>
      <c r="K1138" s="79">
        <v>0</v>
      </c>
      <c r="L1138" s="79">
        <v>0</v>
      </c>
      <c r="M1138" s="79">
        <v>9.1428571428571423</v>
      </c>
      <c r="N1138" s="79">
        <v>0</v>
      </c>
      <c r="O1138" s="79">
        <v>0</v>
      </c>
      <c r="P1138" s="79">
        <v>0</v>
      </c>
      <c r="Q1138" s="79">
        <v>0</v>
      </c>
      <c r="R1138" s="79">
        <v>1.5238095238095237</v>
      </c>
      <c r="S1138" s="79">
        <v>0</v>
      </c>
      <c r="T1138" s="79">
        <v>0</v>
      </c>
      <c r="U1138" s="79">
        <v>0</v>
      </c>
      <c r="V1138" s="79">
        <v>0</v>
      </c>
      <c r="W1138" s="79">
        <v>0</v>
      </c>
      <c r="X1138" s="90">
        <v>0</v>
      </c>
    </row>
    <row r="1139" spans="1:24" hidden="1" x14ac:dyDescent="0.25">
      <c r="A1139" s="80" t="str">
        <v>PENDIENTE</v>
      </c>
      <c r="B1139" s="80" t="str">
        <v>Val y Fio Har</v>
      </c>
      <c r="C1139" s="80" t="str">
        <v>O.C. - 8</v>
      </c>
      <c r="D1139" s="81">
        <v>46137</v>
      </c>
      <c r="E1139" s="79">
        <v>1509</v>
      </c>
      <c r="F1139" s="81">
        <v>46135</v>
      </c>
      <c r="G1139" s="79" cm="1">
        <f t="array" ref="G1139:X1139">_xlfn._xlws.FILTER(Formulas!$C$2:$T$201, ISNUMBER(MATCH(Formulas!$B$2:$B$201, B1139, 0)),0) * E1139</f>
        <v>377.25</v>
      </c>
      <c r="H1139" s="79">
        <v>965.76</v>
      </c>
      <c r="I1139" s="79">
        <v>90.539999999999992</v>
      </c>
      <c r="J1139" s="79">
        <v>0</v>
      </c>
      <c r="K1139" s="79">
        <v>0</v>
      </c>
      <c r="L1139" s="79">
        <v>0</v>
      </c>
      <c r="M1139" s="79">
        <v>75.45</v>
      </c>
      <c r="N1139" s="79">
        <v>0</v>
      </c>
      <c r="O1139" s="79">
        <v>0</v>
      </c>
      <c r="P1139" s="79">
        <v>0</v>
      </c>
      <c r="Q1139" s="79">
        <v>0</v>
      </c>
      <c r="R1139" s="79">
        <v>0</v>
      </c>
      <c r="S1139" s="79">
        <v>0</v>
      </c>
      <c r="T1139" s="79">
        <v>0</v>
      </c>
      <c r="U1139" s="79">
        <v>0</v>
      </c>
      <c r="V1139" s="79">
        <v>1.5090000000000001</v>
      </c>
      <c r="W1139" s="79">
        <v>0</v>
      </c>
      <c r="X1139" s="90">
        <v>0</v>
      </c>
    </row>
    <row r="1140" spans="1:24" hidden="1" x14ac:dyDescent="0.25">
      <c r="A1140" s="80" t="str">
        <v>PENDIENTE</v>
      </c>
      <c r="B1140" s="80" t="str">
        <v>Val y Fio Har</v>
      </c>
      <c r="C1140" s="80" t="str">
        <v>O.C. - 12</v>
      </c>
      <c r="D1140" s="81">
        <v>46186</v>
      </c>
      <c r="E1140" s="79">
        <v>2200</v>
      </c>
      <c r="F1140" s="81">
        <v>46190</v>
      </c>
      <c r="G1140" s="79" cm="1">
        <f t="array" ref="G1140:X1140">_xlfn._xlws.FILTER(Formulas!$C$2:$T$201, ISNUMBER(MATCH(Formulas!$B$2:$B$201, B1140, 0)),0) * E1140</f>
        <v>550</v>
      </c>
      <c r="H1140" s="79">
        <v>1408</v>
      </c>
      <c r="I1140" s="79">
        <v>132</v>
      </c>
      <c r="J1140" s="79">
        <v>0</v>
      </c>
      <c r="K1140" s="79">
        <v>0</v>
      </c>
      <c r="L1140" s="79">
        <v>0</v>
      </c>
      <c r="M1140" s="79">
        <v>110</v>
      </c>
      <c r="N1140" s="79">
        <v>0</v>
      </c>
      <c r="O1140" s="79">
        <v>0</v>
      </c>
      <c r="P1140" s="79">
        <v>0</v>
      </c>
      <c r="Q1140" s="79">
        <v>0</v>
      </c>
      <c r="R1140" s="79">
        <v>0</v>
      </c>
      <c r="S1140" s="79">
        <v>0</v>
      </c>
      <c r="T1140" s="79">
        <v>0</v>
      </c>
      <c r="U1140" s="79">
        <v>0</v>
      </c>
      <c r="V1140" s="79">
        <v>2.2000000000000002</v>
      </c>
      <c r="W1140" s="79">
        <v>0</v>
      </c>
      <c r="X1140" s="90">
        <v>0</v>
      </c>
    </row>
    <row r="1141" spans="1:24" hidden="1" x14ac:dyDescent="0.25">
      <c r="A1141" s="80" t="str">
        <v>PENDIENTE</v>
      </c>
      <c r="B1141" s="80" t="str">
        <v>Val y Fio Hj</v>
      </c>
      <c r="C1141" s="80" t="str">
        <v>O.C. - 4</v>
      </c>
      <c r="D1141" s="81">
        <v>46093</v>
      </c>
      <c r="E1141" s="79">
        <v>1251</v>
      </c>
      <c r="F1141" s="81">
        <v>46092</v>
      </c>
      <c r="G1141" s="79" cm="1">
        <f t="array" ref="G1141:X1141">_xlfn._xlws.FILTER(Formulas!$C$2:$T$201, ISNUMBER(MATCH(Formulas!$B$2:$B$201, B1141, 0)),0) * E1141</f>
        <v>275</v>
      </c>
      <c r="H1141" s="79">
        <v>920</v>
      </c>
      <c r="I1141" s="79">
        <v>56</v>
      </c>
      <c r="J1141" s="79">
        <v>0</v>
      </c>
      <c r="K1141" s="79">
        <v>0</v>
      </c>
      <c r="L1141" s="79">
        <v>0</v>
      </c>
      <c r="M1141" s="79">
        <v>0</v>
      </c>
      <c r="N1141" s="79">
        <v>0</v>
      </c>
      <c r="O1141" s="79">
        <v>0</v>
      </c>
      <c r="P1141" s="79">
        <v>0</v>
      </c>
      <c r="Q1141" s="79">
        <v>0</v>
      </c>
      <c r="R1141" s="79">
        <v>0</v>
      </c>
      <c r="S1141" s="79">
        <v>0</v>
      </c>
      <c r="T1141" s="79">
        <v>0</v>
      </c>
      <c r="U1141" s="79">
        <v>0</v>
      </c>
      <c r="V1141" s="79">
        <v>0</v>
      </c>
      <c r="W1141" s="79">
        <v>0</v>
      </c>
      <c r="X1141" s="90">
        <v>0</v>
      </c>
    </row>
    <row r="1142" spans="1:24" hidden="1" x14ac:dyDescent="0.25">
      <c r="A1142" s="80" t="str">
        <v>PENDIENTE</v>
      </c>
      <c r="B1142" s="80" t="str">
        <v>Val y Fio Hj</v>
      </c>
      <c r="C1142" s="80" t="str">
        <v>O.C. - 8</v>
      </c>
      <c r="D1142" s="81">
        <v>46137</v>
      </c>
      <c r="E1142" s="79">
        <v>1426</v>
      </c>
      <c r="F1142" s="81">
        <v>46135</v>
      </c>
      <c r="G1142" s="79" cm="1">
        <f t="array" ref="G1142:X1142">_xlfn._xlws.FILTER(Formulas!$C$2:$T$201, ISNUMBER(MATCH(Formulas!$B$2:$B$201, B1142, 0)),0) * E1142</f>
        <v>313.46922462030375</v>
      </c>
      <c r="H1142" s="79">
        <v>1048.6970423661071</v>
      </c>
      <c r="I1142" s="79">
        <v>63.833733013589132</v>
      </c>
      <c r="J1142" s="79">
        <v>0</v>
      </c>
      <c r="K1142" s="79">
        <v>0</v>
      </c>
      <c r="L1142" s="79">
        <v>0</v>
      </c>
      <c r="M1142" s="79">
        <v>0</v>
      </c>
      <c r="N1142" s="79">
        <v>0</v>
      </c>
      <c r="O1142" s="79">
        <v>0</v>
      </c>
      <c r="P1142" s="79">
        <v>0</v>
      </c>
      <c r="Q1142" s="79">
        <v>0</v>
      </c>
      <c r="R1142" s="79">
        <v>0</v>
      </c>
      <c r="S1142" s="79">
        <v>0</v>
      </c>
      <c r="T1142" s="79">
        <v>0</v>
      </c>
      <c r="U1142" s="79">
        <v>0</v>
      </c>
      <c r="V1142" s="79">
        <v>0</v>
      </c>
      <c r="W1142" s="79">
        <v>0</v>
      </c>
      <c r="X1142" s="90">
        <v>0</v>
      </c>
    </row>
    <row r="1143" spans="1:24" hidden="1" x14ac:dyDescent="0.25">
      <c r="A1143" s="80" t="str">
        <v>PENDIENTE</v>
      </c>
      <c r="B1143" s="80" t="str">
        <v>Val y Fio Mc</v>
      </c>
      <c r="C1143" s="80" t="str">
        <v>O.C. - 1</v>
      </c>
      <c r="D1143" s="81">
        <v>46060</v>
      </c>
      <c r="E1143" s="79">
        <v>4200</v>
      </c>
      <c r="F1143" s="81">
        <v>46059</v>
      </c>
      <c r="G1143" s="79" cm="1">
        <f t="array" ref="G1143:X1143">_xlfn._xlws.FILTER(Formulas!$C$2:$T$201, ISNUMBER(MATCH(Formulas!$B$2:$B$201, B1143, 0)),0) * E1143</f>
        <v>840</v>
      </c>
      <c r="H1143" s="79">
        <v>2982</v>
      </c>
      <c r="I1143" s="79">
        <v>168</v>
      </c>
      <c r="J1143" s="79">
        <v>0</v>
      </c>
      <c r="K1143" s="79">
        <v>0</v>
      </c>
      <c r="L1143" s="79">
        <v>0</v>
      </c>
      <c r="M1143" s="79">
        <v>210</v>
      </c>
      <c r="N1143" s="79">
        <v>0</v>
      </c>
      <c r="O1143" s="79">
        <v>0</v>
      </c>
      <c r="P1143" s="79">
        <v>0</v>
      </c>
      <c r="Q1143" s="79">
        <v>0</v>
      </c>
      <c r="R1143" s="79">
        <v>0</v>
      </c>
      <c r="S1143" s="79">
        <v>0</v>
      </c>
      <c r="T1143" s="79">
        <v>0</v>
      </c>
      <c r="U1143" s="79">
        <v>0</v>
      </c>
      <c r="V1143" s="79">
        <v>0</v>
      </c>
      <c r="W1143" s="79">
        <v>0</v>
      </c>
      <c r="X1143" s="90">
        <v>0</v>
      </c>
    </row>
    <row r="1144" spans="1:24" hidden="1" x14ac:dyDescent="0.25">
      <c r="A1144" s="80" t="str">
        <v>PENDIENTE</v>
      </c>
      <c r="B1144" s="80" t="str">
        <v>Val y Fio Mc</v>
      </c>
      <c r="C1144" s="80" t="str">
        <v>O.C. - 4</v>
      </c>
      <c r="D1144" s="81">
        <v>46093</v>
      </c>
      <c r="E1144" s="79">
        <v>3000</v>
      </c>
      <c r="F1144" s="81">
        <v>46092</v>
      </c>
      <c r="G1144" s="79" cm="1">
        <f t="array" ref="G1144:X1144">_xlfn._xlws.FILTER(Formulas!$C$2:$T$201, ISNUMBER(MATCH(Formulas!$B$2:$B$201, B1144, 0)),0) * E1144</f>
        <v>600</v>
      </c>
      <c r="H1144" s="79">
        <v>2130</v>
      </c>
      <c r="I1144" s="79">
        <v>120</v>
      </c>
      <c r="J1144" s="79">
        <v>0</v>
      </c>
      <c r="K1144" s="79">
        <v>0</v>
      </c>
      <c r="L1144" s="79">
        <v>0</v>
      </c>
      <c r="M1144" s="79">
        <v>150</v>
      </c>
      <c r="N1144" s="79">
        <v>0</v>
      </c>
      <c r="O1144" s="79">
        <v>0</v>
      </c>
      <c r="P1144" s="79">
        <v>0</v>
      </c>
      <c r="Q1144" s="79">
        <v>0</v>
      </c>
      <c r="R1144" s="79">
        <v>0</v>
      </c>
      <c r="S1144" s="79">
        <v>0</v>
      </c>
      <c r="T1144" s="79">
        <v>0</v>
      </c>
      <c r="U1144" s="79">
        <v>0</v>
      </c>
      <c r="V1144" s="79">
        <v>0</v>
      </c>
      <c r="W1144" s="79">
        <v>0</v>
      </c>
      <c r="X1144" s="90">
        <v>0</v>
      </c>
    </row>
    <row r="1145" spans="1:24" hidden="1" x14ac:dyDescent="0.25">
      <c r="A1145" s="80" t="str">
        <v>PENDIENTE</v>
      </c>
      <c r="B1145" s="80" t="str">
        <v>Val y Fio Mc</v>
      </c>
      <c r="C1145" s="80" t="str">
        <v>O.C. - 7</v>
      </c>
      <c r="D1145" s="81">
        <v>46133</v>
      </c>
      <c r="E1145" s="79">
        <v>5000</v>
      </c>
      <c r="F1145" s="81">
        <v>46125</v>
      </c>
      <c r="G1145" s="79" cm="1">
        <f t="array" ref="G1145:X1145">_xlfn._xlws.FILTER(Formulas!$C$2:$T$201, ISNUMBER(MATCH(Formulas!$B$2:$B$201, B1145, 0)),0) * E1145</f>
        <v>1000</v>
      </c>
      <c r="H1145" s="79">
        <v>3550</v>
      </c>
      <c r="I1145" s="79">
        <v>200</v>
      </c>
      <c r="J1145" s="79">
        <v>0</v>
      </c>
      <c r="K1145" s="79">
        <v>0</v>
      </c>
      <c r="L1145" s="79">
        <v>0</v>
      </c>
      <c r="M1145" s="79">
        <v>250</v>
      </c>
      <c r="N1145" s="79">
        <v>0</v>
      </c>
      <c r="O1145" s="79">
        <v>0</v>
      </c>
      <c r="P1145" s="79">
        <v>0</v>
      </c>
      <c r="Q1145" s="79">
        <v>0</v>
      </c>
      <c r="R1145" s="79">
        <v>0</v>
      </c>
      <c r="S1145" s="79">
        <v>0</v>
      </c>
      <c r="T1145" s="79">
        <v>0</v>
      </c>
      <c r="U1145" s="79">
        <v>0</v>
      </c>
      <c r="V1145" s="79">
        <v>0</v>
      </c>
      <c r="W1145" s="79">
        <v>0</v>
      </c>
      <c r="X1145" s="90">
        <v>0</v>
      </c>
    </row>
    <row r="1146" spans="1:24" hidden="1" x14ac:dyDescent="0.25">
      <c r="A1146" s="80" t="str">
        <v>PENDIENTE</v>
      </c>
      <c r="B1146" s="80" t="str">
        <v>Val y Fio Mc</v>
      </c>
      <c r="C1146" s="80" t="str">
        <v>O.C. - 12</v>
      </c>
      <c r="D1146" s="81">
        <v>46186</v>
      </c>
      <c r="E1146" s="79">
        <v>4200</v>
      </c>
      <c r="F1146" s="81">
        <v>46191</v>
      </c>
      <c r="G1146" s="79" cm="1">
        <f t="array" ref="G1146:X1146">_xlfn._xlws.FILTER(Formulas!$C$2:$T$201, ISNUMBER(MATCH(Formulas!$B$2:$B$201, B1146, 0)),0) * E1146</f>
        <v>840</v>
      </c>
      <c r="H1146" s="79">
        <v>2982</v>
      </c>
      <c r="I1146" s="79">
        <v>168</v>
      </c>
      <c r="J1146" s="79">
        <v>0</v>
      </c>
      <c r="K1146" s="79">
        <v>0</v>
      </c>
      <c r="L1146" s="79">
        <v>0</v>
      </c>
      <c r="M1146" s="79">
        <v>210</v>
      </c>
      <c r="N1146" s="79">
        <v>0</v>
      </c>
      <c r="O1146" s="79">
        <v>0</v>
      </c>
      <c r="P1146" s="79">
        <v>0</v>
      </c>
      <c r="Q1146" s="79">
        <v>0</v>
      </c>
      <c r="R1146" s="79">
        <v>0</v>
      </c>
      <c r="S1146" s="79">
        <v>0</v>
      </c>
      <c r="T1146" s="79">
        <v>0</v>
      </c>
      <c r="U1146" s="79">
        <v>0</v>
      </c>
      <c r="V1146" s="79">
        <v>0</v>
      </c>
      <c r="W1146" s="79">
        <v>0</v>
      </c>
      <c r="X1146" s="90">
        <v>0</v>
      </c>
    </row>
    <row r="1147" spans="1:24" hidden="1" x14ac:dyDescent="0.25">
      <c r="A1147" s="80" t="str">
        <v>PENDIENTE</v>
      </c>
      <c r="B1147" s="80" t="str">
        <v>Val y Fio Mc1</v>
      </c>
      <c r="C1147" s="80" t="str">
        <v>O.C. - 8</v>
      </c>
      <c r="D1147" s="81">
        <v>46137</v>
      </c>
      <c r="E1147" s="79">
        <v>226</v>
      </c>
      <c r="F1147" s="81">
        <v>46135</v>
      </c>
      <c r="G1147" s="79" cm="1">
        <f t="array" ref="G1147:X1147">_xlfn._xlws.FILTER(Formulas!$C$2:$T$201, ISNUMBER(MATCH(Formulas!$B$2:$B$201, B1147, 0)),0) * E1147</f>
        <v>45.2</v>
      </c>
      <c r="H1147" s="79">
        <v>158.19999999999999</v>
      </c>
      <c r="I1147" s="79">
        <v>11.3</v>
      </c>
      <c r="J1147" s="79">
        <v>0</v>
      </c>
      <c r="K1147" s="79">
        <v>0</v>
      </c>
      <c r="L1147" s="79">
        <v>0</v>
      </c>
      <c r="M1147" s="79">
        <v>11.3</v>
      </c>
      <c r="N1147" s="79">
        <v>0</v>
      </c>
      <c r="O1147" s="79">
        <v>0</v>
      </c>
      <c r="P1147" s="79">
        <v>0</v>
      </c>
      <c r="Q1147" s="79">
        <v>0</v>
      </c>
      <c r="R1147" s="79">
        <v>0</v>
      </c>
      <c r="S1147" s="79">
        <v>0</v>
      </c>
      <c r="T1147" s="79">
        <v>0</v>
      </c>
      <c r="U1147" s="79">
        <v>0</v>
      </c>
      <c r="V1147" s="79">
        <v>0</v>
      </c>
      <c r="W1147" s="79">
        <v>0</v>
      </c>
      <c r="X1147" s="90">
        <v>0</v>
      </c>
    </row>
    <row r="1148" spans="1:24" hidden="1" x14ac:dyDescent="0.25">
      <c r="A1148" s="80" t="str">
        <v>PENDIENTE</v>
      </c>
      <c r="B1148" s="80" t="str">
        <v>Val y Fio Mc1</v>
      </c>
      <c r="C1148" s="80" t="str">
        <v>O.C. - 12</v>
      </c>
      <c r="D1148" s="81">
        <v>46186</v>
      </c>
      <c r="E1148" s="79">
        <v>150</v>
      </c>
      <c r="F1148" s="81">
        <v>46190</v>
      </c>
      <c r="G1148" s="79" cm="1">
        <f t="array" ref="G1148:X1148">_xlfn._xlws.FILTER(Formulas!$C$2:$T$201, ISNUMBER(MATCH(Formulas!$B$2:$B$201, B1148, 0)),0) * E1148</f>
        <v>30</v>
      </c>
      <c r="H1148" s="79">
        <v>105</v>
      </c>
      <c r="I1148" s="79">
        <v>7.5</v>
      </c>
      <c r="J1148" s="79">
        <v>0</v>
      </c>
      <c r="K1148" s="79">
        <v>0</v>
      </c>
      <c r="L1148" s="79">
        <v>0</v>
      </c>
      <c r="M1148" s="79">
        <v>7.5</v>
      </c>
      <c r="N1148" s="79">
        <v>0</v>
      </c>
      <c r="O1148" s="79">
        <v>0</v>
      </c>
      <c r="P1148" s="79">
        <v>0</v>
      </c>
      <c r="Q1148" s="79">
        <v>0</v>
      </c>
      <c r="R1148" s="79">
        <v>0</v>
      </c>
      <c r="S1148" s="79">
        <v>0</v>
      </c>
      <c r="T1148" s="79">
        <v>0</v>
      </c>
      <c r="U1148" s="79">
        <v>0</v>
      </c>
      <c r="V1148" s="79">
        <v>0</v>
      </c>
      <c r="W1148" s="79">
        <v>0</v>
      </c>
      <c r="X1148" s="90">
        <v>0</v>
      </c>
    </row>
    <row r="1149" spans="1:24" hidden="1" x14ac:dyDescent="0.25">
      <c r="A1149" s="80" t="str">
        <v>PENDIENTE</v>
      </c>
      <c r="B1149" s="80" t="str">
        <v>Val y Fio Mz</v>
      </c>
      <c r="C1149" s="80" t="str">
        <v>O.C. - 1</v>
      </c>
      <c r="D1149" s="81">
        <v>46060</v>
      </c>
      <c r="E1149" s="79">
        <v>663</v>
      </c>
      <c r="F1149" s="81">
        <v>46070</v>
      </c>
      <c r="G1149" s="79" cm="1">
        <f t="array" ref="G1149:X1149">_xlfn._xlws.FILTER(Formulas!$C$2:$T$201, ISNUMBER(MATCH(Formulas!$B$2:$B$201, B1149, 0)),0) * E1149</f>
        <v>583</v>
      </c>
      <c r="H1149" s="79">
        <v>0</v>
      </c>
      <c r="I1149" s="79">
        <v>40</v>
      </c>
      <c r="J1149" s="79">
        <v>0</v>
      </c>
      <c r="K1149" s="79">
        <v>0</v>
      </c>
      <c r="L1149" s="79">
        <v>40</v>
      </c>
      <c r="M1149" s="79">
        <v>0</v>
      </c>
      <c r="N1149" s="79">
        <v>0</v>
      </c>
      <c r="O1149" s="79">
        <v>0</v>
      </c>
      <c r="P1149" s="79">
        <v>0</v>
      </c>
      <c r="Q1149" s="79">
        <v>0</v>
      </c>
      <c r="R1149" s="79">
        <v>0</v>
      </c>
      <c r="S1149" s="79">
        <v>0</v>
      </c>
      <c r="T1149" s="79">
        <v>0</v>
      </c>
      <c r="U1149" s="79">
        <v>0</v>
      </c>
      <c r="V1149" s="79">
        <v>0</v>
      </c>
      <c r="W1149" s="79">
        <v>0</v>
      </c>
      <c r="X1149" s="90">
        <v>0</v>
      </c>
    </row>
    <row r="1150" spans="1:24" hidden="1" x14ac:dyDescent="0.25">
      <c r="A1150" s="80" t="str">
        <v>PENDIENTE</v>
      </c>
      <c r="B1150" s="80" t="str">
        <v>Val y Fio Mz</v>
      </c>
      <c r="C1150" s="80" t="str">
        <v>O.C. - 4</v>
      </c>
      <c r="D1150" s="81">
        <v>46093</v>
      </c>
      <c r="E1150" s="79">
        <v>663</v>
      </c>
      <c r="F1150" s="81">
        <v>46092</v>
      </c>
      <c r="G1150" s="79" cm="1">
        <f t="array" ref="G1150:X1150">_xlfn._xlws.FILTER(Formulas!$C$2:$T$201, ISNUMBER(MATCH(Formulas!$B$2:$B$201, B1150, 0)),0) * E1150</f>
        <v>583</v>
      </c>
      <c r="H1150" s="79">
        <v>0</v>
      </c>
      <c r="I1150" s="79">
        <v>40</v>
      </c>
      <c r="J1150" s="79">
        <v>0</v>
      </c>
      <c r="K1150" s="79">
        <v>0</v>
      </c>
      <c r="L1150" s="79">
        <v>40</v>
      </c>
      <c r="M1150" s="79">
        <v>0</v>
      </c>
      <c r="N1150" s="79">
        <v>0</v>
      </c>
      <c r="O1150" s="79">
        <v>0</v>
      </c>
      <c r="P1150" s="79">
        <v>0</v>
      </c>
      <c r="Q1150" s="79">
        <v>0</v>
      </c>
      <c r="R1150" s="79">
        <v>0</v>
      </c>
      <c r="S1150" s="79">
        <v>0</v>
      </c>
      <c r="T1150" s="79">
        <v>0</v>
      </c>
      <c r="U1150" s="79">
        <v>0</v>
      </c>
      <c r="V1150" s="79">
        <v>0</v>
      </c>
      <c r="W1150" s="79">
        <v>0</v>
      </c>
      <c r="X1150" s="90">
        <v>0</v>
      </c>
    </row>
    <row r="1151" spans="1:24" hidden="1" x14ac:dyDescent="0.25">
      <c r="A1151" s="80" t="str">
        <v>PENDIENTE</v>
      </c>
      <c r="B1151" s="80" t="str">
        <v>Val y Fio Mz</v>
      </c>
      <c r="C1151" s="80" t="str">
        <v>O.C. - 12</v>
      </c>
      <c r="D1151" s="81">
        <v>46186</v>
      </c>
      <c r="E1151" s="79">
        <v>663</v>
      </c>
      <c r="F1151" s="81">
        <v>46190</v>
      </c>
      <c r="G1151" s="79" cm="1">
        <f t="array" ref="G1151:X1151">_xlfn._xlws.FILTER(Formulas!$C$2:$T$201, ISNUMBER(MATCH(Formulas!$B$2:$B$201, B1151, 0)),0) * E1151</f>
        <v>583</v>
      </c>
      <c r="H1151" s="79">
        <v>0</v>
      </c>
      <c r="I1151" s="79">
        <v>40</v>
      </c>
      <c r="J1151" s="79">
        <v>0</v>
      </c>
      <c r="K1151" s="79">
        <v>0</v>
      </c>
      <c r="L1151" s="79">
        <v>40</v>
      </c>
      <c r="M1151" s="79">
        <v>0</v>
      </c>
      <c r="N1151" s="79">
        <v>0</v>
      </c>
      <c r="O1151" s="79">
        <v>0</v>
      </c>
      <c r="P1151" s="79">
        <v>0</v>
      </c>
      <c r="Q1151" s="79">
        <v>0</v>
      </c>
      <c r="R1151" s="79">
        <v>0</v>
      </c>
      <c r="S1151" s="79">
        <v>0</v>
      </c>
      <c r="T1151" s="79">
        <v>0</v>
      </c>
      <c r="U1151" s="79">
        <v>0</v>
      </c>
      <c r="V1151" s="79">
        <v>0</v>
      </c>
      <c r="W1151" s="79">
        <v>0</v>
      </c>
      <c r="X1151" s="90">
        <v>0</v>
      </c>
    </row>
    <row r="1152" spans="1:24" hidden="1" x14ac:dyDescent="0.25">
      <c r="A1152" s="80" t="str">
        <v>PENDIENTE</v>
      </c>
      <c r="B1152" s="80" t="str">
        <v>Val y Fio Plt</v>
      </c>
      <c r="C1152" s="80" t="str">
        <v>O.C. - 2</v>
      </c>
      <c r="D1152" s="81">
        <v>46068</v>
      </c>
      <c r="E1152" s="79">
        <v>1892</v>
      </c>
      <c r="F1152" s="81">
        <v>46070</v>
      </c>
      <c r="G1152" s="79" cm="1">
        <f t="array" ref="G1152:X1152">_xlfn._xlws.FILTER(Formulas!$C$2:$T$201, ISNUMBER(MATCH(Formulas!$B$2:$B$201, B1152, 0)),0) * E1152</f>
        <v>888.4173913043478</v>
      </c>
      <c r="H1152" s="79">
        <v>888.4173913043478</v>
      </c>
      <c r="I1152" s="79">
        <v>115.16521739130435</v>
      </c>
      <c r="J1152" s="79">
        <v>0</v>
      </c>
      <c r="K1152" s="79">
        <v>0</v>
      </c>
      <c r="L1152" s="79">
        <v>0</v>
      </c>
      <c r="M1152" s="79">
        <v>0</v>
      </c>
      <c r="N1152" s="79">
        <v>0</v>
      </c>
      <c r="O1152" s="79">
        <v>0</v>
      </c>
      <c r="P1152" s="79">
        <v>0</v>
      </c>
      <c r="Q1152" s="79">
        <v>0</v>
      </c>
      <c r="R1152" s="79">
        <v>0</v>
      </c>
      <c r="S1152" s="79">
        <v>0</v>
      </c>
      <c r="T1152" s="79">
        <v>0</v>
      </c>
      <c r="U1152" s="79">
        <v>0</v>
      </c>
      <c r="V1152" s="79">
        <v>2.1387826086956525</v>
      </c>
      <c r="W1152" s="79">
        <v>0</v>
      </c>
      <c r="X1152" s="90">
        <v>0</v>
      </c>
    </row>
    <row r="1153" spans="1:24" hidden="1" x14ac:dyDescent="0.25">
      <c r="A1153" s="80" t="str">
        <v>PENDIENTE</v>
      </c>
      <c r="B1153" s="80" t="str">
        <v>Val y Fio Plt</v>
      </c>
      <c r="C1153" s="80" t="str">
        <v>O.C. - 4</v>
      </c>
      <c r="D1153" s="81">
        <v>46093</v>
      </c>
      <c r="E1153" s="79">
        <v>115</v>
      </c>
      <c r="F1153" s="81">
        <v>46125</v>
      </c>
      <c r="G1153" s="79" cm="1">
        <f t="array" ref="G1153:X1153">_xlfn._xlws.FILTER(Formulas!$C$2:$T$201, ISNUMBER(MATCH(Formulas!$B$2:$B$201, B1153, 0)),0) * E1153</f>
        <v>54</v>
      </c>
      <c r="H1153" s="79">
        <v>54</v>
      </c>
      <c r="I1153" s="79">
        <v>7</v>
      </c>
      <c r="J1153" s="79">
        <v>0</v>
      </c>
      <c r="K1153" s="79">
        <v>0</v>
      </c>
      <c r="L1153" s="79">
        <v>0</v>
      </c>
      <c r="M1153" s="79">
        <v>0</v>
      </c>
      <c r="N1153" s="79">
        <v>0</v>
      </c>
      <c r="O1153" s="79">
        <v>0</v>
      </c>
      <c r="P1153" s="79">
        <v>0</v>
      </c>
      <c r="Q1153" s="79">
        <v>0</v>
      </c>
      <c r="R1153" s="79">
        <v>0</v>
      </c>
      <c r="S1153" s="79">
        <v>0</v>
      </c>
      <c r="T1153" s="79">
        <v>0</v>
      </c>
      <c r="U1153" s="79">
        <v>0</v>
      </c>
      <c r="V1153" s="79">
        <v>0.13</v>
      </c>
      <c r="W1153" s="79">
        <v>0</v>
      </c>
      <c r="X1153" s="90">
        <v>0</v>
      </c>
    </row>
    <row r="1154" spans="1:24" hidden="1" x14ac:dyDescent="0.25">
      <c r="A1154" s="80" t="str">
        <v>PENDIENTE</v>
      </c>
      <c r="B1154" s="80" t="str">
        <v>Val y Fio Sy/Az</v>
      </c>
      <c r="C1154" s="80" t="str">
        <v>O.C. - 1</v>
      </c>
      <c r="D1154" s="81">
        <v>46060</v>
      </c>
      <c r="E1154" s="79">
        <v>244</v>
      </c>
      <c r="F1154" s="81">
        <v>46070</v>
      </c>
      <c r="G1154" s="79" cm="1">
        <f t="array" ref="G1154:X1154">_xlfn._xlws.FILTER(Formulas!$C$2:$T$201, ISNUMBER(MATCH(Formulas!$B$2:$B$201, B1154, 0)),0) * E1154</f>
        <v>36</v>
      </c>
      <c r="H1154" s="79">
        <v>95</v>
      </c>
      <c r="I1154" s="79">
        <v>10</v>
      </c>
      <c r="J1154" s="79">
        <v>10</v>
      </c>
      <c r="K1154" s="79">
        <v>0</v>
      </c>
      <c r="L1154" s="79">
        <v>0</v>
      </c>
      <c r="M1154" s="79">
        <v>0</v>
      </c>
      <c r="N1154" s="79">
        <v>0</v>
      </c>
      <c r="O1154" s="79">
        <v>93</v>
      </c>
      <c r="P1154" s="79">
        <v>0</v>
      </c>
      <c r="Q1154" s="79">
        <v>0</v>
      </c>
      <c r="R1154" s="79">
        <v>0</v>
      </c>
      <c r="S1154" s="79">
        <v>0</v>
      </c>
      <c r="T1154" s="79">
        <v>0</v>
      </c>
      <c r="U1154" s="79">
        <v>0</v>
      </c>
      <c r="V1154" s="79">
        <v>0</v>
      </c>
      <c r="W1154" s="79">
        <v>0</v>
      </c>
      <c r="X1154" s="90">
        <v>0</v>
      </c>
    </row>
    <row r="1155" spans="1:24" hidden="1" x14ac:dyDescent="0.25">
      <c r="A1155" s="80" t="str">
        <v>PENDIENTE</v>
      </c>
      <c r="B1155" s="80" t="str">
        <v>Val y Fio Sy/Az</v>
      </c>
      <c r="C1155" s="80" t="str">
        <v>O.C. - 4</v>
      </c>
      <c r="D1155" s="81">
        <v>46093</v>
      </c>
      <c r="E1155" s="79">
        <v>122</v>
      </c>
      <c r="F1155" s="81">
        <v>46092</v>
      </c>
      <c r="G1155" s="79" cm="1">
        <f t="array" ref="G1155:X1155">_xlfn._xlws.FILTER(Formulas!$C$2:$T$201, ISNUMBER(MATCH(Formulas!$B$2:$B$201, B1155, 0)),0) * E1155</f>
        <v>18</v>
      </c>
      <c r="H1155" s="79">
        <v>47.5</v>
      </c>
      <c r="I1155" s="79">
        <v>5</v>
      </c>
      <c r="J1155" s="79">
        <v>5</v>
      </c>
      <c r="K1155" s="79">
        <v>0</v>
      </c>
      <c r="L1155" s="79">
        <v>0</v>
      </c>
      <c r="M1155" s="79">
        <v>0</v>
      </c>
      <c r="N1155" s="79">
        <v>0</v>
      </c>
      <c r="O1155" s="79">
        <v>46.5</v>
      </c>
      <c r="P1155" s="79">
        <v>0</v>
      </c>
      <c r="Q1155" s="79">
        <v>0</v>
      </c>
      <c r="R1155" s="79">
        <v>0</v>
      </c>
      <c r="S1155" s="79">
        <v>0</v>
      </c>
      <c r="T1155" s="79">
        <v>0</v>
      </c>
      <c r="U1155" s="79">
        <v>0</v>
      </c>
      <c r="V1155" s="79">
        <v>0</v>
      </c>
      <c r="W1155" s="79">
        <v>0</v>
      </c>
      <c r="X1155" s="90">
        <v>0</v>
      </c>
    </row>
    <row r="1156" spans="1:24" hidden="1" x14ac:dyDescent="0.25">
      <c r="A1156" s="80" t="str">
        <v>PENDIENTE</v>
      </c>
      <c r="B1156" s="80" t="str">
        <v>Val y Fio Sy/Az</v>
      </c>
      <c r="C1156" s="80" t="str">
        <v>O.C. - 12</v>
      </c>
      <c r="D1156" s="81">
        <v>46186</v>
      </c>
      <c r="E1156" s="79">
        <v>183</v>
      </c>
      <c r="F1156" s="81">
        <v>46192</v>
      </c>
      <c r="G1156" s="79" cm="1">
        <f t="array" ref="G1156:X1156">_xlfn._xlws.FILTER(Formulas!$C$2:$T$201, ISNUMBER(MATCH(Formulas!$B$2:$B$201, B1156, 0)),0) * E1156</f>
        <v>27</v>
      </c>
      <c r="H1156" s="79">
        <v>71.25</v>
      </c>
      <c r="I1156" s="79">
        <v>7.4999999999999991</v>
      </c>
      <c r="J1156" s="79">
        <v>7.4999999999999991</v>
      </c>
      <c r="K1156" s="79">
        <v>0</v>
      </c>
      <c r="L1156" s="79">
        <v>0</v>
      </c>
      <c r="M1156" s="79">
        <v>0</v>
      </c>
      <c r="N1156" s="79">
        <v>0</v>
      </c>
      <c r="O1156" s="79">
        <v>69.75</v>
      </c>
      <c r="P1156" s="79">
        <v>0</v>
      </c>
      <c r="Q1156" s="79">
        <v>0</v>
      </c>
      <c r="R1156" s="79">
        <v>0</v>
      </c>
      <c r="S1156" s="79">
        <v>0</v>
      </c>
      <c r="T1156" s="79">
        <v>0</v>
      </c>
      <c r="U1156" s="79">
        <v>0</v>
      </c>
      <c r="V1156" s="79">
        <v>0</v>
      </c>
      <c r="W1156" s="79">
        <v>0</v>
      </c>
      <c r="X1156" s="90">
        <v>0</v>
      </c>
    </row>
    <row r="1157" spans="1:24" hidden="1" x14ac:dyDescent="0.25">
      <c r="A1157" s="80" t="str">
        <v>PENDIENTE</v>
      </c>
      <c r="B1157" s="80" t="str">
        <v>Val y Fio Sy/Mz</v>
      </c>
      <c r="C1157" s="80" t="str">
        <v>O.C. - 2</v>
      </c>
      <c r="D1157" s="81">
        <v>46068</v>
      </c>
      <c r="E1157" s="79">
        <v>336</v>
      </c>
      <c r="F1157" s="81">
        <v>46070</v>
      </c>
      <c r="G1157" s="79" cm="1">
        <f t="array" ref="G1157:X1157">_xlfn._xlws.FILTER(Formulas!$C$2:$T$201, ISNUMBER(MATCH(Formulas!$B$2:$B$201, B1157, 0)),0) * E1157</f>
        <v>67</v>
      </c>
      <c r="H1157" s="79">
        <v>230</v>
      </c>
      <c r="I1157" s="79">
        <v>13</v>
      </c>
      <c r="J1157" s="79">
        <v>13</v>
      </c>
      <c r="K1157" s="79">
        <v>0</v>
      </c>
      <c r="L1157" s="79">
        <v>13</v>
      </c>
      <c r="M1157" s="79">
        <v>0</v>
      </c>
      <c r="N1157" s="79">
        <v>0</v>
      </c>
      <c r="O1157" s="79">
        <v>0</v>
      </c>
      <c r="P1157" s="79">
        <v>0</v>
      </c>
      <c r="Q1157" s="79">
        <v>0</v>
      </c>
      <c r="R1157" s="79">
        <v>0</v>
      </c>
      <c r="S1157" s="79">
        <v>0</v>
      </c>
      <c r="T1157" s="79">
        <v>0</v>
      </c>
      <c r="U1157" s="79">
        <v>0</v>
      </c>
      <c r="V1157" s="79">
        <v>0</v>
      </c>
      <c r="W1157" s="79">
        <v>0</v>
      </c>
      <c r="X1157" s="90">
        <v>0</v>
      </c>
    </row>
    <row r="1158" spans="1:24" hidden="1" x14ac:dyDescent="0.25">
      <c r="A1158" s="80" t="str">
        <v>PENDIENTE</v>
      </c>
      <c r="B1158" s="80" t="str">
        <v>Vapa</v>
      </c>
      <c r="C1158" s="80" t="str">
        <v>O.C.</v>
      </c>
      <c r="D1158" s="81">
        <v>46022</v>
      </c>
      <c r="E1158" s="79">
        <v>20000</v>
      </c>
      <c r="F1158" s="81">
        <v>46030</v>
      </c>
      <c r="G1158" s="79" cm="1">
        <f t="array" ref="G1158:X1158">_xlfn._xlws.FILTER(Formulas!$C$2:$T$201, ISNUMBER(MATCH(Formulas!$B$2:$B$201, B1158, 0)),0) * E1158</f>
        <v>2340</v>
      </c>
      <c r="H1158" s="79">
        <v>6580</v>
      </c>
      <c r="I1158" s="79">
        <v>900</v>
      </c>
      <c r="J1158" s="79">
        <v>600</v>
      </c>
      <c r="K1158" s="79">
        <v>580</v>
      </c>
      <c r="L1158" s="79">
        <v>0</v>
      </c>
      <c r="M1158" s="79">
        <v>1000</v>
      </c>
      <c r="N1158" s="79">
        <v>0</v>
      </c>
      <c r="O1158" s="79">
        <v>8000</v>
      </c>
      <c r="P1158" s="79">
        <v>0</v>
      </c>
      <c r="Q1158" s="79">
        <v>0</v>
      </c>
      <c r="R1158" s="79">
        <v>0</v>
      </c>
      <c r="S1158" s="79">
        <v>0</v>
      </c>
      <c r="T1158" s="79">
        <v>0</v>
      </c>
      <c r="U1158" s="79">
        <v>0</v>
      </c>
      <c r="V1158" s="79">
        <v>0</v>
      </c>
      <c r="W1158" s="79">
        <v>0</v>
      </c>
      <c r="X1158" s="90">
        <v>0</v>
      </c>
    </row>
    <row r="1159" spans="1:24" hidden="1" x14ac:dyDescent="0.25">
      <c r="A1159" s="80" t="str">
        <v>PENDIENTE</v>
      </c>
      <c r="B1159" s="80" t="str">
        <v>Vapa</v>
      </c>
      <c r="C1159" s="80" t="str">
        <v>O.C.</v>
      </c>
      <c r="D1159" s="81">
        <v>46081</v>
      </c>
      <c r="E1159" s="79">
        <v>30000</v>
      </c>
      <c r="F1159" s="81">
        <v>46074</v>
      </c>
      <c r="G1159" s="79" cm="1">
        <f t="array" ref="G1159:X1159">_xlfn._xlws.FILTER(Formulas!$C$2:$T$201, ISNUMBER(MATCH(Formulas!$B$2:$B$201, B1159, 0)),0) * E1159</f>
        <v>3510</v>
      </c>
      <c r="H1159" s="79">
        <v>9870</v>
      </c>
      <c r="I1159" s="79">
        <v>1350</v>
      </c>
      <c r="J1159" s="79">
        <v>900.00000000000011</v>
      </c>
      <c r="K1159" s="79">
        <v>870</v>
      </c>
      <c r="L1159" s="79">
        <v>0</v>
      </c>
      <c r="M1159" s="79">
        <v>1500</v>
      </c>
      <c r="N1159" s="79">
        <v>0</v>
      </c>
      <c r="O1159" s="79">
        <v>12000</v>
      </c>
      <c r="P1159" s="79">
        <v>0</v>
      </c>
      <c r="Q1159" s="79">
        <v>0</v>
      </c>
      <c r="R1159" s="79">
        <v>0</v>
      </c>
      <c r="S1159" s="79">
        <v>0</v>
      </c>
      <c r="T1159" s="79">
        <v>0</v>
      </c>
      <c r="U1159" s="79">
        <v>0</v>
      </c>
      <c r="V1159" s="79">
        <v>0</v>
      </c>
      <c r="W1159" s="79">
        <v>0</v>
      </c>
      <c r="X1159" s="90">
        <v>0</v>
      </c>
    </row>
    <row r="1160" spans="1:24" hidden="1" x14ac:dyDescent="0.25">
      <c r="A1160" s="80" t="str">
        <v>PENDIENTE</v>
      </c>
      <c r="B1160" s="80" t="str">
        <v>Vapa</v>
      </c>
      <c r="C1160" s="80" t="str">
        <v>O.C.</v>
      </c>
      <c r="D1160" s="81">
        <v>46096</v>
      </c>
      <c r="E1160" s="79">
        <v>2450</v>
      </c>
      <c r="F1160" s="80">
        <v>46084</v>
      </c>
      <c r="G1160" s="79" cm="1">
        <f t="array" ref="G1160:X1160">_xlfn._xlws.FILTER(Formulas!$C$2:$T$201, ISNUMBER(MATCH(Formulas!$B$2:$B$201, B1160, 0)),0) * E1160</f>
        <v>286.65000000000003</v>
      </c>
      <c r="H1160" s="79">
        <v>806.05000000000007</v>
      </c>
      <c r="I1160" s="79">
        <v>110.25</v>
      </c>
      <c r="J1160" s="79">
        <v>73.5</v>
      </c>
      <c r="K1160" s="79">
        <v>71.05</v>
      </c>
      <c r="L1160" s="79">
        <v>0</v>
      </c>
      <c r="M1160" s="79">
        <v>122.5</v>
      </c>
      <c r="N1160" s="79">
        <v>0</v>
      </c>
      <c r="O1160" s="79">
        <v>980</v>
      </c>
      <c r="P1160" s="79">
        <v>0</v>
      </c>
      <c r="Q1160" s="79">
        <v>0</v>
      </c>
      <c r="R1160" s="79">
        <v>0</v>
      </c>
      <c r="S1160" s="79">
        <v>0</v>
      </c>
      <c r="T1160" s="79">
        <v>0</v>
      </c>
      <c r="U1160" s="79">
        <v>0</v>
      </c>
      <c r="V1160" s="79">
        <v>0</v>
      </c>
      <c r="W1160" s="79">
        <v>0</v>
      </c>
      <c r="X1160" s="90">
        <v>0</v>
      </c>
    </row>
    <row r="1161" spans="1:24" hidden="1" x14ac:dyDescent="0.25">
      <c r="A1161" s="80" t="str">
        <v>PENDIENTE</v>
      </c>
      <c r="B1161" s="80" t="str">
        <v>Vapa</v>
      </c>
      <c r="C1161" s="80" t="str">
        <v>O.C.</v>
      </c>
      <c r="D1161" s="81">
        <v>46112</v>
      </c>
      <c r="E1161" s="79">
        <v>30000</v>
      </c>
      <c r="F1161" s="81">
        <v>46111</v>
      </c>
      <c r="G1161" s="79" cm="1">
        <f t="array" ref="G1161:X1161">_xlfn._xlws.FILTER(Formulas!$C$2:$T$201, ISNUMBER(MATCH(Formulas!$B$2:$B$201, B1161, 0)),0) * E1161</f>
        <v>3510</v>
      </c>
      <c r="H1161" s="79">
        <v>9870</v>
      </c>
      <c r="I1161" s="79">
        <v>1350</v>
      </c>
      <c r="J1161" s="79">
        <v>900.00000000000011</v>
      </c>
      <c r="K1161" s="79">
        <v>870</v>
      </c>
      <c r="L1161" s="79">
        <v>0</v>
      </c>
      <c r="M1161" s="79">
        <v>1500</v>
      </c>
      <c r="N1161" s="79">
        <v>0</v>
      </c>
      <c r="O1161" s="79">
        <v>12000</v>
      </c>
      <c r="P1161" s="79">
        <v>0</v>
      </c>
      <c r="Q1161" s="79">
        <v>0</v>
      </c>
      <c r="R1161" s="79">
        <v>0</v>
      </c>
      <c r="S1161" s="79">
        <v>0</v>
      </c>
      <c r="T1161" s="79">
        <v>0</v>
      </c>
      <c r="U1161" s="79">
        <v>0</v>
      </c>
      <c r="V1161" s="79">
        <v>0</v>
      </c>
      <c r="W1161" s="79">
        <v>0</v>
      </c>
      <c r="X1161" s="90">
        <v>0</v>
      </c>
    </row>
    <row r="1162" spans="1:24" hidden="1" x14ac:dyDescent="0.25">
      <c r="A1162" s="80" t="str">
        <v>PENDIENTE</v>
      </c>
      <c r="B1162" s="80" t="str">
        <v>Vapa</v>
      </c>
      <c r="C1162" s="80" t="str">
        <v>O.C.</v>
      </c>
      <c r="D1162" s="81">
        <v>46132</v>
      </c>
      <c r="E1162" s="79">
        <v>30000</v>
      </c>
      <c r="F1162" s="81">
        <v>46139</v>
      </c>
      <c r="G1162" s="79" cm="1">
        <f t="array" ref="G1162:X1162">_xlfn._xlws.FILTER(Formulas!$C$2:$T$201, ISNUMBER(MATCH(Formulas!$B$2:$B$201, B1162, 0)),0) * E1162</f>
        <v>3510</v>
      </c>
      <c r="H1162" s="79">
        <v>9870</v>
      </c>
      <c r="I1162" s="79">
        <v>1350</v>
      </c>
      <c r="J1162" s="79">
        <v>900.00000000000011</v>
      </c>
      <c r="K1162" s="79">
        <v>870</v>
      </c>
      <c r="L1162" s="79">
        <v>0</v>
      </c>
      <c r="M1162" s="79">
        <v>1500</v>
      </c>
      <c r="N1162" s="79">
        <v>0</v>
      </c>
      <c r="O1162" s="79">
        <v>12000</v>
      </c>
      <c r="P1162" s="79">
        <v>0</v>
      </c>
      <c r="Q1162" s="79">
        <v>0</v>
      </c>
      <c r="R1162" s="79">
        <v>0</v>
      </c>
      <c r="S1162" s="79">
        <v>0</v>
      </c>
      <c r="T1162" s="79">
        <v>0</v>
      </c>
      <c r="U1162" s="79">
        <v>0</v>
      </c>
      <c r="V1162" s="79">
        <v>0</v>
      </c>
      <c r="W1162" s="79">
        <v>0</v>
      </c>
      <c r="X1162" s="90">
        <v>0</v>
      </c>
    </row>
    <row r="1163" spans="1:24" hidden="1" x14ac:dyDescent="0.25">
      <c r="A1163" s="80" t="str">
        <v>PENDIENTE</v>
      </c>
      <c r="B1163" s="80" t="str">
        <v>Vapa</v>
      </c>
      <c r="C1163" s="80" t="str">
        <v>O.C.</v>
      </c>
      <c r="D1163" s="81">
        <v>46173</v>
      </c>
      <c r="E1163" s="79">
        <v>30000</v>
      </c>
      <c r="F1163" s="81">
        <v>46182</v>
      </c>
      <c r="G1163" s="79" cm="1">
        <f t="array" ref="G1163:X1163">_xlfn._xlws.FILTER(Formulas!$C$2:$T$201, ISNUMBER(MATCH(Formulas!$B$2:$B$201, B1163, 0)),0) * E1163</f>
        <v>3510</v>
      </c>
      <c r="H1163" s="79">
        <v>9870</v>
      </c>
      <c r="I1163" s="79">
        <v>1350</v>
      </c>
      <c r="J1163" s="79">
        <v>900.00000000000011</v>
      </c>
      <c r="K1163" s="79">
        <v>870</v>
      </c>
      <c r="L1163" s="79">
        <v>0</v>
      </c>
      <c r="M1163" s="79">
        <v>1500</v>
      </c>
      <c r="N1163" s="79">
        <v>0</v>
      </c>
      <c r="O1163" s="79">
        <v>12000</v>
      </c>
      <c r="P1163" s="79">
        <v>0</v>
      </c>
      <c r="Q1163" s="79">
        <v>0</v>
      </c>
      <c r="R1163" s="79">
        <v>0</v>
      </c>
      <c r="S1163" s="79">
        <v>0</v>
      </c>
      <c r="T1163" s="79">
        <v>0</v>
      </c>
      <c r="U1163" s="79">
        <v>0</v>
      </c>
      <c r="V1163" s="79">
        <v>0</v>
      </c>
      <c r="W1163" s="79">
        <v>0</v>
      </c>
      <c r="X1163" s="90">
        <v>0</v>
      </c>
    </row>
    <row r="1164" spans="1:24" hidden="1" x14ac:dyDescent="0.25">
      <c r="A1164" s="80" t="str">
        <v>PENDIENTE</v>
      </c>
      <c r="B1164" s="80" t="str">
        <v>Vapa</v>
      </c>
      <c r="C1164" s="80" t="str">
        <v>O.C.</v>
      </c>
      <c r="D1164" s="81">
        <v>46223</v>
      </c>
      <c r="E1164" s="79">
        <v>30000</v>
      </c>
      <c r="F1164" s="81">
        <v>46224</v>
      </c>
      <c r="G1164" s="79" cm="1">
        <f t="array" ref="G1164:X1164">_xlfn._xlws.FILTER(Formulas!$C$2:$T$201, ISNUMBER(MATCH(Formulas!$B$2:$B$201, B1164, 0)),0) * E1164</f>
        <v>3510</v>
      </c>
      <c r="H1164" s="79">
        <v>9870</v>
      </c>
      <c r="I1164" s="79">
        <v>1350</v>
      </c>
      <c r="J1164" s="79">
        <v>900.00000000000011</v>
      </c>
      <c r="K1164" s="79">
        <v>870</v>
      </c>
      <c r="L1164" s="79">
        <v>0</v>
      </c>
      <c r="M1164" s="79">
        <v>1500</v>
      </c>
      <c r="N1164" s="79">
        <v>0</v>
      </c>
      <c r="O1164" s="79">
        <v>12000</v>
      </c>
      <c r="P1164" s="79">
        <v>0</v>
      </c>
      <c r="Q1164" s="79">
        <v>0</v>
      </c>
      <c r="R1164" s="79">
        <v>0</v>
      </c>
      <c r="S1164" s="79">
        <v>0</v>
      </c>
      <c r="T1164" s="79">
        <v>0</v>
      </c>
      <c r="U1164" s="79">
        <v>0</v>
      </c>
      <c r="V1164" s="79">
        <v>0</v>
      </c>
      <c r="W1164" s="79">
        <v>0</v>
      </c>
      <c r="X1164" s="90">
        <v>0</v>
      </c>
    </row>
    <row r="1165" spans="1:24" hidden="1" x14ac:dyDescent="0.25">
      <c r="A1165" s="80" t="str">
        <v>PENDIENTE</v>
      </c>
      <c r="B1165" s="80" t="str">
        <v>Vapa</v>
      </c>
      <c r="C1165" s="80" t="str">
        <v>O.C.</v>
      </c>
      <c r="D1165" s="81">
        <v>46254</v>
      </c>
      <c r="E1165" s="79">
        <v>30000</v>
      </c>
      <c r="F1165" s="81">
        <v>46255</v>
      </c>
      <c r="G1165" s="79" cm="1">
        <f t="array" ref="G1165:X1165">_xlfn._xlws.FILTER(Formulas!$C$2:$T$201, ISNUMBER(MATCH(Formulas!$B$2:$B$201, B1165, 0)),0) * E1165</f>
        <v>3510</v>
      </c>
      <c r="H1165" s="79">
        <v>9870</v>
      </c>
      <c r="I1165" s="79">
        <v>1350</v>
      </c>
      <c r="J1165" s="79">
        <v>900.00000000000011</v>
      </c>
      <c r="K1165" s="79">
        <v>870</v>
      </c>
      <c r="L1165" s="79">
        <v>0</v>
      </c>
      <c r="M1165" s="79">
        <v>1500</v>
      </c>
      <c r="N1165" s="79">
        <v>0</v>
      </c>
      <c r="O1165" s="79">
        <v>12000</v>
      </c>
      <c r="P1165" s="79">
        <v>0</v>
      </c>
      <c r="Q1165" s="79">
        <v>0</v>
      </c>
      <c r="R1165" s="79">
        <v>0</v>
      </c>
      <c r="S1165" s="79">
        <v>0</v>
      </c>
      <c r="T1165" s="79">
        <v>0</v>
      </c>
      <c r="U1165" s="79">
        <v>0</v>
      </c>
      <c r="V1165" s="79">
        <v>0</v>
      </c>
      <c r="W1165" s="79">
        <v>0</v>
      </c>
      <c r="X1165" s="90">
        <v>0</v>
      </c>
    </row>
    <row r="1166" spans="1:24" hidden="1" x14ac:dyDescent="0.25">
      <c r="A1166" s="80" t="str">
        <v>PENDIENTE</v>
      </c>
      <c r="B1166" s="80" t="str">
        <v>Vapa</v>
      </c>
      <c r="C1166" s="80" t="str">
        <v>O.C.</v>
      </c>
      <c r="D1166" s="81">
        <v>46282</v>
      </c>
      <c r="E1166" s="79">
        <v>30000</v>
      </c>
      <c r="F1166" s="81">
        <v>46289</v>
      </c>
      <c r="G1166" s="79" cm="1">
        <f t="array" ref="G1166:X1166">_xlfn._xlws.FILTER(Formulas!$C$2:$T$201, ISNUMBER(MATCH(Formulas!$B$2:$B$201, B1166, 0)),0) * E1166</f>
        <v>3510</v>
      </c>
      <c r="H1166" s="79">
        <v>9870</v>
      </c>
      <c r="I1166" s="79">
        <v>1350</v>
      </c>
      <c r="J1166" s="79">
        <v>900.00000000000011</v>
      </c>
      <c r="K1166" s="79">
        <v>870</v>
      </c>
      <c r="L1166" s="79">
        <v>0</v>
      </c>
      <c r="M1166" s="79">
        <v>1500</v>
      </c>
      <c r="N1166" s="79">
        <v>0</v>
      </c>
      <c r="O1166" s="79">
        <v>12000</v>
      </c>
      <c r="P1166" s="79">
        <v>0</v>
      </c>
      <c r="Q1166" s="79">
        <v>0</v>
      </c>
      <c r="R1166" s="79">
        <v>0</v>
      </c>
      <c r="S1166" s="79">
        <v>0</v>
      </c>
      <c r="T1166" s="79">
        <v>0</v>
      </c>
      <c r="U1166" s="79">
        <v>0</v>
      </c>
      <c r="V1166" s="79">
        <v>0</v>
      </c>
      <c r="W1166" s="79">
        <v>0</v>
      </c>
      <c r="X1166" s="90">
        <v>0</v>
      </c>
    </row>
    <row r="1167" spans="1:24" hidden="1" x14ac:dyDescent="0.25">
      <c r="A1167" s="80" t="str">
        <v>PENDIENTE</v>
      </c>
      <c r="B1167" s="80" t="str">
        <v>Vapa 2</v>
      </c>
      <c r="C1167" s="80" t="str">
        <v>O.C.</v>
      </c>
      <c r="D1167" s="81">
        <v>46081</v>
      </c>
      <c r="E1167" s="79">
        <v>15000</v>
      </c>
      <c r="F1167" s="81">
        <v>46079</v>
      </c>
      <c r="G1167" s="79" cm="1">
        <f t="array" ref="G1167:X1167">_xlfn._xlws.FILTER(Formulas!$C$2:$T$201, ISNUMBER(MATCH(Formulas!$B$2:$B$201, B1167, 0)),0) * E1167</f>
        <v>1950</v>
      </c>
      <c r="H1167" s="79">
        <v>3000</v>
      </c>
      <c r="I1167" s="79">
        <v>1050</v>
      </c>
      <c r="J1167" s="79">
        <v>0</v>
      </c>
      <c r="K1167" s="79">
        <v>0</v>
      </c>
      <c r="L1167" s="79">
        <v>0</v>
      </c>
      <c r="M1167" s="79">
        <v>750</v>
      </c>
      <c r="N1167" s="79">
        <v>0</v>
      </c>
      <c r="O1167" s="79">
        <v>6735</v>
      </c>
      <c r="P1167" s="79">
        <v>0</v>
      </c>
      <c r="Q1167" s="79">
        <v>0</v>
      </c>
      <c r="R1167" s="79">
        <v>0</v>
      </c>
      <c r="S1167" s="79">
        <v>0</v>
      </c>
      <c r="T1167" s="79">
        <v>0</v>
      </c>
      <c r="U1167" s="79">
        <v>0</v>
      </c>
      <c r="V1167" s="79">
        <v>0</v>
      </c>
      <c r="W1167" s="79">
        <v>0</v>
      </c>
      <c r="X1167" s="90">
        <v>0</v>
      </c>
    </row>
    <row r="1168" spans="1:24" hidden="1" x14ac:dyDescent="0.25">
      <c r="A1168" s="80" t="str">
        <v>PENDIENTE</v>
      </c>
      <c r="B1168" s="80" t="str">
        <v>Vapa 2</v>
      </c>
      <c r="C1168" s="80" t="str">
        <v>O.C.</v>
      </c>
      <c r="D1168" s="81">
        <v>46096</v>
      </c>
      <c r="E1168" s="79">
        <v>2250</v>
      </c>
      <c r="F1168" s="81">
        <v>46084</v>
      </c>
      <c r="G1168" s="79" cm="1">
        <f t="array" ref="G1168:X1168">_xlfn._xlws.FILTER(Formulas!$C$2:$T$201, ISNUMBER(MATCH(Formulas!$B$2:$B$201, B1168, 0)),0) * E1168</f>
        <v>292.5</v>
      </c>
      <c r="H1168" s="79">
        <v>450</v>
      </c>
      <c r="I1168" s="79">
        <v>157.50000000000003</v>
      </c>
      <c r="J1168" s="79">
        <v>0</v>
      </c>
      <c r="K1168" s="79">
        <v>0</v>
      </c>
      <c r="L1168" s="79">
        <v>0</v>
      </c>
      <c r="M1168" s="79">
        <v>112.5</v>
      </c>
      <c r="N1168" s="79">
        <v>0</v>
      </c>
      <c r="O1168" s="79">
        <v>1010.25</v>
      </c>
      <c r="P1168" s="79">
        <v>0</v>
      </c>
      <c r="Q1168" s="79">
        <v>0</v>
      </c>
      <c r="R1168" s="79">
        <v>0</v>
      </c>
      <c r="S1168" s="79">
        <v>0</v>
      </c>
      <c r="T1168" s="79">
        <v>0</v>
      </c>
      <c r="U1168" s="79">
        <v>0</v>
      </c>
      <c r="V1168" s="79">
        <v>0</v>
      </c>
      <c r="W1168" s="79">
        <v>0</v>
      </c>
      <c r="X1168" s="90">
        <v>0</v>
      </c>
    </row>
    <row r="1169" spans="1:24" hidden="1" x14ac:dyDescent="0.25">
      <c r="A1169" s="80" t="str">
        <v>PENDIENTE</v>
      </c>
      <c r="B1169" s="80" t="str">
        <v>Vapa 3</v>
      </c>
      <c r="C1169" s="80" t="str">
        <v>O.C.</v>
      </c>
      <c r="D1169" s="81">
        <v>46081</v>
      </c>
      <c r="E1169" s="79">
        <v>5000</v>
      </c>
      <c r="F1169" s="81">
        <v>46080</v>
      </c>
      <c r="G1169" s="79" cm="1">
        <f t="array" ref="G1169:X1169">_xlfn._xlws.FILTER(Formulas!$C$2:$T$201, ISNUMBER(MATCH(Formulas!$B$2:$B$201, B1169, 0)),0) * E1169</f>
        <v>1000</v>
      </c>
      <c r="H1169" s="79">
        <v>1900</v>
      </c>
      <c r="I1169" s="79">
        <v>350.00000000000006</v>
      </c>
      <c r="J1169" s="79">
        <v>0</v>
      </c>
      <c r="K1169" s="79">
        <v>0</v>
      </c>
      <c r="L1169" s="79">
        <v>0</v>
      </c>
      <c r="M1169" s="79">
        <v>250</v>
      </c>
      <c r="N1169" s="79">
        <v>0</v>
      </c>
      <c r="O1169" s="79">
        <v>1000</v>
      </c>
      <c r="P1169" s="79">
        <v>0</v>
      </c>
      <c r="Q1169" s="79">
        <v>0</v>
      </c>
      <c r="R1169" s="79">
        <v>0</v>
      </c>
      <c r="S1169" s="79">
        <v>0</v>
      </c>
      <c r="T1169" s="79">
        <v>0</v>
      </c>
      <c r="U1169" s="79">
        <v>0</v>
      </c>
      <c r="V1169" s="79">
        <v>0</v>
      </c>
      <c r="W1169" s="79">
        <v>0</v>
      </c>
      <c r="X1169" s="90">
        <v>0</v>
      </c>
    </row>
    <row r="1170" spans="1:24" hidden="1" x14ac:dyDescent="0.25">
      <c r="A1170" s="80" t="str">
        <v>PENDIENTE</v>
      </c>
      <c r="B1170" s="80" t="str">
        <v>Vapa 3</v>
      </c>
      <c r="C1170" s="80" t="str">
        <v>O.C.</v>
      </c>
      <c r="D1170" s="81">
        <v>46096</v>
      </c>
      <c r="E1170" s="79">
        <v>2400</v>
      </c>
      <c r="F1170" s="81">
        <v>46084</v>
      </c>
      <c r="G1170" s="79" cm="1">
        <f t="array" ref="G1170:X1170">_xlfn._xlws.FILTER(Formulas!$C$2:$T$201, ISNUMBER(MATCH(Formulas!$B$2:$B$201, B1170, 0)),0) * E1170</f>
        <v>480</v>
      </c>
      <c r="H1170" s="79">
        <v>912</v>
      </c>
      <c r="I1170" s="79">
        <v>168.00000000000003</v>
      </c>
      <c r="J1170" s="79">
        <v>0</v>
      </c>
      <c r="K1170" s="79">
        <v>0</v>
      </c>
      <c r="L1170" s="79">
        <v>0</v>
      </c>
      <c r="M1170" s="79">
        <v>120</v>
      </c>
      <c r="N1170" s="79">
        <v>0</v>
      </c>
      <c r="O1170" s="79">
        <v>480</v>
      </c>
      <c r="P1170" s="79">
        <v>0</v>
      </c>
      <c r="Q1170" s="79">
        <v>0</v>
      </c>
      <c r="R1170" s="79">
        <v>0</v>
      </c>
      <c r="S1170" s="79">
        <v>0</v>
      </c>
      <c r="T1170" s="79">
        <v>0</v>
      </c>
      <c r="U1170" s="79">
        <v>0</v>
      </c>
      <c r="V1170" s="79">
        <v>0</v>
      </c>
      <c r="W1170" s="79">
        <v>0</v>
      </c>
      <c r="X1170" s="90">
        <v>0</v>
      </c>
    </row>
    <row r="1171" spans="1:24" hidden="1" x14ac:dyDescent="0.25">
      <c r="A1171" s="80" t="str">
        <v>PENDIENTE</v>
      </c>
      <c r="B1171" s="80" t="str">
        <v>Victor Larco</v>
      </c>
      <c r="C1171" s="80" t="str">
        <v>Enero</v>
      </c>
      <c r="D1171" s="81">
        <v>46023</v>
      </c>
      <c r="E1171" s="79">
        <v>2630</v>
      </c>
      <c r="F1171" s="81">
        <v>46043</v>
      </c>
      <c r="G1171" s="79" cm="1">
        <f t="array" ref="G1171:X1171">_xlfn._xlws.FILTER(Formulas!$C$2:$T$201, ISNUMBER(MATCH(Formulas!$B$2:$B$201, B1171, 0)),0) * E1171</f>
        <v>224.07599999999999</v>
      </c>
      <c r="H1171" s="79">
        <v>1196.124</v>
      </c>
      <c r="I1171" s="79">
        <v>130.97399999999999</v>
      </c>
      <c r="J1171" s="79">
        <v>0</v>
      </c>
      <c r="K1171" s="79">
        <v>0</v>
      </c>
      <c r="L1171" s="79">
        <v>0</v>
      </c>
      <c r="M1171" s="79">
        <v>158.06299999999999</v>
      </c>
      <c r="N1171" s="79">
        <v>0</v>
      </c>
      <c r="O1171" s="79">
        <v>921.02600000000007</v>
      </c>
      <c r="P1171" s="79">
        <v>0</v>
      </c>
      <c r="Q1171" s="79">
        <v>0</v>
      </c>
      <c r="R1171" s="79">
        <v>0</v>
      </c>
      <c r="S1171" s="79">
        <v>0</v>
      </c>
      <c r="T1171" s="79">
        <v>0</v>
      </c>
      <c r="U1171" s="79">
        <v>0</v>
      </c>
      <c r="V1171" s="79">
        <v>0</v>
      </c>
      <c r="W1171" s="79">
        <v>0</v>
      </c>
      <c r="X1171" s="90">
        <v>0</v>
      </c>
    </row>
    <row r="1172" spans="1:24" hidden="1" x14ac:dyDescent="0.25">
      <c r="A1172" s="80" t="str">
        <v>PENDIENTE</v>
      </c>
      <c r="B1172" s="80" t="str">
        <v>Victor Larco</v>
      </c>
      <c r="C1172" s="80" t="str">
        <v>Febrero</v>
      </c>
      <c r="D1172" s="81">
        <v>46050</v>
      </c>
      <c r="E1172" s="79">
        <v>2375</v>
      </c>
      <c r="F1172" s="81">
        <v>46047</v>
      </c>
      <c r="G1172" s="79" cm="1">
        <f t="array" ref="G1172:X1172">_xlfn._xlws.FILTER(Formulas!$C$2:$T$201, ISNUMBER(MATCH(Formulas!$B$2:$B$201, B1172, 0)),0) * E1172</f>
        <v>202.35</v>
      </c>
      <c r="H1172" s="79">
        <v>1080.1499999999999</v>
      </c>
      <c r="I1172" s="79">
        <v>118.27499999999999</v>
      </c>
      <c r="J1172" s="79">
        <v>0</v>
      </c>
      <c r="K1172" s="79">
        <v>0</v>
      </c>
      <c r="L1172" s="79">
        <v>0</v>
      </c>
      <c r="M1172" s="79">
        <v>142.73750000000001</v>
      </c>
      <c r="N1172" s="79">
        <v>0</v>
      </c>
      <c r="O1172" s="79">
        <v>831.72500000000002</v>
      </c>
      <c r="P1172" s="79">
        <v>0</v>
      </c>
      <c r="Q1172" s="79">
        <v>0</v>
      </c>
      <c r="R1172" s="79">
        <v>0</v>
      </c>
      <c r="S1172" s="79">
        <v>0</v>
      </c>
      <c r="T1172" s="79">
        <v>0</v>
      </c>
      <c r="U1172" s="79">
        <v>0</v>
      </c>
      <c r="V1172" s="79">
        <v>0</v>
      </c>
      <c r="W1172" s="79">
        <v>0</v>
      </c>
      <c r="X1172" s="90">
        <v>0</v>
      </c>
    </row>
    <row r="1173" spans="1:24" hidden="1" x14ac:dyDescent="0.25">
      <c r="A1173" s="80" t="str">
        <v>PENDIENTE</v>
      </c>
      <c r="B1173" s="80" t="str">
        <v>Victor Larco</v>
      </c>
      <c r="C1173" s="80" t="str">
        <v>Marzo</v>
      </c>
      <c r="D1173" s="81">
        <v>46078</v>
      </c>
      <c r="E1173" s="79">
        <v>2630</v>
      </c>
      <c r="F1173" s="81">
        <v>46077</v>
      </c>
      <c r="G1173" s="79" cm="1">
        <f t="array" ref="G1173:X1173">_xlfn._xlws.FILTER(Formulas!$C$2:$T$201, ISNUMBER(MATCH(Formulas!$B$2:$B$201, B1173, 0)),0) * E1173</f>
        <v>224.07599999999999</v>
      </c>
      <c r="H1173" s="79">
        <v>1196.124</v>
      </c>
      <c r="I1173" s="79">
        <v>130.97399999999999</v>
      </c>
      <c r="J1173" s="79">
        <v>0</v>
      </c>
      <c r="K1173" s="79">
        <v>0</v>
      </c>
      <c r="L1173" s="79">
        <v>0</v>
      </c>
      <c r="M1173" s="79">
        <v>158.06299999999999</v>
      </c>
      <c r="N1173" s="79">
        <v>0</v>
      </c>
      <c r="O1173" s="79">
        <v>921.02600000000007</v>
      </c>
      <c r="P1173" s="79">
        <v>0</v>
      </c>
      <c r="Q1173" s="79">
        <v>0</v>
      </c>
      <c r="R1173" s="79">
        <v>0</v>
      </c>
      <c r="S1173" s="79">
        <v>0</v>
      </c>
      <c r="T1173" s="79">
        <v>0</v>
      </c>
      <c r="U1173" s="79">
        <v>0</v>
      </c>
      <c r="V1173" s="79">
        <v>0</v>
      </c>
      <c r="W1173" s="79">
        <v>0</v>
      </c>
      <c r="X1173" s="90">
        <v>0</v>
      </c>
    </row>
    <row r="1174" spans="1:24" hidden="1" x14ac:dyDescent="0.25">
      <c r="A1174" s="80" t="str">
        <v>PENDIENTE</v>
      </c>
      <c r="B1174" s="80" t="str">
        <v>Victor Larco</v>
      </c>
      <c r="C1174" s="80" t="str">
        <v>Abril</v>
      </c>
      <c r="D1174" s="81">
        <v>46109</v>
      </c>
      <c r="E1174" s="79">
        <v>2545</v>
      </c>
      <c r="F1174" s="80">
        <v>46106</v>
      </c>
      <c r="G1174" s="79" cm="1">
        <f t="array" ref="G1174:X1174">_xlfn._xlws.FILTER(Formulas!$C$2:$T$201, ISNUMBER(MATCH(Formulas!$B$2:$B$201, B1174, 0)),0) * E1174</f>
        <v>216.834</v>
      </c>
      <c r="H1174" s="79">
        <v>1157.4659999999999</v>
      </c>
      <c r="I1174" s="79">
        <v>126.74099999999999</v>
      </c>
      <c r="J1174" s="79">
        <v>0</v>
      </c>
      <c r="K1174" s="79">
        <v>0</v>
      </c>
      <c r="L1174" s="79">
        <v>0</v>
      </c>
      <c r="M1174" s="79">
        <v>152.9545</v>
      </c>
      <c r="N1174" s="79">
        <v>0</v>
      </c>
      <c r="O1174" s="79">
        <v>891.25900000000001</v>
      </c>
      <c r="P1174" s="79">
        <v>0</v>
      </c>
      <c r="Q1174" s="79">
        <v>0</v>
      </c>
      <c r="R1174" s="79">
        <v>0</v>
      </c>
      <c r="S1174" s="79">
        <v>0</v>
      </c>
      <c r="T1174" s="79">
        <v>0</v>
      </c>
      <c r="U1174" s="79">
        <v>0</v>
      </c>
      <c r="V1174" s="79">
        <v>0</v>
      </c>
      <c r="W1174" s="79">
        <v>0</v>
      </c>
      <c r="X1174" s="90">
        <v>0</v>
      </c>
    </row>
    <row r="1175" spans="1:24" hidden="1" x14ac:dyDescent="0.25">
      <c r="A1175" s="80" t="str">
        <v>PENDIENTE</v>
      </c>
      <c r="B1175" s="80" t="str">
        <v>Victor Larco</v>
      </c>
      <c r="C1175" s="80" t="str">
        <v>Mayo</v>
      </c>
      <c r="D1175" s="81">
        <v>46139</v>
      </c>
      <c r="E1175" s="79">
        <v>2630</v>
      </c>
      <c r="F1175" s="80">
        <v>46139</v>
      </c>
      <c r="G1175" s="79" cm="1">
        <f t="array" ref="G1175:X1175">_xlfn._xlws.FILTER(Formulas!$C$2:$T$201, ISNUMBER(MATCH(Formulas!$B$2:$B$201, B1175, 0)),0) * E1175</f>
        <v>224.07599999999999</v>
      </c>
      <c r="H1175" s="79">
        <v>1196.124</v>
      </c>
      <c r="I1175" s="79">
        <v>130.97399999999999</v>
      </c>
      <c r="J1175" s="79">
        <v>0</v>
      </c>
      <c r="K1175" s="79">
        <v>0</v>
      </c>
      <c r="L1175" s="79">
        <v>0</v>
      </c>
      <c r="M1175" s="79">
        <v>158.06299999999999</v>
      </c>
      <c r="N1175" s="79">
        <v>0</v>
      </c>
      <c r="O1175" s="79">
        <v>921.02600000000007</v>
      </c>
      <c r="P1175" s="79">
        <v>0</v>
      </c>
      <c r="Q1175" s="79">
        <v>0</v>
      </c>
      <c r="R1175" s="79">
        <v>0</v>
      </c>
      <c r="S1175" s="79">
        <v>0</v>
      </c>
      <c r="T1175" s="79">
        <v>0</v>
      </c>
      <c r="U1175" s="79">
        <v>0</v>
      </c>
      <c r="V1175" s="79">
        <v>0</v>
      </c>
      <c r="W1175" s="79">
        <v>0</v>
      </c>
      <c r="X1175" s="90">
        <v>0</v>
      </c>
    </row>
    <row r="1176" spans="1:24" hidden="1" x14ac:dyDescent="0.25">
      <c r="A1176" s="80" t="str">
        <v>PENDIENTE</v>
      </c>
      <c r="B1176" s="80" t="str">
        <v>Victor Larco</v>
      </c>
      <c r="C1176" s="80" t="str">
        <v>Junio</v>
      </c>
      <c r="D1176" s="81">
        <v>46170</v>
      </c>
      <c r="E1176" s="79">
        <v>2545</v>
      </c>
      <c r="F1176" s="80">
        <v>46161</v>
      </c>
      <c r="G1176" s="79" cm="1">
        <f t="array" ref="G1176:X1176">_xlfn._xlws.FILTER(Formulas!$C$2:$T$201, ISNUMBER(MATCH(Formulas!$B$2:$B$201, B1176, 0)),0) * E1176</f>
        <v>216.834</v>
      </c>
      <c r="H1176" s="79">
        <v>1157.4659999999999</v>
      </c>
      <c r="I1176" s="79">
        <v>126.74099999999999</v>
      </c>
      <c r="J1176" s="79">
        <v>0</v>
      </c>
      <c r="K1176" s="79">
        <v>0</v>
      </c>
      <c r="L1176" s="79">
        <v>0</v>
      </c>
      <c r="M1176" s="79">
        <v>152.9545</v>
      </c>
      <c r="N1176" s="79">
        <v>0</v>
      </c>
      <c r="O1176" s="79">
        <v>891.25900000000001</v>
      </c>
      <c r="P1176" s="79">
        <v>0</v>
      </c>
      <c r="Q1176" s="79">
        <v>0</v>
      </c>
      <c r="R1176" s="79">
        <v>0</v>
      </c>
      <c r="S1176" s="79">
        <v>0</v>
      </c>
      <c r="T1176" s="79">
        <v>0</v>
      </c>
      <c r="U1176" s="79">
        <v>0</v>
      </c>
      <c r="V1176" s="79">
        <v>0</v>
      </c>
      <c r="W1176" s="79">
        <v>0</v>
      </c>
      <c r="X1176" s="90">
        <v>0</v>
      </c>
    </row>
    <row r="1177" spans="1:24" hidden="1" x14ac:dyDescent="0.25">
      <c r="A1177" s="80" t="str">
        <v>PENDIENTE</v>
      </c>
      <c r="B1177" s="80" t="str">
        <v>Victor Larco</v>
      </c>
      <c r="C1177" s="80" t="str">
        <v>Julio</v>
      </c>
      <c r="D1177" s="81">
        <v>46200</v>
      </c>
      <c r="E1177" s="79">
        <v>2630</v>
      </c>
      <c r="F1177" s="81">
        <v>46198</v>
      </c>
      <c r="G1177" s="79" cm="1">
        <f t="array" ref="G1177:X1177">_xlfn._xlws.FILTER(Formulas!$C$2:$T$201, ISNUMBER(MATCH(Formulas!$B$2:$B$201, B1177, 0)),0) * E1177</f>
        <v>224.07599999999999</v>
      </c>
      <c r="H1177" s="79">
        <v>1196.124</v>
      </c>
      <c r="I1177" s="79">
        <v>130.97399999999999</v>
      </c>
      <c r="J1177" s="79">
        <v>0</v>
      </c>
      <c r="K1177" s="79">
        <v>0</v>
      </c>
      <c r="L1177" s="79">
        <v>0</v>
      </c>
      <c r="M1177" s="79">
        <v>158.06299999999999</v>
      </c>
      <c r="N1177" s="79">
        <v>0</v>
      </c>
      <c r="O1177" s="79">
        <v>921.02600000000007</v>
      </c>
      <c r="P1177" s="79">
        <v>0</v>
      </c>
      <c r="Q1177" s="79">
        <v>0</v>
      </c>
      <c r="R1177" s="79">
        <v>0</v>
      </c>
      <c r="S1177" s="79">
        <v>0</v>
      </c>
      <c r="T1177" s="79">
        <v>0</v>
      </c>
      <c r="U1177" s="79">
        <v>0</v>
      </c>
      <c r="V1177" s="79">
        <v>0</v>
      </c>
      <c r="W1177" s="79">
        <v>0</v>
      </c>
      <c r="X1177" s="90">
        <v>0</v>
      </c>
    </row>
    <row r="1178" spans="1:24" hidden="1" x14ac:dyDescent="0.25">
      <c r="A1178" s="80" t="str">
        <v>PENDIENTE</v>
      </c>
      <c r="B1178" s="80" t="str">
        <v>Victor Larco</v>
      </c>
      <c r="C1178" s="80" t="str">
        <v>Agosto</v>
      </c>
      <c r="D1178" s="81">
        <v>46231</v>
      </c>
      <c r="E1178" s="79">
        <v>2630</v>
      </c>
      <c r="F1178" s="81">
        <v>46225</v>
      </c>
      <c r="G1178" s="79" cm="1">
        <f t="array" ref="G1178:X1178">_xlfn._xlws.FILTER(Formulas!$C$2:$T$201, ISNUMBER(MATCH(Formulas!$B$2:$B$201, B1178, 0)),0) * E1178</f>
        <v>224.07599999999999</v>
      </c>
      <c r="H1178" s="79">
        <v>1196.124</v>
      </c>
      <c r="I1178" s="79">
        <v>130.97399999999999</v>
      </c>
      <c r="J1178" s="79">
        <v>0</v>
      </c>
      <c r="K1178" s="79">
        <v>0</v>
      </c>
      <c r="L1178" s="79">
        <v>0</v>
      </c>
      <c r="M1178" s="79">
        <v>158.06299999999999</v>
      </c>
      <c r="N1178" s="79">
        <v>0</v>
      </c>
      <c r="O1178" s="79">
        <v>921.02600000000007</v>
      </c>
      <c r="P1178" s="79">
        <v>0</v>
      </c>
      <c r="Q1178" s="79">
        <v>0</v>
      </c>
      <c r="R1178" s="79">
        <v>0</v>
      </c>
      <c r="S1178" s="79">
        <v>0</v>
      </c>
      <c r="T1178" s="79">
        <v>0</v>
      </c>
      <c r="U1178" s="79">
        <v>0</v>
      </c>
      <c r="V1178" s="79">
        <v>0</v>
      </c>
      <c r="W1178" s="79">
        <v>0</v>
      </c>
      <c r="X1178" s="90">
        <v>0</v>
      </c>
    </row>
    <row r="1179" spans="1:24" hidden="1" x14ac:dyDescent="0.25">
      <c r="A1179" s="80" t="str">
        <v>PENDIENTE</v>
      </c>
      <c r="B1179" s="80" t="str">
        <v>Victor Larco</v>
      </c>
      <c r="C1179" s="80" t="str">
        <v>Setiembre</v>
      </c>
      <c r="D1179" s="81">
        <v>46262</v>
      </c>
      <c r="E1179" s="79">
        <v>2545</v>
      </c>
      <c r="F1179" s="81">
        <v>46260</v>
      </c>
      <c r="G1179" s="79" cm="1">
        <f t="array" ref="G1179:X1179">_xlfn._xlws.FILTER(Formulas!$C$2:$T$201, ISNUMBER(MATCH(Formulas!$B$2:$B$201, B1179, 0)),0) * E1179</f>
        <v>216.834</v>
      </c>
      <c r="H1179" s="79">
        <v>1157.4659999999999</v>
      </c>
      <c r="I1179" s="79">
        <v>126.74099999999999</v>
      </c>
      <c r="J1179" s="79">
        <v>0</v>
      </c>
      <c r="K1179" s="79">
        <v>0</v>
      </c>
      <c r="L1179" s="79">
        <v>0</v>
      </c>
      <c r="M1179" s="79">
        <v>152.9545</v>
      </c>
      <c r="N1179" s="79">
        <v>0</v>
      </c>
      <c r="O1179" s="79">
        <v>891.25900000000001</v>
      </c>
      <c r="P1179" s="79">
        <v>0</v>
      </c>
      <c r="Q1179" s="79">
        <v>0</v>
      </c>
      <c r="R1179" s="79">
        <v>0</v>
      </c>
      <c r="S1179" s="79">
        <v>0</v>
      </c>
      <c r="T1179" s="79">
        <v>0</v>
      </c>
      <c r="U1179" s="79">
        <v>0</v>
      </c>
      <c r="V1179" s="79">
        <v>0</v>
      </c>
      <c r="W1179" s="79">
        <v>0</v>
      </c>
      <c r="X1179" s="90">
        <v>0</v>
      </c>
    </row>
    <row r="1180" spans="1:24" hidden="1" x14ac:dyDescent="0.25">
      <c r="A1180" s="80" t="str">
        <v>PENDIENTE</v>
      </c>
      <c r="B1180" s="80" t="str">
        <v>Victor Larco</v>
      </c>
      <c r="C1180" s="80" t="str">
        <v>Octubre</v>
      </c>
      <c r="D1180" s="81">
        <v>46292</v>
      </c>
      <c r="E1180" s="79">
        <v>2630</v>
      </c>
      <c r="F1180" s="81">
        <v>46294</v>
      </c>
      <c r="G1180" s="79" cm="1">
        <f t="array" ref="G1180:X1180">_xlfn._xlws.FILTER(Formulas!$C$2:$T$201, ISNUMBER(MATCH(Formulas!$B$2:$B$201, B1180, 0)),0) * E1180</f>
        <v>224.07599999999999</v>
      </c>
      <c r="H1180" s="79">
        <v>1196.124</v>
      </c>
      <c r="I1180" s="79">
        <v>130.97399999999999</v>
      </c>
      <c r="J1180" s="79">
        <v>0</v>
      </c>
      <c r="K1180" s="79">
        <v>0</v>
      </c>
      <c r="L1180" s="79">
        <v>0</v>
      </c>
      <c r="M1180" s="79">
        <v>158.06299999999999</v>
      </c>
      <c r="N1180" s="79">
        <v>0</v>
      </c>
      <c r="O1180" s="79">
        <v>921.02600000000007</v>
      </c>
      <c r="P1180" s="79">
        <v>0</v>
      </c>
      <c r="Q1180" s="79">
        <v>0</v>
      </c>
      <c r="R1180" s="79">
        <v>0</v>
      </c>
      <c r="S1180" s="79">
        <v>0</v>
      </c>
      <c r="T1180" s="79">
        <v>0</v>
      </c>
      <c r="U1180" s="79">
        <v>0</v>
      </c>
      <c r="V1180" s="79">
        <v>0</v>
      </c>
      <c r="W1180" s="79">
        <v>0</v>
      </c>
      <c r="X1180" s="90">
        <v>0</v>
      </c>
    </row>
    <row r="1181" spans="1:24" hidden="1" x14ac:dyDescent="0.25">
      <c r="A1181" s="80" t="str">
        <v>PENDIENTE</v>
      </c>
      <c r="B1181" s="80" t="str">
        <v>Victor Larco</v>
      </c>
      <c r="C1181" s="80" t="str">
        <v>Noviembre</v>
      </c>
      <c r="D1181" s="81">
        <v>46323</v>
      </c>
      <c r="E1181" s="79">
        <v>2545</v>
      </c>
      <c r="F1181" s="81">
        <v>0</v>
      </c>
      <c r="G1181" s="79" cm="1">
        <f t="array" ref="G1181:X1181">_xlfn._xlws.FILTER(Formulas!$C$2:$T$201, ISNUMBER(MATCH(Formulas!$B$2:$B$201, B1181, 0)),0) * E1181</f>
        <v>216.834</v>
      </c>
      <c r="H1181" s="79">
        <v>1157.4659999999999</v>
      </c>
      <c r="I1181" s="79">
        <v>126.74099999999999</v>
      </c>
      <c r="J1181" s="79">
        <v>0</v>
      </c>
      <c r="K1181" s="79">
        <v>0</v>
      </c>
      <c r="L1181" s="79">
        <v>0</v>
      </c>
      <c r="M1181" s="79">
        <v>152.9545</v>
      </c>
      <c r="N1181" s="79">
        <v>0</v>
      </c>
      <c r="O1181" s="79">
        <v>891.25900000000001</v>
      </c>
      <c r="P1181" s="79">
        <v>0</v>
      </c>
      <c r="Q1181" s="79">
        <v>0</v>
      </c>
      <c r="R1181" s="79">
        <v>0</v>
      </c>
      <c r="S1181" s="79">
        <v>0</v>
      </c>
      <c r="T1181" s="79">
        <v>0</v>
      </c>
      <c r="U1181" s="79">
        <v>0</v>
      </c>
      <c r="V1181" s="79">
        <v>0</v>
      </c>
      <c r="W1181" s="79">
        <v>0</v>
      </c>
      <c r="X1181" s="90">
        <v>0</v>
      </c>
    </row>
    <row r="1182" spans="1:24" hidden="1" x14ac:dyDescent="0.25">
      <c r="A1182" s="80" t="str">
        <v>PENDIENTE</v>
      </c>
      <c r="B1182" s="80" t="str">
        <v>Victor Larco</v>
      </c>
      <c r="C1182" s="80" t="str">
        <v>Diciembre</v>
      </c>
      <c r="D1182" s="81">
        <v>46353</v>
      </c>
      <c r="E1182" s="79">
        <v>2630</v>
      </c>
      <c r="F1182" s="81">
        <v>0</v>
      </c>
      <c r="G1182" s="79" cm="1">
        <f t="array" ref="G1182:X1182">_xlfn._xlws.FILTER(Formulas!$C$2:$T$201, ISNUMBER(MATCH(Formulas!$B$2:$B$201, B1182, 0)),0) * E1182</f>
        <v>224.07599999999999</v>
      </c>
      <c r="H1182" s="79">
        <v>1196.124</v>
      </c>
      <c r="I1182" s="79">
        <v>130.97399999999999</v>
      </c>
      <c r="J1182" s="79">
        <v>0</v>
      </c>
      <c r="K1182" s="79">
        <v>0</v>
      </c>
      <c r="L1182" s="79">
        <v>0</v>
      </c>
      <c r="M1182" s="79">
        <v>158.06299999999999</v>
      </c>
      <c r="N1182" s="79">
        <v>0</v>
      </c>
      <c r="O1182" s="79">
        <v>921.02600000000007</v>
      </c>
      <c r="P1182" s="79">
        <v>0</v>
      </c>
      <c r="Q1182" s="79">
        <v>0</v>
      </c>
      <c r="R1182" s="79">
        <v>0</v>
      </c>
      <c r="S1182" s="79">
        <v>0</v>
      </c>
      <c r="T1182" s="79">
        <v>0</v>
      </c>
      <c r="U1182" s="79">
        <v>0</v>
      </c>
      <c r="V1182" s="79">
        <v>0</v>
      </c>
      <c r="W1182" s="79">
        <v>0</v>
      </c>
      <c r="X1182" s="90">
        <v>0</v>
      </c>
    </row>
    <row r="1183" spans="1:24" hidden="1" x14ac:dyDescent="0.25">
      <c r="A1183" s="80" t="str">
        <v>FACOIMPEC</v>
      </c>
      <c r="B1183" s="80" t="str">
        <v>Viru</v>
      </c>
      <c r="C1183" s="80" t="str">
        <v>Dicb25</v>
      </c>
      <c r="D1183" s="81">
        <v>46014</v>
      </c>
      <c r="E1183" s="79">
        <v>3040</v>
      </c>
      <c r="F1183" s="81">
        <v>46013</v>
      </c>
      <c r="G1183" s="79" cm="1">
        <f t="array" ref="G1183:X1183">_xlfn._xlws.FILTER(Formulas!$C$2:$T$201, ISNUMBER(MATCH(Formulas!$B$2:$B$201, B1183, 0)),0) * E1183</f>
        <v>608</v>
      </c>
      <c r="H1183" s="79">
        <v>2036.8000000000002</v>
      </c>
      <c r="I1183" s="79">
        <v>121.60000000000001</v>
      </c>
      <c r="J1183" s="79">
        <v>121.60000000000001</v>
      </c>
      <c r="K1183" s="79">
        <v>0</v>
      </c>
      <c r="L1183" s="79">
        <v>0</v>
      </c>
      <c r="M1183" s="79">
        <v>152</v>
      </c>
      <c r="N1183" s="79">
        <v>0</v>
      </c>
      <c r="O1183" s="79">
        <v>0</v>
      </c>
      <c r="P1183" s="79">
        <v>0</v>
      </c>
      <c r="Q1183" s="79">
        <v>0</v>
      </c>
      <c r="R1183" s="79">
        <v>0</v>
      </c>
      <c r="S1183" s="79">
        <v>0</v>
      </c>
      <c r="T1183" s="79">
        <v>0</v>
      </c>
      <c r="U1183" s="79">
        <v>0</v>
      </c>
      <c r="V1183" s="79">
        <v>0</v>
      </c>
      <c r="W1183" s="79">
        <v>0</v>
      </c>
      <c r="X1183" s="90">
        <v>0</v>
      </c>
    </row>
    <row r="1184" spans="1:24" hidden="1" x14ac:dyDescent="0.25">
      <c r="A1184" s="80" t="str">
        <v>PENDIENTE</v>
      </c>
      <c r="B1184" s="80" t="str">
        <v>Viru</v>
      </c>
      <c r="C1184" s="80" t="str">
        <v>Febrero</v>
      </c>
      <c r="D1184" s="81">
        <v>46048</v>
      </c>
      <c r="E1184" s="79">
        <v>2746</v>
      </c>
      <c r="F1184" s="81">
        <v>46048</v>
      </c>
      <c r="G1184" s="79" cm="1">
        <f t="array" ref="G1184:X1184">_xlfn._xlws.FILTER(Formulas!$C$2:$T$201, ISNUMBER(MATCH(Formulas!$B$2:$B$201, B1184, 0)),0) * E1184</f>
        <v>549.20000000000005</v>
      </c>
      <c r="H1184" s="79">
        <v>1839.8200000000002</v>
      </c>
      <c r="I1184" s="79">
        <v>109.84</v>
      </c>
      <c r="J1184" s="79">
        <v>109.84</v>
      </c>
      <c r="K1184" s="79">
        <v>0</v>
      </c>
      <c r="L1184" s="79">
        <v>0</v>
      </c>
      <c r="M1184" s="79">
        <v>137.30000000000001</v>
      </c>
      <c r="N1184" s="79">
        <v>0</v>
      </c>
      <c r="O1184" s="79">
        <v>0</v>
      </c>
      <c r="P1184" s="79">
        <v>0</v>
      </c>
      <c r="Q1184" s="79">
        <v>0</v>
      </c>
      <c r="R1184" s="79">
        <v>0</v>
      </c>
      <c r="S1184" s="79">
        <v>0</v>
      </c>
      <c r="T1184" s="79">
        <v>0</v>
      </c>
      <c r="U1184" s="79">
        <v>0</v>
      </c>
      <c r="V1184" s="79">
        <v>0</v>
      </c>
      <c r="W1184" s="79">
        <v>0</v>
      </c>
      <c r="X1184" s="90">
        <v>0</v>
      </c>
    </row>
    <row r="1185" spans="1:24" hidden="1" x14ac:dyDescent="0.25">
      <c r="A1185" s="80" t="str">
        <v>PENDIENTE</v>
      </c>
      <c r="B1185" s="80" t="str">
        <v>Viru</v>
      </c>
      <c r="C1185" s="80" t="str">
        <v>Marzo</v>
      </c>
      <c r="D1185" s="81">
        <v>46077</v>
      </c>
      <c r="E1185" s="79">
        <v>3040</v>
      </c>
      <c r="F1185" s="81">
        <v>46073</v>
      </c>
      <c r="G1185" s="79" cm="1">
        <f t="array" ref="G1185:X1185">_xlfn._xlws.FILTER(Formulas!$C$2:$T$201, ISNUMBER(MATCH(Formulas!$B$2:$B$201, B1185, 0)),0) * E1185</f>
        <v>608</v>
      </c>
      <c r="H1185" s="79">
        <v>2036.8000000000002</v>
      </c>
      <c r="I1185" s="79">
        <v>121.60000000000001</v>
      </c>
      <c r="J1185" s="79">
        <v>121.60000000000001</v>
      </c>
      <c r="K1185" s="79">
        <v>0</v>
      </c>
      <c r="L1185" s="79">
        <v>0</v>
      </c>
      <c r="M1185" s="79">
        <v>152</v>
      </c>
      <c r="N1185" s="79">
        <v>0</v>
      </c>
      <c r="O1185" s="79">
        <v>0</v>
      </c>
      <c r="P1185" s="79">
        <v>0</v>
      </c>
      <c r="Q1185" s="79">
        <v>0</v>
      </c>
      <c r="R1185" s="79">
        <v>0</v>
      </c>
      <c r="S1185" s="79">
        <v>0</v>
      </c>
      <c r="T1185" s="79">
        <v>0</v>
      </c>
      <c r="U1185" s="79">
        <v>0</v>
      </c>
      <c r="V1185" s="79">
        <v>0</v>
      </c>
      <c r="W1185" s="79">
        <v>0</v>
      </c>
      <c r="X1185" s="90">
        <v>0</v>
      </c>
    </row>
    <row r="1186" spans="1:24" hidden="1" x14ac:dyDescent="0.25">
      <c r="A1186" s="80" t="str">
        <v>PENDIENTE</v>
      </c>
      <c r="B1186" s="80" t="str">
        <v>Viru</v>
      </c>
      <c r="C1186" s="80" t="str">
        <v>Abril</v>
      </c>
      <c r="D1186" s="81">
        <v>46105</v>
      </c>
      <c r="E1186" s="79">
        <v>2942</v>
      </c>
      <c r="F1186" s="81">
        <v>46104</v>
      </c>
      <c r="G1186" s="79" cm="1">
        <f t="array" ref="G1186:X1186">_xlfn._xlws.FILTER(Formulas!$C$2:$T$201, ISNUMBER(MATCH(Formulas!$B$2:$B$201, B1186, 0)),0) * E1186</f>
        <v>588.4</v>
      </c>
      <c r="H1186" s="79">
        <v>1971.14</v>
      </c>
      <c r="I1186" s="79">
        <v>117.68</v>
      </c>
      <c r="J1186" s="79">
        <v>117.68</v>
      </c>
      <c r="K1186" s="79">
        <v>0</v>
      </c>
      <c r="L1186" s="79">
        <v>0</v>
      </c>
      <c r="M1186" s="79">
        <v>147.1</v>
      </c>
      <c r="N1186" s="79">
        <v>0</v>
      </c>
      <c r="O1186" s="79">
        <v>0</v>
      </c>
      <c r="P1186" s="79">
        <v>0</v>
      </c>
      <c r="Q1186" s="79">
        <v>0</v>
      </c>
      <c r="R1186" s="79">
        <v>0</v>
      </c>
      <c r="S1186" s="79">
        <v>0</v>
      </c>
      <c r="T1186" s="79">
        <v>0</v>
      </c>
      <c r="U1186" s="79">
        <v>0</v>
      </c>
      <c r="V1186" s="79">
        <v>0</v>
      </c>
      <c r="W1186" s="79">
        <v>0</v>
      </c>
      <c r="X1186" s="90">
        <v>0</v>
      </c>
    </row>
    <row r="1187" spans="1:24" hidden="1" x14ac:dyDescent="0.25">
      <c r="A1187" s="80" t="str">
        <v>PENDIENTE</v>
      </c>
      <c r="B1187" s="80" t="str">
        <v>Viru</v>
      </c>
      <c r="C1187" s="80" t="str">
        <v>Mayo</v>
      </c>
      <c r="D1187" s="81">
        <v>46136</v>
      </c>
      <c r="E1187" s="79">
        <v>3040</v>
      </c>
      <c r="F1187" s="80">
        <v>46135</v>
      </c>
      <c r="G1187" s="79" cm="1">
        <f t="array" ref="G1187:X1187">_xlfn._xlws.FILTER(Formulas!$C$2:$T$201, ISNUMBER(MATCH(Formulas!$B$2:$B$201, B1187, 0)),0) * E1187</f>
        <v>608</v>
      </c>
      <c r="H1187" s="79">
        <v>2036.8000000000002</v>
      </c>
      <c r="I1187" s="79">
        <v>121.60000000000001</v>
      </c>
      <c r="J1187" s="79">
        <v>121.60000000000001</v>
      </c>
      <c r="K1187" s="79">
        <v>0</v>
      </c>
      <c r="L1187" s="79">
        <v>0</v>
      </c>
      <c r="M1187" s="79">
        <v>152</v>
      </c>
      <c r="N1187" s="79">
        <v>0</v>
      </c>
      <c r="O1187" s="79">
        <v>0</v>
      </c>
      <c r="P1187" s="79">
        <v>0</v>
      </c>
      <c r="Q1187" s="79">
        <v>0</v>
      </c>
      <c r="R1187" s="79">
        <v>0</v>
      </c>
      <c r="S1187" s="79">
        <v>0</v>
      </c>
      <c r="T1187" s="79">
        <v>0</v>
      </c>
      <c r="U1187" s="79">
        <v>0</v>
      </c>
      <c r="V1187" s="79">
        <v>0</v>
      </c>
      <c r="W1187" s="79">
        <v>0</v>
      </c>
      <c r="X1187" s="90">
        <v>0</v>
      </c>
    </row>
    <row r="1188" spans="1:24" hidden="1" x14ac:dyDescent="0.25">
      <c r="A1188" s="80" t="str">
        <v>PENDIENTE</v>
      </c>
      <c r="B1188" s="80" t="str">
        <v>Viru</v>
      </c>
      <c r="C1188" s="80" t="str">
        <v>Junio</v>
      </c>
      <c r="D1188" s="81">
        <v>46168</v>
      </c>
      <c r="E1188" s="79">
        <v>2942</v>
      </c>
      <c r="F1188" s="80">
        <v>46153</v>
      </c>
      <c r="G1188" s="79" cm="1">
        <f t="array" ref="G1188:X1188">_xlfn._xlws.FILTER(Formulas!$C$2:$T$201, ISNUMBER(MATCH(Formulas!$B$2:$B$201, B1188, 0)),0) * E1188</f>
        <v>588.4</v>
      </c>
      <c r="H1188" s="79">
        <v>1971.14</v>
      </c>
      <c r="I1188" s="79">
        <v>117.68</v>
      </c>
      <c r="J1188" s="79">
        <v>117.68</v>
      </c>
      <c r="K1188" s="79">
        <v>0</v>
      </c>
      <c r="L1188" s="79">
        <v>0</v>
      </c>
      <c r="M1188" s="79">
        <v>147.1</v>
      </c>
      <c r="N1188" s="79">
        <v>0</v>
      </c>
      <c r="O1188" s="79">
        <v>0</v>
      </c>
      <c r="P1188" s="79">
        <v>0</v>
      </c>
      <c r="Q1188" s="79">
        <v>0</v>
      </c>
      <c r="R1188" s="79">
        <v>0</v>
      </c>
      <c r="S1188" s="79">
        <v>0</v>
      </c>
      <c r="T1188" s="79">
        <v>0</v>
      </c>
      <c r="U1188" s="79">
        <v>0</v>
      </c>
      <c r="V1188" s="79">
        <v>0</v>
      </c>
      <c r="W1188" s="79">
        <v>0</v>
      </c>
      <c r="X1188" s="90">
        <v>0</v>
      </c>
    </row>
    <row r="1189" spans="1:24" hidden="1" x14ac:dyDescent="0.25">
      <c r="A1189" s="80" t="str">
        <v>PENDIENTE</v>
      </c>
      <c r="B1189" s="80" t="str">
        <v>Viru</v>
      </c>
      <c r="C1189" s="80" t="str">
        <v>Julio</v>
      </c>
      <c r="D1189" s="81">
        <v>46198</v>
      </c>
      <c r="E1189" s="79">
        <v>3040</v>
      </c>
      <c r="F1189" s="80">
        <v>46195</v>
      </c>
      <c r="G1189" s="79" cm="1">
        <f t="array" ref="G1189:X1189">_xlfn._xlws.FILTER(Formulas!$C$2:$T$201, ISNUMBER(MATCH(Formulas!$B$2:$B$201, B1189, 0)),0) * E1189</f>
        <v>608</v>
      </c>
      <c r="H1189" s="79">
        <v>2036.8000000000002</v>
      </c>
      <c r="I1189" s="79">
        <v>121.60000000000001</v>
      </c>
      <c r="J1189" s="79">
        <v>121.60000000000001</v>
      </c>
      <c r="K1189" s="79">
        <v>0</v>
      </c>
      <c r="L1189" s="79">
        <v>0</v>
      </c>
      <c r="M1189" s="79">
        <v>152</v>
      </c>
      <c r="N1189" s="79">
        <v>0</v>
      </c>
      <c r="O1189" s="79">
        <v>0</v>
      </c>
      <c r="P1189" s="79">
        <v>0</v>
      </c>
      <c r="Q1189" s="79">
        <v>0</v>
      </c>
      <c r="R1189" s="79">
        <v>0</v>
      </c>
      <c r="S1189" s="79">
        <v>0</v>
      </c>
      <c r="T1189" s="79">
        <v>0</v>
      </c>
      <c r="U1189" s="79">
        <v>0</v>
      </c>
      <c r="V1189" s="79">
        <v>0</v>
      </c>
      <c r="W1189" s="79">
        <v>0</v>
      </c>
      <c r="X1189" s="90">
        <v>0</v>
      </c>
    </row>
    <row r="1190" spans="1:24" hidden="1" x14ac:dyDescent="0.25">
      <c r="A1190" s="80" t="str">
        <v>PENDIENTE</v>
      </c>
      <c r="B1190" s="80" t="str">
        <v>Viru</v>
      </c>
      <c r="C1190" s="80" t="str">
        <v>Agosto</v>
      </c>
      <c r="D1190" s="81">
        <v>46230</v>
      </c>
      <c r="E1190" s="79">
        <v>3040</v>
      </c>
      <c r="F1190" s="80">
        <v>46224</v>
      </c>
      <c r="G1190" s="79" cm="1">
        <f t="array" ref="G1190:X1190">_xlfn._xlws.FILTER(Formulas!$C$2:$T$201, ISNUMBER(MATCH(Formulas!$B$2:$B$201, B1190, 0)),0) * E1190</f>
        <v>608</v>
      </c>
      <c r="H1190" s="79">
        <v>2036.8000000000002</v>
      </c>
      <c r="I1190" s="79">
        <v>121.60000000000001</v>
      </c>
      <c r="J1190" s="79">
        <v>121.60000000000001</v>
      </c>
      <c r="K1190" s="79">
        <v>0</v>
      </c>
      <c r="L1190" s="79">
        <v>0</v>
      </c>
      <c r="M1190" s="79">
        <v>152</v>
      </c>
      <c r="N1190" s="79">
        <v>0</v>
      </c>
      <c r="O1190" s="79">
        <v>0</v>
      </c>
      <c r="P1190" s="79">
        <v>0</v>
      </c>
      <c r="Q1190" s="79">
        <v>0</v>
      </c>
      <c r="R1190" s="79">
        <v>0</v>
      </c>
      <c r="S1190" s="79">
        <v>0</v>
      </c>
      <c r="T1190" s="79">
        <v>0</v>
      </c>
      <c r="U1190" s="79">
        <v>0</v>
      </c>
      <c r="V1190" s="79">
        <v>0</v>
      </c>
      <c r="W1190" s="79">
        <v>0</v>
      </c>
      <c r="X1190" s="90">
        <v>0</v>
      </c>
    </row>
    <row r="1191" spans="1:24" hidden="1" x14ac:dyDescent="0.25">
      <c r="A1191" s="80" t="str">
        <v>PENDIENTE</v>
      </c>
      <c r="B1191" s="80" t="str">
        <v>Viru</v>
      </c>
      <c r="C1191" s="80" t="str">
        <v>Setiembre</v>
      </c>
      <c r="D1191" s="81">
        <v>46260</v>
      </c>
      <c r="E1191" s="79">
        <v>2942</v>
      </c>
      <c r="F1191" s="81">
        <v>46249</v>
      </c>
      <c r="G1191" s="79" cm="1">
        <f t="array" ref="G1191:X1191">_xlfn._xlws.FILTER(Formulas!$C$2:$T$201, ISNUMBER(MATCH(Formulas!$B$2:$B$201, B1191, 0)),0) * E1191</f>
        <v>588.4</v>
      </c>
      <c r="H1191" s="79">
        <v>1971.14</v>
      </c>
      <c r="I1191" s="79">
        <v>117.68</v>
      </c>
      <c r="J1191" s="79">
        <v>117.68</v>
      </c>
      <c r="K1191" s="79">
        <v>0</v>
      </c>
      <c r="L1191" s="79">
        <v>0</v>
      </c>
      <c r="M1191" s="79">
        <v>147.1</v>
      </c>
      <c r="N1191" s="79">
        <v>0</v>
      </c>
      <c r="O1191" s="79">
        <v>0</v>
      </c>
      <c r="P1191" s="79">
        <v>0</v>
      </c>
      <c r="Q1191" s="79">
        <v>0</v>
      </c>
      <c r="R1191" s="79">
        <v>0</v>
      </c>
      <c r="S1191" s="79">
        <v>0</v>
      </c>
      <c r="T1191" s="79">
        <v>0</v>
      </c>
      <c r="U1191" s="79">
        <v>0</v>
      </c>
      <c r="V1191" s="79">
        <v>0</v>
      </c>
      <c r="W1191" s="79">
        <v>0</v>
      </c>
      <c r="X1191" s="90">
        <v>0</v>
      </c>
    </row>
    <row r="1192" spans="1:24" hidden="1" x14ac:dyDescent="0.25">
      <c r="A1192" s="80" t="str">
        <v>PENDIENTE</v>
      </c>
      <c r="B1192" s="80" t="str">
        <v>Viru</v>
      </c>
      <c r="C1192" s="80" t="str">
        <v>O.C.</v>
      </c>
      <c r="D1192" s="81">
        <v>46265</v>
      </c>
      <c r="E1192" s="79">
        <v>13509</v>
      </c>
      <c r="F1192" s="81">
        <v>46258</v>
      </c>
      <c r="G1192" s="79" cm="1">
        <f t="array" ref="G1192:X1192">_xlfn._xlws.FILTER(Formulas!$C$2:$T$201, ISNUMBER(MATCH(Formulas!$B$2:$B$201, B1192, 0)),0) * E1192</f>
        <v>2701.8</v>
      </c>
      <c r="H1192" s="79">
        <v>9051.0300000000007</v>
      </c>
      <c r="I1192" s="79">
        <v>540.36</v>
      </c>
      <c r="J1192" s="79">
        <v>540.36</v>
      </c>
      <c r="K1192" s="79">
        <v>0</v>
      </c>
      <c r="L1192" s="79">
        <v>0</v>
      </c>
      <c r="M1192" s="79">
        <v>675.45</v>
      </c>
      <c r="N1192" s="79">
        <v>0</v>
      </c>
      <c r="O1192" s="79">
        <v>0</v>
      </c>
      <c r="P1192" s="79">
        <v>0</v>
      </c>
      <c r="Q1192" s="79">
        <v>0</v>
      </c>
      <c r="R1192" s="79">
        <v>0</v>
      </c>
      <c r="S1192" s="79">
        <v>0</v>
      </c>
      <c r="T1192" s="79">
        <v>0</v>
      </c>
      <c r="U1192" s="79">
        <v>0</v>
      </c>
      <c r="V1192" s="79">
        <v>0</v>
      </c>
      <c r="W1192" s="79">
        <v>0</v>
      </c>
      <c r="X1192" s="90">
        <v>0</v>
      </c>
    </row>
    <row r="1193" spans="1:24" hidden="1" x14ac:dyDescent="0.25">
      <c r="A1193" s="80" t="str">
        <v>PENDIENTE</v>
      </c>
      <c r="B1193" s="80" t="str">
        <v>Viru</v>
      </c>
      <c r="C1193" s="80" t="str">
        <v>Octubre</v>
      </c>
      <c r="D1193" s="81">
        <v>46290</v>
      </c>
      <c r="E1193" s="79">
        <v>3040</v>
      </c>
      <c r="F1193" s="81">
        <v>46288</v>
      </c>
      <c r="G1193" s="79" cm="1">
        <f t="array" ref="G1193:X1193">_xlfn._xlws.FILTER(Formulas!$C$2:$T$201, ISNUMBER(MATCH(Formulas!$B$2:$B$201, B1193, 0)),0) * E1193</f>
        <v>608</v>
      </c>
      <c r="H1193" s="79">
        <v>2036.8000000000002</v>
      </c>
      <c r="I1193" s="79">
        <v>121.60000000000001</v>
      </c>
      <c r="J1193" s="79">
        <v>121.60000000000001</v>
      </c>
      <c r="K1193" s="79">
        <v>0</v>
      </c>
      <c r="L1193" s="79">
        <v>0</v>
      </c>
      <c r="M1193" s="79">
        <v>152</v>
      </c>
      <c r="N1193" s="79">
        <v>0</v>
      </c>
      <c r="O1193" s="79">
        <v>0</v>
      </c>
      <c r="P1193" s="79">
        <v>0</v>
      </c>
      <c r="Q1193" s="79">
        <v>0</v>
      </c>
      <c r="R1193" s="79">
        <v>0</v>
      </c>
      <c r="S1193" s="79">
        <v>0</v>
      </c>
      <c r="T1193" s="79">
        <v>0</v>
      </c>
      <c r="U1193" s="79">
        <v>0</v>
      </c>
      <c r="V1193" s="79">
        <v>0</v>
      </c>
      <c r="W1193" s="79">
        <v>0</v>
      </c>
      <c r="X1193" s="90">
        <v>0</v>
      </c>
    </row>
    <row r="1194" spans="1:24" hidden="1" x14ac:dyDescent="0.25">
      <c r="A1194" s="80" t="str">
        <v>PENDIENTE</v>
      </c>
      <c r="B1194" s="80" t="str">
        <v>Viru</v>
      </c>
      <c r="C1194" s="80" t="str">
        <v>Noviembre</v>
      </c>
      <c r="D1194" s="81">
        <v>46321</v>
      </c>
      <c r="E1194" s="79">
        <v>2942</v>
      </c>
      <c r="F1194" s="80">
        <v>0</v>
      </c>
      <c r="G1194" s="79" cm="1">
        <f t="array" ref="G1194:X1194">_xlfn._xlws.FILTER(Formulas!$C$2:$T$201, ISNUMBER(MATCH(Formulas!$B$2:$B$201, B1194, 0)),0) * E1194</f>
        <v>588.4</v>
      </c>
      <c r="H1194" s="79">
        <v>1971.14</v>
      </c>
      <c r="I1194" s="79">
        <v>117.68</v>
      </c>
      <c r="J1194" s="79">
        <v>117.68</v>
      </c>
      <c r="K1194" s="79">
        <v>0</v>
      </c>
      <c r="L1194" s="79">
        <v>0</v>
      </c>
      <c r="M1194" s="79">
        <v>147.1</v>
      </c>
      <c r="N1194" s="79">
        <v>0</v>
      </c>
      <c r="O1194" s="79">
        <v>0</v>
      </c>
      <c r="P1194" s="79">
        <v>0</v>
      </c>
      <c r="Q1194" s="79">
        <v>0</v>
      </c>
      <c r="R1194" s="79">
        <v>0</v>
      </c>
      <c r="S1194" s="79">
        <v>0</v>
      </c>
      <c r="T1194" s="79">
        <v>0</v>
      </c>
      <c r="U1194" s="79">
        <v>0</v>
      </c>
      <c r="V1194" s="79">
        <v>0</v>
      </c>
      <c r="W1194" s="79">
        <v>0</v>
      </c>
      <c r="X1194" s="90">
        <v>0</v>
      </c>
    </row>
    <row r="1195" spans="1:24" hidden="1" x14ac:dyDescent="0.25">
      <c r="A1195" s="80" t="str">
        <v>PENDIENTE</v>
      </c>
      <c r="B1195" s="80" t="str">
        <v>Viru</v>
      </c>
      <c r="C1195" s="80" t="str">
        <v>Diciembre</v>
      </c>
      <c r="D1195" s="81">
        <v>46350</v>
      </c>
      <c r="E1195" s="79">
        <v>3040</v>
      </c>
      <c r="F1195" s="81">
        <v>0</v>
      </c>
      <c r="G1195" s="79" cm="1">
        <f t="array" ref="G1195:X1195">_xlfn._xlws.FILTER(Formulas!$C$2:$T$201, ISNUMBER(MATCH(Formulas!$B$2:$B$201, B1195, 0)),0) * E1195</f>
        <v>608</v>
      </c>
      <c r="H1195" s="79">
        <v>2036.8000000000002</v>
      </c>
      <c r="I1195" s="79">
        <v>121.60000000000001</v>
      </c>
      <c r="J1195" s="79">
        <v>121.60000000000001</v>
      </c>
      <c r="K1195" s="79">
        <v>0</v>
      </c>
      <c r="L1195" s="79">
        <v>0</v>
      </c>
      <c r="M1195" s="79">
        <v>152</v>
      </c>
      <c r="N1195" s="79">
        <v>0</v>
      </c>
      <c r="O1195" s="79">
        <v>0</v>
      </c>
      <c r="P1195" s="79">
        <v>0</v>
      </c>
      <c r="Q1195" s="79">
        <v>0</v>
      </c>
      <c r="R1195" s="79">
        <v>0</v>
      </c>
      <c r="S1195" s="79">
        <v>0</v>
      </c>
      <c r="T1195" s="79">
        <v>0</v>
      </c>
      <c r="U1195" s="79">
        <v>0</v>
      </c>
      <c r="V1195" s="79">
        <v>0</v>
      </c>
      <c r="W1195" s="79">
        <v>0</v>
      </c>
      <c r="X1195" s="90">
        <v>0</v>
      </c>
    </row>
    <row r="1196" spans="1:24" hidden="1" x14ac:dyDescent="0.25">
      <c r="A1196" s="80" t="str">
        <v>PENDIENTE</v>
      </c>
      <c r="B1196" s="80" t="str">
        <v>Viru</v>
      </c>
      <c r="C1196" s="80">
        <v>46388</v>
      </c>
      <c r="D1196" s="81">
        <v>46379</v>
      </c>
      <c r="E1196" s="79">
        <v>3040</v>
      </c>
      <c r="F1196" s="81">
        <v>0</v>
      </c>
      <c r="G1196" s="79" cm="1">
        <f t="array" ref="G1196:X1196">_xlfn._xlws.FILTER(Formulas!$C$2:$T$201, ISNUMBER(MATCH(Formulas!$B$2:$B$201, B1196, 0)),0) * E1196</f>
        <v>608</v>
      </c>
      <c r="H1196" s="79">
        <v>2036.8000000000002</v>
      </c>
      <c r="I1196" s="79">
        <v>121.60000000000001</v>
      </c>
      <c r="J1196" s="79">
        <v>121.60000000000001</v>
      </c>
      <c r="K1196" s="79">
        <v>0</v>
      </c>
      <c r="L1196" s="79">
        <v>0</v>
      </c>
      <c r="M1196" s="79">
        <v>152</v>
      </c>
      <c r="N1196" s="79">
        <v>0</v>
      </c>
      <c r="O1196" s="79">
        <v>0</v>
      </c>
      <c r="P1196" s="79">
        <v>0</v>
      </c>
      <c r="Q1196" s="79">
        <v>0</v>
      </c>
      <c r="R1196" s="79">
        <v>0</v>
      </c>
      <c r="S1196" s="79">
        <v>0</v>
      </c>
      <c r="T1196" s="79">
        <v>0</v>
      </c>
      <c r="U1196" s="79">
        <v>0</v>
      </c>
      <c r="V1196" s="79">
        <v>0</v>
      </c>
      <c r="W1196" s="79">
        <v>0</v>
      </c>
      <c r="X1196" s="90">
        <v>0</v>
      </c>
    </row>
    <row r="1197" spans="1:24" hidden="1" x14ac:dyDescent="0.25">
      <c r="A1197" s="80" t="str">
        <v>PENDIENTE</v>
      </c>
      <c r="B1197" s="80" t="str">
        <v>Yautan</v>
      </c>
      <c r="C1197" s="80" t="str">
        <v>Enero / Febrero / Marzo</v>
      </c>
      <c r="D1197" s="81">
        <v>46055</v>
      </c>
      <c r="E1197" s="79">
        <v>2983.5</v>
      </c>
      <c r="F1197" s="81">
        <v>46084</v>
      </c>
      <c r="G1197" s="79" cm="1">
        <f t="array" ref="G1197:X1197">_xlfn._xlws.FILTER(Formulas!$C$2:$T$201, ISNUMBER(MATCH(Formulas!$B$2:$B$201, B1197, 0)),0) * E1197</f>
        <v>596.89996648793567</v>
      </c>
      <c r="H1197" s="79">
        <v>2025.6605227882037</v>
      </c>
      <c r="I1197" s="79">
        <v>89.98491957104558</v>
      </c>
      <c r="J1197" s="79">
        <v>0</v>
      </c>
      <c r="K1197" s="79">
        <v>0</v>
      </c>
      <c r="L1197" s="79">
        <v>0</v>
      </c>
      <c r="M1197" s="79">
        <v>118.98006032171581</v>
      </c>
      <c r="N1197" s="79">
        <v>149.97486595174263</v>
      </c>
      <c r="O1197" s="79">
        <v>0</v>
      </c>
      <c r="P1197" s="79">
        <v>0</v>
      </c>
      <c r="Q1197" s="79">
        <v>0</v>
      </c>
      <c r="R1197" s="79">
        <v>0</v>
      </c>
      <c r="S1197" s="79">
        <v>0</v>
      </c>
      <c r="T1197" s="79">
        <v>0</v>
      </c>
      <c r="U1197" s="79">
        <v>2.9835000000000003</v>
      </c>
      <c r="V1197" s="79">
        <v>0</v>
      </c>
      <c r="W1197" s="79">
        <v>0</v>
      </c>
      <c r="X1197" s="90">
        <v>0</v>
      </c>
    </row>
    <row r="1198" spans="1:24" hidden="1" x14ac:dyDescent="0.25">
      <c r="A1198" s="80" t="str">
        <v>PENDIENTE</v>
      </c>
      <c r="B1198" s="80" t="str">
        <v>Yautan</v>
      </c>
      <c r="C1198" s="80" t="str">
        <v>Abril / Mayo / Junio</v>
      </c>
      <c r="D1198" s="81">
        <v>46142</v>
      </c>
      <c r="E1198" s="79">
        <v>2983.5</v>
      </c>
      <c r="F1198" s="81">
        <v>46150</v>
      </c>
      <c r="G1198" s="79" cm="1">
        <f t="array" ref="G1198:X1198">_xlfn._xlws.FILTER(Formulas!$C$2:$T$201, ISNUMBER(MATCH(Formulas!$B$2:$B$201, B1198, 0)),0) * E1198</f>
        <v>596.89996648793567</v>
      </c>
      <c r="H1198" s="79">
        <v>2025.6605227882037</v>
      </c>
      <c r="I1198" s="79">
        <v>89.98491957104558</v>
      </c>
      <c r="J1198" s="79">
        <v>0</v>
      </c>
      <c r="K1198" s="79">
        <v>0</v>
      </c>
      <c r="L1198" s="79">
        <v>0</v>
      </c>
      <c r="M1198" s="79">
        <v>118.98006032171581</v>
      </c>
      <c r="N1198" s="79">
        <v>149.97486595174263</v>
      </c>
      <c r="O1198" s="79">
        <v>0</v>
      </c>
      <c r="P1198" s="79">
        <v>0</v>
      </c>
      <c r="Q1198" s="79">
        <v>0</v>
      </c>
      <c r="R1198" s="79">
        <v>0</v>
      </c>
      <c r="S1198" s="79">
        <v>0</v>
      </c>
      <c r="T1198" s="79">
        <v>0</v>
      </c>
      <c r="U1198" s="79">
        <v>2.9835000000000003</v>
      </c>
      <c r="V1198" s="79">
        <v>0</v>
      </c>
      <c r="W1198" s="79">
        <v>0</v>
      </c>
      <c r="X1198" s="90">
        <v>0</v>
      </c>
    </row>
    <row r="1199" spans="1:24" hidden="1" x14ac:dyDescent="0.25">
      <c r="A1199" s="80" t="str">
        <v>PENDIENTE</v>
      </c>
      <c r="B1199" s="80" t="str">
        <v>Yautan</v>
      </c>
      <c r="C1199" s="80" t="str">
        <v>Julio / Agosto / Septiembre</v>
      </c>
      <c r="D1199" s="81">
        <v>46203</v>
      </c>
      <c r="E1199" s="79">
        <v>2983.5</v>
      </c>
      <c r="F1199" s="81">
        <v>46237</v>
      </c>
      <c r="G1199" s="79" cm="1">
        <f t="array" ref="G1199:X1199">_xlfn._xlws.FILTER(Formulas!$C$2:$T$201, ISNUMBER(MATCH(Formulas!$B$2:$B$201, B1199, 0)),0) * E1199</f>
        <v>596.89996648793567</v>
      </c>
      <c r="H1199" s="79">
        <v>2025.6605227882037</v>
      </c>
      <c r="I1199" s="79">
        <v>89.98491957104558</v>
      </c>
      <c r="J1199" s="79">
        <v>0</v>
      </c>
      <c r="K1199" s="79">
        <v>0</v>
      </c>
      <c r="L1199" s="79">
        <v>0</v>
      </c>
      <c r="M1199" s="79">
        <v>118.98006032171581</v>
      </c>
      <c r="N1199" s="79">
        <v>149.97486595174263</v>
      </c>
      <c r="O1199" s="79">
        <v>0</v>
      </c>
      <c r="P1199" s="79">
        <v>0</v>
      </c>
      <c r="Q1199" s="79">
        <v>0</v>
      </c>
      <c r="R1199" s="79">
        <v>0</v>
      </c>
      <c r="S1199" s="79">
        <v>0</v>
      </c>
      <c r="T1199" s="79">
        <v>0</v>
      </c>
      <c r="U1199" s="79">
        <v>2.9835000000000003</v>
      </c>
      <c r="V1199" s="79">
        <v>0</v>
      </c>
      <c r="W1199" s="79">
        <v>0</v>
      </c>
      <c r="X1199" s="90">
        <v>0</v>
      </c>
    </row>
    <row r="1200" spans="1:24" hidden="1" x14ac:dyDescent="0.25">
      <c r="A1200" s="80" t="str">
        <v>PENDIENTE</v>
      </c>
      <c r="B1200" s="80" t="str">
        <v>Yautan</v>
      </c>
      <c r="C1200" s="80" t="str">
        <v>Octubre / Noviembre / Diciembre</v>
      </c>
      <c r="D1200" s="81">
        <v>46295</v>
      </c>
      <c r="E1200" s="79">
        <v>2983.5</v>
      </c>
      <c r="F1200" s="81">
        <v>0</v>
      </c>
      <c r="G1200" s="79" cm="1">
        <f t="array" ref="G1200:X1200">_xlfn._xlws.FILTER(Formulas!$C$2:$T$201, ISNUMBER(MATCH(Formulas!$B$2:$B$201, B1200, 0)),0) * E1200</f>
        <v>596.89996648793567</v>
      </c>
      <c r="H1200" s="79">
        <v>2025.6605227882037</v>
      </c>
      <c r="I1200" s="79">
        <v>89.98491957104558</v>
      </c>
      <c r="J1200" s="79">
        <v>0</v>
      </c>
      <c r="K1200" s="79">
        <v>0</v>
      </c>
      <c r="L1200" s="79">
        <v>0</v>
      </c>
      <c r="M1200" s="79">
        <v>118.98006032171581</v>
      </c>
      <c r="N1200" s="79">
        <v>149.97486595174263</v>
      </c>
      <c r="O1200" s="79">
        <v>0</v>
      </c>
      <c r="P1200" s="79">
        <v>0</v>
      </c>
      <c r="Q1200" s="79">
        <v>0</v>
      </c>
      <c r="R1200" s="79">
        <v>0</v>
      </c>
      <c r="S1200" s="79">
        <v>0</v>
      </c>
      <c r="T1200" s="79">
        <v>0</v>
      </c>
      <c r="U1200" s="79">
        <v>2.9835000000000003</v>
      </c>
      <c r="V1200" s="79">
        <v>0</v>
      </c>
      <c r="W1200" s="79">
        <v>0</v>
      </c>
      <c r="X1200" s="90">
        <v>0</v>
      </c>
    </row>
    <row r="1201" spans="1:24" hidden="1" x14ac:dyDescent="0.25">
      <c r="A1201" s="80" t="str">
        <v>PENDIENTE</v>
      </c>
      <c r="B1201" s="80" t="str">
        <v>Yonan</v>
      </c>
      <c r="C1201" s="80" t="str">
        <v>Enero / Febrero</v>
      </c>
      <c r="D1201" s="81">
        <v>46037</v>
      </c>
      <c r="E1201" s="79">
        <v>2129.6432880000002</v>
      </c>
      <c r="F1201" s="80">
        <v>46034</v>
      </c>
      <c r="G1201" s="79" cm="1">
        <f t="array" ref="G1201:X1201">_xlfn._xlws.FILTER(Formulas!$C$2:$T$201, ISNUMBER(MATCH(Formulas!$B$2:$B$201, B1201, 0)),0) * E1201</f>
        <v>404.63222472000007</v>
      </c>
      <c r="H1201" s="79">
        <v>1512.0467344800002</v>
      </c>
      <c r="I1201" s="79">
        <v>85.185731520000004</v>
      </c>
      <c r="J1201" s="79">
        <v>0</v>
      </c>
      <c r="K1201" s="79">
        <v>0</v>
      </c>
      <c r="L1201" s="79">
        <v>0</v>
      </c>
      <c r="M1201" s="79">
        <v>0</v>
      </c>
      <c r="N1201" s="79">
        <v>127.77859728000001</v>
      </c>
      <c r="O1201" s="79">
        <v>0</v>
      </c>
      <c r="P1201" s="79">
        <v>0</v>
      </c>
      <c r="Q1201" s="79">
        <v>0</v>
      </c>
      <c r="R1201" s="79">
        <v>0</v>
      </c>
      <c r="S1201" s="79">
        <v>0</v>
      </c>
      <c r="T1201" s="79">
        <v>0</v>
      </c>
      <c r="U1201" s="79">
        <v>2.1296432880000005</v>
      </c>
      <c r="V1201" s="79">
        <v>0</v>
      </c>
      <c r="W1201" s="79">
        <v>0</v>
      </c>
      <c r="X1201" s="90">
        <v>0</v>
      </c>
    </row>
    <row r="1202" spans="1:24" hidden="1" x14ac:dyDescent="0.25">
      <c r="A1202" s="80" t="str">
        <v>PENDIENTE</v>
      </c>
      <c r="B1202" s="80" t="str">
        <v>Yonan</v>
      </c>
      <c r="C1202" s="80" t="str">
        <v>Marzo / Abril</v>
      </c>
      <c r="D1202" s="81">
        <v>46080</v>
      </c>
      <c r="E1202" s="79">
        <v>2129.6432880000002</v>
      </c>
      <c r="F1202" s="81">
        <v>46083</v>
      </c>
      <c r="G1202" s="79" cm="1">
        <f t="array" ref="G1202:X1202">_xlfn._xlws.FILTER(Formulas!$C$2:$T$201, ISNUMBER(MATCH(Formulas!$B$2:$B$201, B1202, 0)),0) * E1202</f>
        <v>404.63222472000007</v>
      </c>
      <c r="H1202" s="79">
        <v>1512.0467344800002</v>
      </c>
      <c r="I1202" s="79">
        <v>85.185731520000004</v>
      </c>
      <c r="J1202" s="79">
        <v>0</v>
      </c>
      <c r="K1202" s="79">
        <v>0</v>
      </c>
      <c r="L1202" s="79">
        <v>0</v>
      </c>
      <c r="M1202" s="79">
        <v>0</v>
      </c>
      <c r="N1202" s="79">
        <v>127.77859728000001</v>
      </c>
      <c r="O1202" s="79">
        <v>0</v>
      </c>
      <c r="P1202" s="79">
        <v>0</v>
      </c>
      <c r="Q1202" s="79">
        <v>0</v>
      </c>
      <c r="R1202" s="79">
        <v>0</v>
      </c>
      <c r="S1202" s="79">
        <v>0</v>
      </c>
      <c r="T1202" s="79">
        <v>0</v>
      </c>
      <c r="U1202" s="79">
        <v>2.1296432880000005</v>
      </c>
      <c r="V1202" s="79">
        <v>0</v>
      </c>
      <c r="W1202" s="79">
        <v>0</v>
      </c>
      <c r="X1202" s="90">
        <v>0</v>
      </c>
    </row>
    <row r="1203" spans="1:24" hidden="1" x14ac:dyDescent="0.25">
      <c r="A1203" s="80" t="str">
        <v>PENDIENTE</v>
      </c>
      <c r="B1203" s="80" t="str">
        <v>Yonan</v>
      </c>
      <c r="C1203" s="80" t="str">
        <v>Mayo / Junio</v>
      </c>
      <c r="D1203" s="81">
        <v>46135</v>
      </c>
      <c r="E1203" s="79">
        <v>2129.6432880000002</v>
      </c>
      <c r="F1203" s="81">
        <v>46135</v>
      </c>
      <c r="G1203" s="79" cm="1">
        <f t="array" ref="G1203:X1203">_xlfn._xlws.FILTER(Formulas!$C$2:$T$201, ISNUMBER(MATCH(Formulas!$B$2:$B$201, B1203, 0)),0) * E1203</f>
        <v>404.63222472000007</v>
      </c>
      <c r="H1203" s="79">
        <v>1512.0467344800002</v>
      </c>
      <c r="I1203" s="79">
        <v>85.185731520000004</v>
      </c>
      <c r="J1203" s="79">
        <v>0</v>
      </c>
      <c r="K1203" s="79">
        <v>0</v>
      </c>
      <c r="L1203" s="79">
        <v>0</v>
      </c>
      <c r="M1203" s="79">
        <v>0</v>
      </c>
      <c r="N1203" s="79">
        <v>127.77859728000001</v>
      </c>
      <c r="O1203" s="79">
        <v>0</v>
      </c>
      <c r="P1203" s="79">
        <v>0</v>
      </c>
      <c r="Q1203" s="79">
        <v>0</v>
      </c>
      <c r="R1203" s="79">
        <v>0</v>
      </c>
      <c r="S1203" s="79">
        <v>0</v>
      </c>
      <c r="T1203" s="79">
        <v>0</v>
      </c>
      <c r="U1203" s="79">
        <v>2.1296432880000005</v>
      </c>
      <c r="V1203" s="79">
        <v>0</v>
      </c>
      <c r="W1203" s="79">
        <v>0</v>
      </c>
      <c r="X1203" s="90">
        <v>0</v>
      </c>
    </row>
    <row r="1204" spans="1:24" hidden="1" x14ac:dyDescent="0.25">
      <c r="A1204" s="80" t="str">
        <v>PENDIENTE</v>
      </c>
      <c r="B1204" s="80" t="str">
        <v>Yonan</v>
      </c>
      <c r="C1204" s="80" t="str">
        <v>Julio / Agosto</v>
      </c>
      <c r="D1204" s="81">
        <v>46201</v>
      </c>
      <c r="E1204" s="79">
        <v>2129.6432880000002</v>
      </c>
      <c r="F1204" s="81">
        <v>46195</v>
      </c>
      <c r="G1204" s="79" cm="1">
        <f t="array" ref="G1204:X1204">_xlfn._xlws.FILTER(Formulas!$C$2:$T$201, ISNUMBER(MATCH(Formulas!$B$2:$B$201, B1204, 0)),0) * E1204</f>
        <v>404.63222472000007</v>
      </c>
      <c r="H1204" s="79">
        <v>1512.0467344800002</v>
      </c>
      <c r="I1204" s="79">
        <v>85.185731520000004</v>
      </c>
      <c r="J1204" s="79">
        <v>0</v>
      </c>
      <c r="K1204" s="79">
        <v>0</v>
      </c>
      <c r="L1204" s="79">
        <v>0</v>
      </c>
      <c r="M1204" s="79">
        <v>0</v>
      </c>
      <c r="N1204" s="79">
        <v>127.77859728000001</v>
      </c>
      <c r="O1204" s="79">
        <v>0</v>
      </c>
      <c r="P1204" s="79">
        <v>0</v>
      </c>
      <c r="Q1204" s="79">
        <v>0</v>
      </c>
      <c r="R1204" s="79">
        <v>0</v>
      </c>
      <c r="S1204" s="79">
        <v>0</v>
      </c>
      <c r="T1204" s="79">
        <v>0</v>
      </c>
      <c r="U1204" s="79">
        <v>2.1296432880000005</v>
      </c>
      <c r="V1204" s="79">
        <v>0</v>
      </c>
      <c r="W1204" s="79">
        <v>0</v>
      </c>
      <c r="X1204" s="90">
        <v>0</v>
      </c>
    </row>
    <row r="1205" spans="1:24" hidden="1" x14ac:dyDescent="0.25">
      <c r="A1205" s="80" t="str">
        <v>PENDIENTE</v>
      </c>
      <c r="B1205" s="80" t="str">
        <v>Yonan</v>
      </c>
      <c r="C1205" s="80" t="str">
        <v>O.C.</v>
      </c>
      <c r="D1205" s="81">
        <v>46260</v>
      </c>
      <c r="E1205" s="79">
        <v>1103.8999999999999</v>
      </c>
      <c r="F1205" s="81">
        <v>46252</v>
      </c>
      <c r="G1205" s="79" cm="1">
        <f t="array" ref="G1205:X1205">_xlfn._xlws.FILTER(Formulas!$C$2:$T$201, ISNUMBER(MATCH(Formulas!$B$2:$B$201, B1205, 0)),0) * E1205</f>
        <v>209.74099999999999</v>
      </c>
      <c r="H1205" s="79">
        <v>783.76899999999989</v>
      </c>
      <c r="I1205" s="79">
        <v>44.155999999999999</v>
      </c>
      <c r="J1205" s="79">
        <v>0</v>
      </c>
      <c r="K1205" s="79">
        <v>0</v>
      </c>
      <c r="L1205" s="79">
        <v>0</v>
      </c>
      <c r="M1205" s="79">
        <v>0</v>
      </c>
      <c r="N1205" s="79">
        <v>66.233999999999995</v>
      </c>
      <c r="O1205" s="79">
        <v>0</v>
      </c>
      <c r="P1205" s="79">
        <v>0</v>
      </c>
      <c r="Q1205" s="79">
        <v>0</v>
      </c>
      <c r="R1205" s="79">
        <v>0</v>
      </c>
      <c r="S1205" s="79">
        <v>0</v>
      </c>
      <c r="T1205" s="79">
        <v>0</v>
      </c>
      <c r="U1205" s="79">
        <v>1.1038999999999999</v>
      </c>
      <c r="V1205" s="79">
        <v>0</v>
      </c>
      <c r="W1205" s="79">
        <v>0</v>
      </c>
      <c r="X1205" s="90">
        <v>0</v>
      </c>
    </row>
    <row r="1206" spans="1:24" hidden="1" x14ac:dyDescent="0.25">
      <c r="A1206" s="80" t="str">
        <v>PENDIENTE</v>
      </c>
      <c r="B1206" s="80" t="str">
        <v>Yonan</v>
      </c>
      <c r="C1206" s="80" t="str">
        <v>Septiembre / Octubre</v>
      </c>
      <c r="D1206" s="81">
        <v>46260</v>
      </c>
      <c r="E1206" s="79">
        <v>2129.6432880000002</v>
      </c>
      <c r="F1206" s="81">
        <v>46252</v>
      </c>
      <c r="G1206" s="79" cm="1">
        <f t="array" ref="G1206:X1206">_xlfn._xlws.FILTER(Formulas!$C$2:$T$201, ISNUMBER(MATCH(Formulas!$B$2:$B$201, B1206, 0)),0) * E1206</f>
        <v>404.63222472000007</v>
      </c>
      <c r="H1206" s="79">
        <v>1512.0467344800002</v>
      </c>
      <c r="I1206" s="79">
        <v>85.185731520000004</v>
      </c>
      <c r="J1206" s="79">
        <v>0</v>
      </c>
      <c r="K1206" s="79">
        <v>0</v>
      </c>
      <c r="L1206" s="79">
        <v>0</v>
      </c>
      <c r="M1206" s="79">
        <v>0</v>
      </c>
      <c r="N1206" s="79">
        <v>127.77859728000001</v>
      </c>
      <c r="O1206" s="79">
        <v>0</v>
      </c>
      <c r="P1206" s="79">
        <v>0</v>
      </c>
      <c r="Q1206" s="79">
        <v>0</v>
      </c>
      <c r="R1206" s="79">
        <v>0</v>
      </c>
      <c r="S1206" s="79">
        <v>0</v>
      </c>
      <c r="T1206" s="79">
        <v>0</v>
      </c>
      <c r="U1206" s="79">
        <v>2.1296432880000005</v>
      </c>
      <c r="V1206" s="79">
        <v>0</v>
      </c>
      <c r="W1206" s="79">
        <v>0</v>
      </c>
      <c r="X1206" s="90">
        <v>0</v>
      </c>
    </row>
    <row r="1207" spans="1:24" hidden="1" x14ac:dyDescent="0.25">
      <c r="A1207" s="80" t="str">
        <v>PENDIENTE</v>
      </c>
      <c r="B1207" s="80" t="str">
        <v>Yonan</v>
      </c>
      <c r="C1207" s="80" t="str">
        <v>Noviembre / Diciembre</v>
      </c>
      <c r="D1207" s="81">
        <v>46323</v>
      </c>
      <c r="E1207" s="79">
        <v>2129.6432880000002</v>
      </c>
      <c r="F1207" s="81">
        <v>0</v>
      </c>
      <c r="G1207" s="79" cm="1">
        <f t="array" ref="G1207:X1207">_xlfn._xlws.FILTER(Formulas!$C$2:$T$201, ISNUMBER(MATCH(Formulas!$B$2:$B$201, B1207, 0)),0) * E1207</f>
        <v>404.63222472000007</v>
      </c>
      <c r="H1207" s="79">
        <v>1512.0467344800002</v>
      </c>
      <c r="I1207" s="79">
        <v>85.185731520000004</v>
      </c>
      <c r="J1207" s="79">
        <v>0</v>
      </c>
      <c r="K1207" s="79">
        <v>0</v>
      </c>
      <c r="L1207" s="79">
        <v>0</v>
      </c>
      <c r="M1207" s="79">
        <v>0</v>
      </c>
      <c r="N1207" s="79">
        <v>127.77859728000001</v>
      </c>
      <c r="O1207" s="79">
        <v>0</v>
      </c>
      <c r="P1207" s="79">
        <v>0</v>
      </c>
      <c r="Q1207" s="79">
        <v>0</v>
      </c>
      <c r="R1207" s="79">
        <v>0</v>
      </c>
      <c r="S1207" s="79">
        <v>0</v>
      </c>
      <c r="T1207" s="79">
        <v>0</v>
      </c>
      <c r="U1207" s="79">
        <v>2.1296432880000005</v>
      </c>
      <c r="V1207" s="79">
        <v>0</v>
      </c>
      <c r="W1207" s="79">
        <v>0</v>
      </c>
      <c r="X1207" s="90">
        <v>0</v>
      </c>
    </row>
    <row r="1208" spans="1:24" hidden="1" x14ac:dyDescent="0.25">
      <c r="A1208" s="80" t="str">
        <v>PENDIENTE</v>
      </c>
      <c r="B1208" s="80" t="str">
        <v>Zapatero</v>
      </c>
      <c r="C1208" s="80" t="str">
        <v>Enero / Febrero</v>
      </c>
      <c r="D1208" s="81">
        <v>46081</v>
      </c>
      <c r="E1208" s="79">
        <v>1770</v>
      </c>
      <c r="F1208" s="81">
        <v>46071</v>
      </c>
      <c r="G1208" s="79" cm="1">
        <f t="array" ref="G1208:X1208">_xlfn._xlws.FILTER(Formulas!$C$2:$T$201, ISNUMBER(MATCH(Formulas!$B$2:$B$201, B1208, 0)),0) * E1208</f>
        <v>265.73726541554959</v>
      </c>
      <c r="H1208" s="79">
        <v>646.71773266947525</v>
      </c>
      <c r="I1208" s="79">
        <v>61.689008042895445</v>
      </c>
      <c r="J1208" s="79">
        <v>61.689008042895445</v>
      </c>
      <c r="K1208" s="79">
        <v>0</v>
      </c>
      <c r="L1208" s="79">
        <v>0</v>
      </c>
      <c r="M1208" s="79">
        <v>61.689008042895445</v>
      </c>
      <c r="N1208" s="79">
        <v>0</v>
      </c>
      <c r="O1208" s="79">
        <v>672.47797778628887</v>
      </c>
      <c r="P1208" s="79">
        <v>0</v>
      </c>
      <c r="Q1208" s="79">
        <v>0</v>
      </c>
      <c r="R1208" s="79">
        <v>0</v>
      </c>
      <c r="S1208" s="79">
        <v>0</v>
      </c>
      <c r="T1208" s="79">
        <v>0</v>
      </c>
      <c r="U1208" s="79">
        <v>0</v>
      </c>
      <c r="V1208" s="79">
        <v>0</v>
      </c>
      <c r="W1208" s="79">
        <v>0</v>
      </c>
      <c r="X1208" s="90">
        <v>0</v>
      </c>
    </row>
    <row r="1209" spans="1:24" hidden="1" x14ac:dyDescent="0.25">
      <c r="A1209" s="80" t="str">
        <v>PENDIENTE</v>
      </c>
      <c r="B1209" s="80" t="str">
        <v>Zapatero</v>
      </c>
      <c r="C1209" s="80" t="str">
        <v>Marzo</v>
      </c>
      <c r="D1209" s="81">
        <v>46081</v>
      </c>
      <c r="E1209" s="79">
        <v>929</v>
      </c>
      <c r="F1209" s="81">
        <v>46071</v>
      </c>
      <c r="G1209" s="79" cm="1">
        <f t="array" ref="G1209:X1209">_xlfn._xlws.FILTER(Formulas!$C$2:$T$201, ISNUMBER(MATCH(Formulas!$B$2:$B$201, B1209, 0)),0) * E1209</f>
        <v>139.47453083109917</v>
      </c>
      <c r="H1209" s="79">
        <v>339.43546533895056</v>
      </c>
      <c r="I1209" s="79">
        <v>32.37801608579089</v>
      </c>
      <c r="J1209" s="79">
        <v>32.37801608579089</v>
      </c>
      <c r="K1209" s="79">
        <v>0</v>
      </c>
      <c r="L1209" s="79">
        <v>0</v>
      </c>
      <c r="M1209" s="79">
        <v>32.37801608579089</v>
      </c>
      <c r="N1209" s="79">
        <v>0</v>
      </c>
      <c r="O1209" s="79">
        <v>352.95595557257758</v>
      </c>
      <c r="P1209" s="79">
        <v>0</v>
      </c>
      <c r="Q1209" s="79">
        <v>0</v>
      </c>
      <c r="R1209" s="79">
        <v>0</v>
      </c>
      <c r="S1209" s="79">
        <v>0</v>
      </c>
      <c r="T1209" s="79">
        <v>0</v>
      </c>
      <c r="U1209" s="79">
        <v>0</v>
      </c>
      <c r="V1209" s="79">
        <v>0</v>
      </c>
      <c r="W1209" s="79">
        <v>0</v>
      </c>
      <c r="X1209" s="90">
        <v>0</v>
      </c>
    </row>
    <row r="1210" spans="1:24" hidden="1" x14ac:dyDescent="0.25">
      <c r="A1210" s="80" t="str">
        <v>PENDIENTE</v>
      </c>
      <c r="B1210" s="80" t="str">
        <v>Zapatero</v>
      </c>
      <c r="C1210" s="80" t="str">
        <v>Abril</v>
      </c>
      <c r="D1210" s="81">
        <v>46101</v>
      </c>
      <c r="E1210" s="79">
        <v>900</v>
      </c>
      <c r="F1210" s="81">
        <v>46091</v>
      </c>
      <c r="G1210" s="79" cm="1">
        <f t="array" ref="G1210:X1210">_xlfn._xlws.FILTER(Formulas!$C$2:$T$201, ISNUMBER(MATCH(Formulas!$B$2:$B$201, B1210, 0)),0) * E1210</f>
        <v>135.12064343163539</v>
      </c>
      <c r="H1210" s="79">
        <v>328.83952508617386</v>
      </c>
      <c r="I1210" s="79">
        <v>31.367292225201073</v>
      </c>
      <c r="J1210" s="79">
        <v>31.367292225201073</v>
      </c>
      <c r="K1210" s="79">
        <v>0</v>
      </c>
      <c r="L1210" s="79">
        <v>0</v>
      </c>
      <c r="M1210" s="79">
        <v>31.367292225201073</v>
      </c>
      <c r="N1210" s="79">
        <v>0</v>
      </c>
      <c r="O1210" s="79">
        <v>341.93795480658753</v>
      </c>
      <c r="P1210" s="79">
        <v>0</v>
      </c>
      <c r="Q1210" s="79">
        <v>0</v>
      </c>
      <c r="R1210" s="79">
        <v>0</v>
      </c>
      <c r="S1210" s="79">
        <v>0</v>
      </c>
      <c r="T1210" s="79">
        <v>0</v>
      </c>
      <c r="U1210" s="79">
        <v>0</v>
      </c>
      <c r="V1210" s="79">
        <v>0</v>
      </c>
      <c r="W1210" s="79">
        <v>0</v>
      </c>
      <c r="X1210" s="90">
        <v>0</v>
      </c>
    </row>
    <row r="1211" spans="1:24" hidden="1" x14ac:dyDescent="0.25">
      <c r="A1211" s="80" t="str">
        <v>PENDIENTE</v>
      </c>
      <c r="B1211" s="80" t="str">
        <v>Zapatero</v>
      </c>
      <c r="C1211" s="80" t="str">
        <v>Mayo</v>
      </c>
      <c r="D1211" s="81">
        <v>46133</v>
      </c>
      <c r="E1211" s="79">
        <v>929</v>
      </c>
      <c r="F1211" s="81">
        <v>46134</v>
      </c>
      <c r="G1211" s="79" cm="1">
        <f t="array" ref="G1211:X1211">_xlfn._xlws.FILTER(Formulas!$C$2:$T$201, ISNUMBER(MATCH(Formulas!$B$2:$B$201, B1211, 0)),0) * E1211</f>
        <v>139.47453083109917</v>
      </c>
      <c r="H1211" s="79">
        <v>339.43546533895056</v>
      </c>
      <c r="I1211" s="79">
        <v>32.37801608579089</v>
      </c>
      <c r="J1211" s="79">
        <v>32.37801608579089</v>
      </c>
      <c r="K1211" s="79">
        <v>0</v>
      </c>
      <c r="L1211" s="79">
        <v>0</v>
      </c>
      <c r="M1211" s="79">
        <v>32.37801608579089</v>
      </c>
      <c r="N1211" s="79">
        <v>0</v>
      </c>
      <c r="O1211" s="79">
        <v>352.95595557257758</v>
      </c>
      <c r="P1211" s="79">
        <v>0</v>
      </c>
      <c r="Q1211" s="79">
        <v>0</v>
      </c>
      <c r="R1211" s="79">
        <v>0</v>
      </c>
      <c r="S1211" s="79">
        <v>0</v>
      </c>
      <c r="T1211" s="79">
        <v>0</v>
      </c>
      <c r="U1211" s="79">
        <v>0</v>
      </c>
      <c r="V1211" s="79">
        <v>0</v>
      </c>
      <c r="W1211" s="79">
        <v>0</v>
      </c>
      <c r="X1211" s="90">
        <v>0</v>
      </c>
    </row>
    <row r="1212" spans="1:24" hidden="1" x14ac:dyDescent="0.25">
      <c r="A1212" s="80" t="str">
        <v>PENDIENTE</v>
      </c>
      <c r="B1212" s="80" t="str">
        <v>Zapatero</v>
      </c>
      <c r="C1212" s="80" t="str">
        <v>Junio</v>
      </c>
      <c r="D1212" s="81">
        <v>46162</v>
      </c>
      <c r="E1212" s="79">
        <v>900</v>
      </c>
      <c r="F1212" s="80">
        <v>46147</v>
      </c>
      <c r="G1212" s="79" cm="1">
        <f t="array" ref="G1212:X1212">_xlfn._xlws.FILTER(Formulas!$C$2:$T$201, ISNUMBER(MATCH(Formulas!$B$2:$B$201, B1212, 0)),0) * E1212</f>
        <v>135.12064343163539</v>
      </c>
      <c r="H1212" s="79">
        <v>328.83952508617386</v>
      </c>
      <c r="I1212" s="79">
        <v>31.367292225201073</v>
      </c>
      <c r="J1212" s="79">
        <v>31.367292225201073</v>
      </c>
      <c r="K1212" s="79">
        <v>0</v>
      </c>
      <c r="L1212" s="79">
        <v>0</v>
      </c>
      <c r="M1212" s="79">
        <v>31.367292225201073</v>
      </c>
      <c r="N1212" s="79">
        <v>0</v>
      </c>
      <c r="O1212" s="79">
        <v>341.93795480658753</v>
      </c>
      <c r="P1212" s="79">
        <v>0</v>
      </c>
      <c r="Q1212" s="79">
        <v>0</v>
      </c>
      <c r="R1212" s="79">
        <v>0</v>
      </c>
      <c r="S1212" s="79">
        <v>0</v>
      </c>
      <c r="T1212" s="79">
        <v>0</v>
      </c>
      <c r="U1212" s="79">
        <v>0</v>
      </c>
      <c r="V1212" s="79">
        <v>0</v>
      </c>
      <c r="W1212" s="79">
        <v>0</v>
      </c>
      <c r="X1212" s="90">
        <v>0</v>
      </c>
    </row>
    <row r="1213" spans="1:24" hidden="1" x14ac:dyDescent="0.25">
      <c r="A1213" s="80" t="str">
        <v>PENDIENTE</v>
      </c>
      <c r="B1213" s="80" t="str">
        <v>Zapatero</v>
      </c>
      <c r="C1213" s="80" t="str">
        <v>Julio</v>
      </c>
      <c r="D1213" s="81">
        <v>46195</v>
      </c>
      <c r="E1213" s="79">
        <v>929</v>
      </c>
      <c r="F1213" s="80">
        <v>46171</v>
      </c>
      <c r="G1213" s="79" cm="1">
        <f t="array" ref="G1213:X1213">_xlfn._xlws.FILTER(Formulas!$C$2:$T$201, ISNUMBER(MATCH(Formulas!$B$2:$B$201, B1213, 0)),0) * E1213</f>
        <v>139.47453083109917</v>
      </c>
      <c r="H1213" s="79">
        <v>339.43546533895056</v>
      </c>
      <c r="I1213" s="79">
        <v>32.37801608579089</v>
      </c>
      <c r="J1213" s="79">
        <v>32.37801608579089</v>
      </c>
      <c r="K1213" s="79">
        <v>0</v>
      </c>
      <c r="L1213" s="79">
        <v>0</v>
      </c>
      <c r="M1213" s="79">
        <v>32.37801608579089</v>
      </c>
      <c r="N1213" s="79">
        <v>0</v>
      </c>
      <c r="O1213" s="79">
        <v>352.95595557257758</v>
      </c>
      <c r="P1213" s="79">
        <v>0</v>
      </c>
      <c r="Q1213" s="79">
        <v>0</v>
      </c>
      <c r="R1213" s="79">
        <v>0</v>
      </c>
      <c r="S1213" s="79">
        <v>0</v>
      </c>
      <c r="T1213" s="79">
        <v>0</v>
      </c>
      <c r="U1213" s="79">
        <v>0</v>
      </c>
      <c r="V1213" s="79">
        <v>0</v>
      </c>
      <c r="W1213" s="79">
        <v>0</v>
      </c>
      <c r="X1213" s="90">
        <v>0</v>
      </c>
    </row>
    <row r="1214" spans="1:24" hidden="1" x14ac:dyDescent="0.25">
      <c r="A1214" s="80" t="str">
        <v>PENDIENTE</v>
      </c>
      <c r="B1214" s="80" t="str">
        <v>Zapatero</v>
      </c>
      <c r="C1214" s="80" t="str">
        <v>Agosto</v>
      </c>
      <c r="D1214" s="81">
        <v>46224</v>
      </c>
      <c r="E1214" s="79">
        <v>930</v>
      </c>
      <c r="F1214" s="80">
        <v>46220</v>
      </c>
      <c r="G1214" s="79" cm="1">
        <f t="array" ref="G1214:X1214">_xlfn._xlws.FILTER(Formulas!$C$2:$T$201, ISNUMBER(MATCH(Formulas!$B$2:$B$201, B1214, 0)),0) * E1214</f>
        <v>139.62466487935654</v>
      </c>
      <c r="H1214" s="79">
        <v>339.80084258904634</v>
      </c>
      <c r="I1214" s="79">
        <v>32.412868632707777</v>
      </c>
      <c r="J1214" s="79">
        <v>32.412868632707777</v>
      </c>
      <c r="K1214" s="79">
        <v>0</v>
      </c>
      <c r="L1214" s="79">
        <v>0</v>
      </c>
      <c r="M1214" s="79">
        <v>32.412868632707777</v>
      </c>
      <c r="N1214" s="79">
        <v>0</v>
      </c>
      <c r="O1214" s="79">
        <v>353.33588663347376</v>
      </c>
      <c r="P1214" s="79">
        <v>0</v>
      </c>
      <c r="Q1214" s="79">
        <v>0</v>
      </c>
      <c r="R1214" s="79">
        <v>0</v>
      </c>
      <c r="S1214" s="79">
        <v>0</v>
      </c>
      <c r="T1214" s="79">
        <v>0</v>
      </c>
      <c r="U1214" s="79">
        <v>0</v>
      </c>
      <c r="V1214" s="79">
        <v>0</v>
      </c>
      <c r="W1214" s="79">
        <v>0</v>
      </c>
      <c r="X1214" s="90">
        <v>0</v>
      </c>
    </row>
    <row r="1215" spans="1:24" hidden="1" x14ac:dyDescent="0.25">
      <c r="A1215" s="80" t="str">
        <v>PENDIENTE</v>
      </c>
      <c r="B1215" s="80" t="str">
        <v>Zapatero</v>
      </c>
      <c r="C1215" s="80" t="str">
        <v>Setiembre</v>
      </c>
      <c r="D1215" s="81">
        <v>46253</v>
      </c>
      <c r="E1215" s="79">
        <v>901</v>
      </c>
      <c r="F1215" s="80">
        <v>46241</v>
      </c>
      <c r="G1215" s="79" cm="1">
        <f t="array" ref="G1215:X1215">_xlfn._xlws.FILTER(Formulas!$C$2:$T$201, ISNUMBER(MATCH(Formulas!$B$2:$B$201, B1215, 0)),0) * E1215</f>
        <v>135.27077747989276</v>
      </c>
      <c r="H1215" s="79">
        <v>329.20490233626958</v>
      </c>
      <c r="I1215" s="79">
        <v>31.402144772117964</v>
      </c>
      <c r="J1215" s="79">
        <v>31.402144772117964</v>
      </c>
      <c r="K1215" s="79">
        <v>0</v>
      </c>
      <c r="L1215" s="79">
        <v>0</v>
      </c>
      <c r="M1215" s="79">
        <v>31.402144772117964</v>
      </c>
      <c r="N1215" s="79">
        <v>0</v>
      </c>
      <c r="O1215" s="79">
        <v>342.31788586748377</v>
      </c>
      <c r="P1215" s="79">
        <v>0</v>
      </c>
      <c r="Q1215" s="79">
        <v>0</v>
      </c>
      <c r="R1215" s="79">
        <v>0</v>
      </c>
      <c r="S1215" s="79">
        <v>0</v>
      </c>
      <c r="T1215" s="79">
        <v>0</v>
      </c>
      <c r="U1215" s="79">
        <v>0</v>
      </c>
      <c r="V1215" s="79">
        <v>0</v>
      </c>
      <c r="W1215" s="79">
        <v>0</v>
      </c>
      <c r="X1215" s="90">
        <v>0</v>
      </c>
    </row>
    <row r="1216" spans="1:24" hidden="1" x14ac:dyDescent="0.25">
      <c r="A1216" s="80" t="str">
        <v>PENDIENTE</v>
      </c>
      <c r="B1216" s="80" t="str">
        <v>Zapatero</v>
      </c>
      <c r="C1216" s="80" t="str">
        <v>O.C.</v>
      </c>
      <c r="D1216" s="81">
        <v>46281</v>
      </c>
      <c r="E1216" s="79">
        <v>702</v>
      </c>
      <c r="F1216" s="80">
        <v>46276</v>
      </c>
      <c r="G1216" s="79" cm="1">
        <f t="array" ref="G1216:X1216">_xlfn._xlws.FILTER(Formulas!$C$2:$T$201, ISNUMBER(MATCH(Formulas!$B$2:$B$201, B1216, 0)),0) * E1216</f>
        <v>105.39410187667559</v>
      </c>
      <c r="H1216" s="79">
        <v>256.49482956721562</v>
      </c>
      <c r="I1216" s="79">
        <v>24.46648793565684</v>
      </c>
      <c r="J1216" s="79">
        <v>24.46648793565684</v>
      </c>
      <c r="K1216" s="79">
        <v>0</v>
      </c>
      <c r="L1216" s="79">
        <v>0</v>
      </c>
      <c r="M1216" s="79">
        <v>24.46648793565684</v>
      </c>
      <c r="N1216" s="79">
        <v>0</v>
      </c>
      <c r="O1216" s="79">
        <v>266.7116047491383</v>
      </c>
      <c r="P1216" s="79">
        <v>0</v>
      </c>
      <c r="Q1216" s="79">
        <v>0</v>
      </c>
      <c r="R1216" s="79">
        <v>0</v>
      </c>
      <c r="S1216" s="79">
        <v>0</v>
      </c>
      <c r="T1216" s="79">
        <v>0</v>
      </c>
      <c r="U1216" s="79">
        <v>0</v>
      </c>
      <c r="V1216" s="79">
        <v>0</v>
      </c>
      <c r="W1216" s="79">
        <v>0</v>
      </c>
      <c r="X1216" s="90">
        <v>0</v>
      </c>
    </row>
    <row r="1217" spans="1:6" hidden="1" x14ac:dyDescent="0.25">
      <c r="A1217" s="80" t="str">
        <v>PENDIENTE</v>
      </c>
      <c r="B1217" s="80" t="str">
        <v>Zapatero</v>
      </c>
      <c r="C1217" s="80" t="str">
        <v>Octubre</v>
      </c>
      <c r="D1217" s="81">
        <v>46286</v>
      </c>
      <c r="E1217" s="79">
        <v>930</v>
      </c>
      <c r="F1217" s="80">
        <v>46271</v>
      </c>
    </row>
    <row r="1218" spans="1:6" hidden="1" x14ac:dyDescent="0.25">
      <c r="A1218" s="80" t="str">
        <v>PENDIENTE</v>
      </c>
      <c r="B1218" s="80" t="str">
        <v>Zapatero</v>
      </c>
      <c r="C1218" s="80" t="str">
        <v>Noviembre</v>
      </c>
      <c r="D1218" s="81">
        <v>46315</v>
      </c>
      <c r="E1218" s="79">
        <v>901</v>
      </c>
      <c r="F1218" s="80">
        <v>0</v>
      </c>
    </row>
    <row r="1219" spans="1:6" hidden="1" x14ac:dyDescent="0.25">
      <c r="A1219" s="80" t="str">
        <v>PENDIENTE</v>
      </c>
      <c r="B1219" s="80" t="str">
        <v>Zapatero</v>
      </c>
      <c r="C1219" s="80" t="str">
        <v>Diciembre</v>
      </c>
      <c r="D1219" s="81">
        <v>46346</v>
      </c>
      <c r="E1219" s="79">
        <v>930</v>
      </c>
      <c r="F1219" s="80">
        <v>0</v>
      </c>
    </row>
  </sheetData>
  <autoFilter ref="A1:X1219" xr:uid="{B04EF318-D025-4498-976B-D1A7AA9B112B}">
    <filterColumn colId="1">
      <filters>
        <filter val="Encañada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0691-9868-4E09-ACEB-3625866947EE}">
  <sheetPr codeName="Hoja3"/>
  <dimension ref="A1:R286"/>
  <sheetViews>
    <sheetView workbookViewId="0">
      <selection activeCell="E285" sqref="E285"/>
    </sheetView>
  </sheetViews>
  <sheetFormatPr baseColWidth="10" defaultColWidth="10.7109375" defaultRowHeight="15" x14ac:dyDescent="0.25"/>
  <cols>
    <col min="1" max="1" width="11.42578125" style="32"/>
    <col min="2" max="2" width="13.140625" customWidth="1"/>
    <col min="3" max="3" width="14" customWidth="1"/>
    <col min="5" max="5" width="10.7109375" style="87"/>
    <col min="6" max="6" width="16.85546875" style="45" customWidth="1"/>
    <col min="7" max="7" width="16.85546875" customWidth="1"/>
    <col min="8" max="9" width="16.28515625" customWidth="1"/>
    <col min="11" max="11" width="10.7109375" style="32"/>
    <col min="12" max="12" width="12.85546875" bestFit="1" customWidth="1"/>
    <col min="13" max="13" width="11.140625" customWidth="1"/>
    <col min="16" max="16" width="12.5703125" style="43" bestFit="1" customWidth="1"/>
    <col min="17" max="17" width="16.85546875" bestFit="1" customWidth="1"/>
  </cols>
  <sheetData>
    <row r="1" spans="1:18" s="20" customFormat="1" x14ac:dyDescent="0.25">
      <c r="A1" s="16" t="s">
        <v>3</v>
      </c>
      <c r="B1" s="14" t="s">
        <v>13</v>
      </c>
      <c r="C1" s="14" t="s">
        <v>439</v>
      </c>
      <c r="D1" s="14" t="s">
        <v>440</v>
      </c>
      <c r="E1" s="37" t="s">
        <v>441</v>
      </c>
      <c r="F1" s="17" t="s">
        <v>442</v>
      </c>
      <c r="G1" s="14" t="s">
        <v>443</v>
      </c>
      <c r="H1" s="14" t="s">
        <v>444</v>
      </c>
      <c r="I1" s="14"/>
      <c r="K1" s="55" t="s">
        <v>3</v>
      </c>
      <c r="L1" s="56" t="s">
        <v>13</v>
      </c>
      <c r="M1" s="56" t="s">
        <v>439</v>
      </c>
      <c r="N1" s="56" t="s">
        <v>440</v>
      </c>
      <c r="O1" s="56" t="s">
        <v>441</v>
      </c>
      <c r="P1" s="58" t="s">
        <v>442</v>
      </c>
      <c r="Q1" s="56" t="s">
        <v>443</v>
      </c>
      <c r="R1" s="57" t="s">
        <v>445</v>
      </c>
    </row>
    <row r="2" spans="1:18" s="20" customFormat="1" x14ac:dyDescent="0.25">
      <c r="A2" s="16">
        <v>45989</v>
      </c>
      <c r="B2" s="14" t="s">
        <v>446</v>
      </c>
      <c r="C2" s="14"/>
      <c r="D2" s="14" t="s">
        <v>447</v>
      </c>
      <c r="E2" s="37">
        <v>1</v>
      </c>
      <c r="F2" s="17">
        <v>6000</v>
      </c>
      <c r="G2" s="14" t="s">
        <v>448</v>
      </c>
      <c r="H2" s="14"/>
      <c r="I2" s="14"/>
      <c r="K2" s="16">
        <v>46020</v>
      </c>
      <c r="L2" s="14" t="s">
        <v>449</v>
      </c>
      <c r="M2" s="14" t="s">
        <v>421</v>
      </c>
      <c r="N2" s="14"/>
      <c r="O2" s="14"/>
      <c r="P2" s="40">
        <v>10000</v>
      </c>
      <c r="Q2" s="14" t="s">
        <v>448</v>
      </c>
      <c r="R2" s="14"/>
    </row>
    <row r="3" spans="1:18" s="20" customFormat="1" x14ac:dyDescent="0.25">
      <c r="A3" s="16">
        <v>45991</v>
      </c>
      <c r="B3" s="14" t="s">
        <v>450</v>
      </c>
      <c r="C3" s="14" t="s">
        <v>451</v>
      </c>
      <c r="D3" s="14" t="s">
        <v>452</v>
      </c>
      <c r="E3" s="37">
        <v>1</v>
      </c>
      <c r="F3" s="17">
        <v>36000</v>
      </c>
      <c r="G3" s="14" t="s">
        <v>448</v>
      </c>
      <c r="H3" s="14"/>
      <c r="I3" s="14"/>
      <c r="K3" s="16">
        <v>46062</v>
      </c>
      <c r="L3" s="14" t="s">
        <v>449</v>
      </c>
      <c r="M3" s="14"/>
      <c r="N3" s="14"/>
      <c r="O3" s="14"/>
      <c r="P3" s="40">
        <v>3000</v>
      </c>
      <c r="Q3" s="14" t="s">
        <v>448</v>
      </c>
      <c r="R3" s="14"/>
    </row>
    <row r="4" spans="1:18" s="20" customFormat="1" x14ac:dyDescent="0.25">
      <c r="A4" s="16">
        <v>45992</v>
      </c>
      <c r="B4" s="14" t="s">
        <v>450</v>
      </c>
      <c r="C4" s="14" t="s">
        <v>451</v>
      </c>
      <c r="D4" s="14" t="s">
        <v>452</v>
      </c>
      <c r="E4" s="37">
        <v>2</v>
      </c>
      <c r="F4" s="17">
        <v>30000</v>
      </c>
      <c r="G4" s="14" t="s">
        <v>448</v>
      </c>
      <c r="H4" s="14"/>
      <c r="I4" s="14"/>
      <c r="K4" s="16">
        <v>46086</v>
      </c>
      <c r="L4" s="14" t="s">
        <v>449</v>
      </c>
      <c r="M4" s="14" t="s">
        <v>421</v>
      </c>
      <c r="N4" s="16"/>
      <c r="O4" s="16"/>
      <c r="P4" s="40">
        <v>6000</v>
      </c>
      <c r="Q4" s="14" t="s">
        <v>448</v>
      </c>
      <c r="R4" s="14"/>
    </row>
    <row r="5" spans="1:18" s="20" customFormat="1" x14ac:dyDescent="0.25">
      <c r="A5" s="16">
        <v>45992</v>
      </c>
      <c r="B5" s="14" t="s">
        <v>453</v>
      </c>
      <c r="C5" s="14"/>
      <c r="D5" s="15" t="s">
        <v>454</v>
      </c>
      <c r="E5" s="86">
        <v>1</v>
      </c>
      <c r="F5" s="17">
        <v>6000</v>
      </c>
      <c r="G5" s="14" t="s">
        <v>448</v>
      </c>
      <c r="H5" s="14"/>
      <c r="I5" s="14"/>
      <c r="K5" s="16">
        <v>46101</v>
      </c>
      <c r="L5" s="14" t="s">
        <v>449</v>
      </c>
      <c r="M5" s="14" t="s">
        <v>421</v>
      </c>
      <c r="N5" s="14"/>
      <c r="O5" s="14"/>
      <c r="P5" s="40">
        <v>3000</v>
      </c>
      <c r="Q5" s="14" t="s">
        <v>448</v>
      </c>
      <c r="R5" s="14"/>
    </row>
    <row r="6" spans="1:18" s="20" customFormat="1" x14ac:dyDescent="0.25">
      <c r="A6" s="16">
        <v>45996</v>
      </c>
      <c r="B6" s="14" t="s">
        <v>450</v>
      </c>
      <c r="C6" s="14" t="s">
        <v>451</v>
      </c>
      <c r="D6" s="14" t="s">
        <v>452</v>
      </c>
      <c r="E6" s="37">
        <v>3</v>
      </c>
      <c r="F6" s="17">
        <v>40000</v>
      </c>
      <c r="G6" s="14" t="s">
        <v>448</v>
      </c>
      <c r="H6" s="14"/>
      <c r="I6" s="14"/>
      <c r="K6" s="16">
        <v>46116</v>
      </c>
      <c r="L6" s="14" t="s">
        <v>449</v>
      </c>
      <c r="M6" s="14" t="s">
        <v>421</v>
      </c>
      <c r="N6" s="14"/>
      <c r="O6" s="14"/>
      <c r="P6" s="40">
        <v>5000</v>
      </c>
      <c r="Q6" s="14" t="s">
        <v>448</v>
      </c>
      <c r="R6" s="14"/>
    </row>
    <row r="7" spans="1:18" s="20" customFormat="1" x14ac:dyDescent="0.25">
      <c r="A7" s="16">
        <v>45997</v>
      </c>
      <c r="B7" s="14" t="s">
        <v>455</v>
      </c>
      <c r="C7" s="14"/>
      <c r="D7" s="14" t="s">
        <v>456</v>
      </c>
      <c r="E7" s="37">
        <v>1</v>
      </c>
      <c r="F7" s="17">
        <v>800</v>
      </c>
      <c r="G7" s="14" t="s">
        <v>448</v>
      </c>
      <c r="H7" s="14"/>
      <c r="I7" s="14"/>
      <c r="K7" s="16">
        <v>46119</v>
      </c>
      <c r="L7" s="14" t="s">
        <v>450</v>
      </c>
      <c r="M7" s="14"/>
      <c r="N7" s="14"/>
      <c r="O7" s="14"/>
      <c r="P7" s="40">
        <f>79*25</f>
        <v>1975</v>
      </c>
      <c r="Q7" s="14" t="s">
        <v>448</v>
      </c>
      <c r="R7" s="14"/>
    </row>
    <row r="8" spans="1:18" s="20" customFormat="1" x14ac:dyDescent="0.25">
      <c r="A8" s="16">
        <v>45997</v>
      </c>
      <c r="B8" s="14" t="s">
        <v>457</v>
      </c>
      <c r="C8" s="14"/>
      <c r="D8" s="14"/>
      <c r="E8" s="37"/>
      <c r="F8" s="17">
        <v>453</v>
      </c>
      <c r="G8" s="14" t="s">
        <v>458</v>
      </c>
      <c r="H8" s="14"/>
      <c r="I8" s="14"/>
      <c r="K8" s="16">
        <v>46139</v>
      </c>
      <c r="L8" s="14" t="s">
        <v>449</v>
      </c>
      <c r="M8" s="14" t="s">
        <v>421</v>
      </c>
      <c r="N8" s="14"/>
      <c r="O8" s="14"/>
      <c r="P8" s="40">
        <v>9000</v>
      </c>
      <c r="Q8" s="14" t="s">
        <v>448</v>
      </c>
      <c r="R8" s="14"/>
    </row>
    <row r="9" spans="1:18" s="20" customFormat="1" x14ac:dyDescent="0.25">
      <c r="A9" s="16">
        <v>46003</v>
      </c>
      <c r="B9" s="14" t="s">
        <v>449</v>
      </c>
      <c r="C9" s="14"/>
      <c r="D9" s="14" t="s">
        <v>459</v>
      </c>
      <c r="E9" s="37">
        <v>1</v>
      </c>
      <c r="F9" s="17">
        <v>32000</v>
      </c>
      <c r="G9" s="14" t="s">
        <v>448</v>
      </c>
      <c r="H9" s="14"/>
      <c r="I9" s="14"/>
      <c r="K9" s="16">
        <v>46169</v>
      </c>
      <c r="L9" s="14" t="s">
        <v>460</v>
      </c>
      <c r="M9" s="14" t="s">
        <v>461</v>
      </c>
      <c r="N9" s="14"/>
      <c r="O9" s="14"/>
      <c r="P9" s="40">
        <v>3000</v>
      </c>
      <c r="Q9" s="14" t="s">
        <v>448</v>
      </c>
      <c r="R9" s="14"/>
    </row>
    <row r="10" spans="1:18" s="20" customFormat="1" x14ac:dyDescent="0.25">
      <c r="A10" s="16">
        <v>46003</v>
      </c>
      <c r="B10" s="14" t="s">
        <v>453</v>
      </c>
      <c r="C10" s="14"/>
      <c r="D10" s="14" t="s">
        <v>454</v>
      </c>
      <c r="E10" s="37">
        <v>2</v>
      </c>
      <c r="F10" s="17">
        <v>5400</v>
      </c>
      <c r="G10" s="14" t="s">
        <v>448</v>
      </c>
      <c r="H10" s="14"/>
      <c r="I10" s="14"/>
      <c r="K10" s="16">
        <v>46211</v>
      </c>
      <c r="L10" s="14" t="s">
        <v>449</v>
      </c>
      <c r="M10" s="14"/>
      <c r="N10" s="14"/>
      <c r="O10" s="14"/>
      <c r="P10" s="40">
        <v>8000</v>
      </c>
      <c r="Q10" s="14" t="s">
        <v>448</v>
      </c>
      <c r="R10" s="14"/>
    </row>
    <row r="11" spans="1:18" s="20" customFormat="1" x14ac:dyDescent="0.25">
      <c r="A11" s="16">
        <v>46004</v>
      </c>
      <c r="B11" s="14" t="s">
        <v>450</v>
      </c>
      <c r="C11" s="14" t="s">
        <v>451</v>
      </c>
      <c r="D11" s="14" t="s">
        <v>452</v>
      </c>
      <c r="E11" s="37">
        <v>4</v>
      </c>
      <c r="F11" s="17">
        <v>40000</v>
      </c>
      <c r="G11" s="14" t="s">
        <v>448</v>
      </c>
      <c r="H11" s="14"/>
      <c r="I11" s="14"/>
      <c r="K11" s="16">
        <v>46223</v>
      </c>
      <c r="L11" s="14" t="s">
        <v>449</v>
      </c>
      <c r="M11" s="14"/>
      <c r="N11" s="14"/>
      <c r="O11" s="14"/>
      <c r="P11" s="40">
        <v>5000</v>
      </c>
      <c r="Q11" s="14" t="s">
        <v>448</v>
      </c>
      <c r="R11" s="14"/>
    </row>
    <row r="12" spans="1:18" s="20" customFormat="1" x14ac:dyDescent="0.25">
      <c r="A12" s="16">
        <v>46007</v>
      </c>
      <c r="B12" s="14" t="s">
        <v>450</v>
      </c>
      <c r="C12" s="14" t="s">
        <v>451</v>
      </c>
      <c r="D12" s="14" t="s">
        <v>452</v>
      </c>
      <c r="E12" s="37">
        <v>5</v>
      </c>
      <c r="F12" s="17">
        <v>40000</v>
      </c>
      <c r="G12" s="14" t="s">
        <v>448</v>
      </c>
      <c r="H12" s="14"/>
      <c r="I12" s="14"/>
      <c r="K12" s="16">
        <v>46249</v>
      </c>
      <c r="L12" s="14" t="s">
        <v>450</v>
      </c>
      <c r="M12" s="14"/>
      <c r="N12" s="14"/>
      <c r="O12" s="14"/>
      <c r="P12" s="40">
        <v>2000</v>
      </c>
      <c r="Q12" s="14" t="s">
        <v>448</v>
      </c>
      <c r="R12" s="14"/>
    </row>
    <row r="13" spans="1:18" s="20" customFormat="1" x14ac:dyDescent="0.25">
      <c r="A13" s="16">
        <v>46007</v>
      </c>
      <c r="B13" s="14" t="s">
        <v>462</v>
      </c>
      <c r="C13" s="14"/>
      <c r="D13" s="14" t="s">
        <v>463</v>
      </c>
      <c r="E13" s="37">
        <v>1</v>
      </c>
      <c r="F13" s="17">
        <v>20</v>
      </c>
      <c r="G13" s="14" t="s">
        <v>448</v>
      </c>
      <c r="H13" s="14"/>
      <c r="I13" s="14"/>
      <c r="K13" s="16">
        <v>46252</v>
      </c>
      <c r="L13" s="14" t="s">
        <v>450</v>
      </c>
      <c r="M13" s="14"/>
      <c r="N13" s="14"/>
      <c r="O13" s="14"/>
      <c r="P13" s="40">
        <v>3000</v>
      </c>
      <c r="Q13" s="14" t="s">
        <v>448</v>
      </c>
      <c r="R13" s="14"/>
    </row>
    <row r="14" spans="1:18" s="20" customFormat="1" x14ac:dyDescent="0.25">
      <c r="A14" s="16">
        <v>46008</v>
      </c>
      <c r="B14" s="14" t="s">
        <v>450</v>
      </c>
      <c r="C14" s="14" t="s">
        <v>451</v>
      </c>
      <c r="D14" s="14" t="s">
        <v>452</v>
      </c>
      <c r="E14" s="37">
        <v>6</v>
      </c>
      <c r="F14" s="17">
        <v>40000</v>
      </c>
      <c r="G14" s="14" t="s">
        <v>448</v>
      </c>
      <c r="H14" s="14"/>
      <c r="I14" s="14"/>
      <c r="K14" s="16">
        <v>46255</v>
      </c>
      <c r="L14" s="14" t="s">
        <v>450</v>
      </c>
      <c r="M14" s="14"/>
      <c r="N14" s="14"/>
      <c r="O14" s="14"/>
      <c r="P14" s="40">
        <v>6000</v>
      </c>
      <c r="Q14" s="14" t="s">
        <v>448</v>
      </c>
      <c r="R14" s="14"/>
    </row>
    <row r="15" spans="1:18" s="20" customFormat="1" x14ac:dyDescent="0.25">
      <c r="A15" s="16">
        <v>46011</v>
      </c>
      <c r="B15" s="14" t="s">
        <v>457</v>
      </c>
      <c r="C15" s="14"/>
      <c r="D15" s="14"/>
      <c r="E15" s="37"/>
      <c r="F15" s="17">
        <v>114</v>
      </c>
      <c r="G15" s="14" t="s">
        <v>458</v>
      </c>
      <c r="H15" s="14"/>
      <c r="I15" s="14"/>
      <c r="K15" s="16">
        <v>46280</v>
      </c>
      <c r="L15" s="14" t="s">
        <v>449</v>
      </c>
      <c r="M15" s="14" t="s">
        <v>421</v>
      </c>
      <c r="N15" s="14"/>
      <c r="O15" s="14"/>
      <c r="P15" s="40">
        <v>10000</v>
      </c>
      <c r="Q15" s="14" t="s">
        <v>448</v>
      </c>
      <c r="R15" s="14"/>
    </row>
    <row r="16" spans="1:18" x14ac:dyDescent="0.25">
      <c r="A16" s="16">
        <v>46376</v>
      </c>
      <c r="B16" s="14" t="s">
        <v>450</v>
      </c>
      <c r="C16" s="14"/>
      <c r="D16" s="14" t="s">
        <v>452</v>
      </c>
      <c r="E16" s="37">
        <v>7</v>
      </c>
      <c r="F16" s="17">
        <v>20000</v>
      </c>
      <c r="G16" s="14" t="s">
        <v>448</v>
      </c>
      <c r="H16" s="14" t="s">
        <v>464</v>
      </c>
      <c r="I16" s="14"/>
      <c r="K16" s="16"/>
      <c r="L16" s="14"/>
      <c r="M16" s="14"/>
      <c r="N16" s="14"/>
      <c r="O16" s="14"/>
      <c r="P16" s="40"/>
      <c r="Q16" s="14"/>
      <c r="R16" s="14"/>
    </row>
    <row r="17" spans="1:18" x14ac:dyDescent="0.25">
      <c r="A17" s="16">
        <v>46024</v>
      </c>
      <c r="B17" s="14" t="s">
        <v>465</v>
      </c>
      <c r="C17" s="14"/>
      <c r="D17" s="14" t="s">
        <v>466</v>
      </c>
      <c r="E17" s="37">
        <v>1</v>
      </c>
      <c r="F17" s="17">
        <v>5000</v>
      </c>
      <c r="G17" s="14" t="s">
        <v>448</v>
      </c>
      <c r="H17" s="14"/>
      <c r="I17" s="14"/>
      <c r="K17" s="16"/>
      <c r="L17" s="14"/>
      <c r="M17" s="14"/>
      <c r="N17" s="14"/>
      <c r="O17" s="14"/>
      <c r="P17" s="40"/>
      <c r="Q17" s="14"/>
      <c r="R17" s="14"/>
    </row>
    <row r="18" spans="1:18" x14ac:dyDescent="0.25">
      <c r="A18" s="16">
        <v>46024</v>
      </c>
      <c r="B18" s="14" t="s">
        <v>467</v>
      </c>
      <c r="C18" s="14"/>
      <c r="D18" s="14" t="s">
        <v>468</v>
      </c>
      <c r="E18" s="37">
        <v>1</v>
      </c>
      <c r="F18" s="17">
        <v>200</v>
      </c>
      <c r="G18" s="14" t="s">
        <v>448</v>
      </c>
      <c r="H18" s="14"/>
      <c r="I18" s="14"/>
      <c r="K18" s="16"/>
      <c r="L18" s="14"/>
      <c r="M18" s="14"/>
      <c r="N18" s="14"/>
      <c r="O18" s="14"/>
      <c r="P18" s="40"/>
      <c r="Q18" s="14"/>
      <c r="R18" s="14"/>
    </row>
    <row r="19" spans="1:18" x14ac:dyDescent="0.25">
      <c r="A19" s="16">
        <v>46024</v>
      </c>
      <c r="B19" s="14" t="s">
        <v>469</v>
      </c>
      <c r="C19" s="14"/>
      <c r="D19" s="14" t="s">
        <v>470</v>
      </c>
      <c r="E19" s="37">
        <v>1</v>
      </c>
      <c r="F19" s="17">
        <v>440</v>
      </c>
      <c r="G19" s="14" t="s">
        <v>448</v>
      </c>
      <c r="H19" s="14"/>
      <c r="I19" s="14"/>
    </row>
    <row r="20" spans="1:18" x14ac:dyDescent="0.25">
      <c r="A20" s="16">
        <v>46024</v>
      </c>
      <c r="B20" s="14" t="s">
        <v>471</v>
      </c>
      <c r="C20" s="14"/>
      <c r="D20" s="14" t="s">
        <v>472</v>
      </c>
      <c r="E20" s="37">
        <v>1</v>
      </c>
      <c r="F20" s="17">
        <v>138</v>
      </c>
      <c r="G20" s="14" t="s">
        <v>448</v>
      </c>
      <c r="H20" s="14"/>
      <c r="I20" s="14"/>
    </row>
    <row r="21" spans="1:18" x14ac:dyDescent="0.25">
      <c r="A21" s="16">
        <v>46025</v>
      </c>
      <c r="B21" s="14" t="s">
        <v>446</v>
      </c>
      <c r="C21" s="14"/>
      <c r="D21" s="14" t="s">
        <v>447</v>
      </c>
      <c r="E21" s="37">
        <v>2</v>
      </c>
      <c r="F21" s="17">
        <v>35000</v>
      </c>
      <c r="G21" s="14" t="s">
        <v>448</v>
      </c>
      <c r="H21" s="14"/>
      <c r="I21" s="14"/>
    </row>
    <row r="22" spans="1:18" x14ac:dyDescent="0.25">
      <c r="A22" s="16">
        <v>46028</v>
      </c>
      <c r="B22" s="14" t="s">
        <v>460</v>
      </c>
      <c r="C22" s="14"/>
      <c r="D22" s="14" t="s">
        <v>473</v>
      </c>
      <c r="E22" s="37">
        <v>1</v>
      </c>
      <c r="F22" s="17">
        <v>5000</v>
      </c>
      <c r="G22" s="14" t="s">
        <v>448</v>
      </c>
      <c r="H22" s="14"/>
      <c r="I22" s="14"/>
    </row>
    <row r="23" spans="1:18" x14ac:dyDescent="0.25">
      <c r="A23" s="16">
        <v>46028</v>
      </c>
      <c r="B23" s="14" t="s">
        <v>453</v>
      </c>
      <c r="C23" s="14"/>
      <c r="D23" s="14" t="s">
        <v>454</v>
      </c>
      <c r="E23" s="37">
        <v>3</v>
      </c>
      <c r="F23" s="17">
        <v>2500</v>
      </c>
      <c r="G23" s="14" t="s">
        <v>448</v>
      </c>
      <c r="H23" s="14" t="s">
        <v>474</v>
      </c>
      <c r="I23" s="14"/>
    </row>
    <row r="24" spans="1:18" x14ac:dyDescent="0.25">
      <c r="A24" s="16">
        <v>46028</v>
      </c>
      <c r="B24" s="14" t="s">
        <v>475</v>
      </c>
      <c r="C24" s="14"/>
      <c r="D24" s="14" t="s">
        <v>476</v>
      </c>
      <c r="E24" s="37">
        <v>1</v>
      </c>
      <c r="F24" s="17">
        <v>40</v>
      </c>
      <c r="G24" s="14" t="s">
        <v>448</v>
      </c>
      <c r="H24" s="14"/>
      <c r="I24" s="14"/>
    </row>
    <row r="25" spans="1:18" x14ac:dyDescent="0.25">
      <c r="A25" s="16">
        <v>46030</v>
      </c>
      <c r="B25" s="14" t="s">
        <v>449</v>
      </c>
      <c r="C25" s="14"/>
      <c r="D25" s="14" t="s">
        <v>459</v>
      </c>
      <c r="E25" s="37">
        <v>2</v>
      </c>
      <c r="F25" s="17">
        <v>25000</v>
      </c>
      <c r="G25" s="14" t="s">
        <v>448</v>
      </c>
      <c r="H25" s="14"/>
      <c r="I25" s="14"/>
    </row>
    <row r="26" spans="1:18" x14ac:dyDescent="0.25">
      <c r="A26" s="16">
        <v>46030</v>
      </c>
      <c r="B26" s="14" t="s">
        <v>450</v>
      </c>
      <c r="C26" s="14"/>
      <c r="D26" s="14" t="s">
        <v>452</v>
      </c>
      <c r="E26" s="37">
        <v>8</v>
      </c>
      <c r="F26" s="17">
        <v>17000</v>
      </c>
      <c r="G26" s="14" t="s">
        <v>448</v>
      </c>
      <c r="H26" s="14"/>
      <c r="I26" s="14"/>
    </row>
    <row r="27" spans="1:18" x14ac:dyDescent="0.25">
      <c r="A27" s="16">
        <v>46030</v>
      </c>
      <c r="B27" s="14" t="s">
        <v>457</v>
      </c>
      <c r="C27" s="14"/>
      <c r="D27" s="14"/>
      <c r="E27" s="37"/>
      <c r="F27" s="17">
        <v>212</v>
      </c>
      <c r="G27" s="14" t="s">
        <v>458</v>
      </c>
      <c r="H27" s="14"/>
      <c r="I27" s="14"/>
    </row>
    <row r="28" spans="1:18" x14ac:dyDescent="0.25">
      <c r="A28" s="16">
        <v>46030</v>
      </c>
      <c r="B28" s="14" t="s">
        <v>457</v>
      </c>
      <c r="C28" s="14"/>
      <c r="D28" s="14"/>
      <c r="E28" s="37"/>
      <c r="F28" s="17">
        <v>572</v>
      </c>
      <c r="G28" s="14" t="s">
        <v>458</v>
      </c>
      <c r="H28" s="14"/>
      <c r="I28" s="14"/>
    </row>
    <row r="29" spans="1:18" x14ac:dyDescent="0.25">
      <c r="A29" s="16">
        <v>46030</v>
      </c>
      <c r="B29" s="14" t="s">
        <v>471</v>
      </c>
      <c r="C29" s="14"/>
      <c r="D29" s="14" t="s">
        <v>472</v>
      </c>
      <c r="E29" s="37">
        <v>2</v>
      </c>
      <c r="F29" s="17">
        <v>200</v>
      </c>
      <c r="G29" s="14" t="s">
        <v>448</v>
      </c>
      <c r="H29" s="14"/>
      <c r="I29" s="14"/>
    </row>
    <row r="30" spans="1:18" x14ac:dyDescent="0.25">
      <c r="A30" s="16">
        <v>46030</v>
      </c>
      <c r="B30" s="14" t="s">
        <v>477</v>
      </c>
      <c r="C30" s="14"/>
      <c r="D30" s="14" t="s">
        <v>470</v>
      </c>
      <c r="E30" s="37">
        <v>2</v>
      </c>
      <c r="F30" s="17">
        <v>150</v>
      </c>
      <c r="G30" s="14" t="s">
        <v>448</v>
      </c>
      <c r="H30" s="14"/>
      <c r="I30" s="14"/>
    </row>
    <row r="31" spans="1:18" x14ac:dyDescent="0.25">
      <c r="A31" s="16">
        <v>46030</v>
      </c>
      <c r="B31" s="14" t="s">
        <v>467</v>
      </c>
      <c r="C31" s="14"/>
      <c r="D31" s="14" t="s">
        <v>468</v>
      </c>
      <c r="E31" s="37">
        <v>2</v>
      </c>
      <c r="F31" s="17">
        <v>300</v>
      </c>
      <c r="G31" s="14" t="s">
        <v>448</v>
      </c>
      <c r="H31" s="14"/>
      <c r="I31" s="14"/>
    </row>
    <row r="32" spans="1:18" x14ac:dyDescent="0.25">
      <c r="A32" s="16">
        <v>46030</v>
      </c>
      <c r="B32" s="14" t="s">
        <v>455</v>
      </c>
      <c r="C32" s="14"/>
      <c r="D32" s="14" t="s">
        <v>456</v>
      </c>
      <c r="E32" s="37">
        <v>2</v>
      </c>
      <c r="F32" s="17">
        <v>1200</v>
      </c>
      <c r="G32" s="14" t="s">
        <v>448</v>
      </c>
      <c r="H32" s="14"/>
      <c r="I32" s="14"/>
    </row>
    <row r="33" spans="1:14" x14ac:dyDescent="0.25">
      <c r="A33" s="16">
        <v>46037</v>
      </c>
      <c r="B33" s="14" t="s">
        <v>457</v>
      </c>
      <c r="C33" s="14"/>
      <c r="D33" s="14"/>
      <c r="E33" s="37"/>
      <c r="F33" s="17">
        <v>485</v>
      </c>
      <c r="G33" s="14" t="s">
        <v>458</v>
      </c>
      <c r="H33" s="14"/>
      <c r="I33" s="14"/>
    </row>
    <row r="34" spans="1:14" x14ac:dyDescent="0.25">
      <c r="A34" s="16">
        <v>46039</v>
      </c>
      <c r="B34" s="14" t="s">
        <v>478</v>
      </c>
      <c r="C34" s="14"/>
      <c r="D34" s="14" t="s">
        <v>479</v>
      </c>
      <c r="E34" s="37">
        <v>1</v>
      </c>
      <c r="F34" s="17">
        <v>350</v>
      </c>
      <c r="G34" s="14" t="s">
        <v>448</v>
      </c>
      <c r="H34" s="14"/>
      <c r="I34" s="14"/>
      <c r="N34" t="s">
        <v>417</v>
      </c>
    </row>
    <row r="35" spans="1:14" x14ac:dyDescent="0.25">
      <c r="A35" s="16">
        <v>46040</v>
      </c>
      <c r="B35" s="14" t="s">
        <v>480</v>
      </c>
      <c r="C35" s="14"/>
      <c r="D35" s="14" t="s">
        <v>481</v>
      </c>
      <c r="E35" s="37">
        <v>1</v>
      </c>
      <c r="F35" s="17">
        <v>200</v>
      </c>
      <c r="G35" s="14" t="s">
        <v>448</v>
      </c>
      <c r="H35" s="14"/>
      <c r="I35" s="14"/>
    </row>
    <row r="36" spans="1:14" x14ac:dyDescent="0.25">
      <c r="A36" s="16">
        <v>46041</v>
      </c>
      <c r="B36" s="14" t="s">
        <v>457</v>
      </c>
      <c r="C36" s="14"/>
      <c r="D36" s="14"/>
      <c r="E36" s="37"/>
      <c r="F36" s="17">
        <v>489</v>
      </c>
      <c r="G36" s="14" t="s">
        <v>458</v>
      </c>
      <c r="H36" s="14"/>
      <c r="I36" s="14"/>
    </row>
    <row r="37" spans="1:14" x14ac:dyDescent="0.25">
      <c r="A37" s="16">
        <v>46041</v>
      </c>
      <c r="B37" s="14" t="s">
        <v>450</v>
      </c>
      <c r="C37" s="14"/>
      <c r="D37" s="14" t="s">
        <v>452</v>
      </c>
      <c r="E37" s="37">
        <v>9</v>
      </c>
      <c r="F37" s="17">
        <v>25000</v>
      </c>
      <c r="G37" s="14" t="s">
        <v>448</v>
      </c>
      <c r="H37" s="14" t="s">
        <v>482</v>
      </c>
      <c r="I37" s="14"/>
    </row>
    <row r="38" spans="1:14" x14ac:dyDescent="0.25">
      <c r="A38" s="16">
        <v>46041</v>
      </c>
      <c r="B38" s="14" t="s">
        <v>450</v>
      </c>
      <c r="C38" s="14"/>
      <c r="D38" s="14" t="s">
        <v>452</v>
      </c>
      <c r="E38" s="37">
        <v>9</v>
      </c>
      <c r="F38" s="17">
        <v>15000</v>
      </c>
      <c r="G38" s="14" t="s">
        <v>448</v>
      </c>
      <c r="H38" s="14" t="s">
        <v>483</v>
      </c>
      <c r="I38" s="14"/>
    </row>
    <row r="39" spans="1:14" x14ac:dyDescent="0.25">
      <c r="A39" s="16">
        <v>46043</v>
      </c>
      <c r="B39" s="14" t="s">
        <v>457</v>
      </c>
      <c r="C39" s="14"/>
      <c r="D39" s="14"/>
      <c r="E39" s="37"/>
      <c r="F39" s="17">
        <v>1000</v>
      </c>
      <c r="G39" s="14" t="s">
        <v>458</v>
      </c>
      <c r="H39" s="14"/>
      <c r="I39" s="14"/>
    </row>
    <row r="40" spans="1:14" x14ac:dyDescent="0.25">
      <c r="A40" s="16">
        <v>46045</v>
      </c>
      <c r="B40" s="14" t="s">
        <v>471</v>
      </c>
      <c r="C40" s="14"/>
      <c r="D40" s="14" t="s">
        <v>472</v>
      </c>
      <c r="E40" s="37">
        <v>3</v>
      </c>
      <c r="F40" s="17">
        <f>12*46</f>
        <v>552</v>
      </c>
      <c r="G40" s="14" t="s">
        <v>448</v>
      </c>
      <c r="H40" s="14"/>
      <c r="I40" s="14"/>
    </row>
    <row r="41" spans="1:14" x14ac:dyDescent="0.25">
      <c r="A41" s="16">
        <v>46047</v>
      </c>
      <c r="B41" s="14" t="s">
        <v>449</v>
      </c>
      <c r="C41" s="14"/>
      <c r="D41" s="14" t="s">
        <v>459</v>
      </c>
      <c r="E41" s="37">
        <v>3</v>
      </c>
      <c r="F41" s="17">
        <v>29000</v>
      </c>
      <c r="G41" s="14" t="s">
        <v>448</v>
      </c>
      <c r="H41" s="14"/>
      <c r="I41" s="14"/>
    </row>
    <row r="42" spans="1:14" x14ac:dyDescent="0.25">
      <c r="A42" s="16">
        <v>46047</v>
      </c>
      <c r="B42" s="14" t="s">
        <v>453</v>
      </c>
      <c r="C42" s="14"/>
      <c r="D42" s="14" t="s">
        <v>454</v>
      </c>
      <c r="E42" s="37">
        <v>4</v>
      </c>
      <c r="F42" s="17">
        <v>7900</v>
      </c>
      <c r="G42" s="14" t="s">
        <v>448</v>
      </c>
      <c r="H42" s="14"/>
      <c r="I42" s="14"/>
    </row>
    <row r="43" spans="1:14" x14ac:dyDescent="0.25">
      <c r="A43" s="16">
        <v>46047</v>
      </c>
      <c r="B43" s="14" t="s">
        <v>465</v>
      </c>
      <c r="C43" s="14"/>
      <c r="D43" s="14" t="s">
        <v>466</v>
      </c>
      <c r="E43" s="37">
        <v>2</v>
      </c>
      <c r="F43" s="17">
        <v>5000</v>
      </c>
      <c r="G43" s="14" t="s">
        <v>448</v>
      </c>
      <c r="H43" s="14"/>
      <c r="I43" s="14"/>
    </row>
    <row r="44" spans="1:14" x14ac:dyDescent="0.25">
      <c r="A44" s="16">
        <v>46047</v>
      </c>
      <c r="B44" s="14" t="s">
        <v>455</v>
      </c>
      <c r="C44" s="14"/>
      <c r="D44" s="14" t="s">
        <v>456</v>
      </c>
      <c r="E44" s="37">
        <v>3</v>
      </c>
      <c r="F44" s="17">
        <v>1500</v>
      </c>
      <c r="G44" s="14" t="s">
        <v>448</v>
      </c>
      <c r="H44" s="14"/>
      <c r="I44" s="14"/>
    </row>
    <row r="45" spans="1:14" x14ac:dyDescent="0.25">
      <c r="A45" s="16">
        <v>46049</v>
      </c>
      <c r="B45" s="14" t="s">
        <v>457</v>
      </c>
      <c r="C45" s="14"/>
      <c r="D45" s="14"/>
      <c r="E45" s="37"/>
      <c r="F45" s="17">
        <v>136</v>
      </c>
      <c r="G45" s="14" t="s">
        <v>458</v>
      </c>
      <c r="H45" s="14"/>
      <c r="I45" s="14"/>
    </row>
    <row r="46" spans="1:14" x14ac:dyDescent="0.25">
      <c r="A46" s="16">
        <v>46050</v>
      </c>
      <c r="B46" s="14" t="s">
        <v>450</v>
      </c>
      <c r="C46" s="14"/>
      <c r="D46" s="14" t="s">
        <v>452</v>
      </c>
      <c r="E46" s="37">
        <v>10</v>
      </c>
      <c r="F46" s="17">
        <v>40000</v>
      </c>
      <c r="G46" s="14" t="s">
        <v>448</v>
      </c>
      <c r="H46" s="14"/>
      <c r="I46" s="14"/>
    </row>
    <row r="47" spans="1:14" x14ac:dyDescent="0.25">
      <c r="A47" s="16">
        <v>46051</v>
      </c>
      <c r="B47" s="14" t="s">
        <v>457</v>
      </c>
      <c r="C47" s="14"/>
      <c r="D47" s="14"/>
      <c r="E47" s="37"/>
      <c r="F47" s="17">
        <v>362</v>
      </c>
      <c r="G47" s="14" t="s">
        <v>458</v>
      </c>
      <c r="H47" s="14"/>
      <c r="I47" s="14"/>
    </row>
    <row r="48" spans="1:14" x14ac:dyDescent="0.25">
      <c r="A48" s="16">
        <v>46052</v>
      </c>
      <c r="B48" s="14" t="s">
        <v>457</v>
      </c>
      <c r="C48" s="14"/>
      <c r="D48" s="14"/>
      <c r="E48" s="37"/>
      <c r="F48" s="17">
        <v>385</v>
      </c>
      <c r="G48" s="14" t="s">
        <v>458</v>
      </c>
      <c r="H48" s="14"/>
      <c r="I48" s="14"/>
    </row>
    <row r="49" spans="1:9" x14ac:dyDescent="0.25">
      <c r="A49" s="16">
        <v>46052</v>
      </c>
      <c r="B49" s="14" t="s">
        <v>457</v>
      </c>
      <c r="C49" s="14"/>
      <c r="D49" s="14"/>
      <c r="E49" s="37"/>
      <c r="F49" s="17">
        <f>340-67</f>
        <v>273</v>
      </c>
      <c r="G49" s="14" t="s">
        <v>458</v>
      </c>
      <c r="H49" s="14"/>
      <c r="I49" s="14"/>
    </row>
    <row r="50" spans="1:9" x14ac:dyDescent="0.25">
      <c r="A50" s="16">
        <v>46057</v>
      </c>
      <c r="B50" s="14" t="s">
        <v>446</v>
      </c>
      <c r="C50" s="14"/>
      <c r="D50" s="14" t="s">
        <v>447</v>
      </c>
      <c r="E50" s="37">
        <v>3</v>
      </c>
      <c r="F50" s="17">
        <v>35000</v>
      </c>
      <c r="G50" s="14" t="s">
        <v>448</v>
      </c>
      <c r="H50" s="14"/>
      <c r="I50" s="14"/>
    </row>
    <row r="51" spans="1:9" x14ac:dyDescent="0.25">
      <c r="A51" s="16">
        <v>46057</v>
      </c>
      <c r="B51" s="14" t="s">
        <v>478</v>
      </c>
      <c r="C51" s="14"/>
      <c r="D51" s="14" t="s">
        <v>479</v>
      </c>
      <c r="E51" s="37">
        <v>2</v>
      </c>
      <c r="F51" s="17">
        <v>600</v>
      </c>
      <c r="G51" s="14" t="s">
        <v>448</v>
      </c>
      <c r="H51" s="14"/>
      <c r="I51" s="14"/>
    </row>
    <row r="52" spans="1:9" x14ac:dyDescent="0.25">
      <c r="A52" s="16">
        <v>46057</v>
      </c>
      <c r="B52" s="14" t="s">
        <v>467</v>
      </c>
      <c r="C52" s="14"/>
      <c r="D52" s="14" t="s">
        <v>468</v>
      </c>
      <c r="E52" s="37">
        <v>3</v>
      </c>
      <c r="F52" s="17">
        <v>450</v>
      </c>
      <c r="G52" s="14" t="s">
        <v>448</v>
      </c>
      <c r="H52" s="14"/>
      <c r="I52" s="14"/>
    </row>
    <row r="53" spans="1:9" x14ac:dyDescent="0.25">
      <c r="A53" s="16">
        <v>46059</v>
      </c>
      <c r="B53" s="14" t="s">
        <v>457</v>
      </c>
      <c r="C53" s="14"/>
      <c r="D53" s="14"/>
      <c r="E53" s="37"/>
      <c r="F53" s="17">
        <v>67</v>
      </c>
      <c r="G53" s="14" t="s">
        <v>458</v>
      </c>
      <c r="H53" s="14"/>
      <c r="I53" s="14"/>
    </row>
    <row r="54" spans="1:9" x14ac:dyDescent="0.25">
      <c r="A54" s="16">
        <v>46058</v>
      </c>
      <c r="B54" s="14" t="s">
        <v>450</v>
      </c>
      <c r="C54" s="14"/>
      <c r="D54" s="14" t="s">
        <v>452</v>
      </c>
      <c r="E54" s="37">
        <v>11</v>
      </c>
      <c r="F54" s="17">
        <v>33325</v>
      </c>
      <c r="G54" s="14" t="s">
        <v>448</v>
      </c>
      <c r="H54" s="14"/>
      <c r="I54" s="14"/>
    </row>
    <row r="55" spans="1:9" x14ac:dyDescent="0.25">
      <c r="A55" s="16">
        <v>46058</v>
      </c>
      <c r="B55" s="14" t="s">
        <v>484</v>
      </c>
      <c r="C55" s="14"/>
      <c r="D55" s="14" t="s">
        <v>485</v>
      </c>
      <c r="E55" s="37">
        <v>1</v>
      </c>
      <c r="F55" s="17">
        <v>20</v>
      </c>
      <c r="G55" s="14" t="s">
        <v>448</v>
      </c>
      <c r="H55" s="14"/>
      <c r="I55" s="14"/>
    </row>
    <row r="56" spans="1:9" x14ac:dyDescent="0.25">
      <c r="A56" s="16">
        <v>46062</v>
      </c>
      <c r="B56" s="14" t="s">
        <v>467</v>
      </c>
      <c r="C56" s="14"/>
      <c r="D56" s="14" t="s">
        <v>468</v>
      </c>
      <c r="E56" s="37">
        <v>4</v>
      </c>
      <c r="F56" s="17">
        <v>450</v>
      </c>
      <c r="G56" s="14" t="s">
        <v>448</v>
      </c>
      <c r="H56" s="14"/>
      <c r="I56" s="14"/>
    </row>
    <row r="57" spans="1:9" x14ac:dyDescent="0.25">
      <c r="A57" s="16">
        <v>46063</v>
      </c>
      <c r="B57" s="14" t="s">
        <v>469</v>
      </c>
      <c r="C57" s="14"/>
      <c r="D57" s="14" t="s">
        <v>470</v>
      </c>
      <c r="E57" s="37">
        <v>3</v>
      </c>
      <c r="F57" s="17">
        <v>850</v>
      </c>
      <c r="G57" s="14" t="s">
        <v>448</v>
      </c>
      <c r="H57" s="14"/>
      <c r="I57" s="14"/>
    </row>
    <row r="58" spans="1:9" x14ac:dyDescent="0.25">
      <c r="A58" s="16">
        <v>46063</v>
      </c>
      <c r="B58" s="14" t="s">
        <v>457</v>
      </c>
      <c r="C58" s="14"/>
      <c r="D58" s="14"/>
      <c r="E58" s="37"/>
      <c r="F58" s="17">
        <v>624</v>
      </c>
      <c r="G58" s="14" t="s">
        <v>458</v>
      </c>
      <c r="H58" s="14" t="s">
        <v>486</v>
      </c>
      <c r="I58" s="14"/>
    </row>
    <row r="59" spans="1:9" x14ac:dyDescent="0.25">
      <c r="A59" s="16">
        <v>46065</v>
      </c>
      <c r="B59" s="14" t="s">
        <v>457</v>
      </c>
      <c r="C59" s="14"/>
      <c r="D59" s="14"/>
      <c r="E59" s="37"/>
      <c r="F59" s="17">
        <v>929</v>
      </c>
      <c r="G59" s="14" t="s">
        <v>458</v>
      </c>
      <c r="H59" s="14" t="s">
        <v>487</v>
      </c>
      <c r="I59" s="14"/>
    </row>
    <row r="60" spans="1:9" x14ac:dyDescent="0.25">
      <c r="A60" s="16">
        <v>46066</v>
      </c>
      <c r="B60" s="14" t="s">
        <v>449</v>
      </c>
      <c r="C60" s="14"/>
      <c r="D60" s="14" t="s">
        <v>459</v>
      </c>
      <c r="E60" s="37">
        <v>4</v>
      </c>
      <c r="F60" s="17">
        <v>23000</v>
      </c>
      <c r="G60" s="14" t="s">
        <v>448</v>
      </c>
      <c r="H60" s="14"/>
      <c r="I60" s="14"/>
    </row>
    <row r="61" spans="1:9" x14ac:dyDescent="0.25">
      <c r="A61" s="16">
        <v>46066</v>
      </c>
      <c r="B61" s="14" t="s">
        <v>453</v>
      </c>
      <c r="C61" s="14"/>
      <c r="D61" s="14" t="s">
        <v>454</v>
      </c>
      <c r="E61" s="37">
        <v>5</v>
      </c>
      <c r="F61" s="17">
        <v>5000</v>
      </c>
      <c r="G61" s="14" t="s">
        <v>448</v>
      </c>
      <c r="H61" s="14"/>
      <c r="I61" s="14"/>
    </row>
    <row r="62" spans="1:9" x14ac:dyDescent="0.25">
      <c r="A62" s="16">
        <v>46066</v>
      </c>
      <c r="B62" s="14" t="s">
        <v>465</v>
      </c>
      <c r="C62" s="14"/>
      <c r="D62" s="14" t="s">
        <v>466</v>
      </c>
      <c r="E62" s="37">
        <v>3</v>
      </c>
      <c r="F62" s="17">
        <v>5000</v>
      </c>
      <c r="G62" s="14" t="s">
        <v>448</v>
      </c>
      <c r="H62" s="14"/>
      <c r="I62" s="14"/>
    </row>
    <row r="63" spans="1:9" x14ac:dyDescent="0.25">
      <c r="A63" s="16">
        <v>46069</v>
      </c>
      <c r="B63" s="14" t="s">
        <v>457</v>
      </c>
      <c r="C63" s="14"/>
      <c r="D63" s="14"/>
      <c r="E63" s="37"/>
      <c r="F63" s="17">
        <v>473</v>
      </c>
      <c r="G63" s="14" t="s">
        <v>458</v>
      </c>
      <c r="H63" s="14" t="s">
        <v>486</v>
      </c>
      <c r="I63" s="14"/>
    </row>
    <row r="64" spans="1:9" x14ac:dyDescent="0.25">
      <c r="A64" s="16">
        <v>46070</v>
      </c>
      <c r="B64" s="14" t="s">
        <v>471</v>
      </c>
      <c r="C64" s="14"/>
      <c r="D64" s="14" t="s">
        <v>472</v>
      </c>
      <c r="E64" s="37">
        <v>4</v>
      </c>
      <c r="F64" s="17">
        <f>11*46</f>
        <v>506</v>
      </c>
      <c r="G64" s="14" t="s">
        <v>448</v>
      </c>
      <c r="H64" s="14"/>
      <c r="I64" s="14"/>
    </row>
    <row r="65" spans="1:9" x14ac:dyDescent="0.25">
      <c r="A65" s="16">
        <v>46072</v>
      </c>
      <c r="B65" s="14" t="s">
        <v>457</v>
      </c>
      <c r="C65" s="14"/>
      <c r="D65" s="14"/>
      <c r="E65" s="37"/>
      <c r="F65" s="17">
        <v>116</v>
      </c>
      <c r="G65" s="14" t="s">
        <v>458</v>
      </c>
      <c r="H65" s="14" t="s">
        <v>486</v>
      </c>
      <c r="I65" s="14"/>
    </row>
    <row r="66" spans="1:9" x14ac:dyDescent="0.25">
      <c r="A66" s="16">
        <v>46074</v>
      </c>
      <c r="B66" s="14" t="s">
        <v>457</v>
      </c>
      <c r="C66" s="14"/>
      <c r="D66" s="14"/>
      <c r="E66" s="37"/>
      <c r="F66" s="17">
        <v>474</v>
      </c>
      <c r="G66" s="14" t="s">
        <v>458</v>
      </c>
      <c r="H66" s="14"/>
      <c r="I66" s="14"/>
    </row>
    <row r="67" spans="1:9" x14ac:dyDescent="0.25">
      <c r="A67" s="16">
        <v>46076</v>
      </c>
      <c r="B67" s="14" t="s">
        <v>450</v>
      </c>
      <c r="C67" s="14"/>
      <c r="D67" s="14" t="s">
        <v>452</v>
      </c>
      <c r="E67" s="37">
        <v>12</v>
      </c>
      <c r="F67" s="17">
        <v>80000</v>
      </c>
      <c r="G67" s="14" t="s">
        <v>448</v>
      </c>
      <c r="H67" s="14"/>
      <c r="I67" s="14"/>
    </row>
    <row r="68" spans="1:9" x14ac:dyDescent="0.25">
      <c r="A68" s="16">
        <v>46076</v>
      </c>
      <c r="B68" s="14" t="s">
        <v>446</v>
      </c>
      <c r="C68" s="14"/>
      <c r="D68" s="14" t="s">
        <v>447</v>
      </c>
      <c r="E68" s="37">
        <v>4</v>
      </c>
      <c r="F68" s="17">
        <v>6000</v>
      </c>
      <c r="G68" s="14" t="s">
        <v>448</v>
      </c>
      <c r="H68" s="14"/>
      <c r="I68" s="14"/>
    </row>
    <row r="69" spans="1:9" x14ac:dyDescent="0.25">
      <c r="A69" s="16">
        <v>46079</v>
      </c>
      <c r="B69" s="14" t="s">
        <v>457</v>
      </c>
      <c r="C69" s="14"/>
      <c r="D69" s="14"/>
      <c r="E69" s="37"/>
      <c r="F69" s="17">
        <v>432</v>
      </c>
      <c r="G69" s="14" t="s">
        <v>458</v>
      </c>
      <c r="H69" s="14"/>
      <c r="I69" s="14"/>
    </row>
    <row r="70" spans="1:9" x14ac:dyDescent="0.25">
      <c r="A70" s="16">
        <v>46080</v>
      </c>
      <c r="B70" s="14" t="s">
        <v>467</v>
      </c>
      <c r="C70" s="14"/>
      <c r="D70" s="14" t="s">
        <v>468</v>
      </c>
      <c r="E70" s="37">
        <v>5</v>
      </c>
      <c r="F70" s="17">
        <v>500</v>
      </c>
      <c r="G70" s="14" t="s">
        <v>448</v>
      </c>
      <c r="H70" s="14"/>
      <c r="I70" s="14"/>
    </row>
    <row r="71" spans="1:9" x14ac:dyDescent="0.25">
      <c r="A71" s="16">
        <v>46080</v>
      </c>
      <c r="B71" s="14" t="s">
        <v>471</v>
      </c>
      <c r="C71" s="14"/>
      <c r="D71" s="14" t="s">
        <v>472</v>
      </c>
      <c r="E71" s="37">
        <v>5</v>
      </c>
      <c r="F71" s="17">
        <v>500</v>
      </c>
      <c r="G71" s="14" t="s">
        <v>448</v>
      </c>
      <c r="H71" s="14"/>
      <c r="I71" s="14"/>
    </row>
    <row r="72" spans="1:9" x14ac:dyDescent="0.25">
      <c r="A72" s="16">
        <v>46081</v>
      </c>
      <c r="B72" s="14" t="s">
        <v>465</v>
      </c>
      <c r="C72" s="14"/>
      <c r="D72" s="14" t="s">
        <v>466</v>
      </c>
      <c r="E72" s="37">
        <v>4</v>
      </c>
      <c r="F72" s="17">
        <v>6000</v>
      </c>
      <c r="G72" s="14" t="s">
        <v>448</v>
      </c>
      <c r="H72" s="14"/>
      <c r="I72" s="14"/>
    </row>
    <row r="73" spans="1:9" x14ac:dyDescent="0.25">
      <c r="A73" s="16">
        <v>46081</v>
      </c>
      <c r="B73" s="14" t="s">
        <v>455</v>
      </c>
      <c r="C73" s="14"/>
      <c r="D73" s="14" t="s">
        <v>456</v>
      </c>
      <c r="E73" s="37">
        <v>4</v>
      </c>
      <c r="F73" s="17">
        <v>2400</v>
      </c>
      <c r="G73" s="14" t="s">
        <v>448</v>
      </c>
      <c r="H73" s="14"/>
      <c r="I73" s="14"/>
    </row>
    <row r="74" spans="1:9" x14ac:dyDescent="0.25">
      <c r="A74" s="16">
        <v>46081</v>
      </c>
      <c r="B74" s="14" t="s">
        <v>446</v>
      </c>
      <c r="C74" s="14"/>
      <c r="D74" s="14" t="s">
        <v>447</v>
      </c>
      <c r="E74" s="37">
        <v>5</v>
      </c>
      <c r="F74" s="17">
        <v>5000</v>
      </c>
      <c r="G74" s="14" t="s">
        <v>448</v>
      </c>
      <c r="H74" s="14"/>
      <c r="I74" s="14"/>
    </row>
    <row r="75" spans="1:9" x14ac:dyDescent="0.25">
      <c r="A75" s="16">
        <v>46081</v>
      </c>
      <c r="B75" s="14" t="s">
        <v>475</v>
      </c>
      <c r="C75" s="14"/>
      <c r="D75" s="14" t="s">
        <v>476</v>
      </c>
      <c r="E75" s="37">
        <v>2</v>
      </c>
      <c r="F75" s="17">
        <v>40</v>
      </c>
      <c r="G75" s="14" t="s">
        <v>448</v>
      </c>
      <c r="H75" s="14"/>
      <c r="I75" s="14"/>
    </row>
    <row r="76" spans="1:9" x14ac:dyDescent="0.25">
      <c r="A76" s="16">
        <v>46081</v>
      </c>
      <c r="B76" s="14" t="s">
        <v>484</v>
      </c>
      <c r="C76" s="14"/>
      <c r="D76" s="14" t="s">
        <v>485</v>
      </c>
      <c r="E76" s="37">
        <v>2</v>
      </c>
      <c r="F76" s="17">
        <v>20</v>
      </c>
      <c r="G76" s="14" t="s">
        <v>448</v>
      </c>
      <c r="H76" s="14"/>
      <c r="I76" s="14"/>
    </row>
    <row r="77" spans="1:9" x14ac:dyDescent="0.25">
      <c r="A77" s="16">
        <v>46084</v>
      </c>
      <c r="B77" s="14" t="s">
        <v>449</v>
      </c>
      <c r="C77" s="14"/>
      <c r="D77" s="14" t="s">
        <v>459</v>
      </c>
      <c r="E77" s="37">
        <v>5</v>
      </c>
      <c r="F77" s="17">
        <v>34000</v>
      </c>
      <c r="G77" s="14" t="s">
        <v>448</v>
      </c>
      <c r="H77" s="14"/>
      <c r="I77" s="14"/>
    </row>
    <row r="78" spans="1:9" x14ac:dyDescent="0.25">
      <c r="A78" s="16">
        <v>46084</v>
      </c>
      <c r="B78" s="14" t="s">
        <v>453</v>
      </c>
      <c r="C78" s="14"/>
      <c r="D78" s="14" t="s">
        <v>454</v>
      </c>
      <c r="E78" s="37">
        <v>6</v>
      </c>
      <c r="F78" s="17">
        <v>4000</v>
      </c>
      <c r="G78" s="14" t="s">
        <v>448</v>
      </c>
      <c r="H78" s="14"/>
      <c r="I78" s="14"/>
    </row>
    <row r="79" spans="1:9" x14ac:dyDescent="0.25">
      <c r="A79" s="16">
        <v>46086</v>
      </c>
      <c r="B79" s="14" t="s">
        <v>471</v>
      </c>
      <c r="C79" s="14"/>
      <c r="D79" s="14" t="s">
        <v>472</v>
      </c>
      <c r="E79" s="37">
        <v>6</v>
      </c>
      <c r="F79" s="17">
        <f>18*46</f>
        <v>828</v>
      </c>
      <c r="G79" s="14" t="s">
        <v>448</v>
      </c>
      <c r="H79" s="14"/>
      <c r="I79" s="14"/>
    </row>
    <row r="80" spans="1:9" x14ac:dyDescent="0.25">
      <c r="A80" s="16">
        <v>46086</v>
      </c>
      <c r="B80" s="14" t="s">
        <v>446</v>
      </c>
      <c r="C80" s="14"/>
      <c r="D80" s="14" t="s">
        <v>447</v>
      </c>
      <c r="E80" s="37">
        <v>6</v>
      </c>
      <c r="F80" s="17">
        <v>5000</v>
      </c>
      <c r="G80" s="14" t="s">
        <v>448</v>
      </c>
      <c r="H80" s="14"/>
      <c r="I80" s="14"/>
    </row>
    <row r="81" spans="1:9" x14ac:dyDescent="0.25">
      <c r="A81" s="16">
        <v>46086</v>
      </c>
      <c r="B81" s="14" t="s">
        <v>450</v>
      </c>
      <c r="C81" s="14"/>
      <c r="D81" s="14" t="s">
        <v>452</v>
      </c>
      <c r="E81" s="37">
        <v>13</v>
      </c>
      <c r="F81" s="17">
        <v>80000</v>
      </c>
      <c r="G81" s="14" t="s">
        <v>448</v>
      </c>
      <c r="H81" s="14"/>
      <c r="I81" s="14"/>
    </row>
    <row r="82" spans="1:9" x14ac:dyDescent="0.25">
      <c r="A82" s="16">
        <v>46087</v>
      </c>
      <c r="B82" s="14" t="s">
        <v>457</v>
      </c>
      <c r="C82" s="14"/>
      <c r="D82" s="14"/>
      <c r="E82" s="37"/>
      <c r="F82" s="17">
        <v>405</v>
      </c>
      <c r="G82" s="14" t="s">
        <v>458</v>
      </c>
      <c r="H82" s="14"/>
      <c r="I82" s="14"/>
    </row>
    <row r="83" spans="1:9" x14ac:dyDescent="0.25">
      <c r="A83" s="16">
        <v>46090</v>
      </c>
      <c r="B83" s="14" t="s">
        <v>460</v>
      </c>
      <c r="C83" s="14"/>
      <c r="D83" s="14" t="s">
        <v>473</v>
      </c>
      <c r="E83" s="37">
        <v>2</v>
      </c>
      <c r="F83" s="17">
        <v>2950</v>
      </c>
      <c r="G83" s="14" t="s">
        <v>448</v>
      </c>
      <c r="H83" s="14"/>
      <c r="I83" s="14"/>
    </row>
    <row r="84" spans="1:9" x14ac:dyDescent="0.25">
      <c r="A84" s="16">
        <v>46090</v>
      </c>
      <c r="B84" s="14" t="s">
        <v>457</v>
      </c>
      <c r="C84" s="14"/>
      <c r="D84" s="14"/>
      <c r="E84" s="37"/>
      <c r="F84" s="17">
        <v>319</v>
      </c>
      <c r="G84" s="14" t="s">
        <v>458</v>
      </c>
      <c r="H84" s="14"/>
      <c r="I84" s="14"/>
    </row>
    <row r="85" spans="1:9" x14ac:dyDescent="0.25">
      <c r="A85" s="16">
        <v>46093</v>
      </c>
      <c r="B85" s="14" t="s">
        <v>449</v>
      </c>
      <c r="C85" s="14"/>
      <c r="D85" s="14" t="s">
        <v>459</v>
      </c>
      <c r="E85" s="37">
        <v>6</v>
      </c>
      <c r="F85" s="17">
        <v>26000</v>
      </c>
      <c r="G85" s="14" t="s">
        <v>448</v>
      </c>
      <c r="H85" s="14"/>
      <c r="I85" s="14"/>
    </row>
    <row r="86" spans="1:9" x14ac:dyDescent="0.25">
      <c r="A86" s="16">
        <v>46093</v>
      </c>
      <c r="B86" s="14" t="s">
        <v>465</v>
      </c>
      <c r="C86" s="14"/>
      <c r="D86" s="14" t="s">
        <v>466</v>
      </c>
      <c r="E86" s="37">
        <v>5</v>
      </c>
      <c r="F86" s="17">
        <v>5000</v>
      </c>
      <c r="G86" s="14" t="s">
        <v>448</v>
      </c>
      <c r="H86" s="14"/>
      <c r="I86" s="14"/>
    </row>
    <row r="87" spans="1:9" x14ac:dyDescent="0.25">
      <c r="A87" s="16">
        <v>46093</v>
      </c>
      <c r="B87" s="14" t="s">
        <v>453</v>
      </c>
      <c r="C87" s="14"/>
      <c r="D87" s="14" t="s">
        <v>454</v>
      </c>
      <c r="E87" s="37">
        <v>7</v>
      </c>
      <c r="F87" s="17">
        <v>5000</v>
      </c>
      <c r="G87" s="14" t="s">
        <v>448</v>
      </c>
      <c r="H87" s="14"/>
      <c r="I87" s="14"/>
    </row>
    <row r="88" spans="1:9" x14ac:dyDescent="0.25">
      <c r="A88" s="16">
        <v>46094</v>
      </c>
      <c r="B88" s="14" t="s">
        <v>450</v>
      </c>
      <c r="C88" s="14"/>
      <c r="D88" s="14" t="s">
        <v>452</v>
      </c>
      <c r="E88" s="37">
        <v>14</v>
      </c>
      <c r="F88" s="17">
        <v>40000</v>
      </c>
      <c r="G88" s="14" t="s">
        <v>448</v>
      </c>
      <c r="H88" s="14"/>
      <c r="I88" s="14"/>
    </row>
    <row r="89" spans="1:9" x14ac:dyDescent="0.25">
      <c r="A89" s="16">
        <v>46098</v>
      </c>
      <c r="B89" s="14" t="s">
        <v>450</v>
      </c>
      <c r="C89" s="14"/>
      <c r="D89" s="14" t="s">
        <v>452</v>
      </c>
      <c r="E89" s="37">
        <v>15</v>
      </c>
      <c r="F89" s="17">
        <v>40000</v>
      </c>
      <c r="G89" s="14" t="s">
        <v>448</v>
      </c>
      <c r="H89" s="14"/>
      <c r="I89" s="14"/>
    </row>
    <row r="90" spans="1:9" x14ac:dyDescent="0.25">
      <c r="A90" s="16">
        <v>46098</v>
      </c>
      <c r="B90" s="14" t="s">
        <v>446</v>
      </c>
      <c r="C90" s="14"/>
      <c r="D90" s="14" t="s">
        <v>447</v>
      </c>
      <c r="E90" s="37">
        <v>7</v>
      </c>
      <c r="F90" s="17">
        <v>2000</v>
      </c>
      <c r="G90" s="14" t="s">
        <v>448</v>
      </c>
      <c r="H90" s="14"/>
      <c r="I90" s="14"/>
    </row>
    <row r="91" spans="1:9" x14ac:dyDescent="0.25">
      <c r="A91" s="16">
        <v>46098</v>
      </c>
      <c r="B91" s="14" t="s">
        <v>457</v>
      </c>
      <c r="C91" s="14"/>
      <c r="D91" s="14"/>
      <c r="E91" s="37"/>
      <c r="F91" s="17">
        <v>400</v>
      </c>
      <c r="G91" s="14" t="s">
        <v>458</v>
      </c>
      <c r="H91" s="14"/>
      <c r="I91" s="14"/>
    </row>
    <row r="92" spans="1:9" x14ac:dyDescent="0.25">
      <c r="A92" s="16">
        <v>46099</v>
      </c>
      <c r="B92" s="14" t="s">
        <v>457</v>
      </c>
      <c r="C92" s="14"/>
      <c r="D92" s="14"/>
      <c r="E92" s="37"/>
      <c r="F92" s="17">
        <v>304</v>
      </c>
      <c r="G92" s="14" t="s">
        <v>458</v>
      </c>
      <c r="H92" s="14"/>
      <c r="I92" s="14"/>
    </row>
    <row r="93" spans="1:9" x14ac:dyDescent="0.25">
      <c r="A93" s="16">
        <v>46099</v>
      </c>
      <c r="B93" s="14" t="s">
        <v>446</v>
      </c>
      <c r="C93" s="14"/>
      <c r="D93" s="14" t="s">
        <v>447</v>
      </c>
      <c r="E93" s="37">
        <v>8</v>
      </c>
      <c r="F93" s="17">
        <v>14000</v>
      </c>
      <c r="G93" s="14" t="s">
        <v>448</v>
      </c>
      <c r="H93" s="14"/>
      <c r="I93" s="14"/>
    </row>
    <row r="94" spans="1:9" x14ac:dyDescent="0.25">
      <c r="A94" s="16">
        <v>46100</v>
      </c>
      <c r="B94" s="14" t="s">
        <v>450</v>
      </c>
      <c r="C94" s="14"/>
      <c r="D94" s="14" t="s">
        <v>452</v>
      </c>
      <c r="E94" s="37">
        <v>16</v>
      </c>
      <c r="F94" s="17">
        <v>25000</v>
      </c>
      <c r="G94" s="14" t="s">
        <v>448</v>
      </c>
      <c r="H94" s="14"/>
      <c r="I94" s="14"/>
    </row>
    <row r="95" spans="1:9" x14ac:dyDescent="0.25">
      <c r="A95" s="16">
        <v>46103</v>
      </c>
      <c r="B95" s="14" t="s">
        <v>449</v>
      </c>
      <c r="C95" s="14"/>
      <c r="D95" s="14" t="s">
        <v>459</v>
      </c>
      <c r="E95" s="37">
        <v>7</v>
      </c>
      <c r="F95" s="17">
        <v>10000</v>
      </c>
      <c r="G95" s="14" t="s">
        <v>448</v>
      </c>
      <c r="H95" s="14"/>
      <c r="I95" s="14"/>
    </row>
    <row r="96" spans="1:9" x14ac:dyDescent="0.25">
      <c r="A96" s="16">
        <v>46103</v>
      </c>
      <c r="B96" s="14" t="s">
        <v>460</v>
      </c>
      <c r="C96" s="14"/>
      <c r="D96" s="14" t="s">
        <v>473</v>
      </c>
      <c r="E96" s="37">
        <v>3</v>
      </c>
      <c r="F96" s="17">
        <v>30000</v>
      </c>
      <c r="G96" s="14" t="s">
        <v>448</v>
      </c>
      <c r="H96" s="14"/>
      <c r="I96" s="14"/>
    </row>
    <row r="97" spans="1:9" x14ac:dyDescent="0.25">
      <c r="A97" s="16">
        <v>46103</v>
      </c>
      <c r="B97" s="14" t="s">
        <v>453</v>
      </c>
      <c r="C97" s="14"/>
      <c r="D97" s="14" t="s">
        <v>454</v>
      </c>
      <c r="E97" s="37">
        <v>8</v>
      </c>
      <c r="F97" s="17">
        <v>2000</v>
      </c>
      <c r="G97" s="14" t="s">
        <v>448</v>
      </c>
      <c r="H97" s="14"/>
      <c r="I97" s="14"/>
    </row>
    <row r="98" spans="1:9" x14ac:dyDescent="0.25">
      <c r="A98" s="16">
        <v>46104</v>
      </c>
      <c r="B98" s="14" t="s">
        <v>457</v>
      </c>
      <c r="C98" s="14"/>
      <c r="D98" s="14"/>
      <c r="E98" s="37"/>
      <c r="F98" s="17">
        <v>390</v>
      </c>
      <c r="G98" s="14" t="s">
        <v>458</v>
      </c>
      <c r="H98" s="14"/>
      <c r="I98" s="14"/>
    </row>
    <row r="99" spans="1:9" x14ac:dyDescent="0.25">
      <c r="A99" s="16">
        <v>46105</v>
      </c>
      <c r="B99" s="14" t="s">
        <v>457</v>
      </c>
      <c r="C99" s="14"/>
      <c r="D99" s="14"/>
      <c r="E99" s="37"/>
      <c r="F99" s="17">
        <v>589</v>
      </c>
      <c r="G99" s="14" t="s">
        <v>458</v>
      </c>
      <c r="H99" s="14"/>
      <c r="I99" s="14"/>
    </row>
    <row r="100" spans="1:9" x14ac:dyDescent="0.25">
      <c r="A100" s="16">
        <v>46106</v>
      </c>
      <c r="B100" s="14" t="s">
        <v>457</v>
      </c>
      <c r="C100" s="14"/>
      <c r="D100" s="14"/>
      <c r="E100" s="37"/>
      <c r="F100" s="17">
        <v>339</v>
      </c>
      <c r="G100" s="14" t="s">
        <v>458</v>
      </c>
      <c r="H100" s="14"/>
      <c r="I100" s="14"/>
    </row>
    <row r="101" spans="1:9" x14ac:dyDescent="0.25">
      <c r="A101" s="16">
        <v>46108</v>
      </c>
      <c r="B101" s="14" t="s">
        <v>455</v>
      </c>
      <c r="C101" s="14"/>
      <c r="D101" s="14" t="s">
        <v>456</v>
      </c>
      <c r="E101" s="37">
        <v>5</v>
      </c>
      <c r="F101" s="17">
        <v>200</v>
      </c>
      <c r="G101" s="14" t="s">
        <v>448</v>
      </c>
      <c r="H101" s="14"/>
      <c r="I101" s="14"/>
    </row>
    <row r="102" spans="1:9" x14ac:dyDescent="0.25">
      <c r="A102" s="16">
        <v>46108</v>
      </c>
      <c r="B102" s="14" t="s">
        <v>480</v>
      </c>
      <c r="C102" s="14"/>
      <c r="D102" s="14" t="s">
        <v>481</v>
      </c>
      <c r="E102" s="37">
        <v>2</v>
      </c>
      <c r="F102" s="17">
        <v>200</v>
      </c>
      <c r="G102" s="14" t="s">
        <v>448</v>
      </c>
      <c r="H102" s="14"/>
      <c r="I102" s="14"/>
    </row>
    <row r="103" spans="1:9" x14ac:dyDescent="0.25">
      <c r="A103" s="16">
        <v>46108</v>
      </c>
      <c r="B103" s="14" t="s">
        <v>446</v>
      </c>
      <c r="C103" s="14"/>
      <c r="D103" s="14" t="s">
        <v>447</v>
      </c>
      <c r="E103" s="37">
        <v>9</v>
      </c>
      <c r="F103" s="17">
        <v>12000</v>
      </c>
      <c r="G103" s="14" t="s">
        <v>448</v>
      </c>
      <c r="H103" s="14"/>
      <c r="I103" s="14"/>
    </row>
    <row r="104" spans="1:9" x14ac:dyDescent="0.25">
      <c r="A104" s="16">
        <v>46108</v>
      </c>
      <c r="B104" s="14" t="s">
        <v>457</v>
      </c>
      <c r="C104" s="14"/>
      <c r="D104" s="14"/>
      <c r="E104" s="37"/>
      <c r="F104" s="17">
        <v>237</v>
      </c>
      <c r="G104" s="14" t="s">
        <v>448</v>
      </c>
      <c r="H104" s="14"/>
      <c r="I104" s="14"/>
    </row>
    <row r="105" spans="1:9" x14ac:dyDescent="0.25">
      <c r="A105" s="16">
        <v>46109</v>
      </c>
      <c r="B105" s="14" t="s">
        <v>450</v>
      </c>
      <c r="C105" s="14"/>
      <c r="D105" s="14" t="s">
        <v>452</v>
      </c>
      <c r="E105" s="37">
        <v>17</v>
      </c>
      <c r="F105" s="17">
        <v>25000</v>
      </c>
      <c r="G105" s="14" t="s">
        <v>448</v>
      </c>
      <c r="H105" s="14"/>
      <c r="I105" s="14"/>
    </row>
    <row r="106" spans="1:9" x14ac:dyDescent="0.25">
      <c r="A106" s="16">
        <v>46109</v>
      </c>
      <c r="B106" s="14" t="s">
        <v>449</v>
      </c>
      <c r="C106" s="14"/>
      <c r="D106" s="14" t="s">
        <v>459</v>
      </c>
      <c r="E106" s="37">
        <v>8</v>
      </c>
      <c r="F106" s="17">
        <v>30000</v>
      </c>
      <c r="G106" s="14" t="s">
        <v>448</v>
      </c>
      <c r="H106" s="14"/>
      <c r="I106" s="14"/>
    </row>
    <row r="107" spans="1:9" x14ac:dyDescent="0.25">
      <c r="A107" s="16">
        <v>46109</v>
      </c>
      <c r="B107" s="14" t="s">
        <v>457</v>
      </c>
      <c r="C107" s="14"/>
      <c r="D107" s="14"/>
      <c r="E107" s="37"/>
      <c r="F107" s="17">
        <v>735</v>
      </c>
      <c r="G107" s="14" t="s">
        <v>458</v>
      </c>
      <c r="H107" s="14"/>
      <c r="I107" s="14"/>
    </row>
    <row r="108" spans="1:9" x14ac:dyDescent="0.25">
      <c r="A108" s="16">
        <v>46109</v>
      </c>
      <c r="B108" s="14" t="s">
        <v>469</v>
      </c>
      <c r="C108" s="14"/>
      <c r="D108" s="14" t="s">
        <v>470</v>
      </c>
      <c r="E108" s="37">
        <v>4</v>
      </c>
      <c r="F108" s="17">
        <v>900</v>
      </c>
      <c r="G108" s="14" t="s">
        <v>448</v>
      </c>
      <c r="H108" s="14"/>
      <c r="I108" s="14"/>
    </row>
    <row r="109" spans="1:9" x14ac:dyDescent="0.25">
      <c r="A109" s="16">
        <v>46110</v>
      </c>
      <c r="B109" s="14" t="s">
        <v>457</v>
      </c>
      <c r="C109" s="14"/>
      <c r="D109" s="14"/>
      <c r="E109" s="37"/>
      <c r="F109" s="17">
        <v>198</v>
      </c>
      <c r="G109" s="14" t="s">
        <v>458</v>
      </c>
      <c r="H109" s="14"/>
      <c r="I109" s="14"/>
    </row>
    <row r="110" spans="1:9" x14ac:dyDescent="0.25">
      <c r="A110" s="16">
        <v>46113</v>
      </c>
      <c r="B110" s="14" t="s">
        <v>450</v>
      </c>
      <c r="C110" s="14"/>
      <c r="D110" s="14" t="s">
        <v>452</v>
      </c>
      <c r="E110" s="37">
        <v>18</v>
      </c>
      <c r="F110" s="17">
        <v>40000</v>
      </c>
      <c r="G110" s="14" t="s">
        <v>448</v>
      </c>
      <c r="H110" s="14"/>
      <c r="I110" s="14"/>
    </row>
    <row r="111" spans="1:9" x14ac:dyDescent="0.25">
      <c r="A111" s="16">
        <v>46115</v>
      </c>
      <c r="B111" s="14" t="s">
        <v>446</v>
      </c>
      <c r="C111" s="14"/>
      <c r="D111" s="14" t="s">
        <v>447</v>
      </c>
      <c r="E111" s="37">
        <v>10</v>
      </c>
      <c r="F111" s="17">
        <v>3500</v>
      </c>
      <c r="G111" s="14" t="s">
        <v>448</v>
      </c>
      <c r="H111" s="14"/>
      <c r="I111" s="14"/>
    </row>
    <row r="112" spans="1:9" x14ac:dyDescent="0.25">
      <c r="A112" s="16">
        <v>46116</v>
      </c>
      <c r="B112" s="14" t="s">
        <v>457</v>
      </c>
      <c r="C112" s="14"/>
      <c r="D112" s="14"/>
      <c r="E112" s="37"/>
      <c r="F112" s="17">
        <v>200</v>
      </c>
      <c r="G112" s="14" t="s">
        <v>458</v>
      </c>
      <c r="H112" s="14"/>
      <c r="I112" s="14"/>
    </row>
    <row r="113" spans="1:9" x14ac:dyDescent="0.25">
      <c r="A113" s="16">
        <v>46116</v>
      </c>
      <c r="B113" s="14" t="s">
        <v>471</v>
      </c>
      <c r="C113" s="14"/>
      <c r="D113" s="14" t="s">
        <v>472</v>
      </c>
      <c r="E113" s="37">
        <v>7</v>
      </c>
      <c r="F113" s="17">
        <v>900</v>
      </c>
      <c r="G113" s="14" t="s">
        <v>448</v>
      </c>
      <c r="H113" s="14"/>
      <c r="I113" s="14"/>
    </row>
    <row r="114" spans="1:9" x14ac:dyDescent="0.25">
      <c r="A114" s="16">
        <v>46117</v>
      </c>
      <c r="B114" s="14" t="s">
        <v>457</v>
      </c>
      <c r="C114" s="14"/>
      <c r="D114" s="14"/>
      <c r="E114" s="37"/>
      <c r="F114" s="17">
        <v>721</v>
      </c>
      <c r="G114" s="14" t="s">
        <v>458</v>
      </c>
      <c r="H114" s="14"/>
      <c r="I114" s="14"/>
    </row>
    <row r="115" spans="1:9" x14ac:dyDescent="0.25">
      <c r="A115" s="16">
        <v>46119</v>
      </c>
      <c r="B115" s="14" t="s">
        <v>484</v>
      </c>
      <c r="C115" s="14"/>
      <c r="D115" s="14" t="s">
        <v>485</v>
      </c>
      <c r="E115" s="37">
        <v>3</v>
      </c>
      <c r="F115" s="17">
        <v>20</v>
      </c>
      <c r="G115" s="14" t="s">
        <v>448</v>
      </c>
      <c r="H115" s="14"/>
      <c r="I115" s="14"/>
    </row>
    <row r="116" spans="1:9" x14ac:dyDescent="0.25">
      <c r="A116" s="16">
        <v>46119</v>
      </c>
      <c r="B116" s="14" t="s">
        <v>475</v>
      </c>
      <c r="C116" s="14"/>
      <c r="D116" s="14" t="s">
        <v>476</v>
      </c>
      <c r="E116" s="37">
        <v>3</v>
      </c>
      <c r="F116" s="17">
        <v>20</v>
      </c>
      <c r="G116" s="14" t="s">
        <v>448</v>
      </c>
      <c r="H116" s="14"/>
      <c r="I116" s="14"/>
    </row>
    <row r="117" spans="1:9" x14ac:dyDescent="0.25">
      <c r="A117" s="16">
        <v>46119</v>
      </c>
      <c r="B117" s="14" t="s">
        <v>446</v>
      </c>
      <c r="C117" s="14"/>
      <c r="D117" s="14" t="s">
        <v>447</v>
      </c>
      <c r="E117" s="37">
        <v>11</v>
      </c>
      <c r="F117" s="17">
        <f>180*50</f>
        <v>9000</v>
      </c>
      <c r="G117" s="14" t="s">
        <v>448</v>
      </c>
      <c r="H117" s="14"/>
      <c r="I117" s="14"/>
    </row>
    <row r="118" spans="1:9" x14ac:dyDescent="0.25">
      <c r="A118" s="16">
        <v>46120</v>
      </c>
      <c r="B118" s="14" t="s">
        <v>453</v>
      </c>
      <c r="C118" s="14"/>
      <c r="D118" s="14" t="s">
        <v>454</v>
      </c>
      <c r="E118" s="37">
        <v>9</v>
      </c>
      <c r="F118" s="17">
        <v>4000</v>
      </c>
      <c r="G118" s="14" t="s">
        <v>448</v>
      </c>
      <c r="H118" s="14"/>
      <c r="I118" s="14"/>
    </row>
    <row r="119" spans="1:9" x14ac:dyDescent="0.25">
      <c r="A119" s="16">
        <v>46120</v>
      </c>
      <c r="B119" s="14" t="s">
        <v>478</v>
      </c>
      <c r="C119" s="14"/>
      <c r="D119" s="14" t="s">
        <v>479</v>
      </c>
      <c r="E119" s="37">
        <v>3</v>
      </c>
      <c r="F119" s="17">
        <v>1000</v>
      </c>
      <c r="G119" s="14" t="s">
        <v>448</v>
      </c>
      <c r="H119" s="14"/>
      <c r="I119" s="14"/>
    </row>
    <row r="120" spans="1:9" x14ac:dyDescent="0.25">
      <c r="A120" s="16">
        <v>46120</v>
      </c>
      <c r="B120" s="14" t="s">
        <v>465</v>
      </c>
      <c r="C120" s="14"/>
      <c r="D120" s="14" t="s">
        <v>466</v>
      </c>
      <c r="E120" s="37">
        <v>6</v>
      </c>
      <c r="F120" s="17">
        <v>3000</v>
      </c>
      <c r="G120" s="14" t="s">
        <v>448</v>
      </c>
      <c r="H120" s="14"/>
      <c r="I120" s="14"/>
    </row>
    <row r="121" spans="1:9" x14ac:dyDescent="0.25">
      <c r="A121" s="16">
        <v>46121</v>
      </c>
      <c r="B121" s="14" t="s">
        <v>467</v>
      </c>
      <c r="C121" s="14"/>
      <c r="D121" s="14" t="s">
        <v>468</v>
      </c>
      <c r="E121" s="37">
        <v>6</v>
      </c>
      <c r="F121" s="17">
        <v>500</v>
      </c>
      <c r="G121" s="14" t="s">
        <v>448</v>
      </c>
      <c r="H121" s="14"/>
      <c r="I121" s="14"/>
    </row>
    <row r="122" spans="1:9" x14ac:dyDescent="0.25">
      <c r="A122" s="16">
        <v>46121</v>
      </c>
      <c r="B122" s="14" t="s">
        <v>446</v>
      </c>
      <c r="C122" s="14"/>
      <c r="D122" s="14" t="s">
        <v>447</v>
      </c>
      <c r="E122" s="37">
        <v>12</v>
      </c>
      <c r="F122" s="17">
        <v>10000</v>
      </c>
      <c r="G122" s="14" t="s">
        <v>448</v>
      </c>
      <c r="H122" s="14"/>
      <c r="I122" s="14"/>
    </row>
    <row r="123" spans="1:9" x14ac:dyDescent="0.25">
      <c r="A123" s="16">
        <v>46123</v>
      </c>
      <c r="B123" s="14" t="s">
        <v>450</v>
      </c>
      <c r="C123" s="14"/>
      <c r="D123" s="14" t="s">
        <v>452</v>
      </c>
      <c r="E123" s="37">
        <v>19</v>
      </c>
      <c r="F123" s="17">
        <v>40000</v>
      </c>
      <c r="G123" s="14" t="s">
        <v>448</v>
      </c>
      <c r="H123" s="14"/>
      <c r="I123" s="14"/>
    </row>
    <row r="124" spans="1:9" x14ac:dyDescent="0.25">
      <c r="A124" s="16">
        <v>46126</v>
      </c>
      <c r="B124" s="14" t="s">
        <v>455</v>
      </c>
      <c r="C124" s="14"/>
      <c r="D124" s="14" t="s">
        <v>456</v>
      </c>
      <c r="E124" s="37">
        <v>6</v>
      </c>
      <c r="F124" s="17">
        <v>1000</v>
      </c>
      <c r="G124" s="14" t="s">
        <v>448</v>
      </c>
      <c r="H124" s="14"/>
      <c r="I124" s="14"/>
    </row>
    <row r="125" spans="1:9" x14ac:dyDescent="0.25">
      <c r="A125" s="16">
        <v>46126</v>
      </c>
      <c r="B125" s="14" t="s">
        <v>449</v>
      </c>
      <c r="C125" s="14"/>
      <c r="D125" s="14" t="s">
        <v>459</v>
      </c>
      <c r="E125" s="37">
        <v>9</v>
      </c>
      <c r="F125" s="17">
        <v>34500</v>
      </c>
      <c r="G125" s="14" t="s">
        <v>448</v>
      </c>
      <c r="H125" s="14"/>
      <c r="I125" s="14"/>
    </row>
    <row r="126" spans="1:9" x14ac:dyDescent="0.25">
      <c r="A126" s="16">
        <v>46126</v>
      </c>
      <c r="B126" s="14" t="s">
        <v>446</v>
      </c>
      <c r="C126" s="14"/>
      <c r="D126" s="14" t="s">
        <v>447</v>
      </c>
      <c r="E126" s="37">
        <v>13</v>
      </c>
      <c r="F126" s="17">
        <v>14000</v>
      </c>
      <c r="G126" s="14" t="s">
        <v>448</v>
      </c>
      <c r="H126" s="14"/>
      <c r="I126" s="14"/>
    </row>
    <row r="127" spans="1:9" x14ac:dyDescent="0.25">
      <c r="A127" s="16">
        <v>46127</v>
      </c>
      <c r="B127" s="14" t="s">
        <v>477</v>
      </c>
      <c r="C127" s="14"/>
      <c r="D127" s="14" t="s">
        <v>470</v>
      </c>
      <c r="E127" s="37">
        <v>5</v>
      </c>
      <c r="F127" s="17">
        <f>18*49</f>
        <v>882</v>
      </c>
      <c r="G127" s="14" t="s">
        <v>448</v>
      </c>
      <c r="H127" s="14"/>
      <c r="I127" s="14"/>
    </row>
    <row r="128" spans="1:9" x14ac:dyDescent="0.25">
      <c r="A128" s="16">
        <v>46129</v>
      </c>
      <c r="B128" s="14" t="s">
        <v>488</v>
      </c>
      <c r="C128" s="14"/>
      <c r="D128" s="14"/>
      <c r="E128" s="37"/>
      <c r="F128" s="17">
        <v>1000</v>
      </c>
      <c r="G128" s="14" t="s">
        <v>489</v>
      </c>
      <c r="H128" s="14"/>
      <c r="I128" s="14"/>
    </row>
    <row r="129" spans="1:9" x14ac:dyDescent="0.25">
      <c r="A129" s="16">
        <v>46130</v>
      </c>
      <c r="B129" s="14" t="s">
        <v>450</v>
      </c>
      <c r="C129" s="14"/>
      <c r="D129" s="14" t="s">
        <v>452</v>
      </c>
      <c r="E129" s="37">
        <v>19</v>
      </c>
      <c r="F129" s="17">
        <v>40000</v>
      </c>
      <c r="G129" s="14" t="s">
        <v>448</v>
      </c>
      <c r="H129" s="14"/>
      <c r="I129" s="14"/>
    </row>
    <row r="130" spans="1:9" x14ac:dyDescent="0.25">
      <c r="A130" s="16">
        <v>46133</v>
      </c>
      <c r="B130" s="14" t="s">
        <v>450</v>
      </c>
      <c r="C130" s="14"/>
      <c r="D130" s="14" t="s">
        <v>452</v>
      </c>
      <c r="E130" s="37">
        <v>20</v>
      </c>
      <c r="F130" s="17">
        <v>20000</v>
      </c>
      <c r="G130" s="14" t="s">
        <v>448</v>
      </c>
      <c r="H130" s="14"/>
      <c r="I130" s="14"/>
    </row>
    <row r="131" spans="1:9" x14ac:dyDescent="0.25">
      <c r="A131" s="16">
        <v>46133</v>
      </c>
      <c r="B131" s="14" t="s">
        <v>465</v>
      </c>
      <c r="C131" s="14"/>
      <c r="D131" s="14" t="s">
        <v>466</v>
      </c>
      <c r="E131" s="37">
        <v>7</v>
      </c>
      <c r="F131" s="17">
        <v>5000</v>
      </c>
      <c r="G131" s="14" t="s">
        <v>448</v>
      </c>
      <c r="H131" s="14"/>
      <c r="I131" s="14"/>
    </row>
    <row r="132" spans="1:9" x14ac:dyDescent="0.25">
      <c r="A132" s="16">
        <v>46133</v>
      </c>
      <c r="B132" s="14" t="s">
        <v>453</v>
      </c>
      <c r="C132" s="14"/>
      <c r="D132" s="14" t="s">
        <v>454</v>
      </c>
      <c r="E132" s="37">
        <v>10</v>
      </c>
      <c r="F132" s="17">
        <v>5000</v>
      </c>
      <c r="G132" s="14" t="s">
        <v>448</v>
      </c>
      <c r="H132" s="14"/>
      <c r="I132" s="14"/>
    </row>
    <row r="133" spans="1:9" x14ac:dyDescent="0.25">
      <c r="A133" s="16">
        <v>46134</v>
      </c>
      <c r="B133" s="14" t="s">
        <v>488</v>
      </c>
      <c r="C133" s="14"/>
      <c r="D133" s="14"/>
      <c r="E133" s="37"/>
      <c r="F133" s="17">
        <v>3000</v>
      </c>
      <c r="G133" s="14" t="s">
        <v>489</v>
      </c>
      <c r="H133" s="14"/>
      <c r="I133" s="14"/>
    </row>
    <row r="134" spans="1:9" x14ac:dyDescent="0.25">
      <c r="A134" s="16">
        <v>46134</v>
      </c>
      <c r="B134" s="14" t="s">
        <v>467</v>
      </c>
      <c r="C134" s="14"/>
      <c r="D134" s="14" t="s">
        <v>468</v>
      </c>
      <c r="E134" s="37">
        <v>7</v>
      </c>
      <c r="F134" s="17">
        <v>300</v>
      </c>
      <c r="G134" s="14" t="s">
        <v>448</v>
      </c>
      <c r="H134" s="14"/>
      <c r="I134" s="14"/>
    </row>
    <row r="135" spans="1:9" x14ac:dyDescent="0.25">
      <c r="A135" s="16">
        <v>46135</v>
      </c>
      <c r="B135" s="14" t="s">
        <v>457</v>
      </c>
      <c r="C135" s="14"/>
      <c r="D135" s="14"/>
      <c r="E135" s="37"/>
      <c r="F135" s="17">
        <v>1008</v>
      </c>
      <c r="G135" s="14" t="s">
        <v>458</v>
      </c>
      <c r="H135" s="14"/>
      <c r="I135" s="14"/>
    </row>
    <row r="136" spans="1:9" x14ac:dyDescent="0.25">
      <c r="A136" s="16">
        <v>46137</v>
      </c>
      <c r="B136" s="14" t="s">
        <v>457</v>
      </c>
      <c r="C136" s="14"/>
      <c r="D136" s="14"/>
      <c r="E136" s="37"/>
      <c r="F136" s="17">
        <v>1105</v>
      </c>
      <c r="G136" s="14" t="s">
        <v>458</v>
      </c>
      <c r="H136" s="14"/>
      <c r="I136" s="14"/>
    </row>
    <row r="137" spans="1:9" x14ac:dyDescent="0.25">
      <c r="A137" s="16">
        <v>46137</v>
      </c>
      <c r="B137" s="14" t="s">
        <v>450</v>
      </c>
      <c r="C137" s="14"/>
      <c r="D137" s="14" t="s">
        <v>452</v>
      </c>
      <c r="E137" s="37">
        <v>21</v>
      </c>
      <c r="F137" s="17">
        <f>40000*2-28875</f>
        <v>51125</v>
      </c>
      <c r="G137" s="14" t="s">
        <v>448</v>
      </c>
      <c r="H137" s="14"/>
      <c r="I137" s="14"/>
    </row>
    <row r="138" spans="1:9" x14ac:dyDescent="0.25">
      <c r="A138" s="16">
        <v>46138</v>
      </c>
      <c r="B138" s="14" t="s">
        <v>457</v>
      </c>
      <c r="C138" s="14"/>
      <c r="D138" s="14"/>
      <c r="E138" s="37"/>
      <c r="F138" s="17">
        <v>1500</v>
      </c>
      <c r="G138" s="14" t="s">
        <v>458</v>
      </c>
      <c r="H138" s="14"/>
      <c r="I138" s="14"/>
    </row>
    <row r="139" spans="1:9" x14ac:dyDescent="0.25">
      <c r="A139" s="16">
        <v>46140</v>
      </c>
      <c r="B139" s="14" t="s">
        <v>446</v>
      </c>
      <c r="C139" s="14"/>
      <c r="D139" s="14" t="s">
        <v>447</v>
      </c>
      <c r="E139" s="37">
        <v>14</v>
      </c>
      <c r="F139" s="17">
        <v>32000</v>
      </c>
      <c r="G139" s="14" t="s">
        <v>448</v>
      </c>
      <c r="H139" s="14"/>
    </row>
    <row r="140" spans="1:9" x14ac:dyDescent="0.25">
      <c r="A140" s="16">
        <v>46114</v>
      </c>
      <c r="B140" s="14" t="s">
        <v>467</v>
      </c>
      <c r="C140" s="14"/>
      <c r="D140" s="14" t="s">
        <v>468</v>
      </c>
      <c r="E140" s="37">
        <v>8</v>
      </c>
      <c r="F140" s="17">
        <v>100</v>
      </c>
      <c r="G140" s="14" t="s">
        <v>448</v>
      </c>
      <c r="H140" s="14"/>
    </row>
    <row r="141" spans="1:9" x14ac:dyDescent="0.25">
      <c r="A141" s="16">
        <v>46145</v>
      </c>
      <c r="B141" s="14" t="s">
        <v>449</v>
      </c>
      <c r="C141" s="14"/>
      <c r="D141" s="14" t="s">
        <v>459</v>
      </c>
      <c r="E141" s="37">
        <v>10</v>
      </c>
      <c r="F141" s="17">
        <v>20000</v>
      </c>
      <c r="G141" s="14" t="s">
        <v>448</v>
      </c>
      <c r="H141" s="14"/>
    </row>
    <row r="142" spans="1:9" x14ac:dyDescent="0.25">
      <c r="A142" s="16">
        <v>46146</v>
      </c>
      <c r="B142" s="14" t="s">
        <v>467</v>
      </c>
      <c r="C142" s="14"/>
      <c r="D142" s="14" t="s">
        <v>468</v>
      </c>
      <c r="E142" s="37">
        <v>9</v>
      </c>
      <c r="F142" s="17">
        <v>100</v>
      </c>
      <c r="G142" s="14" t="s">
        <v>448</v>
      </c>
      <c r="H142" s="14"/>
    </row>
    <row r="143" spans="1:9" x14ac:dyDescent="0.25">
      <c r="A143" s="16">
        <v>46146</v>
      </c>
      <c r="B143" s="14" t="s">
        <v>471</v>
      </c>
      <c r="C143" s="14"/>
      <c r="D143" s="14" t="s">
        <v>472</v>
      </c>
      <c r="E143" s="37">
        <v>8</v>
      </c>
      <c r="F143" s="17">
        <v>400</v>
      </c>
      <c r="G143" s="14" t="s">
        <v>448</v>
      </c>
      <c r="H143" s="14"/>
    </row>
    <row r="144" spans="1:9" x14ac:dyDescent="0.25">
      <c r="A144" s="16">
        <v>46151</v>
      </c>
      <c r="B144" s="14" t="s">
        <v>457</v>
      </c>
      <c r="C144" s="14"/>
      <c r="D144" s="14"/>
      <c r="E144" s="37"/>
      <c r="F144" s="17">
        <v>654</v>
      </c>
      <c r="G144" s="14" t="s">
        <v>458</v>
      </c>
      <c r="H144" s="14"/>
    </row>
    <row r="145" spans="1:8" x14ac:dyDescent="0.25">
      <c r="A145" s="16">
        <v>46153</v>
      </c>
      <c r="B145" s="14" t="s">
        <v>449</v>
      </c>
      <c r="C145" s="14"/>
      <c r="D145" s="14" t="s">
        <v>459</v>
      </c>
      <c r="E145" s="37">
        <v>11</v>
      </c>
      <c r="F145" s="17">
        <v>30000</v>
      </c>
      <c r="G145" s="14" t="s">
        <v>448</v>
      </c>
      <c r="H145" s="14"/>
    </row>
    <row r="146" spans="1:8" x14ac:dyDescent="0.25">
      <c r="A146" s="16">
        <v>46153</v>
      </c>
      <c r="B146" s="14" t="s">
        <v>467</v>
      </c>
      <c r="C146" s="14"/>
      <c r="D146" s="14" t="s">
        <v>468</v>
      </c>
      <c r="E146" s="37">
        <v>10</v>
      </c>
      <c r="F146" s="17">
        <v>1000</v>
      </c>
      <c r="G146" s="14" t="s">
        <v>448</v>
      </c>
      <c r="H146" s="14"/>
    </row>
    <row r="147" spans="1:8" x14ac:dyDescent="0.25">
      <c r="A147" s="16">
        <v>46153</v>
      </c>
      <c r="B147" s="14" t="s">
        <v>453</v>
      </c>
      <c r="C147" s="14"/>
      <c r="D147" s="14" t="s">
        <v>454</v>
      </c>
      <c r="E147" s="37">
        <v>11</v>
      </c>
      <c r="F147" s="17">
        <v>6000</v>
      </c>
      <c r="G147" s="14" t="s">
        <v>448</v>
      </c>
      <c r="H147" s="14"/>
    </row>
    <row r="148" spans="1:8" x14ac:dyDescent="0.25">
      <c r="A148" s="16">
        <v>46153</v>
      </c>
      <c r="B148" s="14" t="s">
        <v>465</v>
      </c>
      <c r="C148" s="14"/>
      <c r="D148" s="14" t="s">
        <v>466</v>
      </c>
      <c r="E148" s="37">
        <v>8</v>
      </c>
      <c r="F148" s="17">
        <v>7000</v>
      </c>
      <c r="G148" s="14" t="s">
        <v>448</v>
      </c>
      <c r="H148" s="14"/>
    </row>
    <row r="149" spans="1:8" x14ac:dyDescent="0.25">
      <c r="A149" s="16">
        <v>46153</v>
      </c>
      <c r="B149" s="14" t="s">
        <v>450</v>
      </c>
      <c r="C149" s="14"/>
      <c r="D149" s="14" t="s">
        <v>452</v>
      </c>
      <c r="E149" s="37">
        <v>22</v>
      </c>
      <c r="F149" s="17">
        <v>34100</v>
      </c>
      <c r="G149" s="14" t="s">
        <v>448</v>
      </c>
      <c r="H149" s="14"/>
    </row>
    <row r="150" spans="1:8" x14ac:dyDescent="0.25">
      <c r="A150" s="16">
        <v>46153</v>
      </c>
      <c r="B150" s="14" t="s">
        <v>457</v>
      </c>
      <c r="C150" s="14"/>
      <c r="D150" s="14"/>
      <c r="E150" s="37"/>
      <c r="F150" s="17">
        <v>801</v>
      </c>
      <c r="G150" s="14" t="s">
        <v>458</v>
      </c>
      <c r="H150" s="14"/>
    </row>
    <row r="151" spans="1:8" x14ac:dyDescent="0.25">
      <c r="A151" s="16">
        <v>46154</v>
      </c>
      <c r="B151" s="14" t="s">
        <v>455</v>
      </c>
      <c r="C151" s="14"/>
      <c r="D151" s="14" t="s">
        <v>456</v>
      </c>
      <c r="E151" s="37">
        <v>7</v>
      </c>
      <c r="F151" s="17">
        <v>3100</v>
      </c>
      <c r="G151" s="14" t="s">
        <v>448</v>
      </c>
      <c r="H151" s="14"/>
    </row>
    <row r="152" spans="1:8" x14ac:dyDescent="0.25">
      <c r="A152" s="16">
        <v>46155</v>
      </c>
      <c r="B152" s="14" t="s">
        <v>480</v>
      </c>
      <c r="C152" s="14"/>
      <c r="D152" s="14" t="s">
        <v>481</v>
      </c>
      <c r="E152" s="37">
        <v>3</v>
      </c>
      <c r="F152" s="17">
        <v>200</v>
      </c>
      <c r="G152" s="14" t="s">
        <v>448</v>
      </c>
      <c r="H152" s="14"/>
    </row>
    <row r="153" spans="1:8" x14ac:dyDescent="0.25">
      <c r="A153" s="16">
        <v>46154</v>
      </c>
      <c r="B153" s="14" t="s">
        <v>450</v>
      </c>
      <c r="C153" s="14"/>
      <c r="D153" s="14" t="s">
        <v>452</v>
      </c>
      <c r="E153" s="37">
        <v>23</v>
      </c>
      <c r="F153" s="17">
        <v>68875</v>
      </c>
      <c r="G153" s="14" t="s">
        <v>448</v>
      </c>
      <c r="H153" s="14"/>
    </row>
    <row r="154" spans="1:8" x14ac:dyDescent="0.25">
      <c r="A154" s="16">
        <v>46156</v>
      </c>
      <c r="B154" s="14" t="s">
        <v>488</v>
      </c>
      <c r="C154" s="14"/>
      <c r="D154" s="14"/>
      <c r="E154" s="37"/>
      <c r="F154" s="17">
        <v>2000</v>
      </c>
      <c r="G154" s="14" t="s">
        <v>489</v>
      </c>
      <c r="H154" s="14"/>
    </row>
    <row r="155" spans="1:8" x14ac:dyDescent="0.25">
      <c r="A155" s="16">
        <v>46157</v>
      </c>
      <c r="B155" s="14" t="s">
        <v>457</v>
      </c>
      <c r="C155" s="14"/>
      <c r="D155" s="14"/>
      <c r="E155" s="37"/>
      <c r="F155" s="17">
        <v>304</v>
      </c>
      <c r="G155" s="14" t="s">
        <v>458</v>
      </c>
      <c r="H155" s="14" t="s">
        <v>486</v>
      </c>
    </row>
    <row r="156" spans="1:8" x14ac:dyDescent="0.25">
      <c r="A156" s="16">
        <v>46157</v>
      </c>
      <c r="B156" s="14" t="s">
        <v>457</v>
      </c>
      <c r="C156" s="14"/>
      <c r="D156" s="14"/>
      <c r="E156" s="37"/>
      <c r="F156" s="17">
        <v>852</v>
      </c>
      <c r="G156" s="14" t="s">
        <v>458</v>
      </c>
      <c r="H156" s="14" t="s">
        <v>487</v>
      </c>
    </row>
    <row r="157" spans="1:8" x14ac:dyDescent="0.25">
      <c r="A157" s="16">
        <v>46157</v>
      </c>
      <c r="B157" s="14" t="s">
        <v>449</v>
      </c>
      <c r="C157" s="14"/>
      <c r="D157" s="14" t="s">
        <v>459</v>
      </c>
      <c r="E157" s="37">
        <v>12</v>
      </c>
      <c r="F157" s="17">
        <v>9000</v>
      </c>
      <c r="G157" s="14" t="s">
        <v>448</v>
      </c>
      <c r="H157" s="14"/>
    </row>
    <row r="158" spans="1:8" x14ac:dyDescent="0.25">
      <c r="A158" s="16">
        <v>46158</v>
      </c>
      <c r="B158" s="14" t="s">
        <v>449</v>
      </c>
      <c r="C158" s="14"/>
      <c r="D158" s="14" t="s">
        <v>459</v>
      </c>
      <c r="E158" s="37">
        <v>13</v>
      </c>
      <c r="F158" s="17">
        <v>26000</v>
      </c>
      <c r="G158" s="14" t="s">
        <v>448</v>
      </c>
      <c r="H158" s="14"/>
    </row>
    <row r="159" spans="1:8" x14ac:dyDescent="0.25">
      <c r="A159" s="16">
        <v>46158</v>
      </c>
      <c r="B159" s="14" t="s">
        <v>453</v>
      </c>
      <c r="C159" s="14"/>
      <c r="D159" s="14" t="s">
        <v>454</v>
      </c>
      <c r="E159" s="37">
        <v>12</v>
      </c>
      <c r="F159" s="17">
        <v>5000</v>
      </c>
      <c r="G159" s="14" t="s">
        <v>448</v>
      </c>
      <c r="H159" s="14"/>
    </row>
    <row r="160" spans="1:8" x14ac:dyDescent="0.25">
      <c r="A160" s="16">
        <v>46161</v>
      </c>
      <c r="B160" s="14" t="s">
        <v>471</v>
      </c>
      <c r="C160" s="14"/>
      <c r="D160" s="14" t="s">
        <v>472</v>
      </c>
      <c r="E160" s="37">
        <v>9</v>
      </c>
      <c r="F160" s="17">
        <f>8*46</f>
        <v>368</v>
      </c>
      <c r="G160" s="14" t="s">
        <v>448</v>
      </c>
      <c r="H160" s="14"/>
    </row>
    <row r="161" spans="1:8" x14ac:dyDescent="0.25">
      <c r="A161" s="16">
        <v>46161</v>
      </c>
      <c r="B161" s="14" t="s">
        <v>490</v>
      </c>
      <c r="C161" s="14"/>
      <c r="D161" s="14" t="s">
        <v>491</v>
      </c>
      <c r="E161" s="37">
        <v>1</v>
      </c>
      <c r="F161" s="17">
        <v>20</v>
      </c>
      <c r="G161" s="14" t="s">
        <v>448</v>
      </c>
      <c r="H161" s="14"/>
    </row>
    <row r="162" spans="1:8" x14ac:dyDescent="0.25">
      <c r="A162" s="16">
        <v>46161</v>
      </c>
      <c r="B162" s="14" t="s">
        <v>475</v>
      </c>
      <c r="C162" s="14"/>
      <c r="D162" s="14" t="s">
        <v>476</v>
      </c>
      <c r="E162" s="37">
        <v>4</v>
      </c>
      <c r="F162" s="17">
        <v>20</v>
      </c>
      <c r="G162" s="14" t="s">
        <v>448</v>
      </c>
      <c r="H162" s="14"/>
    </row>
    <row r="163" spans="1:8" x14ac:dyDescent="0.25">
      <c r="A163" s="16">
        <v>46161</v>
      </c>
      <c r="B163" s="14" t="s">
        <v>484</v>
      </c>
      <c r="C163" s="14"/>
      <c r="D163" s="14" t="s">
        <v>485</v>
      </c>
      <c r="E163" s="37">
        <v>4</v>
      </c>
      <c r="F163" s="17">
        <v>20</v>
      </c>
      <c r="G163" s="14" t="s">
        <v>448</v>
      </c>
      <c r="H163" s="14"/>
    </row>
    <row r="164" spans="1:8" x14ac:dyDescent="0.25">
      <c r="A164" s="16">
        <v>46164</v>
      </c>
      <c r="B164" s="14" t="s">
        <v>457</v>
      </c>
      <c r="C164" s="14"/>
      <c r="D164" s="14"/>
      <c r="E164" s="37"/>
      <c r="F164" s="17">
        <v>517</v>
      </c>
      <c r="G164" s="14" t="s">
        <v>458</v>
      </c>
      <c r="H164" s="14" t="s">
        <v>487</v>
      </c>
    </row>
    <row r="165" spans="1:8" x14ac:dyDescent="0.25">
      <c r="A165" s="16">
        <v>46166</v>
      </c>
      <c r="B165" s="14" t="s">
        <v>457</v>
      </c>
      <c r="C165" s="14"/>
      <c r="D165" s="14"/>
      <c r="E165" s="37"/>
      <c r="F165" s="17">
        <v>500</v>
      </c>
      <c r="G165" s="14" t="s">
        <v>458</v>
      </c>
      <c r="H165" s="14" t="s">
        <v>487</v>
      </c>
    </row>
    <row r="166" spans="1:8" x14ac:dyDescent="0.25">
      <c r="A166" s="16">
        <v>46167</v>
      </c>
      <c r="B166" s="14" t="s">
        <v>457</v>
      </c>
      <c r="C166" s="14"/>
      <c r="D166" s="14"/>
      <c r="E166" s="37"/>
      <c r="F166" s="17">
        <v>717</v>
      </c>
      <c r="G166" s="14" t="s">
        <v>458</v>
      </c>
      <c r="H166" s="14" t="s">
        <v>486</v>
      </c>
    </row>
    <row r="167" spans="1:8" x14ac:dyDescent="0.25">
      <c r="A167" s="16">
        <v>46169</v>
      </c>
      <c r="B167" s="14" t="s">
        <v>488</v>
      </c>
      <c r="C167" s="14"/>
      <c r="D167" s="14"/>
      <c r="E167" s="37"/>
      <c r="F167" s="17">
        <v>1000</v>
      </c>
      <c r="G167" s="14" t="s">
        <v>489</v>
      </c>
      <c r="H167" s="14"/>
    </row>
    <row r="168" spans="1:8" x14ac:dyDescent="0.25">
      <c r="A168" s="16">
        <v>46171</v>
      </c>
      <c r="B168" s="14" t="s">
        <v>453</v>
      </c>
      <c r="C168" s="14"/>
      <c r="D168" s="14" t="s">
        <v>454</v>
      </c>
      <c r="E168" s="37">
        <v>12</v>
      </c>
      <c r="F168" s="17">
        <v>5000</v>
      </c>
      <c r="G168" s="14" t="s">
        <v>448</v>
      </c>
      <c r="H168" s="14"/>
    </row>
    <row r="169" spans="1:8" x14ac:dyDescent="0.25">
      <c r="A169" s="16">
        <v>46172</v>
      </c>
      <c r="B169" s="14" t="s">
        <v>449</v>
      </c>
      <c r="C169" s="14"/>
      <c r="D169" s="14" t="s">
        <v>459</v>
      </c>
      <c r="E169" s="37">
        <v>14</v>
      </c>
      <c r="F169" s="17">
        <v>24000</v>
      </c>
      <c r="G169" s="14" t="s">
        <v>448</v>
      </c>
      <c r="H169" s="14"/>
    </row>
    <row r="170" spans="1:8" x14ac:dyDescent="0.25">
      <c r="A170" s="16">
        <v>46172</v>
      </c>
      <c r="B170" s="14" t="s">
        <v>465</v>
      </c>
      <c r="C170" s="14"/>
      <c r="D170" s="14" t="s">
        <v>466</v>
      </c>
      <c r="E170" s="37">
        <v>9</v>
      </c>
      <c r="F170" s="17">
        <v>7000</v>
      </c>
      <c r="G170" s="14" t="s">
        <v>448</v>
      </c>
      <c r="H170" s="14"/>
    </row>
    <row r="171" spans="1:8" x14ac:dyDescent="0.25">
      <c r="A171" s="16">
        <v>46175</v>
      </c>
      <c r="B171" s="14" t="s">
        <v>446</v>
      </c>
      <c r="C171" s="14"/>
      <c r="D171" s="14" t="s">
        <v>447</v>
      </c>
      <c r="E171" s="37">
        <v>15</v>
      </c>
      <c r="F171" s="17">
        <v>34000</v>
      </c>
      <c r="G171" s="14" t="s">
        <v>448</v>
      </c>
      <c r="H171" s="14"/>
    </row>
    <row r="172" spans="1:8" x14ac:dyDescent="0.25">
      <c r="A172" s="16">
        <v>46175</v>
      </c>
      <c r="B172" s="14" t="s">
        <v>471</v>
      </c>
      <c r="C172" s="14"/>
      <c r="D172" s="14" t="s">
        <v>472</v>
      </c>
      <c r="E172" s="37">
        <v>10</v>
      </c>
      <c r="F172" s="17">
        <f>33*46</f>
        <v>1518</v>
      </c>
      <c r="G172" s="14" t="s">
        <v>448</v>
      </c>
      <c r="H172" s="14"/>
    </row>
    <row r="173" spans="1:8" x14ac:dyDescent="0.25">
      <c r="A173" s="16">
        <v>46175</v>
      </c>
      <c r="B173" s="14" t="s">
        <v>469</v>
      </c>
      <c r="C173" s="14"/>
      <c r="D173" s="14" t="s">
        <v>470</v>
      </c>
      <c r="E173" s="37">
        <v>6</v>
      </c>
      <c r="F173" s="17">
        <v>900</v>
      </c>
      <c r="G173" s="14" t="s">
        <v>448</v>
      </c>
      <c r="H173" s="14"/>
    </row>
    <row r="174" spans="1:8" x14ac:dyDescent="0.25">
      <c r="A174" s="16">
        <v>46175</v>
      </c>
      <c r="B174" s="14" t="s">
        <v>488</v>
      </c>
      <c r="C174" s="14"/>
      <c r="D174" s="14"/>
      <c r="E174" s="37"/>
      <c r="F174" s="17">
        <v>2000</v>
      </c>
      <c r="G174" s="14" t="s">
        <v>489</v>
      </c>
      <c r="H174" s="14"/>
    </row>
    <row r="175" spans="1:8" x14ac:dyDescent="0.25">
      <c r="A175" s="16">
        <v>46177</v>
      </c>
      <c r="B175" s="14" t="s">
        <v>457</v>
      </c>
      <c r="C175" s="14"/>
      <c r="D175" s="14"/>
      <c r="E175" s="37"/>
      <c r="F175" s="17">
        <v>499</v>
      </c>
      <c r="G175" s="14" t="s">
        <v>458</v>
      </c>
      <c r="H175" s="14"/>
    </row>
    <row r="176" spans="1:8" x14ac:dyDescent="0.25">
      <c r="A176" s="16">
        <v>46178</v>
      </c>
      <c r="B176" s="14" t="s">
        <v>475</v>
      </c>
      <c r="C176" s="14"/>
      <c r="D176" s="14" t="s">
        <v>476</v>
      </c>
      <c r="E176" s="37">
        <v>5</v>
      </c>
      <c r="F176" s="17">
        <v>40</v>
      </c>
      <c r="G176" s="14" t="s">
        <v>448</v>
      </c>
      <c r="H176" s="14"/>
    </row>
    <row r="177" spans="1:8" x14ac:dyDescent="0.25">
      <c r="A177" s="16">
        <v>46178</v>
      </c>
      <c r="B177" s="14" t="s">
        <v>457</v>
      </c>
      <c r="C177" s="14"/>
      <c r="D177" s="14"/>
      <c r="E177" s="37"/>
      <c r="F177" s="17">
        <v>316</v>
      </c>
      <c r="G177" s="14" t="s">
        <v>458</v>
      </c>
      <c r="H177" s="14" t="s">
        <v>486</v>
      </c>
    </row>
    <row r="178" spans="1:8" x14ac:dyDescent="0.25">
      <c r="A178" s="16">
        <v>46181</v>
      </c>
      <c r="B178" s="14" t="s">
        <v>457</v>
      </c>
      <c r="C178" s="14"/>
      <c r="D178" s="14"/>
      <c r="E178" s="37"/>
      <c r="F178" s="17">
        <v>188</v>
      </c>
      <c r="G178" s="14" t="s">
        <v>458</v>
      </c>
      <c r="H178" s="14" t="s">
        <v>486</v>
      </c>
    </row>
    <row r="179" spans="1:8" x14ac:dyDescent="0.25">
      <c r="A179" s="16">
        <v>46181</v>
      </c>
      <c r="B179" s="14" t="s">
        <v>449</v>
      </c>
      <c r="C179" s="14"/>
      <c r="D179" s="14" t="s">
        <v>459</v>
      </c>
      <c r="E179" s="37">
        <v>15</v>
      </c>
      <c r="F179" s="17">
        <v>11000</v>
      </c>
      <c r="G179" s="14" t="s">
        <v>448</v>
      </c>
      <c r="H179" s="14"/>
    </row>
    <row r="180" spans="1:8" x14ac:dyDescent="0.25">
      <c r="A180" s="16">
        <v>46182</v>
      </c>
      <c r="B180" s="14" t="s">
        <v>457</v>
      </c>
      <c r="C180" s="14"/>
      <c r="D180" s="14"/>
      <c r="E180" s="37"/>
      <c r="F180" s="17">
        <v>333</v>
      </c>
      <c r="G180" s="14" t="s">
        <v>458</v>
      </c>
      <c r="H180" s="14" t="s">
        <v>487</v>
      </c>
    </row>
    <row r="181" spans="1:8" x14ac:dyDescent="0.25">
      <c r="A181" s="16">
        <v>46182</v>
      </c>
      <c r="B181" s="14" t="s">
        <v>488</v>
      </c>
      <c r="C181" s="14"/>
      <c r="D181" s="14"/>
      <c r="E181" s="37"/>
      <c r="F181" s="17">
        <v>2000</v>
      </c>
      <c r="G181" s="14" t="s">
        <v>489</v>
      </c>
      <c r="H181" s="14"/>
    </row>
    <row r="182" spans="1:8" x14ac:dyDescent="0.25">
      <c r="A182" s="16">
        <v>46182</v>
      </c>
      <c r="B182" s="14" t="s">
        <v>457</v>
      </c>
      <c r="C182" s="14"/>
      <c r="D182" s="14"/>
      <c r="E182" s="37"/>
      <c r="F182" s="17">
        <v>501</v>
      </c>
      <c r="G182" s="14" t="s">
        <v>458</v>
      </c>
      <c r="H182" s="14" t="s">
        <v>486</v>
      </c>
    </row>
    <row r="183" spans="1:8" x14ac:dyDescent="0.25">
      <c r="A183" s="16">
        <v>46183</v>
      </c>
      <c r="B183" s="14" t="s">
        <v>455</v>
      </c>
      <c r="C183" s="14"/>
      <c r="D183" s="14" t="s">
        <v>456</v>
      </c>
      <c r="E183" s="37">
        <v>8</v>
      </c>
      <c r="F183" s="17">
        <v>300</v>
      </c>
      <c r="G183" s="14" t="s">
        <v>448</v>
      </c>
      <c r="H183" s="14"/>
    </row>
    <row r="184" spans="1:8" x14ac:dyDescent="0.25">
      <c r="A184" s="16">
        <v>46184</v>
      </c>
      <c r="B184" s="14" t="s">
        <v>457</v>
      </c>
      <c r="C184" s="14"/>
      <c r="D184" s="14"/>
      <c r="E184" s="37"/>
      <c r="F184" s="17">
        <v>292</v>
      </c>
      <c r="G184" s="14" t="s">
        <v>458</v>
      </c>
      <c r="H184" s="14"/>
    </row>
    <row r="185" spans="1:8" x14ac:dyDescent="0.25">
      <c r="A185" s="16">
        <v>46188</v>
      </c>
      <c r="B185" s="14" t="s">
        <v>453</v>
      </c>
      <c r="C185" s="14"/>
      <c r="D185" s="14" t="s">
        <v>454</v>
      </c>
      <c r="E185" s="37">
        <v>13</v>
      </c>
      <c r="F185" s="17">
        <v>4500</v>
      </c>
      <c r="G185" s="14" t="s">
        <v>448</v>
      </c>
      <c r="H185" s="14"/>
    </row>
    <row r="186" spans="1:8" x14ac:dyDescent="0.25">
      <c r="A186" s="16">
        <v>46191</v>
      </c>
      <c r="B186" s="14" t="s">
        <v>488</v>
      </c>
      <c r="C186" s="14"/>
      <c r="D186" s="14"/>
      <c r="E186" s="37"/>
      <c r="F186" s="17">
        <v>2000</v>
      </c>
      <c r="G186" s="14" t="s">
        <v>489</v>
      </c>
      <c r="H186" s="14"/>
    </row>
    <row r="187" spans="1:8" x14ac:dyDescent="0.25">
      <c r="A187" s="16">
        <v>46191</v>
      </c>
      <c r="B187" s="14" t="s">
        <v>457</v>
      </c>
      <c r="C187" s="14"/>
      <c r="D187" s="14"/>
      <c r="E187" s="37"/>
      <c r="F187" s="17">
        <v>551</v>
      </c>
      <c r="G187" s="14" t="s">
        <v>458</v>
      </c>
      <c r="H187" s="14"/>
    </row>
    <row r="188" spans="1:8" x14ac:dyDescent="0.25">
      <c r="A188" s="16">
        <v>46198</v>
      </c>
      <c r="B188" s="14" t="s">
        <v>457</v>
      </c>
      <c r="C188" s="14"/>
      <c r="D188" s="14"/>
      <c r="E188" s="37"/>
      <c r="F188" s="17">
        <v>609</v>
      </c>
      <c r="G188" s="14" t="s">
        <v>458</v>
      </c>
      <c r="H188" s="14"/>
    </row>
    <row r="189" spans="1:8" x14ac:dyDescent="0.25">
      <c r="A189" s="16">
        <v>46199</v>
      </c>
      <c r="B189" s="14" t="s">
        <v>449</v>
      </c>
      <c r="C189" s="14"/>
      <c r="D189" s="14" t="s">
        <v>459</v>
      </c>
      <c r="E189" s="37">
        <v>16</v>
      </c>
      <c r="F189" s="17">
        <v>29000</v>
      </c>
      <c r="G189" s="14" t="s">
        <v>448</v>
      </c>
      <c r="H189" s="14"/>
    </row>
    <row r="190" spans="1:8" x14ac:dyDescent="0.25">
      <c r="A190" s="16">
        <v>46199</v>
      </c>
      <c r="B190" s="14" t="s">
        <v>465</v>
      </c>
      <c r="C190" s="14"/>
      <c r="D190" s="14" t="s">
        <v>466</v>
      </c>
      <c r="E190" s="37">
        <v>10</v>
      </c>
      <c r="F190" s="17">
        <v>7000</v>
      </c>
      <c r="G190" s="14" t="s">
        <v>448</v>
      </c>
      <c r="H190" s="14"/>
    </row>
    <row r="191" spans="1:8" x14ac:dyDescent="0.25">
      <c r="A191" s="16">
        <v>46204</v>
      </c>
      <c r="B191" s="14" t="s">
        <v>488</v>
      </c>
      <c r="C191" s="14"/>
      <c r="D191" s="14"/>
      <c r="E191" s="37"/>
      <c r="F191" s="17">
        <v>3000</v>
      </c>
      <c r="G191" s="14" t="s">
        <v>489</v>
      </c>
      <c r="H191" s="14"/>
    </row>
    <row r="192" spans="1:8" x14ac:dyDescent="0.25">
      <c r="A192" s="16">
        <v>46205</v>
      </c>
      <c r="B192" s="14" t="s">
        <v>450</v>
      </c>
      <c r="C192" s="14"/>
      <c r="D192" s="14" t="s">
        <v>452</v>
      </c>
      <c r="E192" s="37">
        <v>24</v>
      </c>
      <c r="F192" s="17">
        <v>15000</v>
      </c>
      <c r="G192" s="14" t="s">
        <v>448</v>
      </c>
      <c r="H192" s="14"/>
    </row>
    <row r="193" spans="1:8" x14ac:dyDescent="0.25">
      <c r="A193" s="16">
        <v>46205</v>
      </c>
      <c r="B193" s="14" t="s">
        <v>457</v>
      </c>
      <c r="C193" s="14"/>
      <c r="D193" s="14"/>
      <c r="E193" s="37"/>
      <c r="F193" s="17">
        <v>515</v>
      </c>
      <c r="G193" s="14" t="s">
        <v>458</v>
      </c>
      <c r="H193" s="14"/>
    </row>
    <row r="194" spans="1:8" x14ac:dyDescent="0.25">
      <c r="A194" s="16">
        <v>46206</v>
      </c>
      <c r="B194" s="14" t="s">
        <v>457</v>
      </c>
      <c r="C194" s="14"/>
      <c r="D194" s="14"/>
      <c r="E194" s="37"/>
      <c r="F194" s="17">
        <v>592</v>
      </c>
      <c r="G194" s="14" t="s">
        <v>458</v>
      </c>
      <c r="H194" s="14"/>
    </row>
    <row r="195" spans="1:8" x14ac:dyDescent="0.25">
      <c r="A195" s="16">
        <v>46206</v>
      </c>
      <c r="B195" s="14" t="s">
        <v>446</v>
      </c>
      <c r="C195" s="14"/>
      <c r="D195" s="14" t="s">
        <v>447</v>
      </c>
      <c r="E195" s="37">
        <v>16</v>
      </c>
      <c r="F195" s="17">
        <v>32000</v>
      </c>
      <c r="G195" s="14" t="s">
        <v>448</v>
      </c>
      <c r="H195" s="14"/>
    </row>
    <row r="196" spans="1:8" x14ac:dyDescent="0.25">
      <c r="A196" s="16">
        <v>46206</v>
      </c>
      <c r="B196" s="14" t="s">
        <v>457</v>
      </c>
      <c r="C196" s="14"/>
      <c r="D196" s="14"/>
      <c r="E196" s="37"/>
      <c r="F196" s="17">
        <v>247</v>
      </c>
      <c r="G196" s="14" t="s">
        <v>458</v>
      </c>
      <c r="H196" s="14"/>
    </row>
    <row r="197" spans="1:8" x14ac:dyDescent="0.25">
      <c r="A197" s="16">
        <v>46207</v>
      </c>
      <c r="B197" s="14" t="s">
        <v>471</v>
      </c>
      <c r="C197" s="14"/>
      <c r="D197" s="14" t="s">
        <v>472</v>
      </c>
      <c r="E197" s="37">
        <v>11</v>
      </c>
      <c r="F197" s="17">
        <v>1000</v>
      </c>
      <c r="G197" s="14" t="s">
        <v>448</v>
      </c>
      <c r="H197" s="14"/>
    </row>
    <row r="198" spans="1:8" x14ac:dyDescent="0.25">
      <c r="A198" s="16">
        <v>46209</v>
      </c>
      <c r="B198" s="14" t="s">
        <v>475</v>
      </c>
      <c r="C198" s="14"/>
      <c r="D198" s="14" t="s">
        <v>476</v>
      </c>
      <c r="E198" s="37">
        <v>6</v>
      </c>
      <c r="F198" s="17">
        <v>20</v>
      </c>
      <c r="G198" s="14" t="s">
        <v>448</v>
      </c>
      <c r="H198" s="14"/>
    </row>
    <row r="199" spans="1:8" x14ac:dyDescent="0.25">
      <c r="A199" s="16">
        <v>46209</v>
      </c>
      <c r="B199" s="14" t="s">
        <v>492</v>
      </c>
      <c r="C199" s="14"/>
      <c r="D199" s="14" t="s">
        <v>493</v>
      </c>
      <c r="E199" s="37">
        <v>1</v>
      </c>
      <c r="F199" s="17">
        <v>20</v>
      </c>
      <c r="G199" s="14" t="s">
        <v>448</v>
      </c>
      <c r="H199" s="14"/>
    </row>
    <row r="200" spans="1:8" x14ac:dyDescent="0.25">
      <c r="A200" s="16">
        <v>46209</v>
      </c>
      <c r="B200" s="14" t="s">
        <v>484</v>
      </c>
      <c r="C200" s="14"/>
      <c r="D200" s="14" t="s">
        <v>485</v>
      </c>
      <c r="E200" s="37">
        <v>5</v>
      </c>
      <c r="F200" s="17">
        <v>20</v>
      </c>
      <c r="G200" s="14" t="s">
        <v>448</v>
      </c>
      <c r="H200" s="14"/>
    </row>
    <row r="201" spans="1:8" x14ac:dyDescent="0.25">
      <c r="A201" s="16">
        <v>46209</v>
      </c>
      <c r="B201" s="14" t="s">
        <v>462</v>
      </c>
      <c r="C201" s="14"/>
      <c r="D201" s="14" t="s">
        <v>463</v>
      </c>
      <c r="E201" s="37">
        <v>2</v>
      </c>
      <c r="F201" s="17">
        <v>20</v>
      </c>
      <c r="G201" s="14" t="s">
        <v>448</v>
      </c>
      <c r="H201" s="14"/>
    </row>
    <row r="202" spans="1:8" x14ac:dyDescent="0.25">
      <c r="A202" s="16">
        <v>46210</v>
      </c>
      <c r="B202" s="14" t="s">
        <v>488</v>
      </c>
      <c r="C202" s="14"/>
      <c r="D202" s="14"/>
      <c r="E202" s="37"/>
      <c r="F202" s="17">
        <v>2000</v>
      </c>
      <c r="G202" s="14" t="s">
        <v>448</v>
      </c>
      <c r="H202" s="14"/>
    </row>
    <row r="203" spans="1:8" x14ac:dyDescent="0.25">
      <c r="A203" s="16">
        <v>46210</v>
      </c>
      <c r="B203" s="14" t="s">
        <v>471</v>
      </c>
      <c r="C203" s="14"/>
      <c r="D203" s="14" t="s">
        <v>472</v>
      </c>
      <c r="E203" s="37">
        <v>12</v>
      </c>
      <c r="F203" s="17">
        <f>33*46</f>
        <v>1518</v>
      </c>
      <c r="G203" s="14" t="s">
        <v>448</v>
      </c>
      <c r="H203" s="14"/>
    </row>
    <row r="204" spans="1:8" x14ac:dyDescent="0.25">
      <c r="A204" s="16">
        <v>46213</v>
      </c>
      <c r="B204" s="14" t="s">
        <v>453</v>
      </c>
      <c r="C204" s="14"/>
      <c r="D204" s="14" t="s">
        <v>454</v>
      </c>
      <c r="E204" s="37">
        <v>14</v>
      </c>
      <c r="F204" s="17">
        <v>8000</v>
      </c>
      <c r="G204" s="14" t="s">
        <v>448</v>
      </c>
      <c r="H204" s="14"/>
    </row>
    <row r="205" spans="1:8" x14ac:dyDescent="0.25">
      <c r="A205" s="16">
        <v>46213</v>
      </c>
      <c r="B205" s="14" t="s">
        <v>471</v>
      </c>
      <c r="C205" s="14"/>
      <c r="D205" s="14" t="s">
        <v>472</v>
      </c>
      <c r="E205" s="37">
        <v>14</v>
      </c>
      <c r="F205" s="17">
        <f>43*46</f>
        <v>1978</v>
      </c>
      <c r="G205" s="14" t="s">
        <v>448</v>
      </c>
      <c r="H205" s="14"/>
    </row>
    <row r="206" spans="1:8" x14ac:dyDescent="0.25">
      <c r="A206" s="16">
        <v>46215</v>
      </c>
      <c r="B206" s="14" t="s">
        <v>457</v>
      </c>
      <c r="C206" s="14"/>
      <c r="D206" s="14"/>
      <c r="E206" s="37"/>
      <c r="F206" s="17">
        <v>361</v>
      </c>
      <c r="G206" s="14" t="s">
        <v>458</v>
      </c>
      <c r="H206" s="14"/>
    </row>
    <row r="207" spans="1:8" x14ac:dyDescent="0.25">
      <c r="A207" s="16">
        <v>46215</v>
      </c>
      <c r="B207" s="14" t="s">
        <v>457</v>
      </c>
      <c r="C207" s="14"/>
      <c r="D207" s="14"/>
      <c r="E207" s="37"/>
      <c r="F207" s="17">
        <v>565</v>
      </c>
      <c r="G207" s="14" t="s">
        <v>458</v>
      </c>
      <c r="H207" s="14"/>
    </row>
    <row r="208" spans="1:8" x14ac:dyDescent="0.25">
      <c r="A208" s="16">
        <v>46216</v>
      </c>
      <c r="B208" s="14" t="s">
        <v>450</v>
      </c>
      <c r="C208" s="14"/>
      <c r="D208" s="14" t="s">
        <v>452</v>
      </c>
      <c r="E208" s="37">
        <v>25</v>
      </c>
      <c r="F208" s="17">
        <v>42000</v>
      </c>
      <c r="G208" s="14" t="s">
        <v>448</v>
      </c>
      <c r="H208" s="14" t="s">
        <v>494</v>
      </c>
    </row>
    <row r="209" spans="1:8" x14ac:dyDescent="0.25">
      <c r="A209" s="16">
        <v>46218</v>
      </c>
      <c r="B209" s="14" t="s">
        <v>467</v>
      </c>
      <c r="C209" s="14"/>
      <c r="D209" s="14" t="s">
        <v>468</v>
      </c>
      <c r="E209" s="37">
        <v>11</v>
      </c>
      <c r="F209" s="17">
        <v>750</v>
      </c>
      <c r="G209" s="14" t="s">
        <v>448</v>
      </c>
      <c r="H209" s="14"/>
    </row>
    <row r="210" spans="1:8" x14ac:dyDescent="0.25">
      <c r="A210" s="16">
        <v>46218</v>
      </c>
      <c r="B210" s="14" t="s">
        <v>471</v>
      </c>
      <c r="C210" s="14"/>
      <c r="D210" s="14" t="s">
        <v>472</v>
      </c>
      <c r="E210" s="37">
        <v>15</v>
      </c>
      <c r="F210" s="17">
        <v>500</v>
      </c>
      <c r="G210" s="14" t="s">
        <v>448</v>
      </c>
      <c r="H210" s="14"/>
    </row>
    <row r="211" spans="1:8" x14ac:dyDescent="0.25">
      <c r="A211" s="16">
        <v>46219</v>
      </c>
      <c r="B211" s="14" t="s">
        <v>457</v>
      </c>
      <c r="C211" s="14"/>
      <c r="D211" s="14"/>
      <c r="E211" s="37"/>
      <c r="F211" s="17">
        <v>515</v>
      </c>
      <c r="G211" s="14" t="s">
        <v>458</v>
      </c>
      <c r="H211" s="14"/>
    </row>
    <row r="212" spans="1:8" x14ac:dyDescent="0.25">
      <c r="A212" s="16">
        <v>46219</v>
      </c>
      <c r="B212" s="14" t="s">
        <v>477</v>
      </c>
      <c r="C212" s="14"/>
      <c r="D212" s="14" t="s">
        <v>470</v>
      </c>
      <c r="E212" s="37">
        <v>7</v>
      </c>
      <c r="F212" s="17">
        <v>900</v>
      </c>
      <c r="G212" s="14" t="s">
        <v>448</v>
      </c>
      <c r="H212" s="14"/>
    </row>
    <row r="213" spans="1:8" x14ac:dyDescent="0.25">
      <c r="A213" s="16">
        <v>46220</v>
      </c>
      <c r="B213" s="14" t="s">
        <v>457</v>
      </c>
      <c r="C213" s="14"/>
      <c r="D213" s="14"/>
      <c r="E213" s="37"/>
      <c r="F213" s="17">
        <v>295</v>
      </c>
      <c r="G213" s="14" t="s">
        <v>458</v>
      </c>
      <c r="H213" s="14"/>
    </row>
    <row r="214" spans="1:8" x14ac:dyDescent="0.25">
      <c r="A214" s="16">
        <v>46221</v>
      </c>
      <c r="B214" s="14" t="s">
        <v>488</v>
      </c>
      <c r="C214" s="14"/>
      <c r="D214" s="14"/>
      <c r="E214" s="37"/>
      <c r="F214" s="17">
        <v>2000</v>
      </c>
      <c r="G214" s="14" t="s">
        <v>489</v>
      </c>
      <c r="H214" s="14"/>
    </row>
    <row r="215" spans="1:8" x14ac:dyDescent="0.25">
      <c r="A215" s="16">
        <v>46222</v>
      </c>
      <c r="B215" s="14" t="s">
        <v>450</v>
      </c>
      <c r="C215" s="14"/>
      <c r="D215" s="14" t="s">
        <v>452</v>
      </c>
      <c r="E215" s="37">
        <v>26</v>
      </c>
      <c r="F215" s="17">
        <v>280000</v>
      </c>
      <c r="G215" s="14" t="s">
        <v>448</v>
      </c>
      <c r="H215" s="14"/>
    </row>
    <row r="216" spans="1:8" x14ac:dyDescent="0.25">
      <c r="A216" s="16">
        <v>46222</v>
      </c>
      <c r="B216" s="14" t="s">
        <v>449</v>
      </c>
      <c r="C216" s="14"/>
      <c r="D216" s="14" t="s">
        <v>459</v>
      </c>
      <c r="E216" s="37">
        <v>17</v>
      </c>
      <c r="F216" s="17">
        <v>10000</v>
      </c>
      <c r="G216" s="14" t="s">
        <v>448</v>
      </c>
      <c r="H216" s="14"/>
    </row>
    <row r="217" spans="1:8" x14ac:dyDescent="0.25">
      <c r="A217" s="16">
        <v>46222</v>
      </c>
      <c r="B217" s="14" t="s">
        <v>455</v>
      </c>
      <c r="C217" s="14"/>
      <c r="D217" s="14" t="s">
        <v>456</v>
      </c>
      <c r="E217" s="37">
        <v>9</v>
      </c>
      <c r="F217" s="17">
        <v>1000</v>
      </c>
      <c r="G217" s="14" t="s">
        <v>448</v>
      </c>
      <c r="H217" s="14"/>
    </row>
    <row r="218" spans="1:8" x14ac:dyDescent="0.25">
      <c r="A218" s="16">
        <v>46226</v>
      </c>
      <c r="B218" s="14" t="s">
        <v>446</v>
      </c>
      <c r="C218" s="14"/>
      <c r="D218" s="14" t="s">
        <v>447</v>
      </c>
      <c r="E218" s="37">
        <v>17</v>
      </c>
      <c r="F218" s="17">
        <v>1500</v>
      </c>
      <c r="G218" s="14" t="s">
        <v>448</v>
      </c>
      <c r="H218" s="14"/>
    </row>
    <row r="219" spans="1:8" x14ac:dyDescent="0.25">
      <c r="A219" s="16">
        <v>46227</v>
      </c>
      <c r="B219" s="14" t="s">
        <v>449</v>
      </c>
      <c r="C219" s="14"/>
      <c r="D219" s="14" t="s">
        <v>459</v>
      </c>
      <c r="E219" s="37">
        <v>18</v>
      </c>
      <c r="F219" s="17">
        <v>10000</v>
      </c>
      <c r="G219" s="14" t="s">
        <v>448</v>
      </c>
      <c r="H219" s="14"/>
    </row>
    <row r="220" spans="1:8" x14ac:dyDescent="0.25">
      <c r="A220" s="16">
        <v>46227</v>
      </c>
      <c r="B220" s="14" t="s">
        <v>453</v>
      </c>
      <c r="C220" s="14"/>
      <c r="D220" s="14" t="s">
        <v>454</v>
      </c>
      <c r="E220" s="37">
        <v>15</v>
      </c>
      <c r="F220" s="17">
        <v>3000</v>
      </c>
      <c r="G220" s="14" t="s">
        <v>448</v>
      </c>
      <c r="H220" s="14"/>
    </row>
    <row r="221" spans="1:8" x14ac:dyDescent="0.25">
      <c r="A221" s="16">
        <v>46227</v>
      </c>
      <c r="B221" s="14" t="s">
        <v>460</v>
      </c>
      <c r="C221" s="14"/>
      <c r="D221" s="14" t="s">
        <v>473</v>
      </c>
      <c r="E221" s="37">
        <v>4</v>
      </c>
      <c r="F221" s="17">
        <v>3000</v>
      </c>
      <c r="G221" s="14" t="s">
        <v>448</v>
      </c>
      <c r="H221" s="14"/>
    </row>
    <row r="222" spans="1:8" x14ac:dyDescent="0.25">
      <c r="A222" s="16">
        <v>46227</v>
      </c>
      <c r="B222" s="14" t="s">
        <v>488</v>
      </c>
      <c r="C222" s="14"/>
      <c r="D222" s="14"/>
      <c r="E222" s="37"/>
      <c r="F222" s="17">
        <v>2000</v>
      </c>
      <c r="G222" s="14" t="s">
        <v>489</v>
      </c>
      <c r="H222" s="14"/>
    </row>
    <row r="223" spans="1:8" x14ac:dyDescent="0.25">
      <c r="A223" s="16">
        <v>46227</v>
      </c>
      <c r="B223" s="14" t="s">
        <v>478</v>
      </c>
      <c r="C223" s="14"/>
      <c r="D223" s="14" t="s">
        <v>479</v>
      </c>
      <c r="E223" s="37">
        <v>4</v>
      </c>
      <c r="F223" s="17">
        <v>200</v>
      </c>
      <c r="G223" s="14" t="s">
        <v>448</v>
      </c>
      <c r="H223" s="14"/>
    </row>
    <row r="224" spans="1:8" x14ac:dyDescent="0.25">
      <c r="A224" s="16">
        <v>46227</v>
      </c>
      <c r="B224" s="14" t="s">
        <v>457</v>
      </c>
      <c r="C224" s="14"/>
      <c r="D224" s="14"/>
      <c r="E224" s="37"/>
      <c r="F224" s="17">
        <v>238</v>
      </c>
      <c r="G224" s="14" t="s">
        <v>458</v>
      </c>
      <c r="H224" s="14"/>
    </row>
    <row r="225" spans="1:8" x14ac:dyDescent="0.25">
      <c r="A225" s="16">
        <v>46228</v>
      </c>
      <c r="B225" s="14" t="s">
        <v>446</v>
      </c>
      <c r="C225" s="14"/>
      <c r="D225" s="14" t="s">
        <v>447</v>
      </c>
      <c r="E225" s="37">
        <v>18</v>
      </c>
      <c r="F225" s="17">
        <v>34000</v>
      </c>
      <c r="G225" s="14" t="s">
        <v>448</v>
      </c>
      <c r="H225" s="14"/>
    </row>
    <row r="226" spans="1:8" x14ac:dyDescent="0.25">
      <c r="A226" s="16">
        <v>46233</v>
      </c>
      <c r="B226" s="14" t="s">
        <v>449</v>
      </c>
      <c r="C226" s="14"/>
      <c r="D226" s="14" t="s">
        <v>459</v>
      </c>
      <c r="E226" s="37">
        <v>19</v>
      </c>
      <c r="F226" s="17">
        <v>6000</v>
      </c>
      <c r="G226" s="14" t="s">
        <v>448</v>
      </c>
      <c r="H226" s="14"/>
    </row>
    <row r="227" spans="1:8" x14ac:dyDescent="0.25">
      <c r="A227" s="16">
        <v>46233</v>
      </c>
      <c r="B227" s="14" t="s">
        <v>457</v>
      </c>
      <c r="C227" s="14"/>
      <c r="D227" s="14"/>
      <c r="E227" s="37"/>
      <c r="F227" s="17">
        <v>304</v>
      </c>
      <c r="G227" s="14" t="s">
        <v>458</v>
      </c>
      <c r="H227" s="14"/>
    </row>
    <row r="228" spans="1:8" x14ac:dyDescent="0.25">
      <c r="A228" s="16">
        <v>46235</v>
      </c>
      <c r="B228" s="14" t="s">
        <v>478</v>
      </c>
      <c r="C228" s="14"/>
      <c r="D228" s="14" t="s">
        <v>479</v>
      </c>
      <c r="E228" s="37">
        <v>5</v>
      </c>
      <c r="F228" s="17">
        <v>250</v>
      </c>
      <c r="G228" s="14" t="s">
        <v>448</v>
      </c>
      <c r="H228" s="14"/>
    </row>
    <row r="229" spans="1:8" x14ac:dyDescent="0.25">
      <c r="A229" s="16">
        <v>46235</v>
      </c>
      <c r="B229" s="14" t="s">
        <v>467</v>
      </c>
      <c r="C229" s="14"/>
      <c r="D229" s="14" t="s">
        <v>468</v>
      </c>
      <c r="E229" s="37">
        <v>12</v>
      </c>
      <c r="F229" s="17">
        <v>500</v>
      </c>
      <c r="G229" s="14" t="s">
        <v>448</v>
      </c>
      <c r="H229" s="14"/>
    </row>
    <row r="230" spans="1:8" x14ac:dyDescent="0.25">
      <c r="A230" s="16">
        <v>46236</v>
      </c>
      <c r="B230" s="14" t="s">
        <v>449</v>
      </c>
      <c r="C230" s="14"/>
      <c r="D230" s="14" t="s">
        <v>459</v>
      </c>
      <c r="E230" s="37">
        <v>20</v>
      </c>
      <c r="F230" s="17">
        <v>24000</v>
      </c>
      <c r="G230" s="14" t="s">
        <v>448</v>
      </c>
      <c r="H230" s="14"/>
    </row>
    <row r="231" spans="1:8" x14ac:dyDescent="0.25">
      <c r="A231" s="16">
        <v>46236</v>
      </c>
      <c r="B231" s="14" t="s">
        <v>465</v>
      </c>
      <c r="C231" s="14"/>
      <c r="D231" s="14" t="s">
        <v>466</v>
      </c>
      <c r="E231" s="37">
        <v>11</v>
      </c>
      <c r="F231" s="17">
        <v>6000</v>
      </c>
      <c r="G231" s="14" t="s">
        <v>448</v>
      </c>
      <c r="H231" s="14"/>
    </row>
    <row r="232" spans="1:8" x14ac:dyDescent="0.25">
      <c r="A232" s="16">
        <v>46237</v>
      </c>
      <c r="B232" s="14" t="s">
        <v>460</v>
      </c>
      <c r="C232" s="14"/>
      <c r="D232" s="14" t="s">
        <v>473</v>
      </c>
      <c r="E232" s="37">
        <v>5</v>
      </c>
      <c r="F232" s="17">
        <v>30000</v>
      </c>
      <c r="G232" s="14" t="s">
        <v>448</v>
      </c>
      <c r="H232" s="14"/>
    </row>
    <row r="233" spans="1:8" x14ac:dyDescent="0.25">
      <c r="A233" s="16">
        <v>46237</v>
      </c>
      <c r="B233" s="14" t="s">
        <v>453</v>
      </c>
      <c r="C233" s="14"/>
      <c r="D233" s="14" t="s">
        <v>454</v>
      </c>
      <c r="E233" s="37">
        <v>16</v>
      </c>
      <c r="F233" s="17">
        <v>6000</v>
      </c>
      <c r="G233" s="14" t="s">
        <v>448</v>
      </c>
      <c r="H233" s="14"/>
    </row>
    <row r="234" spans="1:8" x14ac:dyDescent="0.25">
      <c r="A234" s="16">
        <v>46237</v>
      </c>
      <c r="B234" s="14" t="s">
        <v>471</v>
      </c>
      <c r="C234" s="14"/>
      <c r="D234" s="14" t="s">
        <v>472</v>
      </c>
      <c r="E234" s="37">
        <v>16</v>
      </c>
      <c r="F234" s="17">
        <v>1400</v>
      </c>
      <c r="G234" s="14" t="s">
        <v>448</v>
      </c>
      <c r="H234" s="14"/>
    </row>
    <row r="235" spans="1:8" x14ac:dyDescent="0.25">
      <c r="A235" s="16">
        <v>46238</v>
      </c>
      <c r="B235" s="14" t="s">
        <v>457</v>
      </c>
      <c r="C235" s="14"/>
      <c r="D235" s="14"/>
      <c r="E235" s="37"/>
      <c r="F235" s="17">
        <v>399</v>
      </c>
      <c r="G235" s="14" t="s">
        <v>458</v>
      </c>
      <c r="H235" s="14"/>
    </row>
    <row r="236" spans="1:8" x14ac:dyDescent="0.25">
      <c r="A236" s="16">
        <v>46241</v>
      </c>
      <c r="B236" s="14" t="s">
        <v>488</v>
      </c>
      <c r="C236" s="14"/>
      <c r="D236" s="14"/>
      <c r="E236" s="37"/>
      <c r="F236" s="17">
        <v>3000</v>
      </c>
      <c r="G236" s="14" t="s">
        <v>489</v>
      </c>
      <c r="H236" s="14"/>
    </row>
    <row r="237" spans="1:8" x14ac:dyDescent="0.25">
      <c r="A237" s="16">
        <v>46242</v>
      </c>
      <c r="B237" s="14" t="s">
        <v>457</v>
      </c>
      <c r="C237" s="14"/>
      <c r="D237" s="14"/>
      <c r="E237" s="37"/>
      <c r="F237" s="17">
        <v>304</v>
      </c>
      <c r="G237" s="14" t="s">
        <v>458</v>
      </c>
      <c r="H237" s="14"/>
    </row>
    <row r="238" spans="1:8" x14ac:dyDescent="0.25">
      <c r="A238" s="16">
        <v>46248</v>
      </c>
      <c r="B238" s="14" t="s">
        <v>465</v>
      </c>
      <c r="C238" s="14"/>
      <c r="D238" s="14" t="s">
        <v>466</v>
      </c>
      <c r="E238" s="37">
        <v>12</v>
      </c>
      <c r="F238" s="17">
        <v>6000</v>
      </c>
      <c r="G238" s="14" t="s">
        <v>448</v>
      </c>
      <c r="H238" s="14"/>
    </row>
    <row r="239" spans="1:8" x14ac:dyDescent="0.25">
      <c r="A239" s="16">
        <v>46248</v>
      </c>
      <c r="B239" s="14" t="s">
        <v>449</v>
      </c>
      <c r="C239" s="14"/>
      <c r="D239" s="14" t="s">
        <v>459</v>
      </c>
      <c r="E239" s="37">
        <v>21</v>
      </c>
      <c r="F239" s="17">
        <v>30000</v>
      </c>
      <c r="G239" s="14" t="s">
        <v>448</v>
      </c>
      <c r="H239" s="14"/>
    </row>
    <row r="240" spans="1:8" x14ac:dyDescent="0.25">
      <c r="A240" s="16">
        <v>46248</v>
      </c>
      <c r="B240" s="14" t="s">
        <v>455</v>
      </c>
      <c r="C240" s="14"/>
      <c r="D240" s="14" t="s">
        <v>456</v>
      </c>
      <c r="E240" s="37">
        <v>10</v>
      </c>
      <c r="F240" s="17">
        <v>1000</v>
      </c>
      <c r="G240" s="14" t="s">
        <v>448</v>
      </c>
      <c r="H240" s="14"/>
    </row>
    <row r="241" spans="1:8" x14ac:dyDescent="0.25">
      <c r="A241" s="16">
        <v>46249</v>
      </c>
      <c r="B241" s="14" t="s">
        <v>455</v>
      </c>
      <c r="C241" s="14"/>
      <c r="D241" s="14" t="s">
        <v>456</v>
      </c>
      <c r="E241" s="37">
        <v>11</v>
      </c>
      <c r="F241" s="17">
        <v>250</v>
      </c>
      <c r="G241" s="14" t="s">
        <v>448</v>
      </c>
      <c r="H241" s="14"/>
    </row>
    <row r="242" spans="1:8" x14ac:dyDescent="0.25">
      <c r="A242" s="16">
        <v>46249</v>
      </c>
      <c r="B242" s="14" t="s">
        <v>475</v>
      </c>
      <c r="C242" s="14"/>
      <c r="D242" s="14" t="s">
        <v>476</v>
      </c>
      <c r="E242" s="37">
        <v>7</v>
      </c>
      <c r="F242" s="17">
        <v>20</v>
      </c>
      <c r="G242" s="14" t="s">
        <v>448</v>
      </c>
      <c r="H242" s="14"/>
    </row>
    <row r="243" spans="1:8" x14ac:dyDescent="0.25">
      <c r="A243" s="16">
        <v>46249</v>
      </c>
      <c r="B243" s="14" t="s">
        <v>484</v>
      </c>
      <c r="C243" s="14"/>
      <c r="D243" s="14" t="s">
        <v>485</v>
      </c>
      <c r="E243" s="37">
        <v>6</v>
      </c>
      <c r="F243" s="17">
        <v>20</v>
      </c>
      <c r="G243" s="14" t="s">
        <v>448</v>
      </c>
      <c r="H243" s="14"/>
    </row>
    <row r="244" spans="1:8" x14ac:dyDescent="0.25">
      <c r="A244" s="16">
        <v>46249</v>
      </c>
      <c r="B244" s="14" t="s">
        <v>469</v>
      </c>
      <c r="C244" s="14"/>
      <c r="D244" s="14" t="s">
        <v>470</v>
      </c>
      <c r="E244" s="37">
        <v>8</v>
      </c>
      <c r="F244" s="17">
        <v>900</v>
      </c>
      <c r="G244" s="14" t="s">
        <v>448</v>
      </c>
      <c r="H244" s="14"/>
    </row>
    <row r="245" spans="1:8" x14ac:dyDescent="0.25">
      <c r="A245" s="16">
        <v>46251</v>
      </c>
      <c r="B245" s="14" t="s">
        <v>457</v>
      </c>
      <c r="C245" s="14"/>
      <c r="D245" s="14"/>
      <c r="E245" s="37"/>
      <c r="F245" s="17">
        <v>809</v>
      </c>
      <c r="G245" s="14" t="s">
        <v>458</v>
      </c>
      <c r="H245" s="14"/>
    </row>
    <row r="246" spans="1:8" x14ac:dyDescent="0.25">
      <c r="A246" s="16">
        <v>46252</v>
      </c>
      <c r="B246" s="14" t="s">
        <v>457</v>
      </c>
      <c r="C246" s="14"/>
      <c r="D246" s="14"/>
      <c r="E246" s="37"/>
      <c r="F246" s="17">
        <v>309</v>
      </c>
      <c r="G246" s="14" t="s">
        <v>458</v>
      </c>
      <c r="H246" s="14"/>
    </row>
    <row r="247" spans="1:8" x14ac:dyDescent="0.25">
      <c r="A247" s="16">
        <v>46253</v>
      </c>
      <c r="B247" s="14" t="s">
        <v>457</v>
      </c>
      <c r="C247" s="14"/>
      <c r="D247" s="14"/>
      <c r="E247" s="37"/>
      <c r="F247" s="17">
        <v>790</v>
      </c>
      <c r="G247" s="14" t="s">
        <v>458</v>
      </c>
      <c r="H247" s="14"/>
    </row>
    <row r="248" spans="1:8" x14ac:dyDescent="0.25">
      <c r="A248" s="16">
        <v>46254</v>
      </c>
      <c r="B248" s="14" t="s">
        <v>488</v>
      </c>
      <c r="C248" s="14"/>
      <c r="D248" s="14"/>
      <c r="E248" s="37"/>
      <c r="F248" s="17">
        <v>2000</v>
      </c>
      <c r="G248" s="14" t="s">
        <v>489</v>
      </c>
      <c r="H248" s="14"/>
    </row>
    <row r="249" spans="1:8" x14ac:dyDescent="0.25">
      <c r="A249" s="16">
        <v>46255</v>
      </c>
      <c r="B249" s="14" t="s">
        <v>457</v>
      </c>
      <c r="C249" s="14"/>
      <c r="D249" s="14"/>
      <c r="E249" s="37"/>
      <c r="F249" s="17">
        <v>300</v>
      </c>
      <c r="G249" s="14" t="s">
        <v>458</v>
      </c>
      <c r="H249" s="14" t="s">
        <v>486</v>
      </c>
    </row>
    <row r="250" spans="1:8" x14ac:dyDescent="0.25">
      <c r="A250" s="16">
        <v>46256</v>
      </c>
      <c r="B250" s="14" t="s">
        <v>446</v>
      </c>
      <c r="C250" s="14"/>
      <c r="D250" s="14" t="s">
        <v>447</v>
      </c>
      <c r="E250" s="37">
        <v>19</v>
      </c>
      <c r="F250" s="17">
        <v>3200</v>
      </c>
      <c r="G250" s="14" t="s">
        <v>448</v>
      </c>
      <c r="H250" s="14"/>
    </row>
    <row r="251" spans="1:8" x14ac:dyDescent="0.25">
      <c r="A251" s="16">
        <v>46260</v>
      </c>
      <c r="B251" s="14" t="s">
        <v>488</v>
      </c>
      <c r="C251" s="14"/>
      <c r="D251" s="14"/>
      <c r="E251" s="37"/>
      <c r="F251" s="17">
        <v>2000</v>
      </c>
      <c r="G251" s="14" t="s">
        <v>489</v>
      </c>
      <c r="H251" s="14"/>
    </row>
    <row r="252" spans="1:8" x14ac:dyDescent="0.25">
      <c r="A252" s="16">
        <v>46261</v>
      </c>
      <c r="B252" s="14" t="s">
        <v>453</v>
      </c>
      <c r="C252" s="14"/>
      <c r="D252" s="14" t="s">
        <v>454</v>
      </c>
      <c r="E252" s="37">
        <v>17</v>
      </c>
      <c r="F252" s="17">
        <v>6000</v>
      </c>
      <c r="G252" s="14" t="s">
        <v>448</v>
      </c>
      <c r="H252" s="14"/>
    </row>
    <row r="253" spans="1:8" x14ac:dyDescent="0.25">
      <c r="A253" s="16">
        <v>46261</v>
      </c>
      <c r="B253" s="14" t="s">
        <v>465</v>
      </c>
      <c r="C253" s="14"/>
      <c r="D253" s="14" t="s">
        <v>466</v>
      </c>
      <c r="E253" s="37">
        <v>13</v>
      </c>
      <c r="F253" s="17">
        <v>7000</v>
      </c>
      <c r="G253" s="14" t="s">
        <v>448</v>
      </c>
      <c r="H253" s="14"/>
    </row>
    <row r="254" spans="1:8" x14ac:dyDescent="0.25">
      <c r="A254" s="16">
        <v>46261</v>
      </c>
      <c r="B254" s="14" t="s">
        <v>449</v>
      </c>
      <c r="C254" s="14"/>
      <c r="D254" s="14" t="s">
        <v>459</v>
      </c>
      <c r="E254" s="37">
        <v>22</v>
      </c>
      <c r="F254" s="17">
        <v>22000</v>
      </c>
      <c r="G254" s="14" t="s">
        <v>448</v>
      </c>
      <c r="H254" s="14"/>
    </row>
    <row r="255" spans="1:8" x14ac:dyDescent="0.25">
      <c r="A255" s="16">
        <v>46262</v>
      </c>
      <c r="B255" s="14" t="s">
        <v>453</v>
      </c>
      <c r="C255" s="14"/>
      <c r="D255" s="14" t="s">
        <v>454</v>
      </c>
      <c r="E255" s="37">
        <v>18</v>
      </c>
      <c r="F255" s="17">
        <v>1000</v>
      </c>
      <c r="G255" s="14" t="s">
        <v>448</v>
      </c>
      <c r="H255" s="14"/>
    </row>
    <row r="256" spans="1:8" x14ac:dyDescent="0.25">
      <c r="A256" s="16">
        <v>46262</v>
      </c>
      <c r="B256" s="14" t="s">
        <v>449</v>
      </c>
      <c r="C256" s="14"/>
      <c r="D256" s="14" t="s">
        <v>459</v>
      </c>
      <c r="E256" s="37">
        <v>23</v>
      </c>
      <c r="F256" s="17">
        <v>6000</v>
      </c>
      <c r="G256" s="14" t="s">
        <v>448</v>
      </c>
      <c r="H256" s="14"/>
    </row>
    <row r="257" spans="1:8" x14ac:dyDescent="0.25">
      <c r="A257" s="16">
        <v>46262</v>
      </c>
      <c r="B257" s="14" t="s">
        <v>480</v>
      </c>
      <c r="C257" s="14"/>
      <c r="D257" s="14" t="s">
        <v>481</v>
      </c>
      <c r="E257" s="37">
        <v>4</v>
      </c>
      <c r="F257" s="17">
        <v>325</v>
      </c>
      <c r="G257" s="14" t="s">
        <v>448</v>
      </c>
      <c r="H257" s="14"/>
    </row>
    <row r="258" spans="1:8" x14ac:dyDescent="0.25">
      <c r="A258" s="16">
        <v>46262</v>
      </c>
      <c r="B258" s="14" t="s">
        <v>446</v>
      </c>
      <c r="C258" s="14"/>
      <c r="D258" s="14" t="s">
        <v>447</v>
      </c>
      <c r="E258" s="37">
        <v>20</v>
      </c>
      <c r="F258" s="17">
        <v>32000</v>
      </c>
      <c r="G258" s="14" t="s">
        <v>448</v>
      </c>
      <c r="H258" s="14"/>
    </row>
    <row r="259" spans="1:8" x14ac:dyDescent="0.25">
      <c r="A259" s="16">
        <v>46266</v>
      </c>
      <c r="B259" s="14" t="s">
        <v>457</v>
      </c>
      <c r="C259" s="14"/>
      <c r="D259" s="14"/>
      <c r="E259" s="37"/>
      <c r="F259" s="17">
        <v>748</v>
      </c>
      <c r="G259" s="14" t="s">
        <v>458</v>
      </c>
      <c r="H259" s="14" t="s">
        <v>486</v>
      </c>
    </row>
    <row r="260" spans="1:8" x14ac:dyDescent="0.25">
      <c r="A260" s="16">
        <v>46266</v>
      </c>
      <c r="B260" s="14" t="s">
        <v>457</v>
      </c>
      <c r="C260" s="14"/>
      <c r="D260" s="14"/>
      <c r="E260" s="37"/>
      <c r="F260" s="17">
        <v>308</v>
      </c>
      <c r="G260" s="14" t="s">
        <v>458</v>
      </c>
      <c r="H260" s="14" t="s">
        <v>487</v>
      </c>
    </row>
    <row r="261" spans="1:8" x14ac:dyDescent="0.25">
      <c r="A261" s="16">
        <v>46268</v>
      </c>
      <c r="B261" s="14" t="s">
        <v>449</v>
      </c>
      <c r="C261" s="14"/>
      <c r="D261" s="14" t="s">
        <v>459</v>
      </c>
      <c r="E261" s="37">
        <v>24</v>
      </c>
      <c r="F261" s="17">
        <v>36000</v>
      </c>
      <c r="G261" s="14" t="s">
        <v>448</v>
      </c>
      <c r="H261" s="14"/>
    </row>
    <row r="262" spans="1:8" x14ac:dyDescent="0.25">
      <c r="A262" s="16">
        <v>46270</v>
      </c>
      <c r="B262" s="14" t="s">
        <v>453</v>
      </c>
      <c r="C262" s="14"/>
      <c r="D262" s="14" t="s">
        <v>454</v>
      </c>
      <c r="E262" s="37">
        <v>19</v>
      </c>
      <c r="F262" s="17">
        <v>7000</v>
      </c>
      <c r="G262" s="14" t="s">
        <v>448</v>
      </c>
      <c r="H262" s="14"/>
    </row>
    <row r="263" spans="1:8" x14ac:dyDescent="0.25">
      <c r="A263" s="16">
        <v>46272</v>
      </c>
      <c r="B263" s="14" t="s">
        <v>450</v>
      </c>
      <c r="C263" s="14"/>
      <c r="D263" s="14" t="s">
        <v>452</v>
      </c>
      <c r="E263" s="37">
        <v>27</v>
      </c>
      <c r="F263" s="17">
        <v>30000</v>
      </c>
      <c r="G263" s="14" t="s">
        <v>448</v>
      </c>
      <c r="H263" s="14"/>
    </row>
    <row r="264" spans="1:8" x14ac:dyDescent="0.25">
      <c r="A264" s="16">
        <v>46272</v>
      </c>
      <c r="B264" s="14" t="s">
        <v>465</v>
      </c>
      <c r="C264" s="14"/>
      <c r="D264" s="14" t="s">
        <v>466</v>
      </c>
      <c r="E264" s="37">
        <v>14</v>
      </c>
      <c r="F264" s="17">
        <v>6000</v>
      </c>
      <c r="G264" s="14" t="s">
        <v>448</v>
      </c>
      <c r="H264" s="14"/>
    </row>
    <row r="265" spans="1:8" x14ac:dyDescent="0.25">
      <c r="A265" s="16">
        <v>46272</v>
      </c>
      <c r="B265" s="14" t="s">
        <v>480</v>
      </c>
      <c r="C265" s="14"/>
      <c r="D265" s="14" t="s">
        <v>481</v>
      </c>
      <c r="E265" s="37">
        <v>5</v>
      </c>
      <c r="F265" s="17">
        <v>125</v>
      </c>
      <c r="G265" s="14" t="s">
        <v>448</v>
      </c>
      <c r="H265" s="14"/>
    </row>
    <row r="266" spans="1:8" x14ac:dyDescent="0.25">
      <c r="A266" s="16">
        <v>46273</v>
      </c>
      <c r="B266" s="14" t="s">
        <v>488</v>
      </c>
      <c r="C266" s="14"/>
      <c r="D266" s="14"/>
      <c r="E266" s="37"/>
      <c r="F266" s="17">
        <v>2000</v>
      </c>
      <c r="G266" s="14" t="s">
        <v>489</v>
      </c>
      <c r="H266" s="14"/>
    </row>
    <row r="267" spans="1:8" x14ac:dyDescent="0.25">
      <c r="A267" s="16">
        <v>46273</v>
      </c>
      <c r="B267" s="14" t="s">
        <v>471</v>
      </c>
      <c r="C267" s="14"/>
      <c r="D267" s="14" t="s">
        <v>472</v>
      </c>
      <c r="E267" s="37">
        <v>17</v>
      </c>
      <c r="F267" s="17">
        <f>46*29</f>
        <v>1334</v>
      </c>
      <c r="G267" s="14" t="s">
        <v>448</v>
      </c>
      <c r="H267" s="14"/>
    </row>
    <row r="268" spans="1:8" x14ac:dyDescent="0.25">
      <c r="A268" s="16">
        <v>46273</v>
      </c>
      <c r="B268" s="14" t="s">
        <v>457</v>
      </c>
      <c r="C268" s="14"/>
      <c r="D268" s="14"/>
      <c r="E268" s="37"/>
      <c r="F268" s="17">
        <v>243</v>
      </c>
      <c r="G268" s="14" t="s">
        <v>458</v>
      </c>
      <c r="H268" s="14"/>
    </row>
    <row r="269" spans="1:8" x14ac:dyDescent="0.25">
      <c r="A269" s="16">
        <v>46274</v>
      </c>
      <c r="B269" s="14" t="s">
        <v>455</v>
      </c>
      <c r="C269" s="14"/>
      <c r="D269" s="14" t="s">
        <v>456</v>
      </c>
      <c r="E269" s="37">
        <v>12</v>
      </c>
      <c r="F269" s="17">
        <v>2000</v>
      </c>
      <c r="G269" s="14" t="s">
        <v>448</v>
      </c>
      <c r="H269" s="14"/>
    </row>
    <row r="270" spans="1:8" x14ac:dyDescent="0.25">
      <c r="A270" s="16">
        <v>46275</v>
      </c>
      <c r="B270" s="14" t="s">
        <v>457</v>
      </c>
      <c r="C270" s="14"/>
      <c r="D270" s="14"/>
      <c r="E270" s="37"/>
      <c r="F270" s="17">
        <v>570</v>
      </c>
      <c r="G270" s="14" t="s">
        <v>458</v>
      </c>
      <c r="H270" s="14"/>
    </row>
    <row r="271" spans="1:8" x14ac:dyDescent="0.25">
      <c r="A271" s="16">
        <v>46276</v>
      </c>
      <c r="B271" s="14" t="s">
        <v>457</v>
      </c>
      <c r="C271" s="14"/>
      <c r="D271" s="14"/>
      <c r="E271" s="37"/>
      <c r="F271" s="17">
        <v>903</v>
      </c>
      <c r="G271" s="14" t="s">
        <v>458</v>
      </c>
      <c r="H271" s="14"/>
    </row>
    <row r="272" spans="1:8" x14ac:dyDescent="0.25">
      <c r="A272" s="16">
        <v>46276</v>
      </c>
      <c r="B272" s="14" t="s">
        <v>475</v>
      </c>
      <c r="C272" s="14"/>
      <c r="D272" s="14" t="s">
        <v>476</v>
      </c>
      <c r="E272" s="37">
        <v>8</v>
      </c>
      <c r="F272" s="17">
        <v>40</v>
      </c>
      <c r="G272" s="14" t="s">
        <v>448</v>
      </c>
      <c r="H272" s="14"/>
    </row>
    <row r="273" spans="1:8" x14ac:dyDescent="0.25">
      <c r="A273" s="16">
        <v>46276</v>
      </c>
      <c r="B273" s="14" t="s">
        <v>484</v>
      </c>
      <c r="C273" s="14"/>
      <c r="D273" s="14" t="s">
        <v>485</v>
      </c>
      <c r="E273" s="37">
        <v>7</v>
      </c>
      <c r="F273" s="17">
        <v>20</v>
      </c>
      <c r="G273" s="14" t="s">
        <v>448</v>
      </c>
      <c r="H273" s="14"/>
    </row>
    <row r="274" spans="1:8" x14ac:dyDescent="0.25">
      <c r="A274" s="16">
        <v>46279</v>
      </c>
      <c r="B274" s="14" t="s">
        <v>450</v>
      </c>
      <c r="C274" s="14"/>
      <c r="D274" s="14" t="s">
        <v>452</v>
      </c>
      <c r="E274" s="37">
        <v>28</v>
      </c>
      <c r="F274" s="17">
        <v>15000</v>
      </c>
      <c r="G274" s="14" t="s">
        <v>448</v>
      </c>
      <c r="H274" s="14"/>
    </row>
    <row r="275" spans="1:8" x14ac:dyDescent="0.25">
      <c r="A275" s="16">
        <v>46280</v>
      </c>
      <c r="B275" s="14" t="s">
        <v>457</v>
      </c>
      <c r="C275" s="14"/>
      <c r="D275" s="14"/>
      <c r="E275" s="37"/>
      <c r="F275" s="17">
        <v>956</v>
      </c>
      <c r="G275" s="14" t="s">
        <v>458</v>
      </c>
      <c r="H275" s="14"/>
    </row>
    <row r="276" spans="1:8" x14ac:dyDescent="0.25">
      <c r="A276" s="16">
        <v>46282</v>
      </c>
      <c r="B276" s="14" t="s">
        <v>449</v>
      </c>
      <c r="C276" s="14"/>
      <c r="D276" s="14" t="s">
        <v>459</v>
      </c>
      <c r="E276" s="37">
        <v>25</v>
      </c>
      <c r="F276" s="17">
        <v>7000</v>
      </c>
      <c r="G276" s="14" t="s">
        <v>448</v>
      </c>
      <c r="H276" s="14"/>
    </row>
    <row r="277" spans="1:8" x14ac:dyDescent="0.25">
      <c r="A277" s="16">
        <v>46282</v>
      </c>
      <c r="B277" s="14" t="s">
        <v>457</v>
      </c>
      <c r="C277" s="14"/>
      <c r="D277" s="14"/>
      <c r="E277" s="37"/>
      <c r="F277" s="17">
        <v>1023</v>
      </c>
      <c r="G277" s="14" t="s">
        <v>458</v>
      </c>
      <c r="H277" s="14"/>
    </row>
    <row r="278" spans="1:8" x14ac:dyDescent="0.25">
      <c r="A278" s="16">
        <v>46282</v>
      </c>
      <c r="B278" s="14" t="s">
        <v>477</v>
      </c>
      <c r="C278" s="14"/>
      <c r="D278" s="14" t="s">
        <v>470</v>
      </c>
      <c r="E278" s="37">
        <v>9</v>
      </c>
      <c r="F278" s="17">
        <v>900</v>
      </c>
      <c r="G278" s="14" t="s">
        <v>448</v>
      </c>
      <c r="H278" s="14"/>
    </row>
    <row r="279" spans="1:8" x14ac:dyDescent="0.25">
      <c r="A279" s="16">
        <v>46282</v>
      </c>
      <c r="B279" s="14" t="s">
        <v>488</v>
      </c>
      <c r="C279" s="14"/>
      <c r="D279" s="14"/>
      <c r="E279" s="37"/>
      <c r="F279" s="17">
        <v>2000</v>
      </c>
      <c r="G279" s="14" t="s">
        <v>489</v>
      </c>
      <c r="H279" s="14"/>
    </row>
    <row r="280" spans="1:8" x14ac:dyDescent="0.25">
      <c r="A280" s="16">
        <v>46283</v>
      </c>
      <c r="B280" s="14" t="s">
        <v>450</v>
      </c>
      <c r="C280" s="14"/>
      <c r="D280" s="14" t="s">
        <v>452</v>
      </c>
      <c r="E280" s="37">
        <v>29</v>
      </c>
      <c r="F280" s="17">
        <v>21000</v>
      </c>
      <c r="G280" s="14" t="s">
        <v>448</v>
      </c>
      <c r="H280" s="14" t="s">
        <v>495</v>
      </c>
    </row>
    <row r="281" spans="1:8" x14ac:dyDescent="0.25">
      <c r="A281" s="16">
        <v>46283</v>
      </c>
      <c r="B281" s="14" t="s">
        <v>478</v>
      </c>
      <c r="C281" s="14"/>
      <c r="D281" s="14" t="s">
        <v>479</v>
      </c>
      <c r="E281" s="37"/>
      <c r="F281" s="17">
        <v>285</v>
      </c>
      <c r="G281" s="14" t="s">
        <v>448</v>
      </c>
      <c r="H281" s="14"/>
    </row>
    <row r="282" spans="1:8" x14ac:dyDescent="0.25">
      <c r="A282" s="16">
        <v>46286</v>
      </c>
      <c r="B282" s="14" t="s">
        <v>457</v>
      </c>
      <c r="C282" s="14"/>
      <c r="D282" s="14"/>
      <c r="E282" s="37"/>
      <c r="F282" s="17">
        <v>207</v>
      </c>
      <c r="G282" s="14" t="s">
        <v>458</v>
      </c>
      <c r="H282" s="14" t="s">
        <v>486</v>
      </c>
    </row>
    <row r="283" spans="1:8" x14ac:dyDescent="0.25">
      <c r="A283" s="16">
        <v>46288</v>
      </c>
      <c r="B283" s="14" t="s">
        <v>450</v>
      </c>
      <c r="C283" s="14"/>
      <c r="D283" s="14" t="s">
        <v>452</v>
      </c>
      <c r="E283" s="37">
        <v>30</v>
      </c>
      <c r="F283" s="17">
        <v>36000</v>
      </c>
      <c r="G283" s="14" t="s">
        <v>448</v>
      </c>
      <c r="H283" s="14"/>
    </row>
    <row r="284" spans="1:8" x14ac:dyDescent="0.25">
      <c r="A284" s="16">
        <v>46289</v>
      </c>
      <c r="B284" s="14" t="s">
        <v>457</v>
      </c>
      <c r="C284" s="14"/>
      <c r="D284" s="14"/>
      <c r="E284" s="37"/>
      <c r="F284" s="17">
        <v>441</v>
      </c>
      <c r="G284" s="14" t="s">
        <v>458</v>
      </c>
      <c r="H284" s="14" t="s">
        <v>486</v>
      </c>
    </row>
    <row r="285" spans="1:8" x14ac:dyDescent="0.25">
      <c r="A285" s="16">
        <v>46291</v>
      </c>
      <c r="B285" s="14" t="s">
        <v>446</v>
      </c>
      <c r="C285" s="14"/>
      <c r="D285" s="14" t="s">
        <v>447</v>
      </c>
      <c r="E285" s="37">
        <v>21</v>
      </c>
      <c r="F285" s="17">
        <v>6000</v>
      </c>
      <c r="G285" s="14" t="s">
        <v>448</v>
      </c>
      <c r="H285" s="14"/>
    </row>
    <row r="286" spans="1:8" x14ac:dyDescent="0.25">
      <c r="A286" s="16">
        <v>46292</v>
      </c>
      <c r="B286" s="14" t="s">
        <v>453</v>
      </c>
      <c r="C286" s="14"/>
      <c r="D286" s="14" t="s">
        <v>454</v>
      </c>
      <c r="E286" s="37">
        <v>20</v>
      </c>
      <c r="F286" s="17">
        <v>5000</v>
      </c>
      <c r="G286" s="14" t="s">
        <v>448</v>
      </c>
      <c r="H286" s="14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BB95-4AC2-49D3-B55C-A01FE0606AAC}">
  <sheetPr codeName="Hoja7">
    <pageSetUpPr fitToPage="1"/>
  </sheetPr>
  <dimension ref="A1:U36"/>
  <sheetViews>
    <sheetView showGridLines="0" zoomScaleNormal="100" workbookViewId="0">
      <selection activeCell="K23" sqref="K23"/>
    </sheetView>
  </sheetViews>
  <sheetFormatPr baseColWidth="10" defaultColWidth="10.7109375" defaultRowHeight="15" x14ac:dyDescent="0.25"/>
  <cols>
    <col min="1" max="1" width="14.28515625" customWidth="1"/>
    <col min="2" max="2" width="18" customWidth="1"/>
    <col min="3" max="3" width="11.42578125" style="45" customWidth="1"/>
    <col min="5" max="5" width="9.42578125" style="45" bestFit="1" customWidth="1"/>
    <col min="6" max="6" width="10.7109375" style="43"/>
    <col min="7" max="7" width="11.28515625" style="47" bestFit="1" customWidth="1"/>
    <col min="8" max="8" width="12.42578125" style="43" bestFit="1" customWidth="1"/>
    <col min="9" max="9" width="6.85546875" style="43" customWidth="1"/>
    <col min="10" max="10" width="15.42578125" style="1" bestFit="1" customWidth="1"/>
    <col min="11" max="11" width="20.7109375" style="1" bestFit="1" customWidth="1"/>
    <col min="12" max="12" width="30" style="1" customWidth="1"/>
    <col min="13" max="13" width="10.7109375" style="2"/>
    <col min="14" max="14" width="10.7109375" style="9"/>
    <col min="15" max="15" width="10.7109375" style="51"/>
    <col min="16" max="16" width="10.7109375" style="35"/>
    <col min="17" max="17" width="10.7109375" style="24"/>
    <col min="18" max="19" width="10.7109375" style="1"/>
    <col min="20" max="21" width="10.7109375" style="2"/>
  </cols>
  <sheetData>
    <row r="1" spans="1:21" x14ac:dyDescent="0.25">
      <c r="C1" s="138" t="s">
        <v>496</v>
      </c>
      <c r="D1" s="138"/>
      <c r="E1" s="139"/>
      <c r="F1" s="140" t="s">
        <v>497</v>
      </c>
      <c r="G1" s="141" t="s">
        <v>498</v>
      </c>
    </row>
    <row r="2" spans="1:21" s="1" customFormat="1" x14ac:dyDescent="0.25">
      <c r="B2" s="136" t="s">
        <v>499</v>
      </c>
      <c r="C2" s="94" t="s">
        <v>500</v>
      </c>
      <c r="D2" s="95" t="s">
        <v>501</v>
      </c>
      <c r="E2" s="96" t="s">
        <v>502</v>
      </c>
      <c r="F2" s="140"/>
      <c r="G2" s="141"/>
      <c r="H2" s="35"/>
      <c r="I2" s="35"/>
      <c r="J2" s="137" t="s">
        <v>503</v>
      </c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</row>
    <row r="3" spans="1:21" s="1" customFormat="1" x14ac:dyDescent="0.25">
      <c r="B3" s="136"/>
      <c r="C3" s="46">
        <f>252*48 -SUMIF(Leche[CONFIRMACIÓN], "Confirmado", Leche[N° LATAS]) + SUMIF(Entradas[PRODUCTO],"Leche",Entradas[CANTIDAD])*48 - SUMIF(Salida[PRODUCTO],"Leche",Salida[CANTIDAD])*48 + 257*48</f>
        <v>112873.74999999953</v>
      </c>
      <c r="D3" s="27">
        <f>ROUNDDOWN(C3/48,0)</f>
        <v>2351</v>
      </c>
      <c r="E3" s="46">
        <f>C3-D3*48</f>
        <v>25.749999999534339</v>
      </c>
      <c r="F3" s="97">
        <f>Calculo!C36</f>
        <v>95451.95</v>
      </c>
      <c r="G3" s="98">
        <f>C3-F3</f>
        <v>17421.799999999537</v>
      </c>
      <c r="H3" s="35"/>
      <c r="I3" s="35"/>
      <c r="J3" s="33" t="s">
        <v>433</v>
      </c>
      <c r="K3" s="33" t="s">
        <v>504</v>
      </c>
      <c r="L3" s="33" t="s">
        <v>435</v>
      </c>
      <c r="M3" s="34" t="s">
        <v>436</v>
      </c>
      <c r="N3" s="44" t="s">
        <v>505</v>
      </c>
      <c r="O3" s="52" t="s">
        <v>506</v>
      </c>
      <c r="P3" s="50" t="s">
        <v>437</v>
      </c>
      <c r="Q3" s="39" t="s">
        <v>507</v>
      </c>
      <c r="R3" s="33" t="s">
        <v>508</v>
      </c>
      <c r="S3" s="39" t="s">
        <v>502</v>
      </c>
      <c r="T3" s="34" t="s">
        <v>509</v>
      </c>
      <c r="U3" s="34" t="s">
        <v>510</v>
      </c>
    </row>
    <row r="4" spans="1:21" x14ac:dyDescent="0.25">
      <c r="F4" s="35">
        <f>F3/48</f>
        <v>1988.5822916666666</v>
      </c>
      <c r="G4" s="68">
        <f>G3/48</f>
        <v>362.95416666665704</v>
      </c>
      <c r="J4" s="38" t="str" cm="1">
        <f t="array" aca="1" ref="J4:U11" ca="1">_xlfn._xlws.FILTER(Cereal[[EMPRESA]:[ENVASADO]], (Cereal[ENVASADO]&lt;&gt;"") * (Cereal[SALIDA]="") * (Cereal[ENVASADO] &lt;= TODAY()))</f>
        <v>CORDELAN</v>
      </c>
      <c r="K4" s="38" t="str">
        <f ca="1"/>
        <v>Huayllabamba</v>
      </c>
      <c r="L4" s="38" t="str">
        <f ca="1"/>
        <v>Octubre</v>
      </c>
      <c r="M4" s="41">
        <f ca="1"/>
        <v>46289</v>
      </c>
      <c r="N4" s="62">
        <f ca="1"/>
        <v>620</v>
      </c>
      <c r="O4" s="63">
        <f ca="1"/>
        <v>1.0565</v>
      </c>
      <c r="P4" s="64">
        <f ca="1"/>
        <v>655.03</v>
      </c>
      <c r="Q4" s="65">
        <f ca="1"/>
        <v>40</v>
      </c>
      <c r="R4" s="38">
        <f ca="1"/>
        <v>15</v>
      </c>
      <c r="S4" s="38">
        <f ca="1"/>
        <v>20</v>
      </c>
      <c r="T4" s="41">
        <f ca="1"/>
        <v>46281</v>
      </c>
      <c r="U4" s="2">
        <f ca="1"/>
        <v>46281</v>
      </c>
    </row>
    <row r="5" spans="1:21" x14ac:dyDescent="0.25">
      <c r="E5"/>
      <c r="J5" s="1" t="str">
        <f ca="1"/>
        <v>CORDELAN</v>
      </c>
      <c r="K5" s="1" t="str">
        <f ca="1"/>
        <v>Huayllabamba</v>
      </c>
      <c r="L5" s="1" t="str">
        <f ca="1"/>
        <v>Noviembre</v>
      </c>
      <c r="M5" s="2">
        <f ca="1"/>
        <v>46289</v>
      </c>
      <c r="N5" s="9">
        <f ca="1"/>
        <v>620</v>
      </c>
      <c r="O5" s="51">
        <f ca="1"/>
        <v>1.0565</v>
      </c>
      <c r="P5" s="35">
        <f ca="1"/>
        <v>655.03</v>
      </c>
      <c r="Q5" s="24">
        <f ca="1"/>
        <v>40</v>
      </c>
      <c r="R5" s="1">
        <f ca="1"/>
        <v>15</v>
      </c>
      <c r="S5" s="1">
        <f ca="1"/>
        <v>20</v>
      </c>
      <c r="T5" s="2">
        <f ca="1"/>
        <v>46281</v>
      </c>
      <c r="U5" s="2">
        <f ca="1"/>
        <v>46281</v>
      </c>
    </row>
    <row r="6" spans="1:21" x14ac:dyDescent="0.25">
      <c r="E6"/>
      <c r="J6" s="38" t="str">
        <f ca="1"/>
        <v>PENDIENTE</v>
      </c>
      <c r="K6" s="38" t="str">
        <f ca="1"/>
        <v>Marcara1</v>
      </c>
      <c r="L6" s="38" t="str">
        <f ca="1"/>
        <v>Octubre / Noviembre / Diciembre</v>
      </c>
      <c r="M6" s="41">
        <f ca="1"/>
        <v>46295</v>
      </c>
      <c r="N6" s="62">
        <f ca="1"/>
        <v>2340</v>
      </c>
      <c r="O6" s="63">
        <f ca="1"/>
        <v>0.62063999999999997</v>
      </c>
      <c r="P6" s="64">
        <f ca="1"/>
        <v>1452.2975999999999</v>
      </c>
      <c r="Q6" s="65">
        <f ca="1"/>
        <v>70</v>
      </c>
      <c r="R6" s="38">
        <f ca="1"/>
        <v>33</v>
      </c>
      <c r="S6" s="38">
        <f ca="1"/>
        <v>30</v>
      </c>
      <c r="T6" s="41">
        <f ca="1"/>
        <v>46293</v>
      </c>
      <c r="U6" s="2">
        <f ca="1"/>
        <v>46293</v>
      </c>
    </row>
    <row r="7" spans="1:21" x14ac:dyDescent="0.25">
      <c r="J7" s="38" t="str">
        <f ca="1"/>
        <v>GRAN INDUST.</v>
      </c>
      <c r="K7" s="38" t="str">
        <f ca="1"/>
        <v>Qaliwarma Avena</v>
      </c>
      <c r="L7" s="38" t="str">
        <f ca="1"/>
        <v>Yurimag</v>
      </c>
      <c r="M7" s="41">
        <f ca="1"/>
        <v>46295</v>
      </c>
      <c r="N7" s="62">
        <f ca="1"/>
        <v>10960</v>
      </c>
      <c r="O7" s="63">
        <f ca="1"/>
        <v>0.26</v>
      </c>
      <c r="P7" s="64">
        <f ca="1"/>
        <v>2849.6</v>
      </c>
      <c r="Q7" s="65">
        <f ca="1"/>
        <v>100</v>
      </c>
      <c r="R7" s="38">
        <f ca="1"/>
        <v>109</v>
      </c>
      <c r="S7" s="38">
        <f ca="1"/>
        <v>60</v>
      </c>
      <c r="T7" s="41">
        <f ca="1"/>
        <v>46293</v>
      </c>
      <c r="U7" s="2">
        <f ca="1"/>
        <v>46293</v>
      </c>
    </row>
    <row r="8" spans="1:21" x14ac:dyDescent="0.25">
      <c r="B8" s="30" t="s">
        <v>511</v>
      </c>
      <c r="C8" s="134" t="s">
        <v>512</v>
      </c>
      <c r="D8" s="30" t="s">
        <v>513</v>
      </c>
      <c r="E8" s="134" t="s">
        <v>514</v>
      </c>
      <c r="F8" s="135" t="s">
        <v>497</v>
      </c>
      <c r="G8" s="48" t="s">
        <v>498</v>
      </c>
      <c r="H8" s="69"/>
      <c r="J8" s="38" t="str">
        <f ca="1"/>
        <v>PENDIENTE</v>
      </c>
      <c r="K8" s="38" t="str">
        <f ca="1"/>
        <v>Taurija</v>
      </c>
      <c r="L8" s="38" t="str">
        <f ca="1"/>
        <v>Octubre</v>
      </c>
      <c r="M8" s="41">
        <f ca="1"/>
        <v>46295</v>
      </c>
      <c r="N8" s="62">
        <f ca="1"/>
        <v>450</v>
      </c>
      <c r="O8" s="63">
        <f ca="1"/>
        <v>0.74463999999999997</v>
      </c>
      <c r="P8" s="64">
        <f ca="1"/>
        <v>335.08799999999997</v>
      </c>
      <c r="Q8" s="65">
        <f ca="1"/>
        <v>60</v>
      </c>
      <c r="R8" s="38">
        <f ca="1"/>
        <v>7</v>
      </c>
      <c r="S8" s="38">
        <f ca="1"/>
        <v>30</v>
      </c>
      <c r="T8" s="41">
        <f ca="1"/>
        <v>46281</v>
      </c>
      <c r="U8" s="2">
        <f ca="1"/>
        <v>46281</v>
      </c>
    </row>
    <row r="9" spans="1:21" x14ac:dyDescent="0.25">
      <c r="B9" s="31" t="str" cm="1">
        <f t="array" ref="B9:B26">TRANSPOSE(Formulas!C1:T1)</f>
        <v>Trigo</v>
      </c>
      <c r="C9" s="46">
        <f>12600+18396*1.11-SUMIF(Producción!F:F,"&lt;&gt;0",Producción!G:G)*1.11 + SUMIF(Entradas[PRODUCTO],B9,Entradas[CANTIDAD]) - SUMIF(Salida[PRODUCTO],B9,Salida[CANTIDAD]) -6600-400</f>
        <v>9105.6107185325236</v>
      </c>
      <c r="D9" s="27">
        <v>50</v>
      </c>
      <c r="E9" s="46">
        <f>C9/D9</f>
        <v>182.11221437065046</v>
      </c>
      <c r="F9" s="53" cm="1">
        <f t="array" ref="F9:F26">TRANSPOSE(Calculo!C17:T17)</f>
        <v>25637.130118032757</v>
      </c>
      <c r="G9" s="49">
        <f t="shared" ref="G9:G25" si="0">C9-F9</f>
        <v>-16531.519399500234</v>
      </c>
      <c r="H9" s="43" t="s">
        <v>515</v>
      </c>
      <c r="J9" s="35" t="str">
        <f ca="1"/>
        <v>PENDIENTE</v>
      </c>
      <c r="K9" s="35" t="str">
        <f ca="1"/>
        <v>Taurija</v>
      </c>
      <c r="L9" s="35" t="str">
        <f ca="1"/>
        <v>Noviembre</v>
      </c>
      <c r="M9" s="2">
        <f ca="1"/>
        <v>46295</v>
      </c>
      <c r="N9" s="9">
        <f ca="1"/>
        <v>450</v>
      </c>
      <c r="O9" s="63">
        <f ca="1"/>
        <v>0.74463999999999997</v>
      </c>
      <c r="P9" s="64">
        <f ca="1"/>
        <v>335.08799999999997</v>
      </c>
      <c r="Q9" s="65">
        <f ca="1"/>
        <v>60</v>
      </c>
      <c r="R9" s="38">
        <f ca="1"/>
        <v>7</v>
      </c>
      <c r="S9" s="38">
        <f ca="1"/>
        <v>30</v>
      </c>
      <c r="T9" s="41">
        <f ca="1"/>
        <v>46281</v>
      </c>
      <c r="U9" s="2">
        <f ca="1"/>
        <v>46281</v>
      </c>
    </row>
    <row r="10" spans="1:21" x14ac:dyDescent="0.25">
      <c r="B10" s="31" t="str">
        <v>Avena</v>
      </c>
      <c r="C10" s="46">
        <f>47575+7625-SUMIF(Producción!$F:$F,"&lt;&gt;0",Producción!H:H) + SUMIF(Entradas[PRODUCTO],B10,Entradas[CANTIDAD])-106 - SUMIF(Salida[PRODUCTO],B10,Salida[CANTIDAD])-6800</f>
        <v>-18997.66688903817</v>
      </c>
      <c r="D10" s="27">
        <v>25</v>
      </c>
      <c r="E10" s="46">
        <f>C10/D10</f>
        <v>-759.90667556152675</v>
      </c>
      <c r="F10" s="53">
        <v>81633.024279790989</v>
      </c>
      <c r="G10" s="49">
        <f t="shared" si="0"/>
        <v>-100630.69116882916</v>
      </c>
      <c r="H10" s="43" t="s">
        <v>516</v>
      </c>
      <c r="J10" s="1" t="str">
        <f ca="1"/>
        <v>PENDIENTE</v>
      </c>
      <c r="K10" s="1" t="str">
        <f ca="1"/>
        <v>Taurija</v>
      </c>
      <c r="L10" s="1" t="str">
        <f ca="1"/>
        <v>Diciembre</v>
      </c>
      <c r="M10" s="2">
        <f ca="1"/>
        <v>46295</v>
      </c>
      <c r="N10" s="9">
        <f ca="1"/>
        <v>450</v>
      </c>
      <c r="O10" s="51">
        <f ca="1"/>
        <v>0.74463999999999997</v>
      </c>
      <c r="P10" s="35">
        <f ca="1"/>
        <v>335.08799999999997</v>
      </c>
      <c r="Q10" s="24">
        <f ca="1"/>
        <v>60</v>
      </c>
      <c r="R10" s="1">
        <f ca="1"/>
        <v>7</v>
      </c>
      <c r="S10" s="1">
        <f ca="1"/>
        <v>30</v>
      </c>
      <c r="T10" s="2">
        <f ca="1"/>
        <v>46281</v>
      </c>
      <c r="U10" s="2">
        <f ca="1"/>
        <v>46281</v>
      </c>
    </row>
    <row r="11" spans="1:21" x14ac:dyDescent="0.25">
      <c r="B11" s="31" t="str">
        <v>Quinua</v>
      </c>
      <c r="C11" s="46">
        <f>2500-SUMIF(Producción!$F:$F,"&lt;&gt;0",Producción!I:I) + SUMIF(Entradas[PRODUCTO],B11,Entradas[CANTIDAD]) +1600</f>
        <v>6466.770411014877</v>
      </c>
      <c r="D11" s="27">
        <v>50</v>
      </c>
      <c r="E11" s="46">
        <f>C11/D11</f>
        <v>129.33540822029755</v>
      </c>
      <c r="F11" s="53">
        <v>2995.9985911235567</v>
      </c>
      <c r="G11" s="49">
        <f t="shared" si="0"/>
        <v>3470.7718198913203</v>
      </c>
      <c r="J11" s="1" t="str">
        <f ca="1"/>
        <v>FACOIMPEC</v>
      </c>
      <c r="K11" s="1" t="str">
        <f ca="1"/>
        <v>Urpay</v>
      </c>
      <c r="L11" s="1" t="str">
        <f ca="1"/>
        <v>Octubre / Noviembre / Diciembre</v>
      </c>
      <c r="M11" s="2">
        <f ca="1"/>
        <v>46288</v>
      </c>
      <c r="N11" s="9">
        <f ca="1"/>
        <v>1316.13</v>
      </c>
      <c r="O11" s="51">
        <f ca="1"/>
        <v>1</v>
      </c>
      <c r="P11" s="35">
        <f ca="1"/>
        <v>1316.13</v>
      </c>
      <c r="Q11" s="24">
        <f ca="1"/>
        <v>40</v>
      </c>
      <c r="R11" s="1">
        <f ca="1"/>
        <v>32</v>
      </c>
      <c r="S11" s="1">
        <f ca="1"/>
        <v>36.130000000000109</v>
      </c>
      <c r="T11" s="2">
        <f ca="1"/>
        <v>46282</v>
      </c>
      <c r="U11" s="2">
        <f ca="1"/>
        <v>46282</v>
      </c>
    </row>
    <row r="12" spans="1:21" x14ac:dyDescent="0.25">
      <c r="B12" s="31" t="str">
        <v>Soya</v>
      </c>
      <c r="C12" s="46">
        <f>10200-SUMIF(Producción!$F:$F,"&lt;&gt;0",Producción!J:J)*1.07 + SUMIF(Entradas[PRODUCTO],B12,Entradas[CANTIDAD])- SUMIF(Salida[PRODUCTO],B12,Salida[CANTIDAD])-3788+1129</f>
        <v>20410.386869341528</v>
      </c>
      <c r="D12" s="27">
        <v>50</v>
      </c>
      <c r="E12" s="46">
        <f>C12/D12</f>
        <v>408.20773738683056</v>
      </c>
      <c r="F12" s="53">
        <v>3574.8408053663361</v>
      </c>
      <c r="G12" s="49">
        <f t="shared" si="0"/>
        <v>16835.546063975191</v>
      </c>
    </row>
    <row r="13" spans="1:21" x14ac:dyDescent="0.25">
      <c r="B13" s="31" t="str">
        <v>Maiz pollo</v>
      </c>
      <c r="C13" s="46">
        <f>66*1.03-SUMIF(Producción!$F:$F,"&lt;&gt;0",Producción!K:K)*1.03 + SUMIF(Entradas[PRODUCTO],B13,Entradas[CANTIDAD])+60</f>
        <v>6.6984999999995125</v>
      </c>
      <c r="D13" s="54"/>
      <c r="E13" s="67"/>
      <c r="F13" s="53">
        <v>0</v>
      </c>
      <c r="G13" s="49">
        <f t="shared" si="0"/>
        <v>6.6984999999995125</v>
      </c>
    </row>
    <row r="14" spans="1:21" x14ac:dyDescent="0.25">
      <c r="A14" t="s">
        <v>517</v>
      </c>
      <c r="B14" s="31" t="str">
        <v>Maiz Chufla</v>
      </c>
      <c r="C14" s="46">
        <f>127+1.03*201-SUMIF(Producción!$F:$F,"&lt;&gt;0",Producción!L:L)*1.03 + SUMIF(Entradas[PRODUCTO],B14,Entradas[CANTIDAD])+400</f>
        <v>235.3318154852368</v>
      </c>
      <c r="D14" s="27"/>
      <c r="E14" s="46"/>
      <c r="F14" s="53">
        <v>1333.2221403892738</v>
      </c>
      <c r="G14" s="49">
        <f t="shared" si="0"/>
        <v>-1097.890324904037</v>
      </c>
    </row>
    <row r="15" spans="1:21" x14ac:dyDescent="0.25">
      <c r="B15" s="31" t="str">
        <v>Maca</v>
      </c>
      <c r="C15" s="46">
        <f>3750-SUMIF(Producción!$F:$F,"&lt;&gt;0",Producción!M:M) + SUMIF(Entradas[PRODUCTO],B15,Entradas[CANTIDAD])+170 -500</f>
        <v>8483.8112579265726</v>
      </c>
      <c r="D15" s="27">
        <v>50</v>
      </c>
      <c r="E15" s="46">
        <f>C15/D15</f>
        <v>169.67622515853145</v>
      </c>
      <c r="F15" s="53">
        <v>2353.7845806601135</v>
      </c>
      <c r="G15" s="49">
        <f t="shared" si="0"/>
        <v>6130.026677266459</v>
      </c>
    </row>
    <row r="16" spans="1:21" x14ac:dyDescent="0.25">
      <c r="B16" s="31" t="str">
        <v>Leche en Polvo</v>
      </c>
      <c r="C16" s="46">
        <f>397-SUMIF(Producción!$F:$F,"&lt;&gt;0",Producción!N:N) + SUMIF(Entradas[PRODUCTO],B16,Entradas[CANTIDAD])+160</f>
        <v>168.90750231623679</v>
      </c>
      <c r="D16" s="27">
        <v>25</v>
      </c>
      <c r="E16" s="46">
        <f>C16/D16</f>
        <v>6.7563000926494716</v>
      </c>
      <c r="F16" s="53">
        <v>481.34054190497625</v>
      </c>
      <c r="G16" s="49">
        <f t="shared" si="0"/>
        <v>-312.43303958873946</v>
      </c>
    </row>
    <row r="17" spans="2:7" x14ac:dyDescent="0.25">
      <c r="B17" s="31" t="str">
        <v>Azucar</v>
      </c>
      <c r="C17" s="46">
        <f>7750-SUMIF(Producción!$F:$F,"&lt;&gt;0",Producción!O:O) + SUMIF(Entradas[PRODUCTO],B17,Entradas[CANTIDAD])-2100</f>
        <v>3443.9429572193767</v>
      </c>
      <c r="D17" s="27">
        <v>50</v>
      </c>
      <c r="E17" s="46">
        <f>C17/D17</f>
        <v>68.878859144387533</v>
      </c>
      <c r="F17" s="53">
        <v>5803.6547665978087</v>
      </c>
      <c r="G17" s="49">
        <f t="shared" si="0"/>
        <v>-2359.711809378432</v>
      </c>
    </row>
    <row r="18" spans="2:7" x14ac:dyDescent="0.25">
      <c r="B18" s="31" t="str">
        <v>Quinua Qaliwarma</v>
      </c>
      <c r="C18" s="46">
        <f>0-SUMIF(Producción!$F:$F,"&lt;&gt;0",Producción!P:P) + SUMIF(Entradas[PRODUCTO],B18,Entradas[CANTIDAD])-148-55</f>
        <v>311.22879999999986</v>
      </c>
      <c r="D18" s="27"/>
      <c r="E18" s="46"/>
      <c r="F18" s="53">
        <v>233.376</v>
      </c>
      <c r="G18" s="49">
        <f t="shared" si="0"/>
        <v>77.85279999999986</v>
      </c>
    </row>
    <row r="19" spans="2:7" x14ac:dyDescent="0.25">
      <c r="B19" s="31" t="str">
        <v>Kiwicha</v>
      </c>
      <c r="C19" s="46">
        <f>78-SUMIF(Producción!$F:$F,"&lt;&gt;0",Producción!Q:Q) + SUMIF(Entradas[PRODUCTO],B19,Entradas[CANTIDAD])+183</f>
        <v>-189.00686126220535</v>
      </c>
      <c r="D19" s="27"/>
      <c r="E19" s="46"/>
      <c r="F19" s="53">
        <v>600.70114385964916</v>
      </c>
      <c r="G19" s="49">
        <f t="shared" si="0"/>
        <v>-789.70800512185451</v>
      </c>
    </row>
    <row r="20" spans="2:7" x14ac:dyDescent="0.25">
      <c r="B20" s="31" t="str">
        <v>Cocoa</v>
      </c>
      <c r="C20" s="46">
        <f>0-SUMIF(Producción!$F:$F,"&lt;&gt;0",Producción!R:R) + SUMIF(Entradas[PRODUCTO],B20,Entradas[CANTIDAD])+1.53+1.55</f>
        <v>-67.766575238095285</v>
      </c>
      <c r="D20" s="27"/>
      <c r="E20" s="46"/>
      <c r="F20" s="53">
        <v>0</v>
      </c>
      <c r="G20" s="49">
        <f t="shared" si="0"/>
        <v>-67.766575238095285</v>
      </c>
    </row>
    <row r="21" spans="2:7" x14ac:dyDescent="0.25">
      <c r="B21" s="31" t="str">
        <v>Sorbato</v>
      </c>
      <c r="C21" s="46">
        <f>0-SUMIF(Producción!$F:$F,"&lt;&gt;0",Producción!S:S) + SUMIF(Entradas[PRODUCTO],B21,Entradas[CANTIDAD])</f>
        <v>0</v>
      </c>
      <c r="D21" s="27"/>
      <c r="E21" s="46"/>
      <c r="F21" s="53">
        <v>0</v>
      </c>
      <c r="G21" s="49">
        <f t="shared" si="0"/>
        <v>0</v>
      </c>
    </row>
    <row r="22" spans="2:7" x14ac:dyDescent="0.25">
      <c r="B22" s="31" t="str">
        <v>S. Canela</v>
      </c>
      <c r="C22" s="124">
        <f>19-SUMIF(Producción!$F:$F,"&lt;&gt;0",Producción!T:T) + SUMIF(Entradas[PRODUCTO],B22,Entradas[CANTIDAD])</f>
        <v>6.8186999999999998</v>
      </c>
      <c r="D22" s="27"/>
      <c r="E22" s="46"/>
      <c r="F22" s="53">
        <v>0</v>
      </c>
      <c r="G22" s="49">
        <f t="shared" si="0"/>
        <v>6.8186999999999998</v>
      </c>
    </row>
    <row r="23" spans="2:7" x14ac:dyDescent="0.25">
      <c r="B23" s="31" t="str">
        <v>S. Leche</v>
      </c>
      <c r="C23" s="124">
        <f>13-SUMIF(Producción!$F:$F,"&lt;&gt;0",Producción!U:U) + SUMIF(Entradas[PRODUCTO],B23,Entradas[CANTIDAD])+10</f>
        <v>10.971497974199991</v>
      </c>
      <c r="D23" s="27"/>
      <c r="E23" s="46"/>
      <c r="F23" s="53">
        <v>9.4075600000000001</v>
      </c>
      <c r="G23" s="49">
        <f t="shared" si="0"/>
        <v>1.563937974199991</v>
      </c>
    </row>
    <row r="24" spans="2:7" x14ac:dyDescent="0.25">
      <c r="B24" s="31" t="str">
        <v>S. Platano</v>
      </c>
      <c r="C24" s="124">
        <f>14-SUMIF(Producción!$F:$F,"&lt;&gt;0",Producción!V:V) + SUMIF(Entradas[PRODUCTO],B24,Entradas[CANTIDAD])-2+10</f>
        <v>36.540608243878822</v>
      </c>
      <c r="D24" s="27"/>
      <c r="E24" s="46"/>
      <c r="F24" s="53">
        <v>38.191871272214861</v>
      </c>
      <c r="G24" s="49">
        <f t="shared" si="0"/>
        <v>-1.6512630283360394</v>
      </c>
    </row>
    <row r="25" spans="2:7" x14ac:dyDescent="0.25">
      <c r="B25" s="31" t="str">
        <v>S. Vainilla</v>
      </c>
      <c r="C25" s="124">
        <f>0-SUMIF(Producción!$F:$F,"&lt;&gt;0",Producción!W:W) + SUMIF(Entradas[PRODUCTO],B25,Entradas[CANTIDAD])</f>
        <v>16.056957499999992</v>
      </c>
      <c r="D25" s="27"/>
      <c r="E25" s="46"/>
      <c r="F25" s="53">
        <v>0</v>
      </c>
      <c r="G25" s="49">
        <f t="shared" si="0"/>
        <v>16.056957499999992</v>
      </c>
    </row>
    <row r="26" spans="2:7" x14ac:dyDescent="0.25">
      <c r="B26" s="31" t="str">
        <v>S. Lucuma</v>
      </c>
      <c r="C26" s="124">
        <f>22-SUMIF(Producción!$F:$F,"&lt;&gt;0",Producción!X:X) + SUMIF(Entradas[PRODUCTO],B26,Entradas[CANTIDAD])-5.64+5.48</f>
        <v>11.715566000000003</v>
      </c>
      <c r="D26" s="27"/>
      <c r="E26" s="46"/>
      <c r="F26" s="53">
        <v>0</v>
      </c>
      <c r="G26" s="49">
        <f>C26-F26</f>
        <v>11.715566000000003</v>
      </c>
    </row>
    <row r="29" spans="2:7" x14ac:dyDescent="0.25">
      <c r="B29" s="122" t="s">
        <v>518</v>
      </c>
      <c r="C29" s="46">
        <f>(700-SUMIF(Cereal[PRODUCCIÓN],"&lt;&gt;",Cereal[N° SACOS]) -COUNTIF(Cereal[PRODUCCIÓN], "&lt;&gt;") +25858) + SUMIF(Entradas[PRODUCTO],"Sacos",Entradas[CANTIDAD])*0.965 +2700</f>
        <v>-1806</v>
      </c>
    </row>
    <row r="30" spans="2:7" x14ac:dyDescent="0.25">
      <c r="B30" s="122" t="s">
        <v>497</v>
      </c>
      <c r="C30" s="46">
        <f>Calculo!U17*1.035</f>
        <v>3385.4849999999997</v>
      </c>
    </row>
    <row r="31" spans="2:7" x14ac:dyDescent="0.25">
      <c r="B31" s="122" t="s">
        <v>498</v>
      </c>
      <c r="C31" s="123">
        <f>C29-C30</f>
        <v>-5191.4849999999997</v>
      </c>
    </row>
    <row r="34" spans="2:2" x14ac:dyDescent="0.25">
      <c r="B34" s="59"/>
    </row>
    <row r="35" spans="2:2" x14ac:dyDescent="0.25">
      <c r="B35" s="59"/>
    </row>
    <row r="36" spans="2:2" x14ac:dyDescent="0.25">
      <c r="B36" s="59"/>
    </row>
  </sheetData>
  <mergeCells count="5">
    <mergeCell ref="B2:B3"/>
    <mergeCell ref="J2:U2"/>
    <mergeCell ref="C1:E1"/>
    <mergeCell ref="F1:F2"/>
    <mergeCell ref="G1:G2"/>
  </mergeCells>
  <pageMargins left="1.1811023622047245" right="0.70866141732283472" top="0.74803149606299213" bottom="0.74803149606299213" header="0.31496062992125984" footer="0.31496062992125984"/>
  <pageSetup paperSize="9" scale="3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F3BA-4C6C-40D8-AA1D-A36111930BD7}">
  <sheetPr codeName="Hoja8"/>
  <dimension ref="A2:U36"/>
  <sheetViews>
    <sheetView showGridLines="0" topLeftCell="A3" workbookViewId="0">
      <selection activeCell="A14" sqref="A14"/>
    </sheetView>
  </sheetViews>
  <sheetFormatPr baseColWidth="10" defaultColWidth="10.7109375" defaultRowHeight="15" x14ac:dyDescent="0.25"/>
  <cols>
    <col min="1" max="1" width="11.42578125" bestFit="1" customWidth="1"/>
    <col min="2" max="2" width="20" bestFit="1" customWidth="1"/>
    <col min="3" max="3" width="13.5703125" bestFit="1" customWidth="1"/>
    <col min="4" max="4" width="14" style="43" bestFit="1" customWidth="1"/>
    <col min="5" max="5" width="9.85546875" style="66" customWidth="1"/>
    <col min="10" max="10" width="13.5703125" bestFit="1" customWidth="1"/>
    <col min="11" max="11" width="14" bestFit="1" customWidth="1"/>
    <col min="12" max="12" width="17.5703125" bestFit="1" customWidth="1"/>
    <col min="14" max="14" width="10.7109375" customWidth="1"/>
  </cols>
  <sheetData>
    <row r="2" spans="1:21" x14ac:dyDescent="0.25">
      <c r="B2" s="137" t="s">
        <v>522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</row>
    <row r="3" spans="1:21" s="59" customFormat="1" x14ac:dyDescent="0.25">
      <c r="B3" s="72" t="s">
        <v>511</v>
      </c>
      <c r="C3" s="73" t="str" cm="1">
        <f t="array" ref="C3:T3">TRANSPOSE(_xlfn.ANCHORARRAY(Almacen!B9))</f>
        <v>Trigo</v>
      </c>
      <c r="D3" s="73" t="str">
        <v>Avena</v>
      </c>
      <c r="E3" s="73" t="str">
        <v>Quinua</v>
      </c>
      <c r="F3" s="73" t="str">
        <v>Soya</v>
      </c>
      <c r="G3" s="73" t="str">
        <v>Maiz pollo</v>
      </c>
      <c r="H3" s="73" t="str">
        <v>Maiz Chufla</v>
      </c>
      <c r="I3" s="73" t="str">
        <v>Maca</v>
      </c>
      <c r="J3" s="73" t="str">
        <v>Leche en Polvo</v>
      </c>
      <c r="K3" s="73" t="str">
        <v>Azucar</v>
      </c>
      <c r="L3" s="73" t="str">
        <v>Quinua Qaliwarma</v>
      </c>
      <c r="M3" s="73" t="str">
        <v>Kiwicha</v>
      </c>
      <c r="N3" s="73" t="str">
        <v>Cocoa</v>
      </c>
      <c r="O3" s="72" t="str">
        <v>Sorbato</v>
      </c>
      <c r="P3" s="72" t="str">
        <v>S. Canela</v>
      </c>
      <c r="Q3" s="72" t="str">
        <v>S. Leche</v>
      </c>
      <c r="R3" s="72" t="str">
        <v>S. Platano</v>
      </c>
      <c r="S3" s="72" t="str">
        <v>S. Vainilla</v>
      </c>
      <c r="T3" s="72" t="str">
        <v>S. Lucuma</v>
      </c>
      <c r="U3" s="72" t="s">
        <v>488</v>
      </c>
    </row>
    <row r="4" spans="1:21" x14ac:dyDescent="0.25">
      <c r="A4" s="82" t="b">
        <v>0</v>
      </c>
      <c r="B4" s="71" t="s">
        <v>523</v>
      </c>
      <c r="C4" s="35">
        <f>SUMIFS(Producción!G:G, Producción!$D:$D, "&gt;=" &amp; DATE(2025,12,1), Producción!$D:$D, "&lt;=" &amp; DATE(2025,12,31), Producción!$F:$F, 0)</f>
        <v>0</v>
      </c>
      <c r="D4" s="35">
        <f>SUMIFS(Producción!H:H, Producción!$D:$D, "&gt;=" &amp; DATE(2025,12,1), Producción!$D:$D, "&lt;=" &amp; DATE(2025,12,31), Producción!$F:$F, 0)</f>
        <v>0</v>
      </c>
      <c r="E4" s="35">
        <f>SUMIFS(Producción!I:I, Producción!$D:$D, "&gt;=" &amp; DATE(2025,12,1), Producción!$D:$D, "&lt;=" &amp; DATE(2025,12,31), Producción!$F:$F, 0)</f>
        <v>0</v>
      </c>
      <c r="F4" s="35">
        <f>SUMIFS(Producción!J:J, Producción!$D:$D, "&gt;=" &amp; DATE(2025,12,1), Producción!$D:$D, "&lt;=" &amp; DATE(2025,12,31), Producción!$F:$F, 0)</f>
        <v>0</v>
      </c>
      <c r="G4" s="35">
        <f>SUMIFS(Producción!K:K, Producción!$D:$D, "&gt;=" &amp; DATE(2025,12,1), Producción!$D:$D, "&lt;=" &amp; DATE(2025,12,31), Producción!$F:$F, 0)</f>
        <v>0</v>
      </c>
      <c r="H4" s="35">
        <f>SUMIFS(Producción!L:L, Producción!$D:$D, "&gt;=" &amp; DATE(2025,12,1), Producción!$D:$D, "&lt;=" &amp; DATE(2025,12,31), Producción!$F:$F, 0)</f>
        <v>0</v>
      </c>
      <c r="I4" s="35">
        <f>SUMIFS(Producción!M:M, Producción!$D:$D, "&gt;=" &amp; DATE(2025,12,1), Producción!$D:$D, "&lt;=" &amp; DATE(2025,12,31), Producción!$F:$F, 0)</f>
        <v>0</v>
      </c>
      <c r="J4" s="35">
        <f>SUMIFS(Producción!N:N, Producción!$D:$D, "&gt;=" &amp; DATE(2025,12,1), Producción!$D:$D, "&lt;=" &amp; DATE(2025,12,31), Producción!$F:$F, 0)</f>
        <v>0</v>
      </c>
      <c r="K4" s="35">
        <f>SUMIFS(Producción!O:O, Producción!$D:$D, "&gt;=" &amp; DATE(2025,12,1), Producción!$D:$D, "&lt;=" &amp; DATE(2025,12,31), Producción!$F:$F, 0)</f>
        <v>0</v>
      </c>
      <c r="L4" s="35">
        <f>SUMIFS(Producción!P:P, Producción!$D:$D, "&gt;=" &amp; DATE(2025,12,1), Producción!$D:$D, "&lt;=" &amp; DATE(2025,12,31), Producción!$F:$F, 0)</f>
        <v>0</v>
      </c>
      <c r="M4" s="35">
        <f>SUMIFS(Producción!Q:Q, Producción!$D:$D, "&gt;=" &amp; DATE(2025,12,1), Producción!$D:$D, "&lt;=" &amp; DATE(2025,12,31), Producción!$F:$F, 0)</f>
        <v>0</v>
      </c>
      <c r="N4" s="35">
        <f>SUMIFS(Producción!R:R, Producción!$D:$D, "&gt;=" &amp; DATE(2025,12,1), Producción!$D:$D, "&lt;=" &amp; DATE(2025,12,31), Producción!$F:$F, 0)</f>
        <v>0</v>
      </c>
      <c r="O4" s="35">
        <f>SUMIFS(Producción!S:S, Producción!$D:$D, "&gt;=" &amp; DATE(2025,12,1), Producción!$D:$D, "&lt;=" &amp; DATE(2025,12,31), Producción!$F:$F, 0)</f>
        <v>0</v>
      </c>
      <c r="P4" s="35">
        <f>SUMIFS(Producción!T:T, Producción!$D:$D, "&gt;=" &amp; DATE(2025,12,1), Producción!$D:$D, "&lt;=" &amp; DATE(2025,12,31), Producción!$F:$F, 0)</f>
        <v>0</v>
      </c>
      <c r="Q4" s="35">
        <f>SUMIFS(Producción!U:U, Producción!$D:$D, "&gt;=" &amp; DATE(2025,12,1), Producción!$D:$D, "&lt;=" &amp; DATE(2025,12,31), Producción!$F:$F, 0)</f>
        <v>0</v>
      </c>
      <c r="R4" s="35">
        <f>SUMIFS(Producción!V:V, Producción!$D:$D, "&gt;=" &amp; DATE(2025,12,1), Producción!$D:$D, "&lt;=" &amp; DATE(2025,12,31), Producción!$F:$F, 0)</f>
        <v>0</v>
      </c>
      <c r="S4" s="35">
        <f>SUMIFS(Producción!W:W, Producción!$D:$D, "&gt;=" &amp; DATE(2025,12,1), Producción!$D:$D, "&lt;=" &amp; DATE(2025,12,31), Producción!$F:$F, 0)</f>
        <v>0</v>
      </c>
      <c r="T4" s="35">
        <f>SUMIFS(Producción!X:X, Producción!$D:$D, "&gt;=" &amp; DATE(2025,12,1), Producción!$D:$D, "&lt;=" &amp; DATE(2025,12,31), Producción!$F:$F, 0)</f>
        <v>0</v>
      </c>
      <c r="U4" s="9">
        <v>0</v>
      </c>
    </row>
    <row r="5" spans="1:21" x14ac:dyDescent="0.25">
      <c r="A5" s="82" t="b">
        <v>1</v>
      </c>
      <c r="B5" s="71" t="s">
        <v>16</v>
      </c>
      <c r="C5" s="35">
        <f>SUMIFS(Producción!G:G, Producción!$D:$D, "&gt;=" &amp; DATE(2026,1,1), Producción!$D:$D, "&lt;=" &amp; DATE(2026,1,31), Producción!$F:$F, 0)</f>
        <v>0</v>
      </c>
      <c r="D5" s="35">
        <f>SUMIFS(Producción!H:H, Producción!$D:$D, "&gt;=" &amp; DATE(2026,1,1), Producción!$D:$D, "&lt;=" &amp; DATE(2026,1,31), Producción!$F:$F, 0)</f>
        <v>0</v>
      </c>
      <c r="E5" s="35">
        <f>SUMIFS(Producción!I:I, Producción!$D:$D, "&gt;=" &amp; DATE(2026,1,1), Producción!$D:$D, "&lt;=" &amp; DATE(2026,1,31), Producción!$F:$F, 0)</f>
        <v>0</v>
      </c>
      <c r="F5" s="35">
        <f>SUMIFS(Producción!J:J, Producción!$D:$D, "&gt;=" &amp; DATE(2026,1,1), Producción!$D:$D, "&lt;=" &amp; DATE(2026,1,31), Producción!$F:$F, 0)</f>
        <v>0</v>
      </c>
      <c r="G5" s="35">
        <f>SUMIFS(Producción!K:K, Producción!$D:$D, "&gt;=" &amp; DATE(2026,1,1), Producción!$D:$D, "&lt;=" &amp; DATE(2026,1,31), Producción!$F:$F, 0)</f>
        <v>0</v>
      </c>
      <c r="H5" s="35">
        <f>SUMIFS(Producción!L:L, Producción!$D:$D, "&gt;=" &amp; DATE(2026,1,1), Producción!$D:$D, "&lt;=" &amp; DATE(2026,1,31), Producción!$F:$F, 0)</f>
        <v>0</v>
      </c>
      <c r="I5" s="35">
        <f>SUMIFS(Producción!M:M, Producción!$D:$D, "&gt;=" &amp; DATE(2026,1,1), Producción!$D:$D, "&lt;=" &amp; DATE(2026,1,31), Producción!$F:$F, 0)</f>
        <v>0</v>
      </c>
      <c r="J5" s="35">
        <f>SUMIFS(Producción!N:N, Producción!$D:$D, "&gt;=" &amp; DATE(2026,1,1), Producción!$D:$D, "&lt;=" &amp; DATE(2026,1,31), Producción!$F:$F, 0)</f>
        <v>0</v>
      </c>
      <c r="K5" s="35">
        <f>SUMIFS(Producción!O:O, Producción!$D:$D, "&gt;=" &amp; DATE(2026,1,1), Producción!$D:$D, "&lt;=" &amp; DATE(2026,1,31), Producción!$F:$F, 0)</f>
        <v>0</v>
      </c>
      <c r="L5" s="35">
        <f>SUMIFS(Producción!P:P, Producción!$D:$D, "&gt;=" &amp; DATE(2026,1,1), Producción!$D:$D, "&lt;=" &amp; DATE(2026,1,31), Producción!$F:$F, 0)</f>
        <v>0</v>
      </c>
      <c r="M5" s="35">
        <f>SUMIFS(Producción!Q:Q, Producción!$D:$D, "&gt;=" &amp; DATE(2026,1,1), Producción!$D:$D, "&lt;=" &amp; DATE(2026,1,31), Producción!$F:$F, 0)</f>
        <v>0</v>
      </c>
      <c r="N5" s="35">
        <f>SUMIFS(Producción!R:R, Producción!$D:$D, "&gt;=" &amp; DATE(2026,1,1), Producción!$D:$D, "&lt;=" &amp; DATE(2026,1,31), Producción!$F:$F, 0)</f>
        <v>0</v>
      </c>
      <c r="O5" s="35">
        <f>SUMIFS(Producción!S:S, Producción!$D:$D, "&gt;=" &amp; DATE(2026,1,1), Producción!$D:$D, "&lt;=" &amp; DATE(2026,1,31), Producción!$F:$F, 0)</f>
        <v>0</v>
      </c>
      <c r="P5" s="35">
        <f>SUMIFS(Producción!T:T, Producción!$D:$D, "&gt;=" &amp; DATE(2026,1,1), Producción!$D:$D, "&lt;=" &amp; DATE(2026,1,31), Producción!$F:$F, 0)</f>
        <v>0</v>
      </c>
      <c r="Q5" s="35">
        <f>SUMIFS(Producción!U:U, Producción!$D:$D, "&gt;=" &amp; DATE(2026,1,1), Producción!$D:$D, "&lt;=" &amp; DATE(2026,1,31), Producción!$F:$F, 0)</f>
        <v>0</v>
      </c>
      <c r="R5" s="35">
        <f>SUMIFS(Producción!V:V, Producción!$D:$D, "&gt;=" &amp; DATE(2026,1,1), Producción!$D:$D, "&lt;=" &amp; DATE(2026,1,31), Producción!$F:$F, 0)</f>
        <v>0</v>
      </c>
      <c r="S5" s="35">
        <f>SUMIFS(Producción!W:W, Producción!$D:$D, "&gt;=" &amp; DATE(2026,1,1), Producción!$D:$D, "&lt;=" &amp; DATE(2026,1,31), Producción!$F:$F, 0)</f>
        <v>0</v>
      </c>
      <c r="T5" s="35">
        <f>SUMIFS(Producción!X:X, Producción!$D:$D, "&gt;=" &amp; DATE(2026,1,1), Producción!$D:$D, "&lt;=" &amp; DATE(2026,1,31), Producción!$F:$F, 0)</f>
        <v>0</v>
      </c>
      <c r="U5" s="9">
        <v>0</v>
      </c>
    </row>
    <row r="6" spans="1:21" x14ac:dyDescent="0.25">
      <c r="A6" s="82" t="b">
        <v>1</v>
      </c>
      <c r="B6" s="71" t="s">
        <v>18</v>
      </c>
      <c r="C6" s="35">
        <f>SUMIFS(Producción!G:G, Producción!$D:$D, "&gt;=" &amp; DATE(2026,2,1), Producción!$D:$D, "&lt;=" &amp; DATE(2026,2,28), Producción!$F:$F, 0)</f>
        <v>0</v>
      </c>
      <c r="D6" s="35">
        <f>SUMIFS(Producción!H:H, Producción!$D:$D, "&gt;=" &amp; DATE(2026,2,1), Producción!$D:$D, "&lt;=" &amp; DATE(2026,2,28), Producción!$F:$F, 0)</f>
        <v>0</v>
      </c>
      <c r="E6" s="35">
        <f>SUMIFS(Producción!I:I, Producción!$D:$D, "&gt;=" &amp; DATE(2026,2,1), Producción!$D:$D, "&lt;=" &amp; DATE(2026,2,28), Producción!$F:$F, 0)</f>
        <v>0</v>
      </c>
      <c r="F6" s="35">
        <f>SUMIFS(Producción!J:J, Producción!$D:$D, "&gt;=" &amp; DATE(2026,2,1), Producción!$D:$D, "&lt;=" &amp; DATE(2026,2,28), Producción!$F:$F, 0)</f>
        <v>0</v>
      </c>
      <c r="G6" s="35">
        <f>SUMIFS(Producción!K:K, Producción!$D:$D, "&gt;=" &amp; DATE(2026,2,1), Producción!$D:$D, "&lt;=" &amp; DATE(2026,2,28), Producción!$F:$F, 0)</f>
        <v>0</v>
      </c>
      <c r="H6" s="35">
        <f>SUMIFS(Producción!L:L, Producción!$D:$D, "&gt;=" &amp; DATE(2026,2,1), Producción!$D:$D, "&lt;=" &amp; DATE(2026,2,28), Producción!$F:$F, 0)</f>
        <v>0</v>
      </c>
      <c r="I6" s="35">
        <f>SUMIFS(Producción!M:M, Producción!$D:$D, "&gt;=" &amp; DATE(2026,2,1), Producción!$D:$D, "&lt;=" &amp; DATE(2026,2,28), Producción!$F:$F, 0)</f>
        <v>0</v>
      </c>
      <c r="J6" s="35">
        <f>SUMIFS(Producción!N:N, Producción!$D:$D, "&gt;=" &amp; DATE(2026,2,1), Producción!$D:$D, "&lt;=" &amp; DATE(2026,2,28), Producción!$F:$F, 0)</f>
        <v>0</v>
      </c>
      <c r="K6" s="35">
        <f>SUMIFS(Producción!O:O, Producción!$D:$D, "&gt;=" &amp; DATE(2026,2,1), Producción!$D:$D, "&lt;=" &amp; DATE(2026,2,28), Producción!$F:$F, 0)</f>
        <v>0</v>
      </c>
      <c r="L6" s="35">
        <f>SUMIFS(Producción!P:P, Producción!$D:$D, "&gt;=" &amp; DATE(2026,2,1), Producción!$D:$D, "&lt;=" &amp; DATE(2026,2,28), Producción!$F:$F, 0)</f>
        <v>0</v>
      </c>
      <c r="M6" s="35">
        <f>SUMIFS(Producción!Q:Q, Producción!$D:$D, "&gt;=" &amp; DATE(2026,2,1), Producción!$D:$D, "&lt;=" &amp; DATE(2026,2,28), Producción!$F:$F, 0)</f>
        <v>0</v>
      </c>
      <c r="N6" s="35">
        <f>SUMIFS(Producción!R:R, Producción!$D:$D, "&gt;=" &amp; DATE(2026,2,1), Producción!$D:$D, "&lt;=" &amp; DATE(2026,2,28), Producción!$F:$F, 0)</f>
        <v>0</v>
      </c>
      <c r="O6" s="35">
        <f>SUMIFS(Producción!S:S, Producción!$D:$D, "&gt;=" &amp; DATE(2026,2,1), Producción!$D:$D, "&lt;=" &amp; DATE(2026,2,28), Producción!$F:$F, 0)</f>
        <v>0</v>
      </c>
      <c r="P6" s="35">
        <f>SUMIFS(Producción!T:T, Producción!$D:$D, "&gt;=" &amp; DATE(2026,2,1), Producción!$D:$D, "&lt;=" &amp; DATE(2026,2,28), Producción!$F:$F, 0)</f>
        <v>0</v>
      </c>
      <c r="Q6" s="35">
        <f>SUMIFS(Producción!U:U, Producción!$D:$D, "&gt;=" &amp; DATE(2026,2,1), Producción!$D:$D, "&lt;=" &amp; DATE(2026,2,28), Producción!$F:$F, 0)</f>
        <v>0</v>
      </c>
      <c r="R6" s="35">
        <f>SUMIFS(Producción!V:V, Producción!$D:$D, "&gt;=" &amp; DATE(2026,2,1), Producción!$D:$D, "&lt;=" &amp; DATE(2026,2,28), Producción!$F:$F, 0)</f>
        <v>0</v>
      </c>
      <c r="S6" s="35">
        <f>SUMIFS(Producción!W:W, Producción!$D:$D, "&gt;=" &amp; DATE(2026,2,1), Producción!$D:$D, "&lt;=" &amp; DATE(2026,2,28), Producción!$F:$F, 0)</f>
        <v>0</v>
      </c>
      <c r="T6" s="35">
        <f>SUMIFS(Producción!X:X, Producción!$D:$D, "&gt;=" &amp; DATE(2026,2,1), Producción!$D:$D, "&lt;=" &amp; DATE(2026,2,28), Producción!$F:$F, 0)</f>
        <v>0</v>
      </c>
      <c r="U6" s="9">
        <v>0</v>
      </c>
    </row>
    <row r="7" spans="1:21" x14ac:dyDescent="0.25">
      <c r="A7" s="82" t="b">
        <v>1</v>
      </c>
      <c r="B7" s="71" t="s">
        <v>19</v>
      </c>
      <c r="C7" s="35">
        <f>SUMIFS(Producción!G:G, Producción!$D:$D, "&gt;=" &amp; DATE(2026,3,1), Producción!$D:$D, "&lt;=" &amp; DATE(2026,3,31), Producción!$F:$F, 0)</f>
        <v>0</v>
      </c>
      <c r="D7" s="35">
        <f>SUMIFS(Producción!H:H, Producción!$D:$D, "&gt;=" &amp; DATE(2026,3,1), Producción!$D:$D, "&lt;=" &amp; DATE(2026,3,31), Producción!$F:$F, 0)</f>
        <v>0</v>
      </c>
      <c r="E7" s="35">
        <f>SUMIFS(Producción!I:I, Producción!$D:$D, "&gt;=" &amp; DATE(2026,3,1), Producción!$D:$D, "&lt;=" &amp; DATE(2026,3,31), Producción!$F:$F, 0)</f>
        <v>0</v>
      </c>
      <c r="F7" s="35">
        <f>SUMIFS(Producción!J:J, Producción!$D:$D, "&gt;=" &amp; DATE(2026,3,1), Producción!$D:$D, "&lt;=" &amp; DATE(2026,3,31), Producción!$F:$F, 0)</f>
        <v>0</v>
      </c>
      <c r="G7" s="35">
        <f>SUMIFS(Producción!K:K, Producción!$D:$D, "&gt;=" &amp; DATE(2026,3,1), Producción!$D:$D, "&lt;=" &amp; DATE(2026,3,31), Producción!$F:$F, 0)</f>
        <v>0</v>
      </c>
      <c r="H7" s="35">
        <f>SUMIFS(Producción!L:L, Producción!$D:$D, "&gt;=" &amp; DATE(2026,3,1), Producción!$D:$D, "&lt;=" &amp; DATE(2026,3,31), Producción!$F:$F, 0)</f>
        <v>0</v>
      </c>
      <c r="I7" s="35">
        <f>SUMIFS(Producción!M:M, Producción!$D:$D, "&gt;=" &amp; DATE(2026,3,1), Producción!$D:$D, "&lt;=" &amp; DATE(2026,3,31), Producción!$F:$F, 0)</f>
        <v>0</v>
      </c>
      <c r="J7" s="35">
        <f>SUMIFS(Producción!N:N, Producción!$D:$D, "&gt;=" &amp; DATE(2026,3,1), Producción!$D:$D, "&lt;=" &amp; DATE(2026,3,31), Producción!$F:$F, 0)</f>
        <v>0</v>
      </c>
      <c r="K7" s="35">
        <f>SUMIFS(Producción!O:O, Producción!$D:$D, "&gt;=" &amp; DATE(2026,3,1), Producción!$D:$D, "&lt;=" &amp; DATE(2026,3,31), Producción!$F:$F, 0)</f>
        <v>0</v>
      </c>
      <c r="L7" s="35">
        <f>SUMIFS(Producción!P:P, Producción!$D:$D, "&gt;=" &amp; DATE(2026,3,1), Producción!$D:$D, "&lt;=" &amp; DATE(2026,3,31), Producción!$F:$F, 0)</f>
        <v>0</v>
      </c>
      <c r="M7" s="35">
        <f>SUMIFS(Producción!Q:Q, Producción!$D:$D, "&gt;=" &amp; DATE(2026,3,1), Producción!$D:$D, "&lt;=" &amp; DATE(2026,3,31), Producción!$F:$F, 0)</f>
        <v>0</v>
      </c>
      <c r="N7" s="35">
        <f>SUMIFS(Producción!R:R, Producción!$D:$D, "&gt;=" &amp; DATE(2026,3,1), Producción!$D:$D, "&lt;=" &amp; DATE(2026,3,31), Producción!$F:$F, 0)</f>
        <v>0</v>
      </c>
      <c r="O7" s="35">
        <f>SUMIFS(Producción!S:S, Producción!$D:$D, "&gt;=" &amp; DATE(2026,3,1), Producción!$D:$D, "&lt;=" &amp; DATE(2026,3,31), Producción!$F:$F, 0)</f>
        <v>0</v>
      </c>
      <c r="P7" s="35">
        <f>SUMIFS(Producción!T:T, Producción!$D:$D, "&gt;=" &amp; DATE(2026,3,1), Producción!$D:$D, "&lt;=" &amp; DATE(2026,3,31), Producción!$F:$F, 0)</f>
        <v>0</v>
      </c>
      <c r="Q7" s="35">
        <f>SUMIFS(Producción!U:U, Producción!$D:$D, "&gt;=" &amp; DATE(2026,3,1), Producción!$D:$D, "&lt;=" &amp; DATE(2026,3,31), Producción!$F:$F, 0)</f>
        <v>0</v>
      </c>
      <c r="R7" s="35">
        <f>SUMIFS(Producción!V:V, Producción!$D:$D, "&gt;=" &amp; DATE(2026,3,1), Producción!$D:$D, "&lt;=" &amp; DATE(2026,3,31), Producción!$F:$F, 0)</f>
        <v>0</v>
      </c>
      <c r="S7" s="35">
        <f>SUMIFS(Producción!W:W, Producción!$D:$D, "&gt;=" &amp; DATE(2026,3,1), Producción!$D:$D, "&lt;=" &amp; DATE(2026,3,31), Producción!$F:$F, 0)</f>
        <v>0</v>
      </c>
      <c r="T7" s="35">
        <f>SUMIFS(Producción!X:X, Producción!$D:$D, "&gt;=" &amp; DATE(2026,3,1), Producción!$D:$D, "&lt;=" &amp; DATE(2026,3,31), Producción!$F:$F, 0)</f>
        <v>0</v>
      </c>
      <c r="U7" s="9">
        <f>SUMIFS(Cereal[N° SACOS], Cereal[PRODUCCIÓN], "", Cereal[FECHA], "&gt;=01/03/2026", Cereal[FECHA], "&lt;=31/03/2026") + COUNTIFS(Cereal[PRODUCCIÓN], "", Cereal[FECHA], "&gt;=01/03/2026", Cereal[FECHA], "&lt;=31/03/2026")</f>
        <v>0</v>
      </c>
    </row>
    <row r="8" spans="1:21" x14ac:dyDescent="0.25">
      <c r="A8" s="82" t="b">
        <v>1</v>
      </c>
      <c r="B8" s="71" t="s">
        <v>20</v>
      </c>
      <c r="C8" s="35">
        <f>SUMIFS(Producción!G:G, Producción!$D:$D, "&gt;=" &amp; DATE(2026,4,1), Producción!$D:$D, "&lt;=" &amp; DATE(2026,4,30), Producción!$F:$F, 0)</f>
        <v>0</v>
      </c>
      <c r="D8" s="35">
        <f>SUMIFS(Producción!H:H, Producción!$D:$D, "&gt;=" &amp; DATE(2026,4,1), Producción!$D:$D, "&lt;=" &amp; DATE(2026,4,30), Producción!$F:$F, 0)</f>
        <v>0</v>
      </c>
      <c r="E8" s="35">
        <f>SUMIFS(Producción!I:I, Producción!$D:$D, "&gt;=" &amp; DATE(2026,4,1), Producción!$D:$D, "&lt;=" &amp; DATE(2026,4,30), Producción!$F:$F, 0)</f>
        <v>0</v>
      </c>
      <c r="F8" s="35">
        <f>SUMIFS(Producción!J:J, Producción!$D:$D, "&gt;=" &amp; DATE(2026,4,1), Producción!$D:$D, "&lt;=" &amp; DATE(2026,4,30), Producción!$F:$F, 0)</f>
        <v>0</v>
      </c>
      <c r="G8" s="35">
        <f>SUMIFS(Producción!K:K, Producción!$D:$D, "&gt;=" &amp; DATE(2026,4,1), Producción!$D:$D, "&lt;=" &amp; DATE(2026,4,30), Producción!$F:$F, 0)</f>
        <v>0</v>
      </c>
      <c r="H8" s="35">
        <f>SUMIFS(Producción!L:L, Producción!$D:$D, "&gt;=" &amp; DATE(2026,4,1), Producción!$D:$D, "&lt;=" &amp; DATE(2026,4,30), Producción!$F:$F, 0)</f>
        <v>0</v>
      </c>
      <c r="I8" s="35">
        <f>SUMIFS(Producción!M:M, Producción!$D:$D, "&gt;=" &amp; DATE(2026,4,1), Producción!$D:$D, "&lt;=" &amp; DATE(2026,4,30), Producción!$F:$F, 0)</f>
        <v>0</v>
      </c>
      <c r="J8" s="35">
        <f>SUMIFS(Producción!N:N, Producción!$D:$D, "&gt;=" &amp; DATE(2026,4,1), Producción!$D:$D, "&lt;=" &amp; DATE(2026,4,30), Producción!$F:$F, 0)</f>
        <v>0</v>
      </c>
      <c r="K8" s="35">
        <f>SUMIFS(Producción!O:O, Producción!$D:$D, "&gt;=" &amp; DATE(2026,4,1), Producción!$D:$D, "&lt;=" &amp; DATE(2026,4,30), Producción!$F:$F, 0)</f>
        <v>0</v>
      </c>
      <c r="L8" s="35">
        <f>SUMIFS(Producción!P:P, Producción!$D:$D, "&gt;=" &amp; DATE(2026,4,1), Producción!$D:$D, "&lt;=" &amp; DATE(2026,4,30), Producción!$F:$F, 0)</f>
        <v>0</v>
      </c>
      <c r="M8" s="35">
        <f>SUMIFS(Producción!Q:Q, Producción!$D:$D, "&gt;=" &amp; DATE(2026,4,1), Producción!$D:$D, "&lt;=" &amp; DATE(2026,4,30), Producción!$F:$F, 0)</f>
        <v>0</v>
      </c>
      <c r="N8" s="35">
        <f>SUMIFS(Producción!R:R, Producción!$D:$D, "&gt;=" &amp; DATE(2026,4,1), Producción!$D:$D, "&lt;=" &amp; DATE(2026,4,30), Producción!$F:$F, 0)</f>
        <v>0</v>
      </c>
      <c r="O8" s="35">
        <f>SUMIFS(Producción!S:S, Producción!$D:$D, "&gt;=" &amp; DATE(2026,4,1), Producción!$D:$D, "&lt;=" &amp; DATE(2026,4,30), Producción!$F:$F, 0)</f>
        <v>0</v>
      </c>
      <c r="P8" s="35">
        <f>SUMIFS(Producción!T:T, Producción!$D:$D, "&gt;=" &amp; DATE(2026,4,1), Producción!$D:$D, "&lt;=" &amp; DATE(2026,4,30), Producción!$F:$F, 0)</f>
        <v>0</v>
      </c>
      <c r="Q8" s="35">
        <f>SUMIFS(Producción!U:U, Producción!$D:$D, "&gt;=" &amp; DATE(2026,4,1), Producción!$D:$D, "&lt;=" &amp; DATE(2026,4,30), Producción!$F:$F, 0)</f>
        <v>0</v>
      </c>
      <c r="R8" s="35">
        <f>SUMIFS(Producción!V:V, Producción!$D:$D, "&gt;=" &amp; DATE(2026,4,1), Producción!$D:$D, "&lt;=" &amp; DATE(2026,4,30), Producción!$F:$F, 0)</f>
        <v>0</v>
      </c>
      <c r="S8" s="35">
        <f>SUMIFS(Producción!W:W, Producción!$D:$D, "&gt;=" &amp; DATE(2026,4,1), Producción!$D:$D, "&lt;=" &amp; DATE(2026,4,30), Producción!$F:$F, 0)</f>
        <v>0</v>
      </c>
      <c r="T8" s="35">
        <f>SUMIFS(Producción!X:X, Producción!$D:$D, "&gt;=" &amp; DATE(2026,4,1), Producción!$D:$D, "&lt;=" &amp; DATE(2026,4,30), Producción!$F:$F, 0)</f>
        <v>0</v>
      </c>
      <c r="U8" s="9">
        <f>SUMIFS(Cereal[N° SACOS], Cereal[PRODUCCIÓN], "", Cereal[FECHA], "&gt;=01/04/2026", Cereal[FECHA], "&lt;=30/04/2026") + COUNTIFS(Cereal[PRODUCCIÓN], "", Cereal[FECHA], "&gt;=01/04/2026", Cereal[FECHA], "&lt;=30/04/2026")</f>
        <v>0</v>
      </c>
    </row>
    <row r="9" spans="1:21" x14ac:dyDescent="0.25">
      <c r="A9" s="82" t="b">
        <v>1</v>
      </c>
      <c r="B9" s="71" t="s">
        <v>21</v>
      </c>
      <c r="C9" s="35">
        <f>SUMIFS(Producción!G:G, Producción!$D:$D, "&gt;=" &amp; DATE(2026,5,1), Producción!$D:$D, "&lt;=" &amp; DATE(2026,5,31), Producción!$F:$F, 0)</f>
        <v>0</v>
      </c>
      <c r="D9" s="35">
        <f>SUMIFS(Producción!H:H, Producción!$D:$D, "&gt;=" &amp; DATE(2026,5,1), Producción!$D:$D, "&lt;=" &amp; DATE(2026,5,31), Producción!$F:$F, 0)</f>
        <v>0</v>
      </c>
      <c r="E9" s="35">
        <f>SUMIFS(Producción!I:I, Producción!$D:$D, "&gt;=" &amp; DATE(2026,5,1), Producción!$D:$D, "&lt;=" &amp; DATE(2026,5,31), Producción!$F:$F, 0)</f>
        <v>0</v>
      </c>
      <c r="F9" s="35">
        <f>SUMIFS(Producción!J:J, Producción!$D:$D, "&gt;=" &amp; DATE(2026,5,1), Producción!$D:$D, "&lt;=" &amp; DATE(2026,5,31), Producción!$F:$F, 0)</f>
        <v>0</v>
      </c>
      <c r="G9" s="35">
        <f>SUMIFS(Producción!K:K, Producción!$D:$D, "&gt;=" &amp; DATE(2026,5,1), Producción!$D:$D, "&lt;=" &amp; DATE(2026,5,31), Producción!$F:$F, 0)</f>
        <v>0</v>
      </c>
      <c r="H9" s="35">
        <f>SUMIFS(Producción!L:L, Producción!$D:$D, "&gt;=" &amp; DATE(2026,5,1), Producción!$D:$D, "&lt;=" &amp; DATE(2026,5,31), Producción!$F:$F, 0)</f>
        <v>0</v>
      </c>
      <c r="I9" s="35">
        <f>SUMIFS(Producción!M:M, Producción!$D:$D, "&gt;=" &amp; DATE(2026,5,1), Producción!$D:$D, "&lt;=" &amp; DATE(2026,5,31), Producción!$F:$F, 0)</f>
        <v>0</v>
      </c>
      <c r="J9" s="35">
        <f>SUMIFS(Producción!N:N, Producción!$D:$D, "&gt;=" &amp; DATE(2026,5,1), Producción!$D:$D, "&lt;=" &amp; DATE(2026,5,31), Producción!$F:$F, 0)</f>
        <v>0</v>
      </c>
      <c r="K9" s="35">
        <f>SUMIFS(Producción!O:O, Producción!$D:$D, "&gt;=" &amp; DATE(2026,5,1), Producción!$D:$D, "&lt;=" &amp; DATE(2026,5,31), Producción!$F:$F, 0)</f>
        <v>0</v>
      </c>
      <c r="L9" s="35">
        <f>SUMIFS(Producción!P:P, Producción!$D:$D, "&gt;=" &amp; DATE(2026,5,1), Producción!$D:$D, "&lt;=" &amp; DATE(2026,5,31), Producción!$F:$F, 0)</f>
        <v>0</v>
      </c>
      <c r="M9" s="35">
        <f>SUMIFS(Producción!Q:Q, Producción!$D:$D, "&gt;=" &amp; DATE(2026,5,1), Producción!$D:$D, "&lt;=" &amp; DATE(2026,5,31), Producción!$F:$F, 0)</f>
        <v>0</v>
      </c>
      <c r="N9" s="35">
        <f>SUMIFS(Producción!R:R, Producción!$D:$D, "&gt;=" &amp; DATE(2026,5,1), Producción!$D:$D, "&lt;=" &amp; DATE(2026,5,31), Producción!$F:$F, 0)</f>
        <v>0</v>
      </c>
      <c r="O9" s="35">
        <f>SUMIFS(Producción!S:S, Producción!$D:$D, "&gt;=" &amp; DATE(2026,5,1), Producción!$D:$D, "&lt;=" &amp; DATE(2026,5,31), Producción!$F:$F, 0)</f>
        <v>0</v>
      </c>
      <c r="P9" s="35">
        <f>SUMIFS(Producción!T:T, Producción!$D:$D, "&gt;=" &amp; DATE(2026,5,1), Producción!$D:$D, "&lt;=" &amp; DATE(2026,5,31), Producción!$F:$F, 0)</f>
        <v>0</v>
      </c>
      <c r="Q9" s="35">
        <f>SUMIFS(Producción!U:U, Producción!$D:$D, "&gt;=" &amp; DATE(2026,5,1), Producción!$D:$D, "&lt;=" &amp; DATE(2026,5,31), Producción!$F:$F, 0)</f>
        <v>0</v>
      </c>
      <c r="R9" s="35">
        <f>SUMIFS(Producción!V:V, Producción!$D:$D, "&gt;=" &amp; DATE(2026,5,1), Producción!$D:$D, "&lt;=" &amp; DATE(2026,5,31), Producción!$F:$F, 0)</f>
        <v>0</v>
      </c>
      <c r="S9" s="35">
        <f>SUMIFS(Producción!W:W, Producción!$D:$D, "&gt;=" &amp; DATE(2026,5,1), Producción!$D:$D, "&lt;=" &amp; DATE(2026,5,31), Producción!$F:$F, 0)</f>
        <v>0</v>
      </c>
      <c r="T9" s="35">
        <f>SUMIFS(Producción!X:X, Producción!$D:$D, "&gt;=" &amp; DATE(2026,5,1), Producción!$D:$D, "&lt;=" &amp; DATE(2026,5,31), Producción!$F:$F, 0)</f>
        <v>0</v>
      </c>
      <c r="U9" s="9">
        <f>SUMIFS(Cereal[N° SACOS], Cereal[PRODUCCIÓN], "", Cereal[FECHA], "&gt;=01/05/2026", Cereal[FECHA], "&lt;=31/05/2026") + COUNTIFS(Cereal[PRODUCCIÓN], "", Cereal[FECHA], "&gt;=01/05/2026", Cereal[FECHA], "&lt;=31/05/2026")</f>
        <v>0</v>
      </c>
    </row>
    <row r="10" spans="1:21" x14ac:dyDescent="0.25">
      <c r="A10" s="82" t="b">
        <v>1</v>
      </c>
      <c r="B10" s="71" t="s">
        <v>22</v>
      </c>
      <c r="C10" s="35">
        <f>SUMIFS(Producción!G:G, Producción!$D:$D, "&gt;=" &amp; DATE(2026,6,1), Producción!$D:$D, "&lt;=" &amp; DATE(2026,6,30), Producción!$F:$F, 0)</f>
        <v>0</v>
      </c>
      <c r="D10" s="35">
        <f>SUMIFS(Producción!H:H, Producción!$D:$D, "&gt;=" &amp; DATE(2026,6,1), Producción!$D:$D, "&lt;=" &amp; DATE(2026,6,30), Producción!$F:$F, 0)</f>
        <v>0</v>
      </c>
      <c r="E10" s="35">
        <f>SUMIFS(Producción!I:I, Producción!$D:$D, "&gt;=" &amp; DATE(2026,6,1), Producción!$D:$D, "&lt;=" &amp; DATE(2026,6,30), Producción!$F:$F, 0)</f>
        <v>0</v>
      </c>
      <c r="F10" s="35">
        <f>SUMIFS(Producción!J:J, Producción!$D:$D, "&gt;=" &amp; DATE(2026,6,1), Producción!$D:$D, "&lt;=" &amp; DATE(2026,6,30), Producción!$F:$F, 0)</f>
        <v>0</v>
      </c>
      <c r="G10" s="35">
        <f>SUMIFS(Producción!K:K, Producción!$D:$D, "&gt;=" &amp; DATE(2026,6,1), Producción!$D:$D, "&lt;=" &amp; DATE(2026,6,30), Producción!$F:$F, 0)</f>
        <v>0</v>
      </c>
      <c r="H10" s="35">
        <f>SUMIFS(Producción!L:L, Producción!$D:$D, "&gt;=" &amp; DATE(2026,6,1), Producción!$D:$D, "&lt;=" &amp; DATE(2026,6,30), Producción!$F:$F, 0)</f>
        <v>0</v>
      </c>
      <c r="I10" s="35">
        <f>SUMIFS(Producción!M:M, Producción!$D:$D, "&gt;=" &amp; DATE(2026,6,1), Producción!$D:$D, "&lt;=" &amp; DATE(2026,6,30), Producción!$F:$F, 0)</f>
        <v>0</v>
      </c>
      <c r="J10" s="35">
        <f>SUMIFS(Producción!N:N, Producción!$D:$D, "&gt;=" &amp; DATE(2026,6,1), Producción!$D:$D, "&lt;=" &amp; DATE(2026,6,30), Producción!$F:$F, 0)</f>
        <v>0</v>
      </c>
      <c r="K10" s="35">
        <f>SUMIFS(Producción!O:O, Producción!$D:$D, "&gt;=" &amp; DATE(2026,6,1), Producción!$D:$D, "&lt;=" &amp; DATE(2026,6,30), Producción!$F:$F, 0)</f>
        <v>0</v>
      </c>
      <c r="L10" s="35">
        <f>SUMIFS(Producción!P:P, Producción!$D:$D, "&gt;=" &amp; DATE(2026,6,1), Producción!$D:$D, "&lt;=" &amp; DATE(2026,6,30), Producción!$F:$F, 0)</f>
        <v>0</v>
      </c>
      <c r="M10" s="35">
        <f>SUMIFS(Producción!Q:Q, Producción!$D:$D, "&gt;=" &amp; DATE(2026,6,1), Producción!$D:$D, "&lt;=" &amp; DATE(2026,6,30), Producción!$F:$F, 0)</f>
        <v>0</v>
      </c>
      <c r="N10" s="35">
        <f>SUMIFS(Producción!R:R, Producción!$D:$D, "&gt;=" &amp; DATE(2026,6,1), Producción!$D:$D, "&lt;=" &amp; DATE(2026,6,30), Producción!$F:$F, 0)</f>
        <v>0</v>
      </c>
      <c r="O10" s="35">
        <f>SUMIFS(Producción!S:S, Producción!$D:$D, "&gt;=" &amp; DATE(2026,6,1), Producción!$D:$D, "&lt;=" &amp; DATE(2026,6,30), Producción!$F:$F, 0)</f>
        <v>0</v>
      </c>
      <c r="P10" s="35">
        <f>SUMIFS(Producción!T:T, Producción!$D:$D, "&gt;=" &amp; DATE(2026,6,1), Producción!$D:$D, "&lt;=" &amp; DATE(2026,6,30), Producción!$F:$F, 0)</f>
        <v>0</v>
      </c>
      <c r="Q10" s="35">
        <f>SUMIFS(Producción!U:U, Producción!$D:$D, "&gt;=" &amp; DATE(2026,6,1), Producción!$D:$D, "&lt;=" &amp; DATE(2026,6,30), Producción!$F:$F, 0)</f>
        <v>0</v>
      </c>
      <c r="R10" s="35">
        <f>SUMIFS(Producción!V:V, Producción!$D:$D, "&gt;=" &amp; DATE(2026,6,1), Producción!$D:$D, "&lt;=" &amp; DATE(2026,6,30), Producción!$F:$F, 0)</f>
        <v>0</v>
      </c>
      <c r="S10" s="35">
        <f>SUMIFS(Producción!W:W, Producción!$D:$D, "&gt;=" &amp; DATE(2026,6,1), Producción!$D:$D, "&lt;=" &amp; DATE(2026,6,30), Producción!$F:$F, 0)</f>
        <v>0</v>
      </c>
      <c r="T10" s="35">
        <f>SUMIFS(Producción!X:X, Producción!$D:$D, "&gt;=" &amp; DATE(2026,6,1), Producción!$D:$D, "&lt;=" &amp; DATE(2026,6,30), Producción!$F:$F, 0)</f>
        <v>0</v>
      </c>
      <c r="U10" s="9">
        <f>SUMIFS(Cereal[N° SACOS], Cereal[PRODUCCIÓN], "", Cereal[FECHA], "&gt;="&amp;DATE(2026,6,1), Cereal[FECHA], "&lt;="&amp;DATE(2026,6,30)) + COUNTIFS(Cereal[PRODUCCIÓN], "", Cereal[FECHA], "&gt;="&amp;DATE(2026,6,1), Cereal[FECHA], "&lt;="&amp;DATE(2026,6,30))</f>
        <v>0</v>
      </c>
    </row>
    <row r="11" spans="1:21" x14ac:dyDescent="0.25">
      <c r="A11" s="82" t="b">
        <v>1</v>
      </c>
      <c r="B11" s="71" t="s">
        <v>23</v>
      </c>
      <c r="C11" s="35">
        <f>SUMIFS(Producción!G:G, Producción!$D:$D, "&gt;=" &amp; DATE(2026,7,1), Producción!$D:$D, "&lt;=" &amp; DATE(2026,7,31), Producción!$F:$F, 0)</f>
        <v>0</v>
      </c>
      <c r="D11" s="35">
        <f>SUMIFS(Producción!H:H, Producción!$D:$D, "&gt;=" &amp; DATE(2026,7,1), Producción!$D:$D, "&lt;=" &amp; DATE(2026,7,31), Producción!$F:$F, 0)</f>
        <v>0</v>
      </c>
      <c r="E11" s="35">
        <f>SUMIFS(Producción!I:I, Producción!$D:$D, "&gt;=" &amp; DATE(2026,7,1), Producción!$D:$D, "&lt;=" &amp; DATE(2026,7,31), Producción!$F:$F, 0)</f>
        <v>0</v>
      </c>
      <c r="F11" s="35">
        <f>SUMIFS(Producción!J:J, Producción!$D:$D, "&gt;=" &amp; DATE(2026,7,1), Producción!$D:$D, "&lt;=" &amp; DATE(2026,7,31), Producción!$F:$F, 0)</f>
        <v>0</v>
      </c>
      <c r="G11" s="35">
        <f>SUMIFS(Producción!K:K, Producción!$D:$D, "&gt;=" &amp; DATE(2026,7,1), Producción!$D:$D, "&lt;=" &amp; DATE(2026,7,31), Producción!$F:$F, 0)</f>
        <v>0</v>
      </c>
      <c r="H11" s="35">
        <f>SUMIFS(Producción!L:L, Producción!$D:$D, "&gt;=" &amp; DATE(2026,7,1), Producción!$D:$D, "&lt;=" &amp; DATE(2026,7,31), Producción!$F:$F, 0)</f>
        <v>0</v>
      </c>
      <c r="I11" s="35">
        <f>SUMIFS(Producción!M:M, Producción!$D:$D, "&gt;=" &amp; DATE(2026,7,1), Producción!$D:$D, "&lt;=" &amp; DATE(2026,7,31), Producción!$F:$F, 0)</f>
        <v>0</v>
      </c>
      <c r="J11" s="35">
        <f>SUMIFS(Producción!N:N, Producción!$D:$D, "&gt;=" &amp; DATE(2026,7,1), Producción!$D:$D, "&lt;=" &amp; DATE(2026,7,31), Producción!$F:$F, 0)</f>
        <v>0</v>
      </c>
      <c r="K11" s="35">
        <f>SUMIFS(Producción!O:O, Producción!$D:$D, "&gt;=" &amp; DATE(2026,7,1), Producción!$D:$D, "&lt;=" &amp; DATE(2026,7,31), Producción!$F:$F, 0)</f>
        <v>0</v>
      </c>
      <c r="L11" s="35">
        <f>SUMIFS(Producción!P:P, Producción!$D:$D, "&gt;=" &amp; DATE(2026,7,1), Producción!$D:$D, "&lt;=" &amp; DATE(2026,7,31), Producción!$F:$F, 0)</f>
        <v>0</v>
      </c>
      <c r="M11" s="35">
        <f>SUMIFS(Producción!Q:Q, Producción!$D:$D, "&gt;=" &amp; DATE(2026,7,1), Producción!$D:$D, "&lt;=" &amp; DATE(2026,7,31), Producción!$F:$F, 0)</f>
        <v>0</v>
      </c>
      <c r="N11" s="35">
        <f>SUMIFS(Producción!R:R, Producción!$D:$D, "&gt;=" &amp; DATE(2026,7,1), Producción!$D:$D, "&lt;=" &amp; DATE(2026,7,31), Producción!$F:$F, 0)</f>
        <v>0</v>
      </c>
      <c r="O11" s="35">
        <f>SUMIFS(Producción!S:S, Producción!$D:$D, "&gt;=" &amp; DATE(2026,7,1), Producción!$D:$D, "&lt;=" &amp; DATE(2026,7,31), Producción!$F:$F, 0)</f>
        <v>0</v>
      </c>
      <c r="P11" s="35">
        <f>SUMIFS(Producción!T:T, Producción!$D:$D, "&gt;=" &amp; DATE(2026,7,1), Producción!$D:$D, "&lt;=" &amp; DATE(2026,7,31), Producción!$F:$F, 0)</f>
        <v>0</v>
      </c>
      <c r="Q11" s="35">
        <f>SUMIFS(Producción!U:U, Producción!$D:$D, "&gt;=" &amp; DATE(2026,7,1), Producción!$D:$D, "&lt;=" &amp; DATE(2026,7,31), Producción!$F:$F, 0)</f>
        <v>0</v>
      </c>
      <c r="R11" s="35">
        <f>SUMIFS(Producción!V:V, Producción!$D:$D, "&gt;=" &amp; DATE(2026,7,1), Producción!$D:$D, "&lt;=" &amp; DATE(2026,7,31), Producción!$F:$F, 0)</f>
        <v>0</v>
      </c>
      <c r="S11" s="35">
        <f>SUMIFS(Producción!W:W, Producción!$D:$D, "&gt;=" &amp; DATE(2026,7,1), Producción!$D:$D, "&lt;=" &amp; DATE(2026,7,31), Producción!$F:$F, 0)</f>
        <v>0</v>
      </c>
      <c r="T11" s="35">
        <f>SUMIFS(Producción!X:X, Producción!$D:$D, "&gt;=" &amp; DATE(2026,7,1), Producción!$D:$D, "&lt;=" &amp; DATE(2026,7,31), Producción!$F:$F, 0)</f>
        <v>0</v>
      </c>
      <c r="U11" s="9">
        <f>SUMIFS(Cereal[N° SACOS], Cereal[PRODUCCIÓN], "", Cereal[FECHA], "&gt;="&amp;DATE(2026,7,1), Cereal[FECHA], "&lt;="&amp;DATE(2026,7,31)) + COUNTIFS(Cereal[PRODUCCIÓN], "", Cereal[FECHA], "&gt;="&amp;DATE(2026,7,1), Cereal[FECHA], "&lt;="&amp;DATE(2026,7,31))</f>
        <v>0</v>
      </c>
    </row>
    <row r="12" spans="1:21" x14ac:dyDescent="0.25">
      <c r="A12" s="82" t="b">
        <v>1</v>
      </c>
      <c r="B12" s="71" t="s">
        <v>24</v>
      </c>
      <c r="C12" s="35">
        <f>SUMIFS(Producción!G:G, Producción!$D:$D, "&gt;=" &amp; DATE(2026,8,1), Producción!$D:$D, "&lt;=" &amp; DATE(2026,8,31), Producción!$F:$F, 0)</f>
        <v>1270.950763831117</v>
      </c>
      <c r="D12" s="35">
        <f>SUMIFS(Producción!H:H, Producción!$D:$D, "&gt;=" &amp; DATE(2026,8,1), Producción!$D:$D, "&lt;=" &amp; DATE(2026,8,31), Producción!$F:$F, 0)</f>
        <v>3311.6509015122265</v>
      </c>
      <c r="E12" s="35">
        <f>SUMIFS(Producción!I:I, Producción!$D:$D, "&gt;=" &amp; DATE(2026,8,1), Producción!$D:$D, "&lt;=" &amp; DATE(2026,8,31), Producción!$F:$F, 0)</f>
        <v>119.55143665464263</v>
      </c>
      <c r="F12" s="35">
        <f>SUMIFS(Producción!J:J, Producción!$D:$D, "&gt;=" &amp; DATE(2026,8,1), Producción!$D:$D, "&lt;=" &amp; DATE(2026,8,31), Producción!$F:$F, 0)</f>
        <v>98.285588944944067</v>
      </c>
      <c r="G12" s="35">
        <f>SUMIFS(Producción!K:K, Producción!$D:$D, "&gt;=" &amp; DATE(2026,8,1), Producción!$D:$D, "&lt;=" &amp; DATE(2026,8,31), Producción!$F:$F, 0)</f>
        <v>0</v>
      </c>
      <c r="H12" s="35">
        <f>SUMIFS(Producción!L:L, Producción!$D:$D, "&gt;=" &amp; DATE(2026,8,1), Producción!$D:$D, "&lt;=" &amp; DATE(2026,8,31), Producción!$F:$F, 0)</f>
        <v>0</v>
      </c>
      <c r="I12" s="35">
        <f>SUMIFS(Producción!M:M, Producción!$D:$D, "&gt;=" &amp; DATE(2026,8,1), Producción!$D:$D, "&lt;=" &amp; DATE(2026,8,31), Producción!$F:$F, 0)</f>
        <v>252.8409970588248</v>
      </c>
      <c r="J12" s="35">
        <f>SUMIFS(Producción!N:N, Producción!$D:$D, "&gt;=" &amp; DATE(2026,8,1), Producción!$D:$D, "&lt;=" &amp; DATE(2026,8,31), Producción!$F:$F, 0)</f>
        <v>0</v>
      </c>
      <c r="K12" s="35">
        <f>SUMIFS(Producción!O:O, Producción!$D:$D, "&gt;=" &amp; DATE(2026,8,1), Producción!$D:$D, "&lt;=" &amp; DATE(2026,8,31), Producción!$F:$F, 0)</f>
        <v>1871.206404913358</v>
      </c>
      <c r="L12" s="35">
        <f>SUMIFS(Producción!P:P, Producción!$D:$D, "&gt;=" &amp; DATE(2026,8,1), Producción!$D:$D, "&lt;=" &amp; DATE(2026,8,31), Producción!$F:$F, 0)</f>
        <v>0</v>
      </c>
      <c r="M12" s="35">
        <f>SUMIFS(Producción!Q:Q, Producción!$D:$D, "&gt;=" &amp; DATE(2026,8,1), Producción!$D:$D, "&lt;=" &amp; DATE(2026,8,31), Producción!$F:$F, 0)</f>
        <v>0</v>
      </c>
      <c r="N12" s="35">
        <f>SUMIFS(Producción!R:R, Producción!$D:$D, "&gt;=" &amp; DATE(2026,8,1), Producción!$D:$D, "&lt;=" &amp; DATE(2026,8,31), Producción!$F:$F, 0)</f>
        <v>0</v>
      </c>
      <c r="O12" s="35">
        <f>SUMIFS(Producción!S:S, Producción!$D:$D, "&gt;=" &amp; DATE(2026,8,1), Producción!$D:$D, "&lt;=" &amp; DATE(2026,8,31), Producción!$F:$F, 0)</f>
        <v>0</v>
      </c>
      <c r="P12" s="35">
        <f>SUMIFS(Producción!T:T, Producción!$D:$D, "&gt;=" &amp; DATE(2026,8,1), Producción!$D:$D, "&lt;=" &amp; DATE(2026,8,31), Producción!$F:$F, 0)</f>
        <v>0</v>
      </c>
      <c r="Q12" s="35">
        <f>SUMIFS(Producción!U:U, Producción!$D:$D, "&gt;=" &amp; DATE(2026,8,1), Producción!$D:$D, "&lt;=" &amp; DATE(2026,8,31), Producción!$F:$F, 0)</f>
        <v>0</v>
      </c>
      <c r="R12" s="35">
        <f>SUMIFS(Producción!V:V, Producción!$D:$D, "&gt;=" &amp; DATE(2026,8,1), Producción!$D:$D, "&lt;=" &amp; DATE(2026,8,31), Producción!$F:$F, 0)</f>
        <v>5.4003070848870367</v>
      </c>
      <c r="S12" s="35">
        <f>SUMIFS(Producción!W:W, Producción!$D:$D, "&gt;=" &amp; DATE(2026,8,1), Producción!$D:$D, "&lt;=" &amp; DATE(2026,8,31), Producción!$F:$F, 0)</f>
        <v>0</v>
      </c>
      <c r="T12" s="35">
        <f>SUMIFS(Producción!X:X, Producción!$D:$D, "&gt;=" &amp; DATE(2026,8,1), Producción!$D:$D, "&lt;=" &amp; DATE(2026,8,31), Producción!$F:$F, 0)</f>
        <v>0</v>
      </c>
      <c r="U12" s="9">
        <f>SUMIFS(Cereal[N° SACOS], Cereal[PRODUCCIÓN], "", Cereal[FECHA], "&gt;=01/08/2026", Cereal[FECHA], "&lt;=31/08/2026") + COUNTIFS(Cereal[PRODUCCIÓN], "", Cereal[FECHA], "&gt;=01/08/2026", Cereal[FECHA], "&lt;=31/08/2026")</f>
        <v>249</v>
      </c>
    </row>
    <row r="13" spans="1:21" x14ac:dyDescent="0.25">
      <c r="A13" s="82" t="b">
        <v>1</v>
      </c>
      <c r="B13" s="71" t="s">
        <v>25</v>
      </c>
      <c r="C13" s="35">
        <f>SUMIFS(Producción!G:G, Producción!$D:$D, "&gt;=" &amp; DATE(2026,9,1), Producción!$D:$D, "&lt;=" &amp; DATE(2026,9,30), Producción!$F:$F, 0)</f>
        <v>21825.562856018209</v>
      </c>
      <c r="D13" s="35">
        <f>SUMIFS(Producción!H:H, Producción!$D:$D, "&gt;=" &amp; DATE(2026,9,1), Producción!$D:$D, "&lt;=" &amp; DATE(2026,9,30), Producción!$F:$F, 0)</f>
        <v>78321.37337827876</v>
      </c>
      <c r="E13" s="35">
        <f>SUMIFS(Producción!I:I, Producción!$D:$D, "&gt;=" &amp; DATE(2026,9,1), Producción!$D:$D, "&lt;=" &amp; DATE(2026,9,30), Producción!$F:$F, 0)</f>
        <v>2876.4471544689141</v>
      </c>
      <c r="F13" s="35">
        <f>SUMIFS(Producción!J:J, Producción!$D:$D, "&gt;=" &amp; DATE(2026,9,1), Producción!$D:$D, "&lt;=" &amp; DATE(2026,9,30), Producción!$F:$F, 0)</f>
        <v>3242.6871263506969</v>
      </c>
      <c r="G13" s="35">
        <f>SUMIFS(Producción!K:K, Producción!$D:$D, "&gt;=" &amp; DATE(2026,9,1), Producción!$D:$D, "&lt;=" &amp; DATE(2026,9,30), Producción!$F:$F, 0)</f>
        <v>0</v>
      </c>
      <c r="H13" s="35">
        <f>SUMIFS(Producción!L:L, Producción!$D:$D, "&gt;=" &amp; DATE(2026,9,1), Producción!$D:$D, "&lt;=" &amp; DATE(2026,9,30), Producción!$F:$F, 0)</f>
        <v>1294.3904275624018</v>
      </c>
      <c r="I13" s="35">
        <f>SUMIFS(Producción!M:M, Producción!$D:$D, "&gt;=" &amp; DATE(2026,9,1), Producción!$D:$D, "&lt;=" &amp; DATE(2026,9,30), Producción!$F:$F, 0)</f>
        <v>2100.9435836012885</v>
      </c>
      <c r="J13" s="35">
        <f>SUMIFS(Producción!N:N, Producción!$D:$D, "&gt;=" &amp; DATE(2026,9,1), Producción!$D:$D, "&lt;=" &amp; DATE(2026,9,30), Producción!$F:$F, 0)</f>
        <v>481.34054190497625</v>
      </c>
      <c r="K13" s="35">
        <f>SUMIFS(Producción!O:O, Producción!$D:$D, "&gt;=" &amp; DATE(2026,9,1), Producción!$D:$D, "&lt;=" &amp; DATE(2026,9,30), Producción!$F:$F, 0)</f>
        <v>3932.4483616844509</v>
      </c>
      <c r="L13" s="35">
        <f>SUMIFS(Producción!P:P, Producción!$D:$D, "&gt;=" &amp; DATE(2026,9,1), Producción!$D:$D, "&lt;=" &amp; DATE(2026,9,30), Producción!$F:$F, 0)</f>
        <v>233.376</v>
      </c>
      <c r="M13" s="35">
        <f>SUMIFS(Producción!Q:Q, Producción!$D:$D, "&gt;=" &amp; DATE(2026,9,1), Producción!$D:$D, "&lt;=" &amp; DATE(2026,9,30), Producción!$F:$F, 0)</f>
        <v>600.70114385964916</v>
      </c>
      <c r="N13" s="35">
        <f>SUMIFS(Producción!R:R, Producción!$D:$D, "&gt;=" &amp; DATE(2026,9,1), Producción!$D:$D, "&lt;=" &amp; DATE(2026,9,30), Producción!$F:$F, 0)</f>
        <v>0</v>
      </c>
      <c r="O13" s="35">
        <f>SUMIFS(Producción!S:S, Producción!$D:$D, "&gt;=" &amp; DATE(2026,9,1), Producción!$D:$D, "&lt;=" &amp; DATE(2026,9,30), Producción!$F:$F, 0)</f>
        <v>0</v>
      </c>
      <c r="P13" s="35">
        <f>SUMIFS(Producción!T:T, Producción!$D:$D, "&gt;=" &amp; DATE(2026,9,1), Producción!$D:$D, "&lt;=" &amp; DATE(2026,9,30), Producción!$F:$F, 0)</f>
        <v>0</v>
      </c>
      <c r="Q13" s="35">
        <f>SUMIFS(Producción!U:U, Producción!$D:$D, "&gt;=" &amp; DATE(2026,9,1), Producción!$D:$D, "&lt;=" &amp; DATE(2026,9,30), Producción!$F:$F, 0)</f>
        <v>9.4075600000000001</v>
      </c>
      <c r="R13" s="35">
        <f>SUMIFS(Producción!V:V, Producción!$D:$D, "&gt;=" &amp; DATE(2026,9,1), Producción!$D:$D, "&lt;=" &amp; DATE(2026,9,30), Producción!$F:$F, 0)</f>
        <v>32.791564187327822</v>
      </c>
      <c r="S13" s="35">
        <f>SUMIFS(Producción!W:W, Producción!$D:$D, "&gt;=" &amp; DATE(2026,9,1), Producción!$D:$D, "&lt;=" &amp; DATE(2026,9,30), Producción!$F:$F, 0)</f>
        <v>0</v>
      </c>
      <c r="T13" s="35">
        <f>SUMIFS(Producción!X:X, Producción!$D:$D, "&gt;=" &amp; DATE(2026,9,1), Producción!$D:$D, "&lt;=" &amp; DATE(2026,9,30), Producción!$F:$F, 0)</f>
        <v>0</v>
      </c>
      <c r="U13" s="9">
        <f>SUMIFS(Cereal[N° SACOS], Cereal[PRODUCCIÓN], "", Cereal[FECHA], "&gt;="&amp;DATE(2026,9,1), Cereal[FECHA], "&lt;="&amp;DATE(2026,9,30)) + COUNTIFS(Cereal[PRODUCCIÓN], "", Cereal[FECHA], "&gt;="&amp;DATE(2026,9,1), Cereal[FECHA], "&lt;="&amp;DATE(2026,9,30))</f>
        <v>3022</v>
      </c>
    </row>
    <row r="14" spans="1:21" x14ac:dyDescent="0.25">
      <c r="A14" s="82" t="b">
        <v>0</v>
      </c>
      <c r="B14" s="71" t="s">
        <v>26</v>
      </c>
      <c r="C14" s="35">
        <f>SUMIFS(Producción!G:G, Producción!$D:$D, "&gt;=" &amp; DATE(2026,10,1), Producción!$D:$D, "&lt;=" &amp; DATE(2026,10,31), Producción!$F:$F, 0)</f>
        <v>35154.822114899966</v>
      </c>
      <c r="D14" s="35">
        <f>SUMIFS(Producción!H:H, Producción!$D:$D, "&gt;=" &amp; DATE(2026,10,1), Producción!$D:$D, "&lt;=" &amp; DATE(2026,10,31), Producción!$F:$F, 0)</f>
        <v>113897.20159381014</v>
      </c>
      <c r="E14" s="35">
        <f>SUMIFS(Producción!I:I, Producción!$D:$D, "&gt;=" &amp; DATE(2026,10,1), Producción!$D:$D, "&lt;=" &amp; DATE(2026,10,31), Producción!$F:$F, 0)</f>
        <v>7620.9613772777975</v>
      </c>
      <c r="F14" s="35">
        <f>SUMIFS(Producción!J:J, Producción!$D:$D, "&gt;=" &amp; DATE(2026,10,1), Producción!$D:$D, "&lt;=" &amp; DATE(2026,10,31), Producción!$F:$F, 0)</f>
        <v>4391.6413971033599</v>
      </c>
      <c r="G14" s="35">
        <f>SUMIFS(Producción!K:K, Producción!$D:$D, "&gt;=" &amp; DATE(2026,10,1), Producción!$D:$D, "&lt;=" &amp; DATE(2026,10,31), Producción!$F:$F, 0)</f>
        <v>0</v>
      </c>
      <c r="H14" s="35">
        <f>SUMIFS(Producción!L:L, Producción!$D:$D, "&gt;=" &amp; DATE(2026,10,1), Producción!$D:$D, "&lt;=" &amp; DATE(2026,10,31), Producción!$F:$F, 0)</f>
        <v>1524.7561412554226</v>
      </c>
      <c r="I14" s="35">
        <f>SUMIFS(Producción!M:M, Producción!$D:$D, "&gt;=" &amp; DATE(2026,10,1), Producción!$D:$D, "&lt;=" &amp; DATE(2026,10,31), Producción!$F:$F, 0)</f>
        <v>4764.3201064962068</v>
      </c>
      <c r="J14" s="35">
        <f>SUMIFS(Producción!N:N, Producción!$D:$D, "&gt;=" &amp; DATE(2026,10,1), Producción!$D:$D, "&lt;=" &amp; DATE(2026,10,31), Producción!$F:$F, 0)</f>
        <v>913.39485855863165</v>
      </c>
      <c r="K14" s="35">
        <f>SUMIFS(Producción!O:O, Producción!$D:$D, "&gt;=" &amp; DATE(2026,10,1), Producción!$D:$D, "&lt;=" &amp; DATE(2026,10,31), Producción!$F:$F, 0)</f>
        <v>22105.053872948039</v>
      </c>
      <c r="L14" s="35">
        <f>SUMIFS(Producción!P:P, Producción!$D:$D, "&gt;=" &amp; DATE(2026,10,1), Producción!$D:$D, "&lt;=" &amp; DATE(2026,10,31), Producción!$F:$F, 0)</f>
        <v>0</v>
      </c>
      <c r="M14" s="35">
        <f>SUMIFS(Producción!Q:Q, Producción!$D:$D, "&gt;=" &amp; DATE(2026,10,1), Producción!$D:$D, "&lt;=" &amp; DATE(2026,10,31), Producción!$F:$F, 0)</f>
        <v>301.63425656108598</v>
      </c>
      <c r="N14" s="35">
        <f>SUMIFS(Producción!R:R, Producción!$D:$D, "&gt;=" &amp; DATE(2026,10,1), Producción!$D:$D, "&lt;=" &amp; DATE(2026,10,31), Producción!$F:$F, 0)</f>
        <v>0</v>
      </c>
      <c r="O14" s="35">
        <f>SUMIFS(Producción!S:S, Producción!$D:$D, "&gt;=" &amp; DATE(2026,10,1), Producción!$D:$D, "&lt;=" &amp; DATE(2026,10,31), Producción!$F:$F, 0)</f>
        <v>0</v>
      </c>
      <c r="P14" s="35">
        <f>SUMIFS(Producción!T:T, Producción!$D:$D, "&gt;=" &amp; DATE(2026,10,1), Producción!$D:$D, "&lt;=" &amp; DATE(2026,10,31), Producción!$F:$F, 0)</f>
        <v>5.6160000000000005</v>
      </c>
      <c r="Q14" s="35">
        <f>SUMIFS(Producción!U:U, Producción!$D:$D, "&gt;=" &amp; DATE(2026,10,1), Producción!$D:$D, "&lt;=" &amp; DATE(2026,10,31), Producción!$F:$F, 0)</f>
        <v>14.362547692000001</v>
      </c>
      <c r="R14" s="35">
        <f>SUMIFS(Producción!V:V, Producción!$D:$D, "&gt;=" &amp; DATE(2026,10,1), Producción!$D:$D, "&lt;=" &amp; DATE(2026,10,31), Producción!$F:$F, 0)</f>
        <v>20.551110423502625</v>
      </c>
      <c r="S14" s="35">
        <f>SUMIFS(Producción!W:W, Producción!$D:$D, "&gt;=" &amp; DATE(2026,10,1), Producción!$D:$D, "&lt;=" &amp; DATE(2026,10,31), Producción!$F:$F, 0)</f>
        <v>2.3943042500000002</v>
      </c>
      <c r="T14" s="35">
        <f>SUMIFS(Producción!X:X, Producción!$D:$D, "&gt;=" &amp; DATE(2026,10,1), Producción!$D:$D, "&lt;=" &amp; DATE(2026,10,31), Producción!$F:$F, 0)</f>
        <v>5.4987360000000001</v>
      </c>
      <c r="U14" s="9">
        <f>SUMIFS(Cereal[N° SACOS], Cereal[PRODUCCIÓN], "", Cereal[FECHA], "&gt;="&amp;DATE(2026,10,1), Cereal[FECHA], "&lt;="&amp;DATE(2026,10,31)) + COUNTIFS(Cereal[PRODUCCIÓN], "", Cereal[FECHA], "&gt;="&amp;DATE(2026,10,1), Cereal[FECHA], "&lt;="&amp;DATE(2026,10,31))</f>
        <v>4713</v>
      </c>
    </row>
    <row r="15" spans="1:21" x14ac:dyDescent="0.25">
      <c r="A15" s="82" t="b">
        <v>0</v>
      </c>
      <c r="B15" s="71" t="s">
        <v>27</v>
      </c>
      <c r="C15" s="35">
        <f>SUMIFS(Producción!G:G, Producción!$D:$D, "&gt;=" &amp; DATE(2026,11,1), Producción!$D:$D, "&lt;=" &amp; DATE(2026,11,30), Producción!$F:$F, 0)</f>
        <v>27025.57626097235</v>
      </c>
      <c r="D15" s="35">
        <f>SUMIFS(Producción!H:H, Producción!$D:$D, "&gt;=" &amp; DATE(2026,11,1), Producción!$D:$D, "&lt;=" &amp; DATE(2026,11,30), Producción!$F:$F, 0)</f>
        <v>81292.759948180581</v>
      </c>
      <c r="E15" s="35">
        <f>SUMIFS(Producción!I:I, Producción!$D:$D, "&gt;=" &amp; DATE(2026,11,1), Producción!$D:$D, "&lt;=" &amp; DATE(2026,11,30), Producción!$F:$F, 0)</f>
        <v>5078.7033151065107</v>
      </c>
      <c r="F15" s="35">
        <f>SUMIFS(Producción!J:J, Producción!$D:$D, "&gt;=" &amp; DATE(2026,11,1), Producción!$D:$D, "&lt;=" &amp; DATE(2026,11,30), Producción!$F:$F, 0)</f>
        <v>2848.7677253409097</v>
      </c>
      <c r="G15" s="35">
        <f>SUMIFS(Producción!K:K, Producción!$D:$D, "&gt;=" &amp; DATE(2026,11,1), Producción!$D:$D, "&lt;=" &amp; DATE(2026,11,30), Producción!$F:$F, 0)</f>
        <v>0</v>
      </c>
      <c r="H15" s="35">
        <f>SUMIFS(Producción!L:L, Producción!$D:$D, "&gt;=" &amp; DATE(2026,11,1), Producción!$D:$D, "&lt;=" &amp; DATE(2026,11,30), Producción!$F:$F, 0)</f>
        <v>1501.3846794592532</v>
      </c>
      <c r="I15" s="35">
        <f>SUMIFS(Producción!M:M, Producción!$D:$D, "&gt;=" &amp; DATE(2026,11,1), Producción!$D:$D, "&lt;=" &amp; DATE(2026,11,30), Producción!$F:$F, 0)</f>
        <v>3687.1243576942029</v>
      </c>
      <c r="J15" s="35">
        <f>SUMIFS(Producción!N:N, Producción!$D:$D, "&gt;=" &amp; DATE(2026,11,1), Producción!$D:$D, "&lt;=" &amp; DATE(2026,11,30), Producción!$F:$F, 0)</f>
        <v>545.80501507959912</v>
      </c>
      <c r="K15" s="35">
        <f>SUMIFS(Producción!O:O, Producción!$D:$D, "&gt;=" &amp; DATE(2026,11,1), Producción!$D:$D, "&lt;=" &amp; DATE(2026,11,30), Producción!$F:$F, 0)</f>
        <v>15729.327785881358</v>
      </c>
      <c r="L15" s="35">
        <f>SUMIFS(Producción!P:P, Producción!$D:$D, "&gt;=" &amp; DATE(2026,11,1), Producción!$D:$D, "&lt;=" &amp; DATE(2026,11,30), Producción!$F:$F, 0)</f>
        <v>0</v>
      </c>
      <c r="M15" s="35">
        <f>SUMIFS(Producción!Q:Q, Producción!$D:$D, "&gt;=" &amp; DATE(2026,11,1), Producción!$D:$D, "&lt;=" &amp; DATE(2026,11,30), Producción!$F:$F, 0)</f>
        <v>305.05167737556565</v>
      </c>
      <c r="N15" s="35">
        <f>SUMIFS(Producción!R:R, Producción!$D:$D, "&gt;=" &amp; DATE(2026,11,1), Producción!$D:$D, "&lt;=" &amp; DATE(2026,11,30), Producción!$F:$F, 0)</f>
        <v>0</v>
      </c>
      <c r="O15" s="35">
        <f>SUMIFS(Producción!S:S, Producción!$D:$D, "&gt;=" &amp; DATE(2026,11,1), Producción!$D:$D, "&lt;=" &amp; DATE(2026,11,30), Producción!$F:$F, 0)</f>
        <v>0</v>
      </c>
      <c r="P15" s="35">
        <f>SUMIFS(Producción!T:T, Producción!$D:$D, "&gt;=" &amp; DATE(2026,11,1), Producción!$D:$D, "&lt;=" &amp; DATE(2026,11,30), Producción!$F:$F, 0)</f>
        <v>0</v>
      </c>
      <c r="Q15" s="35">
        <f>SUMIFS(Producción!U:U, Producción!$D:$D, "&gt;=" &amp; DATE(2026,11,1), Producción!$D:$D, "&lt;=" &amp; DATE(2026,11,30), Producción!$F:$F, 0)</f>
        <v>8.2691044040000001</v>
      </c>
      <c r="R15" s="35">
        <f>SUMIFS(Producción!V:V, Producción!$D:$D, "&gt;=" &amp; DATE(2026,11,1), Producción!$D:$D, "&lt;=" &amp; DATE(2026,11,30), Producción!$F:$F, 0)</f>
        <v>20.035302311870808</v>
      </c>
      <c r="S15" s="35">
        <f>SUMIFS(Producción!W:W, Producción!$D:$D, "&gt;=" &amp; DATE(2026,11,1), Producción!$D:$D, "&lt;=" &amp; DATE(2026,11,30), Producción!$F:$F, 0)</f>
        <v>2.3957440000000001</v>
      </c>
      <c r="T15" s="35">
        <f>SUMIFS(Producción!X:X, Producción!$D:$D, "&gt;=" &amp; DATE(2026,11,1), Producción!$D:$D, "&lt;=" &amp; DATE(2026,11,30), Producción!$F:$F, 0)</f>
        <v>0</v>
      </c>
      <c r="U15" s="9">
        <f>SUMIFS(Cereal[N° SACOS], Cereal[PRODUCCIÓN], "", Cereal[FECHA], "&gt;="&amp;DATE(2026,11,1), Cereal[FECHA], "&lt;="&amp;DATE(2026,11,30)) + COUNTIFS(Cereal[PRODUCCIÓN], "", Cereal[FECHA], "&gt;="&amp;DATE(2026,11,1), Cereal[FECHA], "&lt;="&amp;DATE(2026,11,30))</f>
        <v>3541</v>
      </c>
    </row>
    <row r="16" spans="1:21" x14ac:dyDescent="0.25">
      <c r="A16" s="82" t="b">
        <v>0</v>
      </c>
      <c r="B16" s="71" t="s">
        <v>28</v>
      </c>
      <c r="C16" s="35">
        <f>SUMIFS(Producción!G:G, Producción!$D:$D, "&gt;=" &amp; DATE(2026,12,1), Producción!$D:$D, "&lt;=" &amp; DATE(2026,12,31), Producción!$F:$F, 0)</f>
        <v>5861.0121554037787</v>
      </c>
      <c r="D16" s="35">
        <f>SUMIFS(Producción!H:H, Producción!$D:$D, "&gt;=" &amp; DATE(2026,12,1), Producción!$D:$D, "&lt;=" &amp; DATE(2026,12,31), Producción!$F:$F, 0)</f>
        <v>16098.876295045797</v>
      </c>
      <c r="E16" s="35">
        <f>SUMIFS(Producción!I:I, Producción!$D:$D, "&gt;=" &amp; DATE(2026,12,1), Producción!$D:$D, "&lt;=" &amp; DATE(2026,12,31), Producción!$F:$F, 0)</f>
        <v>1078.2609314441879</v>
      </c>
      <c r="F16" s="35">
        <f>SUMIFS(Producción!J:J, Producción!$D:$D, "&gt;=" &amp; DATE(2026,12,1), Producción!$D:$D, "&lt;=" &amp; DATE(2026,12,31), Producción!$F:$F, 0)</f>
        <v>189.06436139896374</v>
      </c>
      <c r="G16" s="35">
        <f>SUMIFS(Producción!K:K, Producción!$D:$D, "&gt;=" &amp; DATE(2026,12,1), Producción!$D:$D, "&lt;=" &amp; DATE(2026,12,31), Producción!$F:$F, 0)</f>
        <v>0</v>
      </c>
      <c r="H16" s="35">
        <f>SUMIFS(Producción!L:L, Producción!$D:$D, "&gt;=" &amp; DATE(2026,12,1), Producción!$D:$D, "&lt;=" &amp; DATE(2026,12,31), Producción!$F:$F, 0)</f>
        <v>0</v>
      </c>
      <c r="I16" s="35">
        <f>SUMIFS(Producción!M:M, Producción!$D:$D, "&gt;=" &amp; DATE(2026,12,1), Producción!$D:$D, "&lt;=" &amp; DATE(2026,12,31), Producción!$F:$F, 0)</f>
        <v>1071.2768613989638</v>
      </c>
      <c r="J16" s="35">
        <f>SUMIFS(Producción!N:N, Producción!$D:$D, "&gt;=" &amp; DATE(2026,12,1), Producción!$D:$D, "&lt;=" &amp; DATE(2026,12,31), Producción!$F:$F, 0)</f>
        <v>0</v>
      </c>
      <c r="K16" s="35">
        <f>SUMIFS(Producción!O:O, Producción!$D:$D, "&gt;=" &amp; DATE(2026,12,1), Producción!$D:$D, "&lt;=" &amp; DATE(2026,12,31), Producción!$F:$F, 0)</f>
        <v>675.64308601036271</v>
      </c>
      <c r="L16" s="35">
        <f>SUMIFS(Producción!P:P, Producción!$D:$D, "&gt;=" &amp; DATE(2026,12,1), Producción!$D:$D, "&lt;=" &amp; DATE(2026,12,31), Producción!$F:$F, 0)</f>
        <v>0</v>
      </c>
      <c r="M16" s="35">
        <f>SUMIFS(Producción!Q:Q, Producción!$D:$D, "&gt;=" &amp; DATE(2026,12,1), Producción!$D:$D, "&lt;=" &amp; DATE(2026,12,31), Producción!$F:$F, 0)</f>
        <v>0</v>
      </c>
      <c r="N16" s="35">
        <f>SUMIFS(Producción!R:R, Producción!$D:$D, "&gt;=" &amp; DATE(2026,12,1), Producción!$D:$D, "&lt;=" &amp; DATE(2026,12,31), Producción!$F:$F, 0)</f>
        <v>0</v>
      </c>
      <c r="O16" s="35">
        <f>SUMIFS(Producción!S:S, Producción!$D:$D, "&gt;=" &amp; DATE(2026,12,1), Producción!$D:$D, "&lt;=" &amp; DATE(2026,12,31), Producción!$F:$F, 0)</f>
        <v>0</v>
      </c>
      <c r="P16" s="35">
        <f>SUMIFS(Producción!T:T, Producción!$D:$D, "&gt;=" &amp; DATE(2026,12,1), Producción!$D:$D, "&lt;=" &amp; DATE(2026,12,31), Producción!$F:$F, 0)</f>
        <v>0</v>
      </c>
      <c r="Q16" s="35">
        <f>SUMIFS(Producción!U:U, Producción!$D:$D, "&gt;=" &amp; DATE(2026,12,1), Producción!$D:$D, "&lt;=" &amp; DATE(2026,12,31), Producción!$F:$F, 0)</f>
        <v>0</v>
      </c>
      <c r="R16" s="35">
        <f>SUMIFS(Producción!V:V, Producción!$D:$D, "&gt;=" &amp; DATE(2026,12,1), Producción!$D:$D, "&lt;=" &amp; DATE(2026,12,31), Producción!$F:$F, 0)</f>
        <v>0</v>
      </c>
      <c r="S16" s="35">
        <f>SUMIFS(Producción!W:W, Producción!$D:$D, "&gt;=" &amp; DATE(2026,12,1), Producción!$D:$D, "&lt;=" &amp; DATE(2026,12,31), Producción!$F:$F, 0)</f>
        <v>0</v>
      </c>
      <c r="T16" s="35">
        <f>SUMIFS(Producción!X:X, Producción!$D:$D, "&gt;=" &amp; DATE(2026,12,1), Producción!$D:$D, "&lt;=" &amp; DATE(2026,12,31), Producción!$F:$F, 0)</f>
        <v>0</v>
      </c>
      <c r="U16" s="9">
        <f>SUMIFS(Cereal[N° SACOS], Cereal[PRODUCCIÓN], "", Cereal[FECHA], "&gt;="&amp;DATE(2026,12,1), Cereal[FECHA], "&lt;="&amp;DATE(2026,12,31)) + COUNTIFS(Cereal[PRODUCCIÓN], "", Cereal[FECHA], "&gt;="&amp;DATE(2026,12,1), Cereal[FECHA], "&lt;="&amp;DATE(2026,12,31))</f>
        <v>629</v>
      </c>
    </row>
    <row r="17" spans="1:21" s="35" customFormat="1" x14ac:dyDescent="0.25">
      <c r="B17" s="83" t="s">
        <v>524</v>
      </c>
      <c r="C17" s="83">
        <f>($A4*C4+$A5*C5+$A6*C6+$A7*C7+$A8*C8+$A9*C9+$A10*C10+$A11*C11+$A12*C12+$A13*C13+$A14*C14+$A15*C15+$A16*C16)*1.11</f>
        <v>25637.130118032757</v>
      </c>
      <c r="D17" s="83">
        <f t="shared" ref="D17:U17" si="0">$A4*D4+$A5*D5+$A6*D6+$A7*D7+$A8*D8+$A9*D9+$A10*D10+$A11*D11+$A12*D12+$A13*D13+$A14*D14+$A15*D15+$A16*D16</f>
        <v>81633.024279790989</v>
      </c>
      <c r="E17" s="83">
        <f t="shared" si="0"/>
        <v>2995.9985911235567</v>
      </c>
      <c r="F17" s="83">
        <f>($A4*F4+$A5*F5+$A6*F6+$A7*F7+$A8*F8+$A9*F9+$A10*F10+$A11*F11+$A12*F12+$A13*F13+$A14*F14+$A15*F15+$A16*F16)*1.07</f>
        <v>3574.8408053663361</v>
      </c>
      <c r="G17" s="83">
        <f>($A4*G4+$A5*G5+$A6*G6+$A7*G7+$A8*G8+$A9*G9+$A10*G10+$A11*G11+$A12*G12+$A13*G13+$A14*G14+$A15*G15+$A16*G16)*1.03</f>
        <v>0</v>
      </c>
      <c r="H17" s="83">
        <f>($A4*H4+$A5*H5+$A6*H6+$A7*H7+$A8*H8+$A9*H9+$A10*H10+$A11*H11+$A12*H12+$A13*H13+$A14*H14+$A15*H15+$A16*H16)*1.03</f>
        <v>1333.2221403892738</v>
      </c>
      <c r="I17" s="83">
        <f t="shared" si="0"/>
        <v>2353.7845806601135</v>
      </c>
      <c r="J17" s="83">
        <f t="shared" si="0"/>
        <v>481.34054190497625</v>
      </c>
      <c r="K17" s="83">
        <f t="shared" si="0"/>
        <v>5803.6547665978087</v>
      </c>
      <c r="L17" s="83">
        <f t="shared" si="0"/>
        <v>233.376</v>
      </c>
      <c r="M17" s="83">
        <f t="shared" si="0"/>
        <v>600.70114385964916</v>
      </c>
      <c r="N17" s="83">
        <f t="shared" si="0"/>
        <v>0</v>
      </c>
      <c r="O17" s="83">
        <f t="shared" si="0"/>
        <v>0</v>
      </c>
      <c r="P17" s="83">
        <f t="shared" si="0"/>
        <v>0</v>
      </c>
      <c r="Q17" s="83">
        <f t="shared" si="0"/>
        <v>9.4075600000000001</v>
      </c>
      <c r="R17" s="83">
        <f t="shared" si="0"/>
        <v>38.191871272214861</v>
      </c>
      <c r="S17" s="83">
        <f t="shared" si="0"/>
        <v>0</v>
      </c>
      <c r="T17" s="83">
        <f t="shared" si="0"/>
        <v>0</v>
      </c>
      <c r="U17" s="84">
        <f t="shared" si="0"/>
        <v>3271</v>
      </c>
    </row>
    <row r="21" spans="1:21" ht="23.25" x14ac:dyDescent="0.35">
      <c r="B21" s="143" t="s">
        <v>522</v>
      </c>
      <c r="C21" s="143"/>
      <c r="D21" s="143"/>
      <c r="E21" s="143"/>
      <c r="L21" s="23" t="s">
        <v>13</v>
      </c>
      <c r="M21" s="142" t="s">
        <v>127</v>
      </c>
      <c r="N21" s="142"/>
      <c r="O21" s="142"/>
    </row>
    <row r="22" spans="1:21" x14ac:dyDescent="0.25">
      <c r="B22" s="72" t="s">
        <v>435</v>
      </c>
      <c r="C22" s="72" t="s">
        <v>525</v>
      </c>
      <c r="D22" s="72" t="s">
        <v>526</v>
      </c>
      <c r="E22" s="72" t="s">
        <v>527</v>
      </c>
      <c r="N22" s="43"/>
      <c r="O22" s="66"/>
    </row>
    <row r="23" spans="1:21" x14ac:dyDescent="0.25">
      <c r="A23" s="82" t="b">
        <v>0</v>
      </c>
      <c r="B23" s="71" t="s">
        <v>523</v>
      </c>
      <c r="C23" s="9">
        <f>SUMIFS(Leche[N° LATAS], Leche[FECHA], "&gt;=" &amp; DATE(2025,12,1), Leche[FECHA], "&lt;=" &amp; DATE(2025,12,31), Leche[CONFIRMACIÓN], "")</f>
        <v>0</v>
      </c>
      <c r="D23" s="9">
        <f t="shared" ref="D23:D36" si="1">ROUNDDOWN(C23/48,0)</f>
        <v>0</v>
      </c>
      <c r="E23" s="1">
        <f t="shared" ref="E23:E36" si="2">C23-D23*48</f>
        <v>0</v>
      </c>
      <c r="L23" s="59" t="s">
        <v>528</v>
      </c>
      <c r="M23" s="59"/>
      <c r="N23" s="69">
        <v>400</v>
      </c>
      <c r="O23" s="66"/>
    </row>
    <row r="24" spans="1:21" x14ac:dyDescent="0.25">
      <c r="A24" s="82" t="b">
        <v>1</v>
      </c>
      <c r="B24" s="71" t="s">
        <v>16</v>
      </c>
      <c r="C24" s="9">
        <f>SUMIFS(Leche[N° LATAS], Leche[FECHA], "&gt;=" &amp; DATE(2026,1,1), Leche[FECHA], "&lt;=" &amp; DATE(2026,1,31), Leche[CONFIRMACIÓN], "")</f>
        <v>0</v>
      </c>
      <c r="D24" s="9">
        <f t="shared" si="1"/>
        <v>0</v>
      </c>
      <c r="E24" s="1">
        <f t="shared" si="2"/>
        <v>0</v>
      </c>
      <c r="L24" t="str" cm="1">
        <f t="array" ref="L24:L28">TRANSPOSE(_xlfn._xlws.FILTER(Formulas!C$1:T$1, _xlfn._xlws.FILTER(Formulas!C2:T201, Formulas!B2:B201=M21)&gt;0))</f>
        <v>Trigo</v>
      </c>
      <c r="M24" s="125" cm="1">
        <f t="array" ref="M24:M28">TRANSPOSE(_xlfn._xlws.FILTER(_xlfn._xlws.FILTER(Formulas!C2:T201, Formulas!B2:B201=M21), _xlfn._xlws.FILTER(Formulas!C2:T201, Formulas!B2:B201=M21)&gt;0))</f>
        <v>0.2348375451263538</v>
      </c>
      <c r="N24" s="35">
        <f t="shared" ref="N24:N31" si="3">$N$23*M24</f>
        <v>93.935018050541515</v>
      </c>
      <c r="O24" s="66"/>
    </row>
    <row r="25" spans="1:21" x14ac:dyDescent="0.25">
      <c r="A25" s="82" t="b">
        <v>1</v>
      </c>
      <c r="B25" s="71" t="s">
        <v>18</v>
      </c>
      <c r="C25" s="9">
        <f>SUMIFS(Leche[N° LATAS], Leche[FECHA], "&gt;=" &amp; DATE(2026,2,1), Leche[FECHA], "&lt;=" &amp; DATE(2026,2,28), Leche[CONFIRMACIÓN], "")</f>
        <v>0</v>
      </c>
      <c r="D25" s="9">
        <f t="shared" si="1"/>
        <v>0</v>
      </c>
      <c r="E25" s="1">
        <f t="shared" si="2"/>
        <v>0</v>
      </c>
      <c r="L25" t="str">
        <v>Avena</v>
      </c>
      <c r="M25" s="125">
        <v>0.65</v>
      </c>
      <c r="N25" s="35">
        <f t="shared" si="3"/>
        <v>260</v>
      </c>
      <c r="O25" s="66"/>
    </row>
    <row r="26" spans="1:21" x14ac:dyDescent="0.25">
      <c r="A26" s="82" t="b">
        <v>1</v>
      </c>
      <c r="B26" s="71" t="s">
        <v>19</v>
      </c>
      <c r="C26" s="9">
        <f>SUMIFS(Leche[N° LATAS], Leche[FECHA], "&gt;=" &amp; DATE(2026,3,1), Leche[FECHA], "&lt;=" &amp; DATE(2026,3,31), Leche[CONFIRMACIÓN], "")</f>
        <v>0</v>
      </c>
      <c r="D26" s="9">
        <f t="shared" si="1"/>
        <v>0</v>
      </c>
      <c r="E26" s="1">
        <f t="shared" si="2"/>
        <v>0</v>
      </c>
      <c r="L26" t="str">
        <v>Quinua</v>
      </c>
      <c r="M26" s="125">
        <v>3.5018050541516244E-2</v>
      </c>
      <c r="N26" s="35">
        <f t="shared" si="3"/>
        <v>14.007220216606498</v>
      </c>
    </row>
    <row r="27" spans="1:21" x14ac:dyDescent="0.25">
      <c r="A27" s="82" t="b">
        <v>1</v>
      </c>
      <c r="B27" s="71" t="s">
        <v>20</v>
      </c>
      <c r="C27" s="9">
        <f>SUMIFS(Leche[N° LATAS], Leche[FECHA], "&gt;=" &amp; DATE(2026,4,1), Leche[FECHA], "&lt;=" &amp; DATE(2026,4,30), Leche[CONFIRMACIÓN], "")</f>
        <v>0</v>
      </c>
      <c r="D27" s="9">
        <f t="shared" si="1"/>
        <v>0</v>
      </c>
      <c r="E27" s="1">
        <f t="shared" si="2"/>
        <v>0</v>
      </c>
      <c r="L27" t="str">
        <v>Soya</v>
      </c>
      <c r="M27" s="125">
        <v>4.0072202166064982E-2</v>
      </c>
      <c r="N27" s="35">
        <f t="shared" si="3"/>
        <v>16.028880866425993</v>
      </c>
    </row>
    <row r="28" spans="1:21" x14ac:dyDescent="0.25">
      <c r="A28" s="82" t="b">
        <v>1</v>
      </c>
      <c r="B28" s="71" t="s">
        <v>21</v>
      </c>
      <c r="C28" s="9">
        <f>SUMIFS(Leche[N° LATAS], Leche[FECHA], "&gt;=" &amp; DATE(2026,5,1), Leche[FECHA], "&lt;=" &amp; DATE(2026,5,31), Leche[CONFIRMACIÓN], "")</f>
        <v>0</v>
      </c>
      <c r="D28" s="9">
        <f t="shared" si="1"/>
        <v>0</v>
      </c>
      <c r="E28" s="1">
        <f t="shared" si="2"/>
        <v>0</v>
      </c>
      <c r="L28" t="str">
        <v>Maca</v>
      </c>
      <c r="M28" s="125">
        <v>4.0072202166064982E-2</v>
      </c>
      <c r="N28" s="35">
        <f t="shared" si="3"/>
        <v>16.028880866425993</v>
      </c>
    </row>
    <row r="29" spans="1:21" x14ac:dyDescent="0.25">
      <c r="A29" s="82" t="b">
        <v>1</v>
      </c>
      <c r="B29" s="71" t="s">
        <v>22</v>
      </c>
      <c r="C29" s="9">
        <f>SUMIFS(Leche[N° LATAS], Leche[FECHA], "&gt;=" &amp; DATE(2026,6,1), Leche[FECHA], "&lt;=" &amp; DATE(2026,6,30), Leche[CONFIRMACIÓN], "")</f>
        <v>0</v>
      </c>
      <c r="D29" s="9">
        <f t="shared" si="1"/>
        <v>0</v>
      </c>
      <c r="E29" s="1">
        <f t="shared" si="2"/>
        <v>0</v>
      </c>
      <c r="M29" s="70"/>
      <c r="N29" s="35">
        <f t="shared" si="3"/>
        <v>0</v>
      </c>
    </row>
    <row r="30" spans="1:21" x14ac:dyDescent="0.25">
      <c r="A30" s="82" t="b">
        <v>1</v>
      </c>
      <c r="B30" s="71" t="s">
        <v>23</v>
      </c>
      <c r="C30" s="9">
        <f>SUMIFS(Leche[N° LATAS], Leche[FECHA], "&gt;=" &amp; DATE(2026,7,1), Leche[FECHA], "&lt;=" &amp; DATE(2026,7,31), Leche[CONFIRMACIÓN], "")</f>
        <v>0</v>
      </c>
      <c r="D30" s="9">
        <f t="shared" si="1"/>
        <v>0</v>
      </c>
      <c r="E30" s="1">
        <f t="shared" si="2"/>
        <v>0</v>
      </c>
      <c r="M30" s="70"/>
      <c r="N30" s="35">
        <f t="shared" si="3"/>
        <v>0</v>
      </c>
    </row>
    <row r="31" spans="1:21" x14ac:dyDescent="0.25">
      <c r="A31" s="82" t="b">
        <v>1</v>
      </c>
      <c r="B31" s="71" t="s">
        <v>24</v>
      </c>
      <c r="C31" s="9">
        <f>SUMIFS(Leche[N° LATAS], Leche[FECHA], "&gt;=" &amp; DATE(2026,8,1), Leche[FECHA], "&lt;=" &amp; DATE(2026,8,31), Leche[CONFIRMACIÓN], "")</f>
        <v>2190</v>
      </c>
      <c r="D31" s="9">
        <f t="shared" si="1"/>
        <v>45</v>
      </c>
      <c r="E31" s="1">
        <f t="shared" si="2"/>
        <v>30</v>
      </c>
      <c r="M31" s="74"/>
      <c r="N31" s="35">
        <f t="shared" si="3"/>
        <v>0</v>
      </c>
    </row>
    <row r="32" spans="1:21" x14ac:dyDescent="0.25">
      <c r="A32" s="82" t="b">
        <v>1</v>
      </c>
      <c r="B32" s="71" t="s">
        <v>25</v>
      </c>
      <c r="C32" s="9">
        <f>SUMIFS(Leche[N° LATAS], Leche[FECHA], "&gt;=" &amp; DATE(2026,9,1), Leche[FECHA], "&lt;=" &amp; DATE(2026,9,30), Leche[CONFIRMACIÓN], "")</f>
        <v>93261.95</v>
      </c>
      <c r="D32" s="9">
        <f t="shared" si="1"/>
        <v>1942</v>
      </c>
      <c r="E32" s="1">
        <f t="shared" si="2"/>
        <v>45.94999999999709</v>
      </c>
      <c r="M32" s="74"/>
    </row>
    <row r="33" spans="1:14" x14ac:dyDescent="0.25">
      <c r="A33" s="82" t="b">
        <v>0</v>
      </c>
      <c r="B33" s="71" t="s">
        <v>26</v>
      </c>
      <c r="C33" s="9">
        <f>SUMIFS(Leche[N° LATAS], Leche[FECHA], "&gt;=" &amp; DATE(2026,10,1), Leche[FECHA], "&lt;=" &amp; DATE(2026,10,31), Leche[CONFIRMACIÓN], "")</f>
        <v>151506</v>
      </c>
      <c r="D33" s="9">
        <f t="shared" si="1"/>
        <v>3156</v>
      </c>
      <c r="E33" s="1">
        <f t="shared" si="2"/>
        <v>18</v>
      </c>
      <c r="M33" s="74"/>
      <c r="N33" s="43"/>
    </row>
    <row r="34" spans="1:14" x14ac:dyDescent="0.25">
      <c r="A34" s="82" t="b">
        <v>0</v>
      </c>
      <c r="B34" s="71" t="s">
        <v>27</v>
      </c>
      <c r="C34" s="9">
        <f>SUMIFS(Leche[N° LATAS], Leche[FECHA], "&gt;=" &amp; DATE(2026,11,1), Leche[FECHA], "&lt;=" &amp; DATE(2026,11,30), Leche[CONFIRMACIÓN], "")</f>
        <v>91197.950000000012</v>
      </c>
      <c r="D34" s="9">
        <f t="shared" si="1"/>
        <v>1899</v>
      </c>
      <c r="E34" s="1">
        <f t="shared" si="2"/>
        <v>45.950000000011642</v>
      </c>
      <c r="N34" s="43"/>
    </row>
    <row r="35" spans="1:14" x14ac:dyDescent="0.25">
      <c r="A35" s="82" t="b">
        <v>0</v>
      </c>
      <c r="B35" s="71" t="s">
        <v>28</v>
      </c>
      <c r="C35" s="9">
        <f>SUMIFS(Leche[N° LATAS], Leche[FECHA], "&gt;=" &amp; DATE(2026,12,1), Leche[FECHA], "&lt;=" &amp; DATE(2026,12,31), Leche[CONFIRMACIÓN], "")</f>
        <v>59938</v>
      </c>
      <c r="D35" s="9">
        <f t="shared" si="1"/>
        <v>1248</v>
      </c>
      <c r="E35" s="1">
        <f t="shared" si="2"/>
        <v>34</v>
      </c>
    </row>
    <row r="36" spans="1:14" x14ac:dyDescent="0.25">
      <c r="B36" s="83" t="s">
        <v>524</v>
      </c>
      <c r="C36" s="84">
        <f>A23*C23+A24*C24+A25*C25+A26*C26+A27*C27+A28*C28+A29*C29+A30*C30+A31*C31+A32*C32+A33*C33+A34*C34+A35*C35</f>
        <v>95451.95</v>
      </c>
      <c r="D36" s="84">
        <f t="shared" si="1"/>
        <v>1988</v>
      </c>
      <c r="E36" s="85">
        <f t="shared" si="2"/>
        <v>27.94999999999709</v>
      </c>
    </row>
  </sheetData>
  <mergeCells count="3">
    <mergeCell ref="M21:O21"/>
    <mergeCell ref="B21:E21"/>
    <mergeCell ref="B2:U2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57EB1B-3947-4D66-8208-70F597AAFF49}">
          <x14:formula1>
            <xm:f>Formulas!$B$2:$B$161</xm:f>
          </x14:formula1>
          <xm:sqref>M21:O21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C49D-FA7A-4F81-A753-F93B04DFA0C1}">
  <sheetPr codeName="Hoja9"/>
  <dimension ref="A1:T162"/>
  <sheetViews>
    <sheetView workbookViewId="0">
      <pane ySplit="1" topLeftCell="A131" activePane="bottomLeft" state="frozen"/>
      <selection activeCell="B1" sqref="B1"/>
      <selection pane="bottomLeft" activeCell="I159" sqref="I159"/>
    </sheetView>
  </sheetViews>
  <sheetFormatPr baseColWidth="10" defaultColWidth="10.7109375" defaultRowHeight="15" x14ac:dyDescent="0.25"/>
  <cols>
    <col min="2" max="2" width="21.7109375" bestFit="1" customWidth="1"/>
    <col min="3" max="6" width="11.42578125" style="22"/>
    <col min="7" max="7" width="10.7109375" style="22"/>
    <col min="8" max="19" width="11.42578125" style="22"/>
  </cols>
  <sheetData>
    <row r="1" spans="1:20" s="21" customFormat="1" ht="30" x14ac:dyDescent="0.25">
      <c r="B1" s="26" t="s">
        <v>519</v>
      </c>
      <c r="C1" s="25" t="s">
        <v>449</v>
      </c>
      <c r="D1" s="25" t="s">
        <v>450</v>
      </c>
      <c r="E1" s="25" t="s">
        <v>453</v>
      </c>
      <c r="F1" s="25" t="s">
        <v>460</v>
      </c>
      <c r="G1" s="25" t="s">
        <v>469</v>
      </c>
      <c r="H1" s="25" t="s">
        <v>520</v>
      </c>
      <c r="I1" s="25" t="s">
        <v>465</v>
      </c>
      <c r="J1" s="25" t="s">
        <v>455</v>
      </c>
      <c r="K1" s="25" t="s">
        <v>446</v>
      </c>
      <c r="L1" s="25" t="s">
        <v>478</v>
      </c>
      <c r="M1" s="25" t="s">
        <v>467</v>
      </c>
      <c r="N1" s="25" t="s">
        <v>480</v>
      </c>
      <c r="O1" s="25" t="s">
        <v>521</v>
      </c>
      <c r="P1" s="25" t="s">
        <v>490</v>
      </c>
      <c r="Q1" s="25" t="s">
        <v>475</v>
      </c>
      <c r="R1" s="25" t="s">
        <v>484</v>
      </c>
      <c r="S1" s="25" t="s">
        <v>462</v>
      </c>
      <c r="T1" s="25" t="s">
        <v>492</v>
      </c>
    </row>
    <row r="2" spans="1:20" x14ac:dyDescent="0.25">
      <c r="A2" s="74"/>
      <c r="B2" t="s">
        <v>15</v>
      </c>
      <c r="C2" s="22">
        <f>490/2450</f>
        <v>0.2</v>
      </c>
      <c r="D2" s="22">
        <f>1666/2450</f>
        <v>0.68</v>
      </c>
      <c r="E2" s="22">
        <f>98/2450</f>
        <v>0.04</v>
      </c>
      <c r="F2" s="22">
        <f>98/2450</f>
        <v>0.04</v>
      </c>
      <c r="I2" s="22">
        <f>98/2450</f>
        <v>0.04</v>
      </c>
    </row>
    <row r="3" spans="1:20" x14ac:dyDescent="0.25">
      <c r="A3" s="74"/>
      <c r="B3" t="s">
        <v>29</v>
      </c>
      <c r="C3" s="22">
        <f>80/400</f>
        <v>0.2</v>
      </c>
      <c r="D3" s="22">
        <f>128/400</f>
        <v>0.32</v>
      </c>
      <c r="E3" s="22">
        <f>16/400</f>
        <v>0.04</v>
      </c>
      <c r="I3" s="22">
        <f>20/400</f>
        <v>0.05</v>
      </c>
      <c r="K3" s="22">
        <f>156/400</f>
        <v>0.39</v>
      </c>
    </row>
    <row r="4" spans="1:20" x14ac:dyDescent="0.25">
      <c r="A4" s="74"/>
      <c r="B4" t="s">
        <v>32</v>
      </c>
      <c r="C4" s="22">
        <f>535/2970</f>
        <v>0.18013468013468015</v>
      </c>
      <c r="D4" s="22">
        <f>2227/2970</f>
        <v>0.74983164983164985</v>
      </c>
      <c r="E4" s="22">
        <f>208/2970</f>
        <v>7.0033670033670031E-2</v>
      </c>
    </row>
    <row r="5" spans="1:20" x14ac:dyDescent="0.25">
      <c r="A5" s="74"/>
      <c r="B5" t="s">
        <v>34</v>
      </c>
      <c r="C5" s="22">
        <f>280/1868</f>
        <v>0.14989293361884368</v>
      </c>
      <c r="D5" s="22">
        <f>709/1868</f>
        <v>0.37955032119914345</v>
      </c>
      <c r="E5" s="22">
        <f>75/1868</f>
        <v>4.0149892933618841E-2</v>
      </c>
      <c r="F5" s="22">
        <f>75/1868</f>
        <v>4.0149892933618841E-2</v>
      </c>
      <c r="I5" s="22">
        <f>75/1868</f>
        <v>4.0149892933618841E-2</v>
      </c>
      <c r="K5" s="22">
        <f>654/1868</f>
        <v>0.3501070663811563</v>
      </c>
    </row>
    <row r="6" spans="1:20" x14ac:dyDescent="0.25">
      <c r="A6" s="74"/>
      <c r="B6" t="s">
        <v>40</v>
      </c>
      <c r="C6" s="22">
        <f>1870/9350</f>
        <v>0.2</v>
      </c>
      <c r="D6" s="22">
        <f>6496/9350</f>
        <v>0.69475935828877</v>
      </c>
      <c r="E6" s="22">
        <f>328/9350</f>
        <v>3.5080213903743315E-2</v>
      </c>
      <c r="F6" s="22">
        <f>328/9350</f>
        <v>3.5080213903743315E-2</v>
      </c>
      <c r="I6" s="22">
        <f>328/9350</f>
        <v>3.5080213903743315E-2</v>
      </c>
    </row>
    <row r="7" spans="1:20" x14ac:dyDescent="0.25">
      <c r="A7" s="74"/>
      <c r="B7" t="s">
        <v>47</v>
      </c>
      <c r="C7" s="22">
        <f>80/400</f>
        <v>0.2</v>
      </c>
      <c r="D7" s="22">
        <f>276/400</f>
        <v>0.69</v>
      </c>
      <c r="E7" s="22">
        <f>24/400</f>
        <v>0.06</v>
      </c>
      <c r="I7" s="22">
        <f>20/400</f>
        <v>0.05</v>
      </c>
    </row>
    <row r="8" spans="1:20" x14ac:dyDescent="0.25">
      <c r="A8" s="74"/>
      <c r="B8" t="s">
        <v>49</v>
      </c>
      <c r="C8" s="22">
        <f>144/802</f>
        <v>0.17955112219451372</v>
      </c>
      <c r="D8" s="22">
        <f>269/802</f>
        <v>0.33541147132169574</v>
      </c>
      <c r="E8" s="22">
        <f>28/802</f>
        <v>3.4912718204488775E-2</v>
      </c>
      <c r="F8" s="22">
        <f>28/802</f>
        <v>3.4912718204488775E-2</v>
      </c>
      <c r="I8" s="22">
        <f>28/802</f>
        <v>3.4912718204488775E-2</v>
      </c>
      <c r="K8" s="22">
        <f>305/802</f>
        <v>0.38029925187032421</v>
      </c>
      <c r="T8" s="74"/>
    </row>
    <row r="9" spans="1:20" x14ac:dyDescent="0.25">
      <c r="A9" s="74"/>
      <c r="B9" t="s">
        <v>51</v>
      </c>
      <c r="C9" s="22">
        <f>75/400</f>
        <v>0.1875</v>
      </c>
      <c r="D9" s="22">
        <f>169/400</f>
        <v>0.42249999999999999</v>
      </c>
      <c r="E9" s="22">
        <f>16/400</f>
        <v>0.04</v>
      </c>
      <c r="K9" s="22">
        <f>140/400</f>
        <v>0.35</v>
      </c>
    </row>
    <row r="10" spans="1:20" x14ac:dyDescent="0.25">
      <c r="A10" s="74"/>
      <c r="B10" t="s">
        <v>53</v>
      </c>
      <c r="C10" s="22">
        <f>270/1350</f>
        <v>0.2</v>
      </c>
      <c r="D10" s="22">
        <f>958/1350</f>
        <v>0.70962962962962961</v>
      </c>
      <c r="E10" s="22">
        <f>68/1350</f>
        <v>5.0370370370370371E-2</v>
      </c>
      <c r="H10" s="22">
        <f>54/1350</f>
        <v>0.04</v>
      </c>
    </row>
    <row r="11" spans="1:20" x14ac:dyDescent="0.25">
      <c r="A11" s="74"/>
      <c r="B11" t="s">
        <v>55</v>
      </c>
      <c r="C11" s="22">
        <f>684/3420</f>
        <v>0.2</v>
      </c>
      <c r="D11" s="22">
        <f>2462/3420</f>
        <v>0.71988304093567257</v>
      </c>
      <c r="E11" s="22">
        <f>137/3420</f>
        <v>4.0058479532163745E-2</v>
      </c>
      <c r="H11" s="22">
        <f>137/3420</f>
        <v>4.0058479532163745E-2</v>
      </c>
    </row>
    <row r="12" spans="1:20" x14ac:dyDescent="0.25">
      <c r="A12" s="74"/>
      <c r="B12" t="s">
        <v>59</v>
      </c>
      <c r="C12" s="22">
        <v>0.14349999999999999</v>
      </c>
      <c r="D12" s="22">
        <v>0.42</v>
      </c>
      <c r="E12" s="22">
        <v>0.03</v>
      </c>
      <c r="F12" s="22">
        <v>2.8299999999999999E-2</v>
      </c>
      <c r="I12" s="22">
        <v>2.8299999999999999E-2</v>
      </c>
      <c r="K12" s="22">
        <v>0.35</v>
      </c>
      <c r="T12" s="74"/>
    </row>
    <row r="13" spans="1:20" x14ac:dyDescent="0.25">
      <c r="A13" s="74"/>
      <c r="B13" t="s">
        <v>61</v>
      </c>
      <c r="C13" s="22">
        <f>757/2914</f>
        <v>0.25978037062457104</v>
      </c>
      <c r="D13" s="22">
        <f>1953/2914</f>
        <v>0.67021276595744683</v>
      </c>
      <c r="E13" s="22">
        <f>204/2914</f>
        <v>7.0006863417982151E-2</v>
      </c>
      <c r="T13" s="74"/>
    </row>
    <row r="14" spans="1:20" x14ac:dyDescent="0.25">
      <c r="A14" s="74"/>
      <c r="B14" t="s">
        <v>63</v>
      </c>
      <c r="C14" s="22">
        <f>2184/9494</f>
        <v>0.23004002527912365</v>
      </c>
      <c r="D14" s="22">
        <f>6370/9494</f>
        <v>0.67095007373077731</v>
      </c>
      <c r="F14" s="22">
        <f>380/9494</f>
        <v>4.0025279123657047E-2</v>
      </c>
      <c r="J14" s="22">
        <f>550/9494</f>
        <v>5.7931325047398355E-2</v>
      </c>
      <c r="Q14" s="22">
        <v>1E-3</v>
      </c>
      <c r="T14" s="74"/>
    </row>
    <row r="15" spans="1:20" x14ac:dyDescent="0.25">
      <c r="A15" s="74"/>
      <c r="B15" t="s">
        <v>65</v>
      </c>
      <c r="C15" s="22">
        <f>16773/64510</f>
        <v>0.26000620058905594</v>
      </c>
      <c r="D15" s="22">
        <f>39351/64510</f>
        <v>0.60999844985273599</v>
      </c>
      <c r="E15" s="22">
        <f>3226/64510</f>
        <v>5.0007750736319953E-2</v>
      </c>
      <c r="H15" s="22">
        <f>2580/64510</f>
        <v>3.9993799410944039E-2</v>
      </c>
      <c r="I15" s="22">
        <f>2580/64510</f>
        <v>3.9993799410944039E-2</v>
      </c>
    </row>
    <row r="16" spans="1:20" x14ac:dyDescent="0.25">
      <c r="A16" s="74"/>
      <c r="B16" t="s">
        <v>68</v>
      </c>
      <c r="C16" s="22">
        <f>2235/8930</f>
        <v>0.25027995520716684</v>
      </c>
      <c r="D16" s="22">
        <f>5089/8930</f>
        <v>0.56987681970884663</v>
      </c>
      <c r="E16" s="22">
        <f>535/8930</f>
        <v>5.9910414333706606E-2</v>
      </c>
      <c r="F16" s="22">
        <f>357/8930</f>
        <v>3.9977603583426655E-2</v>
      </c>
      <c r="H16" s="22">
        <f>357/8930</f>
        <v>3.9977603583426655E-2</v>
      </c>
      <c r="I16" s="22">
        <f>357/8930</f>
        <v>3.9977603583426655E-2</v>
      </c>
    </row>
    <row r="17" spans="1:20" x14ac:dyDescent="0.25">
      <c r="A17" s="74"/>
      <c r="B17" t="s">
        <v>69</v>
      </c>
      <c r="C17" s="22">
        <f>4394/16900</f>
        <v>0.26</v>
      </c>
      <c r="D17" s="22">
        <f>10731/16900</f>
        <v>0.63497041420118339</v>
      </c>
      <c r="E17" s="22">
        <f>1014/16900</f>
        <v>0.06</v>
      </c>
      <c r="H17" s="22">
        <f>761/16900</f>
        <v>4.5029585798816565E-2</v>
      </c>
    </row>
    <row r="18" spans="1:20" x14ac:dyDescent="0.25">
      <c r="A18" s="74"/>
      <c r="B18" t="s">
        <v>71</v>
      </c>
      <c r="C18" s="22">
        <f>80/400</f>
        <v>0.2</v>
      </c>
      <c r="D18" s="22">
        <f>276/400</f>
        <v>0.69</v>
      </c>
      <c r="E18" s="22">
        <f>24/400</f>
        <v>0.06</v>
      </c>
      <c r="I18" s="22">
        <f>20/400</f>
        <v>0.05</v>
      </c>
    </row>
    <row r="19" spans="1:20" x14ac:dyDescent="0.25">
      <c r="A19" s="74"/>
      <c r="B19" t="s">
        <v>73</v>
      </c>
      <c r="C19" s="22">
        <f>376/400</f>
        <v>0.94</v>
      </c>
      <c r="E19" s="22">
        <f>24/400</f>
        <v>0.06</v>
      </c>
    </row>
    <row r="20" spans="1:20" x14ac:dyDescent="0.25">
      <c r="A20" s="74"/>
      <c r="B20" t="s">
        <v>75</v>
      </c>
      <c r="C20" s="22">
        <f>289/1607</f>
        <v>0.17983820784069696</v>
      </c>
      <c r="D20" s="22">
        <f>1037/1607</f>
        <v>0.64530180460485376</v>
      </c>
      <c r="E20" s="22">
        <f>64/1607</f>
        <v>3.9825762289981331E-2</v>
      </c>
      <c r="F20" s="22">
        <f>64/1607</f>
        <v>3.9825762289981331E-2</v>
      </c>
      <c r="I20" s="22">
        <f>64/1607</f>
        <v>3.9825762289981331E-2</v>
      </c>
      <c r="J20" s="22">
        <f>89/1607</f>
        <v>5.5382700684505293E-2</v>
      </c>
      <c r="Q20" s="22">
        <v>1E-3</v>
      </c>
      <c r="T20" s="74"/>
    </row>
    <row r="21" spans="1:20" x14ac:dyDescent="0.25">
      <c r="A21" s="74"/>
      <c r="B21" t="s">
        <v>77</v>
      </c>
      <c r="C21" s="22">
        <f>60/400</f>
        <v>0.15</v>
      </c>
      <c r="D21" s="22">
        <f>170/400</f>
        <v>0.42499999999999999</v>
      </c>
      <c r="E21" s="22">
        <f>16/400</f>
        <v>0.04</v>
      </c>
      <c r="F21" s="22">
        <f>16/400</f>
        <v>0.04</v>
      </c>
      <c r="I21" s="22">
        <f>16/400</f>
        <v>0.04</v>
      </c>
      <c r="J21" s="22">
        <f>22/400</f>
        <v>5.5E-2</v>
      </c>
      <c r="K21" s="22">
        <f>100/400</f>
        <v>0.25</v>
      </c>
      <c r="Q21" s="22">
        <v>1E-3</v>
      </c>
    </row>
    <row r="22" spans="1:20" x14ac:dyDescent="0.25">
      <c r="A22" s="74"/>
      <c r="B22" t="s">
        <v>80</v>
      </c>
      <c r="C22" s="22">
        <f>318/1590</f>
        <v>0.2</v>
      </c>
      <c r="D22" s="22">
        <f>1080/1590</f>
        <v>0.67924528301886788</v>
      </c>
      <c r="E22" s="22">
        <f>96/1590</f>
        <v>6.0377358490566038E-2</v>
      </c>
      <c r="F22" s="22">
        <f>96/1590</f>
        <v>6.0377358490566038E-2</v>
      </c>
    </row>
    <row r="23" spans="1:20" x14ac:dyDescent="0.25">
      <c r="A23" s="74"/>
      <c r="B23" t="s">
        <v>82</v>
      </c>
      <c r="C23" s="22">
        <v>0.19040000000000001</v>
      </c>
      <c r="D23" s="22">
        <v>0.75</v>
      </c>
      <c r="E23" s="22">
        <v>5.96E-2</v>
      </c>
    </row>
    <row r="24" spans="1:20" x14ac:dyDescent="0.25">
      <c r="A24" s="74"/>
      <c r="B24" t="s">
        <v>84</v>
      </c>
      <c r="C24" s="22">
        <f>401/2867</f>
        <v>0.13986745727241018</v>
      </c>
      <c r="D24" s="22">
        <f>1204/2867</f>
        <v>0.41995116846878272</v>
      </c>
      <c r="E24" s="22">
        <f>172/2867</f>
        <v>5.9993024066968957E-2</v>
      </c>
      <c r="F24" s="22">
        <f>115/2867</f>
        <v>4.0111614928496686E-2</v>
      </c>
      <c r="I24" s="22">
        <f>115/2867</f>
        <v>4.0111614928496686E-2</v>
      </c>
      <c r="K24" s="22">
        <f>860/2867</f>
        <v>0.29996512033484479</v>
      </c>
    </row>
    <row r="25" spans="1:20" x14ac:dyDescent="0.25">
      <c r="A25" s="74"/>
      <c r="B25" t="s">
        <v>86</v>
      </c>
      <c r="C25" s="22">
        <v>0.21479999999999999</v>
      </c>
      <c r="D25" s="22">
        <v>0.67569999999999997</v>
      </c>
      <c r="E25" s="22">
        <v>2.9899999999999999E-2</v>
      </c>
      <c r="F25" s="22">
        <v>3.9800000000000002E-2</v>
      </c>
      <c r="I25" s="22">
        <v>3.9800000000000002E-2</v>
      </c>
      <c r="T25" s="74"/>
    </row>
    <row r="26" spans="1:20" x14ac:dyDescent="0.25">
      <c r="A26" s="74"/>
      <c r="B26" t="s">
        <v>88</v>
      </c>
      <c r="C26" s="22">
        <f>460/4385</f>
        <v>0.10490307867730901</v>
      </c>
      <c r="D26" s="22">
        <f>1821/4385</f>
        <v>0.4152793614595211</v>
      </c>
      <c r="E26" s="22">
        <f>263/4385</f>
        <v>5.9977194982896234E-2</v>
      </c>
      <c r="F26" s="22">
        <f>175/4385</f>
        <v>3.9908779931584946E-2</v>
      </c>
      <c r="K26" s="22">
        <f>1666/4385</f>
        <v>0.37993158494868873</v>
      </c>
    </row>
    <row r="27" spans="1:20" x14ac:dyDescent="0.25">
      <c r="A27" s="74"/>
      <c r="B27" t="s">
        <v>91</v>
      </c>
      <c r="C27" s="22">
        <f>8592/30685</f>
        <v>0.28000651784259412</v>
      </c>
      <c r="D27" s="22">
        <f>18411/30685</f>
        <v>0.6</v>
      </c>
      <c r="E27" s="22">
        <f>1841/30685</f>
        <v>5.9996741078702946E-2</v>
      </c>
      <c r="I27" s="22">
        <f>1841/30685</f>
        <v>5.9996741078702946E-2</v>
      </c>
      <c r="T27" s="74"/>
    </row>
    <row r="28" spans="1:20" x14ac:dyDescent="0.25">
      <c r="A28" s="74"/>
      <c r="B28" t="s">
        <v>96</v>
      </c>
      <c r="C28" s="22">
        <v>0.26</v>
      </c>
      <c r="D28" s="22">
        <v>0.65</v>
      </c>
      <c r="E28" s="22">
        <f>358/8952</f>
        <v>3.9991063449508486E-2</v>
      </c>
      <c r="I28" s="22">
        <v>0.05</v>
      </c>
    </row>
    <row r="29" spans="1:20" x14ac:dyDescent="0.25">
      <c r="A29" s="74"/>
      <c r="B29" t="s">
        <v>98</v>
      </c>
      <c r="C29" s="22">
        <f>466/2331</f>
        <v>0.19991419991419992</v>
      </c>
      <c r="D29" s="22">
        <f>1586/2331</f>
        <v>0.68039468039468043</v>
      </c>
      <c r="E29" s="22">
        <f>93/2331</f>
        <v>3.9897039897039896E-2</v>
      </c>
      <c r="F29" s="22">
        <f>93/2331</f>
        <v>3.9897039897039896E-2</v>
      </c>
      <c r="I29" s="22">
        <f>93/2331</f>
        <v>3.9897039897039896E-2</v>
      </c>
    </row>
    <row r="30" spans="1:20" x14ac:dyDescent="0.25">
      <c r="A30" s="74"/>
      <c r="B30" t="s">
        <v>101</v>
      </c>
      <c r="C30" s="22">
        <f>95/476</f>
        <v>0.19957983193277312</v>
      </c>
      <c r="D30" s="22">
        <f>331/476</f>
        <v>0.69537815126050417</v>
      </c>
      <c r="E30" s="22">
        <f>26/476</f>
        <v>5.4621848739495799E-2</v>
      </c>
      <c r="I30" s="22">
        <f>24/476</f>
        <v>5.0420168067226892E-2</v>
      </c>
    </row>
    <row r="31" spans="1:20" x14ac:dyDescent="0.25">
      <c r="A31" s="74"/>
      <c r="B31" t="s">
        <v>103</v>
      </c>
      <c r="C31" s="22">
        <f>80/400</f>
        <v>0.2</v>
      </c>
      <c r="D31" s="22">
        <f>274/400</f>
        <v>0.68500000000000005</v>
      </c>
      <c r="E31" s="22">
        <f>14/400</f>
        <v>3.5000000000000003E-2</v>
      </c>
      <c r="F31" s="22">
        <f>16/400</f>
        <v>0.04</v>
      </c>
      <c r="I31" s="22">
        <f>16/400</f>
        <v>0.04</v>
      </c>
    </row>
    <row r="32" spans="1:20" x14ac:dyDescent="0.25">
      <c r="A32" s="74"/>
      <c r="B32" t="s">
        <v>105</v>
      </c>
      <c r="C32" s="22">
        <v>0.15</v>
      </c>
      <c r="D32" s="22">
        <v>0.73</v>
      </c>
      <c r="E32" s="22">
        <v>0.04</v>
      </c>
      <c r="F32" s="22">
        <v>0.04</v>
      </c>
      <c r="I32" s="22">
        <v>0.04</v>
      </c>
    </row>
    <row r="33" spans="1:20" x14ac:dyDescent="0.25">
      <c r="A33" s="74"/>
      <c r="B33" t="s">
        <v>107</v>
      </c>
      <c r="C33" s="22">
        <f>189/1673</f>
        <v>0.11297071129707113</v>
      </c>
      <c r="D33" s="22">
        <f>705/1673</f>
        <v>0.42139868499701133</v>
      </c>
      <c r="E33" s="22">
        <f>59/1673</f>
        <v>3.5265989240884636E-2</v>
      </c>
      <c r="F33" s="22">
        <f>67/1673</f>
        <v>4.0047818290496112E-2</v>
      </c>
      <c r="I33" s="22">
        <f>67/1673</f>
        <v>4.0047818290496112E-2</v>
      </c>
      <c r="K33" s="22">
        <f>586/1673</f>
        <v>0.35026897788404066</v>
      </c>
    </row>
    <row r="34" spans="1:20" x14ac:dyDescent="0.25">
      <c r="A34" s="74"/>
      <c r="B34" t="s">
        <v>109</v>
      </c>
      <c r="C34" s="22">
        <f>50/400</f>
        <v>0.125</v>
      </c>
      <c r="D34" s="22">
        <f>314/400</f>
        <v>0.78500000000000003</v>
      </c>
      <c r="F34" s="22">
        <f>18/400</f>
        <v>4.4999999999999998E-2</v>
      </c>
      <c r="I34" s="22">
        <f>18/400</f>
        <v>4.4999999999999998E-2</v>
      </c>
    </row>
    <row r="35" spans="1:20" x14ac:dyDescent="0.25">
      <c r="A35" s="74"/>
      <c r="B35" t="s">
        <v>111</v>
      </c>
      <c r="C35" s="22">
        <f>221/1107</f>
        <v>0.19963866305329719</v>
      </c>
      <c r="D35" s="22">
        <f>765/1107</f>
        <v>0.69105691056910568</v>
      </c>
      <c r="E35" s="22">
        <f>44/1107</f>
        <v>3.9747064137308039E-2</v>
      </c>
      <c r="H35" s="22">
        <f>33/1107</f>
        <v>2.9810298102981029E-2</v>
      </c>
      <c r="I35" s="22">
        <f>44/1107</f>
        <v>3.9747064137308039E-2</v>
      </c>
    </row>
    <row r="36" spans="1:20" x14ac:dyDescent="0.25">
      <c r="A36" s="74"/>
      <c r="B36" t="s">
        <v>114</v>
      </c>
      <c r="C36" s="22">
        <f>80/400</f>
        <v>0.2</v>
      </c>
      <c r="D36" s="22">
        <f>272/400</f>
        <v>0.68</v>
      </c>
      <c r="E36" s="22">
        <f>16/400</f>
        <v>0.04</v>
      </c>
      <c r="F36" s="22">
        <f>16/400</f>
        <v>0.04</v>
      </c>
      <c r="I36" s="22">
        <f>16/400</f>
        <v>0.04</v>
      </c>
      <c r="T36" s="74"/>
    </row>
    <row r="37" spans="1:20" x14ac:dyDescent="0.25">
      <c r="A37" s="74"/>
      <c r="B37" t="s">
        <v>116</v>
      </c>
      <c r="C37" s="22">
        <f>384/1922</f>
        <v>0.19979188345473464</v>
      </c>
      <c r="D37" s="22">
        <f>1307/1922</f>
        <v>0.68002081165452655</v>
      </c>
      <c r="E37" s="22">
        <f>77/1922</f>
        <v>4.0062434963579606E-2</v>
      </c>
      <c r="F37" s="22">
        <f>77/1922</f>
        <v>4.0062434963579606E-2</v>
      </c>
      <c r="I37" s="22">
        <f>77/1922</f>
        <v>4.0062434963579606E-2</v>
      </c>
    </row>
    <row r="38" spans="1:20" x14ac:dyDescent="0.25">
      <c r="A38" s="74"/>
      <c r="B38" t="s">
        <v>118</v>
      </c>
      <c r="C38" s="22">
        <f>187.5/400</f>
        <v>0.46875</v>
      </c>
      <c r="D38" s="22">
        <f>187.5/400</f>
        <v>0.46875</v>
      </c>
      <c r="E38" s="22">
        <f>24/400</f>
        <v>0.06</v>
      </c>
      <c r="R38" s="22">
        <v>1E-3</v>
      </c>
    </row>
    <row r="39" spans="1:20" x14ac:dyDescent="0.25">
      <c r="A39" s="74"/>
      <c r="B39" t="s">
        <v>120</v>
      </c>
      <c r="C39" s="22">
        <f>524/3803</f>
        <v>0.13778595845385222</v>
      </c>
      <c r="D39" s="22">
        <f>1607/3803</f>
        <v>0.42256113594530631</v>
      </c>
      <c r="E39" s="22">
        <f>171/3803</f>
        <v>4.4964501709176964E-2</v>
      </c>
      <c r="F39" s="22">
        <f>85/3803</f>
        <v>2.235077570339206E-2</v>
      </c>
      <c r="I39" s="22">
        <f>85/3803</f>
        <v>2.235077570339206E-2</v>
      </c>
      <c r="K39" s="22">
        <f>1331/3803</f>
        <v>0.34998685248488037</v>
      </c>
      <c r="T39" s="74"/>
    </row>
    <row r="40" spans="1:20" x14ac:dyDescent="0.25">
      <c r="A40" s="74"/>
      <c r="B40" t="s">
        <v>123</v>
      </c>
      <c r="C40" s="22">
        <f>118/1005</f>
        <v>0.11741293532338308</v>
      </c>
      <c r="D40" s="22">
        <f>405/1005</f>
        <v>0.40298507462686567</v>
      </c>
      <c r="E40" s="22">
        <f>50/1005</f>
        <v>4.975124378109453E-2</v>
      </c>
      <c r="F40" s="22">
        <f>50/1005</f>
        <v>4.975124378109453E-2</v>
      </c>
      <c r="K40" s="22">
        <f>382/1005</f>
        <v>0.38009950248756219</v>
      </c>
      <c r="T40" s="74"/>
    </row>
    <row r="41" spans="1:20" x14ac:dyDescent="0.25">
      <c r="A41" s="74"/>
      <c r="B41" t="s">
        <v>127</v>
      </c>
      <c r="C41" s="22">
        <f>1301/5540</f>
        <v>0.2348375451263538</v>
      </c>
      <c r="D41" s="22">
        <f>3601/5540</f>
        <v>0.65</v>
      </c>
      <c r="E41" s="22">
        <f>194/5540</f>
        <v>3.5018050541516244E-2</v>
      </c>
      <c r="F41" s="22">
        <f>222/5540</f>
        <v>4.0072202166064982E-2</v>
      </c>
      <c r="I41" s="22">
        <f>222/5540</f>
        <v>4.0072202166064982E-2</v>
      </c>
      <c r="T41" s="74"/>
    </row>
    <row r="42" spans="1:20" x14ac:dyDescent="0.25">
      <c r="A42" s="74"/>
      <c r="B42" t="s">
        <v>129</v>
      </c>
      <c r="C42" s="22">
        <f>662/3312</f>
        <v>0.1998792270531401</v>
      </c>
      <c r="D42" s="22">
        <f>2254/3312</f>
        <v>0.68055555555555558</v>
      </c>
      <c r="E42" s="22">
        <f>132/3312</f>
        <v>3.9855072463768113E-2</v>
      </c>
      <c r="H42" s="22">
        <f>132/3312</f>
        <v>3.9855072463768113E-2</v>
      </c>
      <c r="I42" s="22">
        <f>132/3312</f>
        <v>3.9855072463768113E-2</v>
      </c>
    </row>
    <row r="43" spans="1:20" x14ac:dyDescent="0.25">
      <c r="A43" s="74"/>
      <c r="B43" t="s">
        <v>133</v>
      </c>
      <c r="C43" s="22">
        <f>4200/21000</f>
        <v>0.2</v>
      </c>
      <c r="D43" s="22">
        <f>14920/21000</f>
        <v>0.71047619047619048</v>
      </c>
      <c r="E43" s="22">
        <f>840/21000</f>
        <v>0.04</v>
      </c>
      <c r="I43" s="22">
        <f>840/21000</f>
        <v>0.04</v>
      </c>
      <c r="N43" s="22">
        <f>200/21000</f>
        <v>9.5238095238095247E-3</v>
      </c>
    </row>
    <row r="44" spans="1:20" x14ac:dyDescent="0.25">
      <c r="A44" s="74"/>
      <c r="B44" t="s">
        <v>135</v>
      </c>
      <c r="C44" s="22">
        <f>24/120</f>
        <v>0.2</v>
      </c>
      <c r="D44" s="22">
        <f>96/120</f>
        <v>0.8</v>
      </c>
    </row>
    <row r="45" spans="1:20" x14ac:dyDescent="0.25">
      <c r="A45" s="74"/>
      <c r="B45" t="s">
        <v>136</v>
      </c>
      <c r="C45" s="22">
        <f>157/336</f>
        <v>0.46726190476190477</v>
      </c>
      <c r="D45" s="22">
        <f>156/336</f>
        <v>0.4642857142857143</v>
      </c>
      <c r="E45" s="22">
        <f>19/336</f>
        <v>5.6547619047619048E-2</v>
      </c>
      <c r="R45" s="22">
        <f>4/336</f>
        <v>1.1904761904761904E-2</v>
      </c>
    </row>
    <row r="46" spans="1:20" x14ac:dyDescent="0.25">
      <c r="A46" s="74"/>
      <c r="B46" t="s">
        <v>137</v>
      </c>
      <c r="C46" s="22">
        <f>208/1039</f>
        <v>0.20019249278152068</v>
      </c>
      <c r="D46" s="22">
        <f>700/1039</f>
        <v>0.67372473532242538</v>
      </c>
      <c r="E46" s="22">
        <f>51/1039</f>
        <v>4.9085659287776709E-2</v>
      </c>
      <c r="F46" s="22">
        <f>40/1039</f>
        <v>3.8498556304138593E-2</v>
      </c>
      <c r="I46" s="22">
        <f>40/1039</f>
        <v>3.8498556304138593E-2</v>
      </c>
    </row>
    <row r="47" spans="1:20" x14ac:dyDescent="0.25">
      <c r="A47" s="74"/>
      <c r="B47" t="s">
        <v>138</v>
      </c>
      <c r="C47" s="22">
        <f>36/180</f>
        <v>0.2</v>
      </c>
      <c r="D47" s="22">
        <f>135/180</f>
        <v>0.75</v>
      </c>
      <c r="E47" s="22">
        <f>9/180</f>
        <v>0.05</v>
      </c>
    </row>
    <row r="48" spans="1:20" x14ac:dyDescent="0.25">
      <c r="A48" s="74"/>
      <c r="B48" t="s">
        <v>139</v>
      </c>
      <c r="C48" s="22">
        <f>119/790</f>
        <v>0.15063291139240506</v>
      </c>
      <c r="D48" s="22">
        <f>332/790</f>
        <v>0.42025316455696204</v>
      </c>
      <c r="E48" s="22">
        <f>31/790</f>
        <v>3.9240506329113925E-2</v>
      </c>
      <c r="I48" s="22">
        <f>31/790</f>
        <v>3.9240506329113925E-2</v>
      </c>
      <c r="K48" s="22">
        <f>277/790</f>
        <v>0.35063291139240504</v>
      </c>
    </row>
    <row r="49" spans="1:20" x14ac:dyDescent="0.25">
      <c r="A49" s="74"/>
      <c r="B49" t="s">
        <v>140</v>
      </c>
      <c r="C49" s="22">
        <f>95/476</f>
        <v>0.19957983193277312</v>
      </c>
      <c r="D49" s="22">
        <f>343/476</f>
        <v>0.72058823529411764</v>
      </c>
      <c r="E49" s="22">
        <f>17/476</f>
        <v>3.5714285714285712E-2</v>
      </c>
      <c r="I49" s="22">
        <f>21/476</f>
        <v>4.4117647058823532E-2</v>
      </c>
    </row>
    <row r="50" spans="1:20" x14ac:dyDescent="0.25">
      <c r="A50" s="74"/>
      <c r="B50" t="s">
        <v>141</v>
      </c>
      <c r="C50" s="22">
        <f>423/2117</f>
        <v>0.19981105337742089</v>
      </c>
      <c r="D50" s="22">
        <f>1567/2117</f>
        <v>0.74019839395370812</v>
      </c>
      <c r="E50" s="22">
        <f>127/2117</f>
        <v>5.9990552668871044E-2</v>
      </c>
    </row>
    <row r="51" spans="1:20" x14ac:dyDescent="0.25">
      <c r="A51" s="74"/>
      <c r="B51" t="s">
        <v>143</v>
      </c>
      <c r="C51" s="22">
        <f>80/400</f>
        <v>0.2</v>
      </c>
      <c r="D51" s="22">
        <f>266/400</f>
        <v>0.66500000000000004</v>
      </c>
      <c r="E51" s="22">
        <f>18/400</f>
        <v>4.4999999999999998E-2</v>
      </c>
      <c r="F51" s="22">
        <f>18/400</f>
        <v>4.4999999999999998E-2</v>
      </c>
      <c r="I51" s="22">
        <f>18/400</f>
        <v>4.4999999999999998E-2</v>
      </c>
    </row>
    <row r="52" spans="1:20" x14ac:dyDescent="0.25">
      <c r="A52" s="74"/>
      <c r="B52" t="s">
        <v>145</v>
      </c>
      <c r="C52" s="22">
        <f>21.4/400</f>
        <v>5.3499999999999999E-2</v>
      </c>
      <c r="D52" s="22">
        <f>166.1/400</f>
        <v>0.41525000000000001</v>
      </c>
      <c r="E52" s="22">
        <f>20/400</f>
        <v>0.05</v>
      </c>
      <c r="I52" s="22">
        <f>16/400</f>
        <v>0.04</v>
      </c>
      <c r="J52" s="22">
        <f>24/400</f>
        <v>0.06</v>
      </c>
      <c r="K52" s="22">
        <f>152/400</f>
        <v>0.38</v>
      </c>
      <c r="Q52" s="22">
        <f>0.4/400</f>
        <v>1E-3</v>
      </c>
      <c r="T52" s="74"/>
    </row>
    <row r="53" spans="1:20" x14ac:dyDescent="0.25">
      <c r="A53" s="74"/>
      <c r="B53" t="s">
        <v>147</v>
      </c>
      <c r="C53" s="22">
        <v>0.19980000000000001</v>
      </c>
      <c r="D53" s="22">
        <v>0.66090000000000004</v>
      </c>
      <c r="E53" s="22">
        <v>3.9699999999999999E-2</v>
      </c>
      <c r="I53" s="22">
        <v>3.9699999999999999E-2</v>
      </c>
      <c r="J53" s="22">
        <v>5.9900000000000002E-2</v>
      </c>
      <c r="Q53" s="22">
        <v>1E-3</v>
      </c>
      <c r="T53" s="74"/>
    </row>
    <row r="54" spans="1:20" x14ac:dyDescent="0.25">
      <c r="A54" s="74"/>
      <c r="B54" t="s">
        <v>149</v>
      </c>
      <c r="C54" s="22">
        <f>574/2866</f>
        <v>0.20027913468248429</v>
      </c>
      <c r="D54" s="22">
        <f>1965/2866</f>
        <v>0.68562456385205861</v>
      </c>
      <c r="E54" s="22">
        <f>109/2866</f>
        <v>3.8032100488485696E-2</v>
      </c>
      <c r="F54" s="22">
        <f>109/2866</f>
        <v>3.8032100488485696E-2</v>
      </c>
      <c r="I54" s="22">
        <f>109/2866</f>
        <v>3.8032100488485696E-2</v>
      </c>
    </row>
    <row r="55" spans="1:20" x14ac:dyDescent="0.25">
      <c r="A55" s="74"/>
      <c r="B55" t="s">
        <v>151</v>
      </c>
      <c r="C55" s="22">
        <f>2362/11808</f>
        <v>0.20003387533875339</v>
      </c>
      <c r="D55" s="22">
        <f>7731/11808</f>
        <v>0.65472560975609762</v>
      </c>
      <c r="E55" s="22">
        <f>355/11808</f>
        <v>3.0064363143631437E-2</v>
      </c>
      <c r="F55" s="22">
        <f>355/11808</f>
        <v>3.0064363143631437E-2</v>
      </c>
      <c r="I55" s="22">
        <f>355/11808</f>
        <v>3.0064363143631437E-2</v>
      </c>
      <c r="J55" s="22">
        <f>650/11808</f>
        <v>5.5047425474254744E-2</v>
      </c>
      <c r="Q55" s="22">
        <v>1E-3</v>
      </c>
    </row>
    <row r="56" spans="1:20" x14ac:dyDescent="0.25">
      <c r="A56" s="74"/>
      <c r="B56" t="s">
        <v>153</v>
      </c>
      <c r="C56" s="22">
        <f>576/4607</f>
        <v>0.12502713262426743</v>
      </c>
      <c r="D56" s="22">
        <f>1705/4607</f>
        <v>0.37008899500759712</v>
      </c>
      <c r="E56" s="22">
        <f>207/4607</f>
        <v>4.4931625786846105E-2</v>
      </c>
      <c r="F56" s="22">
        <f>207/4607</f>
        <v>4.4931625786846105E-2</v>
      </c>
      <c r="I56" s="22">
        <f>207/4607</f>
        <v>4.4931625786846105E-2</v>
      </c>
      <c r="K56" s="22">
        <f>1705/4607</f>
        <v>0.37008899500759712</v>
      </c>
      <c r="T56" s="74"/>
    </row>
    <row r="57" spans="1:20" x14ac:dyDescent="0.25">
      <c r="A57" s="74"/>
      <c r="B57" t="s">
        <v>155</v>
      </c>
      <c r="C57" s="22">
        <f>483/2416</f>
        <v>0.19991721854304637</v>
      </c>
      <c r="D57" s="22">
        <f>1645/2416</f>
        <v>0.68087748344370858</v>
      </c>
      <c r="E57" s="22">
        <f>96/2416</f>
        <v>3.9735099337748346E-2</v>
      </c>
      <c r="F57" s="22">
        <f>96/2416</f>
        <v>3.9735099337748346E-2</v>
      </c>
      <c r="I57" s="22">
        <f>96/2416</f>
        <v>3.9735099337748346E-2</v>
      </c>
    </row>
    <row r="58" spans="1:20" x14ac:dyDescent="0.25">
      <c r="A58" s="74"/>
      <c r="B58" t="s">
        <v>157</v>
      </c>
      <c r="C58" s="22">
        <v>0.47</v>
      </c>
      <c r="D58" s="22">
        <v>0.47</v>
      </c>
      <c r="E58" s="22">
        <v>5.5E-2</v>
      </c>
      <c r="R58" s="22">
        <v>1.4E-3</v>
      </c>
    </row>
    <row r="59" spans="1:20" x14ac:dyDescent="0.25">
      <c r="A59" s="74"/>
      <c r="B59" t="s">
        <v>159</v>
      </c>
      <c r="C59" s="22">
        <f>533/2664</f>
        <v>0.20007507507507508</v>
      </c>
      <c r="D59" s="22">
        <f>1944/2664</f>
        <v>0.72972972972972971</v>
      </c>
      <c r="E59" s="22">
        <f>133/2664</f>
        <v>4.9924924924924924E-2</v>
      </c>
      <c r="I59" s="22">
        <f>54/2664</f>
        <v>2.0270270270270271E-2</v>
      </c>
      <c r="T59" s="74"/>
    </row>
    <row r="60" spans="1:20" x14ac:dyDescent="0.25">
      <c r="A60" s="74"/>
      <c r="B60" t="s">
        <v>161</v>
      </c>
      <c r="C60" s="22">
        <f>2224/11119</f>
        <v>0.20001798722906736</v>
      </c>
      <c r="D60" s="22">
        <f>8105/11119</f>
        <v>0.72893245795485206</v>
      </c>
      <c r="E60" s="22">
        <f>334/11119</f>
        <v>3.0038672542494829E-2</v>
      </c>
      <c r="H60" s="22">
        <f>444/11119</f>
        <v>3.9931648529544027E-2</v>
      </c>
      <c r="R60" s="22">
        <f>2/1892</f>
        <v>1.0570824524312897E-3</v>
      </c>
    </row>
    <row r="61" spans="1:20" x14ac:dyDescent="0.25">
      <c r="A61" s="74"/>
      <c r="B61" t="s">
        <v>163</v>
      </c>
      <c r="C61" s="22">
        <f>148/1378</f>
        <v>0.10740203193033382</v>
      </c>
      <c r="D61" s="22">
        <f>582/1378</f>
        <v>0.4223512336719884</v>
      </c>
      <c r="E61" s="22">
        <f>55/1378</f>
        <v>3.991291727140784E-2</v>
      </c>
      <c r="F61" s="22">
        <f>55/1378</f>
        <v>3.991291727140784E-2</v>
      </c>
      <c r="I61" s="22">
        <f>55/1378</f>
        <v>3.991291727140784E-2</v>
      </c>
      <c r="K61" s="22">
        <f>483/1378</f>
        <v>0.35050798258345428</v>
      </c>
      <c r="T61" s="74"/>
    </row>
    <row r="62" spans="1:20" x14ac:dyDescent="0.25">
      <c r="A62" s="74"/>
      <c r="B62" t="s">
        <v>166</v>
      </c>
      <c r="K62" s="22">
        <v>1</v>
      </c>
    </row>
    <row r="63" spans="1:20" x14ac:dyDescent="0.25">
      <c r="A63" s="74"/>
      <c r="B63" t="s">
        <v>168</v>
      </c>
      <c r="C63" s="22">
        <f>80/400</f>
        <v>0.2</v>
      </c>
      <c r="D63" s="22">
        <f>300/400</f>
        <v>0.75</v>
      </c>
      <c r="E63" s="22">
        <f>20/400</f>
        <v>0.05</v>
      </c>
    </row>
    <row r="64" spans="1:20" x14ac:dyDescent="0.25">
      <c r="A64" s="74"/>
      <c r="B64" t="s">
        <v>170</v>
      </c>
      <c r="C64" s="22">
        <f>34.2/400</f>
        <v>8.5500000000000007E-2</v>
      </c>
      <c r="D64" s="22">
        <f>168.7/400</f>
        <v>0.42174999999999996</v>
      </c>
      <c r="F64" s="22">
        <f>15.4/400</f>
        <v>3.85E-2</v>
      </c>
      <c r="I64" s="22">
        <f>15.4/400</f>
        <v>3.85E-2</v>
      </c>
      <c r="J64" s="22">
        <f>25.8/400</f>
        <v>6.4500000000000002E-2</v>
      </c>
      <c r="K64" s="22">
        <f>140.4/400</f>
        <v>0.35100000000000003</v>
      </c>
      <c r="Q64" s="22">
        <v>1E-3</v>
      </c>
    </row>
    <row r="65" spans="1:20" x14ac:dyDescent="0.25">
      <c r="A65" s="74"/>
      <c r="B65" t="s">
        <v>172</v>
      </c>
      <c r="C65" s="22">
        <v>0.2</v>
      </c>
      <c r="D65" s="22">
        <v>0.72</v>
      </c>
      <c r="E65" s="22">
        <v>0.04</v>
      </c>
      <c r="I65" s="22">
        <v>0.04</v>
      </c>
    </row>
    <row r="66" spans="1:20" x14ac:dyDescent="0.25">
      <c r="A66" s="74"/>
      <c r="B66" t="s">
        <v>180</v>
      </c>
      <c r="C66" s="22">
        <v>0.47222222222222199</v>
      </c>
      <c r="D66" s="22">
        <v>0.47222222222222199</v>
      </c>
      <c r="I66" s="22">
        <f>20/360</f>
        <v>5.5555555555555552E-2</v>
      </c>
    </row>
    <row r="67" spans="1:20" x14ac:dyDescent="0.25">
      <c r="A67" s="74"/>
      <c r="B67" t="s">
        <v>181</v>
      </c>
      <c r="C67" s="22">
        <f>45/228</f>
        <v>0.19736842105263158</v>
      </c>
      <c r="D67" s="22">
        <f>155/228</f>
        <v>0.67982456140350878</v>
      </c>
      <c r="E67" s="22">
        <f>10/228</f>
        <v>4.3859649122807015E-2</v>
      </c>
      <c r="F67" s="22">
        <f>9/228</f>
        <v>3.9473684210526314E-2</v>
      </c>
      <c r="I67" s="22">
        <f>9/228</f>
        <v>3.9473684210526314E-2</v>
      </c>
      <c r="R67" s="22">
        <v>1E-3</v>
      </c>
    </row>
    <row r="68" spans="1:20" x14ac:dyDescent="0.25">
      <c r="A68" s="74"/>
      <c r="B68" t="s">
        <v>183</v>
      </c>
      <c r="C68" s="22">
        <f>80/400</f>
        <v>0.2</v>
      </c>
      <c r="D68" s="22">
        <f>292/400</f>
        <v>0.73</v>
      </c>
      <c r="E68" s="22">
        <f>28/400</f>
        <v>7.0000000000000007E-2</v>
      </c>
    </row>
    <row r="69" spans="1:20" x14ac:dyDescent="0.25">
      <c r="B69" t="s">
        <v>185</v>
      </c>
      <c r="C69" s="22">
        <f>839/3813</f>
        <v>0.22003671649619722</v>
      </c>
      <c r="D69" s="22">
        <f>2476/3813</f>
        <v>0.6493574613165487</v>
      </c>
      <c r="E69" s="22">
        <f>153/3813</f>
        <v>4.0125885129819037E-2</v>
      </c>
      <c r="F69" s="22">
        <f>115/3813</f>
        <v>3.0159979019145029E-2</v>
      </c>
      <c r="H69" s="22">
        <f>115/3813</f>
        <v>3.0159979019145029E-2</v>
      </c>
      <c r="I69" s="22">
        <f>115/3813</f>
        <v>3.0159979019145029E-2</v>
      </c>
      <c r="T69" s="74"/>
    </row>
    <row r="70" spans="1:20" x14ac:dyDescent="0.25">
      <c r="A70" s="74"/>
      <c r="B70" t="s">
        <v>188</v>
      </c>
      <c r="C70" s="22">
        <f>404/2130</f>
        <v>0.18967136150234742</v>
      </c>
      <c r="D70" s="22">
        <f>1511/2130</f>
        <v>0.70938967136150233</v>
      </c>
      <c r="E70" s="22">
        <f>85/2130</f>
        <v>3.9906103286384977E-2</v>
      </c>
      <c r="I70" s="22">
        <f>128/2130</f>
        <v>6.0093896713615022E-2</v>
      </c>
    </row>
    <row r="71" spans="1:20" x14ac:dyDescent="0.25">
      <c r="B71" t="s">
        <v>190</v>
      </c>
      <c r="C71" s="22">
        <v>0.15</v>
      </c>
      <c r="D71" s="22">
        <v>0.30499999999999999</v>
      </c>
      <c r="E71" s="22">
        <v>0.04</v>
      </c>
      <c r="F71" s="22">
        <v>0.04</v>
      </c>
      <c r="J71" s="22">
        <v>6.5000000000000002E-2</v>
      </c>
      <c r="K71" s="22">
        <v>0.4</v>
      </c>
    </row>
    <row r="72" spans="1:20" x14ac:dyDescent="0.25">
      <c r="B72" t="s">
        <v>192</v>
      </c>
      <c r="C72" s="22">
        <f>158/1432</f>
        <v>0.11033519553072625</v>
      </c>
      <c r="D72" s="22">
        <f>571/1432</f>
        <v>0.39874301675977653</v>
      </c>
      <c r="E72" s="22">
        <f>43/1432</f>
        <v>3.0027932960893854E-2</v>
      </c>
      <c r="F72" s="22">
        <f>43/1432</f>
        <v>3.0027932960893854E-2</v>
      </c>
      <c r="I72" s="22">
        <f>43/1432</f>
        <v>3.0027932960893854E-2</v>
      </c>
      <c r="K72" s="22">
        <f>574/1432</f>
        <v>0.40083798882681565</v>
      </c>
    </row>
    <row r="73" spans="1:20" x14ac:dyDescent="0.25">
      <c r="B73" t="s">
        <v>194</v>
      </c>
      <c r="C73" s="22">
        <v>0.23</v>
      </c>
      <c r="D73" s="22">
        <v>0.42</v>
      </c>
      <c r="E73" s="22">
        <v>0.05</v>
      </c>
      <c r="K73" s="22">
        <f>1795/5983</f>
        <v>0.30001671402306535</v>
      </c>
    </row>
    <row r="74" spans="1:20" x14ac:dyDescent="0.25">
      <c r="B74" t="s">
        <v>199</v>
      </c>
      <c r="C74" s="22">
        <v>0.1993</v>
      </c>
      <c r="D74" s="22">
        <v>0.67976999999999999</v>
      </c>
      <c r="E74" s="22">
        <v>4.027E-2</v>
      </c>
      <c r="F74" s="22">
        <v>4.027E-2</v>
      </c>
      <c r="I74" s="22">
        <v>4.027E-2</v>
      </c>
    </row>
    <row r="75" spans="1:20" x14ac:dyDescent="0.25">
      <c r="B75" t="s">
        <v>201</v>
      </c>
      <c r="C75" s="22">
        <v>0.25940000000000002</v>
      </c>
      <c r="D75" s="22">
        <v>0.61970000000000003</v>
      </c>
      <c r="E75" s="22">
        <v>3.0499999999999999E-2</v>
      </c>
      <c r="H75" s="22">
        <v>3.9899999999999998E-2</v>
      </c>
      <c r="I75" s="22">
        <v>5.0500000000000003E-2</v>
      </c>
    </row>
    <row r="76" spans="1:20" x14ac:dyDescent="0.25">
      <c r="B76" t="s">
        <v>203</v>
      </c>
      <c r="C76" s="22">
        <f>289/1930</f>
        <v>0.14974093264248706</v>
      </c>
      <c r="D76" s="22">
        <f>763/1930</f>
        <v>0.39533678756476681</v>
      </c>
      <c r="E76" s="22">
        <f>67.5/1930</f>
        <v>3.4974093264248704E-2</v>
      </c>
      <c r="F76" s="22">
        <f>67.5/1930</f>
        <v>3.4974093264248704E-2</v>
      </c>
      <c r="I76" s="22">
        <f>67.5/1930</f>
        <v>3.4974093264248704E-2</v>
      </c>
      <c r="K76" s="22">
        <f>676/1930</f>
        <v>0.35025906735751294</v>
      </c>
    </row>
    <row r="77" spans="1:20" x14ac:dyDescent="0.25">
      <c r="A77" s="74"/>
      <c r="B77" t="s">
        <v>205</v>
      </c>
      <c r="C77" s="22">
        <f>48/400</f>
        <v>0.12</v>
      </c>
      <c r="D77" s="22">
        <f>162.2/400</f>
        <v>0.40549999999999997</v>
      </c>
      <c r="E77" s="22">
        <f>10/400</f>
        <v>2.5000000000000001E-2</v>
      </c>
      <c r="F77" s="22">
        <f>10/400</f>
        <v>2.5000000000000001E-2</v>
      </c>
      <c r="I77" s="22">
        <f>10/400</f>
        <v>2.5000000000000001E-2</v>
      </c>
      <c r="J77" s="22">
        <f>20/400</f>
        <v>0.05</v>
      </c>
      <c r="K77" s="22">
        <f>139.7/400</f>
        <v>0.34924999999999995</v>
      </c>
      <c r="Q77" s="22">
        <v>1E-3</v>
      </c>
    </row>
    <row r="78" spans="1:20" x14ac:dyDescent="0.25">
      <c r="A78" s="74"/>
      <c r="B78" t="s">
        <v>207</v>
      </c>
      <c r="C78" s="22">
        <f>36/180</f>
        <v>0.2</v>
      </c>
      <c r="D78" s="22">
        <f>129/180</f>
        <v>0.71666666666666667</v>
      </c>
      <c r="E78" s="22">
        <f>7/180</f>
        <v>3.888888888888889E-2</v>
      </c>
      <c r="I78" s="22">
        <f>8/180</f>
        <v>4.4444444444444446E-2</v>
      </c>
    </row>
    <row r="79" spans="1:20" x14ac:dyDescent="0.25">
      <c r="B79" t="s">
        <v>209</v>
      </c>
      <c r="C79" s="22">
        <f>80/400</f>
        <v>0.2</v>
      </c>
      <c r="D79" s="22">
        <f>288/400</f>
        <v>0.72</v>
      </c>
      <c r="E79" s="22">
        <f>16/400</f>
        <v>0.04</v>
      </c>
      <c r="I79" s="22">
        <f>16/400</f>
        <v>0.04</v>
      </c>
    </row>
    <row r="80" spans="1:20" x14ac:dyDescent="0.25">
      <c r="B80" t="s">
        <v>211</v>
      </c>
      <c r="C80" s="22">
        <f>241/1605</f>
        <v>0.15015576323987539</v>
      </c>
      <c r="D80" s="22">
        <f>674/1605</f>
        <v>0.41993769470404985</v>
      </c>
      <c r="E80" s="22">
        <f>64/1605</f>
        <v>3.987538940809969E-2</v>
      </c>
      <c r="I80" s="22">
        <f>64/1605</f>
        <v>3.987538940809969E-2</v>
      </c>
      <c r="K80" s="22">
        <f>562/1605</f>
        <v>0.35015576323987541</v>
      </c>
    </row>
    <row r="81" spans="1:18" x14ac:dyDescent="0.25">
      <c r="B81" t="s">
        <v>213</v>
      </c>
      <c r="C81" s="22">
        <f>80/400</f>
        <v>0.2</v>
      </c>
      <c r="D81" s="22">
        <f>280/400</f>
        <v>0.7</v>
      </c>
      <c r="E81" s="22">
        <f>20/400</f>
        <v>0.05</v>
      </c>
      <c r="I81" s="22">
        <f>20/400</f>
        <v>0.05</v>
      </c>
    </row>
    <row r="82" spans="1:18" x14ac:dyDescent="0.25">
      <c r="B82" t="s">
        <v>215</v>
      </c>
      <c r="C82" s="22">
        <f>2244/8064</f>
        <v>0.27827380952380953</v>
      </c>
      <c r="D82" s="22">
        <f>5095/8064</f>
        <v>0.63182043650793651</v>
      </c>
      <c r="E82" s="22">
        <f>403/8064</f>
        <v>4.9975198412698416E-2</v>
      </c>
      <c r="F82" s="22">
        <f>323/8064</f>
        <v>4.0054563492063495E-2</v>
      </c>
    </row>
    <row r="83" spans="1:18" x14ac:dyDescent="0.25">
      <c r="B83" t="s">
        <v>217</v>
      </c>
      <c r="C83" s="22">
        <f>95/364</f>
        <v>0.26098901098901101</v>
      </c>
      <c r="D83" s="22">
        <f>240/364</f>
        <v>0.65934065934065933</v>
      </c>
      <c r="E83" s="22">
        <f>15/364</f>
        <v>4.1208791208791208E-2</v>
      </c>
      <c r="F83" s="22">
        <f>15/364</f>
        <v>4.1208791208791208E-2</v>
      </c>
    </row>
    <row r="84" spans="1:18" x14ac:dyDescent="0.25">
      <c r="B84" t="s">
        <v>219</v>
      </c>
      <c r="C84" s="22">
        <f>170/850</f>
        <v>0.2</v>
      </c>
      <c r="D84" s="22">
        <f>620/850</f>
        <v>0.72941176470588232</v>
      </c>
      <c r="E84" s="22">
        <f>60/850</f>
        <v>7.0588235294117646E-2</v>
      </c>
    </row>
    <row r="85" spans="1:18" x14ac:dyDescent="0.25">
      <c r="B85" t="s">
        <v>221</v>
      </c>
      <c r="C85" s="22">
        <v>0.1699</v>
      </c>
      <c r="D85" s="22">
        <v>0.36030000000000001</v>
      </c>
      <c r="E85" s="22">
        <v>3.9699999999999999E-2</v>
      </c>
      <c r="F85" s="22">
        <v>3.9699999999999999E-2</v>
      </c>
      <c r="I85" s="22">
        <v>4.0399999999999998E-2</v>
      </c>
      <c r="K85" s="22">
        <v>0.35</v>
      </c>
    </row>
    <row r="86" spans="1:18" x14ac:dyDescent="0.25">
      <c r="B86" t="s">
        <v>223</v>
      </c>
      <c r="C86" s="22">
        <v>9.7500000000000003E-2</v>
      </c>
      <c r="D86" s="22">
        <v>0.42249999999999999</v>
      </c>
      <c r="F86" s="22">
        <v>3.9899999999999998E-2</v>
      </c>
      <c r="I86" s="22">
        <v>3.9899999999999998E-2</v>
      </c>
      <c r="K86" s="22">
        <v>0.34989999999999999</v>
      </c>
      <c r="M86" s="22">
        <v>0.05</v>
      </c>
    </row>
    <row r="87" spans="1:18" x14ac:dyDescent="0.25">
      <c r="B87" t="s">
        <v>225</v>
      </c>
      <c r="C87" s="22">
        <f>80/400</f>
        <v>0.2</v>
      </c>
      <c r="D87" s="22">
        <f>292/400</f>
        <v>0.73</v>
      </c>
      <c r="E87" s="22">
        <f>28/400</f>
        <v>7.0000000000000007E-2</v>
      </c>
    </row>
    <row r="88" spans="1:18" x14ac:dyDescent="0.25">
      <c r="B88" t="s">
        <v>227</v>
      </c>
      <c r="C88" s="22">
        <f>80/400</f>
        <v>0.2</v>
      </c>
      <c r="D88" s="22">
        <v>0.71</v>
      </c>
      <c r="E88" s="22">
        <f>24/400</f>
        <v>0.06</v>
      </c>
      <c r="I88" s="22">
        <f>12/400</f>
        <v>0.03</v>
      </c>
    </row>
    <row r="89" spans="1:18" x14ac:dyDescent="0.25">
      <c r="B89" t="s">
        <v>228</v>
      </c>
      <c r="C89" s="22">
        <v>0.17519999999999999</v>
      </c>
      <c r="D89" s="22">
        <v>0.7</v>
      </c>
      <c r="E89" s="22">
        <v>5.5199999999999999E-2</v>
      </c>
      <c r="F89" s="22">
        <v>3.9600000000000003E-2</v>
      </c>
      <c r="I89" s="22">
        <v>0.03</v>
      </c>
    </row>
    <row r="90" spans="1:18" x14ac:dyDescent="0.25">
      <c r="A90" s="74"/>
      <c r="B90" t="s">
        <v>231</v>
      </c>
      <c r="C90" s="22">
        <f>200/1430</f>
        <v>0.13986013986013987</v>
      </c>
      <c r="D90" s="22">
        <f>580/1430</f>
        <v>0.40559440559440557</v>
      </c>
      <c r="E90" s="22">
        <f>50/1430</f>
        <v>3.4965034965034968E-2</v>
      </c>
      <c r="F90" s="22">
        <f>50/1430</f>
        <v>3.4965034965034968E-2</v>
      </c>
      <c r="I90" s="22">
        <f>50/1430</f>
        <v>3.4965034965034968E-2</v>
      </c>
      <c r="K90" s="22">
        <f>500/1430</f>
        <v>0.34965034965034963</v>
      </c>
    </row>
    <row r="91" spans="1:18" x14ac:dyDescent="0.25">
      <c r="B91" t="s">
        <v>233</v>
      </c>
      <c r="C91" s="22">
        <f>1368/9118</f>
        <v>0.1500329019521825</v>
      </c>
      <c r="D91" s="22">
        <f>3637/9118</f>
        <v>0.39888133362579514</v>
      </c>
      <c r="F91" s="22">
        <f>182/9118</f>
        <v>1.9960517657381004E-2</v>
      </c>
      <c r="I91" s="22">
        <f>456/9118</f>
        <v>5.0010967317394163E-2</v>
      </c>
      <c r="K91" s="22">
        <f>3465/9118</f>
        <v>0.38001754770783064</v>
      </c>
      <c r="R91" s="22">
        <f>10/9118</f>
        <v>1.0967317394165387E-3</v>
      </c>
    </row>
    <row r="92" spans="1:18" x14ac:dyDescent="0.25">
      <c r="B92" t="s">
        <v>236</v>
      </c>
      <c r="C92" s="22">
        <f>1288/6439</f>
        <v>0.20003106072371488</v>
      </c>
      <c r="D92" s="22">
        <f>4765/6439</f>
        <v>0.74002174250660036</v>
      </c>
      <c r="E92" s="22">
        <f>386/6439</f>
        <v>5.9947196769684734E-2</v>
      </c>
    </row>
    <row r="93" spans="1:18" x14ac:dyDescent="0.25">
      <c r="B93" t="s">
        <v>239</v>
      </c>
      <c r="C93" s="22">
        <f>930/4648</f>
        <v>0.20008605851979347</v>
      </c>
      <c r="D93" s="22">
        <f>3254/4648</f>
        <v>0.70008605851979344</v>
      </c>
      <c r="E93" s="22">
        <f>232/4648</f>
        <v>4.9913941480206538E-2</v>
      </c>
      <c r="H93" s="22">
        <f>232/4648</f>
        <v>4.9913941480206538E-2</v>
      </c>
    </row>
    <row r="94" spans="1:18" x14ac:dyDescent="0.25">
      <c r="B94" t="s">
        <v>241</v>
      </c>
      <c r="C94" s="22">
        <f>120/596</f>
        <v>0.20134228187919462</v>
      </c>
      <c r="D94" s="22">
        <f>416/596</f>
        <v>0.69798657718120805</v>
      </c>
      <c r="E94" s="22">
        <f>30/596</f>
        <v>5.0335570469798654E-2</v>
      </c>
      <c r="F94" s="22">
        <f>30/596</f>
        <v>5.0335570469798654E-2</v>
      </c>
    </row>
    <row r="95" spans="1:18" x14ac:dyDescent="0.25">
      <c r="B95" t="s">
        <v>243</v>
      </c>
      <c r="C95" s="22">
        <f>1330/6653</f>
        <v>0.19990981512099804</v>
      </c>
      <c r="D95" s="22">
        <f>2661/6653</f>
        <v>0.39996993837366601</v>
      </c>
      <c r="E95" s="22">
        <f>333/6653</f>
        <v>5.0052607846084472E-2</v>
      </c>
      <c r="K95" s="22">
        <f>2329/6653</f>
        <v>0.35006763865925145</v>
      </c>
    </row>
    <row r="96" spans="1:18" x14ac:dyDescent="0.25">
      <c r="B96" t="s">
        <v>245</v>
      </c>
      <c r="C96" s="22">
        <f>200/998</f>
        <v>0.20040080160320642</v>
      </c>
      <c r="D96" s="22">
        <f>698/998</f>
        <v>0.69939879759519041</v>
      </c>
      <c r="E96" s="22">
        <f>50/998</f>
        <v>5.0100200400801605E-2</v>
      </c>
      <c r="I96" s="22">
        <f>50/998</f>
        <v>5.0100200400801605E-2</v>
      </c>
    </row>
    <row r="97" spans="1:18" x14ac:dyDescent="0.25">
      <c r="B97" t="s">
        <v>247</v>
      </c>
      <c r="C97" s="22">
        <f>463/5788</f>
        <v>7.9993089149965446E-2</v>
      </c>
      <c r="D97" s="22">
        <f>4450/5788</f>
        <v>0.76883206634416035</v>
      </c>
      <c r="E97" s="22">
        <f>232/5788</f>
        <v>4.0082930200414653E-2</v>
      </c>
      <c r="F97" s="22">
        <f>232/5788</f>
        <v>4.0082930200414653E-2</v>
      </c>
      <c r="J97" s="22">
        <f>405/5788</f>
        <v>6.9972356599861785E-2</v>
      </c>
      <c r="Q97" s="22">
        <v>1E-3</v>
      </c>
    </row>
    <row r="98" spans="1:18" x14ac:dyDescent="0.25">
      <c r="B98" t="s">
        <v>249</v>
      </c>
      <c r="C98" s="22">
        <f>506/1875</f>
        <v>0.26986666666666664</v>
      </c>
      <c r="D98" s="22">
        <f>1256/1875</f>
        <v>0.66986666666666672</v>
      </c>
      <c r="E98" s="22">
        <f>113/1875</f>
        <v>6.026666666666667E-2</v>
      </c>
    </row>
    <row r="99" spans="1:18" x14ac:dyDescent="0.25">
      <c r="A99" s="74"/>
      <c r="B99" t="s">
        <v>259</v>
      </c>
      <c r="C99" s="22">
        <f>80/400</f>
        <v>0.2</v>
      </c>
      <c r="D99" s="22">
        <f>286/400</f>
        <v>0.71499999999999997</v>
      </c>
      <c r="E99" s="22">
        <f>16/400</f>
        <v>0.04</v>
      </c>
      <c r="I99" s="22">
        <f>18/400</f>
        <v>4.4999999999999998E-2</v>
      </c>
    </row>
    <row r="100" spans="1:18" x14ac:dyDescent="0.25">
      <c r="B100" t="s">
        <v>261</v>
      </c>
      <c r="C100" s="22">
        <f>234/1168</f>
        <v>0.20034246575342465</v>
      </c>
      <c r="D100" s="22">
        <f>818/1168</f>
        <v>0.70034246575342463</v>
      </c>
      <c r="E100" s="22">
        <f>58/1168</f>
        <v>4.965753424657534E-2</v>
      </c>
      <c r="F100" s="22">
        <f>58/1168</f>
        <v>4.965753424657534E-2</v>
      </c>
    </row>
    <row r="101" spans="1:18" x14ac:dyDescent="0.25">
      <c r="B101" t="s">
        <v>264</v>
      </c>
      <c r="D101" s="22">
        <v>1</v>
      </c>
    </row>
    <row r="102" spans="1:18" x14ac:dyDescent="0.25">
      <c r="B102" t="s">
        <v>271</v>
      </c>
      <c r="D102" s="22">
        <v>0.94</v>
      </c>
      <c r="M102" s="22">
        <v>0.06</v>
      </c>
    </row>
    <row r="103" spans="1:18" x14ac:dyDescent="0.25">
      <c r="B103" t="s">
        <v>278</v>
      </c>
      <c r="D103" s="22">
        <v>0.94</v>
      </c>
      <c r="L103" s="22">
        <v>0.06</v>
      </c>
    </row>
    <row r="104" spans="1:18" x14ac:dyDescent="0.25">
      <c r="A104" s="74"/>
      <c r="B104" t="s">
        <v>286</v>
      </c>
      <c r="C104" s="22">
        <f>462/2565</f>
        <v>0.18011695906432748</v>
      </c>
      <c r="D104" s="22">
        <f>1717/2565</f>
        <v>0.66939571150097466</v>
      </c>
      <c r="F104" s="22">
        <f>103/2565</f>
        <v>4.0155945419103313E-2</v>
      </c>
      <c r="H104" s="22">
        <f>77/2565</f>
        <v>3.0019493177387915E-2</v>
      </c>
      <c r="I104" s="22">
        <f>103/2565</f>
        <v>4.0155945419103313E-2</v>
      </c>
      <c r="M104" s="22">
        <f>103/2565</f>
        <v>4.0155945419103313E-2</v>
      </c>
    </row>
    <row r="105" spans="1:18" x14ac:dyDescent="0.25">
      <c r="B105" t="s">
        <v>288</v>
      </c>
      <c r="C105" s="22">
        <v>0.2</v>
      </c>
      <c r="D105" s="22">
        <v>0.69520000000000004</v>
      </c>
      <c r="E105" s="22">
        <v>4.9799999999999997E-2</v>
      </c>
      <c r="I105" s="22">
        <v>5.5E-2</v>
      </c>
    </row>
    <row r="106" spans="1:18" x14ac:dyDescent="0.25">
      <c r="B106" t="s">
        <v>289</v>
      </c>
      <c r="C106" s="22">
        <f>116/400</f>
        <v>0.28999999999999998</v>
      </c>
      <c r="D106" s="22">
        <f>240/400</f>
        <v>0.6</v>
      </c>
      <c r="E106" s="22">
        <f>14/400</f>
        <v>3.5000000000000003E-2</v>
      </c>
      <c r="I106" s="22">
        <f>12/400</f>
        <v>0.03</v>
      </c>
      <c r="J106" s="22">
        <f>18/400</f>
        <v>4.4999999999999998E-2</v>
      </c>
      <c r="Q106" s="22">
        <f>0.4/400</f>
        <v>1E-3</v>
      </c>
    </row>
    <row r="107" spans="1:18" x14ac:dyDescent="0.25">
      <c r="B107" t="s">
        <v>291</v>
      </c>
      <c r="C107" s="22">
        <f>154/853</f>
        <v>0.18053927315357562</v>
      </c>
      <c r="D107" s="22">
        <f>648/853</f>
        <v>0.7596717467760844</v>
      </c>
      <c r="E107" s="22">
        <f>51/853</f>
        <v>5.9788980070339975E-2</v>
      </c>
    </row>
    <row r="108" spans="1:18" x14ac:dyDescent="0.25">
      <c r="B108" t="s">
        <v>293</v>
      </c>
      <c r="C108" s="22">
        <f>90/606</f>
        <v>0.14851485148514851</v>
      </c>
      <c r="D108" s="22">
        <f>476/606</f>
        <v>0.78547854785478544</v>
      </c>
      <c r="E108" s="22">
        <f>40/606</f>
        <v>6.6006600660066E-2</v>
      </c>
    </row>
    <row r="109" spans="1:18" x14ac:dyDescent="0.25">
      <c r="B109" t="s">
        <v>295</v>
      </c>
      <c r="C109" s="22">
        <v>0.1802</v>
      </c>
      <c r="D109" s="22">
        <v>0.70599999999999996</v>
      </c>
      <c r="E109" s="22">
        <v>3.39E-2</v>
      </c>
      <c r="F109" s="22">
        <v>4.07E-2</v>
      </c>
      <c r="I109" s="22">
        <v>3.9300000000000002E-2</v>
      </c>
    </row>
    <row r="110" spans="1:18" x14ac:dyDescent="0.25">
      <c r="B110" t="s">
        <v>297</v>
      </c>
      <c r="C110" s="22">
        <f>103/220</f>
        <v>0.4681818181818182</v>
      </c>
      <c r="D110" s="22">
        <f>104/220</f>
        <v>0.47272727272727272</v>
      </c>
      <c r="E110" s="22">
        <f>12/220</f>
        <v>5.4545454545454543E-2</v>
      </c>
      <c r="R110" s="22">
        <f>0.3/220</f>
        <v>1.3636363636363635E-3</v>
      </c>
    </row>
    <row r="111" spans="1:18" x14ac:dyDescent="0.25">
      <c r="B111" t="s">
        <v>298</v>
      </c>
      <c r="C111" s="22">
        <f>80/400</f>
        <v>0.2</v>
      </c>
      <c r="D111" s="22">
        <f>277.4/400</f>
        <v>0.69349999999999989</v>
      </c>
      <c r="E111" s="22">
        <f>14.2/400</f>
        <v>3.5499999999999997E-2</v>
      </c>
      <c r="F111" s="22">
        <f>14.2/400</f>
        <v>3.5499999999999997E-2</v>
      </c>
      <c r="I111" s="22">
        <f>14.2/400</f>
        <v>3.5499999999999997E-2</v>
      </c>
    </row>
    <row r="112" spans="1:18" x14ac:dyDescent="0.25">
      <c r="B112" t="s">
        <v>300</v>
      </c>
      <c r="C112" s="22">
        <f>1235/5616</f>
        <v>0.21990740740740741</v>
      </c>
      <c r="D112" s="22">
        <f>3700/5616</f>
        <v>0.65883190883190879</v>
      </c>
      <c r="E112" s="22">
        <f>281/5616</f>
        <v>5.0035612535612534E-2</v>
      </c>
      <c r="F112" s="22">
        <f>197/5616</f>
        <v>3.5078347578347581E-2</v>
      </c>
      <c r="I112" s="22">
        <f>197/5616</f>
        <v>3.5078347578347581E-2</v>
      </c>
      <c r="P112" s="22">
        <v>1E-3</v>
      </c>
    </row>
    <row r="113" spans="1:20" x14ac:dyDescent="0.25">
      <c r="B113" t="s">
        <v>302</v>
      </c>
      <c r="C113" s="22">
        <f>121/260</f>
        <v>0.4653846153846154</v>
      </c>
      <c r="D113" s="22">
        <f>121/260</f>
        <v>0.4653846153846154</v>
      </c>
      <c r="E113" s="22">
        <f>15/260</f>
        <v>5.7692307692307696E-2</v>
      </c>
      <c r="R113" s="22">
        <f>0.5/260</f>
        <v>1.9230769230769232E-3</v>
      </c>
    </row>
    <row r="114" spans="1:20" x14ac:dyDescent="0.25">
      <c r="B114" t="s">
        <v>303</v>
      </c>
      <c r="C114" s="22">
        <f>14/72</f>
        <v>0.19444444444444445</v>
      </c>
      <c r="D114" s="22">
        <f>58/72</f>
        <v>0.80555555555555558</v>
      </c>
    </row>
    <row r="115" spans="1:20" x14ac:dyDescent="0.25">
      <c r="B115" t="s">
        <v>305</v>
      </c>
      <c r="C115" s="22">
        <v>0.2203</v>
      </c>
      <c r="D115" s="22">
        <v>0.68989999999999996</v>
      </c>
      <c r="E115" s="22">
        <v>0.03</v>
      </c>
      <c r="F115" s="22">
        <v>0.03</v>
      </c>
      <c r="I115" s="22">
        <v>0.03</v>
      </c>
    </row>
    <row r="116" spans="1:20" x14ac:dyDescent="0.25">
      <c r="B116" t="s">
        <v>307</v>
      </c>
      <c r="C116" s="22">
        <f>98.4/400</f>
        <v>0.24600000000000002</v>
      </c>
      <c r="D116" s="22">
        <f>274.6/400</f>
        <v>0.68650000000000011</v>
      </c>
      <c r="E116" s="22">
        <f>16/400</f>
        <v>0.04</v>
      </c>
      <c r="F116" s="22">
        <f>11/400</f>
        <v>2.75E-2</v>
      </c>
    </row>
    <row r="117" spans="1:20" x14ac:dyDescent="0.25">
      <c r="B117" t="s">
        <v>309</v>
      </c>
      <c r="C117" s="22">
        <f>1057/5286</f>
        <v>0.19996216420734014</v>
      </c>
      <c r="D117" s="22">
        <f>3701/5286</f>
        <v>0.70015134317063943</v>
      </c>
      <c r="E117" s="22">
        <f>264/5286</f>
        <v>4.9943246311010214E-2</v>
      </c>
      <c r="I117" s="22">
        <f>264/5286</f>
        <v>4.9943246311010214E-2</v>
      </c>
    </row>
    <row r="118" spans="1:20" x14ac:dyDescent="0.25">
      <c r="B118" t="s">
        <v>311</v>
      </c>
      <c r="C118" s="22">
        <f>1033/4740</f>
        <v>0.21793248945147678</v>
      </c>
      <c r="D118" s="22">
        <f>3139/4740</f>
        <v>0.66223628691983127</v>
      </c>
      <c r="E118" s="22">
        <f>190/4740</f>
        <v>4.0084388185654012E-2</v>
      </c>
      <c r="F118" s="22">
        <f>189/4740</f>
        <v>3.9873417721518985E-2</v>
      </c>
      <c r="I118" s="22">
        <f>189/4740</f>
        <v>3.9873417721518985E-2</v>
      </c>
    </row>
    <row r="119" spans="1:20" x14ac:dyDescent="0.25">
      <c r="B119" t="s">
        <v>313</v>
      </c>
      <c r="C119" s="22">
        <f>144/799</f>
        <v>0.18022528160200249</v>
      </c>
      <c r="D119" s="22">
        <f>559/799</f>
        <v>0.69962453066332919</v>
      </c>
      <c r="E119" s="22">
        <f>32/799</f>
        <v>4.005006257822278E-2</v>
      </c>
      <c r="F119" s="22">
        <f>32/799</f>
        <v>4.005006257822278E-2</v>
      </c>
      <c r="I119" s="22">
        <f>32/799</f>
        <v>4.005006257822278E-2</v>
      </c>
    </row>
    <row r="120" spans="1:20" x14ac:dyDescent="0.25">
      <c r="B120" t="s">
        <v>315</v>
      </c>
      <c r="C120" s="22">
        <f>1476/6647</f>
        <v>0.22205506243418083</v>
      </c>
      <c r="D120" s="22">
        <f>4453/6647</f>
        <v>0.66992628253347375</v>
      </c>
      <c r="E120" s="22">
        <f>399/6647</f>
        <v>6.0027079885662707E-2</v>
      </c>
      <c r="F120" s="22">
        <f>250/6647</f>
        <v>3.7610952309312475E-2</v>
      </c>
      <c r="I120" s="22">
        <f>250/6647</f>
        <v>3.7610952309312475E-2</v>
      </c>
      <c r="T120" s="22">
        <v>1E-3</v>
      </c>
    </row>
    <row r="121" spans="1:20" x14ac:dyDescent="0.25">
      <c r="A121" s="74"/>
      <c r="B121" t="s">
        <v>318</v>
      </c>
      <c r="C121" s="22">
        <f>210/3106</f>
        <v>6.7611075338055382E-2</v>
      </c>
      <c r="D121" s="22">
        <f>1249/3106</f>
        <v>0.40212491951062462</v>
      </c>
      <c r="E121" s="22">
        <f>109/3106</f>
        <v>3.5093367675466836E-2</v>
      </c>
      <c r="F121" s="22">
        <f>110/3106</f>
        <v>3.5415325177076629E-2</v>
      </c>
      <c r="J121" s="22">
        <f>186/3106</f>
        <v>5.988409529942048E-2</v>
      </c>
      <c r="K121" s="22">
        <f>1242/3106</f>
        <v>0.39987121699935607</v>
      </c>
      <c r="Q121" s="22">
        <v>1E-3</v>
      </c>
    </row>
    <row r="122" spans="1:20" x14ac:dyDescent="0.25">
      <c r="B122" t="s">
        <v>320</v>
      </c>
      <c r="C122" s="22">
        <f>530/3536</f>
        <v>0.14988687782805429</v>
      </c>
      <c r="D122" s="22">
        <f>1658/3536</f>
        <v>0.46889140271493213</v>
      </c>
      <c r="H122" s="22">
        <f>106/3536</f>
        <v>2.9977375565610861E-2</v>
      </c>
      <c r="K122" s="22">
        <f>1132/3536</f>
        <v>0.32013574660633481</v>
      </c>
      <c r="M122" s="22">
        <f>106/3536</f>
        <v>2.9977375565610861E-2</v>
      </c>
      <c r="R122" s="22">
        <f>4/3536</f>
        <v>1.1312217194570137E-3</v>
      </c>
    </row>
    <row r="123" spans="1:20" x14ac:dyDescent="0.25">
      <c r="B123" t="s">
        <v>322</v>
      </c>
      <c r="C123" s="22">
        <f>52.4/400</f>
        <v>0.13100000000000001</v>
      </c>
      <c r="D123" s="22">
        <f>187.4/400</f>
        <v>0.46850000000000003</v>
      </c>
      <c r="E123" s="22">
        <f>16/400</f>
        <v>0.04</v>
      </c>
      <c r="F123" s="22">
        <f>12/400</f>
        <v>0.03</v>
      </c>
      <c r="I123" s="22">
        <f>12/400</f>
        <v>0.03</v>
      </c>
      <c r="K123" s="22">
        <f>120/400</f>
        <v>0.3</v>
      </c>
    </row>
    <row r="124" spans="1:20" x14ac:dyDescent="0.25">
      <c r="B124" t="s">
        <v>324</v>
      </c>
      <c r="C124" s="22">
        <f>918/6125</f>
        <v>0.14987755102040817</v>
      </c>
      <c r="D124" s="22">
        <f>2573/6125</f>
        <v>0.4200816326530612</v>
      </c>
      <c r="E124" s="22">
        <f>245/6125</f>
        <v>0.04</v>
      </c>
      <c r="I124" s="22">
        <f>245/6125</f>
        <v>0.04</v>
      </c>
      <c r="K124" s="22">
        <f>2144/6125</f>
        <v>0.35004081632653061</v>
      </c>
    </row>
    <row r="125" spans="1:20" x14ac:dyDescent="0.25">
      <c r="B125" t="s">
        <v>326</v>
      </c>
      <c r="C125" s="22">
        <f>821/3783</f>
        <v>0.21702352630187682</v>
      </c>
      <c r="D125" s="22">
        <f>2534/3783</f>
        <v>0.66983875231297907</v>
      </c>
      <c r="E125" s="22">
        <f>170/3783</f>
        <v>4.4937879989426381E-2</v>
      </c>
      <c r="F125" s="22">
        <f>144/3783</f>
        <v>3.8065027755749402E-2</v>
      </c>
      <c r="I125" s="22">
        <f>114/3783</f>
        <v>3.013481363996828E-2</v>
      </c>
    </row>
    <row r="126" spans="1:20" x14ac:dyDescent="0.25">
      <c r="B126" t="s">
        <v>328</v>
      </c>
      <c r="C126" s="22">
        <v>1</v>
      </c>
    </row>
    <row r="127" spans="1:20" x14ac:dyDescent="0.25">
      <c r="B127" t="s">
        <v>330</v>
      </c>
      <c r="C127" s="22">
        <v>0.2</v>
      </c>
      <c r="D127" s="22">
        <v>0.68</v>
      </c>
      <c r="E127" s="22">
        <v>0.04</v>
      </c>
      <c r="F127" s="22">
        <v>0.04</v>
      </c>
      <c r="H127" s="22">
        <v>0.04</v>
      </c>
    </row>
    <row r="128" spans="1:20" x14ac:dyDescent="0.25">
      <c r="B128" t="s">
        <v>332</v>
      </c>
      <c r="C128" s="22">
        <f>426/2129</f>
        <v>0.2000939408172851</v>
      </c>
      <c r="D128" s="22">
        <f>788/2129</f>
        <v>0.37012682010333492</v>
      </c>
      <c r="E128" s="22">
        <f>85/2129</f>
        <v>3.992484734617191E-2</v>
      </c>
      <c r="I128" s="22">
        <f>85/2129</f>
        <v>3.992484734617191E-2</v>
      </c>
      <c r="K128" s="22">
        <f>745/2129</f>
        <v>0.34992954438703616</v>
      </c>
    </row>
    <row r="129" spans="2:19" x14ac:dyDescent="0.25">
      <c r="B129" t="s">
        <v>333</v>
      </c>
      <c r="C129" s="22">
        <v>0.26</v>
      </c>
      <c r="D129" s="22">
        <v>0.65</v>
      </c>
      <c r="E129" s="22">
        <v>4.4999999999999998E-2</v>
      </c>
      <c r="F129" s="22">
        <v>4.4999999999999998E-2</v>
      </c>
    </row>
    <row r="130" spans="2:19" x14ac:dyDescent="0.25">
      <c r="B130" t="s">
        <v>335</v>
      </c>
      <c r="C130" s="22">
        <f>479/2395</f>
        <v>0.2</v>
      </c>
      <c r="D130" s="22">
        <f>1791/2395</f>
        <v>0.74780793319415451</v>
      </c>
      <c r="E130" s="22">
        <f>132/2395</f>
        <v>5.5114822546972857E-2</v>
      </c>
      <c r="S130" s="22">
        <v>1E-3</v>
      </c>
    </row>
    <row r="131" spans="2:19" x14ac:dyDescent="0.25">
      <c r="B131" t="s">
        <v>337</v>
      </c>
      <c r="C131" s="22">
        <f>46/400</f>
        <v>0.115</v>
      </c>
      <c r="D131" s="22">
        <f>182/400</f>
        <v>0.45500000000000002</v>
      </c>
      <c r="E131" s="22">
        <f>16/400</f>
        <v>0.04</v>
      </c>
      <c r="I131" s="22">
        <f>16/400</f>
        <v>0.04</v>
      </c>
      <c r="K131" s="22">
        <f>140/400</f>
        <v>0.35</v>
      </c>
    </row>
    <row r="132" spans="2:19" x14ac:dyDescent="0.25">
      <c r="B132" t="s">
        <v>338</v>
      </c>
      <c r="C132" s="22">
        <v>0.28489999999999999</v>
      </c>
      <c r="D132" s="22">
        <v>0.67</v>
      </c>
      <c r="E132" s="22">
        <v>4.5100000000000001E-2</v>
      </c>
    </row>
    <row r="133" spans="2:19" x14ac:dyDescent="0.25">
      <c r="B133" t="s">
        <v>340</v>
      </c>
      <c r="C133" s="22">
        <f>342/726</f>
        <v>0.47107438016528924</v>
      </c>
      <c r="D133" s="22">
        <f>343/726</f>
        <v>0.47245179063360881</v>
      </c>
      <c r="E133" s="22">
        <f>40/726</f>
        <v>5.5096418732782371E-2</v>
      </c>
      <c r="R133" s="22">
        <f>1/726</f>
        <v>1.3774104683195593E-3</v>
      </c>
    </row>
    <row r="134" spans="2:19" x14ac:dyDescent="0.25">
      <c r="B134" t="s">
        <v>341</v>
      </c>
      <c r="C134" s="22">
        <v>0.2</v>
      </c>
      <c r="D134" s="22">
        <v>0.74</v>
      </c>
      <c r="E134" s="22">
        <v>0.06</v>
      </c>
    </row>
    <row r="135" spans="2:19" x14ac:dyDescent="0.25">
      <c r="B135" t="s">
        <v>344</v>
      </c>
      <c r="C135" s="22">
        <f>197/897</f>
        <v>0.21962095875139354</v>
      </c>
      <c r="D135" s="22">
        <f>682/897</f>
        <v>0.76031215161649945</v>
      </c>
      <c r="E135" s="22">
        <f>59/897</f>
        <v>6.5774804905239681E-2</v>
      </c>
      <c r="I135" s="22">
        <f>49/897</f>
        <v>5.4626532887402456E-2</v>
      </c>
    </row>
    <row r="136" spans="2:19" x14ac:dyDescent="0.25">
      <c r="B136" t="s">
        <v>346</v>
      </c>
      <c r="C136" s="22">
        <f>84/400</f>
        <v>0.21</v>
      </c>
      <c r="D136" s="22">
        <f>260/400</f>
        <v>0.65</v>
      </c>
      <c r="E136" s="22">
        <f>24/400</f>
        <v>0.06</v>
      </c>
      <c r="F136" s="22">
        <f>16/400</f>
        <v>0.04</v>
      </c>
      <c r="I136" s="22">
        <f>16/400</f>
        <v>0.04</v>
      </c>
    </row>
    <row r="137" spans="2:19" x14ac:dyDescent="0.25">
      <c r="B137" t="s">
        <v>348</v>
      </c>
      <c r="C137" s="22">
        <f>134/670</f>
        <v>0.2</v>
      </c>
      <c r="D137" s="22">
        <f>437/670</f>
        <v>0.65223880597014927</v>
      </c>
      <c r="E137" s="22">
        <f>33/670</f>
        <v>4.9253731343283584E-2</v>
      </c>
      <c r="F137" s="22">
        <f>33/670</f>
        <v>4.9253731343283584E-2</v>
      </c>
      <c r="I137" s="22">
        <f>33/670</f>
        <v>4.9253731343283584E-2</v>
      </c>
    </row>
    <row r="138" spans="2:19" x14ac:dyDescent="0.25">
      <c r="B138" t="s">
        <v>350</v>
      </c>
      <c r="C138" s="22">
        <f>335/2395</f>
        <v>0.13987473903966596</v>
      </c>
      <c r="D138" s="22">
        <f>1007/2395</f>
        <v>0.42045929018789147</v>
      </c>
      <c r="E138" s="22">
        <f>119/2395</f>
        <v>4.9686847599164925E-2</v>
      </c>
      <c r="F138" s="22">
        <f>96/2395</f>
        <v>4.0083507306889352E-2</v>
      </c>
      <c r="K138" s="22">
        <f>838/2395</f>
        <v>0.34989561586638829</v>
      </c>
    </row>
    <row r="139" spans="2:19" x14ac:dyDescent="0.25">
      <c r="B139" t="s">
        <v>352</v>
      </c>
      <c r="C139" s="22">
        <f>214/1070</f>
        <v>0.2</v>
      </c>
      <c r="D139" s="22">
        <f>765/1070</f>
        <v>0.71495327102803741</v>
      </c>
      <c r="E139" s="22">
        <f>43/1070</f>
        <v>4.018691588785047E-2</v>
      </c>
      <c r="I139" s="22">
        <f>48/1070</f>
        <v>4.4859813084112146E-2</v>
      </c>
    </row>
    <row r="140" spans="2:19" x14ac:dyDescent="0.25">
      <c r="B140" t="s">
        <v>353</v>
      </c>
      <c r="C140" s="22">
        <v>0.22</v>
      </c>
      <c r="D140" s="22">
        <v>0.69899999999999995</v>
      </c>
      <c r="F140" s="22">
        <v>0.05</v>
      </c>
      <c r="H140" s="22">
        <v>0.03</v>
      </c>
      <c r="R140" s="22">
        <v>1E-3</v>
      </c>
    </row>
    <row r="141" spans="2:19" x14ac:dyDescent="0.25">
      <c r="B141" t="s">
        <v>355</v>
      </c>
      <c r="D141" s="22">
        <f>180/400</f>
        <v>0.45</v>
      </c>
      <c r="E141" s="22">
        <f>20/400</f>
        <v>0.05</v>
      </c>
      <c r="F141" s="22">
        <f>20/400</f>
        <v>0.05</v>
      </c>
      <c r="I141" s="22">
        <f>20/400</f>
        <v>0.05</v>
      </c>
      <c r="K141" s="22">
        <f>160/400</f>
        <v>0.4</v>
      </c>
    </row>
    <row r="142" spans="2:19" x14ac:dyDescent="0.25">
      <c r="B142" t="s">
        <v>357</v>
      </c>
      <c r="C142" s="22">
        <f>80/400</f>
        <v>0.2</v>
      </c>
      <c r="D142" s="22">
        <f>272/400</f>
        <v>0.68</v>
      </c>
      <c r="E142" s="22">
        <f>16/400</f>
        <v>0.04</v>
      </c>
      <c r="F142" s="22">
        <f>16/400</f>
        <v>0.04</v>
      </c>
      <c r="I142" s="22">
        <f>16/400</f>
        <v>0.04</v>
      </c>
    </row>
    <row r="143" spans="2:19" x14ac:dyDescent="0.25">
      <c r="B143" t="s">
        <v>359</v>
      </c>
      <c r="C143" s="22">
        <f>62/400</f>
        <v>0.155</v>
      </c>
      <c r="D143" s="22">
        <f>290/400</f>
        <v>0.72499999999999998</v>
      </c>
      <c r="E143" s="22">
        <f>12/400</f>
        <v>0.03</v>
      </c>
      <c r="F143" s="22">
        <f>18/400</f>
        <v>4.4999999999999998E-2</v>
      </c>
      <c r="I143" s="22">
        <f>18/400</f>
        <v>4.4999999999999998E-2</v>
      </c>
    </row>
    <row r="144" spans="2:19" x14ac:dyDescent="0.25">
      <c r="B144" t="s">
        <v>361</v>
      </c>
      <c r="C144" s="22">
        <f>2430/12150</f>
        <v>0.2</v>
      </c>
      <c r="D144" s="22">
        <f>8262/12150</f>
        <v>0.68</v>
      </c>
      <c r="E144" s="22">
        <f>486/12150</f>
        <v>0.04</v>
      </c>
      <c r="F144" s="22">
        <f>486/12150</f>
        <v>0.04</v>
      </c>
      <c r="I144" s="22">
        <f>486/12150</f>
        <v>0.04</v>
      </c>
    </row>
    <row r="145" spans="2:18" x14ac:dyDescent="0.25">
      <c r="B145" t="s">
        <v>362</v>
      </c>
      <c r="C145" s="22">
        <f>45.8/229</f>
        <v>0.19999999999999998</v>
      </c>
      <c r="D145" s="22">
        <f>183.2/229</f>
        <v>0.79999999999999993</v>
      </c>
    </row>
    <row r="146" spans="2:18" x14ac:dyDescent="0.25">
      <c r="B146" t="s">
        <v>366</v>
      </c>
      <c r="C146" s="22">
        <f>36/189</f>
        <v>0.19047619047619047</v>
      </c>
      <c r="D146" s="22">
        <f>133.5/189</f>
        <v>0.70634920634920639</v>
      </c>
      <c r="E146" s="22">
        <f>9/189</f>
        <v>4.7619047619047616E-2</v>
      </c>
      <c r="I146" s="22">
        <f>9/189</f>
        <v>4.7619047619047616E-2</v>
      </c>
      <c r="N146" s="22">
        <f>1.5/189</f>
        <v>7.9365079365079361E-3</v>
      </c>
    </row>
    <row r="147" spans="2:18" x14ac:dyDescent="0.25">
      <c r="B147" t="s">
        <v>368</v>
      </c>
      <c r="C147" s="22">
        <f>100/400</f>
        <v>0.25</v>
      </c>
      <c r="D147" s="22">
        <f>256/400</f>
        <v>0.64</v>
      </c>
      <c r="E147" s="22">
        <f>24/400</f>
        <v>0.06</v>
      </c>
      <c r="I147" s="22">
        <f>20/400</f>
        <v>0.05</v>
      </c>
      <c r="R147" s="22">
        <v>1E-3</v>
      </c>
    </row>
    <row r="148" spans="2:18" x14ac:dyDescent="0.25">
      <c r="B148" t="s">
        <v>370</v>
      </c>
      <c r="C148" s="22">
        <f>275/1251</f>
        <v>0.21982414068745004</v>
      </c>
      <c r="D148" s="22">
        <f>920/1251</f>
        <v>0.73541167066346924</v>
      </c>
      <c r="E148" s="120">
        <f>56/1251</f>
        <v>4.4764188649080737E-2</v>
      </c>
    </row>
    <row r="149" spans="2:18" x14ac:dyDescent="0.25">
      <c r="B149" t="s">
        <v>373</v>
      </c>
      <c r="C149" s="22">
        <f>840/4200</f>
        <v>0.2</v>
      </c>
      <c r="D149" s="22">
        <f>2982/4200</f>
        <v>0.71</v>
      </c>
      <c r="E149" s="22">
        <f>168/4200</f>
        <v>0.04</v>
      </c>
      <c r="I149" s="22">
        <f>210/4200</f>
        <v>0.05</v>
      </c>
    </row>
    <row r="150" spans="2:18" x14ac:dyDescent="0.25">
      <c r="B150" t="s">
        <v>377</v>
      </c>
      <c r="C150" s="22">
        <f>45.2/226</f>
        <v>0.2</v>
      </c>
      <c r="D150" s="22">
        <f>158.2/226</f>
        <v>0.7</v>
      </c>
      <c r="E150" s="22">
        <f>11.3/226</f>
        <v>0.05</v>
      </c>
      <c r="I150" s="22">
        <f>11.3/226</f>
        <v>0.05</v>
      </c>
    </row>
    <row r="151" spans="2:18" x14ac:dyDescent="0.25">
      <c r="B151" t="s">
        <v>379</v>
      </c>
      <c r="C151" s="22">
        <f>583/663</f>
        <v>0.8793363499245852</v>
      </c>
      <c r="E151" s="22">
        <f>40/663</f>
        <v>6.0331825037707391E-2</v>
      </c>
      <c r="H151" s="22">
        <f>40/663</f>
        <v>6.0331825037707391E-2</v>
      </c>
    </row>
    <row r="152" spans="2:18" x14ac:dyDescent="0.25">
      <c r="B152" t="s">
        <v>381</v>
      </c>
      <c r="C152" s="22">
        <f>54/115</f>
        <v>0.46956521739130436</v>
      </c>
      <c r="D152" s="22">
        <f>54/115</f>
        <v>0.46956521739130436</v>
      </c>
      <c r="E152" s="22">
        <f>7/115</f>
        <v>6.0869565217391307E-2</v>
      </c>
      <c r="R152" s="22">
        <f>0.13/115</f>
        <v>1.1304347826086958E-3</v>
      </c>
    </row>
    <row r="153" spans="2:18" x14ac:dyDescent="0.25">
      <c r="B153" t="s">
        <v>383</v>
      </c>
      <c r="C153" s="22">
        <f>36/244</f>
        <v>0.14754098360655737</v>
      </c>
      <c r="D153" s="22">
        <f>95/244</f>
        <v>0.38934426229508196</v>
      </c>
      <c r="E153" s="22">
        <f>10/244</f>
        <v>4.0983606557377046E-2</v>
      </c>
      <c r="F153" s="22">
        <f>10/244</f>
        <v>4.0983606557377046E-2</v>
      </c>
      <c r="K153" s="22">
        <f>93/244</f>
        <v>0.38114754098360654</v>
      </c>
    </row>
    <row r="154" spans="2:18" x14ac:dyDescent="0.25">
      <c r="B154" t="s">
        <v>385</v>
      </c>
      <c r="C154" s="22">
        <f>67/336</f>
        <v>0.19940476190476192</v>
      </c>
      <c r="D154" s="22">
        <f>230/336</f>
        <v>0.68452380952380953</v>
      </c>
      <c r="E154" s="22">
        <f>13/336</f>
        <v>3.8690476190476192E-2</v>
      </c>
      <c r="F154" s="22">
        <f>13/336</f>
        <v>3.8690476190476192E-2</v>
      </c>
      <c r="H154" s="22">
        <f>13/336</f>
        <v>3.8690476190476192E-2</v>
      </c>
    </row>
    <row r="155" spans="2:18" x14ac:dyDescent="0.25">
      <c r="B155" t="s">
        <v>387</v>
      </c>
      <c r="C155" s="22">
        <f>4212/36000</f>
        <v>0.11700000000000001</v>
      </c>
      <c r="D155" s="22">
        <v>0.32900000000000001</v>
      </c>
      <c r="E155" s="22">
        <v>4.4999999999999998E-2</v>
      </c>
      <c r="F155" s="22">
        <f>1800/36000-2%</f>
        <v>3.0000000000000002E-2</v>
      </c>
      <c r="G155" s="22">
        <v>2.9000000000000001E-2</v>
      </c>
      <c r="I155" s="22">
        <f>1800/36000</f>
        <v>0.05</v>
      </c>
      <c r="K155" s="22">
        <f>14400/36000</f>
        <v>0.4</v>
      </c>
    </row>
    <row r="156" spans="2:18" x14ac:dyDescent="0.25">
      <c r="B156" t="s">
        <v>390</v>
      </c>
      <c r="C156" s="22">
        <f>2600/20000</f>
        <v>0.13</v>
      </c>
      <c r="D156" s="22">
        <f>4000/20000</f>
        <v>0.2</v>
      </c>
      <c r="E156" s="22">
        <f>1400/20000</f>
        <v>7.0000000000000007E-2</v>
      </c>
      <c r="I156" s="22">
        <f>1000/20000</f>
        <v>0.05</v>
      </c>
      <c r="K156" s="22">
        <f>8980/20000</f>
        <v>0.44900000000000001</v>
      </c>
    </row>
    <row r="157" spans="2:18" x14ac:dyDescent="0.25">
      <c r="B157" t="s">
        <v>392</v>
      </c>
      <c r="C157" s="22">
        <f>80/400</f>
        <v>0.2</v>
      </c>
      <c r="D157" s="22">
        <f>152/400</f>
        <v>0.38</v>
      </c>
      <c r="E157" s="22">
        <f>28/400</f>
        <v>7.0000000000000007E-2</v>
      </c>
      <c r="I157" s="22">
        <f>20/400</f>
        <v>0.05</v>
      </c>
      <c r="K157" s="22">
        <f>80/400</f>
        <v>0.2</v>
      </c>
    </row>
    <row r="158" spans="2:18" x14ac:dyDescent="0.25">
      <c r="B158" t="s">
        <v>394</v>
      </c>
      <c r="C158" s="22">
        <v>8.5199999999999998E-2</v>
      </c>
      <c r="D158" s="22">
        <v>0.45479999999999998</v>
      </c>
      <c r="E158" s="22">
        <v>4.9799999999999997E-2</v>
      </c>
      <c r="I158" s="22">
        <v>6.0100000000000001E-2</v>
      </c>
      <c r="K158" s="22">
        <v>0.35020000000000001</v>
      </c>
    </row>
    <row r="159" spans="2:18" x14ac:dyDescent="0.25">
      <c r="B159" t="s">
        <v>396</v>
      </c>
      <c r="C159" s="22">
        <v>0.2</v>
      </c>
      <c r="D159" s="22">
        <v>0.67</v>
      </c>
      <c r="E159" s="22">
        <v>0.04</v>
      </c>
      <c r="F159" s="22">
        <v>0.04</v>
      </c>
      <c r="I159" s="22">
        <v>0.05</v>
      </c>
    </row>
    <row r="160" spans="2:18" x14ac:dyDescent="0.25">
      <c r="B160" t="s">
        <v>399</v>
      </c>
      <c r="C160" s="22">
        <f>597/2984</f>
        <v>0.20006702412868632</v>
      </c>
      <c r="D160" s="22">
        <f>2026/2984</f>
        <v>0.67895442359249325</v>
      </c>
      <c r="E160" s="22">
        <f>90/2984</f>
        <v>3.0160857908847184E-2</v>
      </c>
      <c r="I160" s="22">
        <f>119/2984</f>
        <v>3.987935656836461E-2</v>
      </c>
      <c r="J160" s="22">
        <f>150/2984</f>
        <v>5.0268096514745307E-2</v>
      </c>
      <c r="Q160" s="22">
        <v>1E-3</v>
      </c>
    </row>
    <row r="161" spans="2:17" x14ac:dyDescent="0.25">
      <c r="B161" t="s">
        <v>401</v>
      </c>
      <c r="C161" s="22">
        <f>76/400</f>
        <v>0.19</v>
      </c>
      <c r="D161" s="22">
        <f>284/400</f>
        <v>0.71</v>
      </c>
      <c r="E161" s="22">
        <f>16/400</f>
        <v>0.04</v>
      </c>
      <c r="J161" s="22">
        <f>24/400</f>
        <v>0.06</v>
      </c>
      <c r="Q161" s="22">
        <v>1E-3</v>
      </c>
    </row>
    <row r="162" spans="2:17" x14ac:dyDescent="0.25">
      <c r="B162" t="s">
        <v>403</v>
      </c>
      <c r="C162" s="22">
        <f>392/2611</f>
        <v>0.15013404825737264</v>
      </c>
      <c r="D162" s="22">
        <f>954/2611</f>
        <v>0.36537725009574873</v>
      </c>
      <c r="E162" s="22">
        <f>91/2611</f>
        <v>3.4852546916890083E-2</v>
      </c>
      <c r="F162" s="22">
        <f>91/2611</f>
        <v>3.4852546916890083E-2</v>
      </c>
      <c r="I162" s="22">
        <f>91/2611</f>
        <v>3.4852546916890083E-2</v>
      </c>
      <c r="K162" s="22">
        <f>992/2611</f>
        <v>0.37993106089620837</v>
      </c>
    </row>
  </sheetData>
  <autoFilter ref="B1:T162" xr:uid="{5F37C49D-FA7A-4F81-A753-F93B04DFA0C1}"/>
  <sortState xmlns:xlrd2="http://schemas.microsoft.com/office/spreadsheetml/2017/richdata2" ref="B2:T162">
    <sortCondition ref="B159:B162"/>
  </sortState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961A-912D-44BF-B87A-FA1749C3938B}">
  <sheetPr>
    <pageSetUpPr fitToPage="1"/>
  </sheetPr>
  <dimension ref="B2:S69"/>
  <sheetViews>
    <sheetView showGridLines="0" topLeftCell="A17" zoomScaleNormal="100" workbookViewId="0">
      <selection activeCell="K33" sqref="K33"/>
    </sheetView>
  </sheetViews>
  <sheetFormatPr baseColWidth="10" defaultColWidth="10.7109375" defaultRowHeight="15" x14ac:dyDescent="0.25"/>
  <cols>
    <col min="2" max="2" width="22" style="1" bestFit="1" customWidth="1"/>
    <col min="3" max="3" width="31" style="1" customWidth="1"/>
    <col min="4" max="4" width="12.7109375" style="2" bestFit="1" customWidth="1"/>
    <col min="5" max="5" width="12.28515625" style="9" customWidth="1"/>
    <col min="6" max="6" width="13.7109375" style="9" bestFit="1" customWidth="1"/>
    <col min="7" max="7" width="11.42578125" style="9" bestFit="1" customWidth="1"/>
    <col min="8" max="8" width="11.42578125" style="1" bestFit="1" customWidth="1"/>
    <col min="9" max="9" width="10.7109375" style="1" bestFit="1" customWidth="1"/>
    <col min="10" max="10" width="18.7109375" style="1" bestFit="1" customWidth="1"/>
    <col min="11" max="11" width="22.28515625" style="1" bestFit="1" customWidth="1"/>
    <col min="12" max="12" width="11.5703125" style="2" bestFit="1" customWidth="1"/>
    <col min="13" max="13" width="11.42578125" style="9" bestFit="1" customWidth="1"/>
    <col min="14" max="14" width="15.28515625" style="51" bestFit="1" customWidth="1"/>
    <col min="15" max="15" width="12" style="35" bestFit="1" customWidth="1"/>
    <col min="16" max="16" width="12.42578125" style="1" bestFit="1" customWidth="1"/>
    <col min="17" max="17" width="10.28515625" style="1" bestFit="1" customWidth="1"/>
    <col min="18" max="18" width="10.7109375" style="1" bestFit="1" customWidth="1"/>
    <col min="19" max="19" width="11.42578125" style="32" bestFit="1" customWidth="1"/>
  </cols>
  <sheetData>
    <row r="2" spans="2:19" ht="18.75" x14ac:dyDescent="0.3">
      <c r="B2" s="144" t="s">
        <v>529</v>
      </c>
      <c r="C2" s="144"/>
      <c r="D2" s="101" t="s">
        <v>26</v>
      </c>
      <c r="E2" s="103"/>
      <c r="F2" s="103"/>
      <c r="G2" s="103"/>
      <c r="H2" s="102">
        <f>MONTH(1&amp;D2)</f>
        <v>10</v>
      </c>
      <c r="I2" s="102"/>
      <c r="J2" s="144" t="s">
        <v>529</v>
      </c>
      <c r="K2" s="144"/>
      <c r="L2" s="144"/>
      <c r="M2" s="144"/>
      <c r="N2" s="106" t="s">
        <v>25</v>
      </c>
      <c r="O2" s="104"/>
      <c r="P2" s="101"/>
      <c r="Q2" s="101"/>
      <c r="R2" s="101"/>
      <c r="S2" s="102">
        <f>MONTH(1&amp;N2)</f>
        <v>9</v>
      </c>
    </row>
    <row r="3" spans="2:19" ht="18.75" customHeight="1" x14ac:dyDescent="0.25">
      <c r="B3" s="147" t="s">
        <v>530</v>
      </c>
      <c r="C3" s="147"/>
      <c r="D3" s="147"/>
      <c r="E3" s="147"/>
      <c r="F3" s="147"/>
      <c r="G3" s="147"/>
      <c r="J3" s="145" t="s">
        <v>531</v>
      </c>
      <c r="K3" s="145"/>
      <c r="L3" s="145"/>
      <c r="M3" s="145"/>
      <c r="N3" s="145"/>
      <c r="O3" s="145"/>
      <c r="P3" s="145"/>
      <c r="Q3" s="145"/>
      <c r="R3" s="145"/>
    </row>
    <row r="4" spans="2:19" s="1" customFormat="1" ht="18.75" customHeight="1" x14ac:dyDescent="0.25">
      <c r="B4" s="91" t="s">
        <v>1</v>
      </c>
      <c r="C4" s="91" t="s">
        <v>2</v>
      </c>
      <c r="D4" s="99" t="s">
        <v>3</v>
      </c>
      <c r="E4" s="93" t="s">
        <v>404</v>
      </c>
      <c r="F4" s="93" t="s">
        <v>405</v>
      </c>
      <c r="G4" s="93" t="s">
        <v>9</v>
      </c>
      <c r="J4" s="91" t="s">
        <v>1</v>
      </c>
      <c r="K4" s="91" t="s">
        <v>2</v>
      </c>
      <c r="L4" s="99" t="s">
        <v>3</v>
      </c>
      <c r="M4" s="93" t="s">
        <v>4</v>
      </c>
      <c r="N4" s="107" t="s">
        <v>5</v>
      </c>
      <c r="O4" s="105" t="s">
        <v>6</v>
      </c>
      <c r="P4" s="93" t="s">
        <v>7</v>
      </c>
      <c r="Q4" s="93" t="s">
        <v>8</v>
      </c>
      <c r="R4" s="93" t="s">
        <v>9</v>
      </c>
      <c r="S4" s="2"/>
    </row>
    <row r="5" spans="2:19" x14ac:dyDescent="0.25">
      <c r="B5" s="1" t="str" cm="1">
        <f t="array" ref="B5:G57">_xlfn._xlws.FILTER(Leche[MUNICIPALIDAD]:Leche[UNIDADES],(MONTH(Leche[FECHA])=$H$2)*(YEAR(Leche[FECHA])=2026)*(Leche[CONFIRMACIÓN]=""))</f>
        <v>Agua Blanca</v>
      </c>
      <c r="C5" s="1" t="str">
        <v>Diciembre</v>
      </c>
      <c r="D5" s="2">
        <v>46322</v>
      </c>
      <c r="E5" s="9">
        <v>640</v>
      </c>
      <c r="F5" s="9">
        <v>13</v>
      </c>
      <c r="G5" s="9">
        <v>16</v>
      </c>
      <c r="H5" s="9"/>
      <c r="J5" s="1" t="str" cm="1">
        <f t="array" ref="J5:R59">_xlfn._xlws.FILTER(Cereal[MUNICIPALIDAD]:Cereal[UNIDADES], (MONTH(Cereal[FECHA])&lt;=S2) * (YEAR(Cereal[FECHA])=2026) * (Cereal[ENVASADO]=""))</f>
        <v>Asuncion - Chacas</v>
      </c>
      <c r="K5" s="1" t="str">
        <v>Octubre / Noviembre / Diciembre</v>
      </c>
      <c r="L5" s="2">
        <v>46290</v>
      </c>
      <c r="M5" s="9">
        <v>3051</v>
      </c>
      <c r="N5" s="51">
        <v>0.5</v>
      </c>
      <c r="O5" s="35">
        <v>1525.5</v>
      </c>
      <c r="P5" s="1">
        <v>80</v>
      </c>
      <c r="Q5" s="1">
        <v>38</v>
      </c>
      <c r="R5" s="1">
        <v>11</v>
      </c>
    </row>
    <row r="6" spans="2:19" x14ac:dyDescent="0.25">
      <c r="B6" s="1" t="str">
        <v>Agua Blanca</v>
      </c>
      <c r="C6" s="1" t="str">
        <v>Noviembre</v>
      </c>
      <c r="D6" s="2">
        <v>46322</v>
      </c>
      <c r="E6" s="9">
        <v>640</v>
      </c>
      <c r="F6" s="9">
        <v>13</v>
      </c>
      <c r="G6" s="9">
        <v>16</v>
      </c>
      <c r="J6" s="1" t="str">
        <v>Buenavista</v>
      </c>
      <c r="K6" s="1" t="str">
        <v>Octubre / Noviembre / Diciembre</v>
      </c>
      <c r="L6" s="2">
        <v>46295</v>
      </c>
      <c r="M6" s="9">
        <v>1350</v>
      </c>
      <c r="N6" s="51">
        <v>1</v>
      </c>
      <c r="O6" s="35">
        <v>1350</v>
      </c>
      <c r="P6" s="1">
        <v>40</v>
      </c>
      <c r="Q6" s="1">
        <v>33</v>
      </c>
      <c r="R6" s="1">
        <v>30</v>
      </c>
    </row>
    <row r="7" spans="2:19" x14ac:dyDescent="0.25">
      <c r="B7" s="1" t="str">
        <v>Alto Biavo</v>
      </c>
      <c r="C7" s="1" t="str">
        <v>Noviembre</v>
      </c>
      <c r="D7" s="2">
        <v>46310</v>
      </c>
      <c r="E7" s="9">
        <v>1033</v>
      </c>
      <c r="F7" s="9">
        <v>21</v>
      </c>
      <c r="G7" s="9">
        <v>25</v>
      </c>
      <c r="J7" s="1" t="str">
        <v>Cajabamba</v>
      </c>
      <c r="K7" s="1" t="str">
        <v>Diciembre</v>
      </c>
      <c r="L7" s="2">
        <v>46279</v>
      </c>
      <c r="M7" s="9">
        <v>1012.86</v>
      </c>
      <c r="N7" s="51">
        <v>1</v>
      </c>
      <c r="O7" s="35">
        <v>1012.86</v>
      </c>
      <c r="P7" s="1">
        <v>40</v>
      </c>
      <c r="Q7" s="1">
        <v>25</v>
      </c>
      <c r="R7" s="1">
        <v>12.860000000000014</v>
      </c>
    </row>
    <row r="8" spans="2:19" x14ac:dyDescent="0.25">
      <c r="B8" s="1" t="str">
        <v>Alto Biavo</v>
      </c>
      <c r="C8" s="1" t="str">
        <v>Diciembre</v>
      </c>
      <c r="D8" s="2">
        <v>46310</v>
      </c>
      <c r="E8" s="9">
        <v>1068</v>
      </c>
      <c r="F8" s="9">
        <v>22</v>
      </c>
      <c r="G8" s="9">
        <v>12</v>
      </c>
      <c r="J8" s="1" t="str">
        <v>Cajabamba Leche</v>
      </c>
      <c r="K8" s="1" t="str">
        <v>Diciembre</v>
      </c>
      <c r="L8" s="2">
        <v>46279</v>
      </c>
      <c r="M8" s="9">
        <v>3269.81</v>
      </c>
      <c r="N8" s="51">
        <v>1</v>
      </c>
      <c r="O8" s="35">
        <v>3269.81</v>
      </c>
      <c r="P8" s="1">
        <v>40</v>
      </c>
      <c r="Q8" s="1">
        <v>81</v>
      </c>
      <c r="R8" s="1">
        <v>29.809999999999945</v>
      </c>
    </row>
    <row r="9" spans="2:19" x14ac:dyDescent="0.25">
      <c r="B9" s="1" t="str">
        <v>Alto Trujillo</v>
      </c>
      <c r="C9" s="1" t="str">
        <v>Noviembre</v>
      </c>
      <c r="D9" s="2">
        <v>46326</v>
      </c>
      <c r="E9" s="9">
        <v>4680</v>
      </c>
      <c r="F9" s="9">
        <v>97</v>
      </c>
      <c r="G9" s="9">
        <v>24</v>
      </c>
      <c r="J9" s="1" t="str">
        <v>Chetilla</v>
      </c>
      <c r="K9" s="1" t="str">
        <v>Octubre / Noviembre / Diciembre</v>
      </c>
      <c r="L9" s="2">
        <v>46295</v>
      </c>
      <c r="M9" s="9">
        <v>2550</v>
      </c>
      <c r="N9" s="51">
        <v>1.72</v>
      </c>
      <c r="O9" s="35">
        <v>4386</v>
      </c>
      <c r="P9" s="1">
        <v>25</v>
      </c>
      <c r="Q9" s="1">
        <v>102</v>
      </c>
      <c r="R9" s="1">
        <v>0</v>
      </c>
    </row>
    <row r="10" spans="2:19" x14ac:dyDescent="0.25">
      <c r="B10" s="1" t="str">
        <v>Barranquita</v>
      </c>
      <c r="C10" s="1" t="str">
        <v>Noviembre</v>
      </c>
      <c r="D10" s="2">
        <v>46315</v>
      </c>
      <c r="E10" s="9">
        <v>1240</v>
      </c>
      <c r="F10" s="9">
        <v>25</v>
      </c>
      <c r="G10" s="9">
        <v>40</v>
      </c>
      <c r="J10" s="1" t="str">
        <v>Chiclayo1</v>
      </c>
      <c r="K10" s="1" t="str">
        <v>Octubre</v>
      </c>
      <c r="L10" s="2">
        <v>46293</v>
      </c>
      <c r="M10" s="9">
        <v>8951.25</v>
      </c>
      <c r="N10" s="51">
        <v>1</v>
      </c>
      <c r="O10" s="35">
        <v>8951.25</v>
      </c>
      <c r="P10" s="1">
        <v>40</v>
      </c>
      <c r="Q10" s="1">
        <v>223</v>
      </c>
      <c r="R10" s="1">
        <v>31.25</v>
      </c>
    </row>
    <row r="11" spans="2:19" x14ac:dyDescent="0.25">
      <c r="B11" s="1" t="str">
        <v>Barranquita</v>
      </c>
      <c r="C11" s="1" t="str">
        <v>Diciembre</v>
      </c>
      <c r="D11" s="2">
        <v>46315</v>
      </c>
      <c r="E11" s="9">
        <v>1280</v>
      </c>
      <c r="F11" s="9">
        <v>26</v>
      </c>
      <c r="G11" s="9">
        <v>32</v>
      </c>
      <c r="J11" s="1" t="str">
        <v>Chiliquin</v>
      </c>
      <c r="K11" s="1" t="str">
        <v>O.C.</v>
      </c>
      <c r="L11" s="2">
        <v>46274</v>
      </c>
      <c r="M11" s="9">
        <v>485</v>
      </c>
      <c r="N11" s="51">
        <v>1</v>
      </c>
      <c r="O11" s="35">
        <v>485</v>
      </c>
      <c r="P11" s="1">
        <v>40</v>
      </c>
      <c r="Q11" s="1">
        <v>12</v>
      </c>
      <c r="R11" s="1">
        <v>5</v>
      </c>
    </row>
    <row r="12" spans="2:19" x14ac:dyDescent="0.25">
      <c r="B12" s="1" t="str">
        <v>Buenavista</v>
      </c>
      <c r="C12" s="1" t="str">
        <v>Octubre / Noviembre / Diciembre</v>
      </c>
      <c r="D12" s="2">
        <v>46300</v>
      </c>
      <c r="E12" s="9">
        <v>2700</v>
      </c>
      <c r="F12" s="9">
        <v>56</v>
      </c>
      <c r="G12" s="9">
        <v>12</v>
      </c>
      <c r="J12" s="1" t="str">
        <v>Chimban</v>
      </c>
      <c r="K12" s="1" t="str">
        <v>Octubre / Noviembre / Diciembre</v>
      </c>
      <c r="L12" s="2">
        <v>46295</v>
      </c>
      <c r="M12" s="9">
        <v>1049</v>
      </c>
      <c r="N12" s="51">
        <v>1.29</v>
      </c>
      <c r="O12" s="35">
        <v>1353.21</v>
      </c>
      <c r="P12" s="1">
        <v>35</v>
      </c>
      <c r="Q12" s="1">
        <v>29</v>
      </c>
      <c r="R12" s="1">
        <v>34</v>
      </c>
    </row>
    <row r="13" spans="2:19" x14ac:dyDescent="0.25">
      <c r="B13" s="1" t="str">
        <v>Caceres</v>
      </c>
      <c r="C13" s="1" t="str">
        <v>Noviembre</v>
      </c>
      <c r="D13" s="2">
        <v>46322</v>
      </c>
      <c r="E13" s="9">
        <v>1710</v>
      </c>
      <c r="F13" s="9">
        <v>35</v>
      </c>
      <c r="G13" s="9">
        <v>30</v>
      </c>
      <c r="J13" s="1" t="str">
        <v>Cochabamba</v>
      </c>
      <c r="K13" s="1" t="str">
        <v>O.C.</v>
      </c>
      <c r="L13" s="2">
        <v>46275</v>
      </c>
      <c r="M13" s="9">
        <v>404</v>
      </c>
      <c r="N13" s="51">
        <v>1.2225999999999999</v>
      </c>
      <c r="O13" s="35">
        <v>493.93039999999996</v>
      </c>
      <c r="P13" s="1">
        <v>35</v>
      </c>
      <c r="Q13" s="1">
        <v>11</v>
      </c>
      <c r="R13" s="1">
        <v>19</v>
      </c>
    </row>
    <row r="14" spans="2:19" x14ac:dyDescent="0.25">
      <c r="B14" s="1" t="str">
        <v>Caceres</v>
      </c>
      <c r="C14" s="1" t="str">
        <v>Diciembre</v>
      </c>
      <c r="D14" s="2">
        <v>46322</v>
      </c>
      <c r="E14" s="9">
        <v>1710</v>
      </c>
      <c r="F14" s="9">
        <v>35</v>
      </c>
      <c r="G14" s="9">
        <v>30</v>
      </c>
      <c r="J14" s="1" t="str">
        <v>Cochabamba</v>
      </c>
      <c r="K14" s="1" t="str">
        <v>Octubre / Noviembre / Diciembre</v>
      </c>
      <c r="L14" s="2">
        <v>46295</v>
      </c>
      <c r="M14" s="9">
        <v>1212</v>
      </c>
      <c r="N14" s="51">
        <v>0.91283000000000003</v>
      </c>
      <c r="O14" s="35">
        <v>1106.34996</v>
      </c>
      <c r="P14" s="1">
        <v>45</v>
      </c>
      <c r="Q14" s="1">
        <v>26</v>
      </c>
      <c r="R14" s="1">
        <v>42</v>
      </c>
    </row>
    <row r="15" spans="2:19" x14ac:dyDescent="0.25">
      <c r="B15" s="1" t="str">
        <v>Cachachi</v>
      </c>
      <c r="C15" s="1" t="str">
        <v>Noviembre</v>
      </c>
      <c r="D15" s="2">
        <v>46317</v>
      </c>
      <c r="E15" s="9">
        <v>6500</v>
      </c>
      <c r="F15" s="9">
        <v>135</v>
      </c>
      <c r="G15" s="9">
        <v>20</v>
      </c>
      <c r="J15" s="1" t="str">
        <v>Cochan</v>
      </c>
      <c r="K15" s="1" t="str">
        <v>Octubre / Noviembre / Diciembre</v>
      </c>
      <c r="L15" s="2">
        <v>46295</v>
      </c>
      <c r="M15" s="9">
        <v>1977</v>
      </c>
      <c r="N15" s="51">
        <v>1.7111700000000001</v>
      </c>
      <c r="O15" s="35">
        <v>3382.9830900000002</v>
      </c>
      <c r="P15" s="1">
        <v>25</v>
      </c>
      <c r="Q15" s="1">
        <v>79</v>
      </c>
      <c r="R15" s="1">
        <v>2</v>
      </c>
    </row>
    <row r="16" spans="2:19" x14ac:dyDescent="0.25">
      <c r="B16" s="1" t="str">
        <v>Casa Grande</v>
      </c>
      <c r="C16" s="1" t="str">
        <v>Noviembre</v>
      </c>
      <c r="D16" s="2">
        <v>46300</v>
      </c>
      <c r="E16" s="9">
        <v>3381</v>
      </c>
      <c r="F16" s="9">
        <v>70</v>
      </c>
      <c r="G16" s="9">
        <v>21</v>
      </c>
      <c r="J16" s="1" t="str">
        <v>Copallin</v>
      </c>
      <c r="K16" s="1" t="str">
        <v>Noviembre / Diciembre</v>
      </c>
      <c r="L16" s="2">
        <v>46268</v>
      </c>
      <c r="M16" s="9">
        <v>1256</v>
      </c>
      <c r="N16" s="51">
        <v>0.8</v>
      </c>
      <c r="O16" s="35">
        <v>1004.8000000000001</v>
      </c>
      <c r="P16" s="1">
        <v>50</v>
      </c>
      <c r="Q16" s="1">
        <v>25</v>
      </c>
      <c r="R16" s="1">
        <v>6</v>
      </c>
    </row>
    <row r="17" spans="2:18" x14ac:dyDescent="0.25">
      <c r="B17" s="1" t="str">
        <v>Chocope</v>
      </c>
      <c r="C17" s="1" t="str">
        <v>Noviembre</v>
      </c>
      <c r="D17" s="2">
        <v>46318</v>
      </c>
      <c r="E17" s="9">
        <v>1010</v>
      </c>
      <c r="F17" s="9">
        <v>21</v>
      </c>
      <c r="G17" s="9">
        <v>2</v>
      </c>
      <c r="J17" s="1" t="str">
        <v>Coris</v>
      </c>
      <c r="K17" s="1" t="str">
        <v>O.C.</v>
      </c>
      <c r="L17" s="2">
        <v>46295</v>
      </c>
      <c r="M17" s="9">
        <v>875</v>
      </c>
      <c r="N17" s="51">
        <v>1.5</v>
      </c>
      <c r="O17" s="35">
        <v>1312.5</v>
      </c>
      <c r="P17" s="1">
        <v>30</v>
      </c>
      <c r="Q17" s="1">
        <v>29</v>
      </c>
      <c r="R17" s="1">
        <v>5</v>
      </c>
    </row>
    <row r="18" spans="2:18" x14ac:dyDescent="0.25">
      <c r="B18" s="1" t="str">
        <v>Chongoyape</v>
      </c>
      <c r="C18" s="1" t="str">
        <v>Noviembre</v>
      </c>
      <c r="D18" s="2">
        <v>46318</v>
      </c>
      <c r="E18" s="9">
        <v>2200</v>
      </c>
      <c r="F18" s="9">
        <v>45</v>
      </c>
      <c r="G18" s="9">
        <v>40</v>
      </c>
      <c r="J18" s="1" t="str">
        <v>Florencia de Mora</v>
      </c>
      <c r="K18" s="1" t="str">
        <v>O.C.</v>
      </c>
      <c r="L18" s="2">
        <v>46288</v>
      </c>
      <c r="M18" s="9">
        <v>4480</v>
      </c>
      <c r="N18" s="51">
        <v>0.83499999999999996</v>
      </c>
      <c r="O18" s="35">
        <v>3740.7999999999997</v>
      </c>
      <c r="P18" s="1">
        <v>40</v>
      </c>
      <c r="Q18" s="1">
        <v>112</v>
      </c>
      <c r="R18" s="1">
        <v>0</v>
      </c>
    </row>
    <row r="19" spans="2:18" x14ac:dyDescent="0.25">
      <c r="B19" s="1" t="str">
        <v>Choros</v>
      </c>
      <c r="C19" s="1" t="str">
        <v>Noviembre / Diciembre</v>
      </c>
      <c r="D19" s="2">
        <v>46321</v>
      </c>
      <c r="E19" s="9">
        <v>2374</v>
      </c>
      <c r="F19" s="9">
        <v>49</v>
      </c>
      <c r="G19" s="9">
        <v>22</v>
      </c>
      <c r="J19" s="1" t="str">
        <v>Florencia de Mora</v>
      </c>
      <c r="K19" s="1" t="str">
        <v>Octubre</v>
      </c>
      <c r="L19" s="2">
        <v>46294</v>
      </c>
      <c r="M19" s="9">
        <v>2800</v>
      </c>
      <c r="N19" s="51">
        <v>0.94479999999999997</v>
      </c>
      <c r="O19" s="35">
        <v>2645.44</v>
      </c>
      <c r="P19" s="1">
        <v>40</v>
      </c>
      <c r="Q19" s="1">
        <v>70</v>
      </c>
      <c r="R19" s="1">
        <v>0</v>
      </c>
    </row>
    <row r="20" spans="2:18" x14ac:dyDescent="0.25">
      <c r="B20" s="1" t="str">
        <v>Condebamba</v>
      </c>
      <c r="C20" s="1" t="str">
        <v>Noviembre / Diciembre</v>
      </c>
      <c r="D20" s="2">
        <v>46316</v>
      </c>
      <c r="E20" s="9">
        <v>2430</v>
      </c>
      <c r="F20" s="9">
        <v>50</v>
      </c>
      <c r="G20" s="9">
        <v>30</v>
      </c>
      <c r="J20" s="1" t="str">
        <v>Florida</v>
      </c>
      <c r="K20" s="1" t="str">
        <v>O.C.</v>
      </c>
      <c r="L20" s="2">
        <v>46274</v>
      </c>
      <c r="M20" s="9">
        <v>1065</v>
      </c>
      <c r="N20" s="51">
        <v>1</v>
      </c>
      <c r="O20" s="35">
        <v>1065</v>
      </c>
      <c r="P20" s="1">
        <v>40</v>
      </c>
      <c r="Q20" s="1">
        <v>26</v>
      </c>
      <c r="R20" s="1">
        <v>25</v>
      </c>
    </row>
    <row r="21" spans="2:18" x14ac:dyDescent="0.25">
      <c r="B21" s="1" t="str">
        <v>Copallin</v>
      </c>
      <c r="C21" s="1" t="str">
        <v>Noviembre / Diciembre</v>
      </c>
      <c r="D21" s="2">
        <v>46326</v>
      </c>
      <c r="E21" s="9">
        <v>3140</v>
      </c>
      <c r="F21" s="9">
        <v>65</v>
      </c>
      <c r="G21" s="9">
        <v>20</v>
      </c>
      <c r="J21" s="1" t="str">
        <v>Huambo</v>
      </c>
      <c r="K21" s="1" t="str">
        <v>O.C.</v>
      </c>
      <c r="L21" s="2">
        <v>46286</v>
      </c>
      <c r="M21" s="9">
        <v>856</v>
      </c>
      <c r="N21" s="51">
        <v>0.66366999999999998</v>
      </c>
      <c r="O21" s="35">
        <v>568.10151999999994</v>
      </c>
      <c r="P21" s="1">
        <v>60</v>
      </c>
      <c r="Q21" s="1">
        <v>14</v>
      </c>
      <c r="R21" s="1">
        <v>16</v>
      </c>
    </row>
    <row r="22" spans="2:18" x14ac:dyDescent="0.25">
      <c r="B22" s="1" t="str">
        <v>Eten</v>
      </c>
      <c r="C22" s="1" t="str">
        <v>Noviembre</v>
      </c>
      <c r="D22" s="2">
        <v>46325</v>
      </c>
      <c r="E22" s="9">
        <v>1558</v>
      </c>
      <c r="F22" s="9">
        <v>32</v>
      </c>
      <c r="G22" s="9">
        <v>22</v>
      </c>
      <c r="J22" s="1" t="str">
        <v>Huancas</v>
      </c>
      <c r="K22" s="1" t="str">
        <v>O.C.</v>
      </c>
      <c r="L22" s="2">
        <v>46274</v>
      </c>
      <c r="M22" s="9">
        <v>130</v>
      </c>
      <c r="N22" s="51">
        <v>1</v>
      </c>
      <c r="O22" s="35">
        <v>130</v>
      </c>
      <c r="P22" s="1">
        <v>40</v>
      </c>
      <c r="Q22" s="1">
        <v>3</v>
      </c>
      <c r="R22" s="1">
        <v>10</v>
      </c>
    </row>
    <row r="23" spans="2:18" x14ac:dyDescent="0.25">
      <c r="B23" s="1" t="str">
        <v>Florencia de Mora</v>
      </c>
      <c r="C23" s="1" t="str">
        <v>Noviembre</v>
      </c>
      <c r="D23" s="2">
        <v>46324</v>
      </c>
      <c r="E23" s="9">
        <v>3771</v>
      </c>
      <c r="F23" s="9">
        <v>78</v>
      </c>
      <c r="G23" s="9">
        <v>27</v>
      </c>
      <c r="J23" s="1" t="str">
        <v>O.C.</v>
      </c>
      <c r="K23" s="1" t="str">
        <v>Noviembre / Diciembre</v>
      </c>
      <c r="L23" s="2">
        <v>46286</v>
      </c>
      <c r="M23" s="9">
        <v>5</v>
      </c>
      <c r="N23" s="51">
        <v>1.35</v>
      </c>
      <c r="O23" s="35">
        <v>6.75</v>
      </c>
      <c r="P23" s="1">
        <v>30</v>
      </c>
      <c r="Q23" s="1">
        <v>0</v>
      </c>
      <c r="R23" s="1">
        <v>5</v>
      </c>
    </row>
    <row r="24" spans="2:18" x14ac:dyDescent="0.25">
      <c r="B24" s="1" t="str">
        <v>Huamachuco</v>
      </c>
      <c r="C24" s="1" t="str">
        <v>Noviembre</v>
      </c>
      <c r="D24" s="2">
        <v>46318</v>
      </c>
      <c r="E24" s="9">
        <v>10470</v>
      </c>
      <c r="F24" s="9">
        <v>218</v>
      </c>
      <c r="G24" s="9">
        <v>6</v>
      </c>
      <c r="J24" s="1" t="str">
        <v>Huayllabamba</v>
      </c>
      <c r="K24" s="1" t="str">
        <v>Diciembre</v>
      </c>
      <c r="L24" s="2">
        <v>46289</v>
      </c>
      <c r="M24" s="9">
        <v>620</v>
      </c>
      <c r="N24" s="51">
        <v>1.0565</v>
      </c>
      <c r="O24" s="35">
        <v>655.03</v>
      </c>
      <c r="P24" s="1">
        <v>40</v>
      </c>
      <c r="Q24" s="1">
        <v>15</v>
      </c>
      <c r="R24" s="1">
        <v>20</v>
      </c>
    </row>
    <row r="25" spans="2:18" x14ac:dyDescent="0.25">
      <c r="B25" s="1" t="str">
        <v>Huambo</v>
      </c>
      <c r="C25" s="1" t="str">
        <v>Noviembre / Diciembre</v>
      </c>
      <c r="D25" s="2">
        <v>46316</v>
      </c>
      <c r="E25" s="9">
        <v>5136</v>
      </c>
      <c r="F25" s="9">
        <v>107</v>
      </c>
      <c r="G25" s="9">
        <v>0</v>
      </c>
      <c r="J25" s="1" t="str">
        <v>Ingenio</v>
      </c>
      <c r="K25" s="1" t="str">
        <v>Octubre / Noviembre / Diciembre</v>
      </c>
      <c r="L25" s="2">
        <v>46295</v>
      </c>
      <c r="M25" s="9">
        <v>498.75</v>
      </c>
      <c r="N25" s="51">
        <v>1</v>
      </c>
      <c r="O25" s="35">
        <v>498.75</v>
      </c>
      <c r="P25" s="1">
        <v>40</v>
      </c>
      <c r="Q25" s="1">
        <v>12</v>
      </c>
      <c r="R25" s="1">
        <v>18.75</v>
      </c>
    </row>
    <row r="26" spans="2:18" x14ac:dyDescent="0.25">
      <c r="B26" s="1" t="str">
        <v>O.C.</v>
      </c>
      <c r="C26" s="1" t="str">
        <v>Noviembre</v>
      </c>
      <c r="D26" s="2">
        <v>46310</v>
      </c>
      <c r="E26" s="9">
        <v>14</v>
      </c>
      <c r="F26" s="9">
        <v>0</v>
      </c>
      <c r="G26" s="9">
        <v>14</v>
      </c>
      <c r="J26" s="1" t="str">
        <v>Ingenio</v>
      </c>
      <c r="K26" s="1" t="str">
        <v>O.C.</v>
      </c>
      <c r="L26" s="2">
        <v>46287</v>
      </c>
      <c r="M26" s="9">
        <v>280</v>
      </c>
      <c r="N26" s="51">
        <v>1</v>
      </c>
      <c r="O26" s="35">
        <v>280</v>
      </c>
      <c r="P26" s="1">
        <v>40</v>
      </c>
      <c r="Q26" s="1">
        <v>7</v>
      </c>
      <c r="R26" s="1">
        <v>0</v>
      </c>
    </row>
    <row r="27" spans="2:18" x14ac:dyDescent="0.25">
      <c r="B27" s="1" t="str">
        <v>Huarango</v>
      </c>
      <c r="C27" s="1" t="str">
        <v>Noviembre / Diciembre</v>
      </c>
      <c r="D27" s="2">
        <v>46310</v>
      </c>
      <c r="E27" s="9">
        <v>12354</v>
      </c>
      <c r="F27" s="9">
        <v>257</v>
      </c>
      <c r="G27" s="9">
        <v>18</v>
      </c>
      <c r="J27" s="1" t="str">
        <v>Macate</v>
      </c>
      <c r="K27" s="1" t="str">
        <v>Octubre / Noviembre / Diciembre</v>
      </c>
      <c r="L27" s="2">
        <v>46295</v>
      </c>
      <c r="M27" s="9">
        <v>1953</v>
      </c>
      <c r="N27" s="51">
        <v>1.63686</v>
      </c>
      <c r="O27" s="35">
        <v>3196.7875800000002</v>
      </c>
      <c r="P27" s="1">
        <v>25</v>
      </c>
      <c r="Q27" s="1">
        <v>78</v>
      </c>
      <c r="R27" s="1">
        <v>3</v>
      </c>
    </row>
    <row r="28" spans="2:18" x14ac:dyDescent="0.25">
      <c r="B28" s="1" t="str">
        <v>Jose Leonardo Ortiz</v>
      </c>
      <c r="C28" s="1" t="str">
        <v>Noviembre</v>
      </c>
      <c r="D28" s="2">
        <v>46309</v>
      </c>
      <c r="E28" s="9">
        <v>17018</v>
      </c>
      <c r="F28" s="9">
        <v>354</v>
      </c>
      <c r="G28" s="9">
        <v>26</v>
      </c>
      <c r="J28" s="1" t="str">
        <v>Magdalena</v>
      </c>
      <c r="K28" s="1" t="str">
        <v>Noviembre</v>
      </c>
      <c r="L28" s="2">
        <v>46286</v>
      </c>
      <c r="M28" s="9">
        <v>3200</v>
      </c>
      <c r="N28" s="51">
        <v>0.84011000000000002</v>
      </c>
      <c r="O28" s="35">
        <v>2688.3519999999999</v>
      </c>
      <c r="P28" s="1">
        <v>50</v>
      </c>
      <c r="Q28" s="1">
        <v>64</v>
      </c>
      <c r="R28" s="1">
        <v>0</v>
      </c>
    </row>
    <row r="29" spans="2:18" x14ac:dyDescent="0.25">
      <c r="B29" s="1" t="str">
        <v>Jose Manuel Quiroz</v>
      </c>
      <c r="C29" s="1" t="str">
        <v>Diciembre</v>
      </c>
      <c r="D29" s="2">
        <v>46321</v>
      </c>
      <c r="E29" s="9">
        <v>1140</v>
      </c>
      <c r="F29" s="9">
        <v>23</v>
      </c>
      <c r="G29" s="9">
        <v>36</v>
      </c>
      <c r="J29" s="1" t="str">
        <v>Magdalena</v>
      </c>
      <c r="K29" s="1" t="str">
        <v>Diciembre</v>
      </c>
      <c r="L29" s="2">
        <v>46286</v>
      </c>
      <c r="M29" s="9">
        <v>3256</v>
      </c>
      <c r="N29" s="51">
        <v>0.84011000000000002</v>
      </c>
      <c r="O29" s="35">
        <v>2735.3981600000002</v>
      </c>
      <c r="P29" s="1">
        <v>50</v>
      </c>
      <c r="Q29" s="1">
        <v>65</v>
      </c>
      <c r="R29" s="1">
        <v>6</v>
      </c>
    </row>
    <row r="30" spans="2:18" x14ac:dyDescent="0.25">
      <c r="B30" s="1" t="str">
        <v>Jose Manuel Quiroz</v>
      </c>
      <c r="C30" s="1" t="str">
        <v>Noviembre</v>
      </c>
      <c r="D30" s="2">
        <v>46321</v>
      </c>
      <c r="E30" s="9">
        <v>1140</v>
      </c>
      <c r="F30" s="9">
        <v>23</v>
      </c>
      <c r="G30" s="9">
        <v>36</v>
      </c>
      <c r="J30" s="1" t="str">
        <v>Manseriche</v>
      </c>
      <c r="K30" s="1" t="str">
        <v>Octubre</v>
      </c>
      <c r="L30" s="2">
        <v>46290</v>
      </c>
      <c r="M30" s="9">
        <v>1441.0309999999999</v>
      </c>
      <c r="N30" s="51">
        <v>1</v>
      </c>
      <c r="O30" s="35">
        <v>1441.0309999999999</v>
      </c>
      <c r="P30" s="1">
        <v>50</v>
      </c>
      <c r="Q30" s="1">
        <v>28</v>
      </c>
      <c r="R30" s="1">
        <v>41.030999999999949</v>
      </c>
    </row>
    <row r="31" spans="2:18" x14ac:dyDescent="0.25">
      <c r="B31" s="1" t="str">
        <v>La Banda de Shilcayo</v>
      </c>
      <c r="C31" s="1" t="str">
        <v>Noviembre</v>
      </c>
      <c r="D31" s="2">
        <v>46316</v>
      </c>
      <c r="E31" s="9">
        <v>2158</v>
      </c>
      <c r="F31" s="9">
        <v>44</v>
      </c>
      <c r="G31" s="9">
        <v>46</v>
      </c>
      <c r="J31" s="1" t="str">
        <v>Moyobamba</v>
      </c>
      <c r="K31" s="1" t="str">
        <v>Noviembre</v>
      </c>
      <c r="L31" s="2">
        <v>46264</v>
      </c>
      <c r="M31" s="9">
        <v>4924</v>
      </c>
      <c r="N31" s="51">
        <v>1</v>
      </c>
      <c r="O31" s="35">
        <v>4924</v>
      </c>
      <c r="P31" s="1">
        <v>25</v>
      </c>
      <c r="Q31" s="1">
        <v>196</v>
      </c>
      <c r="R31" s="1">
        <v>24</v>
      </c>
    </row>
    <row r="32" spans="2:18" x14ac:dyDescent="0.25">
      <c r="B32" s="1" t="str">
        <v>Llacanora</v>
      </c>
      <c r="C32" s="1" t="str">
        <v>Noviembre</v>
      </c>
      <c r="D32" s="2">
        <v>46322</v>
      </c>
      <c r="E32" s="9">
        <v>1130</v>
      </c>
      <c r="F32" s="9">
        <v>23</v>
      </c>
      <c r="G32" s="9">
        <v>26</v>
      </c>
      <c r="J32" s="1" t="str">
        <v>Olleros</v>
      </c>
      <c r="K32" s="1" t="str">
        <v>O.C.</v>
      </c>
      <c r="L32" s="2">
        <v>46260</v>
      </c>
      <c r="M32" s="9">
        <v>220</v>
      </c>
      <c r="N32" s="51">
        <v>0.59762000000000004</v>
      </c>
      <c r="O32" s="35">
        <v>131.47640000000001</v>
      </c>
      <c r="P32" s="1">
        <v>70</v>
      </c>
      <c r="Q32" s="1">
        <v>3</v>
      </c>
      <c r="R32" s="1">
        <v>10</v>
      </c>
    </row>
    <row r="33" spans="2:18" x14ac:dyDescent="0.25">
      <c r="B33" s="1" t="str">
        <v>Llama</v>
      </c>
      <c r="C33" s="1" t="str">
        <v>Noviembre</v>
      </c>
      <c r="D33" s="2">
        <v>46310</v>
      </c>
      <c r="E33" s="9">
        <v>1838</v>
      </c>
      <c r="F33" s="9">
        <v>38</v>
      </c>
      <c r="G33" s="9">
        <v>14</v>
      </c>
      <c r="J33" s="1" t="str">
        <v>Organos</v>
      </c>
      <c r="K33" s="1" t="str">
        <v>Quinta</v>
      </c>
      <c r="L33" s="2">
        <v>46264</v>
      </c>
      <c r="M33" s="9">
        <v>921.84</v>
      </c>
      <c r="N33" s="51">
        <v>1</v>
      </c>
      <c r="O33" s="35">
        <v>921.84</v>
      </c>
      <c r="P33" s="1">
        <v>40</v>
      </c>
      <c r="Q33" s="1">
        <v>23</v>
      </c>
      <c r="R33" s="1">
        <v>1.8400000000000318</v>
      </c>
    </row>
    <row r="34" spans="2:18" x14ac:dyDescent="0.25">
      <c r="B34" s="1" t="str">
        <v>Llama</v>
      </c>
      <c r="C34" s="1" t="str">
        <v>Diciembre</v>
      </c>
      <c r="D34" s="2">
        <v>46310</v>
      </c>
      <c r="E34" s="9">
        <v>1838</v>
      </c>
      <c r="F34" s="9">
        <v>38</v>
      </c>
      <c r="G34" s="9">
        <v>14</v>
      </c>
      <c r="J34" s="1" t="str">
        <v>Organos</v>
      </c>
      <c r="K34" s="1" t="str">
        <v>Sexta</v>
      </c>
      <c r="L34" s="2">
        <v>46264</v>
      </c>
      <c r="M34" s="9">
        <v>952.57</v>
      </c>
      <c r="N34" s="51">
        <v>1</v>
      </c>
      <c r="O34" s="35">
        <v>952.57</v>
      </c>
      <c r="P34" s="1">
        <v>40</v>
      </c>
      <c r="Q34" s="1">
        <v>23</v>
      </c>
      <c r="R34" s="1">
        <v>32.57000000000005</v>
      </c>
    </row>
    <row r="35" spans="2:18" x14ac:dyDescent="0.25">
      <c r="B35" s="1" t="str">
        <v>Magdalena de Cao</v>
      </c>
      <c r="C35" s="1" t="str">
        <v>Noviembre</v>
      </c>
      <c r="D35" s="2">
        <v>46315</v>
      </c>
      <c r="E35" s="9">
        <v>480</v>
      </c>
      <c r="F35" s="9">
        <v>10</v>
      </c>
      <c r="G35" s="9">
        <v>0</v>
      </c>
      <c r="J35" s="1" t="str">
        <v>Qaliwarma Avena</v>
      </c>
      <c r="K35" s="1" t="str">
        <v>Cajamarca</v>
      </c>
      <c r="L35" s="2">
        <v>46295</v>
      </c>
      <c r="M35" s="9">
        <v>4650</v>
      </c>
      <c r="N35" s="51">
        <v>0.26</v>
      </c>
      <c r="O35" s="35">
        <v>1209</v>
      </c>
      <c r="P35" s="1">
        <v>100</v>
      </c>
      <c r="Q35" s="1">
        <v>46</v>
      </c>
      <c r="R35" s="1">
        <v>50</v>
      </c>
    </row>
    <row r="36" spans="2:18" x14ac:dyDescent="0.25">
      <c r="B36" s="1" t="str">
        <v>Manseriche</v>
      </c>
      <c r="C36" s="1" t="str">
        <v>Noviembre</v>
      </c>
      <c r="D36" s="2">
        <v>46322</v>
      </c>
      <c r="E36" s="9">
        <v>2070</v>
      </c>
      <c r="F36" s="9">
        <v>43</v>
      </c>
      <c r="G36" s="9">
        <v>6</v>
      </c>
      <c r="J36" s="1" t="str">
        <v>Qaliwarma Kiwicha</v>
      </c>
      <c r="K36" s="1" t="str">
        <v>Yurimag</v>
      </c>
      <c r="L36" s="2">
        <v>46295</v>
      </c>
      <c r="M36" s="9">
        <v>10189</v>
      </c>
      <c r="N36" s="51">
        <v>0.26</v>
      </c>
      <c r="O36" s="35">
        <v>2649.14</v>
      </c>
      <c r="P36" s="1">
        <v>100</v>
      </c>
      <c r="Q36" s="1">
        <v>101</v>
      </c>
      <c r="R36" s="1">
        <v>89</v>
      </c>
    </row>
    <row r="37" spans="2:18" x14ac:dyDescent="0.25">
      <c r="B37" s="1" t="str">
        <v>Marcabal</v>
      </c>
      <c r="C37" s="1" t="str">
        <v>Noviembre</v>
      </c>
      <c r="D37" s="2">
        <v>46310</v>
      </c>
      <c r="E37" s="9">
        <v>2540</v>
      </c>
      <c r="F37" s="9">
        <v>52</v>
      </c>
      <c r="G37" s="9">
        <v>44</v>
      </c>
      <c r="J37" s="1" t="str">
        <v>Qaliwarma Kiwicha</v>
      </c>
      <c r="K37" s="1" t="str">
        <v>Pucalpa</v>
      </c>
      <c r="L37" s="2">
        <v>46295</v>
      </c>
      <c r="M37" s="9">
        <v>4596</v>
      </c>
      <c r="N37" s="51">
        <v>0.26</v>
      </c>
      <c r="O37" s="35">
        <v>1194.96</v>
      </c>
      <c r="P37" s="1">
        <v>100</v>
      </c>
      <c r="Q37" s="1">
        <v>45</v>
      </c>
      <c r="R37" s="1">
        <v>96</v>
      </c>
    </row>
    <row r="38" spans="2:18" x14ac:dyDescent="0.25">
      <c r="B38" s="1" t="str">
        <v>Morales</v>
      </c>
      <c r="C38" s="1" t="str">
        <v>Noviembre</v>
      </c>
      <c r="D38" s="2">
        <v>46315</v>
      </c>
      <c r="E38" s="9">
        <v>4390</v>
      </c>
      <c r="F38" s="9">
        <v>91</v>
      </c>
      <c r="G38" s="9">
        <v>22</v>
      </c>
      <c r="J38" s="1" t="str">
        <v>Qaliwarma Kiwicha</v>
      </c>
      <c r="K38" s="1" t="str">
        <v>Cajamarca</v>
      </c>
      <c r="L38" s="2">
        <v>46295</v>
      </c>
      <c r="M38" s="9">
        <v>3920</v>
      </c>
      <c r="N38" s="51">
        <v>0.26</v>
      </c>
      <c r="O38" s="35">
        <v>1019.2</v>
      </c>
      <c r="P38" s="1">
        <v>100</v>
      </c>
      <c r="Q38" s="1">
        <v>39</v>
      </c>
      <c r="R38" s="1">
        <v>20</v>
      </c>
    </row>
    <row r="39" spans="2:18" x14ac:dyDescent="0.25">
      <c r="B39" s="1" t="str">
        <v>Namballe</v>
      </c>
      <c r="C39" s="1" t="str">
        <v>Noviembre / Diciembre</v>
      </c>
      <c r="D39" s="2">
        <v>46325</v>
      </c>
      <c r="E39" s="9">
        <v>5840</v>
      </c>
      <c r="F39" s="9">
        <v>121</v>
      </c>
      <c r="G39" s="9">
        <v>32</v>
      </c>
      <c r="J39" s="1" t="str">
        <v>Qaliwarma Quinua</v>
      </c>
      <c r="K39" s="1" t="str">
        <v>Yurimag</v>
      </c>
      <c r="L39" s="2">
        <v>46295</v>
      </c>
      <c r="M39" s="9">
        <v>8043</v>
      </c>
      <c r="N39" s="51">
        <v>0.26</v>
      </c>
      <c r="O39" s="35">
        <v>2091.1800000000003</v>
      </c>
      <c r="P39" s="1">
        <v>100</v>
      </c>
      <c r="Q39" s="1">
        <v>80</v>
      </c>
      <c r="R39" s="1">
        <v>43</v>
      </c>
    </row>
    <row r="40" spans="2:18" x14ac:dyDescent="0.25">
      <c r="B40" s="1" t="str">
        <v>Nueva Arica</v>
      </c>
      <c r="C40" s="1" t="str">
        <v>Noviembre</v>
      </c>
      <c r="D40" s="2">
        <v>46326</v>
      </c>
      <c r="E40" s="9">
        <v>596</v>
      </c>
      <c r="F40" s="9">
        <v>12</v>
      </c>
      <c r="G40" s="9">
        <v>20</v>
      </c>
      <c r="J40" s="1" t="str">
        <v>Qaliwarma Quinua</v>
      </c>
      <c r="K40" s="1" t="str">
        <v>Pucalpa</v>
      </c>
      <c r="L40" s="2">
        <v>46295</v>
      </c>
      <c r="M40" s="9">
        <v>6917</v>
      </c>
      <c r="N40" s="51">
        <v>0.26</v>
      </c>
      <c r="O40" s="35">
        <v>1798.42</v>
      </c>
      <c r="P40" s="1">
        <v>100</v>
      </c>
      <c r="Q40" s="1">
        <v>69</v>
      </c>
      <c r="R40" s="1">
        <v>17</v>
      </c>
    </row>
    <row r="41" spans="2:18" x14ac:dyDescent="0.25">
      <c r="B41" s="1" t="str">
        <v>Nueva Arica</v>
      </c>
      <c r="C41" s="1" t="str">
        <v>Diciembre</v>
      </c>
      <c r="D41" s="2">
        <v>46326</v>
      </c>
      <c r="E41" s="9">
        <v>596</v>
      </c>
      <c r="F41" s="9">
        <v>12</v>
      </c>
      <c r="G41" s="9">
        <v>20</v>
      </c>
      <c r="J41" s="1" t="str">
        <v>Querocotillo</v>
      </c>
      <c r="K41" s="1" t="str">
        <v>Octubre</v>
      </c>
      <c r="L41" s="2">
        <v>46286</v>
      </c>
      <c r="M41" s="9">
        <v>1891</v>
      </c>
      <c r="N41" s="51">
        <v>1.3560000000000001</v>
      </c>
      <c r="O41" s="35">
        <v>2564.1960000000004</v>
      </c>
      <c r="P41" s="1">
        <v>30</v>
      </c>
      <c r="Q41" s="1">
        <v>63</v>
      </c>
      <c r="R41" s="1">
        <v>1</v>
      </c>
    </row>
    <row r="42" spans="2:18" x14ac:dyDescent="0.25">
      <c r="B42" s="1" t="str">
        <v>Pomahuaca</v>
      </c>
      <c r="C42" s="1" t="str">
        <v>Noviembre</v>
      </c>
      <c r="D42" s="2">
        <v>46315</v>
      </c>
      <c r="E42" s="9">
        <v>1614</v>
      </c>
      <c r="F42" s="9">
        <v>33</v>
      </c>
      <c r="G42" s="9">
        <v>30</v>
      </c>
      <c r="J42" s="1" t="str">
        <v>Querocotillo</v>
      </c>
      <c r="K42" s="1" t="str">
        <v>Noviembre</v>
      </c>
      <c r="L42" s="2">
        <v>46286</v>
      </c>
      <c r="M42" s="9">
        <v>1891</v>
      </c>
      <c r="N42" s="51">
        <v>1.3560000000000001</v>
      </c>
      <c r="O42" s="35">
        <v>2564.1960000000004</v>
      </c>
      <c r="P42" s="1">
        <v>30</v>
      </c>
      <c r="Q42" s="1">
        <v>63</v>
      </c>
      <c r="R42" s="1">
        <v>1</v>
      </c>
    </row>
    <row r="43" spans="2:18" x14ac:dyDescent="0.25">
      <c r="B43" s="1" t="str">
        <v>Pomahuaca</v>
      </c>
      <c r="C43" s="1" t="str">
        <v>Diciembre</v>
      </c>
      <c r="D43" s="2">
        <v>46315</v>
      </c>
      <c r="E43" s="9">
        <v>1615</v>
      </c>
      <c r="F43" s="9">
        <v>33</v>
      </c>
      <c r="G43" s="9">
        <v>31</v>
      </c>
      <c r="J43" s="1" t="str">
        <v>Querocotillo</v>
      </c>
      <c r="K43" s="1" t="str">
        <v>Diciembre</v>
      </c>
      <c r="L43" s="2">
        <v>46286</v>
      </c>
      <c r="M43" s="9">
        <v>1891</v>
      </c>
      <c r="N43" s="51">
        <v>1.3560000000000001</v>
      </c>
      <c r="O43" s="35">
        <v>2564.1960000000004</v>
      </c>
      <c r="P43" s="1">
        <v>30</v>
      </c>
      <c r="Q43" s="1">
        <v>63</v>
      </c>
      <c r="R43" s="1">
        <v>1</v>
      </c>
    </row>
    <row r="44" spans="2:18" x14ac:dyDescent="0.25">
      <c r="B44" s="1" t="str">
        <v>Querocoto</v>
      </c>
      <c r="C44" s="1" t="str">
        <v>Noviembre</v>
      </c>
      <c r="D44" s="2">
        <v>46310</v>
      </c>
      <c r="E44" s="9">
        <v>3000</v>
      </c>
      <c r="F44" s="9">
        <v>62</v>
      </c>
      <c r="G44" s="9">
        <v>24</v>
      </c>
      <c r="J44" s="1" t="str">
        <v>Querocoto</v>
      </c>
      <c r="K44" s="1" t="str">
        <v>Octubre</v>
      </c>
      <c r="L44" s="2">
        <v>46280</v>
      </c>
      <c r="M44" s="9">
        <v>1000</v>
      </c>
      <c r="N44" s="51">
        <v>1.355</v>
      </c>
      <c r="O44" s="35">
        <v>1355</v>
      </c>
      <c r="P44" s="1">
        <v>30</v>
      </c>
      <c r="Q44" s="1">
        <v>33</v>
      </c>
      <c r="R44" s="1">
        <v>10</v>
      </c>
    </row>
    <row r="45" spans="2:18" x14ac:dyDescent="0.25">
      <c r="B45" s="1" t="str">
        <v>Salaverry</v>
      </c>
      <c r="C45" s="1" t="str">
        <v>Noviembre</v>
      </c>
      <c r="D45" s="2">
        <v>46296</v>
      </c>
      <c r="E45" s="9">
        <v>1100</v>
      </c>
      <c r="F45" s="9">
        <v>22</v>
      </c>
      <c r="G45" s="9">
        <v>44</v>
      </c>
      <c r="J45" s="1" t="str">
        <v>Quillo</v>
      </c>
      <c r="K45" s="1" t="str">
        <v>Diciembre</v>
      </c>
      <c r="L45" s="2">
        <v>46288</v>
      </c>
      <c r="M45" s="9">
        <v>1850</v>
      </c>
      <c r="N45" s="51">
        <v>1.7050000000000001</v>
      </c>
      <c r="O45" s="35">
        <v>3154.25</v>
      </c>
      <c r="P45" s="1">
        <v>22</v>
      </c>
      <c r="Q45" s="1">
        <v>84</v>
      </c>
      <c r="R45" s="1">
        <v>2</v>
      </c>
    </row>
    <row r="46" spans="2:18" x14ac:dyDescent="0.25">
      <c r="B46" s="1" t="str">
        <v>San Antonio</v>
      </c>
      <c r="C46" s="1" t="str">
        <v>Noviembre</v>
      </c>
      <c r="D46" s="2">
        <v>46326</v>
      </c>
      <c r="E46" s="9">
        <v>1368</v>
      </c>
      <c r="F46" s="9">
        <v>28</v>
      </c>
      <c r="G46" s="9">
        <v>24</v>
      </c>
      <c r="J46" s="1" t="str">
        <v>Salaverry</v>
      </c>
      <c r="K46" s="1" t="str">
        <v>Octubre</v>
      </c>
      <c r="L46" s="2">
        <v>46295</v>
      </c>
      <c r="M46" s="9">
        <v>853</v>
      </c>
      <c r="N46" s="51">
        <v>1</v>
      </c>
      <c r="O46" s="35">
        <v>853</v>
      </c>
      <c r="P46" s="1">
        <v>40</v>
      </c>
      <c r="Q46" s="1">
        <v>21</v>
      </c>
      <c r="R46" s="1">
        <v>13</v>
      </c>
    </row>
    <row r="47" spans="2:18" x14ac:dyDescent="0.25">
      <c r="B47" s="1" t="str">
        <v>San Antonio</v>
      </c>
      <c r="C47" s="1" t="str">
        <v>Diciembre</v>
      </c>
      <c r="D47" s="2">
        <v>46326</v>
      </c>
      <c r="E47" s="9">
        <v>1368</v>
      </c>
      <c r="F47" s="9">
        <v>28</v>
      </c>
      <c r="G47" s="9">
        <v>24</v>
      </c>
      <c r="J47" s="1" t="str">
        <v>San Benito</v>
      </c>
      <c r="K47" s="1" t="str">
        <v>Octubre</v>
      </c>
      <c r="L47" s="2">
        <v>46288</v>
      </c>
      <c r="M47" s="9">
        <v>500</v>
      </c>
      <c r="N47" s="51">
        <v>1.47519</v>
      </c>
      <c r="O47" s="35">
        <v>737.59500000000003</v>
      </c>
      <c r="P47" s="1">
        <v>30</v>
      </c>
      <c r="Q47" s="1">
        <v>16</v>
      </c>
      <c r="R47" s="1">
        <v>20</v>
      </c>
    </row>
    <row r="48" spans="2:18" x14ac:dyDescent="0.25">
      <c r="B48" s="1" t="str">
        <v>San Jose</v>
      </c>
      <c r="C48" s="1" t="str">
        <v>Noviembre</v>
      </c>
      <c r="D48" s="2">
        <v>46319</v>
      </c>
      <c r="E48" s="9">
        <v>1649</v>
      </c>
      <c r="F48" s="9">
        <v>34</v>
      </c>
      <c r="G48" s="9">
        <v>17</v>
      </c>
      <c r="J48" s="1" t="str">
        <v>San Benito</v>
      </c>
      <c r="K48" s="1" t="str">
        <v>Noviembre</v>
      </c>
      <c r="L48" s="2">
        <v>46288</v>
      </c>
      <c r="M48" s="9">
        <v>500</v>
      </c>
      <c r="N48" s="51">
        <v>1.47519</v>
      </c>
      <c r="O48" s="35">
        <v>737.59500000000003</v>
      </c>
      <c r="P48" s="1">
        <v>30</v>
      </c>
      <c r="Q48" s="1">
        <v>16</v>
      </c>
      <c r="R48" s="1">
        <v>20</v>
      </c>
    </row>
    <row r="49" spans="2:18" x14ac:dyDescent="0.25">
      <c r="B49" s="1" t="str">
        <v>San Marcos</v>
      </c>
      <c r="C49" s="1" t="str">
        <v>Noviembre</v>
      </c>
      <c r="D49" s="2">
        <v>46320</v>
      </c>
      <c r="E49" s="9">
        <v>5796</v>
      </c>
      <c r="F49" s="9">
        <v>120</v>
      </c>
      <c r="G49" s="9">
        <v>36</v>
      </c>
      <c r="J49" s="1" t="str">
        <v>San Benito</v>
      </c>
      <c r="K49" s="1" t="str">
        <v>Diciembre</v>
      </c>
      <c r="L49" s="2">
        <v>46288</v>
      </c>
      <c r="M49" s="9">
        <v>500</v>
      </c>
      <c r="N49" s="51">
        <v>1.47519</v>
      </c>
      <c r="O49" s="35">
        <v>737.59500000000003</v>
      </c>
      <c r="P49" s="1">
        <v>30</v>
      </c>
      <c r="Q49" s="1">
        <v>16</v>
      </c>
      <c r="R49" s="1">
        <v>20</v>
      </c>
    </row>
    <row r="50" spans="2:18" x14ac:dyDescent="0.25">
      <c r="B50" s="1" t="str">
        <v>San Marcos</v>
      </c>
      <c r="C50" s="1" t="str">
        <v>Diciembre</v>
      </c>
      <c r="D50" s="2">
        <v>46320</v>
      </c>
      <c r="E50" s="9">
        <v>5844</v>
      </c>
      <c r="F50" s="9">
        <v>121</v>
      </c>
      <c r="G50" s="9">
        <v>36</v>
      </c>
      <c r="J50" s="1" t="str">
        <v>San Jose</v>
      </c>
      <c r="K50" s="1" t="str">
        <v>Octubre</v>
      </c>
      <c r="L50" s="2">
        <v>46289</v>
      </c>
      <c r="M50" s="9">
        <v>1135</v>
      </c>
      <c r="N50" s="51">
        <v>1</v>
      </c>
      <c r="O50" s="35">
        <v>1135</v>
      </c>
      <c r="P50" s="1">
        <v>40</v>
      </c>
      <c r="Q50" s="1">
        <v>28</v>
      </c>
      <c r="R50" s="1">
        <v>15</v>
      </c>
    </row>
    <row r="51" spans="2:18" x14ac:dyDescent="0.25">
      <c r="B51" s="1" t="str">
        <v>San Pedro</v>
      </c>
      <c r="C51" s="1" t="str">
        <v>Noviembre</v>
      </c>
      <c r="D51" s="2">
        <v>46315</v>
      </c>
      <c r="E51" s="9">
        <v>976</v>
      </c>
      <c r="F51" s="9">
        <v>20</v>
      </c>
      <c r="G51" s="9">
        <v>16</v>
      </c>
      <c r="J51" s="1" t="str">
        <v>San Pablo</v>
      </c>
      <c r="K51" s="1" t="str">
        <v>Octubre / Noviembre / Diciembre</v>
      </c>
      <c r="L51" s="2">
        <v>46290</v>
      </c>
      <c r="M51" s="9">
        <v>3090</v>
      </c>
      <c r="N51" s="51">
        <v>1.22397</v>
      </c>
      <c r="O51" s="35">
        <v>3782.0673000000002</v>
      </c>
      <c r="P51" s="1">
        <v>35</v>
      </c>
      <c r="Q51" s="1">
        <v>88</v>
      </c>
      <c r="R51" s="1">
        <v>10</v>
      </c>
    </row>
    <row r="52" spans="2:18" x14ac:dyDescent="0.25">
      <c r="B52" s="1" t="str">
        <v>Santa</v>
      </c>
      <c r="C52" s="1" t="str">
        <v>Noviembre</v>
      </c>
      <c r="D52" s="2">
        <v>46318</v>
      </c>
      <c r="E52" s="9">
        <v>1481</v>
      </c>
      <c r="F52" s="9">
        <v>30</v>
      </c>
      <c r="G52" s="9">
        <v>41</v>
      </c>
      <c r="J52" s="1" t="str">
        <v>Soloco</v>
      </c>
      <c r="K52" s="1" t="str">
        <v>O.C.</v>
      </c>
      <c r="L52" s="2">
        <v>46274</v>
      </c>
      <c r="M52" s="9">
        <v>400</v>
      </c>
      <c r="N52" s="51">
        <v>1</v>
      </c>
      <c r="O52" s="35">
        <v>400</v>
      </c>
      <c r="P52" s="1">
        <v>40</v>
      </c>
      <c r="Q52" s="1">
        <v>10</v>
      </c>
      <c r="R52" s="1">
        <v>0</v>
      </c>
    </row>
    <row r="53" spans="2:18" x14ac:dyDescent="0.25">
      <c r="B53" s="1" t="str">
        <v>Sitacocha</v>
      </c>
      <c r="C53" s="1" t="str">
        <v>Diciembre</v>
      </c>
      <c r="D53" s="2">
        <v>46315</v>
      </c>
      <c r="E53" s="9">
        <v>1078</v>
      </c>
      <c r="F53" s="9">
        <v>22</v>
      </c>
      <c r="G53" s="9">
        <v>22</v>
      </c>
      <c r="J53" s="1" t="str">
        <v>Supe</v>
      </c>
      <c r="K53" s="1" t="str">
        <v>Septiembre / Octubre</v>
      </c>
      <c r="L53" s="2">
        <v>46295</v>
      </c>
      <c r="M53" s="9">
        <v>2000</v>
      </c>
      <c r="N53" s="51">
        <v>0.76859999999999995</v>
      </c>
      <c r="O53" s="35">
        <v>1537.1999999999998</v>
      </c>
      <c r="P53" s="1">
        <v>50</v>
      </c>
      <c r="Q53" s="1">
        <v>40</v>
      </c>
      <c r="R53" s="1">
        <v>0</v>
      </c>
    </row>
    <row r="54" spans="2:18" x14ac:dyDescent="0.25">
      <c r="B54" s="1" t="str">
        <v>Sitacocha</v>
      </c>
      <c r="C54" s="1" t="str">
        <v>Noviembre</v>
      </c>
      <c r="D54" s="2">
        <v>46315</v>
      </c>
      <c r="E54" s="9">
        <v>1078</v>
      </c>
      <c r="F54" s="9">
        <v>22</v>
      </c>
      <c r="G54" s="9">
        <v>22</v>
      </c>
      <c r="J54" s="1" t="str">
        <v>Totora</v>
      </c>
      <c r="K54" s="1" t="str">
        <v>O.C.</v>
      </c>
      <c r="L54" s="2">
        <v>46274</v>
      </c>
      <c r="M54" s="9">
        <v>146</v>
      </c>
      <c r="N54" s="51">
        <v>1</v>
      </c>
      <c r="O54" s="35">
        <v>146</v>
      </c>
      <c r="P54" s="1">
        <v>40</v>
      </c>
      <c r="Q54" s="1">
        <v>3</v>
      </c>
      <c r="R54" s="1">
        <v>26</v>
      </c>
    </row>
    <row r="55" spans="2:18" x14ac:dyDescent="0.25">
      <c r="B55" s="1" t="str">
        <v>Victor Larco</v>
      </c>
      <c r="C55" s="1" t="str">
        <v>Noviembre</v>
      </c>
      <c r="D55" s="2">
        <v>46323</v>
      </c>
      <c r="E55" s="9">
        <v>5325</v>
      </c>
      <c r="F55" s="9">
        <v>110</v>
      </c>
      <c r="G55" s="9">
        <v>45</v>
      </c>
      <c r="J55" s="1" t="str">
        <v>Trujillo</v>
      </c>
      <c r="K55" s="1" t="str">
        <v>Agosto</v>
      </c>
      <c r="L55" s="2">
        <v>46266</v>
      </c>
      <c r="M55" s="9">
        <v>10802.3</v>
      </c>
      <c r="N55" s="51">
        <v>1</v>
      </c>
      <c r="O55" s="35">
        <v>10802.3</v>
      </c>
      <c r="P55" s="1">
        <v>40</v>
      </c>
      <c r="Q55" s="1">
        <v>270</v>
      </c>
      <c r="R55" s="1">
        <v>2.2999999999992724</v>
      </c>
    </row>
    <row r="56" spans="2:18" x14ac:dyDescent="0.25">
      <c r="B56" s="1" t="str">
        <v>Viru</v>
      </c>
      <c r="C56" s="1" t="str">
        <v>Noviembre</v>
      </c>
      <c r="D56" s="2">
        <v>46321</v>
      </c>
      <c r="E56" s="9">
        <v>2960</v>
      </c>
      <c r="F56" s="9">
        <v>61</v>
      </c>
      <c r="G56" s="9">
        <v>32</v>
      </c>
      <c r="J56" s="1" t="str">
        <v>Trujillo</v>
      </c>
      <c r="K56" s="1" t="str">
        <v>Setiembre</v>
      </c>
      <c r="L56" s="2">
        <v>46266</v>
      </c>
      <c r="M56" s="9">
        <v>10802.3</v>
      </c>
      <c r="N56" s="51">
        <v>1</v>
      </c>
      <c r="O56" s="35">
        <v>10802.3</v>
      </c>
      <c r="P56" s="1">
        <v>40</v>
      </c>
      <c r="Q56" s="1">
        <v>270</v>
      </c>
      <c r="R56" s="1">
        <v>2.2999999999992724</v>
      </c>
    </row>
    <row r="57" spans="2:18" x14ac:dyDescent="0.25">
      <c r="B57" s="1" t="str">
        <v>Zapatero</v>
      </c>
      <c r="C57" s="1" t="str">
        <v>Noviembre</v>
      </c>
      <c r="D57" s="2">
        <v>46315</v>
      </c>
      <c r="E57" s="9">
        <v>1441</v>
      </c>
      <c r="F57" s="9">
        <v>30</v>
      </c>
      <c r="G57" s="9">
        <v>1</v>
      </c>
      <c r="J57" s="1" t="str">
        <v>Trujillo</v>
      </c>
      <c r="K57" s="1" t="str">
        <v>Octubre</v>
      </c>
      <c r="L57" s="2">
        <v>46266</v>
      </c>
      <c r="M57" s="9">
        <v>10454</v>
      </c>
      <c r="N57" s="51">
        <v>1</v>
      </c>
      <c r="O57" s="35">
        <v>10454</v>
      </c>
      <c r="P57" s="1">
        <v>40</v>
      </c>
      <c r="Q57" s="1">
        <v>261</v>
      </c>
      <c r="R57" s="1">
        <v>14</v>
      </c>
    </row>
    <row r="58" spans="2:18" x14ac:dyDescent="0.25">
      <c r="J58" s="1" t="str">
        <v>Tumbaden</v>
      </c>
      <c r="K58" s="1" t="str">
        <v>Octubre / Noviembre / Diciembre</v>
      </c>
      <c r="L58" s="2">
        <v>46293</v>
      </c>
      <c r="M58" s="9">
        <v>6898.9179999999997</v>
      </c>
      <c r="N58" s="51">
        <v>0.5</v>
      </c>
      <c r="O58" s="35">
        <v>3449.4589999999998</v>
      </c>
      <c r="P58" s="1">
        <v>80</v>
      </c>
      <c r="Q58" s="1">
        <v>86</v>
      </c>
      <c r="R58" s="1">
        <v>18.917999999999665</v>
      </c>
    </row>
    <row r="59" spans="2:18" x14ac:dyDescent="0.25">
      <c r="J59" s="1" t="str">
        <v>Yautan</v>
      </c>
      <c r="K59" s="1" t="str">
        <v>Octubre / Noviembre / Diciembre</v>
      </c>
      <c r="L59" s="2">
        <v>46295</v>
      </c>
      <c r="M59" s="9">
        <v>1989</v>
      </c>
      <c r="N59" s="51">
        <v>1.5</v>
      </c>
      <c r="O59" s="35">
        <v>2983.5</v>
      </c>
      <c r="P59" s="1">
        <v>30</v>
      </c>
      <c r="Q59" s="1">
        <v>66</v>
      </c>
      <c r="R59" s="1">
        <v>9</v>
      </c>
    </row>
    <row r="60" spans="2:18" ht="14.25" customHeight="1" x14ac:dyDescent="0.25">
      <c r="B60" s="148" t="s">
        <v>532</v>
      </c>
      <c r="C60" s="148"/>
      <c r="D60" s="148"/>
      <c r="E60" s="100">
        <f>SUM(E5:E59)</f>
        <v>151506</v>
      </c>
      <c r="F60" s="100">
        <f>ROUNDDOWN(E60/48,0)</f>
        <v>3156</v>
      </c>
      <c r="G60" s="100">
        <f>E60-F60*48</f>
        <v>18</v>
      </c>
    </row>
    <row r="64" spans="2:18" x14ac:dyDescent="0.25">
      <c r="C64" s="146" t="s">
        <v>533</v>
      </c>
      <c r="D64" s="146"/>
    </row>
    <row r="65" spans="3:12" x14ac:dyDescent="0.25">
      <c r="C65" s="71" t="s">
        <v>534</v>
      </c>
      <c r="D65" s="9">
        <f>F60</f>
        <v>3156</v>
      </c>
    </row>
    <row r="66" spans="3:12" x14ac:dyDescent="0.25">
      <c r="C66" s="71" t="s">
        <v>535</v>
      </c>
      <c r="D66" s="9">
        <f>Almacen!C3/48</f>
        <v>2351.5364583333235</v>
      </c>
    </row>
    <row r="67" spans="3:12" x14ac:dyDescent="0.25">
      <c r="C67" s="71" t="s">
        <v>536</v>
      </c>
      <c r="D67" s="9">
        <f>225</f>
        <v>225</v>
      </c>
      <c r="L67"/>
    </row>
    <row r="68" spans="3:12" x14ac:dyDescent="0.25">
      <c r="C68" s="118" t="s">
        <v>537</v>
      </c>
      <c r="D68" s="119">
        <f>(D65-D66-D67)</f>
        <v>579.46354166667652</v>
      </c>
      <c r="L68"/>
    </row>
    <row r="69" spans="3:12" x14ac:dyDescent="0.25">
      <c r="L69"/>
    </row>
  </sheetData>
  <autoFilter ref="J4:R78" xr:uid="{9F85961A-912D-44BF-B87A-FA1749C3938B}"/>
  <mergeCells count="6">
    <mergeCell ref="J2:M2"/>
    <mergeCell ref="J3:R3"/>
    <mergeCell ref="C64:D64"/>
    <mergeCell ref="B3:G3"/>
    <mergeCell ref="B60:D60"/>
    <mergeCell ref="B2:C2"/>
  </mergeCells>
  <phoneticPr fontId="2" type="noConversion"/>
  <pageMargins left="0.7" right="0.7" top="0.75" bottom="0.75" header="0.3" footer="0.3"/>
  <pageSetup paperSize="9" scale="3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AF6FC1-FB27-4EF3-A504-C673612CF8A8}">
          <x14:formula1>
            <xm:f>Calculo!$B$24:$B$35</xm:f>
          </x14:formula1>
          <xm:sqref>D2 N2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0D9B-7C45-477D-998D-C0B5C92A328C}">
  <sheetPr>
    <pageSetUpPr fitToPage="1"/>
  </sheetPr>
  <dimension ref="B2:S100"/>
  <sheetViews>
    <sheetView showGridLines="0" zoomScaleNormal="100" workbookViewId="0">
      <selection activeCell="N2" sqref="N2"/>
    </sheetView>
  </sheetViews>
  <sheetFormatPr baseColWidth="10" defaultColWidth="10.7109375" defaultRowHeight="15" x14ac:dyDescent="0.25"/>
  <cols>
    <col min="2" max="2" width="22" style="1" bestFit="1" customWidth="1"/>
    <col min="3" max="3" width="31" style="1" customWidth="1"/>
    <col min="4" max="4" width="12.7109375" style="2" bestFit="1" customWidth="1"/>
    <col min="5" max="5" width="12.28515625" style="9" customWidth="1"/>
    <col min="6" max="6" width="13.7109375" style="9" bestFit="1" customWidth="1"/>
    <col min="7" max="7" width="11.42578125" style="9" bestFit="1" customWidth="1"/>
    <col min="8" max="8" width="11.42578125" style="2" bestFit="1" customWidth="1"/>
    <col min="9" max="9" width="10.7109375" style="1" bestFit="1" customWidth="1"/>
    <col min="10" max="10" width="18.7109375" style="1" bestFit="1" customWidth="1"/>
    <col min="11" max="11" width="22.28515625" style="1" bestFit="1" customWidth="1"/>
    <col min="12" max="12" width="11.5703125" style="2" bestFit="1" customWidth="1"/>
    <col min="13" max="13" width="11.42578125" style="9" bestFit="1" customWidth="1"/>
    <col min="14" max="14" width="10.7109375" style="51" bestFit="1" customWidth="1"/>
    <col min="15" max="15" width="12" style="35" bestFit="1" customWidth="1"/>
    <col min="16" max="16" width="12.42578125" style="1" bestFit="1" customWidth="1"/>
    <col min="17" max="17" width="10.28515625" style="1" bestFit="1" customWidth="1"/>
    <col min="18" max="18" width="10.7109375" style="1" bestFit="1" customWidth="1"/>
    <col min="19" max="19" width="11.42578125" style="32" bestFit="1" customWidth="1"/>
  </cols>
  <sheetData>
    <row r="2" spans="2:19" ht="18.75" x14ac:dyDescent="0.3">
      <c r="B2" s="144" t="s">
        <v>529</v>
      </c>
      <c r="C2" s="144"/>
      <c r="D2" s="101" t="s">
        <v>25</v>
      </c>
      <c r="E2" s="103"/>
      <c r="F2" s="103"/>
      <c r="G2" s="103"/>
      <c r="H2" s="127">
        <f>MONTH(1&amp;D2)</f>
        <v>9</v>
      </c>
      <c r="I2" s="102"/>
      <c r="J2" s="144" t="s">
        <v>538</v>
      </c>
      <c r="K2" s="144"/>
      <c r="L2" s="144"/>
      <c r="M2" s="144"/>
      <c r="N2" s="106" t="s">
        <v>25</v>
      </c>
      <c r="O2" s="104"/>
      <c r="P2" s="101"/>
      <c r="Q2" s="101"/>
      <c r="R2" s="101"/>
      <c r="S2" s="102">
        <f>MONTH(1&amp;N2)</f>
        <v>9</v>
      </c>
    </row>
    <row r="3" spans="2:19" ht="18.75" customHeight="1" x14ac:dyDescent="0.25">
      <c r="B3" s="147" t="s">
        <v>530</v>
      </c>
      <c r="C3" s="147"/>
      <c r="D3" s="147"/>
      <c r="E3" s="147"/>
      <c r="F3" s="147"/>
      <c r="G3" s="147"/>
      <c r="J3" s="145" t="s">
        <v>531</v>
      </c>
      <c r="K3" s="145"/>
      <c r="L3" s="145"/>
      <c r="M3" s="145"/>
      <c r="N3" s="145"/>
      <c r="O3" s="145"/>
      <c r="P3" s="145"/>
      <c r="Q3" s="145"/>
      <c r="R3" s="145"/>
    </row>
    <row r="4" spans="2:19" s="1" customFormat="1" ht="18.75" customHeight="1" x14ac:dyDescent="0.25">
      <c r="B4" s="91" t="s">
        <v>1</v>
      </c>
      <c r="C4" s="91" t="s">
        <v>2</v>
      </c>
      <c r="D4" s="99" t="s">
        <v>3</v>
      </c>
      <c r="E4" s="93" t="s">
        <v>404</v>
      </c>
      <c r="F4" s="93" t="s">
        <v>405</v>
      </c>
      <c r="G4" s="93" t="s">
        <v>9</v>
      </c>
      <c r="H4" s="2"/>
      <c r="J4" s="91" t="s">
        <v>1</v>
      </c>
      <c r="K4" s="91" t="s">
        <v>2</v>
      </c>
      <c r="L4" s="99" t="s">
        <v>3</v>
      </c>
      <c r="M4" s="93" t="s">
        <v>4</v>
      </c>
      <c r="N4" s="107" t="s">
        <v>5</v>
      </c>
      <c r="O4" s="105" t="s">
        <v>6</v>
      </c>
      <c r="P4" s="93" t="s">
        <v>7</v>
      </c>
      <c r="Q4" s="93" t="s">
        <v>8</v>
      </c>
      <c r="R4" s="93" t="s">
        <v>9</v>
      </c>
      <c r="S4" s="2"/>
    </row>
    <row r="5" spans="2:19" x14ac:dyDescent="0.25">
      <c r="B5" s="1" t="e" cm="1" vm="1">
        <f t="array" aca="1" ref="B5" ca="1">_xlfn._xlws.FILTER(Leche[MUNICIPALIDAD]:Leche[ENTREGA],(MONTH(Leche[ENTREGA])=H2)*(YEAR(Leche[ENTREGA])=2026))</f>
        <v>#VALUE!</v>
      </c>
      <c r="J5" s="1" t="str" cm="1">
        <f t="array" ref="J5:R100">_xlfn._xlws.FILTER(Cereal[MUNICIPALIDAD]:Cereal[UNIDADES], (MONTH(Cereal[PRODUCCIÓN])=S2) * (YEAR(Cereal[PRODUCCIÓN])=2026))</f>
        <v>Alto Trujillo</v>
      </c>
      <c r="K5" s="1" t="str">
        <v>Octubre</v>
      </c>
      <c r="L5" s="2">
        <v>46295</v>
      </c>
      <c r="M5" s="9">
        <v>3120</v>
      </c>
      <c r="N5" s="51">
        <v>0.95145999999999997</v>
      </c>
      <c r="O5" s="35">
        <v>2968.5551999999998</v>
      </c>
      <c r="P5" s="1">
        <v>40</v>
      </c>
      <c r="Q5" s="1">
        <v>78</v>
      </c>
      <c r="R5" s="1">
        <v>0</v>
      </c>
    </row>
    <row r="6" spans="2:19" x14ac:dyDescent="0.25">
      <c r="J6" s="1" t="str">
        <v>Ascope</v>
      </c>
      <c r="K6" s="1" t="str">
        <v>Octubre / Noviembre / Diciembre</v>
      </c>
      <c r="L6" s="2">
        <v>46280</v>
      </c>
      <c r="M6" s="9">
        <v>2400</v>
      </c>
      <c r="N6" s="51">
        <v>0.77800000000000002</v>
      </c>
      <c r="O6" s="35">
        <v>1867.2</v>
      </c>
      <c r="P6" s="1">
        <v>60</v>
      </c>
      <c r="Q6" s="1">
        <v>40</v>
      </c>
      <c r="R6" s="1">
        <v>0</v>
      </c>
    </row>
    <row r="7" spans="2:19" x14ac:dyDescent="0.25">
      <c r="J7" s="1" t="str">
        <v>Cachachi</v>
      </c>
      <c r="K7" s="1" t="str">
        <v>Octubre</v>
      </c>
      <c r="L7" s="2">
        <v>46290</v>
      </c>
      <c r="M7" s="9">
        <v>6500</v>
      </c>
      <c r="N7" s="51">
        <v>0.8</v>
      </c>
      <c r="O7" s="35">
        <v>5200</v>
      </c>
      <c r="P7" s="1">
        <v>50</v>
      </c>
      <c r="Q7" s="1">
        <v>130</v>
      </c>
      <c r="R7" s="1">
        <v>0</v>
      </c>
    </row>
    <row r="8" spans="2:19" x14ac:dyDescent="0.25">
      <c r="J8" s="1" t="str">
        <v>Cajabamba</v>
      </c>
      <c r="K8" s="1" t="str">
        <v>Octubre</v>
      </c>
      <c r="L8" s="2">
        <v>46279</v>
      </c>
      <c r="M8" s="9">
        <v>1012.86</v>
      </c>
      <c r="N8" s="51">
        <v>1</v>
      </c>
      <c r="O8" s="35">
        <v>1012.86</v>
      </c>
      <c r="P8" s="1">
        <v>40</v>
      </c>
      <c r="Q8" s="1">
        <v>25</v>
      </c>
      <c r="R8" s="1">
        <v>12.860000000000014</v>
      </c>
    </row>
    <row r="9" spans="2:19" x14ac:dyDescent="0.25">
      <c r="J9" s="1" t="str">
        <v>Cajabamba</v>
      </c>
      <c r="K9" s="1" t="str">
        <v>Noviembre</v>
      </c>
      <c r="L9" s="2">
        <v>46279</v>
      </c>
      <c r="M9" s="9">
        <v>980.18</v>
      </c>
      <c r="N9" s="51">
        <v>1</v>
      </c>
      <c r="O9" s="35">
        <v>980.18</v>
      </c>
      <c r="P9" s="1">
        <v>40</v>
      </c>
      <c r="Q9" s="1">
        <v>24</v>
      </c>
      <c r="R9" s="1">
        <v>20.17999999999995</v>
      </c>
    </row>
    <row r="10" spans="2:19" x14ac:dyDescent="0.25">
      <c r="J10" s="1" t="str">
        <v>Cajabamba Leche</v>
      </c>
      <c r="K10" s="1" t="str">
        <v>Octubre</v>
      </c>
      <c r="L10" s="2">
        <v>46279</v>
      </c>
      <c r="M10" s="9">
        <v>3269.81</v>
      </c>
      <c r="N10" s="51">
        <v>1</v>
      </c>
      <c r="O10" s="35">
        <v>3269.81</v>
      </c>
      <c r="P10" s="1">
        <v>40</v>
      </c>
      <c r="Q10" s="1">
        <v>81</v>
      </c>
      <c r="R10" s="1">
        <v>29.809999999999945</v>
      </c>
    </row>
    <row r="11" spans="2:19" x14ac:dyDescent="0.25">
      <c r="J11" s="1" t="str">
        <v>Cajabamba Leche</v>
      </c>
      <c r="K11" s="1" t="str">
        <v>Noviembre</v>
      </c>
      <c r="L11" s="2">
        <v>46279</v>
      </c>
      <c r="M11" s="9">
        <v>3164.33</v>
      </c>
      <c r="N11" s="51">
        <v>1</v>
      </c>
      <c r="O11" s="35">
        <v>3164.33</v>
      </c>
      <c r="P11" s="1">
        <v>40</v>
      </c>
      <c r="Q11" s="1">
        <v>79</v>
      </c>
      <c r="R11" s="1">
        <v>4.3299999999999272</v>
      </c>
    </row>
    <row r="12" spans="2:19" x14ac:dyDescent="0.25">
      <c r="J12" s="1" t="str">
        <v>Cajamarca Rur</v>
      </c>
      <c r="K12" s="1" t="str">
        <v>Septiembre</v>
      </c>
      <c r="L12" s="2">
        <v>46266</v>
      </c>
      <c r="M12" s="9">
        <v>4455</v>
      </c>
      <c r="N12" s="51">
        <v>2.4</v>
      </c>
      <c r="O12" s="35">
        <v>10692</v>
      </c>
      <c r="P12" s="1">
        <v>18</v>
      </c>
      <c r="Q12" s="1">
        <v>247</v>
      </c>
      <c r="R12" s="1">
        <v>9</v>
      </c>
    </row>
    <row r="13" spans="2:19" x14ac:dyDescent="0.25">
      <c r="J13" s="1" t="str">
        <v>Cajamarca Rur</v>
      </c>
      <c r="K13" s="1" t="str">
        <v>Octubre</v>
      </c>
      <c r="L13" s="2">
        <v>46266</v>
      </c>
      <c r="M13" s="9">
        <v>4455</v>
      </c>
      <c r="N13" s="51">
        <v>2.48</v>
      </c>
      <c r="O13" s="35">
        <v>11048.4</v>
      </c>
      <c r="P13" s="1">
        <v>18</v>
      </c>
      <c r="Q13" s="1">
        <v>247</v>
      </c>
      <c r="R13" s="1">
        <v>9</v>
      </c>
    </row>
    <row r="14" spans="2:19" x14ac:dyDescent="0.25">
      <c r="J14" s="1" t="str">
        <v>Cajamarca Urb</v>
      </c>
      <c r="K14" s="1" t="str">
        <v>Setiembre</v>
      </c>
      <c r="L14" s="2">
        <v>46266</v>
      </c>
      <c r="M14" s="9">
        <v>2500</v>
      </c>
      <c r="N14" s="51">
        <v>1.8162</v>
      </c>
      <c r="O14" s="35">
        <v>4540.5</v>
      </c>
      <c r="P14" s="1">
        <v>25</v>
      </c>
      <c r="Q14" s="1">
        <v>100</v>
      </c>
      <c r="R14" s="1">
        <v>0</v>
      </c>
    </row>
    <row r="15" spans="2:19" x14ac:dyDescent="0.25">
      <c r="J15" s="1" t="str">
        <v>Cajamarca Urb</v>
      </c>
      <c r="K15" s="1" t="str">
        <v>Octubre</v>
      </c>
      <c r="L15" s="2">
        <v>46266</v>
      </c>
      <c r="M15" s="9">
        <v>2500</v>
      </c>
      <c r="N15" s="51">
        <v>1.8767400000000001</v>
      </c>
      <c r="O15" s="35">
        <v>4691.8500000000004</v>
      </c>
      <c r="P15" s="1">
        <v>25</v>
      </c>
      <c r="Q15" s="1">
        <v>100</v>
      </c>
      <c r="R15" s="1">
        <v>0</v>
      </c>
    </row>
    <row r="16" spans="2:19" x14ac:dyDescent="0.25">
      <c r="J16" s="1" t="str">
        <v>Cajatambo</v>
      </c>
      <c r="K16" s="1" t="str">
        <v>O.C.</v>
      </c>
      <c r="L16" s="2">
        <v>46276</v>
      </c>
      <c r="M16" s="9">
        <v>840</v>
      </c>
      <c r="N16" s="51">
        <v>0.5</v>
      </c>
      <c r="O16" s="35">
        <v>420</v>
      </c>
      <c r="P16" s="1">
        <v>80</v>
      </c>
      <c r="Q16" s="1">
        <v>10</v>
      </c>
      <c r="R16" s="1">
        <v>40</v>
      </c>
    </row>
    <row r="17" spans="10:18" x14ac:dyDescent="0.25">
      <c r="J17" s="1" t="str">
        <v>Cajatambo</v>
      </c>
      <c r="K17" s="1" t="str">
        <v>Octubre</v>
      </c>
      <c r="L17" s="2">
        <v>46280</v>
      </c>
      <c r="M17" s="9">
        <v>660</v>
      </c>
      <c r="N17" s="51">
        <v>0.5</v>
      </c>
      <c r="O17" s="35">
        <v>330</v>
      </c>
      <c r="P17" s="1">
        <v>80</v>
      </c>
      <c r="Q17" s="1">
        <v>8</v>
      </c>
      <c r="R17" s="1">
        <v>20</v>
      </c>
    </row>
    <row r="18" spans="10:18" x14ac:dyDescent="0.25">
      <c r="J18" s="1" t="str">
        <v>Cajatambo</v>
      </c>
      <c r="K18" s="1" t="str">
        <v>Noviembre</v>
      </c>
      <c r="L18" s="2">
        <v>46280</v>
      </c>
      <c r="M18" s="9">
        <v>660</v>
      </c>
      <c r="N18" s="51">
        <v>0.5</v>
      </c>
      <c r="O18" s="35">
        <v>330</v>
      </c>
      <c r="P18" s="1">
        <v>80</v>
      </c>
      <c r="Q18" s="1">
        <v>8</v>
      </c>
      <c r="R18" s="1">
        <v>20</v>
      </c>
    </row>
    <row r="19" spans="10:18" x14ac:dyDescent="0.25">
      <c r="J19" s="1" t="str">
        <v>Cajatambo</v>
      </c>
      <c r="K19" s="1" t="str">
        <v>Diciembre</v>
      </c>
      <c r="L19" s="2">
        <v>46280</v>
      </c>
      <c r="M19" s="9">
        <v>660</v>
      </c>
      <c r="N19" s="51">
        <v>0.5</v>
      </c>
      <c r="O19" s="35">
        <v>330</v>
      </c>
      <c r="P19" s="1">
        <v>80</v>
      </c>
      <c r="Q19" s="1">
        <v>8</v>
      </c>
      <c r="R19" s="1">
        <v>20</v>
      </c>
    </row>
    <row r="20" spans="10:18" x14ac:dyDescent="0.25">
      <c r="J20" s="1" t="str">
        <v>Carabamba1</v>
      </c>
      <c r="K20" s="1" t="str">
        <v>Octubre</v>
      </c>
      <c r="L20" s="2">
        <v>46286</v>
      </c>
      <c r="M20" s="9">
        <v>1880</v>
      </c>
      <c r="N20" s="51">
        <v>0.85470829999999998</v>
      </c>
      <c r="O20" s="35">
        <v>1606.851604</v>
      </c>
      <c r="P20" s="1">
        <v>50</v>
      </c>
      <c r="Q20" s="1">
        <v>37</v>
      </c>
      <c r="R20" s="1">
        <v>30</v>
      </c>
    </row>
    <row r="21" spans="10:18" x14ac:dyDescent="0.25">
      <c r="J21" s="1" t="str">
        <v>Casa Grande</v>
      </c>
      <c r="K21" s="1" t="str">
        <v>Octubre</v>
      </c>
      <c r="L21" s="2">
        <v>46270</v>
      </c>
      <c r="M21" s="9">
        <v>1127</v>
      </c>
      <c r="N21" s="51">
        <v>1.3554299999999999</v>
      </c>
      <c r="O21" s="35">
        <v>1527.56961</v>
      </c>
      <c r="P21" s="1">
        <v>30</v>
      </c>
      <c r="Q21" s="1">
        <v>37</v>
      </c>
      <c r="R21" s="1">
        <v>17</v>
      </c>
    </row>
    <row r="22" spans="10:18" x14ac:dyDescent="0.25">
      <c r="J22" s="1" t="str">
        <v>Catilluc</v>
      </c>
      <c r="K22" s="1" t="str">
        <v>Julio / Agosto / Septiembre</v>
      </c>
      <c r="L22" s="2">
        <v>46203</v>
      </c>
      <c r="M22" s="9">
        <v>2746</v>
      </c>
      <c r="N22" s="51">
        <v>1.044</v>
      </c>
      <c r="O22" s="35">
        <v>2866.8240000000001</v>
      </c>
      <c r="P22" s="1">
        <v>40</v>
      </c>
      <c r="Q22" s="1">
        <v>68</v>
      </c>
      <c r="R22" s="1">
        <v>26</v>
      </c>
    </row>
    <row r="23" spans="10:18" x14ac:dyDescent="0.25">
      <c r="J23" s="1" t="str">
        <v>Catilluc</v>
      </c>
      <c r="K23" s="1" t="str">
        <v>O.C.</v>
      </c>
      <c r="L23" s="2">
        <v>46234</v>
      </c>
      <c r="M23" s="9">
        <v>1076</v>
      </c>
      <c r="N23" s="51">
        <v>1.044</v>
      </c>
      <c r="O23" s="35">
        <v>1123.3440000000001</v>
      </c>
      <c r="P23" s="1">
        <v>40</v>
      </c>
      <c r="Q23" s="1">
        <v>26</v>
      </c>
      <c r="R23" s="1">
        <v>36</v>
      </c>
    </row>
    <row r="24" spans="10:18" x14ac:dyDescent="0.25">
      <c r="J24" s="1" t="str">
        <v>Chao</v>
      </c>
      <c r="K24" s="1" t="str">
        <v>Octubre</v>
      </c>
      <c r="L24" s="2">
        <v>46288</v>
      </c>
      <c r="M24" s="9">
        <v>1405.68</v>
      </c>
      <c r="N24" s="51">
        <v>1</v>
      </c>
      <c r="O24" s="35">
        <v>1405.68</v>
      </c>
      <c r="P24" s="1">
        <v>40</v>
      </c>
      <c r="Q24" s="1">
        <v>35</v>
      </c>
      <c r="R24" s="1">
        <v>5.6800000000000637</v>
      </c>
    </row>
    <row r="25" spans="10:18" x14ac:dyDescent="0.25">
      <c r="J25" s="1" t="str">
        <v>Chiclayo</v>
      </c>
      <c r="K25" s="1" t="str">
        <v>Octubre</v>
      </c>
      <c r="L25" s="2">
        <v>46293</v>
      </c>
      <c r="M25" s="9">
        <v>8951</v>
      </c>
      <c r="N25" s="51">
        <v>1</v>
      </c>
      <c r="O25" s="35">
        <v>8951</v>
      </c>
      <c r="P25" s="1">
        <v>40</v>
      </c>
      <c r="Q25" s="1">
        <v>223</v>
      </c>
      <c r="R25" s="1">
        <v>31</v>
      </c>
    </row>
    <row r="26" spans="10:18" x14ac:dyDescent="0.25">
      <c r="J26" s="1" t="str">
        <v>Chilete</v>
      </c>
      <c r="K26" s="1" t="str">
        <v>O.C.</v>
      </c>
      <c r="L26" s="2">
        <v>46289</v>
      </c>
      <c r="M26" s="9">
        <v>860</v>
      </c>
      <c r="N26" s="51">
        <v>0.68615999999999999</v>
      </c>
      <c r="O26" s="35">
        <v>590.09759999999994</v>
      </c>
      <c r="P26" s="1">
        <v>60</v>
      </c>
      <c r="Q26" s="1">
        <v>14</v>
      </c>
      <c r="R26" s="1">
        <v>20</v>
      </c>
    </row>
    <row r="27" spans="10:18" x14ac:dyDescent="0.25">
      <c r="J27" s="1" t="str">
        <v>Chilete</v>
      </c>
      <c r="K27" s="1" t="str">
        <v>Octubre</v>
      </c>
      <c r="L27" s="2">
        <v>46295</v>
      </c>
      <c r="M27" s="9">
        <v>860</v>
      </c>
      <c r="N27" s="51">
        <v>0.93371999999999999</v>
      </c>
      <c r="O27" s="35">
        <v>802.99919999999997</v>
      </c>
      <c r="P27" s="1">
        <v>45</v>
      </c>
      <c r="Q27" s="1">
        <v>19</v>
      </c>
      <c r="R27" s="1">
        <v>5</v>
      </c>
    </row>
    <row r="28" spans="10:18" x14ac:dyDescent="0.25">
      <c r="J28" s="1" t="str">
        <v>Chilete</v>
      </c>
      <c r="K28" s="1" t="str">
        <v>Noviembre</v>
      </c>
      <c r="L28" s="2">
        <v>46295</v>
      </c>
      <c r="M28" s="9">
        <v>860</v>
      </c>
      <c r="N28" s="51">
        <v>0.90359999999999996</v>
      </c>
      <c r="O28" s="35">
        <v>777.096</v>
      </c>
      <c r="P28" s="1">
        <v>45</v>
      </c>
      <c r="Q28" s="1">
        <v>19</v>
      </c>
      <c r="R28" s="1">
        <v>5</v>
      </c>
    </row>
    <row r="29" spans="10:18" x14ac:dyDescent="0.25">
      <c r="J29" s="1" t="str">
        <v>Chilete</v>
      </c>
      <c r="K29" s="1" t="str">
        <v>Diciembre</v>
      </c>
      <c r="L29" s="2">
        <v>46295</v>
      </c>
      <c r="M29" s="9">
        <v>860</v>
      </c>
      <c r="N29" s="51">
        <v>0.93371999999999999</v>
      </c>
      <c r="O29" s="35">
        <v>802.99919999999997</v>
      </c>
      <c r="P29" s="1">
        <v>45</v>
      </c>
      <c r="Q29" s="1">
        <v>19</v>
      </c>
      <c r="R29" s="1">
        <v>5</v>
      </c>
    </row>
    <row r="30" spans="10:18" x14ac:dyDescent="0.25">
      <c r="J30" s="1" t="str">
        <v>Chocope</v>
      </c>
      <c r="K30" s="1" t="str">
        <v>Octubre</v>
      </c>
      <c r="L30" s="2">
        <v>46283</v>
      </c>
      <c r="M30" s="9">
        <v>1010</v>
      </c>
      <c r="N30" s="51">
        <v>0.86799999999999999</v>
      </c>
      <c r="O30" s="35">
        <v>876.68</v>
      </c>
      <c r="P30" s="1">
        <v>50</v>
      </c>
      <c r="Q30" s="1">
        <v>20</v>
      </c>
      <c r="R30" s="1">
        <v>10</v>
      </c>
    </row>
    <row r="31" spans="10:18" x14ac:dyDescent="0.25">
      <c r="J31" s="1" t="str">
        <v>Chongoyape</v>
      </c>
      <c r="K31" s="1" t="str">
        <v>Octubre</v>
      </c>
      <c r="L31" s="2">
        <v>46290</v>
      </c>
      <c r="M31" s="9">
        <v>1100</v>
      </c>
      <c r="N31" s="51">
        <v>1.5201</v>
      </c>
      <c r="O31" s="35">
        <v>1672.11</v>
      </c>
      <c r="P31" s="1">
        <v>30</v>
      </c>
      <c r="Q31" s="1">
        <v>36</v>
      </c>
      <c r="R31" s="1">
        <v>20</v>
      </c>
    </row>
    <row r="32" spans="10:18" x14ac:dyDescent="0.25">
      <c r="J32" s="1" t="str">
        <v>Coishco</v>
      </c>
      <c r="K32" s="1" t="str">
        <v>Octubre</v>
      </c>
      <c r="L32" s="2">
        <v>46293</v>
      </c>
      <c r="M32" s="9">
        <v>1128</v>
      </c>
      <c r="N32" s="51">
        <v>1.70333</v>
      </c>
      <c r="O32" s="35">
        <v>1921.3562400000001</v>
      </c>
      <c r="P32" s="1">
        <v>22</v>
      </c>
      <c r="Q32" s="1">
        <v>51</v>
      </c>
      <c r="R32" s="1">
        <v>6</v>
      </c>
    </row>
    <row r="33" spans="10:18" x14ac:dyDescent="0.25">
      <c r="J33" s="1" t="str">
        <v>Encañada</v>
      </c>
      <c r="K33" s="1" t="str">
        <v>O.C.</v>
      </c>
      <c r="L33" s="2">
        <v>46264</v>
      </c>
      <c r="M33" s="9">
        <v>33338</v>
      </c>
      <c r="N33" s="51">
        <v>1.0007999999999999</v>
      </c>
      <c r="O33" s="35">
        <v>33364.670399999995</v>
      </c>
      <c r="P33" s="1">
        <v>40</v>
      </c>
      <c r="Q33" s="1">
        <v>833</v>
      </c>
      <c r="R33" s="1">
        <v>18</v>
      </c>
    </row>
    <row r="34" spans="10:18" x14ac:dyDescent="0.25">
      <c r="J34" s="1" t="str">
        <v>Encañada</v>
      </c>
      <c r="K34" s="1" t="str">
        <v>Octubre / Noviembre / Diciembre</v>
      </c>
      <c r="L34" s="2">
        <v>46293</v>
      </c>
      <c r="M34" s="9">
        <v>12501</v>
      </c>
      <c r="N34" s="51">
        <v>1.68</v>
      </c>
      <c r="O34" s="35">
        <v>21001.68</v>
      </c>
      <c r="P34" s="1">
        <v>25</v>
      </c>
      <c r="Q34" s="1">
        <v>500</v>
      </c>
      <c r="R34" s="1">
        <v>1</v>
      </c>
    </row>
    <row r="35" spans="10:18" x14ac:dyDescent="0.25">
      <c r="J35" s="1" t="str">
        <v>Florencia de Mora</v>
      </c>
      <c r="K35" s="1" t="str">
        <v>O.C.</v>
      </c>
      <c r="L35" s="2">
        <v>46288</v>
      </c>
      <c r="M35" s="9">
        <v>4480</v>
      </c>
      <c r="N35" s="51">
        <v>0.83499999999999996</v>
      </c>
      <c r="O35" s="35">
        <v>3740.7999999999997</v>
      </c>
      <c r="P35" s="1">
        <v>40</v>
      </c>
      <c r="Q35" s="1">
        <v>112</v>
      </c>
      <c r="R35" s="1">
        <v>0</v>
      </c>
    </row>
    <row r="36" spans="10:18" x14ac:dyDescent="0.25">
      <c r="J36" s="1" t="str">
        <v>Guadalupito</v>
      </c>
      <c r="K36" s="1" t="str">
        <v>Octubre</v>
      </c>
      <c r="L36" s="2">
        <v>46295</v>
      </c>
      <c r="M36" s="9">
        <v>1200</v>
      </c>
      <c r="N36" s="51">
        <v>0.72354399999999996</v>
      </c>
      <c r="O36" s="35">
        <v>868.25279999999998</v>
      </c>
      <c r="P36" s="1">
        <v>60</v>
      </c>
      <c r="Q36" s="1">
        <v>20</v>
      </c>
      <c r="R36" s="1">
        <v>0</v>
      </c>
    </row>
    <row r="37" spans="10:18" x14ac:dyDescent="0.25">
      <c r="J37" s="1" t="str">
        <v>Huabal</v>
      </c>
      <c r="K37" s="1" t="str">
        <v>Setiembre</v>
      </c>
      <c r="L37" s="2">
        <v>46280</v>
      </c>
      <c r="M37" s="9">
        <v>1433</v>
      </c>
      <c r="N37" s="51">
        <v>1</v>
      </c>
      <c r="O37" s="35">
        <v>1433</v>
      </c>
      <c r="P37" s="1">
        <v>40</v>
      </c>
      <c r="Q37" s="1">
        <v>35</v>
      </c>
      <c r="R37" s="1">
        <v>33</v>
      </c>
    </row>
    <row r="38" spans="10:18" x14ac:dyDescent="0.25">
      <c r="J38" s="1" t="str">
        <v>Huabal</v>
      </c>
      <c r="K38" s="1" t="str">
        <v>Octubre</v>
      </c>
      <c r="L38" s="2">
        <v>46280</v>
      </c>
      <c r="M38" s="9">
        <v>1433</v>
      </c>
      <c r="N38" s="51">
        <v>1</v>
      </c>
      <c r="O38" s="35">
        <v>1433</v>
      </c>
      <c r="P38" s="1">
        <v>40</v>
      </c>
      <c r="Q38" s="1">
        <v>35</v>
      </c>
      <c r="R38" s="1">
        <v>33</v>
      </c>
    </row>
    <row r="39" spans="10:18" x14ac:dyDescent="0.25">
      <c r="J39" s="1" t="str">
        <v>Hualgayoc</v>
      </c>
      <c r="K39" s="1" t="str">
        <v>O.C.</v>
      </c>
      <c r="L39" s="2">
        <v>46285</v>
      </c>
      <c r="M39" s="9">
        <v>2333</v>
      </c>
      <c r="N39" s="51">
        <v>1.397</v>
      </c>
      <c r="O39" s="35">
        <v>3259.201</v>
      </c>
      <c r="P39" s="1">
        <v>30</v>
      </c>
      <c r="Q39" s="1">
        <v>77</v>
      </c>
      <c r="R39" s="1">
        <v>23</v>
      </c>
    </row>
    <row r="40" spans="10:18" x14ac:dyDescent="0.25">
      <c r="J40" s="1" t="str">
        <v>Hualgayoc</v>
      </c>
      <c r="K40" s="1" t="str">
        <v>Octubre / Noviembre / Diciembre</v>
      </c>
      <c r="L40" s="2">
        <v>46280</v>
      </c>
      <c r="M40" s="9">
        <v>6999</v>
      </c>
      <c r="N40" s="51">
        <v>1.68706</v>
      </c>
      <c r="O40" s="35">
        <v>11807.73294</v>
      </c>
      <c r="P40" s="1">
        <v>25</v>
      </c>
      <c r="Q40" s="1">
        <v>279</v>
      </c>
      <c r="R40" s="1">
        <v>24</v>
      </c>
    </row>
    <row r="41" spans="10:18" x14ac:dyDescent="0.25">
      <c r="J41" s="1" t="str">
        <v>Huamachuco</v>
      </c>
      <c r="K41" s="1" t="str">
        <v>Octubre</v>
      </c>
      <c r="L41" s="2">
        <v>46290</v>
      </c>
      <c r="M41" s="9">
        <v>3490</v>
      </c>
      <c r="N41" s="51">
        <v>1.32</v>
      </c>
      <c r="O41" s="35">
        <v>4606.8</v>
      </c>
      <c r="P41" s="1">
        <v>35</v>
      </c>
      <c r="Q41" s="1">
        <v>99</v>
      </c>
      <c r="R41" s="1">
        <v>25</v>
      </c>
    </row>
    <row r="42" spans="10:18" x14ac:dyDescent="0.25">
      <c r="J42" s="1" t="str">
        <v>Huaranchal</v>
      </c>
      <c r="K42" s="1" t="str">
        <v>Octubre</v>
      </c>
      <c r="L42" s="2">
        <v>46280</v>
      </c>
      <c r="M42" s="9">
        <v>888</v>
      </c>
      <c r="N42" s="51">
        <v>1</v>
      </c>
      <c r="O42" s="35">
        <v>888</v>
      </c>
      <c r="P42" s="1">
        <v>40</v>
      </c>
      <c r="Q42" s="1">
        <v>22</v>
      </c>
      <c r="R42" s="1">
        <v>8</v>
      </c>
    </row>
    <row r="43" spans="10:18" x14ac:dyDescent="0.25">
      <c r="J43" s="1" t="str">
        <v>Huaranchal</v>
      </c>
      <c r="K43" s="1" t="str">
        <v>Noviembre</v>
      </c>
      <c r="L43" s="2">
        <v>46280</v>
      </c>
      <c r="M43" s="9">
        <v>888</v>
      </c>
      <c r="N43" s="51">
        <v>1</v>
      </c>
      <c r="O43" s="35">
        <v>888</v>
      </c>
      <c r="P43" s="1">
        <v>40</v>
      </c>
      <c r="Q43" s="1">
        <v>22</v>
      </c>
      <c r="R43" s="1">
        <v>8</v>
      </c>
    </row>
    <row r="44" spans="10:18" x14ac:dyDescent="0.25">
      <c r="J44" s="1" t="str">
        <v>Huaranchal</v>
      </c>
      <c r="K44" s="1" t="str">
        <v>Diciembre</v>
      </c>
      <c r="L44" s="2">
        <v>46280</v>
      </c>
      <c r="M44" s="9">
        <v>888</v>
      </c>
      <c r="N44" s="51">
        <v>1</v>
      </c>
      <c r="O44" s="35">
        <v>888</v>
      </c>
      <c r="P44" s="1">
        <v>40</v>
      </c>
      <c r="Q44" s="1">
        <v>22</v>
      </c>
      <c r="R44" s="1">
        <v>8</v>
      </c>
    </row>
    <row r="45" spans="10:18" x14ac:dyDescent="0.25">
      <c r="J45" s="1" t="str">
        <v>Huaso</v>
      </c>
      <c r="K45" s="1" t="str">
        <v>Octubre</v>
      </c>
      <c r="L45" s="2">
        <v>46286</v>
      </c>
      <c r="M45" s="9">
        <v>792</v>
      </c>
      <c r="N45" s="51">
        <v>1.7397</v>
      </c>
      <c r="O45" s="35">
        <v>1377.8424</v>
      </c>
      <c r="P45" s="1">
        <v>25</v>
      </c>
      <c r="Q45" s="1">
        <v>31</v>
      </c>
      <c r="R45" s="1">
        <v>17</v>
      </c>
    </row>
    <row r="46" spans="10:18" x14ac:dyDescent="0.25">
      <c r="J46" s="1" t="str">
        <v>Huaso (azucar)</v>
      </c>
      <c r="K46" s="1" t="str">
        <v>Octubre</v>
      </c>
      <c r="L46" s="2">
        <v>46286</v>
      </c>
      <c r="M46" s="9">
        <v>792</v>
      </c>
      <c r="N46" s="51">
        <v>0.75</v>
      </c>
      <c r="O46" s="35">
        <v>594</v>
      </c>
      <c r="P46" s="1">
        <v>60</v>
      </c>
      <c r="Q46" s="1">
        <v>13</v>
      </c>
      <c r="R46" s="1">
        <v>12</v>
      </c>
    </row>
    <row r="47" spans="10:18" x14ac:dyDescent="0.25">
      <c r="J47" s="1" t="str">
        <v>Huayllabamba</v>
      </c>
      <c r="K47" s="1" t="str">
        <v>Octubre</v>
      </c>
      <c r="L47" s="2">
        <v>46289</v>
      </c>
      <c r="M47" s="9">
        <v>620</v>
      </c>
      <c r="N47" s="51">
        <v>1.0565</v>
      </c>
      <c r="O47" s="35">
        <v>655.03</v>
      </c>
      <c r="P47" s="1">
        <v>40</v>
      </c>
      <c r="Q47" s="1">
        <v>15</v>
      </c>
      <c r="R47" s="1">
        <v>20</v>
      </c>
    </row>
    <row r="48" spans="10:18" x14ac:dyDescent="0.25">
      <c r="J48" s="1" t="str">
        <v>Huayllabamba</v>
      </c>
      <c r="K48" s="1" t="str">
        <v>Noviembre</v>
      </c>
      <c r="L48" s="2">
        <v>46289</v>
      </c>
      <c r="M48" s="9">
        <v>620</v>
      </c>
      <c r="N48" s="51">
        <v>1.0565</v>
      </c>
      <c r="O48" s="35">
        <v>655.03</v>
      </c>
      <c r="P48" s="1">
        <v>40</v>
      </c>
      <c r="Q48" s="1">
        <v>15</v>
      </c>
      <c r="R48" s="1">
        <v>20</v>
      </c>
    </row>
    <row r="49" spans="2:18" x14ac:dyDescent="0.25">
      <c r="J49" s="1" t="str">
        <v>Jesus</v>
      </c>
      <c r="K49" s="1" t="str">
        <v>Octubre</v>
      </c>
      <c r="L49" s="2">
        <v>46280</v>
      </c>
      <c r="M49" s="9">
        <v>4100</v>
      </c>
      <c r="N49" s="51">
        <v>0.93</v>
      </c>
      <c r="O49" s="35">
        <v>3813</v>
      </c>
      <c r="P49" s="1">
        <v>45</v>
      </c>
      <c r="Q49" s="1">
        <v>91</v>
      </c>
      <c r="R49" s="1">
        <v>5</v>
      </c>
    </row>
    <row r="50" spans="2:18" x14ac:dyDescent="0.25">
      <c r="J50" s="1" t="str">
        <v>Jose Manuel Quiroz</v>
      </c>
      <c r="K50" s="1" t="str">
        <v>O.C.</v>
      </c>
      <c r="L50" s="2">
        <v>46260</v>
      </c>
      <c r="M50" s="9">
        <v>570</v>
      </c>
      <c r="N50" s="51">
        <v>0.92037718999999996</v>
      </c>
      <c r="O50" s="35">
        <v>524.61499830000002</v>
      </c>
      <c r="P50" s="1">
        <v>40</v>
      </c>
      <c r="Q50" s="1">
        <v>14</v>
      </c>
      <c r="R50" s="1">
        <v>10</v>
      </c>
    </row>
    <row r="51" spans="2:18" x14ac:dyDescent="0.25">
      <c r="J51" s="1" t="str">
        <v>La Banda de Shilcayo</v>
      </c>
      <c r="K51" s="1" t="str">
        <v>Octubre</v>
      </c>
      <c r="L51" s="2">
        <v>46284</v>
      </c>
      <c r="M51" s="9">
        <v>1432</v>
      </c>
      <c r="N51" s="51">
        <v>1</v>
      </c>
      <c r="O51" s="35">
        <v>1432</v>
      </c>
      <c r="P51" s="1">
        <v>50</v>
      </c>
      <c r="Q51" s="1">
        <v>28</v>
      </c>
      <c r="R51" s="1">
        <v>32</v>
      </c>
    </row>
    <row r="52" spans="2:18" x14ac:dyDescent="0.25">
      <c r="J52" s="1" t="str">
        <v>La Esperanza</v>
      </c>
      <c r="K52" s="1" t="str">
        <v>Octubre</v>
      </c>
      <c r="L52" s="2">
        <v>46290</v>
      </c>
      <c r="M52" s="9">
        <v>6182</v>
      </c>
      <c r="N52" s="51">
        <v>1</v>
      </c>
      <c r="O52" s="35">
        <v>6182</v>
      </c>
      <c r="P52" s="1">
        <v>30</v>
      </c>
      <c r="Q52" s="1">
        <v>206</v>
      </c>
      <c r="R52" s="1">
        <v>2</v>
      </c>
    </row>
    <row r="53" spans="2:18" x14ac:dyDescent="0.25">
      <c r="J53" s="1" t="str">
        <v>La Florida</v>
      </c>
      <c r="K53" s="1" t="str">
        <v>Octubre / Noviembre / Diciembre</v>
      </c>
      <c r="L53" s="2">
        <v>46280</v>
      </c>
      <c r="M53" s="9">
        <v>1000</v>
      </c>
      <c r="N53" s="51">
        <v>0.78203999999999996</v>
      </c>
      <c r="O53" s="35">
        <v>782.04</v>
      </c>
      <c r="P53" s="1">
        <v>50</v>
      </c>
      <c r="Q53" s="1">
        <v>20</v>
      </c>
      <c r="R53" s="1">
        <v>0</v>
      </c>
    </row>
    <row r="54" spans="2:18" x14ac:dyDescent="0.25">
      <c r="J54" s="1" t="str">
        <v>Llacanora</v>
      </c>
      <c r="K54" s="1" t="str">
        <v>Octubre</v>
      </c>
      <c r="L54" s="2">
        <v>46287</v>
      </c>
      <c r="M54" s="9">
        <v>565</v>
      </c>
      <c r="N54" s="51">
        <v>1.50702</v>
      </c>
      <c r="O54" s="35">
        <v>851.46630000000005</v>
      </c>
      <c r="P54" s="1">
        <v>28</v>
      </c>
      <c r="Q54" s="1">
        <v>20</v>
      </c>
      <c r="R54" s="1">
        <v>5</v>
      </c>
    </row>
    <row r="55" spans="2:18" x14ac:dyDescent="0.25">
      <c r="J55" s="1" t="str">
        <v>Longotea</v>
      </c>
      <c r="K55" s="1" t="str">
        <v>Octubre / Noviembre / Diciembre</v>
      </c>
      <c r="L55" s="2">
        <v>46292</v>
      </c>
      <c r="M55" s="9">
        <v>1105.0830000000001</v>
      </c>
      <c r="N55" s="51">
        <v>1</v>
      </c>
      <c r="O55" s="35">
        <v>1105.0830000000001</v>
      </c>
      <c r="P55" s="1">
        <v>40</v>
      </c>
      <c r="Q55" s="1">
        <v>27</v>
      </c>
      <c r="R55" s="1">
        <v>25.083000000000084</v>
      </c>
    </row>
    <row r="56" spans="2:18" x14ac:dyDescent="0.25">
      <c r="J56" s="1" t="str">
        <v>Luya</v>
      </c>
      <c r="K56" s="1" t="str">
        <v>O.C.</v>
      </c>
      <c r="L56" s="2">
        <v>46280</v>
      </c>
      <c r="M56" s="9">
        <v>797</v>
      </c>
      <c r="N56" s="51">
        <v>1</v>
      </c>
      <c r="O56" s="35">
        <v>797</v>
      </c>
      <c r="P56" s="1">
        <v>40</v>
      </c>
      <c r="Q56" s="1">
        <v>19</v>
      </c>
      <c r="R56" s="1">
        <v>37</v>
      </c>
    </row>
    <row r="57" spans="2:18" x14ac:dyDescent="0.25">
      <c r="J57" s="1" t="str">
        <v>Magdalena</v>
      </c>
      <c r="K57" s="1" t="str">
        <v>Octubre</v>
      </c>
      <c r="L57" s="2">
        <v>46286</v>
      </c>
      <c r="M57" s="9">
        <v>3200</v>
      </c>
      <c r="N57" s="51">
        <v>0.84011000000000002</v>
      </c>
      <c r="O57" s="35">
        <v>2688.3519999999999</v>
      </c>
      <c r="P57" s="1">
        <v>50</v>
      </c>
      <c r="Q57" s="1">
        <v>64</v>
      </c>
      <c r="R57" s="1">
        <v>0</v>
      </c>
    </row>
    <row r="58" spans="2:18" x14ac:dyDescent="0.25">
      <c r="J58" s="1" t="str">
        <v>Magdalena de Cao</v>
      </c>
      <c r="K58" s="1" t="str">
        <v>Octubre</v>
      </c>
      <c r="L58" s="2">
        <v>46286</v>
      </c>
      <c r="M58" s="9">
        <v>240</v>
      </c>
      <c r="N58" s="51">
        <v>1.5175099999999999</v>
      </c>
      <c r="O58" s="35">
        <v>364.20239999999995</v>
      </c>
      <c r="P58" s="1">
        <v>30</v>
      </c>
      <c r="Q58" s="1">
        <v>8</v>
      </c>
      <c r="R58" s="1">
        <v>0</v>
      </c>
    </row>
    <row r="59" spans="2:18" x14ac:dyDescent="0.25">
      <c r="J59" s="1" t="str">
        <v>Marcabal</v>
      </c>
      <c r="K59" s="1" t="str">
        <v>Octubre</v>
      </c>
      <c r="L59" s="2">
        <v>46280</v>
      </c>
      <c r="M59" s="9">
        <v>2540</v>
      </c>
      <c r="N59" s="51">
        <v>1.5670999999999999</v>
      </c>
      <c r="O59" s="35">
        <v>3980.4339999999997</v>
      </c>
      <c r="P59" s="1">
        <v>30</v>
      </c>
      <c r="Q59" s="1">
        <v>84</v>
      </c>
      <c r="R59" s="1">
        <v>20</v>
      </c>
    </row>
    <row r="60" spans="2:18" x14ac:dyDescent="0.25">
      <c r="J60" s="1" t="str">
        <v>Marcara1</v>
      </c>
      <c r="K60" s="1" t="str">
        <v>Octubre / Noviembre / Diciembre</v>
      </c>
      <c r="L60" s="2">
        <v>46295</v>
      </c>
      <c r="M60" s="9">
        <v>2340</v>
      </c>
      <c r="N60" s="51">
        <v>0.62063999999999997</v>
      </c>
      <c r="O60" s="35">
        <v>1452.2975999999999</v>
      </c>
      <c r="P60" s="1">
        <v>70</v>
      </c>
      <c r="Q60" s="1">
        <v>33</v>
      </c>
      <c r="R60" s="1">
        <v>30</v>
      </c>
    </row>
    <row r="61" spans="2:18" x14ac:dyDescent="0.25">
      <c r="J61" s="1" t="str">
        <v>Morales</v>
      </c>
      <c r="K61" s="1" t="str">
        <v>Octubre</v>
      </c>
      <c r="L61" s="2">
        <v>46286</v>
      </c>
      <c r="M61" s="9">
        <v>1430</v>
      </c>
      <c r="N61" s="51">
        <v>1</v>
      </c>
      <c r="O61" s="35">
        <v>1430</v>
      </c>
      <c r="P61" s="1">
        <v>50</v>
      </c>
      <c r="Q61" s="1">
        <v>28</v>
      </c>
      <c r="R61" s="1">
        <v>30</v>
      </c>
    </row>
    <row r="62" spans="2:18" x14ac:dyDescent="0.25">
      <c r="J62" s="1" t="str">
        <v>Nueva Arica</v>
      </c>
      <c r="K62" s="1" t="str">
        <v>Setiembre</v>
      </c>
      <c r="L62" s="2">
        <v>46265</v>
      </c>
      <c r="M62" s="9">
        <v>298</v>
      </c>
      <c r="N62" s="51">
        <v>1</v>
      </c>
      <c r="O62" s="35">
        <v>298</v>
      </c>
      <c r="P62" s="1">
        <v>40</v>
      </c>
      <c r="Q62" s="1">
        <v>7</v>
      </c>
      <c r="R62" s="1">
        <v>18</v>
      </c>
    </row>
    <row r="63" spans="2:18" ht="14.25" customHeight="1" x14ac:dyDescent="0.25">
      <c r="B63" s="148" t="s">
        <v>532</v>
      </c>
      <c r="C63" s="148"/>
      <c r="D63" s="148"/>
      <c r="E63" s="100">
        <f>SUM(E5:E36)</f>
        <v>0</v>
      </c>
      <c r="F63" s="100">
        <f>ROUNDDOWN(E63/48,0)</f>
        <v>0</v>
      </c>
      <c r="G63" s="100">
        <f>E63-F63*48</f>
        <v>0</v>
      </c>
      <c r="J63" s="1" t="str">
        <v>Nueva Arica</v>
      </c>
      <c r="K63" s="1" t="str">
        <v>Octubre</v>
      </c>
      <c r="L63" s="2">
        <v>46265</v>
      </c>
      <c r="M63" s="9">
        <v>298</v>
      </c>
      <c r="N63" s="51">
        <v>1</v>
      </c>
      <c r="O63" s="35">
        <v>298</v>
      </c>
      <c r="P63" s="1">
        <v>40</v>
      </c>
      <c r="Q63" s="1">
        <v>7</v>
      </c>
      <c r="R63" s="1">
        <v>18</v>
      </c>
    </row>
    <row r="64" spans="2:18" x14ac:dyDescent="0.25">
      <c r="J64" s="1" t="str">
        <v>Nueva Cajamarca</v>
      </c>
      <c r="K64" s="1" t="str">
        <v>Octubre</v>
      </c>
      <c r="L64" s="2">
        <v>46286</v>
      </c>
      <c r="M64" s="9">
        <v>2678</v>
      </c>
      <c r="N64" s="51">
        <v>1.302</v>
      </c>
      <c r="O64" s="35">
        <v>3486.7560000000003</v>
      </c>
      <c r="P64" s="1">
        <v>35</v>
      </c>
      <c r="Q64" s="1">
        <v>76</v>
      </c>
      <c r="R64" s="1">
        <v>18</v>
      </c>
    </row>
    <row r="65" spans="3:18" x14ac:dyDescent="0.25">
      <c r="J65" s="1" t="str">
        <v>Olleros</v>
      </c>
      <c r="K65" s="1" t="str">
        <v>Octubre</v>
      </c>
      <c r="L65" s="2">
        <v>46281</v>
      </c>
      <c r="M65" s="9">
        <v>221</v>
      </c>
      <c r="N65" s="51">
        <v>1.2345680000000001</v>
      </c>
      <c r="O65" s="35">
        <v>272.83952800000003</v>
      </c>
      <c r="P65" s="1">
        <v>35</v>
      </c>
      <c r="Q65" s="1">
        <v>6</v>
      </c>
      <c r="R65" s="1">
        <v>11</v>
      </c>
    </row>
    <row r="66" spans="3:18" x14ac:dyDescent="0.25">
      <c r="J66" s="1" t="str">
        <v>Olleros</v>
      </c>
      <c r="K66" s="1" t="str">
        <v>Noviembre</v>
      </c>
      <c r="L66" s="2">
        <v>46281</v>
      </c>
      <c r="M66" s="9">
        <v>221</v>
      </c>
      <c r="N66" s="51">
        <v>1.2345680000000001</v>
      </c>
      <c r="O66" s="35">
        <v>272.83952800000003</v>
      </c>
      <c r="P66" s="1">
        <v>35</v>
      </c>
      <c r="Q66" s="1">
        <v>6</v>
      </c>
      <c r="R66" s="1">
        <v>11</v>
      </c>
    </row>
    <row r="67" spans="3:18" x14ac:dyDescent="0.25">
      <c r="C67"/>
      <c r="D67"/>
      <c r="J67" s="1" t="str">
        <v>Olleros</v>
      </c>
      <c r="K67" s="1" t="str">
        <v>Diciembre</v>
      </c>
      <c r="L67" s="2">
        <v>46281</v>
      </c>
      <c r="M67" s="9">
        <v>221</v>
      </c>
      <c r="N67" s="51">
        <v>1.2345680000000001</v>
      </c>
      <c r="O67" s="35">
        <v>272.83952800000003</v>
      </c>
      <c r="P67" s="1">
        <v>35</v>
      </c>
      <c r="Q67" s="1">
        <v>6</v>
      </c>
      <c r="R67" s="1">
        <v>11</v>
      </c>
    </row>
    <row r="68" spans="3:18" x14ac:dyDescent="0.25">
      <c r="C68"/>
      <c r="D68"/>
      <c r="J68" s="1" t="str">
        <v>Olmos</v>
      </c>
      <c r="K68" s="1" t="str">
        <v>Octubre</v>
      </c>
      <c r="L68" s="2">
        <v>46281</v>
      </c>
      <c r="M68" s="9">
        <v>5788</v>
      </c>
      <c r="N68" s="51">
        <v>1</v>
      </c>
      <c r="O68" s="35">
        <v>5788</v>
      </c>
      <c r="P68" s="1">
        <v>40</v>
      </c>
      <c r="Q68" s="1">
        <v>144</v>
      </c>
      <c r="R68" s="1">
        <v>28</v>
      </c>
    </row>
    <row r="69" spans="3:18" x14ac:dyDescent="0.25">
      <c r="C69"/>
      <c r="D69"/>
      <c r="J69" s="1" t="str">
        <v>Qaliwarma Avena</v>
      </c>
      <c r="K69" s="1" t="str">
        <v>Yurimag</v>
      </c>
      <c r="L69" s="2">
        <v>46295</v>
      </c>
      <c r="M69" s="9">
        <v>10960</v>
      </c>
      <c r="N69" s="51">
        <v>0.26</v>
      </c>
      <c r="O69" s="35">
        <v>2849.6</v>
      </c>
      <c r="P69" s="1">
        <v>100</v>
      </c>
      <c r="Q69" s="1">
        <v>109</v>
      </c>
      <c r="R69" s="1">
        <v>60</v>
      </c>
    </row>
    <row r="70" spans="3:18" x14ac:dyDescent="0.25">
      <c r="C70"/>
      <c r="D70"/>
      <c r="J70" s="1" t="str">
        <v>San Antonio</v>
      </c>
      <c r="K70" s="1" t="str">
        <v>Setiembre</v>
      </c>
      <c r="L70" s="2">
        <v>46264</v>
      </c>
      <c r="M70" s="9">
        <v>606</v>
      </c>
      <c r="N70" s="51">
        <v>0.5</v>
      </c>
      <c r="O70" s="35">
        <v>303</v>
      </c>
      <c r="P70" s="1">
        <v>80</v>
      </c>
      <c r="Q70" s="1">
        <v>7</v>
      </c>
      <c r="R70" s="1">
        <v>46</v>
      </c>
    </row>
    <row r="71" spans="3:18" x14ac:dyDescent="0.25">
      <c r="C71"/>
      <c r="D71"/>
      <c r="J71" s="1" t="str">
        <v>San Antonio</v>
      </c>
      <c r="K71" s="1" t="str">
        <v>Octubre</v>
      </c>
      <c r="L71" s="2">
        <v>46264</v>
      </c>
      <c r="M71" s="9">
        <v>606</v>
      </c>
      <c r="N71" s="51">
        <v>0.5</v>
      </c>
      <c r="O71" s="35">
        <v>303</v>
      </c>
      <c r="P71" s="1">
        <v>80</v>
      </c>
      <c r="Q71" s="1">
        <v>7</v>
      </c>
      <c r="R71" s="1">
        <v>46</v>
      </c>
    </row>
    <row r="72" spans="3:18" x14ac:dyDescent="0.25">
      <c r="C72"/>
      <c r="D72"/>
      <c r="J72" s="1" t="str">
        <v>San Gregorio</v>
      </c>
      <c r="K72" s="1" t="str">
        <v>Octubre / Noviembre / Diciembre</v>
      </c>
      <c r="L72" s="2">
        <v>46287</v>
      </c>
      <c r="M72" s="9">
        <v>900</v>
      </c>
      <c r="N72" s="51">
        <v>1</v>
      </c>
      <c r="O72" s="35">
        <v>900</v>
      </c>
      <c r="P72" s="1">
        <v>40</v>
      </c>
      <c r="Q72" s="1">
        <v>22</v>
      </c>
      <c r="R72" s="1">
        <v>20</v>
      </c>
    </row>
    <row r="73" spans="3:18" x14ac:dyDescent="0.25">
      <c r="J73" s="1" t="str">
        <v>San Jose</v>
      </c>
      <c r="K73" s="1" t="str">
        <v>Setiembre</v>
      </c>
      <c r="L73" s="2">
        <v>46258</v>
      </c>
      <c r="M73" s="9">
        <v>1098</v>
      </c>
      <c r="N73" s="51">
        <v>1</v>
      </c>
      <c r="O73" s="35">
        <v>1098</v>
      </c>
      <c r="P73" s="1">
        <v>40</v>
      </c>
      <c r="Q73" s="1">
        <v>27</v>
      </c>
      <c r="R73" s="1">
        <v>18</v>
      </c>
    </row>
    <row r="74" spans="3:18" x14ac:dyDescent="0.25">
      <c r="J74" s="1" t="str">
        <v>San Jose Alto</v>
      </c>
      <c r="K74" s="1" t="str">
        <v>Septiembre / Octubre</v>
      </c>
      <c r="L74" s="2">
        <v>46280</v>
      </c>
      <c r="M74" s="9">
        <v>1760</v>
      </c>
      <c r="N74" s="51">
        <v>1</v>
      </c>
      <c r="O74" s="35">
        <v>1760</v>
      </c>
      <c r="P74" s="1">
        <v>40</v>
      </c>
      <c r="Q74" s="1">
        <v>44</v>
      </c>
      <c r="R74" s="1">
        <v>0</v>
      </c>
    </row>
    <row r="75" spans="3:18" x14ac:dyDescent="0.25">
      <c r="J75" s="1" t="str">
        <v>San Jose de Lourdes</v>
      </c>
      <c r="K75" s="1" t="str">
        <v>Septiembre / Octubre</v>
      </c>
      <c r="L75" s="2">
        <v>46280</v>
      </c>
      <c r="M75" s="9">
        <v>4190</v>
      </c>
      <c r="N75" s="51">
        <v>1.25</v>
      </c>
      <c r="O75" s="35">
        <v>5237.5</v>
      </c>
      <c r="P75" s="1">
        <v>35</v>
      </c>
      <c r="Q75" s="1">
        <v>119</v>
      </c>
      <c r="R75" s="1">
        <v>25</v>
      </c>
    </row>
    <row r="76" spans="3:18" x14ac:dyDescent="0.25">
      <c r="J76" s="1" t="str">
        <v>San Juan</v>
      </c>
      <c r="K76" s="1" t="str">
        <v>Octubre / Noviembre / Diciembre</v>
      </c>
      <c r="L76" s="2">
        <v>46289</v>
      </c>
      <c r="M76" s="9">
        <v>2724</v>
      </c>
      <c r="N76" s="51">
        <v>1.74</v>
      </c>
      <c r="O76" s="35">
        <v>4739.76</v>
      </c>
      <c r="P76" s="1">
        <v>25</v>
      </c>
      <c r="Q76" s="1">
        <v>108</v>
      </c>
      <c r="R76" s="1">
        <v>24</v>
      </c>
    </row>
    <row r="77" spans="3:18" x14ac:dyDescent="0.25">
      <c r="J77" s="1" t="str">
        <v>San Marcos - Caj.25</v>
      </c>
      <c r="K77" s="1" t="str">
        <v>Tercera</v>
      </c>
      <c r="L77" s="2">
        <v>46287</v>
      </c>
      <c r="M77" s="9">
        <v>1791</v>
      </c>
      <c r="N77" s="51">
        <v>1.7337499999999999</v>
      </c>
      <c r="O77" s="35">
        <v>3105.1462499999998</v>
      </c>
      <c r="P77" s="1">
        <v>25</v>
      </c>
      <c r="Q77" s="1">
        <v>71</v>
      </c>
      <c r="R77" s="1">
        <v>16</v>
      </c>
    </row>
    <row r="78" spans="3:18" x14ac:dyDescent="0.25">
      <c r="J78" s="1" t="str">
        <v>San Martin</v>
      </c>
      <c r="K78" s="1" t="str">
        <v>Octubre</v>
      </c>
      <c r="L78" s="2">
        <v>46285</v>
      </c>
      <c r="M78" s="9">
        <v>3537</v>
      </c>
      <c r="N78" s="51">
        <v>1</v>
      </c>
      <c r="O78" s="35">
        <v>3537</v>
      </c>
      <c r="P78" s="1">
        <v>25</v>
      </c>
      <c r="Q78" s="1">
        <v>141</v>
      </c>
      <c r="R78" s="1">
        <v>12</v>
      </c>
    </row>
    <row r="79" spans="3:18" x14ac:dyDescent="0.25">
      <c r="J79" s="1" t="str">
        <v>San Pablo</v>
      </c>
      <c r="K79" s="1" t="str">
        <v>O.C.</v>
      </c>
      <c r="L79" s="2">
        <v>46283</v>
      </c>
      <c r="M79" s="9">
        <v>2394</v>
      </c>
      <c r="N79" s="51">
        <v>1</v>
      </c>
      <c r="O79" s="35">
        <v>2394</v>
      </c>
      <c r="P79" s="1">
        <v>40</v>
      </c>
      <c r="Q79" s="1">
        <v>59</v>
      </c>
      <c r="R79" s="1">
        <v>34</v>
      </c>
    </row>
    <row r="80" spans="3:18" x14ac:dyDescent="0.25">
      <c r="J80" s="1" t="str">
        <v>San Pablo - Trigo</v>
      </c>
      <c r="K80" s="1" t="str">
        <v>Octubre / Noviembre / Diciembre</v>
      </c>
      <c r="L80" s="2">
        <v>46290</v>
      </c>
      <c r="M80" s="9">
        <v>3090</v>
      </c>
      <c r="N80" s="51">
        <v>0.33457999999999999</v>
      </c>
      <c r="O80" s="35">
        <v>1033.8522</v>
      </c>
      <c r="P80" s="1">
        <v>120</v>
      </c>
      <c r="Q80" s="1">
        <v>25</v>
      </c>
      <c r="R80" s="1">
        <v>90</v>
      </c>
    </row>
    <row r="81" spans="10:18" x14ac:dyDescent="0.25">
      <c r="J81" s="1" t="str">
        <v>San Pedro</v>
      </c>
      <c r="K81" s="1" t="str">
        <v>Octubre</v>
      </c>
      <c r="L81" s="2">
        <v>46283</v>
      </c>
      <c r="M81" s="9">
        <v>1582</v>
      </c>
      <c r="N81" s="51">
        <v>1</v>
      </c>
      <c r="O81" s="35">
        <v>1582</v>
      </c>
      <c r="P81" s="1">
        <v>40</v>
      </c>
      <c r="Q81" s="1">
        <v>39</v>
      </c>
      <c r="R81" s="1">
        <v>22</v>
      </c>
    </row>
    <row r="82" spans="10:18" x14ac:dyDescent="0.25">
      <c r="J82" s="1" t="str">
        <v>San Roque</v>
      </c>
      <c r="K82" s="1" t="str">
        <v>Octubre</v>
      </c>
      <c r="L82" s="2">
        <v>46290</v>
      </c>
      <c r="M82" s="9">
        <v>180.47200000000001</v>
      </c>
      <c r="N82" s="51">
        <v>1</v>
      </c>
      <c r="O82" s="35">
        <v>180.47200000000001</v>
      </c>
      <c r="P82" s="1">
        <v>50</v>
      </c>
      <c r="Q82" s="1">
        <v>3</v>
      </c>
      <c r="R82" s="1">
        <v>30.472000000000008</v>
      </c>
    </row>
    <row r="83" spans="10:18" x14ac:dyDescent="0.25">
      <c r="J83" s="1" t="str">
        <v>San Roque</v>
      </c>
      <c r="K83" s="1" t="str">
        <v>Noviembre</v>
      </c>
      <c r="L83" s="2">
        <v>46290</v>
      </c>
      <c r="M83" s="9">
        <v>174.65</v>
      </c>
      <c r="N83" s="51">
        <v>1</v>
      </c>
      <c r="O83" s="35">
        <v>174.65</v>
      </c>
      <c r="P83" s="1">
        <v>50</v>
      </c>
      <c r="Q83" s="1">
        <v>3</v>
      </c>
      <c r="R83" s="1">
        <v>24.650000000000006</v>
      </c>
    </row>
    <row r="84" spans="10:18" x14ac:dyDescent="0.25">
      <c r="J84" s="1" t="str">
        <v>San Roque</v>
      </c>
      <c r="K84" s="1" t="str">
        <v>Diciembre</v>
      </c>
      <c r="L84" s="2">
        <v>46290</v>
      </c>
      <c r="M84" s="9">
        <v>180.47200000000001</v>
      </c>
      <c r="N84" s="51">
        <v>1</v>
      </c>
      <c r="O84" s="35">
        <v>180.47200000000001</v>
      </c>
      <c r="P84" s="1">
        <v>50</v>
      </c>
      <c r="Q84" s="1">
        <v>3</v>
      </c>
      <c r="R84" s="1">
        <v>30.472000000000008</v>
      </c>
    </row>
    <row r="85" spans="10:18" x14ac:dyDescent="0.25">
      <c r="J85" s="1" t="str">
        <v>Santa</v>
      </c>
      <c r="K85" s="1" t="str">
        <v>Octubre</v>
      </c>
      <c r="L85" s="2">
        <v>46290</v>
      </c>
      <c r="M85" s="9">
        <v>2308</v>
      </c>
      <c r="N85" s="51">
        <v>1</v>
      </c>
      <c r="O85" s="35">
        <v>2308</v>
      </c>
      <c r="P85" s="1">
        <v>40</v>
      </c>
      <c r="Q85" s="1">
        <v>57</v>
      </c>
      <c r="R85" s="1">
        <v>28</v>
      </c>
    </row>
    <row r="86" spans="10:18" x14ac:dyDescent="0.25">
      <c r="J86" s="1" t="str">
        <v>Sarin</v>
      </c>
      <c r="K86" s="1" t="str">
        <v>Octubre</v>
      </c>
      <c r="L86" s="2">
        <v>46283</v>
      </c>
      <c r="M86" s="9">
        <v>1663</v>
      </c>
      <c r="N86" s="51">
        <v>1.4397500000000001</v>
      </c>
      <c r="O86" s="35">
        <v>2394.3042500000001</v>
      </c>
      <c r="P86" s="1">
        <v>30</v>
      </c>
      <c r="Q86" s="1">
        <v>55</v>
      </c>
      <c r="R86" s="1">
        <v>13</v>
      </c>
    </row>
    <row r="87" spans="10:18" x14ac:dyDescent="0.25">
      <c r="J87" s="1" t="str">
        <v>Shanao - 25</v>
      </c>
      <c r="K87" s="1" t="str">
        <v>Octubre / Noviembre / Diciembre</v>
      </c>
      <c r="L87" s="2">
        <v>46291</v>
      </c>
      <c r="M87" s="9">
        <v>358</v>
      </c>
      <c r="N87" s="51">
        <v>1</v>
      </c>
      <c r="O87" s="35">
        <v>358</v>
      </c>
      <c r="P87" s="1">
        <v>50</v>
      </c>
      <c r="Q87" s="1">
        <v>7</v>
      </c>
      <c r="R87" s="1">
        <v>8</v>
      </c>
    </row>
    <row r="88" spans="10:18" x14ac:dyDescent="0.25">
      <c r="J88" s="1" t="str">
        <v>Supe</v>
      </c>
      <c r="K88" s="1" t="str">
        <v>Ene - Agos</v>
      </c>
      <c r="L88" s="2">
        <v>46265</v>
      </c>
      <c r="M88" s="9">
        <v>8000</v>
      </c>
      <c r="N88" s="51">
        <v>0.76859999999999995</v>
      </c>
      <c r="O88" s="35">
        <v>6148.7999999999993</v>
      </c>
      <c r="P88" s="1">
        <v>50</v>
      </c>
      <c r="Q88" s="1">
        <v>160</v>
      </c>
      <c r="R88" s="1">
        <v>0</v>
      </c>
    </row>
    <row r="89" spans="10:18" x14ac:dyDescent="0.25">
      <c r="J89" s="1" t="str">
        <v>Tantarica</v>
      </c>
      <c r="K89" s="1" t="str">
        <v>Octubre / Noviembre / Diciembre</v>
      </c>
      <c r="L89" s="2">
        <v>46287</v>
      </c>
      <c r="M89" s="9">
        <v>2674.57</v>
      </c>
      <c r="N89" s="51">
        <v>0.85167000000000004</v>
      </c>
      <c r="O89" s="35">
        <v>2277.8510319000002</v>
      </c>
      <c r="P89" s="1">
        <v>50</v>
      </c>
      <c r="Q89" s="1">
        <v>53</v>
      </c>
      <c r="R89" s="1">
        <v>24.570000000000164</v>
      </c>
    </row>
    <row r="90" spans="10:18" x14ac:dyDescent="0.25">
      <c r="J90" s="1" t="str">
        <v>Taurija</v>
      </c>
      <c r="K90" s="1" t="str">
        <v>Octubre</v>
      </c>
      <c r="L90" s="2">
        <v>46295</v>
      </c>
      <c r="M90" s="9">
        <v>450</v>
      </c>
      <c r="N90" s="51">
        <v>0.74463999999999997</v>
      </c>
      <c r="O90" s="35">
        <v>335.08799999999997</v>
      </c>
      <c r="P90" s="1">
        <v>60</v>
      </c>
      <c r="Q90" s="1">
        <v>7</v>
      </c>
      <c r="R90" s="1">
        <v>30</v>
      </c>
    </row>
    <row r="91" spans="10:18" x14ac:dyDescent="0.25">
      <c r="J91" s="1" t="str">
        <v>Taurija</v>
      </c>
      <c r="K91" s="1" t="str">
        <v>Noviembre</v>
      </c>
      <c r="L91" s="2">
        <v>46295</v>
      </c>
      <c r="M91" s="9">
        <v>450</v>
      </c>
      <c r="N91" s="51">
        <v>0.74463999999999997</v>
      </c>
      <c r="O91" s="35">
        <v>335.08799999999997</v>
      </c>
      <c r="P91" s="1">
        <v>60</v>
      </c>
      <c r="Q91" s="1">
        <v>7</v>
      </c>
      <c r="R91" s="1">
        <v>30</v>
      </c>
    </row>
    <row r="92" spans="10:18" x14ac:dyDescent="0.25">
      <c r="J92" s="1" t="str">
        <v>Taurija</v>
      </c>
      <c r="K92" s="1" t="str">
        <v>Diciembre</v>
      </c>
      <c r="L92" s="2">
        <v>46295</v>
      </c>
      <c r="M92" s="9">
        <v>450</v>
      </c>
      <c r="N92" s="51">
        <v>0.74463999999999997</v>
      </c>
      <c r="O92" s="35">
        <v>335.08799999999997</v>
      </c>
      <c r="P92" s="1">
        <v>60</v>
      </c>
      <c r="Q92" s="1">
        <v>7</v>
      </c>
      <c r="R92" s="1">
        <v>30</v>
      </c>
    </row>
    <row r="93" spans="10:18" x14ac:dyDescent="0.25">
      <c r="J93" s="1" t="str">
        <v>Tongod</v>
      </c>
      <c r="K93" s="1" t="str">
        <v>Septiembre / Octubre</v>
      </c>
      <c r="L93" s="2">
        <v>46259</v>
      </c>
      <c r="M93" s="9">
        <v>2144</v>
      </c>
      <c r="N93" s="51">
        <v>1.1166259999999999</v>
      </c>
      <c r="O93" s="35">
        <v>2394.0461439999999</v>
      </c>
      <c r="P93" s="1">
        <v>40</v>
      </c>
      <c r="Q93" s="1">
        <v>53</v>
      </c>
      <c r="R93" s="1">
        <v>24</v>
      </c>
    </row>
    <row r="94" spans="10:18" x14ac:dyDescent="0.25">
      <c r="J94" s="1" t="str">
        <v>Urpay</v>
      </c>
      <c r="K94" s="1" t="str">
        <v>Octubre / Noviembre / Diciembre</v>
      </c>
      <c r="L94" s="2">
        <v>46288</v>
      </c>
      <c r="M94" s="9">
        <v>1316.13</v>
      </c>
      <c r="N94" s="51">
        <v>1</v>
      </c>
      <c r="O94" s="35">
        <v>1316.13</v>
      </c>
      <c r="P94" s="1">
        <v>40</v>
      </c>
      <c r="Q94" s="1">
        <v>32</v>
      </c>
      <c r="R94" s="1">
        <v>36.130000000000109</v>
      </c>
    </row>
    <row r="95" spans="10:18" x14ac:dyDescent="0.25">
      <c r="J95" s="1" t="str">
        <v>Utcubamba</v>
      </c>
      <c r="K95" s="1" t="str">
        <v>Octubre</v>
      </c>
      <c r="L95" s="2">
        <v>46251</v>
      </c>
      <c r="M95" s="9">
        <v>6230</v>
      </c>
      <c r="N95" s="51">
        <v>0.70399999999999996</v>
      </c>
      <c r="O95" s="35">
        <v>4385.92</v>
      </c>
      <c r="P95" s="1">
        <v>55</v>
      </c>
      <c r="Q95" s="1">
        <v>113</v>
      </c>
      <c r="R95" s="1">
        <v>15</v>
      </c>
    </row>
    <row r="96" spans="10:18" x14ac:dyDescent="0.25">
      <c r="J96" s="1" t="str">
        <v>Vapa</v>
      </c>
      <c r="K96" s="1" t="str">
        <v>O.C.</v>
      </c>
      <c r="L96" s="2">
        <v>46282</v>
      </c>
      <c r="M96" s="9">
        <v>30000</v>
      </c>
      <c r="N96" s="51">
        <v>1</v>
      </c>
      <c r="O96" s="35">
        <v>30000</v>
      </c>
      <c r="P96" s="1">
        <v>50</v>
      </c>
      <c r="Q96" s="1">
        <v>600</v>
      </c>
      <c r="R96" s="1">
        <v>0</v>
      </c>
    </row>
    <row r="97" spans="10:18" x14ac:dyDescent="0.25">
      <c r="J97" s="1" t="str">
        <v>Victor Larco</v>
      </c>
      <c r="K97" s="1" t="str">
        <v>Octubre</v>
      </c>
      <c r="L97" s="2">
        <v>46292</v>
      </c>
      <c r="M97" s="9">
        <v>2630</v>
      </c>
      <c r="N97" s="51">
        <v>1</v>
      </c>
      <c r="O97" s="35">
        <v>2630</v>
      </c>
      <c r="P97" s="1">
        <v>40</v>
      </c>
      <c r="Q97" s="1">
        <v>65</v>
      </c>
      <c r="R97" s="1">
        <v>30</v>
      </c>
    </row>
    <row r="98" spans="10:18" x14ac:dyDescent="0.25">
      <c r="J98" s="1" t="str">
        <v>Viru</v>
      </c>
      <c r="K98" s="1" t="str">
        <v>Octubre</v>
      </c>
      <c r="L98" s="2">
        <v>46290</v>
      </c>
      <c r="M98" s="9">
        <v>3040</v>
      </c>
      <c r="N98" s="51">
        <v>1</v>
      </c>
      <c r="O98" s="35">
        <v>3040</v>
      </c>
      <c r="P98" s="1">
        <v>40</v>
      </c>
      <c r="Q98" s="1">
        <v>76</v>
      </c>
      <c r="R98" s="1">
        <v>0</v>
      </c>
    </row>
    <row r="99" spans="10:18" x14ac:dyDescent="0.25">
      <c r="J99" s="1" t="str">
        <v>Zapatero</v>
      </c>
      <c r="K99" s="1" t="str">
        <v>O.C.</v>
      </c>
      <c r="L99" s="2">
        <v>46281</v>
      </c>
      <c r="M99" s="9">
        <v>702</v>
      </c>
      <c r="N99" s="51">
        <v>1</v>
      </c>
      <c r="O99" s="35">
        <v>702</v>
      </c>
      <c r="P99" s="1">
        <v>50</v>
      </c>
      <c r="Q99" s="1">
        <v>14</v>
      </c>
      <c r="R99" s="1">
        <v>2</v>
      </c>
    </row>
    <row r="100" spans="10:18" x14ac:dyDescent="0.25">
      <c r="J100" s="1" t="str">
        <v>Zapatero</v>
      </c>
      <c r="K100" s="1" t="str">
        <v>Octubre</v>
      </c>
      <c r="L100" s="2">
        <v>46286</v>
      </c>
      <c r="M100" s="9">
        <v>930</v>
      </c>
      <c r="N100" s="51">
        <v>1</v>
      </c>
      <c r="O100" s="35">
        <v>930</v>
      </c>
      <c r="P100" s="1">
        <v>50</v>
      </c>
      <c r="Q100" s="1">
        <v>18</v>
      </c>
      <c r="R100" s="1">
        <v>30</v>
      </c>
    </row>
  </sheetData>
  <mergeCells count="5">
    <mergeCell ref="B2:C2"/>
    <mergeCell ref="J2:M2"/>
    <mergeCell ref="B3:G3"/>
    <mergeCell ref="J3:R3"/>
    <mergeCell ref="B63:D63"/>
  </mergeCells>
  <pageMargins left="0.7" right="0.7" top="0.75" bottom="0.75" header="0.3" footer="0.3"/>
  <pageSetup paperSize="9" scale="3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CC085D-19A7-4AB1-B0C4-6E1637D2BB85}">
          <x14:formula1>
            <xm:f>Calculo!$B$24:$B$35</xm:f>
          </x14:formula1>
          <xm:sqref>D2 N2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A8FE-6C76-43FB-982E-F578BB7B306C}">
  <sheetPr>
    <pageSetUpPr fitToPage="1"/>
  </sheetPr>
  <dimension ref="A1:AA138"/>
  <sheetViews>
    <sheetView showGridLines="0" zoomScaleNormal="100" workbookViewId="0">
      <selection activeCell="E2" sqref="E2"/>
    </sheetView>
  </sheetViews>
  <sheetFormatPr baseColWidth="10" defaultColWidth="10.7109375" defaultRowHeight="15" x14ac:dyDescent="0.25"/>
  <cols>
    <col min="1" max="1" width="18.7109375" style="1" bestFit="1" customWidth="1"/>
    <col min="2" max="2" width="22.28515625" style="1" bestFit="1" customWidth="1"/>
    <col min="3" max="3" width="11.5703125" style="2" bestFit="1" customWidth="1"/>
    <col min="4" max="4" width="10.7109375" style="9" bestFit="1"/>
    <col min="5" max="5" width="10.7109375" style="51" bestFit="1"/>
    <col min="6" max="6" width="12" style="35" bestFit="1" customWidth="1"/>
    <col min="7" max="7" width="12.42578125" style="1" bestFit="1" customWidth="1"/>
    <col min="8" max="8" width="10.28515625" style="1" bestFit="1" customWidth="1"/>
    <col min="9" max="9" width="10.7109375" style="1" bestFit="1"/>
    <col min="10" max="10" width="10.7109375" style="35" bestFit="1"/>
    <col min="11" max="16" width="10.7109375" style="35"/>
    <col min="17" max="17" width="14.28515625" style="35" bestFit="1" customWidth="1"/>
    <col min="18" max="27" width="10.7109375" style="35"/>
  </cols>
  <sheetData>
    <row r="1" spans="1:27" ht="18.75" x14ac:dyDescent="0.3">
      <c r="I1" s="117"/>
      <c r="J1" s="113">
        <f>MONTH(1&amp;E2)</f>
        <v>9</v>
      </c>
    </row>
    <row r="2" spans="1:27" ht="18.75" customHeight="1" x14ac:dyDescent="0.3">
      <c r="A2" s="144" t="s">
        <v>529</v>
      </c>
      <c r="B2" s="144"/>
      <c r="C2" s="144"/>
      <c r="D2" s="144"/>
      <c r="E2" s="106" t="s">
        <v>25</v>
      </c>
      <c r="F2" s="104"/>
      <c r="G2" s="101"/>
      <c r="H2" s="101"/>
      <c r="I2" s="116" t="s">
        <v>532</v>
      </c>
      <c r="J2" s="115">
        <f>SUM(J4:J109)</f>
        <v>49422.590454876125</v>
      </c>
      <c r="K2" s="115">
        <f t="shared" ref="K2:AA2" si="0">SUM(K4:K109)</f>
        <v>160708.88847036334</v>
      </c>
      <c r="L2" s="115">
        <f t="shared" si="0"/>
        <v>9898.434899246553</v>
      </c>
      <c r="M2" s="115">
        <f t="shared" si="0"/>
        <v>4573.8114327166022</v>
      </c>
      <c r="N2" s="115">
        <f t="shared" si="0"/>
        <v>0</v>
      </c>
      <c r="O2" s="115">
        <f t="shared" si="0"/>
        <v>1720.1743580895386</v>
      </c>
      <c r="P2" s="115">
        <f t="shared" si="0"/>
        <v>7087.0313163685714</v>
      </c>
      <c r="Q2" s="115">
        <f t="shared" si="0"/>
        <v>2457.4505597750085</v>
      </c>
      <c r="R2" s="115">
        <f t="shared" si="0"/>
        <v>15965.323049674023</v>
      </c>
      <c r="S2" s="115">
        <f t="shared" si="0"/>
        <v>233.376</v>
      </c>
      <c r="T2" s="115">
        <f t="shared" si="0"/>
        <v>799.72284385964917</v>
      </c>
      <c r="U2" s="115">
        <f t="shared" si="0"/>
        <v>200.01600000000002</v>
      </c>
      <c r="V2" s="115">
        <f t="shared" si="0"/>
        <v>0</v>
      </c>
      <c r="W2" s="115">
        <f t="shared" si="0"/>
        <v>0</v>
      </c>
      <c r="X2" s="115">
        <f t="shared" si="0"/>
        <v>43.450967593999998</v>
      </c>
      <c r="Y2" s="115">
        <f t="shared" si="0"/>
        <v>0.182</v>
      </c>
      <c r="Z2" s="115">
        <f t="shared" si="0"/>
        <v>0</v>
      </c>
      <c r="AA2" s="115">
        <f t="shared" si="0"/>
        <v>0</v>
      </c>
    </row>
    <row r="3" spans="1:27" s="38" customFormat="1" ht="18.75" customHeight="1" x14ac:dyDescent="0.25">
      <c r="A3" s="108" t="s">
        <v>1</v>
      </c>
      <c r="B3" s="108" t="s">
        <v>2</v>
      </c>
      <c r="C3" s="109" t="s">
        <v>3</v>
      </c>
      <c r="D3" s="110" t="s">
        <v>4</v>
      </c>
      <c r="E3" s="111" t="s">
        <v>5</v>
      </c>
      <c r="F3" s="112" t="s">
        <v>6</v>
      </c>
      <c r="G3" s="110" t="s">
        <v>7</v>
      </c>
      <c r="H3" s="110" t="s">
        <v>8</v>
      </c>
      <c r="I3" s="110" t="s">
        <v>9</v>
      </c>
      <c r="J3" s="114" t="str" cm="1">
        <f t="array" ref="J3:AA3">TRANSPOSE(_xlfn.ANCHORARRAY(Almacen!B9))</f>
        <v>Trigo</v>
      </c>
      <c r="K3" s="114" t="str">
        <v>Avena</v>
      </c>
      <c r="L3" s="114" t="str">
        <v>Quinua</v>
      </c>
      <c r="M3" s="114" t="str">
        <v>Soya</v>
      </c>
      <c r="N3" s="114" t="str">
        <v>Maiz pollo</v>
      </c>
      <c r="O3" s="114" t="str">
        <v>Maiz Chufla</v>
      </c>
      <c r="P3" s="114" t="str">
        <v>Maca</v>
      </c>
      <c r="Q3" s="114" t="str">
        <v>Leche en Polvo</v>
      </c>
      <c r="R3" s="114" t="str">
        <v>Azucar</v>
      </c>
      <c r="S3" s="114" t="str">
        <v>Quinua Qaliwarma</v>
      </c>
      <c r="T3" s="114" t="str">
        <v>Kiwicha</v>
      </c>
      <c r="U3" s="114" t="str">
        <v>Cocoa</v>
      </c>
      <c r="V3" s="114" t="str">
        <v>Sorbato</v>
      </c>
      <c r="W3" s="114" t="str">
        <v>S. Canela</v>
      </c>
      <c r="X3" s="114" t="str">
        <v>S. Leche</v>
      </c>
      <c r="Y3" s="114" t="str">
        <v>S. Platano</v>
      </c>
      <c r="Z3" s="114" t="str">
        <v>S. Vainilla</v>
      </c>
      <c r="AA3" s="114" t="str">
        <v>S. Lucuma</v>
      </c>
    </row>
    <row r="4" spans="1:27" x14ac:dyDescent="0.25">
      <c r="A4" s="1" t="str" cm="1">
        <f t="array" ref="A4:I138">_xlfn._xlws.FILTER(Cereal[MUNICIPALIDAD]:Cereal[UNIDADES], (MONTH(Cereal[FECHA])=J1))</f>
        <v>Alto Trujillo</v>
      </c>
      <c r="B4" s="1" t="str">
        <v>Octubre</v>
      </c>
      <c r="C4" s="2">
        <v>46295</v>
      </c>
      <c r="D4" s="9">
        <v>3120</v>
      </c>
      <c r="E4" s="51">
        <v>0.95145999999999997</v>
      </c>
      <c r="F4" s="35">
        <v>2968.5551999999998</v>
      </c>
      <c r="G4" s="1">
        <v>40</v>
      </c>
      <c r="H4" s="1">
        <v>78</v>
      </c>
      <c r="I4" s="1">
        <v>0</v>
      </c>
      <c r="J4" s="35" cm="1">
        <f t="array" ref="J4:AA4">_xlfn._xlws.FILTER(Formulas!$C$2:$T$149, ISNUMBER(MATCH(Formulas!$B$2:$B$149, A4, 0)),0) * F4</f>
        <v>534.73974141414146</v>
      </c>
      <c r="K4" s="35">
        <v>2225.9166432323232</v>
      </c>
      <c r="L4" s="35">
        <v>207.89881535353533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</row>
    <row r="5" spans="1:27" x14ac:dyDescent="0.25">
      <c r="A5" s="1" t="str">
        <v>Ascope</v>
      </c>
      <c r="B5" s="1" t="str">
        <v>Octubre / Noviembre / Diciembre</v>
      </c>
      <c r="C5" s="2">
        <v>46280</v>
      </c>
      <c r="D5" s="9">
        <v>2400</v>
      </c>
      <c r="E5" s="51">
        <v>0.77800000000000002</v>
      </c>
      <c r="F5" s="35">
        <v>1867.2</v>
      </c>
      <c r="G5" s="1">
        <v>60</v>
      </c>
      <c r="H5" s="1">
        <v>40</v>
      </c>
      <c r="I5" s="1">
        <v>0</v>
      </c>
      <c r="J5" s="35" cm="1">
        <f t="array" ref="J5:AA5">_xlfn._xlws.FILTER(Formulas!$C$2:$T$149, ISNUMBER(MATCH(Formulas!$B$2:$B$149, A5, 0)),0) * F5</f>
        <v>279.88008565310491</v>
      </c>
      <c r="K5" s="35">
        <v>708.69635974304072</v>
      </c>
      <c r="L5" s="35">
        <v>74.967880085653107</v>
      </c>
      <c r="M5" s="35">
        <v>74.967880085653107</v>
      </c>
      <c r="N5" s="35">
        <v>0</v>
      </c>
      <c r="O5" s="35">
        <v>0</v>
      </c>
      <c r="P5" s="35">
        <v>74.967880085653107</v>
      </c>
      <c r="Q5" s="35">
        <v>0</v>
      </c>
      <c r="R5" s="35">
        <v>653.71991434689505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</row>
    <row r="6" spans="1:27" x14ac:dyDescent="0.25">
      <c r="A6" s="1" t="str">
        <v>Asuncion - Chacas</v>
      </c>
      <c r="B6" s="1" t="str">
        <v>Octubre / Noviembre / Diciembre</v>
      </c>
      <c r="C6" s="2">
        <v>46290</v>
      </c>
      <c r="D6" s="9">
        <v>3051</v>
      </c>
      <c r="E6" s="51">
        <v>0.5</v>
      </c>
      <c r="F6" s="35">
        <v>1525.5</v>
      </c>
      <c r="G6" s="1">
        <v>80</v>
      </c>
      <c r="H6" s="1">
        <v>38</v>
      </c>
      <c r="I6" s="1">
        <v>11</v>
      </c>
      <c r="J6" s="35" cm="1">
        <f t="array" ref="J6:AA6">_xlfn._xlws.FILTER(Formulas!$C$2:$T$149, ISNUMBER(MATCH(Formulas!$B$2:$B$149, A6, 0)),0) * F6</f>
        <v>305.10000000000002</v>
      </c>
      <c r="K6" s="35">
        <v>1052.595</v>
      </c>
      <c r="L6" s="35">
        <v>91.53</v>
      </c>
      <c r="M6" s="35">
        <v>0</v>
      </c>
      <c r="N6" s="35">
        <v>0</v>
      </c>
      <c r="O6" s="35">
        <v>0</v>
      </c>
      <c r="P6" s="35">
        <v>76.275000000000006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</row>
    <row r="7" spans="1:27" x14ac:dyDescent="0.25">
      <c r="A7" s="1" t="str">
        <v>Buenavista</v>
      </c>
      <c r="B7" s="1" t="str">
        <v>Octubre / Noviembre / Diciembre</v>
      </c>
      <c r="C7" s="2">
        <v>46295</v>
      </c>
      <c r="D7" s="9">
        <v>1350</v>
      </c>
      <c r="E7" s="51">
        <v>1</v>
      </c>
      <c r="F7" s="35">
        <v>1350</v>
      </c>
      <c r="G7" s="1">
        <v>40</v>
      </c>
      <c r="H7" s="1">
        <v>33</v>
      </c>
      <c r="I7" s="1">
        <v>30</v>
      </c>
      <c r="J7" s="35" cm="1">
        <f t="array" ref="J7:AA7">_xlfn._xlws.FILTER(Formulas!$C$2:$T$149, ISNUMBER(MATCH(Formulas!$B$2:$B$149, A7, 0)),0) * F7</f>
        <v>270</v>
      </c>
      <c r="K7" s="35">
        <v>958</v>
      </c>
      <c r="L7" s="35">
        <v>68</v>
      </c>
      <c r="M7" s="35">
        <v>0</v>
      </c>
      <c r="N7" s="35">
        <v>0</v>
      </c>
      <c r="O7" s="35">
        <v>54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</row>
    <row r="8" spans="1:27" x14ac:dyDescent="0.25">
      <c r="A8" s="1" t="str">
        <v>Cachachi</v>
      </c>
      <c r="B8" s="1" t="str">
        <v>Octubre</v>
      </c>
      <c r="C8" s="2">
        <v>46290</v>
      </c>
      <c r="D8" s="9">
        <v>6500</v>
      </c>
      <c r="E8" s="51">
        <v>0.8</v>
      </c>
      <c r="F8" s="35">
        <v>5200</v>
      </c>
      <c r="G8" s="1">
        <v>50</v>
      </c>
      <c r="H8" s="1">
        <v>130</v>
      </c>
      <c r="I8" s="1">
        <v>0</v>
      </c>
      <c r="J8" s="35" cm="1">
        <f t="array" ref="J8:AA8">_xlfn._xlws.FILTER(Formulas!$C$2:$T$149, ISNUMBER(MATCH(Formulas!$B$2:$B$149, A8, 0)),0) * F8</f>
        <v>746.19999999999993</v>
      </c>
      <c r="K8" s="35">
        <v>2184</v>
      </c>
      <c r="L8" s="35">
        <v>156</v>
      </c>
      <c r="M8" s="35">
        <v>147.16</v>
      </c>
      <c r="N8" s="35">
        <v>0</v>
      </c>
      <c r="O8" s="35">
        <v>0</v>
      </c>
      <c r="P8" s="35">
        <v>147.16</v>
      </c>
      <c r="Q8" s="35">
        <v>0</v>
      </c>
      <c r="R8" s="35">
        <v>1819.9999999999998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</row>
    <row r="9" spans="1:27" x14ac:dyDescent="0.25">
      <c r="A9" s="1" t="str">
        <v>Cajabamba</v>
      </c>
      <c r="B9" s="1" t="str">
        <v>Octubre</v>
      </c>
      <c r="C9" s="2">
        <v>46279</v>
      </c>
      <c r="D9" s="9">
        <v>1012.86</v>
      </c>
      <c r="E9" s="51">
        <v>1</v>
      </c>
      <c r="F9" s="35">
        <v>1012.86</v>
      </c>
      <c r="G9" s="1">
        <v>40</v>
      </c>
      <c r="H9" s="1">
        <v>25</v>
      </c>
      <c r="I9" s="1">
        <v>12.860000000000014</v>
      </c>
      <c r="J9" s="35" cm="1">
        <f t="array" ref="J9:AA9">_xlfn._xlws.FILTER(Formulas!$C$2:$T$149, ISNUMBER(MATCH(Formulas!$B$2:$B$149, A9, 0)),0) * F9</f>
        <v>263.12114619080302</v>
      </c>
      <c r="K9" s="35">
        <v>678.83170212765958</v>
      </c>
      <c r="L9" s="35">
        <v>70.9071516815374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</row>
    <row r="10" spans="1:27" x14ac:dyDescent="0.25">
      <c r="A10" s="1" t="str">
        <v>Cajabamba</v>
      </c>
      <c r="B10" s="1" t="str">
        <v>Noviembre</v>
      </c>
      <c r="C10" s="2">
        <v>46279</v>
      </c>
      <c r="D10" s="9">
        <v>980.18</v>
      </c>
      <c r="E10" s="51">
        <v>1</v>
      </c>
      <c r="F10" s="35">
        <v>980.18</v>
      </c>
      <c r="G10" s="1">
        <v>40</v>
      </c>
      <c r="H10" s="1">
        <v>24</v>
      </c>
      <c r="I10" s="1">
        <v>20.17999999999995</v>
      </c>
      <c r="J10" s="35" cm="1">
        <f t="array" ref="J10:AA10">_xlfn._xlws.FILTER(Formulas!$C$2:$T$149, ISNUMBER(MATCH(Formulas!$B$2:$B$149, A10, 0)),0) * F10</f>
        <v>254.63152367879204</v>
      </c>
      <c r="K10" s="35">
        <v>656.92914893617024</v>
      </c>
      <c r="L10" s="35">
        <v>68.619327385037735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</row>
    <row r="11" spans="1:27" x14ac:dyDescent="0.25">
      <c r="A11" s="1" t="str">
        <v>Cajabamba</v>
      </c>
      <c r="B11" s="1" t="str">
        <v>Diciembre</v>
      </c>
      <c r="C11" s="2">
        <v>46279</v>
      </c>
      <c r="D11" s="9">
        <v>1012.86</v>
      </c>
      <c r="E11" s="51">
        <v>1</v>
      </c>
      <c r="F11" s="35">
        <v>1012.86</v>
      </c>
      <c r="G11" s="1">
        <v>40</v>
      </c>
      <c r="H11" s="1">
        <v>25</v>
      </c>
      <c r="I11" s="1">
        <v>12.860000000000014</v>
      </c>
      <c r="J11" s="35" cm="1">
        <f t="array" ref="J11:AA11">_xlfn._xlws.FILTER(Formulas!$C$2:$T$149, ISNUMBER(MATCH(Formulas!$B$2:$B$149, A11, 0)),0) * F11</f>
        <v>263.12114619080302</v>
      </c>
      <c r="K11" s="35">
        <v>678.83170212765958</v>
      </c>
      <c r="L11" s="35">
        <v>70.9071516815374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</row>
    <row r="12" spans="1:27" x14ac:dyDescent="0.25">
      <c r="A12" s="1" t="str">
        <v>Cajabamba Leche</v>
      </c>
      <c r="B12" s="1" t="str">
        <v>Octubre</v>
      </c>
      <c r="C12" s="2">
        <v>46279</v>
      </c>
      <c r="D12" s="9">
        <v>3269.81</v>
      </c>
      <c r="E12" s="51">
        <v>1</v>
      </c>
      <c r="F12" s="35">
        <v>3269.81</v>
      </c>
      <c r="G12" s="1">
        <v>40</v>
      </c>
      <c r="H12" s="1">
        <v>81</v>
      </c>
      <c r="I12" s="1">
        <v>29.809999999999945</v>
      </c>
      <c r="J12" s="35" cm="1">
        <f t="array" ref="J12:AA12">_xlfn._xlws.FILTER(Formulas!$C$2:$T$149, ISNUMBER(MATCH(Formulas!$B$2:$B$149, A12, 0)),0) * F12</f>
        <v>752.18717505793131</v>
      </c>
      <c r="K12" s="35">
        <v>2193.8792605856329</v>
      </c>
      <c r="L12" s="35">
        <v>0</v>
      </c>
      <c r="M12" s="35">
        <v>130.87505793132505</v>
      </c>
      <c r="N12" s="35">
        <v>0</v>
      </c>
      <c r="O12" s="35">
        <v>0</v>
      </c>
      <c r="P12" s="35">
        <v>0</v>
      </c>
      <c r="Q12" s="35">
        <v>189.42442595323362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3.2698100000000001</v>
      </c>
      <c r="Y12" s="35">
        <v>0</v>
      </c>
      <c r="Z12" s="35">
        <v>0</v>
      </c>
      <c r="AA12" s="35">
        <v>0</v>
      </c>
    </row>
    <row r="13" spans="1:27" x14ac:dyDescent="0.25">
      <c r="A13" s="1" t="str">
        <v>Cajabamba Leche</v>
      </c>
      <c r="B13" s="1" t="str">
        <v>Noviembre</v>
      </c>
      <c r="C13" s="2">
        <v>46279</v>
      </c>
      <c r="D13" s="9">
        <v>3164.33</v>
      </c>
      <c r="E13" s="51">
        <v>1</v>
      </c>
      <c r="F13" s="35">
        <v>3164.33</v>
      </c>
      <c r="G13" s="1">
        <v>40</v>
      </c>
      <c r="H13" s="1">
        <v>79</v>
      </c>
      <c r="I13" s="1">
        <v>4.3299999999999272</v>
      </c>
      <c r="J13" s="35" cm="1">
        <f t="array" ref="J13:AA13">_xlfn._xlws.FILTER(Formulas!$C$2:$T$149, ISNUMBER(MATCH(Formulas!$B$2:$B$149, A13, 0)),0) * F13</f>
        <v>727.92255319148933</v>
      </c>
      <c r="K13" s="35">
        <v>2123.1074468085103</v>
      </c>
      <c r="L13" s="35">
        <v>0</v>
      </c>
      <c r="M13" s="35">
        <v>126.6531914893617</v>
      </c>
      <c r="N13" s="35">
        <v>0</v>
      </c>
      <c r="O13" s="35">
        <v>0</v>
      </c>
      <c r="P13" s="35">
        <v>0</v>
      </c>
      <c r="Q13" s="35">
        <v>183.31382978723403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3.1643300000000001</v>
      </c>
      <c r="Y13" s="35">
        <v>0</v>
      </c>
      <c r="Z13" s="35">
        <v>0</v>
      </c>
      <c r="AA13" s="35">
        <v>0</v>
      </c>
    </row>
    <row r="14" spans="1:27" x14ac:dyDescent="0.25">
      <c r="A14" s="1" t="str">
        <v>Cajabamba Leche</v>
      </c>
      <c r="B14" s="1" t="str">
        <v>Diciembre</v>
      </c>
      <c r="C14" s="2">
        <v>46279</v>
      </c>
      <c r="D14" s="9">
        <v>3269.81</v>
      </c>
      <c r="E14" s="51">
        <v>1</v>
      </c>
      <c r="F14" s="35">
        <v>3269.81</v>
      </c>
      <c r="G14" s="1">
        <v>40</v>
      </c>
      <c r="H14" s="1">
        <v>81</v>
      </c>
      <c r="I14" s="1">
        <v>29.809999999999945</v>
      </c>
      <c r="J14" s="35" cm="1">
        <f t="array" ref="J14:AA14">_xlfn._xlws.FILTER(Formulas!$C$2:$T$149, ISNUMBER(MATCH(Formulas!$B$2:$B$149, A14, 0)),0) * F14</f>
        <v>752.18717505793131</v>
      </c>
      <c r="K14" s="35">
        <v>2193.8792605856329</v>
      </c>
      <c r="L14" s="35">
        <v>0</v>
      </c>
      <c r="M14" s="35">
        <v>130.87505793132505</v>
      </c>
      <c r="N14" s="35">
        <v>0</v>
      </c>
      <c r="O14" s="35">
        <v>0</v>
      </c>
      <c r="P14" s="35">
        <v>0</v>
      </c>
      <c r="Q14" s="35">
        <v>189.42442595323362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3.2698100000000001</v>
      </c>
      <c r="Y14" s="35">
        <v>0</v>
      </c>
      <c r="Z14" s="35">
        <v>0</v>
      </c>
      <c r="AA14" s="35">
        <v>0</v>
      </c>
    </row>
    <row r="15" spans="1:27" x14ac:dyDescent="0.25">
      <c r="A15" s="1" t="str">
        <v>Cajamarca Rur</v>
      </c>
      <c r="B15" s="1" t="str">
        <v>Septiembre</v>
      </c>
      <c r="C15" s="2">
        <v>46266</v>
      </c>
      <c r="D15" s="9">
        <v>4455</v>
      </c>
      <c r="E15" s="51">
        <v>2.4</v>
      </c>
      <c r="F15" s="35">
        <v>10692</v>
      </c>
      <c r="G15" s="1">
        <v>18</v>
      </c>
      <c r="H15" s="1">
        <v>247</v>
      </c>
      <c r="I15" s="1">
        <v>9</v>
      </c>
      <c r="J15" s="35" cm="1">
        <f t="array" ref="J15:AA15">_xlfn._xlws.FILTER(Formulas!$C$2:$T$149, ISNUMBER(MATCH(Formulas!$B$2:$B$149, A15, 0)),0) * F15</f>
        <v>2779.9862966981859</v>
      </c>
      <c r="K15" s="35">
        <v>6522.1034258254531</v>
      </c>
      <c r="L15" s="35">
        <v>534.68287087273291</v>
      </c>
      <c r="M15" s="35">
        <v>0</v>
      </c>
      <c r="N15" s="35">
        <v>0</v>
      </c>
      <c r="O15" s="35">
        <v>427.61370330181364</v>
      </c>
      <c r="P15" s="35">
        <v>427.61370330181364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</row>
    <row r="16" spans="1:27" x14ac:dyDescent="0.25">
      <c r="A16" s="1" t="str">
        <v>Cajamarca Rur</v>
      </c>
      <c r="B16" s="1" t="str">
        <v>Octubre</v>
      </c>
      <c r="C16" s="2">
        <v>46266</v>
      </c>
      <c r="D16" s="9">
        <v>4455</v>
      </c>
      <c r="E16" s="51">
        <v>2.48</v>
      </c>
      <c r="F16" s="35">
        <v>11048.4</v>
      </c>
      <c r="G16" s="1">
        <v>18</v>
      </c>
      <c r="H16" s="1">
        <v>247</v>
      </c>
      <c r="I16" s="1">
        <v>9</v>
      </c>
      <c r="J16" s="35" cm="1">
        <f t="array" ref="J16:AA16">_xlfn._xlws.FILTER(Formulas!$C$2:$T$149, ISNUMBER(MATCH(Formulas!$B$2:$B$149, A16, 0)),0) * F16</f>
        <v>2872.6525065881256</v>
      </c>
      <c r="K16" s="35">
        <v>6739.5068733529679</v>
      </c>
      <c r="L16" s="35">
        <v>552.50563323515735</v>
      </c>
      <c r="M16" s="35">
        <v>0</v>
      </c>
      <c r="N16" s="35">
        <v>0</v>
      </c>
      <c r="O16" s="35">
        <v>441.86749341187414</v>
      </c>
      <c r="P16" s="35">
        <v>441.86749341187414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</row>
    <row r="17" spans="1:27" x14ac:dyDescent="0.25">
      <c r="A17" s="1" t="str">
        <v>Cajamarca Urb</v>
      </c>
      <c r="B17" s="1" t="str">
        <v>Setiembre</v>
      </c>
      <c r="C17" s="2">
        <v>46266</v>
      </c>
      <c r="D17" s="9">
        <v>2500</v>
      </c>
      <c r="E17" s="51">
        <v>1.8162</v>
      </c>
      <c r="F17" s="35">
        <v>4540.5</v>
      </c>
      <c r="G17" s="1">
        <v>25</v>
      </c>
      <c r="H17" s="1">
        <v>100</v>
      </c>
      <c r="I17" s="1">
        <v>0</v>
      </c>
      <c r="J17" s="35" cm="1">
        <f t="array" ref="J17:AA17">_xlfn._xlws.FILTER(Formulas!$C$2:$T$149, ISNUMBER(MATCH(Formulas!$B$2:$B$149, A17, 0)),0) * F17</f>
        <v>1136.3961366181411</v>
      </c>
      <c r="K17" s="35">
        <v>2587.5256998880182</v>
      </c>
      <c r="L17" s="35">
        <v>272.02323628219483</v>
      </c>
      <c r="M17" s="35">
        <v>181.51830907054872</v>
      </c>
      <c r="N17" s="35">
        <v>0</v>
      </c>
      <c r="O17" s="35">
        <v>181.51830907054872</v>
      </c>
      <c r="P17" s="35">
        <v>181.51830907054872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</row>
    <row r="18" spans="1:27" x14ac:dyDescent="0.25">
      <c r="A18" s="1" t="str">
        <v>Cajamarca Urb</v>
      </c>
      <c r="B18" s="1" t="str">
        <v>Octubre</v>
      </c>
      <c r="C18" s="2">
        <v>46266</v>
      </c>
      <c r="D18" s="9">
        <v>2500</v>
      </c>
      <c r="E18" s="51">
        <v>1.8767400000000001</v>
      </c>
      <c r="F18" s="35">
        <v>4691.8500000000004</v>
      </c>
      <c r="G18" s="1">
        <v>25</v>
      </c>
      <c r="H18" s="1">
        <v>100</v>
      </c>
      <c r="I18" s="1">
        <v>0</v>
      </c>
      <c r="J18" s="35" cm="1">
        <f t="array" ref="J18:AA18">_xlfn._xlws.FILTER(Formulas!$C$2:$T$149, ISNUMBER(MATCH(Formulas!$B$2:$B$149, A18, 0)),0) * F18</f>
        <v>1174.2760078387457</v>
      </c>
      <c r="K18" s="35">
        <v>2673.7765565509521</v>
      </c>
      <c r="L18" s="35">
        <v>281.09067749160135</v>
      </c>
      <c r="M18" s="35">
        <v>187.56891937290035</v>
      </c>
      <c r="N18" s="35">
        <v>0</v>
      </c>
      <c r="O18" s="35">
        <v>187.56891937290035</v>
      </c>
      <c r="P18" s="35">
        <v>187.56891937290035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</row>
    <row r="19" spans="1:27" x14ac:dyDescent="0.25">
      <c r="A19" s="1" t="str">
        <v>Cajatambo</v>
      </c>
      <c r="B19" s="1" t="str">
        <v>O.C.</v>
      </c>
      <c r="C19" s="2">
        <v>46276</v>
      </c>
      <c r="D19" s="9">
        <v>840</v>
      </c>
      <c r="E19" s="51">
        <v>0.5</v>
      </c>
      <c r="F19" s="35">
        <v>420</v>
      </c>
      <c r="G19" s="1">
        <v>80</v>
      </c>
      <c r="H19" s="1">
        <v>10</v>
      </c>
      <c r="I19" s="1">
        <v>40</v>
      </c>
      <c r="J19" s="35" cm="1">
        <f t="array" ref="J19:AA19">_xlfn._xlws.FILTER(Formulas!$C$2:$T$149, ISNUMBER(MATCH(Formulas!$B$2:$B$149, A19, 0)),0) * F19</f>
        <v>84</v>
      </c>
      <c r="K19" s="35">
        <v>289.79999999999995</v>
      </c>
      <c r="L19" s="35">
        <v>25.2</v>
      </c>
      <c r="M19" s="35">
        <v>0</v>
      </c>
      <c r="N19" s="35">
        <v>0</v>
      </c>
      <c r="O19" s="35">
        <v>0</v>
      </c>
      <c r="P19" s="35">
        <v>21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</row>
    <row r="20" spans="1:27" x14ac:dyDescent="0.25">
      <c r="A20" s="1" t="str">
        <v>Cajatambo</v>
      </c>
      <c r="B20" s="1" t="str">
        <v>Octubre</v>
      </c>
      <c r="C20" s="2">
        <v>46280</v>
      </c>
      <c r="D20" s="9">
        <v>660</v>
      </c>
      <c r="E20" s="51">
        <v>0.5</v>
      </c>
      <c r="F20" s="35">
        <v>330</v>
      </c>
      <c r="G20" s="1">
        <v>80</v>
      </c>
      <c r="H20" s="1">
        <v>8</v>
      </c>
      <c r="I20" s="1">
        <v>20</v>
      </c>
      <c r="J20" s="35" cm="1">
        <f t="array" ref="J20:AA20">_xlfn._xlws.FILTER(Formulas!$C$2:$T$149, ISNUMBER(MATCH(Formulas!$B$2:$B$149, A20, 0)),0) * F20</f>
        <v>66</v>
      </c>
      <c r="K20" s="35">
        <v>227.7</v>
      </c>
      <c r="L20" s="35">
        <v>19.8</v>
      </c>
      <c r="M20" s="35">
        <v>0</v>
      </c>
      <c r="N20" s="35">
        <v>0</v>
      </c>
      <c r="O20" s="35">
        <v>0</v>
      </c>
      <c r="P20" s="35">
        <v>16.5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</row>
    <row r="21" spans="1:27" x14ac:dyDescent="0.25">
      <c r="A21" s="1" t="str">
        <v>Cajatambo</v>
      </c>
      <c r="B21" s="1" t="str">
        <v>Noviembre</v>
      </c>
      <c r="C21" s="2">
        <v>46280</v>
      </c>
      <c r="D21" s="9">
        <v>660</v>
      </c>
      <c r="E21" s="51">
        <v>0.5</v>
      </c>
      <c r="F21" s="35">
        <v>330</v>
      </c>
      <c r="G21" s="1">
        <v>80</v>
      </c>
      <c r="H21" s="1">
        <v>8</v>
      </c>
      <c r="I21" s="1">
        <v>20</v>
      </c>
      <c r="J21" s="35" cm="1">
        <f t="array" ref="J21:AA21">_xlfn._xlws.FILTER(Formulas!$C$2:$T$149, ISNUMBER(MATCH(Formulas!$B$2:$B$149, A21, 0)),0) * F21</f>
        <v>66</v>
      </c>
      <c r="K21" s="35">
        <v>227.7</v>
      </c>
      <c r="L21" s="35">
        <v>19.8</v>
      </c>
      <c r="M21" s="35">
        <v>0</v>
      </c>
      <c r="N21" s="35">
        <v>0</v>
      </c>
      <c r="O21" s="35">
        <v>0</v>
      </c>
      <c r="P21" s="35">
        <v>16.5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</row>
    <row r="22" spans="1:27" x14ac:dyDescent="0.25">
      <c r="A22" s="1" t="str">
        <v>Cajatambo</v>
      </c>
      <c r="B22" s="1" t="str">
        <v>Diciembre</v>
      </c>
      <c r="C22" s="2">
        <v>46280</v>
      </c>
      <c r="D22" s="9">
        <v>660</v>
      </c>
      <c r="E22" s="51">
        <v>0.5</v>
      </c>
      <c r="F22" s="35">
        <v>330</v>
      </c>
      <c r="G22" s="1">
        <v>80</v>
      </c>
      <c r="H22" s="1">
        <v>8</v>
      </c>
      <c r="I22" s="1">
        <v>20</v>
      </c>
      <c r="J22" s="35" cm="1">
        <f t="array" ref="J22:AA22">_xlfn._xlws.FILTER(Formulas!$C$2:$T$149, ISNUMBER(MATCH(Formulas!$B$2:$B$149, A22, 0)),0) * F22</f>
        <v>66</v>
      </c>
      <c r="K22" s="35">
        <v>227.7</v>
      </c>
      <c r="L22" s="35">
        <v>19.8</v>
      </c>
      <c r="M22" s="35">
        <v>0</v>
      </c>
      <c r="N22" s="35">
        <v>0</v>
      </c>
      <c r="O22" s="35">
        <v>0</v>
      </c>
      <c r="P22" s="35">
        <v>16.5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</row>
    <row r="23" spans="1:27" x14ac:dyDescent="0.25">
      <c r="A23" s="1" t="str">
        <v>Carabamba1</v>
      </c>
      <c r="B23" s="1" t="str">
        <v>Octubre</v>
      </c>
      <c r="C23" s="2">
        <v>46286</v>
      </c>
      <c r="D23" s="9">
        <v>1880</v>
      </c>
      <c r="E23" s="51">
        <v>0.85470829999999998</v>
      </c>
      <c r="F23" s="35">
        <v>1606.851604</v>
      </c>
      <c r="G23" s="1">
        <v>50</v>
      </c>
      <c r="H23" s="1">
        <v>37</v>
      </c>
      <c r="I23" s="1">
        <v>30</v>
      </c>
      <c r="J23" s="35" cm="1">
        <f t="array" ref="J23:AA23">_xlfn._xlws.FILTER(Formulas!$C$2:$T$149, ISNUMBER(MATCH(Formulas!$B$2:$B$149, A23, 0)),0) * F23</f>
        <v>241.02774059999999</v>
      </c>
      <c r="K23" s="35">
        <v>682.91193169999997</v>
      </c>
      <c r="L23" s="35">
        <v>64.274064159999995</v>
      </c>
      <c r="M23" s="35">
        <v>64.274064159999995</v>
      </c>
      <c r="N23" s="35">
        <v>0</v>
      </c>
      <c r="O23" s="35">
        <v>0</v>
      </c>
      <c r="P23" s="35">
        <v>64.274064159999995</v>
      </c>
      <c r="Q23" s="35">
        <v>88.376838219999996</v>
      </c>
      <c r="R23" s="35">
        <v>401.71290099999999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1.606851604</v>
      </c>
      <c r="Y23" s="35">
        <v>0</v>
      </c>
      <c r="Z23" s="35">
        <v>0</v>
      </c>
      <c r="AA23" s="35">
        <v>0</v>
      </c>
    </row>
    <row r="24" spans="1:27" x14ac:dyDescent="0.25">
      <c r="A24" s="1" t="str">
        <v>Casa Grande</v>
      </c>
      <c r="B24" s="1" t="str">
        <v>Octubre</v>
      </c>
      <c r="C24" s="2">
        <v>46270</v>
      </c>
      <c r="D24" s="9">
        <v>1127</v>
      </c>
      <c r="E24" s="51">
        <v>1.3554299999999999</v>
      </c>
      <c r="F24" s="35">
        <v>1527.56961</v>
      </c>
      <c r="G24" s="1">
        <v>30</v>
      </c>
      <c r="H24" s="1">
        <v>37</v>
      </c>
      <c r="I24" s="1">
        <v>17</v>
      </c>
      <c r="J24" s="35" cm="1">
        <f t="array" ref="J24:AA24">_xlfn._xlws.FILTER(Formulas!$C$2:$T$149, ISNUMBER(MATCH(Formulas!$B$2:$B$149, A24, 0)),0) * F24</f>
        <v>290.84925374400001</v>
      </c>
      <c r="K24" s="35">
        <v>1145.6772074999999</v>
      </c>
      <c r="L24" s="35">
        <v>91.043148756000008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</row>
    <row r="25" spans="1:27" x14ac:dyDescent="0.25">
      <c r="A25" s="1" t="str">
        <v>Chao</v>
      </c>
      <c r="B25" s="1" t="str">
        <v>Octubre</v>
      </c>
      <c r="C25" s="2">
        <v>46288</v>
      </c>
      <c r="D25" s="9">
        <v>1405.68</v>
      </c>
      <c r="E25" s="51">
        <v>1</v>
      </c>
      <c r="F25" s="35">
        <v>1405.68</v>
      </c>
      <c r="G25" s="1">
        <v>40</v>
      </c>
      <c r="H25" s="1">
        <v>35</v>
      </c>
      <c r="I25" s="1">
        <v>5.6800000000000637</v>
      </c>
      <c r="J25" s="35" cm="1">
        <f t="array" ref="J25:AA25">_xlfn._xlws.FILTER(Formulas!$C$2:$T$149, ISNUMBER(MATCH(Formulas!$B$2:$B$149, A25, 0)),0) * F25</f>
        <v>301.94006400000001</v>
      </c>
      <c r="K25" s="35">
        <v>949.81797600000004</v>
      </c>
      <c r="L25" s="35">
        <v>42.029831999999999</v>
      </c>
      <c r="M25" s="35">
        <v>55.946064000000007</v>
      </c>
      <c r="N25" s="35">
        <v>0</v>
      </c>
      <c r="O25" s="35">
        <v>0</v>
      </c>
      <c r="P25" s="35">
        <v>55.946064000000007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</row>
    <row r="26" spans="1:27" x14ac:dyDescent="0.25">
      <c r="A26" s="1" t="str">
        <v>Chetilla</v>
      </c>
      <c r="B26" s="1" t="str">
        <v>Octubre / Noviembre / Diciembre</v>
      </c>
      <c r="C26" s="2">
        <v>46295</v>
      </c>
      <c r="D26" s="9">
        <v>2550</v>
      </c>
      <c r="E26" s="51">
        <v>1.72</v>
      </c>
      <c r="F26" s="35">
        <v>4386</v>
      </c>
      <c r="G26" s="1">
        <v>25</v>
      </c>
      <c r="H26" s="1">
        <v>102</v>
      </c>
      <c r="I26" s="1">
        <v>0</v>
      </c>
      <c r="J26" s="35" cm="1">
        <f t="array" ref="J26:AA26">_xlfn._xlws.FILTER(Formulas!$C$2:$T$149, ISNUMBER(MATCH(Formulas!$B$2:$B$149, A26, 0)),0) * F26</f>
        <v>460.1049030786773</v>
      </c>
      <c r="K26" s="35">
        <v>1821.4152793614596</v>
      </c>
      <c r="L26" s="35">
        <v>263.05997719498288</v>
      </c>
      <c r="M26" s="35">
        <v>175.03990877993158</v>
      </c>
      <c r="N26" s="35">
        <v>0</v>
      </c>
      <c r="O26" s="35">
        <v>0</v>
      </c>
      <c r="P26" s="35">
        <v>0</v>
      </c>
      <c r="Q26" s="35">
        <v>0</v>
      </c>
      <c r="R26" s="35">
        <v>1666.3799315849487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</row>
    <row r="27" spans="1:27" x14ac:dyDescent="0.25">
      <c r="A27" s="1" t="str">
        <v>Chiclayo</v>
      </c>
      <c r="B27" s="1" t="str">
        <v>Octubre</v>
      </c>
      <c r="C27" s="2">
        <v>46293</v>
      </c>
      <c r="D27" s="9">
        <v>8951</v>
      </c>
      <c r="E27" s="51">
        <v>1</v>
      </c>
      <c r="F27" s="35">
        <v>8951</v>
      </c>
      <c r="G27" s="1">
        <v>40</v>
      </c>
      <c r="H27" s="1">
        <v>223</v>
      </c>
      <c r="I27" s="1">
        <v>31</v>
      </c>
      <c r="J27" s="35" cm="1">
        <f t="array" ref="J27:AA27">_xlfn._xlws.FILTER(Formulas!$C$2:$T$149, ISNUMBER(MATCH(Formulas!$B$2:$B$149, A27, 0)),0) * F27</f>
        <v>2506.3383412090598</v>
      </c>
      <c r="K27" s="35">
        <v>5370.5999999999995</v>
      </c>
      <c r="L27" s="35">
        <v>537.03082939547005</v>
      </c>
      <c r="M27" s="35">
        <v>0</v>
      </c>
      <c r="N27" s="35">
        <v>0</v>
      </c>
      <c r="O27" s="35">
        <v>0</v>
      </c>
      <c r="P27" s="35">
        <v>537.03082939547005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</row>
    <row r="28" spans="1:27" x14ac:dyDescent="0.25">
      <c r="A28" s="1" t="str">
        <v>Chiclayo1</v>
      </c>
      <c r="B28" s="1" t="str">
        <v>Octubre</v>
      </c>
      <c r="C28" s="2">
        <v>46293</v>
      </c>
      <c r="D28" s="9">
        <v>8951.25</v>
      </c>
      <c r="E28" s="51">
        <v>1</v>
      </c>
      <c r="F28" s="35">
        <v>8951.25</v>
      </c>
      <c r="G28" s="1">
        <v>40</v>
      </c>
      <c r="H28" s="1">
        <v>223</v>
      </c>
      <c r="I28" s="1">
        <v>31.25</v>
      </c>
      <c r="J28" s="35" cm="1">
        <f t="array" ref="J28:AA28">_xlfn._xlws.FILTER(Formulas!$C$2:$T$149, ISNUMBER(MATCH(Formulas!$B$2:$B$149, A28, 0)),0) * F28</f>
        <v>2327.3250000000003</v>
      </c>
      <c r="K28" s="35">
        <v>5818.3125</v>
      </c>
      <c r="L28" s="35">
        <v>357.97000670241283</v>
      </c>
      <c r="M28" s="35">
        <v>0</v>
      </c>
      <c r="N28" s="35">
        <v>0</v>
      </c>
      <c r="O28" s="35">
        <v>0</v>
      </c>
      <c r="P28" s="35">
        <v>447.5625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</row>
    <row r="29" spans="1:27" x14ac:dyDescent="0.25">
      <c r="A29" s="1" t="str">
        <v>Chilete</v>
      </c>
      <c r="B29" s="1" t="str">
        <v>O.C.</v>
      </c>
      <c r="C29" s="2">
        <v>46289</v>
      </c>
      <c r="D29" s="9">
        <v>860</v>
      </c>
      <c r="E29" s="51">
        <v>0.68615999999999999</v>
      </c>
      <c r="F29" s="35">
        <v>590.09759999999994</v>
      </c>
      <c r="G29" s="1">
        <v>60</v>
      </c>
      <c r="H29" s="1">
        <v>14</v>
      </c>
      <c r="I29" s="1">
        <v>20</v>
      </c>
      <c r="J29" s="35" cm="1">
        <f t="array" ref="J29:AA29">_xlfn._xlws.FILTER(Formulas!$C$2:$T$149, ISNUMBER(MATCH(Formulas!$B$2:$B$149, A29, 0)),0) * F29</f>
        <v>117.96888957528957</v>
      </c>
      <c r="K29" s="35">
        <v>401.49926795366792</v>
      </c>
      <c r="L29" s="35">
        <v>23.543147490347486</v>
      </c>
      <c r="M29" s="35">
        <v>23.543147490347486</v>
      </c>
      <c r="N29" s="35">
        <v>0</v>
      </c>
      <c r="O29" s="35">
        <v>0</v>
      </c>
      <c r="P29" s="35">
        <v>23.543147490347486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</row>
    <row r="30" spans="1:27" x14ac:dyDescent="0.25">
      <c r="A30" s="1" t="str">
        <v>Chilete</v>
      </c>
      <c r="B30" s="1" t="str">
        <v>Octubre</v>
      </c>
      <c r="C30" s="2">
        <v>46295</v>
      </c>
      <c r="D30" s="9">
        <v>860</v>
      </c>
      <c r="E30" s="51">
        <v>0.93371999999999999</v>
      </c>
      <c r="F30" s="35">
        <v>802.99919999999997</v>
      </c>
      <c r="G30" s="1">
        <v>45</v>
      </c>
      <c r="H30" s="1">
        <v>19</v>
      </c>
      <c r="I30" s="1">
        <v>5</v>
      </c>
      <c r="J30" s="35" cm="1">
        <f t="array" ref="J30:AA30">_xlfn._xlws.FILTER(Formulas!$C$2:$T$149, ISNUMBER(MATCH(Formulas!$B$2:$B$149, A30, 0)),0) * F30</f>
        <v>160.53094259974262</v>
      </c>
      <c r="K30" s="35">
        <v>546.35638404118401</v>
      </c>
      <c r="L30" s="35">
        <v>32.037291119691119</v>
      </c>
      <c r="M30" s="35">
        <v>32.037291119691119</v>
      </c>
      <c r="N30" s="35">
        <v>0</v>
      </c>
      <c r="O30" s="35">
        <v>0</v>
      </c>
      <c r="P30" s="35">
        <v>32.037291119691119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</row>
    <row r="31" spans="1:27" x14ac:dyDescent="0.25">
      <c r="A31" s="1" t="str">
        <v>Chilete</v>
      </c>
      <c r="B31" s="1" t="str">
        <v>Noviembre</v>
      </c>
      <c r="C31" s="2">
        <v>46295</v>
      </c>
      <c r="D31" s="9">
        <v>860</v>
      </c>
      <c r="E31" s="51">
        <v>0.90359999999999996</v>
      </c>
      <c r="F31" s="35">
        <v>777.096</v>
      </c>
      <c r="G31" s="1">
        <v>45</v>
      </c>
      <c r="H31" s="1">
        <v>19</v>
      </c>
      <c r="I31" s="1">
        <v>5</v>
      </c>
      <c r="J31" s="35" cm="1">
        <f t="array" ref="J31:AA31">_xlfn._xlws.FILTER(Formulas!$C$2:$T$149, ISNUMBER(MATCH(Formulas!$B$2:$B$149, A31, 0)),0) * F31</f>
        <v>155.35252509652511</v>
      </c>
      <c r="K31" s="35">
        <v>528.73198455598458</v>
      </c>
      <c r="L31" s="35">
        <v>31.003830115830116</v>
      </c>
      <c r="M31" s="35">
        <v>31.003830115830116</v>
      </c>
      <c r="N31" s="35">
        <v>0</v>
      </c>
      <c r="O31" s="35">
        <v>0</v>
      </c>
      <c r="P31" s="35">
        <v>31.003830115830116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</row>
    <row r="32" spans="1:27" ht="16.5" customHeight="1" x14ac:dyDescent="0.25">
      <c r="A32" s="1" t="str">
        <v>Chilete</v>
      </c>
      <c r="B32" s="1" t="str">
        <v>Diciembre</v>
      </c>
      <c r="C32" s="2">
        <v>46295</v>
      </c>
      <c r="D32" s="9">
        <v>860</v>
      </c>
      <c r="E32" s="51">
        <v>0.93371999999999999</v>
      </c>
      <c r="F32" s="35">
        <v>802.99919999999997</v>
      </c>
      <c r="G32" s="1">
        <v>45</v>
      </c>
      <c r="H32" s="1">
        <v>19</v>
      </c>
      <c r="I32" s="1">
        <v>5</v>
      </c>
      <c r="J32" s="35" cm="1">
        <f t="array" ref="J32:AA32">_xlfn._xlws.FILTER(Formulas!$C$2:$T$149, ISNUMBER(MATCH(Formulas!$B$2:$B$149, A32, 0)),0) * F32</f>
        <v>160.53094259974262</v>
      </c>
      <c r="K32" s="35">
        <v>546.35638404118401</v>
      </c>
      <c r="L32" s="35">
        <v>32.037291119691119</v>
      </c>
      <c r="M32" s="35">
        <v>32.037291119691119</v>
      </c>
      <c r="N32" s="35">
        <v>0</v>
      </c>
      <c r="O32" s="35">
        <v>0</v>
      </c>
      <c r="P32" s="35">
        <v>32.037291119691119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</row>
    <row r="33" spans="1:27" x14ac:dyDescent="0.25">
      <c r="A33" s="1" t="str">
        <v>Chiliquin</v>
      </c>
      <c r="B33" s="1" t="str">
        <v>O.C.</v>
      </c>
      <c r="C33" s="2">
        <v>46274</v>
      </c>
      <c r="D33" s="9">
        <v>485</v>
      </c>
      <c r="E33" s="51">
        <v>1</v>
      </c>
      <c r="F33" s="35">
        <v>485</v>
      </c>
      <c r="G33" s="1">
        <v>40</v>
      </c>
      <c r="H33" s="1">
        <v>12</v>
      </c>
      <c r="I33" s="1">
        <v>5</v>
      </c>
      <c r="J33" s="35" cm="1">
        <f t="array" ref="J33:AA33">_xlfn._xlws.FILTER(Formulas!$C$2:$T$149, ISNUMBER(MATCH(Formulas!$B$2:$B$149, A33, 0)),0) * F33</f>
        <v>96.796218487394967</v>
      </c>
      <c r="K33" s="35">
        <v>337.25840336134451</v>
      </c>
      <c r="L33" s="35">
        <v>26.491596638655462</v>
      </c>
      <c r="M33" s="35">
        <v>0</v>
      </c>
      <c r="N33" s="35">
        <v>0</v>
      </c>
      <c r="O33" s="35">
        <v>0</v>
      </c>
      <c r="P33" s="35">
        <v>24.453781512605044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</row>
    <row r="34" spans="1:27" x14ac:dyDescent="0.25">
      <c r="A34" s="1" t="str">
        <v>Chimban</v>
      </c>
      <c r="B34" s="1" t="str">
        <v>Octubre / Noviembre / Diciembre</v>
      </c>
      <c r="C34" s="2">
        <v>46295</v>
      </c>
      <c r="D34" s="9">
        <v>1049</v>
      </c>
      <c r="E34" s="51">
        <v>1.29</v>
      </c>
      <c r="F34" s="35">
        <v>1353.21</v>
      </c>
      <c r="G34" s="1">
        <v>35</v>
      </c>
      <c r="H34" s="1">
        <v>29</v>
      </c>
      <c r="I34" s="1">
        <v>34</v>
      </c>
      <c r="J34" s="35" cm="1">
        <f t="array" ref="J34:AA34">_xlfn._xlws.FILTER(Formulas!$C$2:$T$149, ISNUMBER(MATCH(Formulas!$B$2:$B$149, A34, 0)),0) * F34</f>
        <v>270.642</v>
      </c>
      <c r="K34" s="35">
        <v>926.94885000000011</v>
      </c>
      <c r="L34" s="35">
        <v>47.362350000000006</v>
      </c>
      <c r="M34" s="35">
        <v>54.128399999999999</v>
      </c>
      <c r="N34" s="35">
        <v>0</v>
      </c>
      <c r="O34" s="35">
        <v>0</v>
      </c>
      <c r="P34" s="35">
        <v>54.128399999999999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</row>
    <row r="35" spans="1:27" x14ac:dyDescent="0.25">
      <c r="A35" s="1" t="str">
        <v>Chocope</v>
      </c>
      <c r="B35" s="1" t="str">
        <v>Octubre</v>
      </c>
      <c r="C35" s="2">
        <v>46283</v>
      </c>
      <c r="D35" s="9">
        <v>1010</v>
      </c>
      <c r="E35" s="51">
        <v>0.86799999999999999</v>
      </c>
      <c r="F35" s="35">
        <v>876.68</v>
      </c>
      <c r="G35" s="1">
        <v>50</v>
      </c>
      <c r="H35" s="1">
        <v>20</v>
      </c>
      <c r="I35" s="1">
        <v>10</v>
      </c>
      <c r="J35" s="35" cm="1">
        <f t="array" ref="J35:AA35">_xlfn._xlws.FILTER(Formulas!$C$2:$T$149, ISNUMBER(MATCH(Formulas!$B$2:$B$149, A35, 0)),0) * F35</f>
        <v>131.50199999999998</v>
      </c>
      <c r="K35" s="35">
        <v>639.9763999999999</v>
      </c>
      <c r="L35" s="35">
        <v>35.0672</v>
      </c>
      <c r="M35" s="35">
        <v>35.0672</v>
      </c>
      <c r="N35" s="35">
        <v>0</v>
      </c>
      <c r="O35" s="35">
        <v>0</v>
      </c>
      <c r="P35" s="35">
        <v>35.0672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</row>
    <row r="36" spans="1:27" x14ac:dyDescent="0.25">
      <c r="A36" s="1" t="str">
        <v>Chongoyape</v>
      </c>
      <c r="B36" s="1" t="str">
        <v>Octubre</v>
      </c>
      <c r="C36" s="2">
        <v>46290</v>
      </c>
      <c r="D36" s="9">
        <v>1100</v>
      </c>
      <c r="E36" s="51">
        <v>1.5201</v>
      </c>
      <c r="F36" s="35">
        <v>1672.11</v>
      </c>
      <c r="G36" s="1">
        <v>30</v>
      </c>
      <c r="H36" s="1">
        <v>36</v>
      </c>
      <c r="I36" s="1">
        <v>20</v>
      </c>
      <c r="J36" s="35" cm="1">
        <f t="array" ref="J36:AA36">_xlfn._xlws.FILTER(Formulas!$C$2:$T$149, ISNUMBER(MATCH(Formulas!$B$2:$B$149, A36, 0)),0) * F36</f>
        <v>188.89945606694559</v>
      </c>
      <c r="K36" s="35">
        <v>704.62495517035256</v>
      </c>
      <c r="L36" s="35">
        <v>58.968613269575606</v>
      </c>
      <c r="M36" s="35">
        <v>66.964357441721447</v>
      </c>
      <c r="N36" s="35">
        <v>0</v>
      </c>
      <c r="O36" s="35">
        <v>0</v>
      </c>
      <c r="P36" s="35">
        <v>66.964357441721447</v>
      </c>
      <c r="Q36" s="35">
        <v>0</v>
      </c>
      <c r="R36" s="35">
        <v>585.6882606096832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</row>
    <row r="37" spans="1:27" x14ac:dyDescent="0.25">
      <c r="A37" s="1" t="str">
        <v>Cochabamba</v>
      </c>
      <c r="B37" s="1" t="str">
        <v>O.C.</v>
      </c>
      <c r="C37" s="2">
        <v>46275</v>
      </c>
      <c r="D37" s="9">
        <v>404</v>
      </c>
      <c r="E37" s="51">
        <v>1.2225999999999999</v>
      </c>
      <c r="F37" s="35">
        <v>493.93039999999996</v>
      </c>
      <c r="G37" s="1">
        <v>35</v>
      </c>
      <c r="H37" s="1">
        <v>11</v>
      </c>
      <c r="I37" s="1">
        <v>19</v>
      </c>
      <c r="J37" s="35" cm="1">
        <f t="array" ref="J37:AA37">_xlfn._xlws.FILTER(Formulas!$C$2:$T$149, ISNUMBER(MATCH(Formulas!$B$2:$B$149, A37, 0)),0) * F37</f>
        <v>98.607604697380296</v>
      </c>
      <c r="K37" s="35">
        <v>341.33401626016257</v>
      </c>
      <c r="L37" s="35">
        <v>19.632283288166214</v>
      </c>
      <c r="M37" s="35">
        <v>0</v>
      </c>
      <c r="N37" s="35">
        <v>0</v>
      </c>
      <c r="O37" s="35">
        <v>14.72421246612466</v>
      </c>
      <c r="P37" s="35">
        <v>19.632283288166214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</row>
    <row r="38" spans="1:27" x14ac:dyDescent="0.25">
      <c r="A38" s="1" t="str">
        <v>Cochabamba</v>
      </c>
      <c r="B38" s="1" t="str">
        <v>Octubre / Noviembre / Diciembre</v>
      </c>
      <c r="C38" s="2">
        <v>46295</v>
      </c>
      <c r="D38" s="9">
        <v>1212</v>
      </c>
      <c r="E38" s="51">
        <v>0.91283000000000003</v>
      </c>
      <c r="F38" s="35">
        <v>1106.34996</v>
      </c>
      <c r="G38" s="1">
        <v>45</v>
      </c>
      <c r="H38" s="1">
        <v>26</v>
      </c>
      <c r="I38" s="1">
        <v>42</v>
      </c>
      <c r="J38" s="35" cm="1">
        <f t="array" ref="J38:AA38">_xlfn._xlws.FILTER(Formulas!$C$2:$T$149, ISNUMBER(MATCH(Formulas!$B$2:$B$149, A38, 0)),0) * F38</f>
        <v>220.87022688346883</v>
      </c>
      <c r="K38" s="35">
        <v>764.5507853658537</v>
      </c>
      <c r="L38" s="35">
        <v>43.974162818428184</v>
      </c>
      <c r="M38" s="35">
        <v>0</v>
      </c>
      <c r="N38" s="35">
        <v>0</v>
      </c>
      <c r="O38" s="35">
        <v>32.980622113821134</v>
      </c>
      <c r="P38" s="35">
        <v>43.974162818428184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</row>
    <row r="39" spans="1:27" x14ac:dyDescent="0.25">
      <c r="A39" s="1" t="str">
        <v>Cochan</v>
      </c>
      <c r="B39" s="1" t="str">
        <v>Octubre / Noviembre / Diciembre</v>
      </c>
      <c r="C39" s="2">
        <v>46295</v>
      </c>
      <c r="D39" s="9">
        <v>1977</v>
      </c>
      <c r="E39" s="51">
        <v>1.7111700000000001</v>
      </c>
      <c r="F39" s="35">
        <v>3382.9830900000002</v>
      </c>
      <c r="G39" s="1">
        <v>25</v>
      </c>
      <c r="H39" s="1">
        <v>79</v>
      </c>
      <c r="I39" s="1">
        <v>2</v>
      </c>
      <c r="J39" s="35" cm="1">
        <f t="array" ref="J39:AA39">_xlfn._xlws.FILTER(Formulas!$C$2:$T$149, ISNUMBER(MATCH(Formulas!$B$2:$B$149, A39, 0)),0) * F39</f>
        <v>676.59661800000003</v>
      </c>
      <c r="K39" s="35">
        <v>2300.4285012000005</v>
      </c>
      <c r="L39" s="35">
        <v>135.31932360000002</v>
      </c>
      <c r="M39" s="35">
        <v>135.31932360000002</v>
      </c>
      <c r="N39" s="35">
        <v>0</v>
      </c>
      <c r="O39" s="35">
        <v>0</v>
      </c>
      <c r="P39" s="35">
        <v>135.31932360000002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</row>
    <row r="40" spans="1:27" x14ac:dyDescent="0.25">
      <c r="A40" s="1" t="str">
        <v>Coishco</v>
      </c>
      <c r="B40" s="1" t="str">
        <v>Octubre</v>
      </c>
      <c r="C40" s="2">
        <v>46293</v>
      </c>
      <c r="D40" s="9">
        <v>1128</v>
      </c>
      <c r="E40" s="51">
        <v>1.70333</v>
      </c>
      <c r="F40" s="35">
        <v>1921.3562400000001</v>
      </c>
      <c r="G40" s="1">
        <v>22</v>
      </c>
      <c r="H40" s="1">
        <v>51</v>
      </c>
      <c r="I40" s="1">
        <v>6</v>
      </c>
      <c r="J40" s="35" cm="1">
        <f t="array" ref="J40:AA40">_xlfn._xlws.FILTER(Formulas!$C$2:$T$149, ISNUMBER(MATCH(Formulas!$B$2:$B$149, A40, 0)),0) * F40</f>
        <v>383.87138197710715</v>
      </c>
      <c r="K40" s="35">
        <v>1306.5622298022893</v>
      </c>
      <c r="L40" s="35">
        <v>76.974209406867857</v>
      </c>
      <c r="M40" s="35">
        <v>76.974209406867857</v>
      </c>
      <c r="N40" s="35">
        <v>0</v>
      </c>
      <c r="O40" s="35">
        <v>0</v>
      </c>
      <c r="P40" s="35">
        <v>76.974209406867857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</row>
    <row r="41" spans="1:27" x14ac:dyDescent="0.25">
      <c r="A41" s="1" t="str">
        <v>Copallin</v>
      </c>
      <c r="B41" s="1" t="str">
        <v>Noviembre / Diciembre</v>
      </c>
      <c r="C41" s="2">
        <v>46268</v>
      </c>
      <c r="D41" s="9">
        <v>1256</v>
      </c>
      <c r="E41" s="51">
        <v>0.8</v>
      </c>
      <c r="F41" s="35">
        <v>1004.8000000000001</v>
      </c>
      <c r="G41" s="1">
        <v>50</v>
      </c>
      <c r="H41" s="1">
        <v>25</v>
      </c>
      <c r="I41" s="1">
        <v>6</v>
      </c>
      <c r="J41" s="35" cm="1">
        <f t="array" ref="J41:AA41">_xlfn._xlws.FILTER(Formulas!$C$2:$T$149, ISNUMBER(MATCH(Formulas!$B$2:$B$149, A41, 0)),0) * F41</f>
        <v>117.97651741293532</v>
      </c>
      <c r="K41" s="35">
        <v>404.91940298507467</v>
      </c>
      <c r="L41" s="35">
        <v>49.990049751243788</v>
      </c>
      <c r="M41" s="35">
        <v>49.990049751243788</v>
      </c>
      <c r="N41" s="35">
        <v>0</v>
      </c>
      <c r="O41" s="35">
        <v>0</v>
      </c>
      <c r="P41" s="35">
        <v>0</v>
      </c>
      <c r="Q41" s="35">
        <v>0</v>
      </c>
      <c r="R41" s="35">
        <v>381.9239800995025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</row>
    <row r="42" spans="1:27" x14ac:dyDescent="0.25">
      <c r="A42" s="1" t="str">
        <v>Coris</v>
      </c>
      <c r="B42" s="1" t="str">
        <v>O.C.</v>
      </c>
      <c r="C42" s="2">
        <v>46295</v>
      </c>
      <c r="D42" s="9">
        <v>875</v>
      </c>
      <c r="E42" s="51">
        <v>1.5</v>
      </c>
      <c r="F42" s="35">
        <v>1312.5</v>
      </c>
      <c r="G42" s="1">
        <v>30</v>
      </c>
      <c r="H42" s="1">
        <v>29</v>
      </c>
      <c r="I42" s="1">
        <v>5</v>
      </c>
      <c r="J42" s="35" cm="1">
        <f t="array" ref="J42">_xlfn._xlws.FILTER(Formulas!$C$2:$T$149, ISNUMBER(MATCH(Formulas!$B$2:$B$149, A42, 0)),0) * F42</f>
        <v>0</v>
      </c>
    </row>
    <row r="43" spans="1:27" x14ac:dyDescent="0.25">
      <c r="A43" s="1" t="str">
        <v>Encañada</v>
      </c>
      <c r="B43" s="1" t="str">
        <v>Octubre / Noviembre / Diciembre</v>
      </c>
      <c r="C43" s="2">
        <v>46293</v>
      </c>
      <c r="D43" s="9">
        <v>12501</v>
      </c>
      <c r="E43" s="51">
        <v>1.68</v>
      </c>
      <c r="F43" s="35">
        <v>21001.68</v>
      </c>
      <c r="G43" s="1">
        <v>25</v>
      </c>
      <c r="H43" s="1">
        <v>500</v>
      </c>
      <c r="I43" s="1">
        <v>1</v>
      </c>
      <c r="J43" s="35" cm="1">
        <f t="array" ref="J43:AA43">_xlfn._xlws.FILTER(Formulas!$C$2:$T$149, ISNUMBER(MATCH(Formulas!$B$2:$B$149, A43, 0)),0) * F43</f>
        <v>4200.3360000000002</v>
      </c>
      <c r="K43" s="35">
        <v>14921.193600000001</v>
      </c>
      <c r="L43" s="35">
        <v>840.06720000000007</v>
      </c>
      <c r="M43" s="35">
        <v>0</v>
      </c>
      <c r="N43" s="35">
        <v>0</v>
      </c>
      <c r="O43" s="35">
        <v>0</v>
      </c>
      <c r="P43" s="35">
        <v>840.06720000000007</v>
      </c>
      <c r="Q43" s="35">
        <v>0</v>
      </c>
      <c r="R43" s="35">
        <v>0</v>
      </c>
      <c r="S43" s="35">
        <v>0</v>
      </c>
      <c r="T43" s="35">
        <v>0</v>
      </c>
      <c r="U43" s="35">
        <v>200.01600000000002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</row>
    <row r="44" spans="1:27" x14ac:dyDescent="0.25">
      <c r="A44" s="1" t="str">
        <v>Florencia de Mora</v>
      </c>
      <c r="B44" s="1" t="str">
        <v>O.C.</v>
      </c>
      <c r="C44" s="2">
        <v>46288</v>
      </c>
      <c r="D44" s="9">
        <v>4480</v>
      </c>
      <c r="E44" s="51">
        <v>0.83499999999999996</v>
      </c>
      <c r="F44" s="35">
        <v>3740.7999999999997</v>
      </c>
      <c r="G44" s="1">
        <v>40</v>
      </c>
      <c r="H44" s="1">
        <v>112</v>
      </c>
      <c r="I44" s="1">
        <v>0</v>
      </c>
      <c r="J44" s="35" cm="1">
        <f t="array" ref="J44:AA44">_xlfn._xlws.FILTER(Formulas!$C$2:$T$149, ISNUMBER(MATCH(Formulas!$B$2:$B$149, A44, 0)),0) * F44</f>
        <v>747.45318847425597</v>
      </c>
      <c r="K44" s="35">
        <v>2768.934152102031</v>
      </c>
      <c r="L44" s="35">
        <v>224.4126594237128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</row>
    <row r="45" spans="1:27" x14ac:dyDescent="0.25">
      <c r="A45" s="1" t="str">
        <v>Florencia de Mora</v>
      </c>
      <c r="B45" s="1" t="str">
        <v>Octubre</v>
      </c>
      <c r="C45" s="2">
        <v>46294</v>
      </c>
      <c r="D45" s="9">
        <v>2800</v>
      </c>
      <c r="E45" s="51">
        <v>0.94479999999999997</v>
      </c>
      <c r="F45" s="35">
        <v>2645.44</v>
      </c>
      <c r="G45" s="1">
        <v>40</v>
      </c>
      <c r="H45" s="1">
        <v>70</v>
      </c>
      <c r="I45" s="1">
        <v>0</v>
      </c>
      <c r="J45" s="35" cm="1">
        <f t="array" ref="J45:AA45">_xlfn._xlws.FILTER(Formulas!$C$2:$T$149, ISNUMBER(MATCH(Formulas!$B$2:$B$149, A45, 0)),0) * F45</f>
        <v>528.58815304676432</v>
      </c>
      <c r="K45" s="35">
        <v>1958.1504393008977</v>
      </c>
      <c r="L45" s="35">
        <v>158.70140765233822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</row>
    <row r="46" spans="1:27" x14ac:dyDescent="0.25">
      <c r="A46" s="1" t="str">
        <v>Florida</v>
      </c>
      <c r="B46" s="1" t="str">
        <v>O.C.</v>
      </c>
      <c r="C46" s="2">
        <v>46274</v>
      </c>
      <c r="D46" s="9">
        <v>1065</v>
      </c>
      <c r="E46" s="51">
        <v>1</v>
      </c>
      <c r="F46" s="35">
        <v>1065</v>
      </c>
      <c r="G46" s="1">
        <v>40</v>
      </c>
      <c r="H46" s="1">
        <v>26</v>
      </c>
      <c r="I46" s="1">
        <v>25</v>
      </c>
      <c r="J46" s="35" cm="1">
        <f t="array" ref="J46:AA46">_xlfn._xlws.FILTER(Formulas!$C$2:$T$149, ISNUMBER(MATCH(Formulas!$B$2:$B$149, A46, 0)),0) * F46</f>
        <v>213</v>
      </c>
      <c r="K46" s="35">
        <v>708.22500000000002</v>
      </c>
      <c r="L46" s="35">
        <v>47.924999999999997</v>
      </c>
      <c r="M46" s="35">
        <v>47.924999999999997</v>
      </c>
      <c r="N46" s="35">
        <v>0</v>
      </c>
      <c r="O46" s="35">
        <v>0</v>
      </c>
      <c r="P46" s="35">
        <v>47.924999999999997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</row>
    <row r="47" spans="1:27" x14ac:dyDescent="0.25">
      <c r="A47" s="1" t="str">
        <v>Guadalupito</v>
      </c>
      <c r="B47" s="1" t="str">
        <v>Octubre</v>
      </c>
      <c r="C47" s="2">
        <v>46295</v>
      </c>
      <c r="D47" s="9">
        <v>1200</v>
      </c>
      <c r="E47" s="51">
        <v>0.72354399999999996</v>
      </c>
      <c r="F47" s="35">
        <v>868.25279999999998</v>
      </c>
      <c r="G47" s="1">
        <v>60</v>
      </c>
      <c r="H47" s="1">
        <v>20</v>
      </c>
      <c r="I47" s="1">
        <v>0</v>
      </c>
      <c r="J47" s="35" cm="1">
        <f t="array" ref="J47:AA47">_xlfn._xlws.FILTER(Formulas!$C$2:$T$149, ISNUMBER(MATCH(Formulas!$B$2:$B$149, A47, 0)),0) * F47</f>
        <v>173.47690944000001</v>
      </c>
      <c r="K47" s="35">
        <v>573.82827552000003</v>
      </c>
      <c r="L47" s="35">
        <v>34.46963616</v>
      </c>
      <c r="M47" s="35">
        <v>0</v>
      </c>
      <c r="N47" s="35">
        <v>0</v>
      </c>
      <c r="O47" s="35">
        <v>0</v>
      </c>
      <c r="P47" s="35">
        <v>34.46963616</v>
      </c>
      <c r="Q47" s="35">
        <v>52.008342720000002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0.86825280000000005</v>
      </c>
      <c r="Y47" s="35">
        <v>0</v>
      </c>
      <c r="Z47" s="35">
        <v>0</v>
      </c>
      <c r="AA47" s="35">
        <v>0</v>
      </c>
    </row>
    <row r="48" spans="1:27" x14ac:dyDescent="0.25">
      <c r="A48" s="1" t="str">
        <v>Huabal</v>
      </c>
      <c r="B48" s="1" t="str">
        <v>Setiembre</v>
      </c>
      <c r="C48" s="2">
        <v>46280</v>
      </c>
      <c r="D48" s="9">
        <v>1433</v>
      </c>
      <c r="E48" s="51">
        <v>1</v>
      </c>
      <c r="F48" s="35">
        <v>1433</v>
      </c>
      <c r="G48" s="1">
        <v>40</v>
      </c>
      <c r="H48" s="1">
        <v>35</v>
      </c>
      <c r="I48" s="1">
        <v>33</v>
      </c>
      <c r="J48" s="35" cm="1">
        <f t="array" ref="J48:AA48">_xlfn._xlws.FILTER(Formulas!$C$2:$T$149, ISNUMBER(MATCH(Formulas!$B$2:$B$149, A48, 0)),0) * F48</f>
        <v>287</v>
      </c>
      <c r="K48" s="35">
        <v>982.5</v>
      </c>
      <c r="L48" s="35">
        <v>54.5</v>
      </c>
      <c r="M48" s="35">
        <v>54.5</v>
      </c>
      <c r="N48" s="35">
        <v>0</v>
      </c>
      <c r="O48" s="35">
        <v>0</v>
      </c>
      <c r="P48" s="35">
        <v>54.5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</row>
    <row r="49" spans="1:27" x14ac:dyDescent="0.25">
      <c r="A49" s="1" t="str">
        <v>Huabal</v>
      </c>
      <c r="B49" s="1" t="str">
        <v>Octubre</v>
      </c>
      <c r="C49" s="2">
        <v>46280</v>
      </c>
      <c r="D49" s="9">
        <v>1433</v>
      </c>
      <c r="E49" s="51">
        <v>1</v>
      </c>
      <c r="F49" s="35">
        <v>1433</v>
      </c>
      <c r="G49" s="1">
        <v>40</v>
      </c>
      <c r="H49" s="1">
        <v>35</v>
      </c>
      <c r="I49" s="1">
        <v>33</v>
      </c>
      <c r="J49" s="35" cm="1">
        <f t="array" ref="J49:AA49">_xlfn._xlws.FILTER(Formulas!$C$2:$T$149, ISNUMBER(MATCH(Formulas!$B$2:$B$149, A49, 0)),0) * F49</f>
        <v>287</v>
      </c>
      <c r="K49" s="35">
        <v>982.5</v>
      </c>
      <c r="L49" s="35">
        <v>54.5</v>
      </c>
      <c r="M49" s="35">
        <v>54.5</v>
      </c>
      <c r="N49" s="35">
        <v>0</v>
      </c>
      <c r="O49" s="35">
        <v>0</v>
      </c>
      <c r="P49" s="35">
        <v>54.5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</row>
    <row r="50" spans="1:27" x14ac:dyDescent="0.25">
      <c r="A50" s="1" t="str">
        <v>Hualgayoc</v>
      </c>
      <c r="B50" s="1" t="str">
        <v>O.C.</v>
      </c>
      <c r="C50" s="2">
        <v>46285</v>
      </c>
      <c r="D50" s="9">
        <v>2333</v>
      </c>
      <c r="E50" s="51">
        <v>1.397</v>
      </c>
      <c r="F50" s="35">
        <v>3259.201</v>
      </c>
      <c r="G50" s="1">
        <v>30</v>
      </c>
      <c r="H50" s="1">
        <v>77</v>
      </c>
      <c r="I50" s="1">
        <v>23</v>
      </c>
      <c r="J50" s="35" cm="1">
        <f t="array" ref="J50:AA50">_xlfn._xlws.FILTER(Formulas!$C$2:$T$149, ISNUMBER(MATCH(Formulas!$B$2:$B$149, A50, 0)),0) * F50</f>
        <v>651.95060653794042</v>
      </c>
      <c r="K50" s="35">
        <v>2133.8823620426833</v>
      </c>
      <c r="L50" s="35">
        <v>97.985802422086721</v>
      </c>
      <c r="M50" s="35">
        <v>97.985802422086721</v>
      </c>
      <c r="N50" s="35">
        <v>0</v>
      </c>
      <c r="O50" s="35">
        <v>0</v>
      </c>
      <c r="P50" s="35">
        <v>97.985802422086721</v>
      </c>
      <c r="Q50" s="35">
        <v>179.41062415311654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3.259201</v>
      </c>
      <c r="Y50" s="35">
        <v>0</v>
      </c>
      <c r="Z50" s="35">
        <v>0</v>
      </c>
      <c r="AA50" s="35">
        <v>0</v>
      </c>
    </row>
    <row r="51" spans="1:27" x14ac:dyDescent="0.25">
      <c r="A51" s="1" t="str">
        <v>Hualgayoc</v>
      </c>
      <c r="B51" s="1" t="str">
        <v>Octubre / Noviembre / Diciembre</v>
      </c>
      <c r="C51" s="2">
        <v>46280</v>
      </c>
      <c r="D51" s="9">
        <v>6999</v>
      </c>
      <c r="E51" s="51">
        <v>1.68706</v>
      </c>
      <c r="F51" s="35">
        <v>11807.73294</v>
      </c>
      <c r="G51" s="1">
        <v>25</v>
      </c>
      <c r="H51" s="1">
        <v>279</v>
      </c>
      <c r="I51" s="1">
        <v>24</v>
      </c>
      <c r="J51" s="35" cm="1">
        <f t="array" ref="J51:AA51">_xlfn._xlws.FILTER(Formulas!$C$2:$T$149, ISNUMBER(MATCH(Formulas!$B$2:$B$149, A51, 0)),0) * F51</f>
        <v>2361.9465789532519</v>
      </c>
      <c r="K51" s="35">
        <v>7730.8251489786589</v>
      </c>
      <c r="L51" s="35">
        <v>354.99197101117886</v>
      </c>
      <c r="M51" s="35">
        <v>354.99197101117886</v>
      </c>
      <c r="N51" s="35">
        <v>0</v>
      </c>
      <c r="O51" s="35">
        <v>0</v>
      </c>
      <c r="P51" s="35">
        <v>354.99197101117886</v>
      </c>
      <c r="Q51" s="35">
        <v>649.9852990345529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35">
        <v>11.807732939999999</v>
      </c>
      <c r="Y51" s="35">
        <v>0</v>
      </c>
      <c r="Z51" s="35">
        <v>0</v>
      </c>
      <c r="AA51" s="35">
        <v>0</v>
      </c>
    </row>
    <row r="52" spans="1:27" x14ac:dyDescent="0.25">
      <c r="A52" s="1" t="str">
        <v>Huamachuco</v>
      </c>
      <c r="B52" s="1" t="str">
        <v>Octubre</v>
      </c>
      <c r="C52" s="2">
        <v>46290</v>
      </c>
      <c r="D52" s="9">
        <v>3490</v>
      </c>
      <c r="E52" s="51">
        <v>1.32</v>
      </c>
      <c r="F52" s="35">
        <v>4606.8</v>
      </c>
      <c r="G52" s="1">
        <v>35</v>
      </c>
      <c r="H52" s="1">
        <v>99</v>
      </c>
      <c r="I52" s="1">
        <v>25</v>
      </c>
      <c r="J52" s="35" cm="1">
        <f t="array" ref="J52:AA52">_xlfn._xlws.FILTER(Formulas!$C$2:$T$149, ISNUMBER(MATCH(Formulas!$B$2:$B$149, A52, 0)),0) * F52</f>
        <v>575.97499457347521</v>
      </c>
      <c r="K52" s="35">
        <v>1704.9259822009985</v>
      </c>
      <c r="L52" s="35">
        <v>206.99101367484263</v>
      </c>
      <c r="M52" s="35">
        <v>206.99101367484263</v>
      </c>
      <c r="N52" s="35">
        <v>0</v>
      </c>
      <c r="O52" s="35">
        <v>0</v>
      </c>
      <c r="P52" s="35">
        <v>206.99101367484263</v>
      </c>
      <c r="Q52" s="35">
        <v>0</v>
      </c>
      <c r="R52" s="35">
        <v>1704.9259822009985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</row>
    <row r="53" spans="1:27" x14ac:dyDescent="0.25">
      <c r="A53" s="1" t="str">
        <v>Huambo</v>
      </c>
      <c r="B53" s="1" t="str">
        <v>O.C.</v>
      </c>
      <c r="C53" s="2">
        <v>46286</v>
      </c>
      <c r="D53" s="9">
        <v>856</v>
      </c>
      <c r="E53" s="51">
        <v>0.66366999999999998</v>
      </c>
      <c r="F53" s="35">
        <v>568.10151999999994</v>
      </c>
      <c r="G53" s="1">
        <v>60</v>
      </c>
      <c r="H53" s="1">
        <v>14</v>
      </c>
      <c r="I53" s="1">
        <v>16</v>
      </c>
      <c r="J53" s="35" cm="1">
        <f t="array" ref="J53:AA53">_xlfn._xlws.FILTER(Formulas!$C$2:$T$149, ISNUMBER(MATCH(Formulas!$B$2:$B$149, A53, 0)),0) * F53</f>
        <v>113.57327572847682</v>
      </c>
      <c r="K53" s="35">
        <v>386.80753327814563</v>
      </c>
      <c r="L53" s="35">
        <v>22.573570331125826</v>
      </c>
      <c r="M53" s="35">
        <v>22.573570331125826</v>
      </c>
      <c r="N53" s="35">
        <v>0</v>
      </c>
      <c r="O53" s="35">
        <v>0</v>
      </c>
      <c r="P53" s="35">
        <v>22.573570331125826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</row>
    <row r="54" spans="1:27" x14ac:dyDescent="0.25">
      <c r="A54" s="1" t="str">
        <v>Huancas</v>
      </c>
      <c r="B54" s="1" t="str">
        <v>O.C.</v>
      </c>
      <c r="C54" s="2">
        <v>46274</v>
      </c>
      <c r="D54" s="9">
        <v>130</v>
      </c>
      <c r="E54" s="51">
        <v>1</v>
      </c>
      <c r="F54" s="35">
        <v>130</v>
      </c>
      <c r="G54" s="1">
        <v>40</v>
      </c>
      <c r="H54" s="1">
        <v>3</v>
      </c>
      <c r="I54" s="1">
        <v>10</v>
      </c>
      <c r="J54" s="35" cm="1">
        <f t="array" ref="J54:AA54">_xlfn._xlws.FILTER(Formulas!$C$2:$T$149, ISNUMBER(MATCH(Formulas!$B$2:$B$149, A54, 0)),0) * F54</f>
        <v>61.099999999999994</v>
      </c>
      <c r="K54" s="35">
        <v>61.099999999999994</v>
      </c>
      <c r="L54" s="35">
        <v>7.15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0.182</v>
      </c>
      <c r="Z54" s="35">
        <v>0</v>
      </c>
      <c r="AA54" s="35">
        <v>0</v>
      </c>
    </row>
    <row r="55" spans="1:27" x14ac:dyDescent="0.25">
      <c r="A55" s="1" t="str">
        <v>Huaranchal</v>
      </c>
      <c r="B55" s="1" t="str">
        <v>Octubre</v>
      </c>
      <c r="C55" s="2">
        <v>46280</v>
      </c>
      <c r="D55" s="9">
        <v>888</v>
      </c>
      <c r="E55" s="51">
        <v>1</v>
      </c>
      <c r="F55" s="35">
        <v>888</v>
      </c>
      <c r="G55" s="1">
        <v>40</v>
      </c>
      <c r="H55" s="1">
        <v>22</v>
      </c>
      <c r="I55" s="1">
        <v>8</v>
      </c>
      <c r="J55" s="35" cm="1">
        <f t="array" ref="J55:AA55">_xlfn._xlws.FILTER(Formulas!$C$2:$T$149, ISNUMBER(MATCH(Formulas!$B$2:$B$149, A55, 0)),0) * F55</f>
        <v>177.66666666666666</v>
      </c>
      <c r="K55" s="35">
        <v>648</v>
      </c>
      <c r="L55" s="35">
        <v>44.333333333333336</v>
      </c>
      <c r="M55" s="35">
        <v>0</v>
      </c>
      <c r="N55" s="35">
        <v>0</v>
      </c>
      <c r="O55" s="35">
        <v>0</v>
      </c>
      <c r="P55" s="35">
        <v>18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</row>
    <row r="56" spans="1:27" x14ac:dyDescent="0.25">
      <c r="A56" s="1" t="str">
        <v>Huaranchal</v>
      </c>
      <c r="B56" s="1" t="str">
        <v>Noviembre</v>
      </c>
      <c r="C56" s="2">
        <v>46280</v>
      </c>
      <c r="D56" s="9">
        <v>888</v>
      </c>
      <c r="E56" s="51">
        <v>1</v>
      </c>
      <c r="F56" s="35">
        <v>888</v>
      </c>
      <c r="G56" s="1">
        <v>40</v>
      </c>
      <c r="H56" s="1">
        <v>22</v>
      </c>
      <c r="I56" s="1">
        <v>8</v>
      </c>
      <c r="J56" s="35" cm="1">
        <f t="array" ref="J56:AA56">_xlfn._xlws.FILTER(Formulas!$C$2:$T$149, ISNUMBER(MATCH(Formulas!$B$2:$B$149, A56, 0)),0) * F56</f>
        <v>177.66666666666666</v>
      </c>
      <c r="K56" s="35">
        <v>648</v>
      </c>
      <c r="L56" s="35">
        <v>44.333333333333336</v>
      </c>
      <c r="M56" s="35">
        <v>0</v>
      </c>
      <c r="N56" s="35">
        <v>0</v>
      </c>
      <c r="O56" s="35">
        <v>0</v>
      </c>
      <c r="P56" s="35">
        <v>18</v>
      </c>
      <c r="Q56" s="35">
        <v>0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</row>
    <row r="57" spans="1:27" x14ac:dyDescent="0.25">
      <c r="A57" s="1" t="str">
        <v>Huaranchal</v>
      </c>
      <c r="B57" s="1" t="str">
        <v>Diciembre</v>
      </c>
      <c r="C57" s="2">
        <v>46280</v>
      </c>
      <c r="D57" s="9">
        <v>888</v>
      </c>
      <c r="E57" s="51">
        <v>1</v>
      </c>
      <c r="F57" s="35">
        <v>888</v>
      </c>
      <c r="G57" s="1">
        <v>40</v>
      </c>
      <c r="H57" s="1">
        <v>22</v>
      </c>
      <c r="I57" s="1">
        <v>8</v>
      </c>
      <c r="J57" s="35" cm="1">
        <f t="array" ref="J57:AA57">_xlfn._xlws.FILTER(Formulas!$C$2:$T$149, ISNUMBER(MATCH(Formulas!$B$2:$B$149, A57, 0)),0) * F57</f>
        <v>177.66666666666666</v>
      </c>
      <c r="K57" s="35">
        <v>648</v>
      </c>
      <c r="L57" s="35">
        <v>44.333333333333336</v>
      </c>
      <c r="M57" s="35">
        <v>0</v>
      </c>
      <c r="N57" s="35">
        <v>0</v>
      </c>
      <c r="O57" s="35">
        <v>0</v>
      </c>
      <c r="P57" s="35">
        <v>18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</row>
    <row r="58" spans="1:27" x14ac:dyDescent="0.25">
      <c r="A58" s="1" t="str">
        <v>O.C.</v>
      </c>
      <c r="B58" s="1" t="str">
        <v>Noviembre / Diciembre</v>
      </c>
      <c r="C58" s="2">
        <v>46286</v>
      </c>
      <c r="D58" s="9">
        <v>5</v>
      </c>
      <c r="E58" s="51">
        <v>1.35</v>
      </c>
      <c r="F58" s="35">
        <v>6.75</v>
      </c>
      <c r="G58" s="1">
        <v>30</v>
      </c>
      <c r="H58" s="1">
        <v>0</v>
      </c>
      <c r="I58" s="1">
        <v>5</v>
      </c>
      <c r="J58" s="35" cm="1">
        <f t="array" ref="J58">_xlfn._xlws.FILTER(Formulas!$C$2:$T$149, ISNUMBER(MATCH(Formulas!$B$2:$B$149, A58, 0)),0) * F58</f>
        <v>0</v>
      </c>
    </row>
    <row r="59" spans="1:27" x14ac:dyDescent="0.25">
      <c r="A59" s="1" t="str">
        <v>Huaso</v>
      </c>
      <c r="B59" s="1" t="str">
        <v>Octubre</v>
      </c>
      <c r="C59" s="2">
        <v>46286</v>
      </c>
      <c r="D59" s="9">
        <v>792</v>
      </c>
      <c r="E59" s="51">
        <v>1.7397</v>
      </c>
      <c r="F59" s="35">
        <v>1377.8424</v>
      </c>
      <c r="G59" s="1">
        <v>25</v>
      </c>
      <c r="H59" s="1">
        <v>31</v>
      </c>
      <c r="I59" s="1">
        <v>17</v>
      </c>
      <c r="J59" s="35" cm="1">
        <f t="array" ref="J59:AA59">_xlfn._xlws.FILTER(Formulas!$C$2:$T$149, ISNUMBER(MATCH(Formulas!$B$2:$B$149, A59, 0)),0) * F59</f>
        <v>147.98307343976779</v>
      </c>
      <c r="K59" s="35">
        <v>581.9334374455733</v>
      </c>
      <c r="L59" s="35">
        <v>54.99370972423803</v>
      </c>
      <c r="M59" s="35">
        <v>54.99370972423803</v>
      </c>
      <c r="N59" s="35">
        <v>0</v>
      </c>
      <c r="O59" s="35">
        <v>0</v>
      </c>
      <c r="P59" s="35">
        <v>54.99370972423803</v>
      </c>
      <c r="Q59" s="35">
        <v>0</v>
      </c>
      <c r="R59" s="35">
        <v>482.94475994194482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</row>
    <row r="60" spans="1:27" x14ac:dyDescent="0.25">
      <c r="A60" s="1" t="str">
        <v>Huaso (azucar)</v>
      </c>
      <c r="B60" s="1" t="str">
        <v>Octubre</v>
      </c>
      <c r="C60" s="2">
        <v>46286</v>
      </c>
      <c r="D60" s="9">
        <v>792</v>
      </c>
      <c r="E60" s="51">
        <v>0.75</v>
      </c>
      <c r="F60" s="35">
        <v>594</v>
      </c>
      <c r="G60" s="1">
        <v>60</v>
      </c>
      <c r="H60" s="1">
        <v>13</v>
      </c>
      <c r="I60" s="1">
        <v>12</v>
      </c>
      <c r="J60" s="35" cm="1">
        <f t="array" ref="J60:AA60">_xlfn._xlws.FILTER(Formulas!$C$2:$T$149, ISNUMBER(MATCH(Formulas!$B$2:$B$149, A60, 0)),0) * F60</f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594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</row>
    <row r="61" spans="1:27" x14ac:dyDescent="0.25">
      <c r="A61" s="1" t="str">
        <v>Huayllabamba</v>
      </c>
      <c r="B61" s="1" t="str">
        <v>Octubre</v>
      </c>
      <c r="C61" s="2">
        <v>46289</v>
      </c>
      <c r="D61" s="9">
        <v>620</v>
      </c>
      <c r="E61" s="51">
        <v>1.0565</v>
      </c>
      <c r="F61" s="35">
        <v>655.03</v>
      </c>
      <c r="G61" s="1">
        <v>40</v>
      </c>
      <c r="H61" s="1">
        <v>15</v>
      </c>
      <c r="I61" s="1">
        <v>20</v>
      </c>
      <c r="J61" s="35" cm="1">
        <f t="array" ref="J61:AA61">_xlfn._xlws.FILTER(Formulas!$C$2:$T$149, ISNUMBER(MATCH(Formulas!$B$2:$B$149, A61, 0)),0) * F61</f>
        <v>131.006</v>
      </c>
      <c r="K61" s="35">
        <v>491.27249999999998</v>
      </c>
      <c r="L61" s="35">
        <v>32.7515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</row>
    <row r="62" spans="1:27" x14ac:dyDescent="0.25">
      <c r="A62" s="1" t="str">
        <v>Huayllabamba</v>
      </c>
      <c r="B62" s="1" t="str">
        <v>Noviembre</v>
      </c>
      <c r="C62" s="2">
        <v>46289</v>
      </c>
      <c r="D62" s="9">
        <v>620</v>
      </c>
      <c r="E62" s="51">
        <v>1.0565</v>
      </c>
      <c r="F62" s="35">
        <v>655.03</v>
      </c>
      <c r="G62" s="1">
        <v>40</v>
      </c>
      <c r="H62" s="1">
        <v>15</v>
      </c>
      <c r="I62" s="1">
        <v>20</v>
      </c>
      <c r="J62" s="35" cm="1">
        <f t="array" ref="J62:AA62">_xlfn._xlws.FILTER(Formulas!$C$2:$T$149, ISNUMBER(MATCH(Formulas!$B$2:$B$149, A62, 0)),0) * F62</f>
        <v>131.006</v>
      </c>
      <c r="K62" s="35">
        <v>491.27249999999998</v>
      </c>
      <c r="L62" s="35">
        <v>32.7515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</row>
    <row r="63" spans="1:27" x14ac:dyDescent="0.25">
      <c r="A63" s="1" t="str">
        <v>Huayllabamba</v>
      </c>
      <c r="B63" s="1" t="str">
        <v>Diciembre</v>
      </c>
      <c r="C63" s="2">
        <v>46289</v>
      </c>
      <c r="D63" s="9">
        <v>620</v>
      </c>
      <c r="E63" s="51">
        <v>1.0565</v>
      </c>
      <c r="F63" s="35">
        <v>655.03</v>
      </c>
      <c r="G63" s="1">
        <v>40</v>
      </c>
      <c r="H63" s="1">
        <v>15</v>
      </c>
      <c r="I63" s="1">
        <v>20</v>
      </c>
      <c r="J63" s="35" cm="1">
        <f t="array" ref="J63:AA63">_xlfn._xlws.FILTER(Formulas!$C$2:$T$149, ISNUMBER(MATCH(Formulas!$B$2:$B$149, A63, 0)),0) * F63</f>
        <v>131.006</v>
      </c>
      <c r="K63" s="35">
        <v>491.27249999999998</v>
      </c>
      <c r="L63" s="35">
        <v>32.7515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</row>
    <row r="64" spans="1:27" x14ac:dyDescent="0.25">
      <c r="A64" s="1" t="str">
        <v>Ingenio</v>
      </c>
      <c r="B64" s="1" t="str">
        <v>Octubre / Noviembre / Diciembre</v>
      </c>
      <c r="C64" s="2">
        <v>46295</v>
      </c>
      <c r="D64" s="9">
        <v>498.75</v>
      </c>
      <c r="E64" s="51">
        <v>1</v>
      </c>
      <c r="F64" s="35">
        <v>498.75</v>
      </c>
      <c r="G64" s="1">
        <v>40</v>
      </c>
      <c r="H64" s="1">
        <v>12</v>
      </c>
      <c r="I64" s="1">
        <v>18.75</v>
      </c>
      <c r="J64" s="35" cm="1">
        <f t="array" ref="J64:AA64">_xlfn._xlws.FILTER(Formulas!$C$2:$T$149, ISNUMBER(MATCH(Formulas!$B$2:$B$149, A64, 0)),0) * F64</f>
        <v>99.75</v>
      </c>
      <c r="K64" s="35">
        <v>364.08749999999998</v>
      </c>
      <c r="L64" s="35">
        <v>34.912500000000001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</row>
    <row r="65" spans="1:27" x14ac:dyDescent="0.25">
      <c r="A65" s="1" t="str">
        <v>Ingenio</v>
      </c>
      <c r="B65" s="1" t="str">
        <v>O.C.</v>
      </c>
      <c r="C65" s="2">
        <v>46287</v>
      </c>
      <c r="D65" s="9">
        <v>280</v>
      </c>
      <c r="E65" s="51">
        <v>1</v>
      </c>
      <c r="F65" s="35">
        <v>280</v>
      </c>
      <c r="G65" s="1">
        <v>40</v>
      </c>
      <c r="H65" s="1">
        <v>7</v>
      </c>
      <c r="I65" s="1">
        <v>0</v>
      </c>
      <c r="J65" s="35" cm="1">
        <f t="array" ref="J65:AA65">_xlfn._xlws.FILTER(Formulas!$C$2:$T$149, ISNUMBER(MATCH(Formulas!$B$2:$B$149, A65, 0)),0) * F65</f>
        <v>56</v>
      </c>
      <c r="K65" s="35">
        <v>204.4</v>
      </c>
      <c r="L65" s="35">
        <v>19.600000000000001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</row>
    <row r="66" spans="1:27" x14ac:dyDescent="0.25">
      <c r="A66" s="1" t="str">
        <v>Jesus</v>
      </c>
      <c r="B66" s="1" t="str">
        <v>Octubre</v>
      </c>
      <c r="C66" s="2">
        <v>46280</v>
      </c>
      <c r="D66" s="9">
        <v>4100</v>
      </c>
      <c r="E66" s="51">
        <v>0.93</v>
      </c>
      <c r="F66" s="35">
        <v>3813</v>
      </c>
      <c r="G66" s="1">
        <v>45</v>
      </c>
      <c r="H66" s="1">
        <v>91</v>
      </c>
      <c r="I66" s="1">
        <v>5</v>
      </c>
      <c r="J66" s="35" cm="1">
        <f t="array" ref="J66:AA66">_xlfn._xlws.FILTER(Formulas!$C$2:$T$149, ISNUMBER(MATCH(Formulas!$B$2:$B$149, A66, 0)),0) * F66</f>
        <v>839</v>
      </c>
      <c r="K66" s="35">
        <v>2476</v>
      </c>
      <c r="L66" s="35">
        <v>153</v>
      </c>
      <c r="M66" s="35">
        <v>115</v>
      </c>
      <c r="N66" s="35">
        <v>0</v>
      </c>
      <c r="O66" s="35">
        <v>115</v>
      </c>
      <c r="P66" s="35">
        <v>115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</row>
    <row r="67" spans="1:27" x14ac:dyDescent="0.25">
      <c r="A67" s="1" t="str">
        <v>La Banda de Shilcayo</v>
      </c>
      <c r="B67" s="1" t="str">
        <v>Octubre</v>
      </c>
      <c r="C67" s="2">
        <v>46284</v>
      </c>
      <c r="D67" s="9">
        <v>1432</v>
      </c>
      <c r="E67" s="51">
        <v>1</v>
      </c>
      <c r="F67" s="35">
        <v>1432</v>
      </c>
      <c r="G67" s="1">
        <v>50</v>
      </c>
      <c r="H67" s="1">
        <v>28</v>
      </c>
      <c r="I67" s="1">
        <v>32</v>
      </c>
      <c r="J67" s="35" cm="1">
        <f t="array" ref="J67:AA67">_xlfn._xlws.FILTER(Formulas!$C$2:$T$149, ISNUMBER(MATCH(Formulas!$B$2:$B$149, A67, 0)),0) * F67</f>
        <v>158</v>
      </c>
      <c r="K67" s="35">
        <v>571</v>
      </c>
      <c r="L67" s="35">
        <v>43</v>
      </c>
      <c r="M67" s="35">
        <v>43</v>
      </c>
      <c r="N67" s="35">
        <v>0</v>
      </c>
      <c r="O67" s="35">
        <v>0</v>
      </c>
      <c r="P67" s="35">
        <v>43</v>
      </c>
      <c r="Q67" s="35">
        <v>0</v>
      </c>
      <c r="R67" s="35">
        <v>574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</row>
    <row r="68" spans="1:27" x14ac:dyDescent="0.25">
      <c r="A68" s="1" t="str">
        <v>La Esperanza</v>
      </c>
      <c r="B68" s="1" t="str">
        <v>Octubre</v>
      </c>
      <c r="C68" s="2">
        <v>46290</v>
      </c>
      <c r="D68" s="9">
        <v>6182</v>
      </c>
      <c r="E68" s="51">
        <v>1</v>
      </c>
      <c r="F68" s="35">
        <v>6182</v>
      </c>
      <c r="G68" s="1">
        <v>30</v>
      </c>
      <c r="H68" s="1">
        <v>206</v>
      </c>
      <c r="I68" s="1">
        <v>2</v>
      </c>
      <c r="J68" s="35" cm="1">
        <f t="array" ref="J68:AA68">_xlfn._xlws.FILTER(Formulas!$C$2:$T$149, ISNUMBER(MATCH(Formulas!$B$2:$B$149, A68, 0)),0) * F68</f>
        <v>1421.8600000000001</v>
      </c>
      <c r="K68" s="35">
        <v>2596.44</v>
      </c>
      <c r="L68" s="35">
        <v>309.10000000000002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1854.7033260905901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</row>
    <row r="69" spans="1:27" x14ac:dyDescent="0.25">
      <c r="A69" s="1" t="str">
        <v>La Florida</v>
      </c>
      <c r="B69" s="1" t="str">
        <v>Octubre / Noviembre / Diciembre</v>
      </c>
      <c r="C69" s="2">
        <v>46280</v>
      </c>
      <c r="D69" s="9">
        <v>1000</v>
      </c>
      <c r="E69" s="51">
        <v>0.78203999999999996</v>
      </c>
      <c r="F69" s="35">
        <v>782.04</v>
      </c>
      <c r="G69" s="1">
        <v>50</v>
      </c>
      <c r="H69" s="1">
        <v>20</v>
      </c>
      <c r="I69" s="1">
        <v>0</v>
      </c>
      <c r="J69" s="35" cm="1">
        <f t="array" ref="J69:AA69">_xlfn._xlws.FILTER(Formulas!$C$2:$T$149, ISNUMBER(MATCH(Formulas!$B$2:$B$149, A69, 0)),0) * F69</f>
        <v>155.86057199999999</v>
      </c>
      <c r="K69" s="35">
        <v>531.6073308</v>
      </c>
      <c r="L69" s="35">
        <v>31.4927508</v>
      </c>
      <c r="M69" s="35">
        <v>31.4927508</v>
      </c>
      <c r="N69" s="35">
        <v>0</v>
      </c>
      <c r="O69" s="35">
        <v>0</v>
      </c>
      <c r="P69" s="35">
        <v>31.4927508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</row>
    <row r="70" spans="1:27" x14ac:dyDescent="0.25">
      <c r="A70" s="1" t="str">
        <v>Llacanora</v>
      </c>
      <c r="B70" s="1" t="str">
        <v>Octubre</v>
      </c>
      <c r="C70" s="2">
        <v>46287</v>
      </c>
      <c r="D70" s="9">
        <v>565</v>
      </c>
      <c r="E70" s="51">
        <v>1.50702</v>
      </c>
      <c r="F70" s="35">
        <v>851.46630000000005</v>
      </c>
      <c r="G70" s="1">
        <v>28</v>
      </c>
      <c r="H70" s="1">
        <v>20</v>
      </c>
      <c r="I70" s="1">
        <v>5</v>
      </c>
      <c r="J70" s="35" cm="1">
        <f t="array" ref="J70:AA70">_xlfn._xlws.FILTER(Formulas!$C$2:$T$149, ISNUMBER(MATCH(Formulas!$B$2:$B$149, A70, 0)),0) * F70</f>
        <v>220.87035822000004</v>
      </c>
      <c r="K70" s="35">
        <v>527.65366611000002</v>
      </c>
      <c r="L70" s="35">
        <v>25.969722150000003</v>
      </c>
      <c r="M70" s="35">
        <v>0</v>
      </c>
      <c r="N70" s="35">
        <v>0</v>
      </c>
      <c r="O70" s="35">
        <v>33.973505369999998</v>
      </c>
      <c r="P70" s="35">
        <v>42.999048150000007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</row>
    <row r="71" spans="1:27" x14ac:dyDescent="0.25">
      <c r="A71" s="1" t="str">
        <v>Longotea</v>
      </c>
      <c r="B71" s="1" t="str">
        <v>Octubre / Noviembre / Diciembre</v>
      </c>
      <c r="C71" s="2">
        <v>46292</v>
      </c>
      <c r="D71" s="9">
        <v>1105.0830000000001</v>
      </c>
      <c r="E71" s="51">
        <v>1</v>
      </c>
      <c r="F71" s="35">
        <v>1105.0830000000001</v>
      </c>
      <c r="G71" s="1">
        <v>40</v>
      </c>
      <c r="H71" s="1">
        <v>27</v>
      </c>
      <c r="I71" s="1">
        <v>25.083000000000084</v>
      </c>
      <c r="J71" s="35" cm="1">
        <f t="array" ref="J71:AA71">_xlfn._xlws.FILTER(Formulas!$C$2:$T$149, ISNUMBER(MATCH(Formulas!$B$2:$B$149, A71, 0)),0) * F71</f>
        <v>132.60996</v>
      </c>
      <c r="K71" s="35">
        <v>448.11115649999999</v>
      </c>
      <c r="L71" s="35">
        <v>27.627075000000005</v>
      </c>
      <c r="M71" s="35">
        <v>27.627075000000005</v>
      </c>
      <c r="N71" s="35">
        <v>0</v>
      </c>
      <c r="O71" s="35">
        <v>0</v>
      </c>
      <c r="P71" s="35">
        <v>27.627075000000005</v>
      </c>
      <c r="Q71" s="35">
        <v>55.25415000000001</v>
      </c>
      <c r="R71" s="35">
        <v>385.95023774999999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1.105083</v>
      </c>
      <c r="Y71" s="35">
        <v>0</v>
      </c>
      <c r="Z71" s="35">
        <v>0</v>
      </c>
      <c r="AA71" s="35">
        <v>0</v>
      </c>
    </row>
    <row r="72" spans="1:27" x14ac:dyDescent="0.25">
      <c r="A72" s="1" t="str">
        <v>Luya</v>
      </c>
      <c r="B72" s="1" t="str">
        <v>O.C.</v>
      </c>
      <c r="C72" s="2">
        <v>46280</v>
      </c>
      <c r="D72" s="9">
        <v>797</v>
      </c>
      <c r="E72" s="51">
        <v>1</v>
      </c>
      <c r="F72" s="35">
        <v>797</v>
      </c>
      <c r="G72" s="1">
        <v>40</v>
      </c>
      <c r="H72" s="1">
        <v>19</v>
      </c>
      <c r="I72" s="1">
        <v>37</v>
      </c>
      <c r="J72" s="35" cm="1">
        <f t="array" ref="J72:AA72">_xlfn._xlws.FILTER(Formulas!$C$2:$T$149, ISNUMBER(MATCH(Formulas!$B$2:$B$149, A72, 0)),0) * F72</f>
        <v>159.4</v>
      </c>
      <c r="K72" s="35">
        <v>573.84</v>
      </c>
      <c r="L72" s="35">
        <v>31.88</v>
      </c>
      <c r="M72" s="35">
        <v>0</v>
      </c>
      <c r="N72" s="35">
        <v>0</v>
      </c>
      <c r="O72" s="35">
        <v>0</v>
      </c>
      <c r="P72" s="35">
        <v>31.88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</row>
    <row r="73" spans="1:27" x14ac:dyDescent="0.25">
      <c r="A73" s="1" t="str">
        <v>Macate</v>
      </c>
      <c r="B73" s="1" t="str">
        <v>Octubre / Noviembre / Diciembre</v>
      </c>
      <c r="C73" s="2">
        <v>46295</v>
      </c>
      <c r="D73" s="9">
        <v>1953</v>
      </c>
      <c r="E73" s="51">
        <v>1.63686</v>
      </c>
      <c r="F73" s="35">
        <v>3196.7875800000002</v>
      </c>
      <c r="G73" s="1">
        <v>25</v>
      </c>
      <c r="H73" s="1">
        <v>78</v>
      </c>
      <c r="I73" s="1">
        <v>3</v>
      </c>
      <c r="J73" s="35" cm="1">
        <f t="array" ref="J73:AA73">_xlfn._xlws.FILTER(Formulas!$C$2:$T$149, ISNUMBER(MATCH(Formulas!$B$2:$B$149, A73, 0)),0) * F73</f>
        <v>639.35751600000003</v>
      </c>
      <c r="K73" s="35">
        <v>2237.7513060000001</v>
      </c>
      <c r="L73" s="35">
        <v>159.83937900000001</v>
      </c>
      <c r="M73" s="35">
        <v>0</v>
      </c>
      <c r="N73" s="35">
        <v>0</v>
      </c>
      <c r="O73" s="35">
        <v>0</v>
      </c>
      <c r="P73" s="35">
        <v>159.83937900000001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</row>
    <row r="74" spans="1:27" x14ac:dyDescent="0.25">
      <c r="A74" s="1" t="str">
        <v>Magdalena</v>
      </c>
      <c r="B74" s="1" t="str">
        <v>Octubre</v>
      </c>
      <c r="C74" s="2">
        <v>46286</v>
      </c>
      <c r="D74" s="9">
        <v>3200</v>
      </c>
      <c r="E74" s="51">
        <v>0.84011000000000002</v>
      </c>
      <c r="F74" s="35">
        <v>2688.3519999999999</v>
      </c>
      <c r="G74" s="1">
        <v>50</v>
      </c>
      <c r="H74" s="1">
        <v>64</v>
      </c>
      <c r="I74" s="1">
        <v>0</v>
      </c>
      <c r="J74" s="35" cm="1">
        <f t="array" ref="J74:AA74">_xlfn._xlws.FILTER(Formulas!$C$2:$T$149, ISNUMBER(MATCH(Formulas!$B$2:$B$149, A74, 0)),0) * F74</f>
        <v>748.09795238095239</v>
      </c>
      <c r="K74" s="35">
        <v>1698.5557341269841</v>
      </c>
      <c r="L74" s="35">
        <v>134.3509246031746</v>
      </c>
      <c r="M74" s="35">
        <v>107.68076587301587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</row>
    <row r="75" spans="1:27" x14ac:dyDescent="0.25">
      <c r="A75" s="1" t="str">
        <v>Magdalena</v>
      </c>
      <c r="B75" s="1" t="str">
        <v>Noviembre</v>
      </c>
      <c r="C75" s="2">
        <v>46286</v>
      </c>
      <c r="D75" s="9">
        <v>3200</v>
      </c>
      <c r="E75" s="51">
        <v>0.84011000000000002</v>
      </c>
      <c r="F75" s="35">
        <v>2688.3519999999999</v>
      </c>
      <c r="G75" s="1">
        <v>50</v>
      </c>
      <c r="H75" s="1">
        <v>64</v>
      </c>
      <c r="I75" s="1">
        <v>0</v>
      </c>
      <c r="J75" s="35" cm="1">
        <f t="array" ref="J75:AA75">_xlfn._xlws.FILTER(Formulas!$C$2:$T$149, ISNUMBER(MATCH(Formulas!$B$2:$B$149, A75, 0)),0) * F75</f>
        <v>748.09795238095239</v>
      </c>
      <c r="K75" s="35">
        <v>1698.5557341269841</v>
      </c>
      <c r="L75" s="35">
        <v>134.3509246031746</v>
      </c>
      <c r="M75" s="35">
        <v>107.68076587301587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</row>
    <row r="76" spans="1:27" x14ac:dyDescent="0.25">
      <c r="A76" s="1" t="str">
        <v>Magdalena</v>
      </c>
      <c r="B76" s="1" t="str">
        <v>Diciembre</v>
      </c>
      <c r="C76" s="2">
        <v>46286</v>
      </c>
      <c r="D76" s="9">
        <v>3256</v>
      </c>
      <c r="E76" s="51">
        <v>0.84011000000000002</v>
      </c>
      <c r="F76" s="35">
        <v>2735.3981600000002</v>
      </c>
      <c r="G76" s="1">
        <v>50</v>
      </c>
      <c r="H76" s="1">
        <v>65</v>
      </c>
      <c r="I76" s="1">
        <v>6</v>
      </c>
      <c r="J76" s="35" cm="1">
        <f t="array" ref="J76:AA76">_xlfn._xlws.FILTER(Formulas!$C$2:$T$149, ISNUMBER(MATCH(Formulas!$B$2:$B$149, A76, 0)),0) * F76</f>
        <v>761.18966654761914</v>
      </c>
      <c r="K76" s="35">
        <v>1728.2804594742065</v>
      </c>
      <c r="L76" s="35">
        <v>136.70206578373018</v>
      </c>
      <c r="M76" s="35">
        <v>109.56517927579367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</row>
    <row r="77" spans="1:27" x14ac:dyDescent="0.25">
      <c r="A77" s="1" t="str">
        <v>Magdalena de Cao</v>
      </c>
      <c r="B77" s="1" t="str">
        <v>Octubre</v>
      </c>
      <c r="C77" s="2">
        <v>46286</v>
      </c>
      <c r="D77" s="9">
        <v>240</v>
      </c>
      <c r="E77" s="51">
        <v>1.5175099999999999</v>
      </c>
      <c r="F77" s="35">
        <v>364.20239999999995</v>
      </c>
      <c r="G77" s="1">
        <v>30</v>
      </c>
      <c r="H77" s="1">
        <v>8</v>
      </c>
      <c r="I77" s="1">
        <v>0</v>
      </c>
      <c r="J77" s="35" cm="1">
        <f t="array" ref="J77:AA77">_xlfn._xlws.FILTER(Formulas!$C$2:$T$149, ISNUMBER(MATCH(Formulas!$B$2:$B$149, A77, 0)),0) * F77</f>
        <v>95.052824175824171</v>
      </c>
      <c r="K77" s="35">
        <v>240.13345054945052</v>
      </c>
      <c r="L77" s="35">
        <v>15.008340659340657</v>
      </c>
      <c r="M77" s="35">
        <v>15.008340659340657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</row>
    <row r="78" spans="1:27" x14ac:dyDescent="0.25">
      <c r="A78" s="1" t="str">
        <v>Manseriche</v>
      </c>
      <c r="B78" s="1" t="str">
        <v>Octubre</v>
      </c>
      <c r="C78" s="2">
        <v>46290</v>
      </c>
      <c r="D78" s="9">
        <v>1441.0309999999999</v>
      </c>
      <c r="E78" s="51">
        <v>1</v>
      </c>
      <c r="F78" s="35">
        <v>1441.0309999999999</v>
      </c>
      <c r="G78" s="1">
        <v>50</v>
      </c>
      <c r="H78" s="1">
        <v>28</v>
      </c>
      <c r="I78" s="1">
        <v>41.030999999999949</v>
      </c>
      <c r="J78" s="35" cm="1">
        <f t="array" ref="J78:AA78">_xlfn._xlws.FILTER(Formulas!$C$2:$T$149, ISNUMBER(MATCH(Formulas!$B$2:$B$149, A78, 0)),0) * F78</f>
        <v>244.83116689999997</v>
      </c>
      <c r="K78" s="35">
        <v>519.20346930000005</v>
      </c>
      <c r="L78" s="35">
        <v>57.208930699999996</v>
      </c>
      <c r="M78" s="35">
        <v>57.208930699999996</v>
      </c>
      <c r="N78" s="35">
        <v>0</v>
      </c>
      <c r="O78" s="35">
        <v>0</v>
      </c>
      <c r="P78" s="35">
        <v>58.217652399999999</v>
      </c>
      <c r="Q78" s="35">
        <v>0</v>
      </c>
      <c r="R78" s="35">
        <v>504.36084999999997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</row>
    <row r="79" spans="1:27" x14ac:dyDescent="0.25">
      <c r="A79" s="1" t="str">
        <v>Marcabal</v>
      </c>
      <c r="B79" s="1" t="str">
        <v>Octubre</v>
      </c>
      <c r="C79" s="2">
        <v>46280</v>
      </c>
      <c r="D79" s="9">
        <v>2540</v>
      </c>
      <c r="E79" s="51">
        <v>1.5670999999999999</v>
      </c>
      <c r="F79" s="35">
        <v>3980.4339999999997</v>
      </c>
      <c r="G79" s="1">
        <v>30</v>
      </c>
      <c r="H79" s="1">
        <v>84</v>
      </c>
      <c r="I79" s="1">
        <v>20</v>
      </c>
      <c r="J79" s="35" cm="1">
        <f t="array" ref="J79:AA79">_xlfn._xlws.FILTER(Formulas!$C$2:$T$149, ISNUMBER(MATCH(Formulas!$B$2:$B$149, A79, 0)),0) * F79</f>
        <v>388.09231499999999</v>
      </c>
      <c r="K79" s="35">
        <v>1681.7333649999998</v>
      </c>
      <c r="L79" s="35">
        <v>0</v>
      </c>
      <c r="M79" s="35">
        <v>158.81931659999998</v>
      </c>
      <c r="N79" s="35">
        <v>0</v>
      </c>
      <c r="O79" s="35">
        <v>0</v>
      </c>
      <c r="P79" s="35">
        <v>158.81931659999998</v>
      </c>
      <c r="Q79" s="35">
        <v>0</v>
      </c>
      <c r="R79" s="35">
        <v>1392.7538565999998</v>
      </c>
      <c r="S79" s="35">
        <v>0</v>
      </c>
      <c r="T79" s="35">
        <v>199.02170000000001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</row>
    <row r="80" spans="1:27" x14ac:dyDescent="0.25">
      <c r="A80" s="1" t="str">
        <v>Marcara1</v>
      </c>
      <c r="B80" s="1" t="str">
        <v>Octubre / Noviembre / Diciembre</v>
      </c>
      <c r="C80" s="2">
        <v>46295</v>
      </c>
      <c r="D80" s="9">
        <v>2340</v>
      </c>
      <c r="E80" s="51">
        <v>0.62063999999999997</v>
      </c>
      <c r="F80" s="35">
        <v>1452.2975999999999</v>
      </c>
      <c r="G80" s="1">
        <v>70</v>
      </c>
      <c r="H80" s="1">
        <v>33</v>
      </c>
      <c r="I80" s="1">
        <v>30</v>
      </c>
      <c r="J80" s="35" cm="1">
        <f t="array" ref="J80:AA80">_xlfn._xlws.FILTER(Formulas!$C$2:$T$149, ISNUMBER(MATCH(Formulas!$B$2:$B$149, A80, 0)),0) * F80</f>
        <v>290.45952</v>
      </c>
      <c r="K80" s="35">
        <v>1031.1312959999998</v>
      </c>
      <c r="L80" s="35">
        <v>87.137855999999985</v>
      </c>
      <c r="M80" s="35">
        <v>0</v>
      </c>
      <c r="N80" s="35">
        <v>0</v>
      </c>
      <c r="O80" s="35">
        <v>0</v>
      </c>
      <c r="P80" s="35">
        <v>43.568927999999993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</row>
    <row r="81" spans="1:27" x14ac:dyDescent="0.25">
      <c r="A81" s="1" t="str">
        <v>Morales</v>
      </c>
      <c r="B81" s="1" t="str">
        <v>Octubre</v>
      </c>
      <c r="C81" s="2">
        <v>46286</v>
      </c>
      <c r="D81" s="9">
        <v>1430</v>
      </c>
      <c r="E81" s="51">
        <v>1</v>
      </c>
      <c r="F81" s="35">
        <v>1430</v>
      </c>
      <c r="G81" s="1">
        <v>50</v>
      </c>
      <c r="H81" s="1">
        <v>28</v>
      </c>
      <c r="I81" s="1">
        <v>30</v>
      </c>
      <c r="J81" s="35" cm="1">
        <f t="array" ref="J81:AA81">_xlfn._xlws.FILTER(Formulas!$C$2:$T$149, ISNUMBER(MATCH(Formulas!$B$2:$B$149, A81, 0)),0) * F81</f>
        <v>200.00000000000003</v>
      </c>
      <c r="K81" s="35">
        <v>580</v>
      </c>
      <c r="L81" s="35">
        <v>50.000000000000007</v>
      </c>
      <c r="M81" s="35">
        <v>50.000000000000007</v>
      </c>
      <c r="N81" s="35">
        <v>0</v>
      </c>
      <c r="O81" s="35">
        <v>0</v>
      </c>
      <c r="P81" s="35">
        <v>50.000000000000007</v>
      </c>
      <c r="Q81" s="35">
        <v>0</v>
      </c>
      <c r="R81" s="35">
        <v>500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</row>
    <row r="82" spans="1:27" x14ac:dyDescent="0.25">
      <c r="A82" s="1" t="str">
        <v>Nueva Cajamarca</v>
      </c>
      <c r="B82" s="1" t="str">
        <v>Octubre</v>
      </c>
      <c r="C82" s="2">
        <v>46286</v>
      </c>
      <c r="D82" s="9">
        <v>2678</v>
      </c>
      <c r="E82" s="51">
        <v>1.302</v>
      </c>
      <c r="F82" s="35">
        <v>3486.7560000000003</v>
      </c>
      <c r="G82" s="1">
        <v>35</v>
      </c>
      <c r="H82" s="1">
        <v>76</v>
      </c>
      <c r="I82" s="1">
        <v>18</v>
      </c>
      <c r="J82" s="35" cm="1">
        <f t="array" ref="J82:AA82">_xlfn._xlws.FILTER(Formulas!$C$2:$T$149, ISNUMBER(MATCH(Formulas!$B$2:$B$149, A82, 0)),0) * F82</f>
        <v>697.0367473320307</v>
      </c>
      <c r="K82" s="35">
        <v>1394.5975824440104</v>
      </c>
      <c r="L82" s="35">
        <v>174.52123072298212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1220.600439500977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</row>
    <row r="83" spans="1:27" x14ac:dyDescent="0.25">
      <c r="A83" s="1" t="str">
        <v>Olleros</v>
      </c>
      <c r="B83" s="1" t="str">
        <v>Octubre</v>
      </c>
      <c r="C83" s="2">
        <v>46281</v>
      </c>
      <c r="D83" s="9">
        <v>221</v>
      </c>
      <c r="E83" s="51">
        <v>1.2345680000000001</v>
      </c>
      <c r="F83" s="35">
        <v>272.83952800000003</v>
      </c>
      <c r="G83" s="1">
        <v>35</v>
      </c>
      <c r="H83" s="1">
        <v>6</v>
      </c>
      <c r="I83" s="1">
        <v>11</v>
      </c>
      <c r="J83" s="35" cm="1">
        <f t="array" ref="J83:AA83">_xlfn._xlws.FILTER(Formulas!$C$2:$T$149, ISNUMBER(MATCH(Formulas!$B$2:$B$149, A83, 0)),0) * F83</f>
        <v>54.67726012024049</v>
      </c>
      <c r="K83" s="35">
        <v>190.82363781963932</v>
      </c>
      <c r="L83" s="35">
        <v>13.669315030060122</v>
      </c>
      <c r="M83" s="35">
        <v>0</v>
      </c>
      <c r="N83" s="35">
        <v>0</v>
      </c>
      <c r="O83" s="35">
        <v>0</v>
      </c>
      <c r="P83" s="35">
        <v>13.669315030060122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0</v>
      </c>
    </row>
    <row r="84" spans="1:27" x14ac:dyDescent="0.25">
      <c r="A84" s="1" t="str">
        <v>Olleros</v>
      </c>
      <c r="B84" s="1" t="str">
        <v>Noviembre</v>
      </c>
      <c r="C84" s="2">
        <v>46281</v>
      </c>
      <c r="D84" s="9">
        <v>221</v>
      </c>
      <c r="E84" s="51">
        <v>1.2345680000000001</v>
      </c>
      <c r="F84" s="35">
        <v>272.83952800000003</v>
      </c>
      <c r="G84" s="1">
        <v>35</v>
      </c>
      <c r="H84" s="1">
        <v>6</v>
      </c>
      <c r="I84" s="1">
        <v>11</v>
      </c>
      <c r="J84" s="35" cm="1">
        <f t="array" ref="J84:AA84">_xlfn._xlws.FILTER(Formulas!$C$2:$T$149, ISNUMBER(MATCH(Formulas!$B$2:$B$149, A84, 0)),0) * F84</f>
        <v>54.67726012024049</v>
      </c>
      <c r="K84" s="35">
        <v>190.82363781963932</v>
      </c>
      <c r="L84" s="35">
        <v>13.669315030060122</v>
      </c>
      <c r="M84" s="35">
        <v>0</v>
      </c>
      <c r="N84" s="35">
        <v>0</v>
      </c>
      <c r="O84" s="35">
        <v>0</v>
      </c>
      <c r="P84" s="35">
        <v>13.669315030060122</v>
      </c>
      <c r="Q84" s="35">
        <v>0</v>
      </c>
      <c r="R84" s="35">
        <v>0</v>
      </c>
      <c r="S84" s="35">
        <v>0</v>
      </c>
      <c r="T84" s="35">
        <v>0</v>
      </c>
      <c r="U84" s="35">
        <v>0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</row>
    <row r="85" spans="1:27" x14ac:dyDescent="0.25">
      <c r="A85" s="1" t="str">
        <v>Olleros</v>
      </c>
      <c r="B85" s="1" t="str">
        <v>Diciembre</v>
      </c>
      <c r="C85" s="2">
        <v>46281</v>
      </c>
      <c r="D85" s="9">
        <v>221</v>
      </c>
      <c r="E85" s="51">
        <v>1.2345680000000001</v>
      </c>
      <c r="F85" s="35">
        <v>272.83952800000003</v>
      </c>
      <c r="G85" s="1">
        <v>35</v>
      </c>
      <c r="H85" s="1">
        <v>6</v>
      </c>
      <c r="I85" s="1">
        <v>11</v>
      </c>
      <c r="J85" s="35" cm="1">
        <f t="array" ref="J85:AA85">_xlfn._xlws.FILTER(Formulas!$C$2:$T$149, ISNUMBER(MATCH(Formulas!$B$2:$B$149, A85, 0)),0) * F85</f>
        <v>54.67726012024049</v>
      </c>
      <c r="K85" s="35">
        <v>190.82363781963932</v>
      </c>
      <c r="L85" s="35">
        <v>13.669315030060122</v>
      </c>
      <c r="M85" s="35">
        <v>0</v>
      </c>
      <c r="N85" s="35">
        <v>0</v>
      </c>
      <c r="O85" s="35">
        <v>0</v>
      </c>
      <c r="P85" s="35">
        <v>13.669315030060122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</row>
    <row r="86" spans="1:27" x14ac:dyDescent="0.25">
      <c r="A86" s="1" t="str">
        <v>Olmos</v>
      </c>
      <c r="B86" s="1" t="str">
        <v>Octubre</v>
      </c>
      <c r="C86" s="2">
        <v>46281</v>
      </c>
      <c r="D86" s="9">
        <v>5788</v>
      </c>
      <c r="E86" s="51">
        <v>1</v>
      </c>
      <c r="F86" s="35">
        <v>5788</v>
      </c>
      <c r="G86" s="1">
        <v>40</v>
      </c>
      <c r="H86" s="1">
        <v>144</v>
      </c>
      <c r="I86" s="1">
        <v>28</v>
      </c>
      <c r="J86" s="35" cm="1">
        <f t="array" ref="J86:AA86">_xlfn._xlws.FILTER(Formulas!$C$2:$T$149, ISNUMBER(MATCH(Formulas!$B$2:$B$149, A86, 0)),0) * F86</f>
        <v>463</v>
      </c>
      <c r="K86" s="35">
        <v>4450</v>
      </c>
      <c r="L86" s="35">
        <v>232</v>
      </c>
      <c r="M86" s="35">
        <v>232</v>
      </c>
      <c r="N86" s="35">
        <v>0</v>
      </c>
      <c r="O86" s="35">
        <v>0</v>
      </c>
      <c r="P86" s="35">
        <v>0</v>
      </c>
      <c r="Q86" s="35">
        <v>405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35">
        <v>5.7880000000000003</v>
      </c>
      <c r="Y86" s="35">
        <v>0</v>
      </c>
      <c r="Z86" s="35">
        <v>0</v>
      </c>
      <c r="AA86" s="35">
        <v>0</v>
      </c>
    </row>
    <row r="87" spans="1:27" x14ac:dyDescent="0.25">
      <c r="A87" s="1" t="str">
        <v>Qaliwarma Avena</v>
      </c>
      <c r="B87" s="1" t="str">
        <v>Yurimag</v>
      </c>
      <c r="C87" s="2">
        <v>46295</v>
      </c>
      <c r="D87" s="9">
        <v>10960</v>
      </c>
      <c r="E87" s="51">
        <v>0.26</v>
      </c>
      <c r="F87" s="35">
        <v>2849.6</v>
      </c>
      <c r="G87" s="1">
        <v>100</v>
      </c>
      <c r="H87" s="1">
        <v>109</v>
      </c>
      <c r="I87" s="1">
        <v>60</v>
      </c>
      <c r="J87" s="35" cm="1">
        <f t="array" ref="J87:AA87">_xlfn._xlws.FILTER(Formulas!$C$2:$T$149, ISNUMBER(MATCH(Formulas!$B$2:$B$149, A87, 0)),0) * F87</f>
        <v>0</v>
      </c>
      <c r="K87" s="35">
        <v>2849.6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</row>
    <row r="88" spans="1:27" x14ac:dyDescent="0.25">
      <c r="A88" s="1" t="str">
        <v>Qaliwarma Avena</v>
      </c>
      <c r="B88" s="1" t="str">
        <v>Cajamarca</v>
      </c>
      <c r="C88" s="2">
        <v>46295</v>
      </c>
      <c r="D88" s="9">
        <v>4650</v>
      </c>
      <c r="E88" s="51">
        <v>0.26</v>
      </c>
      <c r="F88" s="35">
        <v>1209</v>
      </c>
      <c r="G88" s="1">
        <v>100</v>
      </c>
      <c r="H88" s="1">
        <v>46</v>
      </c>
      <c r="I88" s="1">
        <v>50</v>
      </c>
      <c r="J88" s="35" cm="1">
        <f t="array" ref="J88:AA88">_xlfn._xlws.FILTER(Formulas!$C$2:$T$149, ISNUMBER(MATCH(Formulas!$B$2:$B$149, A88, 0)),0) * F88</f>
        <v>0</v>
      </c>
      <c r="K88" s="35">
        <v>1209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</row>
    <row r="89" spans="1:27" x14ac:dyDescent="0.25">
      <c r="A89" s="1" t="str">
        <v>Qaliwarma Kiwicha</v>
      </c>
      <c r="B89" s="1" t="str">
        <v>Yurimag</v>
      </c>
      <c r="C89" s="2">
        <v>46295</v>
      </c>
      <c r="D89" s="9">
        <v>10189</v>
      </c>
      <c r="E89" s="51">
        <v>0.26</v>
      </c>
      <c r="F89" s="35">
        <v>2649.14</v>
      </c>
      <c r="G89" s="1">
        <v>100</v>
      </c>
      <c r="H89" s="1">
        <v>101</v>
      </c>
      <c r="I89" s="1">
        <v>89</v>
      </c>
      <c r="J89" s="35" cm="1">
        <f t="array" ref="J89:AA89">_xlfn._xlws.FILTER(Formulas!$C$2:$T$149, ISNUMBER(MATCH(Formulas!$B$2:$B$149, A89, 0)),0) * F89</f>
        <v>0</v>
      </c>
      <c r="K89" s="35">
        <v>2490.1915999999997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158.94839999999999</v>
      </c>
      <c r="U89" s="35">
        <v>0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</row>
    <row r="90" spans="1:27" x14ac:dyDescent="0.25">
      <c r="A90" s="1" t="str">
        <v>Qaliwarma Kiwicha</v>
      </c>
      <c r="B90" s="1" t="str">
        <v>Pucalpa</v>
      </c>
      <c r="C90" s="2">
        <v>46295</v>
      </c>
      <c r="D90" s="9">
        <v>4596</v>
      </c>
      <c r="E90" s="51">
        <v>0.26</v>
      </c>
      <c r="F90" s="35">
        <v>1194.96</v>
      </c>
      <c r="G90" s="1">
        <v>100</v>
      </c>
      <c r="H90" s="1">
        <v>45</v>
      </c>
      <c r="I90" s="1">
        <v>96</v>
      </c>
      <c r="J90" s="35" cm="1">
        <f t="array" ref="J90:AA90">_xlfn._xlws.FILTER(Formulas!$C$2:$T$149, ISNUMBER(MATCH(Formulas!$B$2:$B$149, A90, 0)),0) * F90</f>
        <v>0</v>
      </c>
      <c r="K90" s="35">
        <v>1123.2624000000001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71.697599999999994</v>
      </c>
      <c r="U90" s="35">
        <v>0</v>
      </c>
      <c r="V90" s="35">
        <v>0</v>
      </c>
      <c r="W90" s="35">
        <v>0</v>
      </c>
      <c r="X90" s="35">
        <v>0</v>
      </c>
      <c r="Y90" s="35">
        <v>0</v>
      </c>
      <c r="Z90" s="35">
        <v>0</v>
      </c>
      <c r="AA90" s="35">
        <v>0</v>
      </c>
    </row>
    <row r="91" spans="1:27" x14ac:dyDescent="0.25">
      <c r="A91" s="1" t="str">
        <v>Qaliwarma Kiwicha</v>
      </c>
      <c r="B91" s="1" t="str">
        <v>Cajamarca</v>
      </c>
      <c r="C91" s="2">
        <v>46295</v>
      </c>
      <c r="D91" s="9">
        <v>3920</v>
      </c>
      <c r="E91" s="51">
        <v>0.26</v>
      </c>
      <c r="F91" s="35">
        <v>1019.2</v>
      </c>
      <c r="G91" s="1">
        <v>100</v>
      </c>
      <c r="H91" s="1">
        <v>39</v>
      </c>
      <c r="I91" s="1">
        <v>20</v>
      </c>
      <c r="J91" s="35" cm="1">
        <f t="array" ref="J91:AA91">_xlfn._xlws.FILTER(Formulas!$C$2:$T$149, ISNUMBER(MATCH(Formulas!$B$2:$B$149, A91, 0)),0) * F91</f>
        <v>0</v>
      </c>
      <c r="K91" s="35">
        <v>958.048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61.152000000000001</v>
      </c>
      <c r="U91" s="35">
        <v>0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</row>
    <row r="92" spans="1:27" x14ac:dyDescent="0.25">
      <c r="A92" s="1" t="str">
        <v>Qaliwarma Quinua</v>
      </c>
      <c r="B92" s="1" t="str">
        <v>Yurimag</v>
      </c>
      <c r="C92" s="2">
        <v>46295</v>
      </c>
      <c r="D92" s="9">
        <v>8043</v>
      </c>
      <c r="E92" s="51">
        <v>0.26</v>
      </c>
      <c r="F92" s="35">
        <v>2091.1800000000003</v>
      </c>
      <c r="G92" s="1">
        <v>100</v>
      </c>
      <c r="H92" s="1">
        <v>80</v>
      </c>
      <c r="I92" s="1">
        <v>43</v>
      </c>
      <c r="J92" s="35" cm="1">
        <f t="array" ref="J92:AA92">_xlfn._xlws.FILTER(Formulas!$C$2:$T$149, ISNUMBER(MATCH(Formulas!$B$2:$B$149, A92, 0)),0) * F92</f>
        <v>0</v>
      </c>
      <c r="K92" s="35">
        <v>1965.7092000000002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125.47080000000001</v>
      </c>
      <c r="T92" s="35"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</row>
    <row r="93" spans="1:27" x14ac:dyDescent="0.25">
      <c r="A93" s="1" t="str">
        <v>Qaliwarma Quinua</v>
      </c>
      <c r="B93" s="1" t="str">
        <v>Pucalpa</v>
      </c>
      <c r="C93" s="2">
        <v>46295</v>
      </c>
      <c r="D93" s="9">
        <v>6917</v>
      </c>
      <c r="E93" s="51">
        <v>0.26</v>
      </c>
      <c r="F93" s="35">
        <v>1798.42</v>
      </c>
      <c r="G93" s="1">
        <v>100</v>
      </c>
      <c r="H93" s="1">
        <v>69</v>
      </c>
      <c r="I93" s="1">
        <v>17</v>
      </c>
      <c r="J93" s="35" cm="1">
        <f t="array" ref="J93:AA93">_xlfn._xlws.FILTER(Formulas!$C$2:$T$149, ISNUMBER(MATCH(Formulas!$B$2:$B$149, A93, 0)),0) * F93</f>
        <v>0</v>
      </c>
      <c r="K93" s="35">
        <v>1690.5147999999999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107.90519999999999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</row>
    <row r="94" spans="1:27" x14ac:dyDescent="0.25">
      <c r="A94" s="1" t="str">
        <v>Querocotillo</v>
      </c>
      <c r="B94" s="1" t="str">
        <v>Octubre</v>
      </c>
      <c r="C94" s="2">
        <v>46286</v>
      </c>
      <c r="D94" s="9">
        <v>1891</v>
      </c>
      <c r="E94" s="51">
        <v>1.3560000000000001</v>
      </c>
      <c r="F94" s="35">
        <v>2564.1960000000004</v>
      </c>
      <c r="G94" s="1">
        <v>30</v>
      </c>
      <c r="H94" s="1">
        <v>63</v>
      </c>
      <c r="I94" s="1">
        <v>1</v>
      </c>
      <c r="J94" s="35" cm="1">
        <f t="array" ref="J94:AA94">_xlfn._xlws.FILTER(Formulas!$C$2:$T$149, ISNUMBER(MATCH(Formulas!$B$2:$B$149, A94, 0)),0) * F94</f>
        <v>461.85518596491232</v>
      </c>
      <c r="K94" s="35">
        <v>1716.4618058479534</v>
      </c>
      <c r="L94" s="35">
        <v>0</v>
      </c>
      <c r="M94" s="35">
        <v>102.96771461988305</v>
      </c>
      <c r="N94" s="35">
        <v>0</v>
      </c>
      <c r="O94" s="35">
        <v>76.975864327485397</v>
      </c>
      <c r="P94" s="35">
        <v>102.96771461988305</v>
      </c>
      <c r="Q94" s="35">
        <v>0</v>
      </c>
      <c r="R94" s="35">
        <v>0</v>
      </c>
      <c r="S94" s="35">
        <v>0</v>
      </c>
      <c r="T94" s="35">
        <v>102.96771461988305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</row>
    <row r="95" spans="1:27" x14ac:dyDescent="0.25">
      <c r="A95" s="1" t="str">
        <v>Querocotillo</v>
      </c>
      <c r="B95" s="1" t="str">
        <v>Noviembre</v>
      </c>
      <c r="C95" s="2">
        <v>46286</v>
      </c>
      <c r="D95" s="9">
        <v>1891</v>
      </c>
      <c r="E95" s="51">
        <v>1.3560000000000001</v>
      </c>
      <c r="F95" s="35">
        <v>2564.1960000000004</v>
      </c>
      <c r="G95" s="1">
        <v>30</v>
      </c>
      <c r="H95" s="1">
        <v>63</v>
      </c>
      <c r="I95" s="1">
        <v>1</v>
      </c>
      <c r="J95" s="35" cm="1">
        <f t="array" ref="J95:AA95">_xlfn._xlws.FILTER(Formulas!$C$2:$T$149, ISNUMBER(MATCH(Formulas!$B$2:$B$149, A95, 0)),0) * F95</f>
        <v>461.85518596491232</v>
      </c>
      <c r="K95" s="35">
        <v>1716.4618058479534</v>
      </c>
      <c r="L95" s="35">
        <v>0</v>
      </c>
      <c r="M95" s="35">
        <v>102.96771461988305</v>
      </c>
      <c r="N95" s="35">
        <v>0</v>
      </c>
      <c r="O95" s="35">
        <v>76.975864327485397</v>
      </c>
      <c r="P95" s="35">
        <v>102.96771461988305</v>
      </c>
      <c r="Q95" s="35">
        <v>0</v>
      </c>
      <c r="R95" s="35">
        <v>0</v>
      </c>
      <c r="S95" s="35">
        <v>0</v>
      </c>
      <c r="T95" s="35">
        <v>102.96771461988305</v>
      </c>
      <c r="U95" s="35">
        <v>0</v>
      </c>
      <c r="V95" s="35">
        <v>0</v>
      </c>
      <c r="W95" s="35">
        <v>0</v>
      </c>
      <c r="X95" s="35">
        <v>0</v>
      </c>
      <c r="Y95" s="35">
        <v>0</v>
      </c>
      <c r="Z95" s="35">
        <v>0</v>
      </c>
      <c r="AA95" s="35">
        <v>0</v>
      </c>
    </row>
    <row r="96" spans="1:27" x14ac:dyDescent="0.25">
      <c r="A96" s="1" t="str">
        <v>Querocotillo</v>
      </c>
      <c r="B96" s="1" t="str">
        <v>Diciembre</v>
      </c>
      <c r="C96" s="2">
        <v>46286</v>
      </c>
      <c r="D96" s="9">
        <v>1891</v>
      </c>
      <c r="E96" s="51">
        <v>1.3560000000000001</v>
      </c>
      <c r="F96" s="35">
        <v>2564.1960000000004</v>
      </c>
      <c r="G96" s="1">
        <v>30</v>
      </c>
      <c r="H96" s="1">
        <v>63</v>
      </c>
      <c r="I96" s="1">
        <v>1</v>
      </c>
      <c r="J96" s="35" cm="1">
        <f t="array" ref="J96:AA96">_xlfn._xlws.FILTER(Formulas!$C$2:$T$149, ISNUMBER(MATCH(Formulas!$B$2:$B$149, A96, 0)),0) * F96</f>
        <v>461.85518596491232</v>
      </c>
      <c r="K96" s="35">
        <v>1716.4618058479534</v>
      </c>
      <c r="L96" s="35">
        <v>0</v>
      </c>
      <c r="M96" s="35">
        <v>102.96771461988305</v>
      </c>
      <c r="N96" s="35">
        <v>0</v>
      </c>
      <c r="O96" s="35">
        <v>76.975864327485397</v>
      </c>
      <c r="P96" s="35">
        <v>102.96771461988305</v>
      </c>
      <c r="Q96" s="35">
        <v>0</v>
      </c>
      <c r="R96" s="35">
        <v>0</v>
      </c>
      <c r="S96" s="35">
        <v>0</v>
      </c>
      <c r="T96" s="35">
        <v>102.96771461988305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</row>
    <row r="97" spans="1:27" x14ac:dyDescent="0.25">
      <c r="A97" s="1" t="str">
        <v>Querocoto</v>
      </c>
      <c r="B97" s="1" t="str">
        <v>Octubre</v>
      </c>
      <c r="C97" s="2">
        <v>46280</v>
      </c>
      <c r="D97" s="9">
        <v>1000</v>
      </c>
      <c r="E97" s="51">
        <v>1.355</v>
      </c>
      <c r="F97" s="35">
        <v>1355</v>
      </c>
      <c r="G97" s="1">
        <v>30</v>
      </c>
      <c r="H97" s="1">
        <v>33</v>
      </c>
      <c r="I97" s="1">
        <v>10</v>
      </c>
      <c r="J97" s="35" cm="1">
        <f t="array" ref="J97:AA97">_xlfn._xlws.FILTER(Formulas!$C$2:$T$149, ISNUMBER(MATCH(Formulas!$B$2:$B$149, A97, 0)),0) * F97</f>
        <v>271</v>
      </c>
      <c r="K97" s="35">
        <v>941.99600000000009</v>
      </c>
      <c r="L97" s="35">
        <v>67.478999999999999</v>
      </c>
      <c r="M97" s="35">
        <v>0</v>
      </c>
      <c r="N97" s="35">
        <v>0</v>
      </c>
      <c r="O97" s="35">
        <v>0</v>
      </c>
      <c r="P97" s="35">
        <v>74.525000000000006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</row>
    <row r="98" spans="1:27" x14ac:dyDescent="0.25">
      <c r="A98" s="1" t="str">
        <v>Quillo</v>
      </c>
      <c r="B98" s="1" t="str">
        <v>Noviembre</v>
      </c>
      <c r="C98" s="2">
        <v>46288</v>
      </c>
      <c r="D98" s="9">
        <v>1850</v>
      </c>
      <c r="E98" s="51">
        <v>1.65</v>
      </c>
      <c r="F98" s="35">
        <v>3052.5</v>
      </c>
      <c r="G98" s="1">
        <v>22</v>
      </c>
      <c r="H98" s="1">
        <v>84</v>
      </c>
      <c r="I98" s="1">
        <v>2</v>
      </c>
      <c r="J98" s="35" cm="1">
        <f t="array" ref="J98:AA98">_xlfn._xlws.FILTER(Formulas!$C$2:$T$149, ISNUMBER(MATCH(Formulas!$B$2:$B$149, A98, 0)),0) * F98</f>
        <v>885.22499999999991</v>
      </c>
      <c r="K98" s="35">
        <v>1831.5</v>
      </c>
      <c r="L98" s="35">
        <v>106.83750000000001</v>
      </c>
      <c r="M98" s="35">
        <v>0</v>
      </c>
      <c r="N98" s="35">
        <v>0</v>
      </c>
      <c r="O98" s="35">
        <v>0</v>
      </c>
      <c r="P98" s="35">
        <v>91.575000000000003</v>
      </c>
      <c r="Q98" s="35">
        <v>137.36249999999998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3.0525000000000002</v>
      </c>
      <c r="Y98" s="35">
        <v>0</v>
      </c>
      <c r="Z98" s="35">
        <v>0</v>
      </c>
      <c r="AA98" s="35">
        <v>0</v>
      </c>
    </row>
    <row r="99" spans="1:27" x14ac:dyDescent="0.25">
      <c r="A99" s="1" t="str">
        <v>Quillo</v>
      </c>
      <c r="B99" s="1" t="str">
        <v>Diciembre</v>
      </c>
      <c r="C99" s="2">
        <v>46288</v>
      </c>
      <c r="D99" s="9">
        <v>1850</v>
      </c>
      <c r="E99" s="51">
        <v>1.7050000000000001</v>
      </c>
      <c r="F99" s="35">
        <v>3154.25</v>
      </c>
      <c r="G99" s="1">
        <v>22</v>
      </c>
      <c r="H99" s="1">
        <v>84</v>
      </c>
      <c r="I99" s="1">
        <v>2</v>
      </c>
      <c r="J99" s="35" cm="1">
        <f t="array" ref="J99:AA99">_xlfn._xlws.FILTER(Formulas!$C$2:$T$149, ISNUMBER(MATCH(Formulas!$B$2:$B$149, A99, 0)),0) * F99</f>
        <v>914.73249999999996</v>
      </c>
      <c r="K99" s="35">
        <v>1892.55</v>
      </c>
      <c r="L99" s="35">
        <v>110.39875000000001</v>
      </c>
      <c r="M99" s="35">
        <v>0</v>
      </c>
      <c r="N99" s="35">
        <v>0</v>
      </c>
      <c r="O99" s="35">
        <v>0</v>
      </c>
      <c r="P99" s="35">
        <v>94.627499999999998</v>
      </c>
      <c r="Q99" s="35">
        <v>141.94125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3.1542500000000002</v>
      </c>
      <c r="Y99" s="35">
        <v>0</v>
      </c>
      <c r="Z99" s="35">
        <v>0</v>
      </c>
      <c r="AA99" s="35">
        <v>0</v>
      </c>
    </row>
    <row r="100" spans="1:27" x14ac:dyDescent="0.25">
      <c r="A100" s="1" t="str">
        <v>Salaverry</v>
      </c>
      <c r="B100" s="1" t="str">
        <v>Octubre</v>
      </c>
      <c r="C100" s="2">
        <v>46295</v>
      </c>
      <c r="D100" s="9">
        <v>853</v>
      </c>
      <c r="E100" s="51">
        <v>1</v>
      </c>
      <c r="F100" s="35">
        <v>853</v>
      </c>
      <c r="G100" s="1">
        <v>40</v>
      </c>
      <c r="H100" s="1">
        <v>21</v>
      </c>
      <c r="I100" s="1">
        <v>13</v>
      </c>
      <c r="J100" s="35" cm="1">
        <f t="array" ref="J100:AA100">_xlfn._xlws.FILTER(Formulas!$C$2:$T$149, ISNUMBER(MATCH(Formulas!$B$2:$B$149, A100, 0)),0) * F100</f>
        <v>154</v>
      </c>
      <c r="K100" s="35">
        <v>648</v>
      </c>
      <c r="L100" s="35">
        <v>51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0</v>
      </c>
      <c r="V100" s="35">
        <v>0</v>
      </c>
      <c r="W100" s="35">
        <v>0</v>
      </c>
      <c r="X100" s="35">
        <v>0</v>
      </c>
      <c r="Y100" s="35">
        <v>0</v>
      </c>
      <c r="Z100" s="35">
        <v>0</v>
      </c>
      <c r="AA100" s="35">
        <v>0</v>
      </c>
    </row>
    <row r="101" spans="1:27" x14ac:dyDescent="0.25">
      <c r="A101" s="1" t="str">
        <v>San Benito</v>
      </c>
      <c r="B101" s="1" t="str">
        <v>Octubre</v>
      </c>
      <c r="C101" s="2">
        <v>46288</v>
      </c>
      <c r="D101" s="9">
        <v>500</v>
      </c>
      <c r="E101" s="51">
        <v>1.47519</v>
      </c>
      <c r="F101" s="35">
        <v>737.59500000000003</v>
      </c>
      <c r="G101" s="1">
        <v>30</v>
      </c>
      <c r="H101" s="1">
        <v>16</v>
      </c>
      <c r="I101" s="1">
        <v>20</v>
      </c>
      <c r="J101" s="35" cm="1">
        <f t="array" ref="J101:AA101">_xlfn._xlws.FILTER(Formulas!$C$2:$T$149, ISNUMBER(MATCH(Formulas!$B$2:$B$149, A101, 0)),0) * F101</f>
        <v>132.91461900000002</v>
      </c>
      <c r="K101" s="35">
        <v>520.74207000000001</v>
      </c>
      <c r="L101" s="35">
        <v>25.0044705</v>
      </c>
      <c r="M101" s="35">
        <v>30.0201165</v>
      </c>
      <c r="N101" s="35">
        <v>0</v>
      </c>
      <c r="O101" s="35">
        <v>0</v>
      </c>
      <c r="P101" s="35">
        <v>28.987483500000003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</row>
    <row r="102" spans="1:27" x14ac:dyDescent="0.25">
      <c r="A102" s="1" t="str">
        <v>San Benito</v>
      </c>
      <c r="B102" s="1" t="str">
        <v>Noviembre</v>
      </c>
      <c r="C102" s="2">
        <v>46288</v>
      </c>
      <c r="D102" s="9">
        <v>500</v>
      </c>
      <c r="E102" s="51">
        <v>1.47519</v>
      </c>
      <c r="F102" s="35">
        <v>737.59500000000003</v>
      </c>
      <c r="G102" s="1">
        <v>30</v>
      </c>
      <c r="H102" s="1">
        <v>16</v>
      </c>
      <c r="I102" s="1">
        <v>20</v>
      </c>
      <c r="J102" s="35" cm="1">
        <f t="array" ref="J102:AA102">_xlfn._xlws.FILTER(Formulas!$C$2:$T$149, ISNUMBER(MATCH(Formulas!$B$2:$B$149, A102, 0)),0) * F102</f>
        <v>132.91461900000002</v>
      </c>
      <c r="K102" s="35">
        <v>520.74207000000001</v>
      </c>
      <c r="L102" s="35">
        <v>25.0044705</v>
      </c>
      <c r="M102" s="35">
        <v>30.0201165</v>
      </c>
      <c r="N102" s="35">
        <v>0</v>
      </c>
      <c r="O102" s="35">
        <v>0</v>
      </c>
      <c r="P102" s="35">
        <v>28.987483500000003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</row>
    <row r="103" spans="1:27" x14ac:dyDescent="0.25">
      <c r="A103" s="1" t="str">
        <v>San Benito</v>
      </c>
      <c r="B103" s="1" t="str">
        <v>Diciembre</v>
      </c>
      <c r="C103" s="2">
        <v>46288</v>
      </c>
      <c r="D103" s="9">
        <v>500</v>
      </c>
      <c r="E103" s="51">
        <v>1.47519</v>
      </c>
      <c r="F103" s="35">
        <v>737.59500000000003</v>
      </c>
      <c r="G103" s="1">
        <v>30</v>
      </c>
      <c r="H103" s="1">
        <v>16</v>
      </c>
      <c r="I103" s="1">
        <v>20</v>
      </c>
      <c r="J103" s="35" cm="1">
        <f t="array" ref="J103:AA103">_xlfn._xlws.FILTER(Formulas!$C$2:$T$149, ISNUMBER(MATCH(Formulas!$B$2:$B$149, A103, 0)),0) * F103</f>
        <v>132.91461900000002</v>
      </c>
      <c r="K103" s="35">
        <v>520.74207000000001</v>
      </c>
      <c r="L103" s="35">
        <v>25.0044705</v>
      </c>
      <c r="M103" s="35">
        <v>30.0201165</v>
      </c>
      <c r="N103" s="35">
        <v>0</v>
      </c>
      <c r="O103" s="35">
        <v>0</v>
      </c>
      <c r="P103" s="35">
        <v>28.987483500000003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</row>
    <row r="104" spans="1:27" x14ac:dyDescent="0.25">
      <c r="A104" s="1" t="str">
        <v>San Gregorio</v>
      </c>
      <c r="B104" s="1" t="str">
        <v>Octubre / Noviembre / Diciembre</v>
      </c>
      <c r="C104" s="2">
        <v>46287</v>
      </c>
      <c r="D104" s="9">
        <v>900</v>
      </c>
      <c r="E104" s="51">
        <v>1</v>
      </c>
      <c r="F104" s="35">
        <v>900</v>
      </c>
      <c r="G104" s="1">
        <v>40</v>
      </c>
      <c r="H104" s="1">
        <v>22</v>
      </c>
      <c r="I104" s="1">
        <v>20</v>
      </c>
      <c r="J104" s="35" cm="1">
        <f t="array" ref="J104:AA104">_xlfn._xlws.FILTER(Formulas!$C$2:$T$149, ISNUMBER(MATCH(Formulas!$B$2:$B$149, A104, 0)),0) * F104</f>
        <v>180</v>
      </c>
      <c r="K104" s="35">
        <v>624.14999999999986</v>
      </c>
      <c r="L104" s="35">
        <v>31.949999999999996</v>
      </c>
      <c r="M104" s="35">
        <v>31.949999999999996</v>
      </c>
      <c r="N104" s="35">
        <v>0</v>
      </c>
      <c r="O104" s="35">
        <v>0</v>
      </c>
      <c r="P104" s="35">
        <v>31.949999999999996</v>
      </c>
      <c r="Q104" s="35">
        <v>0</v>
      </c>
      <c r="R104" s="35">
        <v>0</v>
      </c>
      <c r="S104" s="35">
        <v>0</v>
      </c>
      <c r="T104" s="35">
        <v>0</v>
      </c>
      <c r="U104" s="35">
        <v>0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</row>
    <row r="105" spans="1:27" x14ac:dyDescent="0.25">
      <c r="A105" s="1" t="str">
        <v>San Jose</v>
      </c>
      <c r="B105" s="1" t="str">
        <v>Octubre</v>
      </c>
      <c r="C105" s="2">
        <v>46289</v>
      </c>
      <c r="D105" s="9">
        <v>1135</v>
      </c>
      <c r="E105" s="51">
        <v>1</v>
      </c>
      <c r="F105" s="35">
        <v>1135</v>
      </c>
      <c r="G105" s="1">
        <v>40</v>
      </c>
      <c r="H105" s="1">
        <v>28</v>
      </c>
      <c r="I105" s="1">
        <v>15</v>
      </c>
      <c r="J105" s="35" cm="1">
        <f t="array" ref="J105:AA105">_xlfn._xlws.FILTER(Formulas!$C$2:$T$149, ISNUMBER(MATCH(Formulas!$B$2:$B$149, A105, 0)),0) * F105</f>
        <v>250.04050000000001</v>
      </c>
      <c r="K105" s="35">
        <v>783.03649999999993</v>
      </c>
      <c r="L105" s="35">
        <v>34.049999999999997</v>
      </c>
      <c r="M105" s="35">
        <v>34.049999999999997</v>
      </c>
      <c r="N105" s="35">
        <v>0</v>
      </c>
      <c r="O105" s="35">
        <v>0</v>
      </c>
      <c r="P105" s="35">
        <v>34.049999999999997</v>
      </c>
      <c r="Q105" s="35">
        <v>0</v>
      </c>
      <c r="R105" s="35">
        <v>0</v>
      </c>
      <c r="S105" s="35">
        <v>0</v>
      </c>
      <c r="T105" s="35">
        <v>0</v>
      </c>
      <c r="U105" s="35">
        <v>0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0</v>
      </c>
    </row>
    <row r="106" spans="1:27" x14ac:dyDescent="0.25">
      <c r="A106" s="1" t="str">
        <v>San Jose Alto</v>
      </c>
      <c r="B106" s="1" t="str">
        <v>Septiembre / Octubre</v>
      </c>
      <c r="C106" s="2">
        <v>46280</v>
      </c>
      <c r="D106" s="9">
        <v>1760</v>
      </c>
      <c r="E106" s="51">
        <v>1</v>
      </c>
      <c r="F106" s="35">
        <v>1760</v>
      </c>
      <c r="G106" s="1">
        <v>40</v>
      </c>
      <c r="H106" s="1">
        <v>44</v>
      </c>
      <c r="I106" s="1">
        <v>0</v>
      </c>
      <c r="J106" s="35" cm="1">
        <f t="array" ref="J106:AA106">_xlfn._xlws.FILTER(Formulas!$C$2:$T$149, ISNUMBER(MATCH(Formulas!$B$2:$B$149, A106, 0)),0) * F106</f>
        <v>432.96000000000004</v>
      </c>
      <c r="K106" s="35">
        <v>1208.2400000000002</v>
      </c>
      <c r="L106" s="35">
        <v>70.400000000000006</v>
      </c>
      <c r="M106" s="35">
        <v>48.4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</row>
    <row r="107" spans="1:27" x14ac:dyDescent="0.25">
      <c r="A107" s="1" t="str">
        <v>San Jose de Lourdes</v>
      </c>
      <c r="B107" s="1" t="str">
        <v>Septiembre / Octubre</v>
      </c>
      <c r="C107" s="2">
        <v>46280</v>
      </c>
      <c r="D107" s="9">
        <v>4190</v>
      </c>
      <c r="E107" s="51">
        <v>1.25</v>
      </c>
      <c r="F107" s="35">
        <v>5237.5</v>
      </c>
      <c r="G107" s="1">
        <v>35</v>
      </c>
      <c r="H107" s="1">
        <v>119</v>
      </c>
      <c r="I107" s="1">
        <v>25</v>
      </c>
      <c r="J107" s="35" cm="1">
        <f t="array" ref="J107:AA107">_xlfn._xlws.FILTER(Formulas!$C$2:$T$149, ISNUMBER(MATCH(Formulas!$B$2:$B$149, A107, 0)),0) * F107</f>
        <v>1047.3018350359439</v>
      </c>
      <c r="K107" s="35">
        <v>3667.042659856224</v>
      </c>
      <c r="L107" s="35">
        <v>261.57775255391601</v>
      </c>
      <c r="M107" s="35">
        <v>0</v>
      </c>
      <c r="N107" s="35">
        <v>0</v>
      </c>
      <c r="O107" s="35">
        <v>0</v>
      </c>
      <c r="P107" s="35">
        <v>261.57775255391601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</row>
    <row r="108" spans="1:27" x14ac:dyDescent="0.25">
      <c r="A108" s="1" t="str">
        <v>San Juan</v>
      </c>
      <c r="B108" s="1" t="str">
        <v>Octubre / Noviembre / Diciembre</v>
      </c>
      <c r="C108" s="2">
        <v>46289</v>
      </c>
      <c r="D108" s="9">
        <v>2724</v>
      </c>
      <c r="E108" s="51">
        <v>1.74</v>
      </c>
      <c r="F108" s="35">
        <v>4739.76</v>
      </c>
      <c r="G108" s="1">
        <v>25</v>
      </c>
      <c r="H108" s="1">
        <v>108</v>
      </c>
      <c r="I108" s="1">
        <v>24</v>
      </c>
      <c r="J108" s="35" cm="1">
        <f t="array" ref="J108:AA108">_xlfn._xlws.FILTER(Formulas!$C$2:$T$149, ISNUMBER(MATCH(Formulas!$B$2:$B$149, A108, 0)),0) * F108</f>
        <v>1032.9476962025317</v>
      </c>
      <c r="K108" s="35">
        <v>3138.8410632911396</v>
      </c>
      <c r="L108" s="35">
        <v>189.99037974683546</v>
      </c>
      <c r="M108" s="35">
        <v>188.99043037974684</v>
      </c>
      <c r="N108" s="35">
        <v>0</v>
      </c>
      <c r="O108" s="35">
        <v>0</v>
      </c>
      <c r="P108" s="35">
        <v>188.99043037974684</v>
      </c>
      <c r="Q108" s="35">
        <v>0</v>
      </c>
      <c r="R108" s="35"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</row>
    <row r="109" spans="1:27" x14ac:dyDescent="0.25">
      <c r="A109" s="1" t="str">
        <v>San Marcos - Caj.25</v>
      </c>
      <c r="B109" s="1" t="str">
        <v>Tercera</v>
      </c>
      <c r="C109" s="2">
        <v>46287</v>
      </c>
      <c r="D109" s="9">
        <v>1791</v>
      </c>
      <c r="E109" s="51">
        <v>1.7337499999999999</v>
      </c>
      <c r="F109" s="35">
        <v>3105.1462499999998</v>
      </c>
      <c r="G109" s="1">
        <v>25</v>
      </c>
      <c r="H109" s="1">
        <v>71</v>
      </c>
      <c r="I109" s="1">
        <v>16</v>
      </c>
      <c r="J109" s="35" cm="1">
        <f t="array" ref="J109:AA109">_xlfn._xlws.FILTER(Formulas!$C$2:$T$149, ISNUMBER(MATCH(Formulas!$B$2:$B$149, A109, 0)),0) * F109</f>
        <v>209.94227704443014</v>
      </c>
      <c r="K109" s="35">
        <v>1248.6566858499677</v>
      </c>
      <c r="L109" s="35">
        <v>108.97003903734705</v>
      </c>
      <c r="M109" s="35">
        <v>109.96976416613008</v>
      </c>
      <c r="N109" s="35">
        <v>0</v>
      </c>
      <c r="O109" s="35">
        <v>0</v>
      </c>
      <c r="P109" s="35">
        <v>0</v>
      </c>
      <c r="Q109" s="35">
        <v>185.94887395363813</v>
      </c>
      <c r="R109" s="35">
        <v>1241.6586099484866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3.1051462499999998</v>
      </c>
      <c r="Y109" s="35">
        <v>0</v>
      </c>
      <c r="Z109" s="35">
        <v>0</v>
      </c>
      <c r="AA109" s="35">
        <v>0</v>
      </c>
    </row>
    <row r="110" spans="1:27" x14ac:dyDescent="0.25">
      <c r="A110" s="1" t="str">
        <v>San Martin</v>
      </c>
      <c r="B110" s="1" t="str">
        <v>Octubre</v>
      </c>
      <c r="C110" s="2">
        <v>46285</v>
      </c>
      <c r="D110" s="9">
        <v>3537</v>
      </c>
      <c r="E110" s="51">
        <v>1</v>
      </c>
      <c r="F110" s="35">
        <v>3537</v>
      </c>
      <c r="G110" s="1">
        <v>25</v>
      </c>
      <c r="H110" s="1">
        <v>141</v>
      </c>
      <c r="I110" s="1">
        <v>12</v>
      </c>
    </row>
    <row r="111" spans="1:27" x14ac:dyDescent="0.25">
      <c r="A111" s="1" t="str">
        <v>San Pablo</v>
      </c>
      <c r="B111" s="1" t="str">
        <v>Octubre / Noviembre / Diciembre</v>
      </c>
      <c r="C111" s="2">
        <v>46290</v>
      </c>
      <c r="D111" s="9">
        <v>3090</v>
      </c>
      <c r="E111" s="51">
        <v>1.22397</v>
      </c>
      <c r="F111" s="35">
        <v>3782.0673000000002</v>
      </c>
      <c r="G111" s="1">
        <v>35</v>
      </c>
      <c r="H111" s="1">
        <v>88</v>
      </c>
      <c r="I111" s="1">
        <v>10</v>
      </c>
    </row>
    <row r="112" spans="1:27" x14ac:dyDescent="0.25">
      <c r="A112" s="1" t="str">
        <v>San Pablo</v>
      </c>
      <c r="B112" s="1" t="str">
        <v>O.C.</v>
      </c>
      <c r="C112" s="2">
        <v>46283</v>
      </c>
      <c r="D112" s="9">
        <v>2394</v>
      </c>
      <c r="E112" s="51">
        <v>1</v>
      </c>
      <c r="F112" s="35">
        <v>2394</v>
      </c>
      <c r="G112" s="1">
        <v>40</v>
      </c>
      <c r="H112" s="1">
        <v>59</v>
      </c>
      <c r="I112" s="1">
        <v>34</v>
      </c>
    </row>
    <row r="113" spans="1:9" x14ac:dyDescent="0.25">
      <c r="A113" s="1" t="str">
        <v>San Pablo - Trigo</v>
      </c>
      <c r="B113" s="1" t="str">
        <v>Octubre / Noviembre / Diciembre</v>
      </c>
      <c r="C113" s="2">
        <v>46290</v>
      </c>
      <c r="D113" s="9">
        <v>3090</v>
      </c>
      <c r="E113" s="51">
        <v>0.33457999999999999</v>
      </c>
      <c r="F113" s="35">
        <v>1033.8522</v>
      </c>
      <c r="G113" s="1">
        <v>120</v>
      </c>
      <c r="H113" s="1">
        <v>25</v>
      </c>
      <c r="I113" s="1">
        <v>90</v>
      </c>
    </row>
    <row r="114" spans="1:9" x14ac:dyDescent="0.25">
      <c r="A114" s="1" t="str">
        <v>San Pedro</v>
      </c>
      <c r="B114" s="1" t="str">
        <v>Octubre</v>
      </c>
      <c r="C114" s="2">
        <v>46283</v>
      </c>
      <c r="D114" s="9">
        <v>1582</v>
      </c>
      <c r="E114" s="51">
        <v>1</v>
      </c>
      <c r="F114" s="35">
        <v>1582</v>
      </c>
      <c r="G114" s="1">
        <v>40</v>
      </c>
      <c r="H114" s="1">
        <v>39</v>
      </c>
      <c r="I114" s="1">
        <v>22</v>
      </c>
    </row>
    <row r="115" spans="1:9" x14ac:dyDescent="0.25">
      <c r="A115" s="1" t="str">
        <v>San Roque</v>
      </c>
      <c r="B115" s="1" t="str">
        <v>Octubre</v>
      </c>
      <c r="C115" s="2">
        <v>46290</v>
      </c>
      <c r="D115" s="9">
        <v>180.47200000000001</v>
      </c>
      <c r="E115" s="51">
        <v>1</v>
      </c>
      <c r="F115" s="35">
        <v>180.47200000000001</v>
      </c>
      <c r="G115" s="1">
        <v>50</v>
      </c>
      <c r="H115" s="1">
        <v>3</v>
      </c>
      <c r="I115" s="1">
        <v>30.472000000000008</v>
      </c>
    </row>
    <row r="116" spans="1:9" x14ac:dyDescent="0.25">
      <c r="A116" s="1" t="str">
        <v>San Roque</v>
      </c>
      <c r="B116" s="1" t="str">
        <v>Noviembre</v>
      </c>
      <c r="C116" s="2">
        <v>46290</v>
      </c>
      <c r="D116" s="9">
        <v>174.65</v>
      </c>
      <c r="E116" s="51">
        <v>1</v>
      </c>
      <c r="F116" s="35">
        <v>174.65</v>
      </c>
      <c r="G116" s="1">
        <v>50</v>
      </c>
      <c r="H116" s="1">
        <v>3</v>
      </c>
      <c r="I116" s="1">
        <v>24.650000000000006</v>
      </c>
    </row>
    <row r="117" spans="1:9" x14ac:dyDescent="0.25">
      <c r="A117" s="1" t="str">
        <v>San Roque</v>
      </c>
      <c r="B117" s="1" t="str">
        <v>Diciembre</v>
      </c>
      <c r="C117" s="2">
        <v>46290</v>
      </c>
      <c r="D117" s="9">
        <v>180.47200000000001</v>
      </c>
      <c r="E117" s="51">
        <v>1</v>
      </c>
      <c r="F117" s="35">
        <v>180.47200000000001</v>
      </c>
      <c r="G117" s="1">
        <v>50</v>
      </c>
      <c r="H117" s="1">
        <v>3</v>
      </c>
      <c r="I117" s="1">
        <v>30.472000000000008</v>
      </c>
    </row>
    <row r="118" spans="1:9" x14ac:dyDescent="0.25">
      <c r="A118" s="1" t="str">
        <v>Santa</v>
      </c>
      <c r="B118" s="1" t="str">
        <v>Octubre</v>
      </c>
      <c r="C118" s="2">
        <v>46290</v>
      </c>
      <c r="D118" s="9">
        <v>2308</v>
      </c>
      <c r="E118" s="51">
        <v>1</v>
      </c>
      <c r="F118" s="35">
        <v>2308</v>
      </c>
      <c r="G118" s="1">
        <v>40</v>
      </c>
      <c r="H118" s="1">
        <v>57</v>
      </c>
      <c r="I118" s="1">
        <v>28</v>
      </c>
    </row>
    <row r="119" spans="1:9" x14ac:dyDescent="0.25">
      <c r="A119" s="1" t="str">
        <v>Sarin</v>
      </c>
      <c r="B119" s="1" t="str">
        <v>Octubre</v>
      </c>
      <c r="C119" s="2">
        <v>46283</v>
      </c>
      <c r="D119" s="9">
        <v>1663</v>
      </c>
      <c r="E119" s="51">
        <v>1.4397500000000001</v>
      </c>
      <c r="F119" s="35">
        <v>2394.3042500000001</v>
      </c>
      <c r="G119" s="1">
        <v>30</v>
      </c>
      <c r="H119" s="1">
        <v>55</v>
      </c>
      <c r="I119" s="1">
        <v>13</v>
      </c>
    </row>
    <row r="120" spans="1:9" x14ac:dyDescent="0.25">
      <c r="A120" s="1" t="str">
        <v>Shanao - 25</v>
      </c>
      <c r="B120" s="1" t="str">
        <v>Octubre / Noviembre / Diciembre</v>
      </c>
      <c r="C120" s="2">
        <v>46291</v>
      </c>
      <c r="D120" s="9">
        <v>358</v>
      </c>
      <c r="E120" s="51">
        <v>1</v>
      </c>
      <c r="F120" s="35">
        <v>358</v>
      </c>
      <c r="G120" s="1">
        <v>50</v>
      </c>
      <c r="H120" s="1">
        <v>7</v>
      </c>
      <c r="I120" s="1">
        <v>8</v>
      </c>
    </row>
    <row r="121" spans="1:9" x14ac:dyDescent="0.25">
      <c r="A121" s="1" t="str">
        <v>Soloco</v>
      </c>
      <c r="B121" s="1" t="str">
        <v>O.C.</v>
      </c>
      <c r="C121" s="2">
        <v>46274</v>
      </c>
      <c r="D121" s="9">
        <v>400</v>
      </c>
      <c r="E121" s="51">
        <v>1</v>
      </c>
      <c r="F121" s="35">
        <v>400</v>
      </c>
      <c r="G121" s="1">
        <v>40</v>
      </c>
      <c r="H121" s="1">
        <v>10</v>
      </c>
      <c r="I121" s="1">
        <v>0</v>
      </c>
    </row>
    <row r="122" spans="1:9" x14ac:dyDescent="0.25">
      <c r="A122" s="1" t="str">
        <v>Supe</v>
      </c>
      <c r="B122" s="1" t="str">
        <v>Septiembre / Octubre</v>
      </c>
      <c r="C122" s="2">
        <v>46295</v>
      </c>
      <c r="D122" s="9">
        <v>2000</v>
      </c>
      <c r="E122" s="51">
        <v>0.76859999999999995</v>
      </c>
      <c r="F122" s="35">
        <v>1537.1999999999998</v>
      </c>
      <c r="G122" s="1">
        <v>50</v>
      </c>
      <c r="H122" s="1">
        <v>40</v>
      </c>
      <c r="I122" s="1">
        <v>0</v>
      </c>
    </row>
    <row r="123" spans="1:9" x14ac:dyDescent="0.25">
      <c r="A123" s="1" t="str">
        <v>Tantarica</v>
      </c>
      <c r="B123" s="1" t="str">
        <v>Octubre / Noviembre / Diciembre</v>
      </c>
      <c r="C123" s="2">
        <v>46287</v>
      </c>
      <c r="D123" s="9">
        <v>2674.57</v>
      </c>
      <c r="E123" s="51">
        <v>0.85167000000000004</v>
      </c>
      <c r="F123" s="35">
        <v>2277.8510319000002</v>
      </c>
      <c r="G123" s="1">
        <v>50</v>
      </c>
      <c r="H123" s="1">
        <v>53</v>
      </c>
      <c r="I123" s="1">
        <v>24.570000000000164</v>
      </c>
    </row>
    <row r="124" spans="1:9" x14ac:dyDescent="0.25">
      <c r="A124" s="1" t="str">
        <v>Taurija</v>
      </c>
      <c r="B124" s="1" t="str">
        <v>Octubre</v>
      </c>
      <c r="C124" s="2">
        <v>46295</v>
      </c>
      <c r="D124" s="9">
        <v>450</v>
      </c>
      <c r="E124" s="51">
        <v>0.74463999999999997</v>
      </c>
      <c r="F124" s="35">
        <v>335.08799999999997</v>
      </c>
      <c r="G124" s="1">
        <v>60</v>
      </c>
      <c r="H124" s="1">
        <v>7</v>
      </c>
      <c r="I124" s="1">
        <v>30</v>
      </c>
    </row>
    <row r="125" spans="1:9" x14ac:dyDescent="0.25">
      <c r="A125" s="1" t="str">
        <v>Taurija</v>
      </c>
      <c r="B125" s="1" t="str">
        <v>Noviembre</v>
      </c>
      <c r="C125" s="2">
        <v>46295</v>
      </c>
      <c r="D125" s="9">
        <v>450</v>
      </c>
      <c r="E125" s="51">
        <v>0.74463999999999997</v>
      </c>
      <c r="F125" s="35">
        <v>335.08799999999997</v>
      </c>
      <c r="G125" s="1">
        <v>60</v>
      </c>
      <c r="H125" s="1">
        <v>7</v>
      </c>
      <c r="I125" s="1">
        <v>30</v>
      </c>
    </row>
    <row r="126" spans="1:9" x14ac:dyDescent="0.25">
      <c r="A126" s="1" t="str">
        <v>Taurija</v>
      </c>
      <c r="B126" s="1" t="str">
        <v>Diciembre</v>
      </c>
      <c r="C126" s="2">
        <v>46295</v>
      </c>
      <c r="D126" s="9">
        <v>450</v>
      </c>
      <c r="E126" s="51">
        <v>0.74463999999999997</v>
      </c>
      <c r="F126" s="35">
        <v>335.08799999999997</v>
      </c>
      <c r="G126" s="1">
        <v>60</v>
      </c>
      <c r="H126" s="1">
        <v>7</v>
      </c>
      <c r="I126" s="1">
        <v>30</v>
      </c>
    </row>
    <row r="127" spans="1:9" x14ac:dyDescent="0.25">
      <c r="A127" s="1" t="str">
        <v>Totora</v>
      </c>
      <c r="B127" s="1" t="str">
        <v>O.C.</v>
      </c>
      <c r="C127" s="2">
        <v>46274</v>
      </c>
      <c r="D127" s="9">
        <v>146</v>
      </c>
      <c r="E127" s="51">
        <v>1</v>
      </c>
      <c r="F127" s="35">
        <v>146</v>
      </c>
      <c r="G127" s="1">
        <v>40</v>
      </c>
      <c r="H127" s="1">
        <v>3</v>
      </c>
      <c r="I127" s="1">
        <v>26</v>
      </c>
    </row>
    <row r="128" spans="1:9" x14ac:dyDescent="0.25">
      <c r="A128" s="1" t="str">
        <v>Trujillo</v>
      </c>
      <c r="B128" s="1" t="str">
        <v>Agosto</v>
      </c>
      <c r="C128" s="2">
        <v>46266</v>
      </c>
      <c r="D128" s="9">
        <v>10802.3</v>
      </c>
      <c r="E128" s="51">
        <v>1</v>
      </c>
      <c r="F128" s="35">
        <v>10802.3</v>
      </c>
      <c r="G128" s="1">
        <v>40</v>
      </c>
      <c r="H128" s="1">
        <v>270</v>
      </c>
      <c r="I128" s="1">
        <v>2.2999999999992724</v>
      </c>
    </row>
    <row r="129" spans="1:9" x14ac:dyDescent="0.25">
      <c r="A129" s="1" t="str">
        <v>Trujillo</v>
      </c>
      <c r="B129" s="1" t="str">
        <v>Setiembre</v>
      </c>
      <c r="C129" s="2">
        <v>46266</v>
      </c>
      <c r="D129" s="9">
        <v>10802.3</v>
      </c>
      <c r="E129" s="51">
        <v>1</v>
      </c>
      <c r="F129" s="35">
        <v>10802.3</v>
      </c>
      <c r="G129" s="1">
        <v>40</v>
      </c>
      <c r="H129" s="1">
        <v>270</v>
      </c>
      <c r="I129" s="1">
        <v>2.2999999999992724</v>
      </c>
    </row>
    <row r="130" spans="1:9" x14ac:dyDescent="0.25">
      <c r="A130" s="1" t="str">
        <v>Trujillo</v>
      </c>
      <c r="B130" s="1" t="str">
        <v>Octubre</v>
      </c>
      <c r="C130" s="2">
        <v>46266</v>
      </c>
      <c r="D130" s="9">
        <v>10454</v>
      </c>
      <c r="E130" s="51">
        <v>1</v>
      </c>
      <c r="F130" s="35">
        <v>10454</v>
      </c>
      <c r="G130" s="1">
        <v>40</v>
      </c>
      <c r="H130" s="1">
        <v>261</v>
      </c>
      <c r="I130" s="1">
        <v>14</v>
      </c>
    </row>
    <row r="131" spans="1:9" x14ac:dyDescent="0.25">
      <c r="A131" s="1" t="str">
        <v>Tumbaden</v>
      </c>
      <c r="B131" s="1" t="str">
        <v>Octubre / Noviembre / Diciembre</v>
      </c>
      <c r="C131" s="2">
        <v>46293</v>
      </c>
      <c r="D131" s="9">
        <v>6898.9179999999997</v>
      </c>
      <c r="E131" s="51">
        <v>0.5</v>
      </c>
      <c r="F131" s="35">
        <v>3449.4589999999998</v>
      </c>
      <c r="G131" s="1">
        <v>80</v>
      </c>
      <c r="H131" s="1">
        <v>86</v>
      </c>
      <c r="I131" s="1">
        <v>18.917999999999665</v>
      </c>
    </row>
    <row r="132" spans="1:9" x14ac:dyDescent="0.25">
      <c r="A132" s="1" t="str">
        <v>Urpay</v>
      </c>
      <c r="B132" s="1" t="str">
        <v>Octubre / Noviembre / Diciembre</v>
      </c>
      <c r="C132" s="2">
        <v>46288</v>
      </c>
      <c r="D132" s="9">
        <v>1316.13</v>
      </c>
      <c r="E132" s="51">
        <v>1</v>
      </c>
      <c r="F132" s="35">
        <v>1316.13</v>
      </c>
      <c r="G132" s="1">
        <v>40</v>
      </c>
      <c r="H132" s="1">
        <v>32</v>
      </c>
      <c r="I132" s="1">
        <v>36.130000000000109</v>
      </c>
    </row>
    <row r="133" spans="1:9" x14ac:dyDescent="0.25">
      <c r="A133" s="1" t="str">
        <v>Vapa</v>
      </c>
      <c r="B133" s="1" t="str">
        <v>O.C.</v>
      </c>
      <c r="C133" s="2">
        <v>46282</v>
      </c>
      <c r="D133" s="9">
        <v>30000</v>
      </c>
      <c r="E133" s="51">
        <v>1</v>
      </c>
      <c r="F133" s="35">
        <v>30000</v>
      </c>
      <c r="G133" s="1">
        <v>50</v>
      </c>
      <c r="H133" s="1">
        <v>600</v>
      </c>
      <c r="I133" s="1">
        <v>0</v>
      </c>
    </row>
    <row r="134" spans="1:9" x14ac:dyDescent="0.25">
      <c r="A134" s="1" t="str">
        <v>Victor Larco</v>
      </c>
      <c r="B134" s="1" t="str">
        <v>Octubre</v>
      </c>
      <c r="C134" s="2">
        <v>46292</v>
      </c>
      <c r="D134" s="9">
        <v>2630</v>
      </c>
      <c r="E134" s="51">
        <v>1</v>
      </c>
      <c r="F134" s="35">
        <v>2630</v>
      </c>
      <c r="G134" s="1">
        <v>40</v>
      </c>
      <c r="H134" s="1">
        <v>65</v>
      </c>
      <c r="I134" s="1">
        <v>30</v>
      </c>
    </row>
    <row r="135" spans="1:9" x14ac:dyDescent="0.25">
      <c r="A135" s="1" t="str">
        <v>Viru</v>
      </c>
      <c r="B135" s="1" t="str">
        <v>Octubre</v>
      </c>
      <c r="C135" s="2">
        <v>46290</v>
      </c>
      <c r="D135" s="9">
        <v>3040</v>
      </c>
      <c r="E135" s="51">
        <v>1</v>
      </c>
      <c r="F135" s="35">
        <v>3040</v>
      </c>
      <c r="G135" s="1">
        <v>40</v>
      </c>
      <c r="H135" s="1">
        <v>76</v>
      </c>
      <c r="I135" s="1">
        <v>0</v>
      </c>
    </row>
    <row r="136" spans="1:9" x14ac:dyDescent="0.25">
      <c r="A136" s="1" t="str">
        <v>Yautan</v>
      </c>
      <c r="B136" s="1" t="str">
        <v>Octubre / Noviembre / Diciembre</v>
      </c>
      <c r="C136" s="2">
        <v>46295</v>
      </c>
      <c r="D136" s="9">
        <v>1989</v>
      </c>
      <c r="E136" s="51">
        <v>1.5</v>
      </c>
      <c r="F136" s="35">
        <v>2983.5</v>
      </c>
      <c r="G136" s="1">
        <v>30</v>
      </c>
      <c r="H136" s="1">
        <v>66</v>
      </c>
      <c r="I136" s="1">
        <v>9</v>
      </c>
    </row>
    <row r="137" spans="1:9" x14ac:dyDescent="0.25">
      <c r="A137" s="1" t="str">
        <v>Zapatero</v>
      </c>
      <c r="B137" s="1" t="str">
        <v>O.C.</v>
      </c>
      <c r="C137" s="2">
        <v>46281</v>
      </c>
      <c r="D137" s="9">
        <v>702</v>
      </c>
      <c r="E137" s="51">
        <v>1</v>
      </c>
      <c r="F137" s="35">
        <v>702</v>
      </c>
      <c r="G137" s="1">
        <v>50</v>
      </c>
      <c r="H137" s="1">
        <v>14</v>
      </c>
      <c r="I137" s="1">
        <v>2</v>
      </c>
    </row>
    <row r="138" spans="1:9" x14ac:dyDescent="0.25">
      <c r="A138" s="1" t="str">
        <v>Zapatero</v>
      </c>
      <c r="B138" s="1" t="str">
        <v>Octubre</v>
      </c>
      <c r="C138" s="2">
        <v>46286</v>
      </c>
      <c r="D138" s="9">
        <v>930</v>
      </c>
      <c r="E138" s="51">
        <v>1</v>
      </c>
      <c r="F138" s="35">
        <v>930</v>
      </c>
      <c r="G138" s="1">
        <v>50</v>
      </c>
      <c r="H138" s="1">
        <v>18</v>
      </c>
      <c r="I138" s="1">
        <v>30</v>
      </c>
    </row>
  </sheetData>
  <mergeCells count="1">
    <mergeCell ref="A2:D2"/>
  </mergeCells>
  <pageMargins left="0.7" right="0.7" top="0.75" bottom="0.75" header="0.3" footer="0.3"/>
  <pageSetup paperSize="9" scale="27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A12C0C-419F-4DEB-B7B4-5CB70E69E49E}">
          <x14:formula1>
            <xm:f>Calculo!$B$24:$B$35</xm:f>
          </x14:formula1>
          <xm:sqref>E2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E58A-E756-441F-B3CF-5EF0521AC242}">
  <dimension ref="A3:B1828"/>
  <sheetViews>
    <sheetView workbookViewId="0">
      <selection activeCell="B11" sqref="B11"/>
    </sheetView>
  </sheetViews>
  <sheetFormatPr baseColWidth="10" defaultColWidth="10.7109375" defaultRowHeight="15" x14ac:dyDescent="0.25"/>
  <cols>
    <col min="1" max="1" width="49.28515625" bestFit="1" customWidth="1"/>
    <col min="2" max="2" width="17.85546875" bestFit="1" customWidth="1"/>
    <col min="3" max="3" width="8" bestFit="1" customWidth="1"/>
    <col min="4" max="4" width="7" bestFit="1" customWidth="1"/>
    <col min="5" max="5" width="6" bestFit="1" customWidth="1"/>
    <col min="6" max="6" width="4" bestFit="1" customWidth="1"/>
    <col min="7" max="7" width="9" bestFit="1" customWidth="1"/>
    <col min="8" max="9" width="8" bestFit="1" customWidth="1"/>
    <col min="10" max="10" width="5" bestFit="1" customWidth="1"/>
    <col min="11" max="11" width="8" bestFit="1" customWidth="1"/>
    <col min="12" max="12" width="6" bestFit="1" customWidth="1"/>
    <col min="13" max="13" width="9" bestFit="1" customWidth="1"/>
    <col min="14" max="14" width="5" bestFit="1" customWidth="1"/>
    <col min="15" max="15" width="8" bestFit="1" customWidth="1"/>
    <col min="16" max="16" width="5" bestFit="1" customWidth="1"/>
    <col min="17" max="17" width="9" bestFit="1" customWidth="1"/>
    <col min="18" max="18" width="8" bestFit="1" customWidth="1"/>
    <col min="19" max="19" width="7" bestFit="1" customWidth="1"/>
    <col min="20" max="20" width="6" bestFit="1" customWidth="1"/>
    <col min="21" max="21" width="8" bestFit="1" customWidth="1"/>
    <col min="22" max="22" width="4" bestFit="1" customWidth="1"/>
    <col min="23" max="23" width="7" bestFit="1" customWidth="1"/>
    <col min="24" max="24" width="5" bestFit="1" customWidth="1"/>
    <col min="25" max="26" width="8" bestFit="1" customWidth="1"/>
    <col min="27" max="27" width="5" bestFit="1" customWidth="1"/>
    <col min="28" max="28" width="8" bestFit="1" customWidth="1"/>
    <col min="29" max="29" width="10" bestFit="1" customWidth="1"/>
    <col min="30" max="30" width="6" bestFit="1" customWidth="1"/>
    <col min="31" max="31" width="4" bestFit="1" customWidth="1"/>
    <col min="32" max="34" width="7" bestFit="1" customWidth="1"/>
    <col min="35" max="35" width="8" bestFit="1" customWidth="1"/>
    <col min="36" max="36" width="5" bestFit="1" customWidth="1"/>
    <col min="37" max="37" width="11" bestFit="1" customWidth="1"/>
    <col min="38" max="38" width="6" bestFit="1" customWidth="1"/>
    <col min="39" max="39" width="8" bestFit="1" customWidth="1"/>
    <col min="40" max="40" width="5" bestFit="1" customWidth="1"/>
    <col min="41" max="41" width="8" bestFit="1" customWidth="1"/>
    <col min="42" max="42" width="7" bestFit="1" customWidth="1"/>
    <col min="43" max="44" width="8" bestFit="1" customWidth="1"/>
    <col min="45" max="45" width="5" bestFit="1" customWidth="1"/>
    <col min="46" max="46" width="2" bestFit="1" customWidth="1"/>
    <col min="47" max="48" width="7" bestFit="1" customWidth="1"/>
    <col min="49" max="50" width="6" bestFit="1" customWidth="1"/>
    <col min="51" max="52" width="7" bestFit="1" customWidth="1"/>
    <col min="53" max="53" width="5" bestFit="1" customWidth="1"/>
    <col min="54" max="55" width="9" bestFit="1" customWidth="1"/>
    <col min="56" max="56" width="5" bestFit="1" customWidth="1"/>
    <col min="57" max="57" width="6" bestFit="1" customWidth="1"/>
    <col min="58" max="58" width="8" bestFit="1" customWidth="1"/>
    <col min="59" max="59" width="4" bestFit="1" customWidth="1"/>
    <col min="60" max="60" width="7" bestFit="1" customWidth="1"/>
    <col min="61" max="61" width="8" bestFit="1" customWidth="1"/>
    <col min="62" max="62" width="9" bestFit="1" customWidth="1"/>
    <col min="63" max="63" width="8" bestFit="1" customWidth="1"/>
    <col min="64" max="65" width="5" bestFit="1" customWidth="1"/>
    <col min="66" max="66" width="11" bestFit="1" customWidth="1"/>
    <col min="67" max="67" width="8" bestFit="1" customWidth="1"/>
    <col min="68" max="68" width="5" bestFit="1" customWidth="1"/>
    <col min="69" max="69" width="6" bestFit="1" customWidth="1"/>
    <col min="70" max="71" width="5" bestFit="1" customWidth="1"/>
    <col min="72" max="72" width="6" bestFit="1" customWidth="1"/>
    <col min="73" max="73" width="8" bestFit="1" customWidth="1"/>
    <col min="74" max="75" width="6" bestFit="1" customWidth="1"/>
    <col min="76" max="77" width="7" bestFit="1" customWidth="1"/>
    <col min="78" max="79" width="8" bestFit="1" customWidth="1"/>
    <col min="80" max="80" width="7" bestFit="1" customWidth="1"/>
    <col min="81" max="81" width="5" bestFit="1" customWidth="1"/>
    <col min="82" max="83" width="8" bestFit="1" customWidth="1"/>
    <col min="84" max="84" width="4" bestFit="1" customWidth="1"/>
    <col min="85" max="86" width="8" bestFit="1" customWidth="1"/>
    <col min="87" max="87" width="7" bestFit="1" customWidth="1"/>
    <col min="88" max="88" width="6" bestFit="1" customWidth="1"/>
    <col min="89" max="89" width="7" bestFit="1" customWidth="1"/>
    <col min="90" max="90" width="5" bestFit="1" customWidth="1"/>
    <col min="91" max="92" width="6" bestFit="1" customWidth="1"/>
    <col min="93" max="93" width="7" bestFit="1" customWidth="1"/>
    <col min="94" max="95" width="6" bestFit="1" customWidth="1"/>
    <col min="96" max="96" width="10" bestFit="1" customWidth="1"/>
    <col min="97" max="97" width="8" bestFit="1" customWidth="1"/>
    <col min="98" max="100" width="5" bestFit="1" customWidth="1"/>
    <col min="101" max="103" width="8" bestFit="1" customWidth="1"/>
    <col min="104" max="104" width="6" bestFit="1" customWidth="1"/>
    <col min="105" max="105" width="8" bestFit="1" customWidth="1"/>
    <col min="106" max="106" width="5" bestFit="1" customWidth="1"/>
    <col min="107" max="107" width="6" bestFit="1" customWidth="1"/>
    <col min="108" max="108" width="5" bestFit="1" customWidth="1"/>
    <col min="109" max="109" width="8" bestFit="1" customWidth="1"/>
    <col min="110" max="110" width="7" bestFit="1" customWidth="1"/>
    <col min="111" max="111" width="5" bestFit="1" customWidth="1"/>
    <col min="112" max="113" width="7" bestFit="1" customWidth="1"/>
    <col min="114" max="114" width="5" bestFit="1" customWidth="1"/>
    <col min="115" max="115" width="8" bestFit="1" customWidth="1"/>
    <col min="116" max="116" width="5" bestFit="1" customWidth="1"/>
    <col min="117" max="117" width="4" bestFit="1" customWidth="1"/>
    <col min="118" max="118" width="5" bestFit="1" customWidth="1"/>
    <col min="119" max="119" width="12.5703125" bestFit="1" customWidth="1"/>
    <col min="120" max="121" width="10.7109375" bestFit="1" customWidth="1"/>
    <col min="122" max="122" width="10.140625" bestFit="1" customWidth="1"/>
    <col min="123" max="125" width="9.7109375" bestFit="1" customWidth="1"/>
    <col min="126" max="142" width="10.7109375" bestFit="1" customWidth="1"/>
    <col min="143" max="143" width="10.140625" bestFit="1" customWidth="1"/>
    <col min="144" max="144" width="9.7109375" bestFit="1" customWidth="1"/>
    <col min="145" max="145" width="10.140625" bestFit="1" customWidth="1"/>
    <col min="146" max="146" width="9.7109375" bestFit="1" customWidth="1"/>
    <col min="147" max="149" width="10.140625" bestFit="1" customWidth="1"/>
    <col min="150" max="167" width="10.7109375" bestFit="1" customWidth="1"/>
    <col min="168" max="168" width="10.140625" bestFit="1" customWidth="1"/>
    <col min="169" max="172" width="9.7109375" bestFit="1" customWidth="1"/>
    <col min="173" max="176" width="10.140625" bestFit="1" customWidth="1"/>
    <col min="177" max="196" width="10.7109375" bestFit="1" customWidth="1"/>
    <col min="197" max="197" width="9.7109375" bestFit="1" customWidth="1"/>
    <col min="198" max="198" width="10.140625" bestFit="1" customWidth="1"/>
    <col min="199" max="201" width="9.7109375" bestFit="1" customWidth="1"/>
    <col min="202" max="202" width="10.140625" bestFit="1" customWidth="1"/>
    <col min="203" max="204" width="9.7109375" bestFit="1" customWidth="1"/>
    <col min="205" max="222" width="10.7109375" bestFit="1" customWidth="1"/>
    <col min="223" max="223" width="10.140625" bestFit="1" customWidth="1"/>
    <col min="224" max="224" width="9.7109375" bestFit="1" customWidth="1"/>
    <col min="225" max="225" width="10.140625" bestFit="1" customWidth="1"/>
    <col min="226" max="228" width="9.7109375" bestFit="1" customWidth="1"/>
    <col min="229" max="229" width="10.140625" bestFit="1" customWidth="1"/>
    <col min="230" max="231" width="10.7109375" bestFit="1" customWidth="1"/>
    <col min="232" max="232" width="11.140625" bestFit="1" customWidth="1"/>
    <col min="233" max="233" width="12.7109375" bestFit="1" customWidth="1"/>
    <col min="234" max="336" width="22.42578125" bestFit="1" customWidth="1"/>
    <col min="337" max="337" width="12.5703125" bestFit="1" customWidth="1"/>
  </cols>
  <sheetData>
    <row r="3" spans="1:2" x14ac:dyDescent="0.25">
      <c r="A3" s="128" t="s">
        <v>539</v>
      </c>
      <c r="B3" t="s">
        <v>540</v>
      </c>
    </row>
    <row r="4" spans="1:2" x14ac:dyDescent="0.25">
      <c r="A4" s="130" t="s">
        <v>15</v>
      </c>
      <c r="B4">
        <v>15.311160000000003</v>
      </c>
    </row>
    <row r="5" spans="1:2" x14ac:dyDescent="0.25">
      <c r="A5" s="129" t="s">
        <v>541</v>
      </c>
      <c r="B5">
        <v>15.311160000000003</v>
      </c>
    </row>
    <row r="6" spans="1:2" x14ac:dyDescent="0.25">
      <c r="A6" s="131" t="s">
        <v>16</v>
      </c>
      <c r="B6">
        <v>1.27593</v>
      </c>
    </row>
    <row r="7" spans="1:2" x14ac:dyDescent="0.25">
      <c r="A7" s="131" t="s">
        <v>18</v>
      </c>
      <c r="B7">
        <v>1.27593</v>
      </c>
    </row>
    <row r="8" spans="1:2" x14ac:dyDescent="0.25">
      <c r="A8" s="131" t="s">
        <v>19</v>
      </c>
      <c r="B8">
        <v>1.27593</v>
      </c>
    </row>
    <row r="9" spans="1:2" x14ac:dyDescent="0.25">
      <c r="A9" s="131" t="s">
        <v>20</v>
      </c>
      <c r="B9">
        <v>1.27593</v>
      </c>
    </row>
    <row r="10" spans="1:2" x14ac:dyDescent="0.25">
      <c r="A10" s="131" t="s">
        <v>21</v>
      </c>
      <c r="B10">
        <v>1.27593</v>
      </c>
    </row>
    <row r="11" spans="1:2" x14ac:dyDescent="0.25">
      <c r="A11" s="131" t="s">
        <v>22</v>
      </c>
      <c r="B11">
        <v>1.27593</v>
      </c>
    </row>
    <row r="12" spans="1:2" x14ac:dyDescent="0.25">
      <c r="A12" s="131" t="s">
        <v>23</v>
      </c>
      <c r="B12">
        <v>1.27593</v>
      </c>
    </row>
    <row r="13" spans="1:2" x14ac:dyDescent="0.25">
      <c r="A13" s="131" t="s">
        <v>24</v>
      </c>
      <c r="B13">
        <v>1.27593</v>
      </c>
    </row>
    <row r="14" spans="1:2" x14ac:dyDescent="0.25">
      <c r="A14" s="131" t="s">
        <v>25</v>
      </c>
      <c r="B14">
        <v>1.27593</v>
      </c>
    </row>
    <row r="15" spans="1:2" x14ac:dyDescent="0.25">
      <c r="A15" s="131" t="s">
        <v>26</v>
      </c>
      <c r="B15">
        <v>1.27593</v>
      </c>
    </row>
    <row r="16" spans="1:2" x14ac:dyDescent="0.25">
      <c r="A16" s="131" t="s">
        <v>27</v>
      </c>
      <c r="B16">
        <v>1.27593</v>
      </c>
    </row>
    <row r="17" spans="1:2" x14ac:dyDescent="0.25">
      <c r="A17" s="131" t="s">
        <v>28</v>
      </c>
      <c r="B17">
        <v>1.27593</v>
      </c>
    </row>
    <row r="18" spans="1:2" x14ac:dyDescent="0.25">
      <c r="A18" s="130" t="s">
        <v>29</v>
      </c>
      <c r="B18">
        <v>11</v>
      </c>
    </row>
    <row r="19" spans="1:2" x14ac:dyDescent="0.25">
      <c r="A19" s="129" t="s">
        <v>541</v>
      </c>
      <c r="B19">
        <v>11</v>
      </c>
    </row>
    <row r="20" spans="1:2" x14ac:dyDescent="0.25">
      <c r="A20" s="131" t="s">
        <v>19</v>
      </c>
      <c r="B20">
        <v>1</v>
      </c>
    </row>
    <row r="21" spans="1:2" x14ac:dyDescent="0.25">
      <c r="A21" s="131" t="s">
        <v>20</v>
      </c>
      <c r="B21">
        <v>1</v>
      </c>
    </row>
    <row r="22" spans="1:2" x14ac:dyDescent="0.25">
      <c r="A22" s="131" t="s">
        <v>21</v>
      </c>
      <c r="B22">
        <v>1</v>
      </c>
    </row>
    <row r="23" spans="1:2" x14ac:dyDescent="0.25">
      <c r="A23" s="131" t="s">
        <v>22</v>
      </c>
      <c r="B23">
        <v>1</v>
      </c>
    </row>
    <row r="24" spans="1:2" x14ac:dyDescent="0.25">
      <c r="A24" s="131" t="s">
        <v>23</v>
      </c>
      <c r="B24">
        <v>1</v>
      </c>
    </row>
    <row r="25" spans="1:2" x14ac:dyDescent="0.25">
      <c r="A25" s="131" t="s">
        <v>24</v>
      </c>
      <c r="B25">
        <v>1</v>
      </c>
    </row>
    <row r="26" spans="1:2" x14ac:dyDescent="0.25">
      <c r="A26" s="131" t="s">
        <v>25</v>
      </c>
      <c r="B26">
        <v>1</v>
      </c>
    </row>
    <row r="27" spans="1:2" x14ac:dyDescent="0.25">
      <c r="A27" s="131" t="s">
        <v>26</v>
      </c>
      <c r="B27">
        <v>1</v>
      </c>
    </row>
    <row r="28" spans="1:2" x14ac:dyDescent="0.25">
      <c r="A28" s="131" t="s">
        <v>27</v>
      </c>
      <c r="B28">
        <v>1</v>
      </c>
    </row>
    <row r="29" spans="1:2" x14ac:dyDescent="0.25">
      <c r="A29" s="131" t="s">
        <v>28</v>
      </c>
      <c r="B29">
        <v>1</v>
      </c>
    </row>
    <row r="30" spans="1:2" x14ac:dyDescent="0.25">
      <c r="A30" s="131" t="s">
        <v>30</v>
      </c>
      <c r="B30">
        <v>1</v>
      </c>
    </row>
    <row r="31" spans="1:2" x14ac:dyDescent="0.25">
      <c r="A31" s="132">
        <v>46052</v>
      </c>
      <c r="B31">
        <v>1</v>
      </c>
    </row>
    <row r="32" spans="1:2" x14ac:dyDescent="0.25">
      <c r="A32" s="130" t="s">
        <v>32</v>
      </c>
      <c r="B32">
        <v>12.602639999999999</v>
      </c>
    </row>
    <row r="33" spans="1:2" x14ac:dyDescent="0.25">
      <c r="A33" s="129" t="s">
        <v>541</v>
      </c>
      <c r="B33">
        <v>10.699719999999999</v>
      </c>
    </row>
    <row r="34" spans="1:2" x14ac:dyDescent="0.25">
      <c r="A34" s="131" t="s">
        <v>20</v>
      </c>
      <c r="B34">
        <v>0.95145999999999997</v>
      </c>
    </row>
    <row r="35" spans="1:2" x14ac:dyDescent="0.25">
      <c r="A35" s="131" t="s">
        <v>21</v>
      </c>
      <c r="B35">
        <v>0.95145999999999997</v>
      </c>
    </row>
    <row r="36" spans="1:2" x14ac:dyDescent="0.25">
      <c r="A36" s="131" t="s">
        <v>22</v>
      </c>
      <c r="B36">
        <v>0.95145999999999997</v>
      </c>
    </row>
    <row r="37" spans="1:2" x14ac:dyDescent="0.25">
      <c r="A37" s="131" t="s">
        <v>23</v>
      </c>
      <c r="B37">
        <v>0.95145999999999997</v>
      </c>
    </row>
    <row r="38" spans="1:2" x14ac:dyDescent="0.25">
      <c r="A38" s="131" t="s">
        <v>24</v>
      </c>
      <c r="B38">
        <v>0.95145999999999997</v>
      </c>
    </row>
    <row r="39" spans="1:2" x14ac:dyDescent="0.25">
      <c r="A39" s="131" t="s">
        <v>25</v>
      </c>
      <c r="B39">
        <v>0.95145999999999997</v>
      </c>
    </row>
    <row r="40" spans="1:2" x14ac:dyDescent="0.25">
      <c r="A40" s="131" t="s">
        <v>26</v>
      </c>
      <c r="B40">
        <v>0.95145999999999997</v>
      </c>
    </row>
    <row r="41" spans="1:2" x14ac:dyDescent="0.25">
      <c r="A41" s="131" t="s">
        <v>27</v>
      </c>
      <c r="B41">
        <v>0.95145999999999997</v>
      </c>
    </row>
    <row r="42" spans="1:2" x14ac:dyDescent="0.25">
      <c r="A42" s="131" t="s">
        <v>28</v>
      </c>
      <c r="B42">
        <v>0.95145999999999997</v>
      </c>
    </row>
    <row r="43" spans="1:2" x14ac:dyDescent="0.25">
      <c r="A43" s="131" t="s">
        <v>30</v>
      </c>
      <c r="B43">
        <v>1.18512</v>
      </c>
    </row>
    <row r="44" spans="1:2" x14ac:dyDescent="0.25">
      <c r="A44" s="132">
        <v>46265</v>
      </c>
      <c r="B44">
        <v>1.18512</v>
      </c>
    </row>
    <row r="45" spans="1:2" x14ac:dyDescent="0.25">
      <c r="A45" s="133">
        <v>46388</v>
      </c>
      <c r="B45">
        <v>0.95145999999999997</v>
      </c>
    </row>
    <row r="46" spans="1:2" x14ac:dyDescent="0.25">
      <c r="A46" s="132">
        <v>46387</v>
      </c>
      <c r="B46">
        <v>0.95145999999999997</v>
      </c>
    </row>
    <row r="47" spans="1:2" x14ac:dyDescent="0.25">
      <c r="A47" s="129" t="s">
        <v>542</v>
      </c>
      <c r="B47">
        <v>1.9029199999999999</v>
      </c>
    </row>
    <row r="48" spans="1:2" x14ac:dyDescent="0.25">
      <c r="A48" s="130" t="s">
        <v>34</v>
      </c>
      <c r="B48">
        <v>3.1120000000000001</v>
      </c>
    </row>
    <row r="49" spans="1:2" x14ac:dyDescent="0.25">
      <c r="A49" s="129" t="s">
        <v>541</v>
      </c>
      <c r="B49">
        <v>3.1120000000000001</v>
      </c>
    </row>
    <row r="50" spans="1:2" x14ac:dyDescent="0.25">
      <c r="A50" s="131" t="s">
        <v>37</v>
      </c>
      <c r="B50">
        <v>0.77800000000000002</v>
      </c>
    </row>
    <row r="51" spans="1:2" x14ac:dyDescent="0.25">
      <c r="A51" s="132">
        <v>46096</v>
      </c>
      <c r="B51">
        <v>0.77800000000000002</v>
      </c>
    </row>
    <row r="52" spans="1:2" x14ac:dyDescent="0.25">
      <c r="A52" s="131" t="s">
        <v>35</v>
      </c>
      <c r="B52">
        <v>0.77800000000000002</v>
      </c>
    </row>
    <row r="53" spans="1:2" x14ac:dyDescent="0.25">
      <c r="A53" s="132">
        <v>46037</v>
      </c>
      <c r="B53">
        <v>0.77800000000000002</v>
      </c>
    </row>
    <row r="54" spans="1:2" x14ac:dyDescent="0.25">
      <c r="A54" s="131" t="s">
        <v>38</v>
      </c>
      <c r="B54">
        <v>0.77800000000000002</v>
      </c>
    </row>
    <row r="55" spans="1:2" x14ac:dyDescent="0.25">
      <c r="A55" s="132">
        <v>46188</v>
      </c>
      <c r="B55">
        <v>0.77800000000000002</v>
      </c>
    </row>
    <row r="56" spans="1:2" x14ac:dyDescent="0.25">
      <c r="A56" s="131" t="s">
        <v>39</v>
      </c>
      <c r="B56">
        <v>0.77800000000000002</v>
      </c>
    </row>
    <row r="57" spans="1:2" x14ac:dyDescent="0.25">
      <c r="A57" s="132">
        <v>46280</v>
      </c>
      <c r="B57">
        <v>0.77800000000000002</v>
      </c>
    </row>
    <row r="58" spans="1:2" x14ac:dyDescent="0.25">
      <c r="A58" s="130" t="s">
        <v>40</v>
      </c>
      <c r="B58">
        <v>6.13</v>
      </c>
    </row>
    <row r="59" spans="1:2" x14ac:dyDescent="0.25">
      <c r="A59" s="129" t="s">
        <v>541</v>
      </c>
      <c r="B59">
        <v>6.13</v>
      </c>
    </row>
    <row r="60" spans="1:2" x14ac:dyDescent="0.25">
      <c r="A60" s="131" t="s">
        <v>41</v>
      </c>
      <c r="B60">
        <v>1</v>
      </c>
    </row>
    <row r="61" spans="1:2" x14ac:dyDescent="0.25">
      <c r="A61" s="132">
        <v>46097</v>
      </c>
      <c r="B61">
        <v>1</v>
      </c>
    </row>
    <row r="62" spans="1:2" x14ac:dyDescent="0.25">
      <c r="A62" s="131" t="s">
        <v>44</v>
      </c>
      <c r="B62">
        <v>1</v>
      </c>
    </row>
    <row r="63" spans="1:2" x14ac:dyDescent="0.25">
      <c r="A63" s="132">
        <v>46181</v>
      </c>
      <c r="B63">
        <v>1</v>
      </c>
    </row>
    <row r="64" spans="1:2" x14ac:dyDescent="0.25">
      <c r="A64" s="131" t="s">
        <v>43</v>
      </c>
      <c r="B64">
        <v>1</v>
      </c>
    </row>
    <row r="65" spans="1:2" x14ac:dyDescent="0.25">
      <c r="A65" s="132">
        <v>46133</v>
      </c>
      <c r="B65">
        <v>1</v>
      </c>
    </row>
    <row r="66" spans="1:2" x14ac:dyDescent="0.25">
      <c r="A66" s="131" t="s">
        <v>46</v>
      </c>
      <c r="B66">
        <v>1</v>
      </c>
    </row>
    <row r="67" spans="1:2" x14ac:dyDescent="0.25">
      <c r="A67" s="132">
        <v>46322</v>
      </c>
      <c r="B67">
        <v>1</v>
      </c>
    </row>
    <row r="68" spans="1:2" x14ac:dyDescent="0.25">
      <c r="A68" s="131" t="s">
        <v>30</v>
      </c>
      <c r="B68">
        <v>1.1299999999999999</v>
      </c>
    </row>
    <row r="69" spans="1:2" x14ac:dyDescent="0.25">
      <c r="A69" s="132">
        <v>46254</v>
      </c>
      <c r="B69">
        <v>1.1299999999999999</v>
      </c>
    </row>
    <row r="70" spans="1:2" x14ac:dyDescent="0.25">
      <c r="A70" s="131" t="s">
        <v>45</v>
      </c>
      <c r="B70">
        <v>1</v>
      </c>
    </row>
    <row r="71" spans="1:2" x14ac:dyDescent="0.25">
      <c r="A71" s="132">
        <v>46254</v>
      </c>
      <c r="B71">
        <v>1</v>
      </c>
    </row>
    <row r="72" spans="1:2" x14ac:dyDescent="0.25">
      <c r="A72" s="130" t="s">
        <v>47</v>
      </c>
      <c r="B72">
        <v>2</v>
      </c>
    </row>
    <row r="73" spans="1:2" x14ac:dyDescent="0.25">
      <c r="A73" s="129" t="s">
        <v>541</v>
      </c>
      <c r="B73">
        <v>2</v>
      </c>
    </row>
    <row r="74" spans="1:2" x14ac:dyDescent="0.25">
      <c r="A74" s="131" t="s">
        <v>37</v>
      </c>
      <c r="B74">
        <v>0.5</v>
      </c>
    </row>
    <row r="75" spans="1:2" x14ac:dyDescent="0.25">
      <c r="A75" s="132">
        <v>46127</v>
      </c>
      <c r="B75">
        <v>0.5</v>
      </c>
    </row>
    <row r="76" spans="1:2" x14ac:dyDescent="0.25">
      <c r="A76" s="131" t="s">
        <v>35</v>
      </c>
      <c r="B76">
        <v>0.5</v>
      </c>
    </row>
    <row r="77" spans="1:2" x14ac:dyDescent="0.25">
      <c r="A77" s="132">
        <v>46127</v>
      </c>
      <c r="B77">
        <v>0.5</v>
      </c>
    </row>
    <row r="78" spans="1:2" x14ac:dyDescent="0.25">
      <c r="A78" s="131" t="s">
        <v>38</v>
      </c>
      <c r="B78">
        <v>0.5</v>
      </c>
    </row>
    <row r="79" spans="1:2" x14ac:dyDescent="0.25">
      <c r="A79" s="132">
        <v>46199</v>
      </c>
      <c r="B79">
        <v>0.5</v>
      </c>
    </row>
    <row r="80" spans="1:2" x14ac:dyDescent="0.25">
      <c r="A80" s="131" t="s">
        <v>39</v>
      </c>
      <c r="B80">
        <v>0.5</v>
      </c>
    </row>
    <row r="81" spans="1:2" x14ac:dyDescent="0.25">
      <c r="A81" s="132">
        <v>46290</v>
      </c>
      <c r="B81">
        <v>0.5</v>
      </c>
    </row>
    <row r="82" spans="1:2" x14ac:dyDescent="0.25">
      <c r="A82" s="130" t="s">
        <v>49</v>
      </c>
      <c r="B82">
        <v>12</v>
      </c>
    </row>
    <row r="83" spans="1:2" x14ac:dyDescent="0.25">
      <c r="A83" s="129" t="s">
        <v>543</v>
      </c>
      <c r="B83">
        <v>1</v>
      </c>
    </row>
    <row r="84" spans="1:2" x14ac:dyDescent="0.25">
      <c r="A84" s="129" t="s">
        <v>541</v>
      </c>
      <c r="B84">
        <v>11</v>
      </c>
    </row>
    <row r="85" spans="1:2" x14ac:dyDescent="0.25">
      <c r="A85" s="131" t="s">
        <v>18</v>
      </c>
      <c r="B85">
        <v>1</v>
      </c>
    </row>
    <row r="86" spans="1:2" x14ac:dyDescent="0.25">
      <c r="A86" s="131" t="s">
        <v>19</v>
      </c>
      <c r="B86">
        <v>1</v>
      </c>
    </row>
    <row r="87" spans="1:2" x14ac:dyDescent="0.25">
      <c r="A87" s="131" t="s">
        <v>20</v>
      </c>
      <c r="B87">
        <v>1</v>
      </c>
    </row>
    <row r="88" spans="1:2" x14ac:dyDescent="0.25">
      <c r="A88" s="131" t="s">
        <v>21</v>
      </c>
      <c r="B88">
        <v>1</v>
      </c>
    </row>
    <row r="89" spans="1:2" x14ac:dyDescent="0.25">
      <c r="A89" s="131" t="s">
        <v>22</v>
      </c>
      <c r="B89">
        <v>1</v>
      </c>
    </row>
    <row r="90" spans="1:2" x14ac:dyDescent="0.25">
      <c r="A90" s="131" t="s">
        <v>23</v>
      </c>
      <c r="B90">
        <v>1</v>
      </c>
    </row>
    <row r="91" spans="1:2" x14ac:dyDescent="0.25">
      <c r="A91" s="131" t="s">
        <v>24</v>
      </c>
      <c r="B91">
        <v>1</v>
      </c>
    </row>
    <row r="92" spans="1:2" x14ac:dyDescent="0.25">
      <c r="A92" s="131" t="s">
        <v>25</v>
      </c>
      <c r="B92">
        <v>1</v>
      </c>
    </row>
    <row r="93" spans="1:2" x14ac:dyDescent="0.25">
      <c r="A93" s="131" t="s">
        <v>26</v>
      </c>
      <c r="B93">
        <v>1</v>
      </c>
    </row>
    <row r="94" spans="1:2" x14ac:dyDescent="0.25">
      <c r="A94" s="131" t="s">
        <v>27</v>
      </c>
      <c r="B94">
        <v>1</v>
      </c>
    </row>
    <row r="95" spans="1:2" x14ac:dyDescent="0.25">
      <c r="A95" s="131" t="s">
        <v>28</v>
      </c>
      <c r="B95">
        <v>1</v>
      </c>
    </row>
    <row r="96" spans="1:2" x14ac:dyDescent="0.25">
      <c r="A96" s="130" t="s">
        <v>51</v>
      </c>
      <c r="B96">
        <v>1</v>
      </c>
    </row>
    <row r="97" spans="1:2" x14ac:dyDescent="0.25">
      <c r="A97" s="129" t="s">
        <v>541</v>
      </c>
      <c r="B97">
        <v>1</v>
      </c>
    </row>
    <row r="98" spans="1:2" x14ac:dyDescent="0.25">
      <c r="A98" s="131" t="s">
        <v>30</v>
      </c>
      <c r="B98">
        <v>1</v>
      </c>
    </row>
    <row r="99" spans="1:2" x14ac:dyDescent="0.25">
      <c r="A99" s="132">
        <v>46208</v>
      </c>
      <c r="B99">
        <v>1</v>
      </c>
    </row>
    <row r="100" spans="1:2" x14ac:dyDescent="0.25">
      <c r="A100" s="130" t="s">
        <v>53</v>
      </c>
      <c r="B100">
        <v>4.4249999999999998</v>
      </c>
    </row>
    <row r="101" spans="1:2" x14ac:dyDescent="0.25">
      <c r="A101" s="129" t="s">
        <v>541</v>
      </c>
      <c r="B101">
        <v>4.4249999999999998</v>
      </c>
    </row>
    <row r="102" spans="1:2" x14ac:dyDescent="0.25">
      <c r="A102" s="131" t="s">
        <v>37</v>
      </c>
      <c r="B102">
        <v>1</v>
      </c>
    </row>
    <row r="103" spans="1:2" x14ac:dyDescent="0.25">
      <c r="A103" s="132">
        <v>46137</v>
      </c>
      <c r="B103">
        <v>1</v>
      </c>
    </row>
    <row r="104" spans="1:2" x14ac:dyDescent="0.25">
      <c r="A104" s="131" t="s">
        <v>35</v>
      </c>
      <c r="B104">
        <v>1</v>
      </c>
    </row>
    <row r="105" spans="1:2" x14ac:dyDescent="0.25">
      <c r="A105" s="132">
        <v>46055</v>
      </c>
      <c r="B105">
        <v>1</v>
      </c>
    </row>
    <row r="106" spans="1:2" x14ac:dyDescent="0.25">
      <c r="A106" s="131" t="s">
        <v>38</v>
      </c>
      <c r="B106">
        <v>1</v>
      </c>
    </row>
    <row r="107" spans="1:2" x14ac:dyDescent="0.25">
      <c r="A107" s="132">
        <v>46203</v>
      </c>
      <c r="B107">
        <v>1</v>
      </c>
    </row>
    <row r="108" spans="1:2" x14ac:dyDescent="0.25">
      <c r="A108" s="131" t="s">
        <v>30</v>
      </c>
      <c r="B108">
        <v>0.42499999999999999</v>
      </c>
    </row>
    <row r="109" spans="1:2" x14ac:dyDescent="0.25">
      <c r="A109" s="132">
        <v>46241</v>
      </c>
      <c r="B109">
        <v>0.42499999999999999</v>
      </c>
    </row>
    <row r="110" spans="1:2" x14ac:dyDescent="0.25">
      <c r="A110" s="131" t="s">
        <v>39</v>
      </c>
      <c r="B110">
        <v>1</v>
      </c>
    </row>
    <row r="111" spans="1:2" x14ac:dyDescent="0.25">
      <c r="A111" s="132">
        <v>46295</v>
      </c>
      <c r="B111">
        <v>1</v>
      </c>
    </row>
    <row r="112" spans="1:2" x14ac:dyDescent="0.25">
      <c r="A112" s="130" t="s">
        <v>55</v>
      </c>
      <c r="B112">
        <v>6.5</v>
      </c>
    </row>
    <row r="113" spans="1:2" x14ac:dyDescent="0.25">
      <c r="A113" s="129" t="s">
        <v>541</v>
      </c>
      <c r="B113">
        <v>6.5</v>
      </c>
    </row>
    <row r="114" spans="1:2" x14ac:dyDescent="0.25">
      <c r="A114" s="131" t="s">
        <v>16</v>
      </c>
      <c r="B114">
        <v>0.5</v>
      </c>
    </row>
    <row r="115" spans="1:2" x14ac:dyDescent="0.25">
      <c r="A115" s="131" t="s">
        <v>19</v>
      </c>
      <c r="B115">
        <v>0.5</v>
      </c>
    </row>
    <row r="116" spans="1:2" x14ac:dyDescent="0.25">
      <c r="A116" s="131" t="s">
        <v>20</v>
      </c>
      <c r="B116">
        <v>0.5</v>
      </c>
    </row>
    <row r="117" spans="1:2" x14ac:dyDescent="0.25">
      <c r="A117" s="131" t="s">
        <v>21</v>
      </c>
      <c r="B117">
        <v>0.5</v>
      </c>
    </row>
    <row r="118" spans="1:2" x14ac:dyDescent="0.25">
      <c r="A118" s="131" t="s">
        <v>22</v>
      </c>
      <c r="B118">
        <v>0.5</v>
      </c>
    </row>
    <row r="119" spans="1:2" x14ac:dyDescent="0.25">
      <c r="A119" s="131" t="s">
        <v>23</v>
      </c>
      <c r="B119">
        <v>0.5</v>
      </c>
    </row>
    <row r="120" spans="1:2" x14ac:dyDescent="0.25">
      <c r="A120" s="131" t="s">
        <v>24</v>
      </c>
      <c r="B120">
        <v>0.5</v>
      </c>
    </row>
    <row r="121" spans="1:2" x14ac:dyDescent="0.25">
      <c r="A121" s="131" t="s">
        <v>25</v>
      </c>
      <c r="B121">
        <v>0.5</v>
      </c>
    </row>
    <row r="122" spans="1:2" x14ac:dyDescent="0.25">
      <c r="A122" s="131" t="s">
        <v>26</v>
      </c>
      <c r="B122">
        <v>0.5</v>
      </c>
    </row>
    <row r="123" spans="1:2" x14ac:dyDescent="0.25">
      <c r="A123" s="131" t="s">
        <v>27</v>
      </c>
      <c r="B123">
        <v>0.5</v>
      </c>
    </row>
    <row r="124" spans="1:2" x14ac:dyDescent="0.25">
      <c r="A124" s="131" t="s">
        <v>28</v>
      </c>
      <c r="B124">
        <v>0.5</v>
      </c>
    </row>
    <row r="125" spans="1:2" x14ac:dyDescent="0.25">
      <c r="A125" s="131" t="s">
        <v>30</v>
      </c>
      <c r="B125">
        <v>1</v>
      </c>
    </row>
    <row r="126" spans="1:2" x14ac:dyDescent="0.25">
      <c r="A126" s="132">
        <v>46230</v>
      </c>
      <c r="B126">
        <v>1</v>
      </c>
    </row>
    <row r="127" spans="1:2" x14ac:dyDescent="0.25">
      <c r="A127" s="130" t="s">
        <v>59</v>
      </c>
      <c r="B127">
        <v>9.6</v>
      </c>
    </row>
    <row r="128" spans="1:2" x14ac:dyDescent="0.25">
      <c r="A128" s="129" t="s">
        <v>543</v>
      </c>
      <c r="B128">
        <v>0.8</v>
      </c>
    </row>
    <row r="129" spans="1:2" x14ac:dyDescent="0.25">
      <c r="A129" s="129" t="s">
        <v>541</v>
      </c>
      <c r="B129">
        <v>8.7999999999999989</v>
      </c>
    </row>
    <row r="130" spans="1:2" x14ac:dyDescent="0.25">
      <c r="A130" s="131" t="s">
        <v>18</v>
      </c>
      <c r="B130">
        <v>0.8</v>
      </c>
    </row>
    <row r="131" spans="1:2" x14ac:dyDescent="0.25">
      <c r="A131" s="131" t="s">
        <v>19</v>
      </c>
      <c r="B131">
        <v>0.8</v>
      </c>
    </row>
    <row r="132" spans="1:2" x14ac:dyDescent="0.25">
      <c r="A132" s="131" t="s">
        <v>20</v>
      </c>
      <c r="B132">
        <v>0.8</v>
      </c>
    </row>
    <row r="133" spans="1:2" x14ac:dyDescent="0.25">
      <c r="A133" s="131" t="s">
        <v>21</v>
      </c>
      <c r="B133">
        <v>0.8</v>
      </c>
    </row>
    <row r="134" spans="1:2" x14ac:dyDescent="0.25">
      <c r="A134" s="131" t="s">
        <v>22</v>
      </c>
      <c r="B134">
        <v>0.8</v>
      </c>
    </row>
    <row r="135" spans="1:2" x14ac:dyDescent="0.25">
      <c r="A135" s="131" t="s">
        <v>23</v>
      </c>
      <c r="B135">
        <v>0.8</v>
      </c>
    </row>
    <row r="136" spans="1:2" x14ac:dyDescent="0.25">
      <c r="A136" s="131" t="s">
        <v>24</v>
      </c>
      <c r="B136">
        <v>0.8</v>
      </c>
    </row>
    <row r="137" spans="1:2" x14ac:dyDescent="0.25">
      <c r="A137" s="131" t="s">
        <v>25</v>
      </c>
      <c r="B137">
        <v>0.8</v>
      </c>
    </row>
    <row r="138" spans="1:2" x14ac:dyDescent="0.25">
      <c r="A138" s="131" t="s">
        <v>26</v>
      </c>
      <c r="B138">
        <v>0.8</v>
      </c>
    </row>
    <row r="139" spans="1:2" x14ac:dyDescent="0.25">
      <c r="A139" s="131" t="s">
        <v>27</v>
      </c>
      <c r="B139">
        <v>0.8</v>
      </c>
    </row>
    <row r="140" spans="1:2" x14ac:dyDescent="0.25">
      <c r="A140" s="131" t="s">
        <v>28</v>
      </c>
      <c r="B140">
        <v>0.8</v>
      </c>
    </row>
    <row r="141" spans="1:2" x14ac:dyDescent="0.25">
      <c r="A141" s="130" t="s">
        <v>61</v>
      </c>
      <c r="B141">
        <v>12</v>
      </c>
    </row>
    <row r="142" spans="1:2" x14ac:dyDescent="0.25">
      <c r="A142" s="129" t="s">
        <v>543</v>
      </c>
      <c r="B142">
        <v>3</v>
      </c>
    </row>
    <row r="143" spans="1:2" x14ac:dyDescent="0.25">
      <c r="A143" s="129" t="s">
        <v>541</v>
      </c>
      <c r="B143">
        <v>9</v>
      </c>
    </row>
    <row r="144" spans="1:2" x14ac:dyDescent="0.25">
      <c r="A144" s="131" t="s">
        <v>20</v>
      </c>
      <c r="B144">
        <v>1</v>
      </c>
    </row>
    <row r="145" spans="1:2" x14ac:dyDescent="0.25">
      <c r="A145" s="131" t="s">
        <v>21</v>
      </c>
      <c r="B145">
        <v>1</v>
      </c>
    </row>
    <row r="146" spans="1:2" x14ac:dyDescent="0.25">
      <c r="A146" s="131" t="s">
        <v>22</v>
      </c>
      <c r="B146">
        <v>1</v>
      </c>
    </row>
    <row r="147" spans="1:2" x14ac:dyDescent="0.25">
      <c r="A147" s="131" t="s">
        <v>23</v>
      </c>
      <c r="B147">
        <v>1</v>
      </c>
    </row>
    <row r="148" spans="1:2" x14ac:dyDescent="0.25">
      <c r="A148" s="131" t="s">
        <v>24</v>
      </c>
      <c r="B148">
        <v>1</v>
      </c>
    </row>
    <row r="149" spans="1:2" x14ac:dyDescent="0.25">
      <c r="A149" s="131" t="s">
        <v>25</v>
      </c>
      <c r="B149">
        <v>1</v>
      </c>
    </row>
    <row r="150" spans="1:2" x14ac:dyDescent="0.25">
      <c r="A150" s="131" t="s">
        <v>26</v>
      </c>
      <c r="B150">
        <v>1</v>
      </c>
    </row>
    <row r="151" spans="1:2" x14ac:dyDescent="0.25">
      <c r="A151" s="131" t="s">
        <v>27</v>
      </c>
      <c r="B151">
        <v>1</v>
      </c>
    </row>
    <row r="152" spans="1:2" x14ac:dyDescent="0.25">
      <c r="A152" s="131" t="s">
        <v>28</v>
      </c>
      <c r="B152">
        <v>1</v>
      </c>
    </row>
    <row r="153" spans="1:2" x14ac:dyDescent="0.25">
      <c r="A153" s="130" t="s">
        <v>63</v>
      </c>
      <c r="B153">
        <v>12</v>
      </c>
    </row>
    <row r="154" spans="1:2" x14ac:dyDescent="0.25">
      <c r="A154" s="129" t="s">
        <v>543</v>
      </c>
      <c r="B154">
        <v>3</v>
      </c>
    </row>
    <row r="155" spans="1:2" x14ac:dyDescent="0.25">
      <c r="A155" s="129" t="s">
        <v>541</v>
      </c>
      <c r="B155">
        <v>9</v>
      </c>
    </row>
    <row r="156" spans="1:2" x14ac:dyDescent="0.25">
      <c r="A156" s="131" t="s">
        <v>20</v>
      </c>
      <c r="B156">
        <v>1</v>
      </c>
    </row>
    <row r="157" spans="1:2" x14ac:dyDescent="0.25">
      <c r="A157" s="131" t="s">
        <v>21</v>
      </c>
      <c r="B157">
        <v>1</v>
      </c>
    </row>
    <row r="158" spans="1:2" x14ac:dyDescent="0.25">
      <c r="A158" s="131" t="s">
        <v>22</v>
      </c>
      <c r="B158">
        <v>1</v>
      </c>
    </row>
    <row r="159" spans="1:2" x14ac:dyDescent="0.25">
      <c r="A159" s="131" t="s">
        <v>23</v>
      </c>
      <c r="B159">
        <v>1</v>
      </c>
    </row>
    <row r="160" spans="1:2" x14ac:dyDescent="0.25">
      <c r="A160" s="131" t="s">
        <v>24</v>
      </c>
      <c r="B160">
        <v>1</v>
      </c>
    </row>
    <row r="161" spans="1:2" x14ac:dyDescent="0.25">
      <c r="A161" s="131" t="s">
        <v>25</v>
      </c>
      <c r="B161">
        <v>1</v>
      </c>
    </row>
    <row r="162" spans="1:2" x14ac:dyDescent="0.25">
      <c r="A162" s="131" t="s">
        <v>26</v>
      </c>
      <c r="B162">
        <v>1</v>
      </c>
    </row>
    <row r="163" spans="1:2" x14ac:dyDescent="0.25">
      <c r="A163" s="131" t="s">
        <v>27</v>
      </c>
      <c r="B163">
        <v>1</v>
      </c>
    </row>
    <row r="164" spans="1:2" x14ac:dyDescent="0.25">
      <c r="A164" s="131" t="s">
        <v>28</v>
      </c>
      <c r="B164">
        <v>1</v>
      </c>
    </row>
    <row r="165" spans="1:2" x14ac:dyDescent="0.25">
      <c r="A165" s="130" t="s">
        <v>65</v>
      </c>
      <c r="B165">
        <v>29.2</v>
      </c>
    </row>
    <row r="166" spans="1:2" x14ac:dyDescent="0.25">
      <c r="A166" s="129" t="s">
        <v>541</v>
      </c>
      <c r="B166">
        <v>29.2</v>
      </c>
    </row>
    <row r="167" spans="1:2" x14ac:dyDescent="0.25">
      <c r="A167" s="131" t="s">
        <v>16</v>
      </c>
      <c r="B167">
        <v>2.48</v>
      </c>
    </row>
    <row r="168" spans="1:2" x14ac:dyDescent="0.25">
      <c r="A168" s="131" t="s">
        <v>18</v>
      </c>
      <c r="B168">
        <v>2.2400000000000002</v>
      </c>
    </row>
    <row r="169" spans="1:2" x14ac:dyDescent="0.25">
      <c r="A169" s="131" t="s">
        <v>19</v>
      </c>
      <c r="B169">
        <v>2.48</v>
      </c>
    </row>
    <row r="170" spans="1:2" x14ac:dyDescent="0.25">
      <c r="A170" s="131" t="s">
        <v>20</v>
      </c>
      <c r="B170">
        <v>2.4</v>
      </c>
    </row>
    <row r="171" spans="1:2" x14ac:dyDescent="0.25">
      <c r="A171" s="131" t="s">
        <v>21</v>
      </c>
      <c r="B171">
        <v>2.48</v>
      </c>
    </row>
    <row r="172" spans="1:2" x14ac:dyDescent="0.25">
      <c r="A172" s="131" t="s">
        <v>22</v>
      </c>
      <c r="B172">
        <v>2.4</v>
      </c>
    </row>
    <row r="173" spans="1:2" x14ac:dyDescent="0.25">
      <c r="A173" s="131" t="s">
        <v>23</v>
      </c>
      <c r="B173">
        <v>2.48</v>
      </c>
    </row>
    <row r="174" spans="1:2" x14ac:dyDescent="0.25">
      <c r="A174" s="131" t="s">
        <v>24</v>
      </c>
      <c r="B174">
        <v>2.48</v>
      </c>
    </row>
    <row r="175" spans="1:2" x14ac:dyDescent="0.25">
      <c r="A175" s="131" t="s">
        <v>26</v>
      </c>
      <c r="B175">
        <v>2.48</v>
      </c>
    </row>
    <row r="176" spans="1:2" x14ac:dyDescent="0.25">
      <c r="A176" s="131" t="s">
        <v>27</v>
      </c>
      <c r="B176">
        <v>2.4</v>
      </c>
    </row>
    <row r="177" spans="1:2" x14ac:dyDescent="0.25">
      <c r="A177" s="131" t="s">
        <v>28</v>
      </c>
      <c r="B177">
        <v>2.48</v>
      </c>
    </row>
    <row r="178" spans="1:2" x14ac:dyDescent="0.25">
      <c r="A178" s="131" t="s">
        <v>67</v>
      </c>
      <c r="B178">
        <v>2.4</v>
      </c>
    </row>
    <row r="179" spans="1:2" x14ac:dyDescent="0.25">
      <c r="A179" s="132">
        <v>46266</v>
      </c>
      <c r="B179">
        <v>2.4</v>
      </c>
    </row>
    <row r="180" spans="1:2" x14ac:dyDescent="0.25">
      <c r="A180" s="130" t="s">
        <v>68</v>
      </c>
      <c r="B180">
        <v>22.097100000000001</v>
      </c>
    </row>
    <row r="181" spans="1:2" x14ac:dyDescent="0.25">
      <c r="A181" s="129" t="s">
        <v>541</v>
      </c>
      <c r="B181">
        <v>22.097100000000001</v>
      </c>
    </row>
    <row r="182" spans="1:2" x14ac:dyDescent="0.25">
      <c r="A182" s="131" t="s">
        <v>16</v>
      </c>
      <c r="B182">
        <v>1.8767400000000001</v>
      </c>
    </row>
    <row r="183" spans="1:2" x14ac:dyDescent="0.25">
      <c r="A183" s="131" t="s">
        <v>18</v>
      </c>
      <c r="B183">
        <v>1.69512</v>
      </c>
    </row>
    <row r="184" spans="1:2" x14ac:dyDescent="0.25">
      <c r="A184" s="131" t="s">
        <v>19</v>
      </c>
      <c r="B184">
        <v>1.8767400000000001</v>
      </c>
    </row>
    <row r="185" spans="1:2" x14ac:dyDescent="0.25">
      <c r="A185" s="131" t="s">
        <v>20</v>
      </c>
      <c r="B185">
        <v>1.8162</v>
      </c>
    </row>
    <row r="186" spans="1:2" x14ac:dyDescent="0.25">
      <c r="A186" s="131" t="s">
        <v>21</v>
      </c>
      <c r="B186">
        <v>1.8767400000000001</v>
      </c>
    </row>
    <row r="187" spans="1:2" x14ac:dyDescent="0.25">
      <c r="A187" s="131" t="s">
        <v>22</v>
      </c>
      <c r="B187">
        <v>1.8162</v>
      </c>
    </row>
    <row r="188" spans="1:2" x14ac:dyDescent="0.25">
      <c r="A188" s="131" t="s">
        <v>23</v>
      </c>
      <c r="B188">
        <v>1.8767400000000001</v>
      </c>
    </row>
    <row r="189" spans="1:2" x14ac:dyDescent="0.25">
      <c r="A189" s="131" t="s">
        <v>24</v>
      </c>
      <c r="B189">
        <v>1.8767400000000001</v>
      </c>
    </row>
    <row r="190" spans="1:2" x14ac:dyDescent="0.25">
      <c r="A190" s="131" t="s">
        <v>25</v>
      </c>
      <c r="B190">
        <v>1.8162</v>
      </c>
    </row>
    <row r="191" spans="1:2" x14ac:dyDescent="0.25">
      <c r="A191" s="131" t="s">
        <v>26</v>
      </c>
      <c r="B191">
        <v>1.8767400000000001</v>
      </c>
    </row>
    <row r="192" spans="1:2" x14ac:dyDescent="0.25">
      <c r="A192" s="131" t="s">
        <v>27</v>
      </c>
      <c r="B192">
        <v>1.8162</v>
      </c>
    </row>
    <row r="193" spans="1:2" x14ac:dyDescent="0.25">
      <c r="A193" s="131" t="s">
        <v>28</v>
      </c>
      <c r="B193">
        <v>1.8767400000000001</v>
      </c>
    </row>
    <row r="194" spans="1:2" x14ac:dyDescent="0.25">
      <c r="A194" s="130" t="s">
        <v>69</v>
      </c>
      <c r="B194">
        <v>0.38429999999999997</v>
      </c>
    </row>
    <row r="195" spans="1:2" x14ac:dyDescent="0.25">
      <c r="A195" s="129" t="s">
        <v>541</v>
      </c>
      <c r="B195">
        <v>0.38429999999999997</v>
      </c>
    </row>
    <row r="196" spans="1:2" x14ac:dyDescent="0.25">
      <c r="A196" s="131" t="s">
        <v>30</v>
      </c>
      <c r="B196">
        <v>0.38429999999999997</v>
      </c>
    </row>
    <row r="197" spans="1:2" x14ac:dyDescent="0.25">
      <c r="A197" s="132">
        <v>46037</v>
      </c>
      <c r="B197">
        <v>0.38429999999999997</v>
      </c>
    </row>
    <row r="198" spans="1:2" x14ac:dyDescent="0.25">
      <c r="A198" s="130" t="s">
        <v>71</v>
      </c>
      <c r="B198">
        <v>5.5</v>
      </c>
    </row>
    <row r="199" spans="1:2" x14ac:dyDescent="0.25">
      <c r="A199" s="129" t="s">
        <v>541</v>
      </c>
      <c r="B199">
        <v>5.5</v>
      </c>
    </row>
    <row r="200" spans="1:2" x14ac:dyDescent="0.25">
      <c r="A200" s="131" t="s">
        <v>20</v>
      </c>
      <c r="B200">
        <v>0.5</v>
      </c>
    </row>
    <row r="201" spans="1:2" x14ac:dyDescent="0.25">
      <c r="A201" s="131" t="s">
        <v>21</v>
      </c>
      <c r="B201">
        <v>0.5</v>
      </c>
    </row>
    <row r="202" spans="1:2" x14ac:dyDescent="0.25">
      <c r="A202" s="131" t="s">
        <v>22</v>
      </c>
      <c r="B202">
        <v>0.5</v>
      </c>
    </row>
    <row r="203" spans="1:2" x14ac:dyDescent="0.25">
      <c r="A203" s="131" t="s">
        <v>23</v>
      </c>
      <c r="B203">
        <v>0.5</v>
      </c>
    </row>
    <row r="204" spans="1:2" x14ac:dyDescent="0.25">
      <c r="A204" s="131" t="s">
        <v>24</v>
      </c>
      <c r="B204">
        <v>0.5</v>
      </c>
    </row>
    <row r="205" spans="1:2" x14ac:dyDescent="0.25">
      <c r="A205" s="131" t="s">
        <v>25</v>
      </c>
      <c r="B205">
        <v>0.5</v>
      </c>
    </row>
    <row r="206" spans="1:2" x14ac:dyDescent="0.25">
      <c r="A206" s="131" t="s">
        <v>26</v>
      </c>
      <c r="B206">
        <v>0.5</v>
      </c>
    </row>
    <row r="207" spans="1:2" x14ac:dyDescent="0.25">
      <c r="A207" s="131" t="s">
        <v>27</v>
      </c>
      <c r="B207">
        <v>0.5</v>
      </c>
    </row>
    <row r="208" spans="1:2" x14ac:dyDescent="0.25">
      <c r="A208" s="131" t="s">
        <v>28</v>
      </c>
      <c r="B208">
        <v>0.5</v>
      </c>
    </row>
    <row r="209" spans="1:2" x14ac:dyDescent="0.25">
      <c r="A209" s="131" t="s">
        <v>35</v>
      </c>
      <c r="B209">
        <v>0.5</v>
      </c>
    </row>
    <row r="210" spans="1:2" x14ac:dyDescent="0.25">
      <c r="A210" s="132">
        <v>46068</v>
      </c>
      <c r="B210">
        <v>0.5</v>
      </c>
    </row>
    <row r="211" spans="1:2" x14ac:dyDescent="0.25">
      <c r="A211" s="131" t="s">
        <v>30</v>
      </c>
      <c r="B211">
        <v>0.5</v>
      </c>
    </row>
    <row r="212" spans="1:2" x14ac:dyDescent="0.25">
      <c r="A212" s="132">
        <v>46276</v>
      </c>
      <c r="B212">
        <v>0.5</v>
      </c>
    </row>
    <row r="213" spans="1:2" x14ac:dyDescent="0.25">
      <c r="A213" s="130" t="s">
        <v>73</v>
      </c>
      <c r="B213">
        <v>2.5</v>
      </c>
    </row>
    <row r="214" spans="1:2" x14ac:dyDescent="0.25">
      <c r="A214" s="129" t="s">
        <v>541</v>
      </c>
      <c r="B214">
        <v>2.5</v>
      </c>
    </row>
    <row r="215" spans="1:2" x14ac:dyDescent="0.25">
      <c r="A215" s="131" t="s">
        <v>30</v>
      </c>
      <c r="B215">
        <v>2.5</v>
      </c>
    </row>
    <row r="216" spans="1:2" x14ac:dyDescent="0.25">
      <c r="A216" s="132">
        <v>46091</v>
      </c>
      <c r="B216">
        <v>1.25</v>
      </c>
    </row>
    <row r="217" spans="1:2" x14ac:dyDescent="0.25">
      <c r="A217" s="132">
        <v>46114</v>
      </c>
      <c r="B217">
        <v>1.25</v>
      </c>
    </row>
    <row r="218" spans="1:2" x14ac:dyDescent="0.25">
      <c r="A218" s="130" t="s">
        <v>75</v>
      </c>
      <c r="B218">
        <v>2.5641248999999999</v>
      </c>
    </row>
    <row r="219" spans="1:2" x14ac:dyDescent="0.25">
      <c r="A219" s="129" t="s">
        <v>543</v>
      </c>
      <c r="B219">
        <v>0.85470829999999998</v>
      </c>
    </row>
    <row r="220" spans="1:2" x14ac:dyDescent="0.25">
      <c r="A220" s="129" t="s">
        <v>541</v>
      </c>
      <c r="B220">
        <v>1.7094166</v>
      </c>
    </row>
    <row r="221" spans="1:2" x14ac:dyDescent="0.25">
      <c r="A221" s="131" t="s">
        <v>18</v>
      </c>
      <c r="B221">
        <v>0.85470829999999998</v>
      </c>
    </row>
    <row r="222" spans="1:2" x14ac:dyDescent="0.25">
      <c r="A222" s="131" t="s">
        <v>19</v>
      </c>
      <c r="B222">
        <v>0.85470829999999998</v>
      </c>
    </row>
    <row r="223" spans="1:2" x14ac:dyDescent="0.25">
      <c r="A223" s="130" t="s">
        <v>77</v>
      </c>
      <c r="B223">
        <v>8.5149747000000016</v>
      </c>
    </row>
    <row r="224" spans="1:2" x14ac:dyDescent="0.25">
      <c r="A224" s="129" t="s">
        <v>541</v>
      </c>
      <c r="B224">
        <v>8.5149747000000016</v>
      </c>
    </row>
    <row r="225" spans="1:2" x14ac:dyDescent="0.25">
      <c r="A225" s="131" t="s">
        <v>20</v>
      </c>
      <c r="B225">
        <v>0.85470829999999998</v>
      </c>
    </row>
    <row r="226" spans="1:2" x14ac:dyDescent="0.25">
      <c r="A226" s="131" t="s">
        <v>21</v>
      </c>
      <c r="B226">
        <v>0.85470829999999998</v>
      </c>
    </row>
    <row r="227" spans="1:2" x14ac:dyDescent="0.25">
      <c r="A227" s="131" t="s">
        <v>22</v>
      </c>
      <c r="B227">
        <v>0.85470829999999998</v>
      </c>
    </row>
    <row r="228" spans="1:2" x14ac:dyDescent="0.25">
      <c r="A228" s="131" t="s">
        <v>23</v>
      </c>
      <c r="B228">
        <v>0.85470829999999998</v>
      </c>
    </row>
    <row r="229" spans="1:2" x14ac:dyDescent="0.25">
      <c r="A229" s="131" t="s">
        <v>24</v>
      </c>
      <c r="B229">
        <v>0.85470829999999998</v>
      </c>
    </row>
    <row r="230" spans="1:2" x14ac:dyDescent="0.25">
      <c r="A230" s="131" t="s">
        <v>25</v>
      </c>
      <c r="B230">
        <v>0.85470829999999998</v>
      </c>
    </row>
    <row r="231" spans="1:2" x14ac:dyDescent="0.25">
      <c r="A231" s="131" t="s">
        <v>26</v>
      </c>
      <c r="B231">
        <v>0.85470829999999998</v>
      </c>
    </row>
    <row r="232" spans="1:2" x14ac:dyDescent="0.25">
      <c r="A232" s="131" t="s">
        <v>27</v>
      </c>
      <c r="B232">
        <v>0.85470829999999998</v>
      </c>
    </row>
    <row r="233" spans="1:2" x14ac:dyDescent="0.25">
      <c r="A233" s="131" t="s">
        <v>28</v>
      </c>
      <c r="B233">
        <v>0.85470829999999998</v>
      </c>
    </row>
    <row r="234" spans="1:2" x14ac:dyDescent="0.25">
      <c r="A234" s="131" t="s">
        <v>30</v>
      </c>
      <c r="B234">
        <v>0.8226</v>
      </c>
    </row>
    <row r="235" spans="1:2" x14ac:dyDescent="0.25">
      <c r="A235" s="132">
        <v>46223</v>
      </c>
      <c r="B235">
        <v>0.8226</v>
      </c>
    </row>
    <row r="236" spans="1:2" x14ac:dyDescent="0.25">
      <c r="A236" s="130" t="s">
        <v>80</v>
      </c>
      <c r="B236">
        <v>1.89584</v>
      </c>
    </row>
    <row r="237" spans="1:2" x14ac:dyDescent="0.25">
      <c r="A237" s="129" t="s">
        <v>541</v>
      </c>
      <c r="B237">
        <v>1.89584</v>
      </c>
    </row>
    <row r="238" spans="1:2" x14ac:dyDescent="0.25">
      <c r="A238" s="131" t="s">
        <v>30</v>
      </c>
      <c r="B238">
        <v>1.89584</v>
      </c>
    </row>
    <row r="239" spans="1:2" x14ac:dyDescent="0.25">
      <c r="A239" s="132">
        <v>46045</v>
      </c>
      <c r="B239">
        <v>0.94791999999999998</v>
      </c>
    </row>
    <row r="240" spans="1:2" x14ac:dyDescent="0.25">
      <c r="A240" s="132">
        <v>46199</v>
      </c>
      <c r="B240">
        <v>0.94791999999999998</v>
      </c>
    </row>
    <row r="241" spans="1:2" x14ac:dyDescent="0.25">
      <c r="A241" s="130" t="s">
        <v>82</v>
      </c>
      <c r="B241">
        <v>16.265159999999998</v>
      </c>
    </row>
    <row r="242" spans="1:2" x14ac:dyDescent="0.25">
      <c r="A242" s="129" t="s">
        <v>541</v>
      </c>
      <c r="B242">
        <v>16.265159999999998</v>
      </c>
    </row>
    <row r="243" spans="1:2" x14ac:dyDescent="0.25">
      <c r="A243" s="131" t="s">
        <v>19</v>
      </c>
      <c r="B243">
        <v>1.3554299999999999</v>
      </c>
    </row>
    <row r="244" spans="1:2" x14ac:dyDescent="0.25">
      <c r="A244" s="131" t="s">
        <v>20</v>
      </c>
      <c r="B244">
        <v>1.3554299999999999</v>
      </c>
    </row>
    <row r="245" spans="1:2" x14ac:dyDescent="0.25">
      <c r="A245" s="131" t="s">
        <v>21</v>
      </c>
      <c r="B245">
        <v>1.3554299999999999</v>
      </c>
    </row>
    <row r="246" spans="1:2" x14ac:dyDescent="0.25">
      <c r="A246" s="131" t="s">
        <v>22</v>
      </c>
      <c r="B246">
        <v>1.3554299999999999</v>
      </c>
    </row>
    <row r="247" spans="1:2" x14ac:dyDescent="0.25">
      <c r="A247" s="131" t="s">
        <v>23</v>
      </c>
      <c r="B247">
        <v>1.3554299999999999</v>
      </c>
    </row>
    <row r="248" spans="1:2" x14ac:dyDescent="0.25">
      <c r="A248" s="131" t="s">
        <v>24</v>
      </c>
      <c r="B248">
        <v>1.3554299999999999</v>
      </c>
    </row>
    <row r="249" spans="1:2" x14ac:dyDescent="0.25">
      <c r="A249" s="131" t="s">
        <v>25</v>
      </c>
      <c r="B249">
        <v>1.3554299999999999</v>
      </c>
    </row>
    <row r="250" spans="1:2" x14ac:dyDescent="0.25">
      <c r="A250" s="131" t="s">
        <v>26</v>
      </c>
      <c r="B250">
        <v>1.3554299999999999</v>
      </c>
    </row>
    <row r="251" spans="1:2" x14ac:dyDescent="0.25">
      <c r="A251" s="131" t="s">
        <v>27</v>
      </c>
      <c r="B251">
        <v>1.3554299999999999</v>
      </c>
    </row>
    <row r="252" spans="1:2" x14ac:dyDescent="0.25">
      <c r="A252" s="131" t="s">
        <v>28</v>
      </c>
      <c r="B252">
        <v>1.3554299999999999</v>
      </c>
    </row>
    <row r="253" spans="1:2" x14ac:dyDescent="0.25">
      <c r="A253" s="131" t="s">
        <v>30</v>
      </c>
      <c r="B253">
        <v>2.7108599999999998</v>
      </c>
    </row>
    <row r="254" spans="1:2" x14ac:dyDescent="0.25">
      <c r="A254" s="132">
        <v>46038</v>
      </c>
      <c r="B254">
        <v>1.3554299999999999</v>
      </c>
    </row>
    <row r="255" spans="1:2" x14ac:dyDescent="0.25">
      <c r="A255" s="132">
        <v>46058</v>
      </c>
      <c r="B255">
        <v>1.3554299999999999</v>
      </c>
    </row>
    <row r="256" spans="1:2" x14ac:dyDescent="0.25">
      <c r="A256" s="130" t="s">
        <v>84</v>
      </c>
      <c r="B256">
        <v>5.2200000000000006</v>
      </c>
    </row>
    <row r="257" spans="1:2" x14ac:dyDescent="0.25">
      <c r="A257" s="129" t="s">
        <v>541</v>
      </c>
      <c r="B257">
        <v>5.2200000000000006</v>
      </c>
    </row>
    <row r="258" spans="1:2" x14ac:dyDescent="0.25">
      <c r="A258" s="131" t="s">
        <v>37</v>
      </c>
      <c r="B258">
        <v>1.044</v>
      </c>
    </row>
    <row r="259" spans="1:2" x14ac:dyDescent="0.25">
      <c r="A259" s="132">
        <v>46120</v>
      </c>
      <c r="B259">
        <v>1.044</v>
      </c>
    </row>
    <row r="260" spans="1:2" x14ac:dyDescent="0.25">
      <c r="A260" s="131" t="s">
        <v>35</v>
      </c>
      <c r="B260">
        <v>1.044</v>
      </c>
    </row>
    <row r="261" spans="1:2" x14ac:dyDescent="0.25">
      <c r="A261" s="132">
        <v>46073</v>
      </c>
      <c r="B261">
        <v>1.044</v>
      </c>
    </row>
    <row r="262" spans="1:2" x14ac:dyDescent="0.25">
      <c r="A262" s="131" t="s">
        <v>38</v>
      </c>
      <c r="B262">
        <v>1.044</v>
      </c>
    </row>
    <row r="263" spans="1:2" x14ac:dyDescent="0.25">
      <c r="A263" s="132">
        <v>46203</v>
      </c>
      <c r="B263">
        <v>1.044</v>
      </c>
    </row>
    <row r="264" spans="1:2" x14ac:dyDescent="0.25">
      <c r="A264" s="131" t="s">
        <v>30</v>
      </c>
      <c r="B264">
        <v>1.044</v>
      </c>
    </row>
    <row r="265" spans="1:2" x14ac:dyDescent="0.25">
      <c r="A265" s="132">
        <v>46234</v>
      </c>
      <c r="B265">
        <v>1.044</v>
      </c>
    </row>
    <row r="266" spans="1:2" x14ac:dyDescent="0.25">
      <c r="A266" s="131" t="s">
        <v>39</v>
      </c>
      <c r="B266">
        <v>1.044</v>
      </c>
    </row>
    <row r="267" spans="1:2" x14ac:dyDescent="0.25">
      <c r="A267" s="132">
        <v>46302</v>
      </c>
      <c r="B267">
        <v>1.044</v>
      </c>
    </row>
    <row r="268" spans="1:2" x14ac:dyDescent="0.25">
      <c r="A268" s="130" t="s">
        <v>86</v>
      </c>
      <c r="B268">
        <v>12</v>
      </c>
    </row>
    <row r="269" spans="1:2" x14ac:dyDescent="0.25">
      <c r="A269" s="129" t="s">
        <v>543</v>
      </c>
      <c r="B269">
        <v>1</v>
      </c>
    </row>
    <row r="270" spans="1:2" x14ac:dyDescent="0.25">
      <c r="A270" s="129" t="s">
        <v>541</v>
      </c>
      <c r="B270">
        <v>11</v>
      </c>
    </row>
    <row r="271" spans="1:2" x14ac:dyDescent="0.25">
      <c r="A271" s="131" t="s">
        <v>18</v>
      </c>
      <c r="B271">
        <v>1</v>
      </c>
    </row>
    <row r="272" spans="1:2" x14ac:dyDescent="0.25">
      <c r="A272" s="131" t="s">
        <v>19</v>
      </c>
      <c r="B272">
        <v>1</v>
      </c>
    </row>
    <row r="273" spans="1:2" x14ac:dyDescent="0.25">
      <c r="A273" s="131" t="s">
        <v>20</v>
      </c>
      <c r="B273">
        <v>1</v>
      </c>
    </row>
    <row r="274" spans="1:2" x14ac:dyDescent="0.25">
      <c r="A274" s="131" t="s">
        <v>21</v>
      </c>
      <c r="B274">
        <v>1</v>
      </c>
    </row>
    <row r="275" spans="1:2" x14ac:dyDescent="0.25">
      <c r="A275" s="131" t="s">
        <v>22</v>
      </c>
      <c r="B275">
        <v>1</v>
      </c>
    </row>
    <row r="276" spans="1:2" x14ac:dyDescent="0.25">
      <c r="A276" s="131" t="s">
        <v>23</v>
      </c>
      <c r="B276">
        <v>1</v>
      </c>
    </row>
    <row r="277" spans="1:2" x14ac:dyDescent="0.25">
      <c r="A277" s="131" t="s">
        <v>24</v>
      </c>
      <c r="B277">
        <v>1</v>
      </c>
    </row>
    <row r="278" spans="1:2" x14ac:dyDescent="0.25">
      <c r="A278" s="131" t="s">
        <v>25</v>
      </c>
      <c r="B278">
        <v>1</v>
      </c>
    </row>
    <row r="279" spans="1:2" x14ac:dyDescent="0.25">
      <c r="A279" s="131" t="s">
        <v>26</v>
      </c>
      <c r="B279">
        <v>1</v>
      </c>
    </row>
    <row r="280" spans="1:2" x14ac:dyDescent="0.25">
      <c r="A280" s="131" t="s">
        <v>27</v>
      </c>
      <c r="B280">
        <v>1</v>
      </c>
    </row>
    <row r="281" spans="1:2" x14ac:dyDescent="0.25">
      <c r="A281" s="131" t="s">
        <v>28</v>
      </c>
      <c r="B281">
        <v>1</v>
      </c>
    </row>
    <row r="282" spans="1:2" x14ac:dyDescent="0.25">
      <c r="A282" s="130" t="s">
        <v>88</v>
      </c>
      <c r="B282">
        <v>7.88</v>
      </c>
    </row>
    <row r="283" spans="1:2" x14ac:dyDescent="0.25">
      <c r="A283" s="129" t="s">
        <v>541</v>
      </c>
      <c r="B283">
        <v>7.88</v>
      </c>
    </row>
    <row r="284" spans="1:2" x14ac:dyDescent="0.25">
      <c r="A284" s="131" t="s">
        <v>37</v>
      </c>
      <c r="B284">
        <v>1.72</v>
      </c>
    </row>
    <row r="285" spans="1:2" x14ac:dyDescent="0.25">
      <c r="A285" s="132">
        <v>46112</v>
      </c>
      <c r="B285">
        <v>1.72</v>
      </c>
    </row>
    <row r="286" spans="1:2" x14ac:dyDescent="0.25">
      <c r="A286" s="131" t="s">
        <v>35</v>
      </c>
      <c r="B286">
        <v>1.72</v>
      </c>
    </row>
    <row r="287" spans="1:2" x14ac:dyDescent="0.25">
      <c r="A287" s="132">
        <v>46039</v>
      </c>
      <c r="B287">
        <v>1.72</v>
      </c>
    </row>
    <row r="288" spans="1:2" x14ac:dyDescent="0.25">
      <c r="A288" s="131" t="s">
        <v>38</v>
      </c>
      <c r="B288">
        <v>1.72</v>
      </c>
    </row>
    <row r="289" spans="1:2" x14ac:dyDescent="0.25">
      <c r="A289" s="132">
        <v>46203</v>
      </c>
      <c r="B289">
        <v>1.72</v>
      </c>
    </row>
    <row r="290" spans="1:2" x14ac:dyDescent="0.25">
      <c r="A290" s="131" t="s">
        <v>30</v>
      </c>
      <c r="B290">
        <v>1</v>
      </c>
    </row>
    <row r="291" spans="1:2" x14ac:dyDescent="0.25">
      <c r="A291" s="132">
        <v>46245</v>
      </c>
      <c r="B291">
        <v>1</v>
      </c>
    </row>
    <row r="292" spans="1:2" x14ac:dyDescent="0.25">
      <c r="A292" s="131" t="s">
        <v>39</v>
      </c>
      <c r="B292">
        <v>1.72</v>
      </c>
    </row>
    <row r="293" spans="1:2" x14ac:dyDescent="0.25">
      <c r="A293" s="132">
        <v>46295</v>
      </c>
      <c r="B293">
        <v>1.72</v>
      </c>
    </row>
    <row r="294" spans="1:2" x14ac:dyDescent="0.25">
      <c r="A294" s="130" t="s">
        <v>91</v>
      </c>
      <c r="B294">
        <v>5</v>
      </c>
    </row>
    <row r="295" spans="1:2" x14ac:dyDescent="0.25">
      <c r="A295" s="129" t="s">
        <v>543</v>
      </c>
      <c r="B295">
        <v>1</v>
      </c>
    </row>
    <row r="296" spans="1:2" x14ac:dyDescent="0.25">
      <c r="A296" s="129" t="s">
        <v>541</v>
      </c>
      <c r="B296">
        <v>4</v>
      </c>
    </row>
    <row r="297" spans="1:2" x14ac:dyDescent="0.25">
      <c r="A297" s="131" t="s">
        <v>18</v>
      </c>
      <c r="B297">
        <v>1</v>
      </c>
    </row>
    <row r="298" spans="1:2" x14ac:dyDescent="0.25">
      <c r="A298" s="131" t="s">
        <v>93</v>
      </c>
      <c r="B298">
        <v>1</v>
      </c>
    </row>
    <row r="299" spans="1:2" x14ac:dyDescent="0.25">
      <c r="A299" s="132">
        <v>46080</v>
      </c>
      <c r="B299">
        <v>1</v>
      </c>
    </row>
    <row r="300" spans="1:2" x14ac:dyDescent="0.25">
      <c r="A300" s="131" t="s">
        <v>94</v>
      </c>
      <c r="B300">
        <v>1</v>
      </c>
    </row>
    <row r="301" spans="1:2" x14ac:dyDescent="0.25">
      <c r="A301" s="132">
        <v>46080</v>
      </c>
      <c r="B301">
        <v>1</v>
      </c>
    </row>
    <row r="302" spans="1:2" x14ac:dyDescent="0.25">
      <c r="A302" s="131" t="s">
        <v>95</v>
      </c>
      <c r="B302">
        <v>1</v>
      </c>
    </row>
    <row r="303" spans="1:2" x14ac:dyDescent="0.25">
      <c r="A303" s="132">
        <v>46112</v>
      </c>
      <c r="B303">
        <v>1</v>
      </c>
    </row>
    <row r="304" spans="1:2" x14ac:dyDescent="0.25">
      <c r="A304" s="130" t="s">
        <v>96</v>
      </c>
      <c r="B304">
        <v>7</v>
      </c>
    </row>
    <row r="305" spans="1:2" x14ac:dyDescent="0.25">
      <c r="A305" s="129" t="s">
        <v>541</v>
      </c>
      <c r="B305">
        <v>7</v>
      </c>
    </row>
    <row r="306" spans="1:2" x14ac:dyDescent="0.25">
      <c r="A306" s="131" t="s">
        <v>24</v>
      </c>
      <c r="B306">
        <v>1</v>
      </c>
    </row>
    <row r="307" spans="1:2" x14ac:dyDescent="0.25">
      <c r="A307" s="131" t="s">
        <v>25</v>
      </c>
      <c r="B307">
        <v>1</v>
      </c>
    </row>
    <row r="308" spans="1:2" x14ac:dyDescent="0.25">
      <c r="A308" s="131" t="s">
        <v>26</v>
      </c>
      <c r="B308">
        <v>1</v>
      </c>
    </row>
    <row r="309" spans="1:2" x14ac:dyDescent="0.25">
      <c r="A309" s="131" t="s">
        <v>27</v>
      </c>
      <c r="B309">
        <v>1</v>
      </c>
    </row>
    <row r="310" spans="1:2" x14ac:dyDescent="0.25">
      <c r="A310" s="131" t="s">
        <v>28</v>
      </c>
      <c r="B310">
        <v>1</v>
      </c>
    </row>
    <row r="311" spans="1:2" x14ac:dyDescent="0.25">
      <c r="A311" s="133">
        <v>46388</v>
      </c>
      <c r="B311">
        <v>1</v>
      </c>
    </row>
    <row r="312" spans="1:2" x14ac:dyDescent="0.25">
      <c r="A312" s="132">
        <v>46371</v>
      </c>
      <c r="B312">
        <v>1</v>
      </c>
    </row>
    <row r="313" spans="1:2" x14ac:dyDescent="0.25">
      <c r="A313" s="133">
        <v>46419</v>
      </c>
      <c r="B313">
        <v>1</v>
      </c>
    </row>
    <row r="314" spans="1:2" x14ac:dyDescent="0.25">
      <c r="A314" s="132">
        <v>46377</v>
      </c>
      <c r="B314">
        <v>1</v>
      </c>
    </row>
    <row r="315" spans="1:2" x14ac:dyDescent="0.25">
      <c r="A315" s="130" t="s">
        <v>98</v>
      </c>
      <c r="B315">
        <v>10.993799999999998</v>
      </c>
    </row>
    <row r="316" spans="1:2" x14ac:dyDescent="0.25">
      <c r="A316" s="129" t="s">
        <v>541</v>
      </c>
      <c r="B316">
        <v>10.993799999999998</v>
      </c>
    </row>
    <row r="317" spans="1:2" x14ac:dyDescent="0.25">
      <c r="A317" s="131" t="s">
        <v>16</v>
      </c>
      <c r="B317">
        <v>0.93371999999999999</v>
      </c>
    </row>
    <row r="318" spans="1:2" x14ac:dyDescent="0.25">
      <c r="A318" s="131" t="s">
        <v>18</v>
      </c>
      <c r="B318">
        <v>0.84336</v>
      </c>
    </row>
    <row r="319" spans="1:2" x14ac:dyDescent="0.25">
      <c r="A319" s="131" t="s">
        <v>19</v>
      </c>
      <c r="B319">
        <v>0.93371999999999999</v>
      </c>
    </row>
    <row r="320" spans="1:2" x14ac:dyDescent="0.25">
      <c r="A320" s="131" t="s">
        <v>20</v>
      </c>
      <c r="B320">
        <v>0.90359999999999996</v>
      </c>
    </row>
    <row r="321" spans="1:2" x14ac:dyDescent="0.25">
      <c r="A321" s="131" t="s">
        <v>21</v>
      </c>
      <c r="B321">
        <v>0.93371999999999999</v>
      </c>
    </row>
    <row r="322" spans="1:2" x14ac:dyDescent="0.25">
      <c r="A322" s="131" t="s">
        <v>22</v>
      </c>
      <c r="B322">
        <v>0.90359999999999996</v>
      </c>
    </row>
    <row r="323" spans="1:2" x14ac:dyDescent="0.25">
      <c r="A323" s="131" t="s">
        <v>23</v>
      </c>
      <c r="B323">
        <v>0.93371999999999999</v>
      </c>
    </row>
    <row r="324" spans="1:2" x14ac:dyDescent="0.25">
      <c r="A324" s="131" t="s">
        <v>24</v>
      </c>
      <c r="B324">
        <v>0.93371999999999999</v>
      </c>
    </row>
    <row r="325" spans="1:2" x14ac:dyDescent="0.25">
      <c r="A325" s="131" t="s">
        <v>25</v>
      </c>
      <c r="B325">
        <v>0.90359999999999996</v>
      </c>
    </row>
    <row r="326" spans="1:2" x14ac:dyDescent="0.25">
      <c r="A326" s="131" t="s">
        <v>26</v>
      </c>
      <c r="B326">
        <v>0.93371999999999999</v>
      </c>
    </row>
    <row r="327" spans="1:2" x14ac:dyDescent="0.25">
      <c r="A327" s="131" t="s">
        <v>27</v>
      </c>
      <c r="B327">
        <v>0.90359999999999996</v>
      </c>
    </row>
    <row r="328" spans="1:2" x14ac:dyDescent="0.25">
      <c r="A328" s="131" t="s">
        <v>28</v>
      </c>
      <c r="B328">
        <v>0.93371999999999999</v>
      </c>
    </row>
    <row r="329" spans="1:2" x14ac:dyDescent="0.25">
      <c r="A329" s="130" t="s">
        <v>101</v>
      </c>
      <c r="B329">
        <v>2</v>
      </c>
    </row>
    <row r="330" spans="1:2" x14ac:dyDescent="0.25">
      <c r="A330" s="129" t="s">
        <v>541</v>
      </c>
      <c r="B330">
        <v>2</v>
      </c>
    </row>
    <row r="331" spans="1:2" x14ac:dyDescent="0.25">
      <c r="A331" s="131" t="s">
        <v>30</v>
      </c>
      <c r="B331">
        <v>2</v>
      </c>
    </row>
    <row r="332" spans="1:2" x14ac:dyDescent="0.25">
      <c r="A332" s="132">
        <v>46120</v>
      </c>
      <c r="B332">
        <v>1</v>
      </c>
    </row>
    <row r="333" spans="1:2" x14ac:dyDescent="0.25">
      <c r="A333" s="132">
        <v>46274</v>
      </c>
      <c r="B333">
        <v>1</v>
      </c>
    </row>
    <row r="334" spans="1:2" x14ac:dyDescent="0.25">
      <c r="A334" s="130" t="s">
        <v>103</v>
      </c>
      <c r="B334">
        <v>5.16</v>
      </c>
    </row>
    <row r="335" spans="1:2" x14ac:dyDescent="0.25">
      <c r="A335" s="129" t="s">
        <v>541</v>
      </c>
      <c r="B335">
        <v>5.16</v>
      </c>
    </row>
    <row r="336" spans="1:2" x14ac:dyDescent="0.25">
      <c r="A336" s="131" t="s">
        <v>37</v>
      </c>
      <c r="B336">
        <v>1.29</v>
      </c>
    </row>
    <row r="337" spans="1:2" x14ac:dyDescent="0.25">
      <c r="A337" s="132">
        <v>46112</v>
      </c>
      <c r="B337">
        <v>1.29</v>
      </c>
    </row>
    <row r="338" spans="1:2" x14ac:dyDescent="0.25">
      <c r="A338" s="131" t="s">
        <v>35</v>
      </c>
      <c r="B338">
        <v>1.29</v>
      </c>
    </row>
    <row r="339" spans="1:2" x14ac:dyDescent="0.25">
      <c r="A339" s="132">
        <v>46112</v>
      </c>
      <c r="B339">
        <v>1.29</v>
      </c>
    </row>
    <row r="340" spans="1:2" x14ac:dyDescent="0.25">
      <c r="A340" s="131" t="s">
        <v>38</v>
      </c>
      <c r="B340">
        <v>1.29</v>
      </c>
    </row>
    <row r="341" spans="1:2" x14ac:dyDescent="0.25">
      <c r="A341" s="132">
        <v>46203</v>
      </c>
      <c r="B341">
        <v>1.29</v>
      </c>
    </row>
    <row r="342" spans="1:2" x14ac:dyDescent="0.25">
      <c r="A342" s="131" t="s">
        <v>39</v>
      </c>
      <c r="B342">
        <v>1.29</v>
      </c>
    </row>
    <row r="343" spans="1:2" x14ac:dyDescent="0.25">
      <c r="A343" s="132">
        <v>46295</v>
      </c>
      <c r="B343">
        <v>1.29</v>
      </c>
    </row>
    <row r="344" spans="1:2" x14ac:dyDescent="0.25">
      <c r="A344" s="130" t="s">
        <v>105</v>
      </c>
      <c r="B344">
        <v>10.416000000000002</v>
      </c>
    </row>
    <row r="345" spans="1:2" x14ac:dyDescent="0.25">
      <c r="A345" s="129" t="s">
        <v>541</v>
      </c>
      <c r="B345">
        <v>10.416000000000002</v>
      </c>
    </row>
    <row r="346" spans="1:2" x14ac:dyDescent="0.25">
      <c r="A346" s="131" t="s">
        <v>16</v>
      </c>
      <c r="B346">
        <v>0.86799999999999999</v>
      </c>
    </row>
    <row r="347" spans="1:2" x14ac:dyDescent="0.25">
      <c r="A347" s="131" t="s">
        <v>18</v>
      </c>
      <c r="B347">
        <v>0.86799999999999999</v>
      </c>
    </row>
    <row r="348" spans="1:2" x14ac:dyDescent="0.25">
      <c r="A348" s="131" t="s">
        <v>19</v>
      </c>
      <c r="B348">
        <v>0.86799999999999999</v>
      </c>
    </row>
    <row r="349" spans="1:2" x14ac:dyDescent="0.25">
      <c r="A349" s="131" t="s">
        <v>20</v>
      </c>
      <c r="B349">
        <v>0.86799999999999999</v>
      </c>
    </row>
    <row r="350" spans="1:2" x14ac:dyDescent="0.25">
      <c r="A350" s="131" t="s">
        <v>21</v>
      </c>
      <c r="B350">
        <v>0.86799999999999999</v>
      </c>
    </row>
    <row r="351" spans="1:2" x14ac:dyDescent="0.25">
      <c r="A351" s="131" t="s">
        <v>22</v>
      </c>
      <c r="B351">
        <v>0.86799999999999999</v>
      </c>
    </row>
    <row r="352" spans="1:2" x14ac:dyDescent="0.25">
      <c r="A352" s="131" t="s">
        <v>23</v>
      </c>
      <c r="B352">
        <v>0.86799999999999999</v>
      </c>
    </row>
    <row r="353" spans="1:2" x14ac:dyDescent="0.25">
      <c r="A353" s="131" t="s">
        <v>24</v>
      </c>
      <c r="B353">
        <v>0.86799999999999999</v>
      </c>
    </row>
    <row r="354" spans="1:2" x14ac:dyDescent="0.25">
      <c r="A354" s="131" t="s">
        <v>25</v>
      </c>
      <c r="B354">
        <v>0.86799999999999999</v>
      </c>
    </row>
    <row r="355" spans="1:2" x14ac:dyDescent="0.25">
      <c r="A355" s="131" t="s">
        <v>26</v>
      </c>
      <c r="B355">
        <v>0.86799999999999999</v>
      </c>
    </row>
    <row r="356" spans="1:2" x14ac:dyDescent="0.25">
      <c r="A356" s="131" t="s">
        <v>27</v>
      </c>
      <c r="B356">
        <v>0.86799999999999999</v>
      </c>
    </row>
    <row r="357" spans="1:2" x14ac:dyDescent="0.25">
      <c r="A357" s="131" t="s">
        <v>28</v>
      </c>
      <c r="B357">
        <v>0.86799999999999999</v>
      </c>
    </row>
    <row r="358" spans="1:2" x14ac:dyDescent="0.25">
      <c r="A358" s="130" t="s">
        <v>107</v>
      </c>
      <c r="B358">
        <v>18.241199999999996</v>
      </c>
    </row>
    <row r="359" spans="1:2" x14ac:dyDescent="0.25">
      <c r="A359" s="129" t="s">
        <v>541</v>
      </c>
      <c r="B359">
        <v>18.241199999999996</v>
      </c>
    </row>
    <row r="360" spans="1:2" x14ac:dyDescent="0.25">
      <c r="A360" s="131" t="s">
        <v>16</v>
      </c>
      <c r="B360">
        <v>1.5201</v>
      </c>
    </row>
    <row r="361" spans="1:2" x14ac:dyDescent="0.25">
      <c r="A361" s="131" t="s">
        <v>18</v>
      </c>
      <c r="B361">
        <v>1.5201</v>
      </c>
    </row>
    <row r="362" spans="1:2" x14ac:dyDescent="0.25">
      <c r="A362" s="131" t="s">
        <v>19</v>
      </c>
      <c r="B362">
        <v>1.5201</v>
      </c>
    </row>
    <row r="363" spans="1:2" x14ac:dyDescent="0.25">
      <c r="A363" s="131" t="s">
        <v>20</v>
      </c>
      <c r="B363">
        <v>1.5201</v>
      </c>
    </row>
    <row r="364" spans="1:2" x14ac:dyDescent="0.25">
      <c r="A364" s="131" t="s">
        <v>21</v>
      </c>
      <c r="B364">
        <v>1.5201</v>
      </c>
    </row>
    <row r="365" spans="1:2" x14ac:dyDescent="0.25">
      <c r="A365" s="131" t="s">
        <v>22</v>
      </c>
      <c r="B365">
        <v>1.5201</v>
      </c>
    </row>
    <row r="366" spans="1:2" x14ac:dyDescent="0.25">
      <c r="A366" s="131" t="s">
        <v>23</v>
      </c>
      <c r="B366">
        <v>1.5201</v>
      </c>
    </row>
    <row r="367" spans="1:2" x14ac:dyDescent="0.25">
      <c r="A367" s="131" t="s">
        <v>24</v>
      </c>
      <c r="B367">
        <v>1.5201</v>
      </c>
    </row>
    <row r="368" spans="1:2" x14ac:dyDescent="0.25">
      <c r="A368" s="131" t="s">
        <v>25</v>
      </c>
      <c r="B368">
        <v>1.5201</v>
      </c>
    </row>
    <row r="369" spans="1:2" x14ac:dyDescent="0.25">
      <c r="A369" s="131" t="s">
        <v>26</v>
      </c>
      <c r="B369">
        <v>1.5201</v>
      </c>
    </row>
    <row r="370" spans="1:2" x14ac:dyDescent="0.25">
      <c r="A370" s="131" t="s">
        <v>27</v>
      </c>
      <c r="B370">
        <v>1.5201</v>
      </c>
    </row>
    <row r="371" spans="1:2" x14ac:dyDescent="0.25">
      <c r="A371" s="131" t="s">
        <v>28</v>
      </c>
      <c r="B371">
        <v>1.5201</v>
      </c>
    </row>
    <row r="372" spans="1:2" x14ac:dyDescent="0.25">
      <c r="A372" s="130" t="s">
        <v>109</v>
      </c>
      <c r="B372">
        <v>12</v>
      </c>
    </row>
    <row r="373" spans="1:2" x14ac:dyDescent="0.25">
      <c r="A373" s="129" t="s">
        <v>541</v>
      </c>
      <c r="B373">
        <v>12</v>
      </c>
    </row>
    <row r="374" spans="1:2" x14ac:dyDescent="0.25">
      <c r="A374" s="131" t="s">
        <v>16</v>
      </c>
      <c r="B374">
        <v>1</v>
      </c>
    </row>
    <row r="375" spans="1:2" x14ac:dyDescent="0.25">
      <c r="A375" s="131" t="s">
        <v>18</v>
      </c>
      <c r="B375">
        <v>1</v>
      </c>
    </row>
    <row r="376" spans="1:2" x14ac:dyDescent="0.25">
      <c r="A376" s="131" t="s">
        <v>19</v>
      </c>
      <c r="B376">
        <v>1</v>
      </c>
    </row>
    <row r="377" spans="1:2" x14ac:dyDescent="0.25">
      <c r="A377" s="131" t="s">
        <v>20</v>
      </c>
      <c r="B377">
        <v>1</v>
      </c>
    </row>
    <row r="378" spans="1:2" x14ac:dyDescent="0.25">
      <c r="A378" s="131" t="s">
        <v>21</v>
      </c>
      <c r="B378">
        <v>1</v>
      </c>
    </row>
    <row r="379" spans="1:2" x14ac:dyDescent="0.25">
      <c r="A379" s="131" t="s">
        <v>22</v>
      </c>
      <c r="B379">
        <v>1</v>
      </c>
    </row>
    <row r="380" spans="1:2" x14ac:dyDescent="0.25">
      <c r="A380" s="131" t="s">
        <v>23</v>
      </c>
      <c r="B380">
        <v>1</v>
      </c>
    </row>
    <row r="381" spans="1:2" x14ac:dyDescent="0.25">
      <c r="A381" s="131" t="s">
        <v>24</v>
      </c>
      <c r="B381">
        <v>1</v>
      </c>
    </row>
    <row r="382" spans="1:2" x14ac:dyDescent="0.25">
      <c r="A382" s="131" t="s">
        <v>25</v>
      </c>
      <c r="B382">
        <v>1</v>
      </c>
    </row>
    <row r="383" spans="1:2" x14ac:dyDescent="0.25">
      <c r="A383" s="131" t="s">
        <v>26</v>
      </c>
      <c r="B383">
        <v>1</v>
      </c>
    </row>
    <row r="384" spans="1:2" x14ac:dyDescent="0.25">
      <c r="A384" s="131" t="s">
        <v>27</v>
      </c>
      <c r="B384">
        <v>1</v>
      </c>
    </row>
    <row r="385" spans="1:2" x14ac:dyDescent="0.25">
      <c r="A385" s="131" t="s">
        <v>28</v>
      </c>
      <c r="B385">
        <v>1</v>
      </c>
    </row>
    <row r="386" spans="1:2" x14ac:dyDescent="0.25">
      <c r="A386" s="130" t="s">
        <v>111</v>
      </c>
      <c r="B386">
        <v>4.87392</v>
      </c>
    </row>
    <row r="387" spans="1:2" x14ac:dyDescent="0.25">
      <c r="A387" s="129" t="s">
        <v>541</v>
      </c>
      <c r="B387">
        <v>4.87392</v>
      </c>
    </row>
    <row r="388" spans="1:2" x14ac:dyDescent="0.25">
      <c r="A388" s="131" t="s">
        <v>37</v>
      </c>
      <c r="B388">
        <v>0.91283000000000003</v>
      </c>
    </row>
    <row r="389" spans="1:2" x14ac:dyDescent="0.25">
      <c r="A389" s="132">
        <v>46112</v>
      </c>
      <c r="B389">
        <v>0.91283000000000003</v>
      </c>
    </row>
    <row r="390" spans="1:2" x14ac:dyDescent="0.25">
      <c r="A390" s="131" t="s">
        <v>35</v>
      </c>
      <c r="B390">
        <v>0.91283000000000003</v>
      </c>
    </row>
    <row r="391" spans="1:2" x14ac:dyDescent="0.25">
      <c r="A391" s="132">
        <v>46058</v>
      </c>
      <c r="B391">
        <v>0.91283000000000003</v>
      </c>
    </row>
    <row r="392" spans="1:2" x14ac:dyDescent="0.25">
      <c r="A392" s="131" t="s">
        <v>38</v>
      </c>
      <c r="B392">
        <v>0.91283000000000003</v>
      </c>
    </row>
    <row r="393" spans="1:2" x14ac:dyDescent="0.25">
      <c r="A393" s="132">
        <v>46203</v>
      </c>
      <c r="B393">
        <v>0.91283000000000003</v>
      </c>
    </row>
    <row r="394" spans="1:2" x14ac:dyDescent="0.25">
      <c r="A394" s="131" t="s">
        <v>30</v>
      </c>
      <c r="B394">
        <v>1.2225999999999999</v>
      </c>
    </row>
    <row r="395" spans="1:2" x14ac:dyDescent="0.25">
      <c r="A395" s="132">
        <v>46275</v>
      </c>
      <c r="B395">
        <v>1.2225999999999999</v>
      </c>
    </row>
    <row r="396" spans="1:2" x14ac:dyDescent="0.25">
      <c r="A396" s="131" t="s">
        <v>39</v>
      </c>
      <c r="B396">
        <v>0.91283000000000003</v>
      </c>
    </row>
    <row r="397" spans="1:2" x14ac:dyDescent="0.25">
      <c r="A397" s="132">
        <v>46295</v>
      </c>
      <c r="B397">
        <v>0.91283000000000003</v>
      </c>
    </row>
    <row r="398" spans="1:2" x14ac:dyDescent="0.25">
      <c r="A398" s="130" t="s">
        <v>114</v>
      </c>
      <c r="B398">
        <v>8.5558499999999995</v>
      </c>
    </row>
    <row r="399" spans="1:2" x14ac:dyDescent="0.25">
      <c r="A399" s="129" t="s">
        <v>543</v>
      </c>
      <c r="B399">
        <v>1.7111700000000001</v>
      </c>
    </row>
    <row r="400" spans="1:2" x14ac:dyDescent="0.25">
      <c r="A400" s="129" t="s">
        <v>541</v>
      </c>
      <c r="B400">
        <v>6.8446800000000003</v>
      </c>
    </row>
    <row r="401" spans="1:2" x14ac:dyDescent="0.25">
      <c r="A401" s="131" t="s">
        <v>37</v>
      </c>
      <c r="B401">
        <v>1.7111700000000001</v>
      </c>
    </row>
    <row r="402" spans="1:2" x14ac:dyDescent="0.25">
      <c r="A402" s="132">
        <v>46112</v>
      </c>
      <c r="B402">
        <v>1.7111700000000001</v>
      </c>
    </row>
    <row r="403" spans="1:2" x14ac:dyDescent="0.25">
      <c r="A403" s="131" t="s">
        <v>38</v>
      </c>
      <c r="B403">
        <v>1.7111700000000001</v>
      </c>
    </row>
    <row r="404" spans="1:2" x14ac:dyDescent="0.25">
      <c r="A404" s="132">
        <v>46203</v>
      </c>
      <c r="B404">
        <v>1.7111700000000001</v>
      </c>
    </row>
    <row r="405" spans="1:2" x14ac:dyDescent="0.25">
      <c r="A405" s="131" t="s">
        <v>30</v>
      </c>
      <c r="B405">
        <v>1.7111700000000001</v>
      </c>
    </row>
    <row r="406" spans="1:2" x14ac:dyDescent="0.25">
      <c r="A406" s="132">
        <v>46234</v>
      </c>
      <c r="B406">
        <v>1.7111700000000001</v>
      </c>
    </row>
    <row r="407" spans="1:2" x14ac:dyDescent="0.25">
      <c r="A407" s="131" t="s">
        <v>39</v>
      </c>
      <c r="B407">
        <v>1.7111700000000001</v>
      </c>
    </row>
    <row r="408" spans="1:2" x14ac:dyDescent="0.25">
      <c r="A408" s="132">
        <v>46295</v>
      </c>
      <c r="B408">
        <v>1.7111700000000001</v>
      </c>
    </row>
    <row r="409" spans="1:2" x14ac:dyDescent="0.25">
      <c r="A409" s="130" t="s">
        <v>116</v>
      </c>
      <c r="B409">
        <v>21.677769999999999</v>
      </c>
    </row>
    <row r="410" spans="1:2" x14ac:dyDescent="0.25">
      <c r="A410" s="129" t="s">
        <v>541</v>
      </c>
      <c r="B410">
        <v>21.677769999999999</v>
      </c>
    </row>
    <row r="411" spans="1:2" x14ac:dyDescent="0.25">
      <c r="A411" s="131" t="s">
        <v>16</v>
      </c>
      <c r="B411">
        <v>1.70333</v>
      </c>
    </row>
    <row r="412" spans="1:2" x14ac:dyDescent="0.25">
      <c r="A412" s="131" t="s">
        <v>18</v>
      </c>
      <c r="B412">
        <v>1.70333</v>
      </c>
    </row>
    <row r="413" spans="1:2" x14ac:dyDescent="0.25">
      <c r="A413" s="131" t="s">
        <v>19</v>
      </c>
      <c r="B413">
        <v>1.70333</v>
      </c>
    </row>
    <row r="414" spans="1:2" x14ac:dyDescent="0.25">
      <c r="A414" s="131" t="s">
        <v>20</v>
      </c>
      <c r="B414">
        <v>1.70333</v>
      </c>
    </row>
    <row r="415" spans="1:2" x14ac:dyDescent="0.25">
      <c r="A415" s="131" t="s">
        <v>21</v>
      </c>
      <c r="B415">
        <v>1.70333</v>
      </c>
    </row>
    <row r="416" spans="1:2" x14ac:dyDescent="0.25">
      <c r="A416" s="131" t="s">
        <v>22</v>
      </c>
      <c r="B416">
        <v>1.70333</v>
      </c>
    </row>
    <row r="417" spans="1:2" x14ac:dyDescent="0.25">
      <c r="A417" s="131" t="s">
        <v>23</v>
      </c>
      <c r="B417">
        <v>1.70333</v>
      </c>
    </row>
    <row r="418" spans="1:2" x14ac:dyDescent="0.25">
      <c r="A418" s="131" t="s">
        <v>24</v>
      </c>
      <c r="B418">
        <v>1.70333</v>
      </c>
    </row>
    <row r="419" spans="1:2" x14ac:dyDescent="0.25">
      <c r="A419" s="131" t="s">
        <v>25</v>
      </c>
      <c r="B419">
        <v>1.70333</v>
      </c>
    </row>
    <row r="420" spans="1:2" x14ac:dyDescent="0.25">
      <c r="A420" s="131" t="s">
        <v>26</v>
      </c>
      <c r="B420">
        <v>1.70333</v>
      </c>
    </row>
    <row r="421" spans="1:2" x14ac:dyDescent="0.25">
      <c r="A421" s="131" t="s">
        <v>27</v>
      </c>
      <c r="B421">
        <v>1.70333</v>
      </c>
    </row>
    <row r="422" spans="1:2" x14ac:dyDescent="0.25">
      <c r="A422" s="131" t="s">
        <v>28</v>
      </c>
      <c r="B422">
        <v>1.70333</v>
      </c>
    </row>
    <row r="423" spans="1:2" x14ac:dyDescent="0.25">
      <c r="A423" s="131" t="s">
        <v>30</v>
      </c>
      <c r="B423">
        <v>1.2378100000000001</v>
      </c>
    </row>
    <row r="424" spans="1:2" x14ac:dyDescent="0.25">
      <c r="A424" s="132">
        <v>46261</v>
      </c>
      <c r="B424">
        <v>1.2378100000000001</v>
      </c>
    </row>
    <row r="425" spans="1:2" x14ac:dyDescent="0.25">
      <c r="A425" s="130" t="s">
        <v>118</v>
      </c>
      <c r="B425">
        <v>3</v>
      </c>
    </row>
    <row r="426" spans="1:2" x14ac:dyDescent="0.25">
      <c r="A426" s="129" t="s">
        <v>541</v>
      </c>
      <c r="B426">
        <v>3</v>
      </c>
    </row>
    <row r="427" spans="1:2" x14ac:dyDescent="0.25">
      <c r="A427" s="131" t="s">
        <v>30</v>
      </c>
      <c r="B427">
        <v>3</v>
      </c>
    </row>
    <row r="428" spans="1:2" x14ac:dyDescent="0.25">
      <c r="A428" s="132">
        <v>46096</v>
      </c>
      <c r="B428">
        <v>1</v>
      </c>
    </row>
    <row r="429" spans="1:2" x14ac:dyDescent="0.25">
      <c r="A429" s="132">
        <v>46122</v>
      </c>
      <c r="B429">
        <v>1</v>
      </c>
    </row>
    <row r="430" spans="1:2" x14ac:dyDescent="0.25">
      <c r="A430" s="132">
        <v>46188</v>
      </c>
      <c r="B430">
        <v>1</v>
      </c>
    </row>
    <row r="431" spans="1:2" x14ac:dyDescent="0.25">
      <c r="A431" s="130" t="s">
        <v>120</v>
      </c>
      <c r="B431">
        <v>10.301299999999999</v>
      </c>
    </row>
    <row r="432" spans="1:2" x14ac:dyDescent="0.25">
      <c r="A432" s="129" t="s">
        <v>541</v>
      </c>
      <c r="B432">
        <v>10.301299999999999</v>
      </c>
    </row>
    <row r="433" spans="1:2" x14ac:dyDescent="0.25">
      <c r="A433" s="131" t="s">
        <v>121</v>
      </c>
      <c r="B433">
        <v>1.5649999999999999</v>
      </c>
    </row>
    <row r="434" spans="1:2" x14ac:dyDescent="0.25">
      <c r="A434" s="132">
        <v>46037</v>
      </c>
      <c r="B434">
        <v>1.5649999999999999</v>
      </c>
    </row>
    <row r="435" spans="1:2" x14ac:dyDescent="0.25">
      <c r="A435" s="131" t="s">
        <v>44</v>
      </c>
      <c r="B435">
        <v>1.5649999999999999</v>
      </c>
    </row>
    <row r="436" spans="1:2" x14ac:dyDescent="0.25">
      <c r="A436" s="132">
        <v>46196</v>
      </c>
      <c r="B436">
        <v>1.5649999999999999</v>
      </c>
    </row>
    <row r="437" spans="1:2" x14ac:dyDescent="0.25">
      <c r="A437" s="131" t="s">
        <v>122</v>
      </c>
      <c r="B437">
        <v>1.5649999999999999</v>
      </c>
    </row>
    <row r="438" spans="1:2" x14ac:dyDescent="0.25">
      <c r="A438" s="132">
        <v>46073</v>
      </c>
      <c r="B438">
        <v>1.5649999999999999</v>
      </c>
    </row>
    <row r="439" spans="1:2" x14ac:dyDescent="0.25">
      <c r="A439" s="131" t="s">
        <v>43</v>
      </c>
      <c r="B439">
        <v>1.5649999999999999</v>
      </c>
    </row>
    <row r="440" spans="1:2" x14ac:dyDescent="0.25">
      <c r="A440" s="132">
        <v>46133</v>
      </c>
      <c r="B440">
        <v>1.5649999999999999</v>
      </c>
    </row>
    <row r="441" spans="1:2" x14ac:dyDescent="0.25">
      <c r="A441" s="131" t="s">
        <v>46</v>
      </c>
      <c r="B441">
        <v>1.5649999999999999</v>
      </c>
    </row>
    <row r="442" spans="1:2" x14ac:dyDescent="0.25">
      <c r="A442" s="132">
        <v>46316</v>
      </c>
      <c r="B442">
        <v>1.5649999999999999</v>
      </c>
    </row>
    <row r="443" spans="1:2" x14ac:dyDescent="0.25">
      <c r="A443" s="131" t="s">
        <v>30</v>
      </c>
      <c r="B443">
        <v>0.9113</v>
      </c>
    </row>
    <row r="444" spans="1:2" x14ac:dyDescent="0.25">
      <c r="A444" s="132">
        <v>46194</v>
      </c>
      <c r="B444">
        <v>0.9113</v>
      </c>
    </row>
    <row r="445" spans="1:2" x14ac:dyDescent="0.25">
      <c r="A445" s="131" t="s">
        <v>45</v>
      </c>
      <c r="B445">
        <v>1.5649999999999999</v>
      </c>
    </row>
    <row r="446" spans="1:2" x14ac:dyDescent="0.25">
      <c r="A446" s="132">
        <v>46252</v>
      </c>
      <c r="B446">
        <v>1.5649999999999999</v>
      </c>
    </row>
    <row r="447" spans="1:2" x14ac:dyDescent="0.25">
      <c r="A447" s="130" t="s">
        <v>123</v>
      </c>
      <c r="B447">
        <v>4.8</v>
      </c>
    </row>
    <row r="448" spans="1:2" x14ac:dyDescent="0.25">
      <c r="A448" s="129" t="s">
        <v>541</v>
      </c>
      <c r="B448">
        <v>4.8</v>
      </c>
    </row>
    <row r="449" spans="1:2" x14ac:dyDescent="0.25">
      <c r="A449" s="131" t="s">
        <v>121</v>
      </c>
      <c r="B449">
        <v>0.8</v>
      </c>
    </row>
    <row r="450" spans="1:2" x14ac:dyDescent="0.25">
      <c r="A450" s="132">
        <v>46041</v>
      </c>
      <c r="B450">
        <v>0.8</v>
      </c>
    </row>
    <row r="451" spans="1:2" x14ac:dyDescent="0.25">
      <c r="A451" s="131" t="s">
        <v>44</v>
      </c>
      <c r="B451">
        <v>0.8</v>
      </c>
    </row>
    <row r="452" spans="1:2" x14ac:dyDescent="0.25">
      <c r="A452" s="132">
        <v>46203</v>
      </c>
      <c r="B452">
        <v>0.8</v>
      </c>
    </row>
    <row r="453" spans="1:2" x14ac:dyDescent="0.25">
      <c r="A453" s="131" t="s">
        <v>122</v>
      </c>
      <c r="B453">
        <v>0.8</v>
      </c>
    </row>
    <row r="454" spans="1:2" x14ac:dyDescent="0.25">
      <c r="A454" s="132">
        <v>46041</v>
      </c>
      <c r="B454">
        <v>0.8</v>
      </c>
    </row>
    <row r="455" spans="1:2" x14ac:dyDescent="0.25">
      <c r="A455" s="131" t="s">
        <v>43</v>
      </c>
      <c r="B455">
        <v>0.8</v>
      </c>
    </row>
    <row r="456" spans="1:2" x14ac:dyDescent="0.25">
      <c r="A456" s="132">
        <v>46086</v>
      </c>
      <c r="B456">
        <v>0.8</v>
      </c>
    </row>
    <row r="457" spans="1:2" x14ac:dyDescent="0.25">
      <c r="A457" s="131" t="s">
        <v>46</v>
      </c>
      <c r="B457">
        <v>0.8</v>
      </c>
    </row>
    <row r="458" spans="1:2" x14ac:dyDescent="0.25">
      <c r="A458" s="132">
        <v>46268</v>
      </c>
      <c r="B458">
        <v>0.8</v>
      </c>
    </row>
    <row r="459" spans="1:2" x14ac:dyDescent="0.25">
      <c r="A459" s="131" t="s">
        <v>45</v>
      </c>
      <c r="B459">
        <v>0.8</v>
      </c>
    </row>
    <row r="460" spans="1:2" x14ac:dyDescent="0.25">
      <c r="A460" s="132">
        <v>46264</v>
      </c>
      <c r="B460">
        <v>0.8</v>
      </c>
    </row>
    <row r="461" spans="1:2" x14ac:dyDescent="0.25">
      <c r="A461" s="130" t="s">
        <v>125</v>
      </c>
      <c r="B461">
        <v>3</v>
      </c>
    </row>
    <row r="462" spans="1:2" x14ac:dyDescent="0.25">
      <c r="A462" s="129" t="s">
        <v>541</v>
      </c>
      <c r="B462">
        <v>3</v>
      </c>
    </row>
    <row r="463" spans="1:2" x14ac:dyDescent="0.25">
      <c r="A463" s="131" t="s">
        <v>30</v>
      </c>
      <c r="B463">
        <v>3</v>
      </c>
    </row>
    <row r="464" spans="1:2" x14ac:dyDescent="0.25">
      <c r="A464" s="132">
        <v>46050</v>
      </c>
      <c r="B464">
        <v>1</v>
      </c>
    </row>
    <row r="465" spans="1:2" x14ac:dyDescent="0.25">
      <c r="A465" s="132">
        <v>46203</v>
      </c>
      <c r="B465">
        <v>1</v>
      </c>
    </row>
    <row r="466" spans="1:2" x14ac:dyDescent="0.25">
      <c r="A466" s="132">
        <v>46295</v>
      </c>
      <c r="B466">
        <v>1</v>
      </c>
    </row>
    <row r="467" spans="1:2" x14ac:dyDescent="0.25">
      <c r="A467" s="130" t="s">
        <v>127</v>
      </c>
      <c r="B467">
        <v>22.684999999999999</v>
      </c>
    </row>
    <row r="468" spans="1:2" x14ac:dyDescent="0.25">
      <c r="A468" s="129" t="s">
        <v>543</v>
      </c>
      <c r="B468">
        <v>5.2866</v>
      </c>
    </row>
    <row r="469" spans="1:2" x14ac:dyDescent="0.25">
      <c r="A469" s="129" t="s">
        <v>541</v>
      </c>
      <c r="B469">
        <v>17.398399999999999</v>
      </c>
    </row>
    <row r="470" spans="1:2" x14ac:dyDescent="0.25">
      <c r="A470" s="131" t="s">
        <v>20</v>
      </c>
      <c r="B470">
        <v>1.7622</v>
      </c>
    </row>
    <row r="471" spans="1:2" x14ac:dyDescent="0.25">
      <c r="A471" s="131" t="s">
        <v>21</v>
      </c>
      <c r="B471">
        <v>1.7622</v>
      </c>
    </row>
    <row r="472" spans="1:2" x14ac:dyDescent="0.25">
      <c r="A472" s="131" t="s">
        <v>22</v>
      </c>
      <c r="B472">
        <v>1.7622</v>
      </c>
    </row>
    <row r="473" spans="1:2" x14ac:dyDescent="0.25">
      <c r="A473" s="131" t="s">
        <v>23</v>
      </c>
      <c r="B473">
        <v>1.7622</v>
      </c>
    </row>
    <row r="474" spans="1:2" x14ac:dyDescent="0.25">
      <c r="A474" s="131" t="s">
        <v>24</v>
      </c>
      <c r="B474">
        <v>1.7622</v>
      </c>
    </row>
    <row r="475" spans="1:2" x14ac:dyDescent="0.25">
      <c r="A475" s="131" t="s">
        <v>25</v>
      </c>
      <c r="B475">
        <v>1.7622</v>
      </c>
    </row>
    <row r="476" spans="1:2" x14ac:dyDescent="0.25">
      <c r="A476" s="131" t="s">
        <v>26</v>
      </c>
      <c r="B476">
        <v>1.7622</v>
      </c>
    </row>
    <row r="477" spans="1:2" x14ac:dyDescent="0.25">
      <c r="A477" s="131" t="s">
        <v>27</v>
      </c>
      <c r="B477">
        <v>1.7622</v>
      </c>
    </row>
    <row r="478" spans="1:2" x14ac:dyDescent="0.25">
      <c r="A478" s="131" t="s">
        <v>28</v>
      </c>
      <c r="B478">
        <v>1.7622</v>
      </c>
    </row>
    <row r="479" spans="1:2" x14ac:dyDescent="0.25">
      <c r="A479" s="131" t="s">
        <v>30</v>
      </c>
      <c r="B479">
        <v>1.5386</v>
      </c>
    </row>
    <row r="480" spans="1:2" x14ac:dyDescent="0.25">
      <c r="A480" s="132">
        <v>46258</v>
      </c>
      <c r="B480">
        <v>1.5386</v>
      </c>
    </row>
    <row r="481" spans="1:2" x14ac:dyDescent="0.25">
      <c r="A481" s="130" t="s">
        <v>129</v>
      </c>
      <c r="B481">
        <v>3.5999999999999996</v>
      </c>
    </row>
    <row r="482" spans="1:2" x14ac:dyDescent="0.25">
      <c r="A482" s="129" t="s">
        <v>541</v>
      </c>
      <c r="B482">
        <v>3.5999999999999996</v>
      </c>
    </row>
    <row r="483" spans="1:2" x14ac:dyDescent="0.25">
      <c r="A483" s="131" t="s">
        <v>41</v>
      </c>
      <c r="B483">
        <v>1.2</v>
      </c>
    </row>
    <row r="484" spans="1:2" x14ac:dyDescent="0.25">
      <c r="A484" s="132">
        <v>46037</v>
      </c>
      <c r="B484">
        <v>1.2</v>
      </c>
    </row>
    <row r="485" spans="1:2" x14ac:dyDescent="0.25">
      <c r="A485" s="131" t="s">
        <v>131</v>
      </c>
      <c r="B485">
        <v>1.2</v>
      </c>
    </row>
    <row r="486" spans="1:2" x14ac:dyDescent="0.25">
      <c r="A486" s="132">
        <v>46127</v>
      </c>
      <c r="B486">
        <v>1.2</v>
      </c>
    </row>
    <row r="487" spans="1:2" x14ac:dyDescent="0.25">
      <c r="A487" s="131" t="s">
        <v>132</v>
      </c>
      <c r="B487">
        <v>1.2</v>
      </c>
    </row>
    <row r="488" spans="1:2" x14ac:dyDescent="0.25">
      <c r="A488" s="132">
        <v>46249</v>
      </c>
      <c r="B488">
        <v>1.2</v>
      </c>
    </row>
    <row r="489" spans="1:2" x14ac:dyDescent="0.25">
      <c r="A489" s="130" t="s">
        <v>133</v>
      </c>
      <c r="B489">
        <v>7.7207999999999997</v>
      </c>
    </row>
    <row r="490" spans="1:2" x14ac:dyDescent="0.25">
      <c r="A490" s="129" t="s">
        <v>541</v>
      </c>
      <c r="B490">
        <v>7.7207999999999997</v>
      </c>
    </row>
    <row r="491" spans="1:2" x14ac:dyDescent="0.25">
      <c r="A491" s="131" t="s">
        <v>37</v>
      </c>
      <c r="B491">
        <v>1.68</v>
      </c>
    </row>
    <row r="492" spans="1:2" x14ac:dyDescent="0.25">
      <c r="A492" s="132">
        <v>46111</v>
      </c>
      <c r="B492">
        <v>1.68</v>
      </c>
    </row>
    <row r="493" spans="1:2" x14ac:dyDescent="0.25">
      <c r="A493" s="131" t="s">
        <v>35</v>
      </c>
      <c r="B493">
        <v>1.68</v>
      </c>
    </row>
    <row r="494" spans="1:2" x14ac:dyDescent="0.25">
      <c r="A494" s="132">
        <v>46052</v>
      </c>
      <c r="B494">
        <v>1.68</v>
      </c>
    </row>
    <row r="495" spans="1:2" x14ac:dyDescent="0.25">
      <c r="A495" s="131" t="s">
        <v>38</v>
      </c>
      <c r="B495">
        <v>1.68</v>
      </c>
    </row>
    <row r="496" spans="1:2" x14ac:dyDescent="0.25">
      <c r="A496" s="132">
        <v>46202</v>
      </c>
      <c r="B496">
        <v>1.68</v>
      </c>
    </row>
    <row r="497" spans="1:2" x14ac:dyDescent="0.25">
      <c r="A497" s="131" t="s">
        <v>30</v>
      </c>
      <c r="B497">
        <v>1.0007999999999999</v>
      </c>
    </row>
    <row r="498" spans="1:2" x14ac:dyDescent="0.25">
      <c r="A498" s="132">
        <v>46264</v>
      </c>
      <c r="B498">
        <v>1.0007999999999999</v>
      </c>
    </row>
    <row r="499" spans="1:2" x14ac:dyDescent="0.25">
      <c r="A499" s="131" t="s">
        <v>39</v>
      </c>
      <c r="B499">
        <v>1.68</v>
      </c>
    </row>
    <row r="500" spans="1:2" x14ac:dyDescent="0.25">
      <c r="A500" s="132">
        <v>46293</v>
      </c>
      <c r="B500">
        <v>1.68</v>
      </c>
    </row>
    <row r="501" spans="1:2" x14ac:dyDescent="0.25">
      <c r="A501" s="130" t="s">
        <v>135</v>
      </c>
      <c r="B501">
        <v>1</v>
      </c>
    </row>
    <row r="502" spans="1:2" x14ac:dyDescent="0.25">
      <c r="A502" s="129" t="s">
        <v>541</v>
      </c>
      <c r="B502">
        <v>1</v>
      </c>
    </row>
    <row r="503" spans="1:2" x14ac:dyDescent="0.25">
      <c r="A503" s="131" t="s">
        <v>30</v>
      </c>
      <c r="B503">
        <v>1</v>
      </c>
    </row>
    <row r="504" spans="1:2" x14ac:dyDescent="0.25">
      <c r="A504" s="132">
        <v>46083</v>
      </c>
      <c r="B504">
        <v>1</v>
      </c>
    </row>
    <row r="505" spans="1:2" x14ac:dyDescent="0.25">
      <c r="A505" s="130" t="s">
        <v>136</v>
      </c>
      <c r="B505">
        <v>1</v>
      </c>
    </row>
    <row r="506" spans="1:2" x14ac:dyDescent="0.25">
      <c r="A506" s="129" t="s">
        <v>541</v>
      </c>
      <c r="B506">
        <v>1</v>
      </c>
    </row>
    <row r="507" spans="1:2" x14ac:dyDescent="0.25">
      <c r="A507" s="131" t="s">
        <v>30</v>
      </c>
      <c r="B507">
        <v>1</v>
      </c>
    </row>
    <row r="508" spans="1:2" x14ac:dyDescent="0.25">
      <c r="A508" s="132">
        <v>46083</v>
      </c>
      <c r="B508">
        <v>1</v>
      </c>
    </row>
    <row r="509" spans="1:2" x14ac:dyDescent="0.25">
      <c r="A509" s="130" t="s">
        <v>137</v>
      </c>
      <c r="B509">
        <v>1</v>
      </c>
    </row>
    <row r="510" spans="1:2" x14ac:dyDescent="0.25">
      <c r="A510" s="129" t="s">
        <v>541</v>
      </c>
      <c r="B510">
        <v>1</v>
      </c>
    </row>
    <row r="511" spans="1:2" x14ac:dyDescent="0.25">
      <c r="A511" s="131" t="s">
        <v>30</v>
      </c>
      <c r="B511">
        <v>1</v>
      </c>
    </row>
    <row r="512" spans="1:2" x14ac:dyDescent="0.25">
      <c r="A512" s="132">
        <v>46083</v>
      </c>
      <c r="B512">
        <v>1</v>
      </c>
    </row>
    <row r="513" spans="1:2" x14ac:dyDescent="0.25">
      <c r="A513" s="130" t="s">
        <v>138</v>
      </c>
      <c r="B513">
        <v>1</v>
      </c>
    </row>
    <row r="514" spans="1:2" x14ac:dyDescent="0.25">
      <c r="A514" s="129" t="s">
        <v>541</v>
      </c>
      <c r="B514">
        <v>1</v>
      </c>
    </row>
    <row r="515" spans="1:2" x14ac:dyDescent="0.25">
      <c r="A515" s="131" t="s">
        <v>30</v>
      </c>
      <c r="B515">
        <v>1</v>
      </c>
    </row>
    <row r="516" spans="1:2" x14ac:dyDescent="0.25">
      <c r="A516" s="132">
        <v>46083</v>
      </c>
      <c r="B516">
        <v>1</v>
      </c>
    </row>
    <row r="517" spans="1:2" x14ac:dyDescent="0.25">
      <c r="A517" s="130" t="s">
        <v>139</v>
      </c>
      <c r="B517">
        <v>1</v>
      </c>
    </row>
    <row r="518" spans="1:2" x14ac:dyDescent="0.25">
      <c r="A518" s="129" t="s">
        <v>541</v>
      </c>
      <c r="B518">
        <v>1</v>
      </c>
    </row>
    <row r="519" spans="1:2" x14ac:dyDescent="0.25">
      <c r="A519" s="131" t="s">
        <v>30</v>
      </c>
      <c r="B519">
        <v>1</v>
      </c>
    </row>
    <row r="520" spans="1:2" x14ac:dyDescent="0.25">
      <c r="A520" s="132">
        <v>46083</v>
      </c>
      <c r="B520">
        <v>1</v>
      </c>
    </row>
    <row r="521" spans="1:2" x14ac:dyDescent="0.25">
      <c r="A521" s="130" t="s">
        <v>140</v>
      </c>
      <c r="B521">
        <v>1</v>
      </c>
    </row>
    <row r="522" spans="1:2" x14ac:dyDescent="0.25">
      <c r="A522" s="129" t="s">
        <v>541</v>
      </c>
      <c r="B522">
        <v>1</v>
      </c>
    </row>
    <row r="523" spans="1:2" x14ac:dyDescent="0.25">
      <c r="A523" s="131" t="s">
        <v>30</v>
      </c>
      <c r="B523">
        <v>1</v>
      </c>
    </row>
    <row r="524" spans="1:2" x14ac:dyDescent="0.25">
      <c r="A524" s="132">
        <v>46083</v>
      </c>
      <c r="B524">
        <v>1</v>
      </c>
    </row>
    <row r="525" spans="1:2" x14ac:dyDescent="0.25">
      <c r="A525" s="130" t="s">
        <v>141</v>
      </c>
      <c r="B525">
        <v>10.392800000000001</v>
      </c>
    </row>
    <row r="526" spans="1:2" x14ac:dyDescent="0.25">
      <c r="A526" s="129" t="s">
        <v>541</v>
      </c>
      <c r="B526">
        <v>10.392800000000001</v>
      </c>
    </row>
    <row r="527" spans="1:2" x14ac:dyDescent="0.25">
      <c r="A527" s="131" t="s">
        <v>18</v>
      </c>
      <c r="B527">
        <v>0.94479999999999997</v>
      </c>
    </row>
    <row r="528" spans="1:2" x14ac:dyDescent="0.25">
      <c r="A528" s="131" t="s">
        <v>19</v>
      </c>
      <c r="B528">
        <v>0.94479999999999997</v>
      </c>
    </row>
    <row r="529" spans="1:2" x14ac:dyDescent="0.25">
      <c r="A529" s="131" t="s">
        <v>20</v>
      </c>
      <c r="B529">
        <v>0.94479999999999997</v>
      </c>
    </row>
    <row r="530" spans="1:2" x14ac:dyDescent="0.25">
      <c r="A530" s="131" t="s">
        <v>21</v>
      </c>
      <c r="B530">
        <v>0.94479999999999997</v>
      </c>
    </row>
    <row r="531" spans="1:2" x14ac:dyDescent="0.25">
      <c r="A531" s="131" t="s">
        <v>22</v>
      </c>
      <c r="B531">
        <v>0.94479999999999997</v>
      </c>
    </row>
    <row r="532" spans="1:2" x14ac:dyDescent="0.25">
      <c r="A532" s="131" t="s">
        <v>23</v>
      </c>
      <c r="B532">
        <v>0.94479999999999997</v>
      </c>
    </row>
    <row r="533" spans="1:2" x14ac:dyDescent="0.25">
      <c r="A533" s="131" t="s">
        <v>24</v>
      </c>
      <c r="B533">
        <v>0.94479999999999997</v>
      </c>
    </row>
    <row r="534" spans="1:2" x14ac:dyDescent="0.25">
      <c r="A534" s="131" t="s">
        <v>25</v>
      </c>
      <c r="B534">
        <v>0.94479999999999997</v>
      </c>
    </row>
    <row r="535" spans="1:2" x14ac:dyDescent="0.25">
      <c r="A535" s="131" t="s">
        <v>26</v>
      </c>
      <c r="B535">
        <v>0.94479999999999997</v>
      </c>
    </row>
    <row r="536" spans="1:2" x14ac:dyDescent="0.25">
      <c r="A536" s="131" t="s">
        <v>27</v>
      </c>
      <c r="B536">
        <v>0.94479999999999997</v>
      </c>
    </row>
    <row r="537" spans="1:2" x14ac:dyDescent="0.25">
      <c r="A537" s="131" t="s">
        <v>28</v>
      </c>
      <c r="B537">
        <v>0.94479999999999997</v>
      </c>
    </row>
    <row r="538" spans="1:2" x14ac:dyDescent="0.25">
      <c r="A538" s="130" t="s">
        <v>143</v>
      </c>
      <c r="B538">
        <v>3</v>
      </c>
    </row>
    <row r="539" spans="1:2" x14ac:dyDescent="0.25">
      <c r="A539" s="129" t="s">
        <v>541</v>
      </c>
      <c r="B539">
        <v>3</v>
      </c>
    </row>
    <row r="540" spans="1:2" x14ac:dyDescent="0.25">
      <c r="A540" s="131" t="s">
        <v>30</v>
      </c>
      <c r="B540">
        <v>3</v>
      </c>
    </row>
    <row r="541" spans="1:2" x14ac:dyDescent="0.25">
      <c r="A541" s="132">
        <v>46096</v>
      </c>
      <c r="B541">
        <v>1</v>
      </c>
    </row>
    <row r="542" spans="1:2" x14ac:dyDescent="0.25">
      <c r="A542" s="132">
        <v>46188</v>
      </c>
      <c r="B542">
        <v>1</v>
      </c>
    </row>
    <row r="543" spans="1:2" x14ac:dyDescent="0.25">
      <c r="A543" s="132">
        <v>46274</v>
      </c>
      <c r="B543">
        <v>1</v>
      </c>
    </row>
    <row r="544" spans="1:2" x14ac:dyDescent="0.25">
      <c r="A544" s="130" t="s">
        <v>145</v>
      </c>
      <c r="B544">
        <v>11.507991800000001</v>
      </c>
    </row>
    <row r="545" spans="1:2" x14ac:dyDescent="0.25">
      <c r="A545" s="129" t="s">
        <v>543</v>
      </c>
      <c r="B545">
        <v>1.65</v>
      </c>
    </row>
    <row r="546" spans="1:2" x14ac:dyDescent="0.25">
      <c r="A546" s="129" t="s">
        <v>541</v>
      </c>
      <c r="B546">
        <v>9.8579918000000006</v>
      </c>
    </row>
    <row r="547" spans="1:2" x14ac:dyDescent="0.25">
      <c r="A547" s="131" t="s">
        <v>44</v>
      </c>
      <c r="B547">
        <v>1.65</v>
      </c>
    </row>
    <row r="548" spans="1:2" x14ac:dyDescent="0.25">
      <c r="A548" s="132">
        <v>46201</v>
      </c>
      <c r="B548">
        <v>1.65</v>
      </c>
    </row>
    <row r="549" spans="1:2" x14ac:dyDescent="0.25">
      <c r="A549" s="131" t="s">
        <v>122</v>
      </c>
      <c r="B549">
        <v>1.65</v>
      </c>
    </row>
    <row r="550" spans="1:2" x14ac:dyDescent="0.25">
      <c r="A550" s="132">
        <v>46080</v>
      </c>
      <c r="B550">
        <v>1.65</v>
      </c>
    </row>
    <row r="551" spans="1:2" x14ac:dyDescent="0.25">
      <c r="A551" s="131" t="s">
        <v>43</v>
      </c>
      <c r="B551">
        <v>1.65</v>
      </c>
    </row>
    <row r="552" spans="1:2" x14ac:dyDescent="0.25">
      <c r="A552" s="132">
        <v>46135</v>
      </c>
      <c r="B552">
        <v>1.65</v>
      </c>
    </row>
    <row r="553" spans="1:2" x14ac:dyDescent="0.25">
      <c r="A553" s="131" t="s">
        <v>46</v>
      </c>
      <c r="B553">
        <v>1.65</v>
      </c>
    </row>
    <row r="554" spans="1:2" x14ac:dyDescent="0.25">
      <c r="A554" s="132">
        <v>46323</v>
      </c>
      <c r="B554">
        <v>1.65</v>
      </c>
    </row>
    <row r="555" spans="1:2" x14ac:dyDescent="0.25">
      <c r="A555" s="131" t="s">
        <v>30</v>
      </c>
      <c r="B555">
        <v>1.6079918</v>
      </c>
    </row>
    <row r="556" spans="1:2" x14ac:dyDescent="0.25">
      <c r="A556" s="132">
        <v>46217</v>
      </c>
      <c r="B556">
        <v>1.6079918</v>
      </c>
    </row>
    <row r="557" spans="1:2" x14ac:dyDescent="0.25">
      <c r="A557" s="131" t="s">
        <v>45</v>
      </c>
      <c r="B557">
        <v>1.65</v>
      </c>
    </row>
    <row r="558" spans="1:2" x14ac:dyDescent="0.25">
      <c r="A558" s="132">
        <v>46260</v>
      </c>
      <c r="B558">
        <v>1.65</v>
      </c>
    </row>
    <row r="559" spans="1:2" x14ac:dyDescent="0.25">
      <c r="A559" s="130" t="s">
        <v>147</v>
      </c>
      <c r="B559">
        <v>9.4060720000000018</v>
      </c>
    </row>
    <row r="560" spans="1:2" x14ac:dyDescent="0.25">
      <c r="A560" s="129" t="s">
        <v>543</v>
      </c>
      <c r="B560">
        <v>0.72354399999999996</v>
      </c>
    </row>
    <row r="561" spans="1:2" x14ac:dyDescent="0.25">
      <c r="A561" s="129" t="s">
        <v>541</v>
      </c>
      <c r="B561">
        <v>8.6825280000000014</v>
      </c>
    </row>
    <row r="562" spans="1:2" x14ac:dyDescent="0.25">
      <c r="A562" s="131" t="s">
        <v>18</v>
      </c>
      <c r="B562">
        <v>0.72354399999999996</v>
      </c>
    </row>
    <row r="563" spans="1:2" x14ac:dyDescent="0.25">
      <c r="A563" s="131" t="s">
        <v>19</v>
      </c>
      <c r="B563">
        <v>0.72354399999999996</v>
      </c>
    </row>
    <row r="564" spans="1:2" x14ac:dyDescent="0.25">
      <c r="A564" s="131" t="s">
        <v>20</v>
      </c>
      <c r="B564">
        <v>0.72354399999999996</v>
      </c>
    </row>
    <row r="565" spans="1:2" x14ac:dyDescent="0.25">
      <c r="A565" s="131" t="s">
        <v>21</v>
      </c>
      <c r="B565">
        <v>0.72354399999999996</v>
      </c>
    </row>
    <row r="566" spans="1:2" x14ac:dyDescent="0.25">
      <c r="A566" s="131" t="s">
        <v>22</v>
      </c>
      <c r="B566">
        <v>0.72354399999999996</v>
      </c>
    </row>
    <row r="567" spans="1:2" x14ac:dyDescent="0.25">
      <c r="A567" s="131" t="s">
        <v>23</v>
      </c>
      <c r="B567">
        <v>0.72354399999999996</v>
      </c>
    </row>
    <row r="568" spans="1:2" x14ac:dyDescent="0.25">
      <c r="A568" s="131" t="s">
        <v>24</v>
      </c>
      <c r="B568">
        <v>0.72354399999999996</v>
      </c>
    </row>
    <row r="569" spans="1:2" x14ac:dyDescent="0.25">
      <c r="A569" s="131" t="s">
        <v>25</v>
      </c>
      <c r="B569">
        <v>0.72354399999999996</v>
      </c>
    </row>
    <row r="570" spans="1:2" x14ac:dyDescent="0.25">
      <c r="A570" s="131" t="s">
        <v>26</v>
      </c>
      <c r="B570">
        <v>0.72354399999999996</v>
      </c>
    </row>
    <row r="571" spans="1:2" x14ac:dyDescent="0.25">
      <c r="A571" s="131" t="s">
        <v>27</v>
      </c>
      <c r="B571">
        <v>0.72354399999999996</v>
      </c>
    </row>
    <row r="572" spans="1:2" x14ac:dyDescent="0.25">
      <c r="A572" s="131" t="s">
        <v>28</v>
      </c>
      <c r="B572">
        <v>0.72354399999999996</v>
      </c>
    </row>
    <row r="573" spans="1:2" x14ac:dyDescent="0.25">
      <c r="A573" s="131" t="s">
        <v>30</v>
      </c>
      <c r="B573">
        <v>0.72354399999999996</v>
      </c>
    </row>
    <row r="574" spans="1:2" x14ac:dyDescent="0.25">
      <c r="A574" s="132">
        <v>46208</v>
      </c>
      <c r="B574">
        <v>0.72354399999999996</v>
      </c>
    </row>
    <row r="575" spans="1:2" x14ac:dyDescent="0.25">
      <c r="A575" s="130" t="s">
        <v>149</v>
      </c>
      <c r="B575">
        <v>11</v>
      </c>
    </row>
    <row r="576" spans="1:2" x14ac:dyDescent="0.25">
      <c r="A576" s="129" t="s">
        <v>541</v>
      </c>
      <c r="B576">
        <v>11</v>
      </c>
    </row>
    <row r="577" spans="1:2" x14ac:dyDescent="0.25">
      <c r="A577" s="131" t="s">
        <v>16</v>
      </c>
      <c r="B577">
        <v>1</v>
      </c>
    </row>
    <row r="578" spans="1:2" x14ac:dyDescent="0.25">
      <c r="A578" s="131" t="s">
        <v>18</v>
      </c>
      <c r="B578">
        <v>1</v>
      </c>
    </row>
    <row r="579" spans="1:2" x14ac:dyDescent="0.25">
      <c r="A579" s="131" t="s">
        <v>19</v>
      </c>
      <c r="B579">
        <v>1</v>
      </c>
    </row>
    <row r="580" spans="1:2" x14ac:dyDescent="0.25">
      <c r="A580" s="131" t="s">
        <v>20</v>
      </c>
      <c r="B580">
        <v>1</v>
      </c>
    </row>
    <row r="581" spans="1:2" x14ac:dyDescent="0.25">
      <c r="A581" s="131" t="s">
        <v>21</v>
      </c>
      <c r="B581">
        <v>1</v>
      </c>
    </row>
    <row r="582" spans="1:2" x14ac:dyDescent="0.25">
      <c r="A582" s="131" t="s">
        <v>22</v>
      </c>
      <c r="B582">
        <v>1</v>
      </c>
    </row>
    <row r="583" spans="1:2" x14ac:dyDescent="0.25">
      <c r="A583" s="131" t="s">
        <v>25</v>
      </c>
      <c r="B583">
        <v>1</v>
      </c>
    </row>
    <row r="584" spans="1:2" x14ac:dyDescent="0.25">
      <c r="A584" s="131" t="s">
        <v>26</v>
      </c>
      <c r="B584">
        <v>1</v>
      </c>
    </row>
    <row r="585" spans="1:2" x14ac:dyDescent="0.25">
      <c r="A585" s="131" t="s">
        <v>27</v>
      </c>
      <c r="B585">
        <v>1</v>
      </c>
    </row>
    <row r="586" spans="1:2" x14ac:dyDescent="0.25">
      <c r="A586" s="131" t="s">
        <v>28</v>
      </c>
      <c r="B586">
        <v>1</v>
      </c>
    </row>
    <row r="587" spans="1:2" x14ac:dyDescent="0.25">
      <c r="A587" s="131" t="s">
        <v>44</v>
      </c>
      <c r="B587">
        <v>1</v>
      </c>
    </row>
    <row r="588" spans="1:2" x14ac:dyDescent="0.25">
      <c r="A588" s="132">
        <v>46216</v>
      </c>
      <c r="B588">
        <v>1</v>
      </c>
    </row>
    <row r="589" spans="1:2" x14ac:dyDescent="0.25">
      <c r="A589" s="130" t="s">
        <v>151</v>
      </c>
      <c r="B589">
        <v>6.74824</v>
      </c>
    </row>
    <row r="590" spans="1:2" x14ac:dyDescent="0.25">
      <c r="A590" s="129" t="s">
        <v>541</v>
      </c>
      <c r="B590">
        <v>6.74824</v>
      </c>
    </row>
    <row r="591" spans="1:2" x14ac:dyDescent="0.25">
      <c r="A591" s="131" t="s">
        <v>37</v>
      </c>
      <c r="B591">
        <v>1.68706</v>
      </c>
    </row>
    <row r="592" spans="1:2" x14ac:dyDescent="0.25">
      <c r="A592" s="132">
        <v>46096</v>
      </c>
      <c r="B592">
        <v>1.68706</v>
      </c>
    </row>
    <row r="593" spans="1:2" x14ac:dyDescent="0.25">
      <c r="A593" s="131" t="s">
        <v>35</v>
      </c>
      <c r="B593">
        <v>1.68706</v>
      </c>
    </row>
    <row r="594" spans="1:2" x14ac:dyDescent="0.25">
      <c r="A594" s="132">
        <v>46037</v>
      </c>
      <c r="B594">
        <v>1.68706</v>
      </c>
    </row>
    <row r="595" spans="1:2" x14ac:dyDescent="0.25">
      <c r="A595" s="131" t="s">
        <v>38</v>
      </c>
      <c r="B595">
        <v>1.68706</v>
      </c>
    </row>
    <row r="596" spans="1:2" x14ac:dyDescent="0.25">
      <c r="A596" s="132">
        <v>46188</v>
      </c>
      <c r="B596">
        <v>1.68706</v>
      </c>
    </row>
    <row r="597" spans="1:2" x14ac:dyDescent="0.25">
      <c r="A597" s="131" t="s">
        <v>39</v>
      </c>
      <c r="B597">
        <v>1.68706</v>
      </c>
    </row>
    <row r="598" spans="1:2" x14ac:dyDescent="0.25">
      <c r="A598" s="132">
        <v>46280</v>
      </c>
      <c r="B598">
        <v>1.68706</v>
      </c>
    </row>
    <row r="599" spans="1:2" x14ac:dyDescent="0.25">
      <c r="A599" s="130" t="s">
        <v>153</v>
      </c>
      <c r="B599">
        <v>16.900000000000002</v>
      </c>
    </row>
    <row r="600" spans="1:2" x14ac:dyDescent="0.25">
      <c r="A600" s="129" t="s">
        <v>543</v>
      </c>
      <c r="B600">
        <v>1.32</v>
      </c>
    </row>
    <row r="601" spans="1:2" x14ac:dyDescent="0.25">
      <c r="A601" s="129" t="s">
        <v>541</v>
      </c>
      <c r="B601">
        <v>15.580000000000002</v>
      </c>
    </row>
    <row r="602" spans="1:2" x14ac:dyDescent="0.25">
      <c r="A602" s="131" t="s">
        <v>18</v>
      </c>
      <c r="B602">
        <v>1.32</v>
      </c>
    </row>
    <row r="603" spans="1:2" x14ac:dyDescent="0.25">
      <c r="A603" s="131" t="s">
        <v>19</v>
      </c>
      <c r="B603">
        <v>1.32</v>
      </c>
    </row>
    <row r="604" spans="1:2" x14ac:dyDescent="0.25">
      <c r="A604" s="131" t="s">
        <v>20</v>
      </c>
      <c r="B604">
        <v>1.32</v>
      </c>
    </row>
    <row r="605" spans="1:2" x14ac:dyDescent="0.25">
      <c r="A605" s="131" t="s">
        <v>21</v>
      </c>
      <c r="B605">
        <v>1.32</v>
      </c>
    </row>
    <row r="606" spans="1:2" x14ac:dyDescent="0.25">
      <c r="A606" s="131" t="s">
        <v>22</v>
      </c>
      <c r="B606">
        <v>1.32</v>
      </c>
    </row>
    <row r="607" spans="1:2" x14ac:dyDescent="0.25">
      <c r="A607" s="131" t="s">
        <v>23</v>
      </c>
      <c r="B607">
        <v>1.32</v>
      </c>
    </row>
    <row r="608" spans="1:2" x14ac:dyDescent="0.25">
      <c r="A608" s="131" t="s">
        <v>24</v>
      </c>
      <c r="B608">
        <v>1.32</v>
      </c>
    </row>
    <row r="609" spans="1:2" x14ac:dyDescent="0.25">
      <c r="A609" s="131" t="s">
        <v>25</v>
      </c>
      <c r="B609">
        <v>1.32</v>
      </c>
    </row>
    <row r="610" spans="1:2" x14ac:dyDescent="0.25">
      <c r="A610" s="131" t="s">
        <v>26</v>
      </c>
      <c r="B610">
        <v>1.32</v>
      </c>
    </row>
    <row r="611" spans="1:2" x14ac:dyDescent="0.25">
      <c r="A611" s="131" t="s">
        <v>27</v>
      </c>
      <c r="B611">
        <v>1.32</v>
      </c>
    </row>
    <row r="612" spans="1:2" x14ac:dyDescent="0.25">
      <c r="A612" s="131" t="s">
        <v>28</v>
      </c>
      <c r="B612">
        <v>1.32</v>
      </c>
    </row>
    <row r="613" spans="1:2" x14ac:dyDescent="0.25">
      <c r="A613" s="131" t="s">
        <v>30</v>
      </c>
      <c r="B613">
        <v>1.06</v>
      </c>
    </row>
    <row r="614" spans="1:2" x14ac:dyDescent="0.25">
      <c r="A614" s="132">
        <v>46259</v>
      </c>
      <c r="B614">
        <v>1.06</v>
      </c>
    </row>
    <row r="615" spans="1:2" x14ac:dyDescent="0.25">
      <c r="A615" s="130" t="s">
        <v>155</v>
      </c>
      <c r="B615">
        <v>8.4672000000000001</v>
      </c>
    </row>
    <row r="616" spans="1:2" x14ac:dyDescent="0.25">
      <c r="A616" s="129" t="s">
        <v>541</v>
      </c>
      <c r="B616">
        <v>8.4672000000000001</v>
      </c>
    </row>
    <row r="617" spans="1:2" x14ac:dyDescent="0.25">
      <c r="A617" s="131" t="s">
        <v>121</v>
      </c>
      <c r="B617">
        <v>1.4112</v>
      </c>
    </row>
    <row r="618" spans="1:2" x14ac:dyDescent="0.25">
      <c r="A618" s="132">
        <v>46045</v>
      </c>
      <c r="B618">
        <v>1.4112</v>
      </c>
    </row>
    <row r="619" spans="1:2" x14ac:dyDescent="0.25">
      <c r="A619" s="131" t="s">
        <v>44</v>
      </c>
      <c r="B619">
        <v>1.4112</v>
      </c>
    </row>
    <row r="620" spans="1:2" x14ac:dyDescent="0.25">
      <c r="A620" s="132">
        <v>46197</v>
      </c>
      <c r="B620">
        <v>1.4112</v>
      </c>
    </row>
    <row r="621" spans="1:2" x14ac:dyDescent="0.25">
      <c r="A621" s="131" t="s">
        <v>122</v>
      </c>
      <c r="B621">
        <v>1.4112</v>
      </c>
    </row>
    <row r="622" spans="1:2" x14ac:dyDescent="0.25">
      <c r="A622" s="132">
        <v>46072</v>
      </c>
      <c r="B622">
        <v>1.4112</v>
      </c>
    </row>
    <row r="623" spans="1:2" x14ac:dyDescent="0.25">
      <c r="A623" s="131" t="s">
        <v>43</v>
      </c>
      <c r="B623">
        <v>1.4112</v>
      </c>
    </row>
    <row r="624" spans="1:2" x14ac:dyDescent="0.25">
      <c r="A624" s="132">
        <v>46135</v>
      </c>
      <c r="B624">
        <v>1.4112</v>
      </c>
    </row>
    <row r="625" spans="1:2" x14ac:dyDescent="0.25">
      <c r="A625" s="131" t="s">
        <v>46</v>
      </c>
      <c r="B625">
        <v>1.4112</v>
      </c>
    </row>
    <row r="626" spans="1:2" x14ac:dyDescent="0.25">
      <c r="A626" s="132">
        <v>46316</v>
      </c>
      <c r="B626">
        <v>1.4112</v>
      </c>
    </row>
    <row r="627" spans="1:2" x14ac:dyDescent="0.25">
      <c r="A627" s="131" t="s">
        <v>45</v>
      </c>
      <c r="B627">
        <v>1.4112</v>
      </c>
    </row>
    <row r="628" spans="1:2" x14ac:dyDescent="0.25">
      <c r="A628" s="132">
        <v>46260</v>
      </c>
      <c r="B628">
        <v>1.4112</v>
      </c>
    </row>
    <row r="629" spans="1:2" x14ac:dyDescent="0.25">
      <c r="A629" s="130" t="s">
        <v>157</v>
      </c>
      <c r="B629">
        <v>2</v>
      </c>
    </row>
    <row r="630" spans="1:2" x14ac:dyDescent="0.25">
      <c r="A630" s="129" t="s">
        <v>541</v>
      </c>
      <c r="B630">
        <v>2</v>
      </c>
    </row>
    <row r="631" spans="1:2" x14ac:dyDescent="0.25">
      <c r="A631" s="131" t="s">
        <v>30</v>
      </c>
      <c r="B631">
        <v>2</v>
      </c>
    </row>
    <row r="632" spans="1:2" x14ac:dyDescent="0.25">
      <c r="A632" s="132">
        <v>46120</v>
      </c>
      <c r="B632">
        <v>1</v>
      </c>
    </row>
    <row r="633" spans="1:2" x14ac:dyDescent="0.25">
      <c r="A633" s="132">
        <v>46274</v>
      </c>
      <c r="B633">
        <v>1</v>
      </c>
    </row>
    <row r="634" spans="1:2" x14ac:dyDescent="0.25">
      <c r="A634" s="130" t="s">
        <v>159</v>
      </c>
      <c r="B634">
        <v>13</v>
      </c>
    </row>
    <row r="635" spans="1:2" x14ac:dyDescent="0.25">
      <c r="A635" s="129" t="s">
        <v>543</v>
      </c>
      <c r="B635">
        <v>3</v>
      </c>
    </row>
    <row r="636" spans="1:2" x14ac:dyDescent="0.25">
      <c r="A636" s="129" t="s">
        <v>541</v>
      </c>
      <c r="B636">
        <v>10</v>
      </c>
    </row>
    <row r="637" spans="1:2" x14ac:dyDescent="0.25">
      <c r="A637" s="131" t="s">
        <v>20</v>
      </c>
      <c r="B637">
        <v>1</v>
      </c>
    </row>
    <row r="638" spans="1:2" x14ac:dyDescent="0.25">
      <c r="A638" s="131" t="s">
        <v>21</v>
      </c>
      <c r="B638">
        <v>1</v>
      </c>
    </row>
    <row r="639" spans="1:2" x14ac:dyDescent="0.25">
      <c r="A639" s="131" t="s">
        <v>22</v>
      </c>
      <c r="B639">
        <v>1</v>
      </c>
    </row>
    <row r="640" spans="1:2" x14ac:dyDescent="0.25">
      <c r="A640" s="131" t="s">
        <v>23</v>
      </c>
      <c r="B640">
        <v>1</v>
      </c>
    </row>
    <row r="641" spans="1:2" x14ac:dyDescent="0.25">
      <c r="A641" s="131" t="s">
        <v>24</v>
      </c>
      <c r="B641">
        <v>1</v>
      </c>
    </row>
    <row r="642" spans="1:2" x14ac:dyDescent="0.25">
      <c r="A642" s="131" t="s">
        <v>25</v>
      </c>
      <c r="B642">
        <v>1</v>
      </c>
    </row>
    <row r="643" spans="1:2" x14ac:dyDescent="0.25">
      <c r="A643" s="131" t="s">
        <v>26</v>
      </c>
      <c r="B643">
        <v>1</v>
      </c>
    </row>
    <row r="644" spans="1:2" x14ac:dyDescent="0.25">
      <c r="A644" s="131" t="s">
        <v>27</v>
      </c>
      <c r="B644">
        <v>1</v>
      </c>
    </row>
    <row r="645" spans="1:2" x14ac:dyDescent="0.25">
      <c r="A645" s="131" t="s">
        <v>28</v>
      </c>
      <c r="B645">
        <v>1</v>
      </c>
    </row>
    <row r="646" spans="1:2" x14ac:dyDescent="0.25">
      <c r="A646" s="131" t="s">
        <v>30</v>
      </c>
      <c r="B646">
        <v>1</v>
      </c>
    </row>
    <row r="647" spans="1:2" x14ac:dyDescent="0.25">
      <c r="A647" s="132">
        <v>46188</v>
      </c>
      <c r="B647">
        <v>1</v>
      </c>
    </row>
    <row r="648" spans="1:2" x14ac:dyDescent="0.25">
      <c r="A648" s="130" t="s">
        <v>161</v>
      </c>
      <c r="B648">
        <v>8.1</v>
      </c>
    </row>
    <row r="649" spans="1:2" x14ac:dyDescent="0.25">
      <c r="A649" s="129" t="s">
        <v>541</v>
      </c>
      <c r="B649">
        <v>8.1</v>
      </c>
    </row>
    <row r="650" spans="1:2" x14ac:dyDescent="0.25">
      <c r="A650" s="131" t="s">
        <v>121</v>
      </c>
      <c r="B650">
        <v>1.35</v>
      </c>
    </row>
    <row r="651" spans="1:2" x14ac:dyDescent="0.25">
      <c r="A651" s="132">
        <v>46037</v>
      </c>
      <c r="B651">
        <v>1.35</v>
      </c>
    </row>
    <row r="652" spans="1:2" x14ac:dyDescent="0.25">
      <c r="A652" s="131" t="s">
        <v>44</v>
      </c>
      <c r="B652">
        <v>1.35</v>
      </c>
    </row>
    <row r="653" spans="1:2" x14ac:dyDescent="0.25">
      <c r="A653" s="132">
        <v>46188</v>
      </c>
      <c r="B653">
        <v>1.35</v>
      </c>
    </row>
    <row r="654" spans="1:2" x14ac:dyDescent="0.25">
      <c r="A654" s="131" t="s">
        <v>122</v>
      </c>
      <c r="B654">
        <v>1.35</v>
      </c>
    </row>
    <row r="655" spans="1:2" x14ac:dyDescent="0.25">
      <c r="A655" s="132">
        <v>46068</v>
      </c>
      <c r="B655">
        <v>1.35</v>
      </c>
    </row>
    <row r="656" spans="1:2" x14ac:dyDescent="0.25">
      <c r="A656" s="131" t="s">
        <v>43</v>
      </c>
      <c r="B656">
        <v>1.35</v>
      </c>
    </row>
    <row r="657" spans="1:2" x14ac:dyDescent="0.25">
      <c r="A657" s="132">
        <v>46127</v>
      </c>
      <c r="B657">
        <v>1.35</v>
      </c>
    </row>
    <row r="658" spans="1:2" x14ac:dyDescent="0.25">
      <c r="A658" s="131" t="s">
        <v>46</v>
      </c>
      <c r="B658">
        <v>1.35</v>
      </c>
    </row>
    <row r="659" spans="1:2" x14ac:dyDescent="0.25">
      <c r="A659" s="132">
        <v>46310</v>
      </c>
      <c r="B659">
        <v>1.35</v>
      </c>
    </row>
    <row r="660" spans="1:2" x14ac:dyDescent="0.25">
      <c r="A660" s="131" t="s">
        <v>45</v>
      </c>
      <c r="B660">
        <v>1.35</v>
      </c>
    </row>
    <row r="661" spans="1:2" x14ac:dyDescent="0.25">
      <c r="A661" s="132">
        <v>46249</v>
      </c>
      <c r="B661">
        <v>1.35</v>
      </c>
    </row>
    <row r="662" spans="1:2" x14ac:dyDescent="0.25">
      <c r="A662" s="130" t="s">
        <v>163</v>
      </c>
      <c r="B662">
        <v>22.616099999999992</v>
      </c>
    </row>
    <row r="663" spans="1:2" x14ac:dyDescent="0.25">
      <c r="A663" s="129" t="s">
        <v>541</v>
      </c>
      <c r="B663">
        <v>22.616099999999992</v>
      </c>
    </row>
    <row r="664" spans="1:2" x14ac:dyDescent="0.25">
      <c r="A664" s="131" t="s">
        <v>16</v>
      </c>
      <c r="B664">
        <v>1.7397</v>
      </c>
    </row>
    <row r="665" spans="1:2" x14ac:dyDescent="0.25">
      <c r="A665" s="131" t="s">
        <v>18</v>
      </c>
      <c r="B665">
        <v>1.7397</v>
      </c>
    </row>
    <row r="666" spans="1:2" x14ac:dyDescent="0.25">
      <c r="A666" s="131" t="s">
        <v>19</v>
      </c>
      <c r="B666">
        <v>1.7397</v>
      </c>
    </row>
    <row r="667" spans="1:2" x14ac:dyDescent="0.25">
      <c r="A667" s="131" t="s">
        <v>20</v>
      </c>
      <c r="B667">
        <v>1.7397</v>
      </c>
    </row>
    <row r="668" spans="1:2" x14ac:dyDescent="0.25">
      <c r="A668" s="131" t="s">
        <v>21</v>
      </c>
      <c r="B668">
        <v>1.7397</v>
      </c>
    </row>
    <row r="669" spans="1:2" x14ac:dyDescent="0.25">
      <c r="A669" s="131" t="s">
        <v>22</v>
      </c>
      <c r="B669">
        <v>1.7397</v>
      </c>
    </row>
    <row r="670" spans="1:2" x14ac:dyDescent="0.25">
      <c r="A670" s="131" t="s">
        <v>23</v>
      </c>
      <c r="B670">
        <v>1.7397</v>
      </c>
    </row>
    <row r="671" spans="1:2" x14ac:dyDescent="0.25">
      <c r="A671" s="131" t="s">
        <v>24</v>
      </c>
      <c r="B671">
        <v>1.7397</v>
      </c>
    </row>
    <row r="672" spans="1:2" x14ac:dyDescent="0.25">
      <c r="A672" s="131" t="s">
        <v>25</v>
      </c>
      <c r="B672">
        <v>1.7397</v>
      </c>
    </row>
    <row r="673" spans="1:2" x14ac:dyDescent="0.25">
      <c r="A673" s="131" t="s">
        <v>26</v>
      </c>
      <c r="B673">
        <v>1.7397</v>
      </c>
    </row>
    <row r="674" spans="1:2" x14ac:dyDescent="0.25">
      <c r="A674" s="131" t="s">
        <v>27</v>
      </c>
      <c r="B674">
        <v>1.7397</v>
      </c>
    </row>
    <row r="675" spans="1:2" x14ac:dyDescent="0.25">
      <c r="A675" s="131" t="s">
        <v>28</v>
      </c>
      <c r="B675">
        <v>1.7397</v>
      </c>
    </row>
    <row r="676" spans="1:2" x14ac:dyDescent="0.25">
      <c r="A676" s="131" t="s">
        <v>165</v>
      </c>
      <c r="B676">
        <v>1.7397</v>
      </c>
    </row>
    <row r="677" spans="1:2" x14ac:dyDescent="0.25">
      <c r="A677" s="132">
        <v>46224</v>
      </c>
      <c r="B677">
        <v>1.7397</v>
      </c>
    </row>
    <row r="678" spans="1:2" x14ac:dyDescent="0.25">
      <c r="A678" s="130" t="s">
        <v>166</v>
      </c>
      <c r="B678">
        <v>7.5</v>
      </c>
    </row>
    <row r="679" spans="1:2" x14ac:dyDescent="0.25">
      <c r="A679" s="129" t="s">
        <v>541</v>
      </c>
      <c r="B679">
        <v>7.5</v>
      </c>
    </row>
    <row r="680" spans="1:2" x14ac:dyDescent="0.25">
      <c r="A680" s="131" t="s">
        <v>19</v>
      </c>
      <c r="B680">
        <v>0.75</v>
      </c>
    </row>
    <row r="681" spans="1:2" x14ac:dyDescent="0.25">
      <c r="A681" s="131" t="s">
        <v>20</v>
      </c>
      <c r="B681">
        <v>0.75</v>
      </c>
    </row>
    <row r="682" spans="1:2" x14ac:dyDescent="0.25">
      <c r="A682" s="131" t="s">
        <v>21</v>
      </c>
      <c r="B682">
        <v>0.75</v>
      </c>
    </row>
    <row r="683" spans="1:2" x14ac:dyDescent="0.25">
      <c r="A683" s="131" t="s">
        <v>22</v>
      </c>
      <c r="B683">
        <v>0.75</v>
      </c>
    </row>
    <row r="684" spans="1:2" x14ac:dyDescent="0.25">
      <c r="A684" s="131" t="s">
        <v>23</v>
      </c>
      <c r="B684">
        <v>0.75</v>
      </c>
    </row>
    <row r="685" spans="1:2" x14ac:dyDescent="0.25">
      <c r="A685" s="131" t="s">
        <v>24</v>
      </c>
      <c r="B685">
        <v>0.75</v>
      </c>
    </row>
    <row r="686" spans="1:2" x14ac:dyDescent="0.25">
      <c r="A686" s="131" t="s">
        <v>25</v>
      </c>
      <c r="B686">
        <v>0.75</v>
      </c>
    </row>
    <row r="687" spans="1:2" x14ac:dyDescent="0.25">
      <c r="A687" s="131" t="s">
        <v>26</v>
      </c>
      <c r="B687">
        <v>0.75</v>
      </c>
    </row>
    <row r="688" spans="1:2" x14ac:dyDescent="0.25">
      <c r="A688" s="131" t="s">
        <v>27</v>
      </c>
      <c r="B688">
        <v>0.75</v>
      </c>
    </row>
    <row r="689" spans="1:2" x14ac:dyDescent="0.25">
      <c r="A689" s="131" t="s">
        <v>28</v>
      </c>
      <c r="B689">
        <v>0.75</v>
      </c>
    </row>
    <row r="690" spans="1:2" x14ac:dyDescent="0.25">
      <c r="A690" s="130" t="s">
        <v>168</v>
      </c>
      <c r="B690">
        <v>10.565</v>
      </c>
    </row>
    <row r="691" spans="1:2" x14ac:dyDescent="0.25">
      <c r="A691" s="129" t="s">
        <v>541</v>
      </c>
      <c r="B691">
        <v>10.565</v>
      </c>
    </row>
    <row r="692" spans="1:2" x14ac:dyDescent="0.25">
      <c r="A692" s="131" t="s">
        <v>20</v>
      </c>
      <c r="B692">
        <v>1.0565</v>
      </c>
    </row>
    <row r="693" spans="1:2" x14ac:dyDescent="0.25">
      <c r="A693" s="131" t="s">
        <v>21</v>
      </c>
      <c r="B693">
        <v>1.0565</v>
      </c>
    </row>
    <row r="694" spans="1:2" x14ac:dyDescent="0.25">
      <c r="A694" s="131" t="s">
        <v>22</v>
      </c>
      <c r="B694">
        <v>1.0565</v>
      </c>
    </row>
    <row r="695" spans="1:2" x14ac:dyDescent="0.25">
      <c r="A695" s="131" t="s">
        <v>23</v>
      </c>
      <c r="B695">
        <v>1.0565</v>
      </c>
    </row>
    <row r="696" spans="1:2" x14ac:dyDescent="0.25">
      <c r="A696" s="131" t="s">
        <v>24</v>
      </c>
      <c r="B696">
        <v>1.0565</v>
      </c>
    </row>
    <row r="697" spans="1:2" x14ac:dyDescent="0.25">
      <c r="A697" s="131" t="s">
        <v>25</v>
      </c>
      <c r="B697">
        <v>1.0565</v>
      </c>
    </row>
    <row r="698" spans="1:2" x14ac:dyDescent="0.25">
      <c r="A698" s="131" t="s">
        <v>26</v>
      </c>
      <c r="B698">
        <v>1.0565</v>
      </c>
    </row>
    <row r="699" spans="1:2" x14ac:dyDescent="0.25">
      <c r="A699" s="131" t="s">
        <v>27</v>
      </c>
      <c r="B699">
        <v>1.0565</v>
      </c>
    </row>
    <row r="700" spans="1:2" x14ac:dyDescent="0.25">
      <c r="A700" s="131" t="s">
        <v>28</v>
      </c>
      <c r="B700">
        <v>1.0565</v>
      </c>
    </row>
    <row r="701" spans="1:2" x14ac:dyDescent="0.25">
      <c r="A701" s="131" t="s">
        <v>30</v>
      </c>
      <c r="B701">
        <v>1.0565</v>
      </c>
    </row>
    <row r="702" spans="1:2" x14ac:dyDescent="0.25">
      <c r="A702" s="132">
        <v>46223</v>
      </c>
      <c r="B702">
        <v>1.0565</v>
      </c>
    </row>
    <row r="703" spans="1:2" x14ac:dyDescent="0.25">
      <c r="A703" s="130" t="s">
        <v>170</v>
      </c>
      <c r="B703">
        <v>7</v>
      </c>
    </row>
    <row r="704" spans="1:2" x14ac:dyDescent="0.25">
      <c r="A704" s="129" t="s">
        <v>541</v>
      </c>
      <c r="B704">
        <v>7</v>
      </c>
    </row>
    <row r="705" spans="1:2" x14ac:dyDescent="0.25">
      <c r="A705" s="131" t="s">
        <v>121</v>
      </c>
      <c r="B705">
        <v>1</v>
      </c>
    </row>
    <row r="706" spans="1:2" x14ac:dyDescent="0.25">
      <c r="A706" s="132">
        <v>46025</v>
      </c>
      <c r="B706">
        <v>1</v>
      </c>
    </row>
    <row r="707" spans="1:2" x14ac:dyDescent="0.25">
      <c r="A707" s="131" t="s">
        <v>44</v>
      </c>
      <c r="B707">
        <v>1</v>
      </c>
    </row>
    <row r="708" spans="1:2" x14ac:dyDescent="0.25">
      <c r="A708" s="132">
        <v>46195</v>
      </c>
      <c r="B708">
        <v>1</v>
      </c>
    </row>
    <row r="709" spans="1:2" x14ac:dyDescent="0.25">
      <c r="A709" s="131" t="s">
        <v>122</v>
      </c>
      <c r="B709">
        <v>1</v>
      </c>
    </row>
    <row r="710" spans="1:2" x14ac:dyDescent="0.25">
      <c r="A710" s="132">
        <v>46076</v>
      </c>
      <c r="B710">
        <v>1</v>
      </c>
    </row>
    <row r="711" spans="1:2" x14ac:dyDescent="0.25">
      <c r="A711" s="131" t="s">
        <v>43</v>
      </c>
      <c r="B711">
        <v>1</v>
      </c>
    </row>
    <row r="712" spans="1:2" x14ac:dyDescent="0.25">
      <c r="A712" s="132">
        <v>46135</v>
      </c>
      <c r="B712">
        <v>1</v>
      </c>
    </row>
    <row r="713" spans="1:2" x14ac:dyDescent="0.25">
      <c r="A713" s="131" t="s">
        <v>46</v>
      </c>
      <c r="B713">
        <v>1</v>
      </c>
    </row>
    <row r="714" spans="1:2" x14ac:dyDescent="0.25">
      <c r="A714" s="132">
        <v>46315</v>
      </c>
      <c r="B714">
        <v>1</v>
      </c>
    </row>
    <row r="715" spans="1:2" x14ac:dyDescent="0.25">
      <c r="A715" s="131" t="s">
        <v>30</v>
      </c>
      <c r="B715">
        <v>1</v>
      </c>
    </row>
    <row r="716" spans="1:2" x14ac:dyDescent="0.25">
      <c r="A716" s="132">
        <v>46258</v>
      </c>
      <c r="B716">
        <v>1</v>
      </c>
    </row>
    <row r="717" spans="1:2" x14ac:dyDescent="0.25">
      <c r="A717" s="131" t="s">
        <v>45</v>
      </c>
      <c r="B717">
        <v>1</v>
      </c>
    </row>
    <row r="718" spans="1:2" x14ac:dyDescent="0.25">
      <c r="A718" s="132">
        <v>46258</v>
      </c>
      <c r="B718">
        <v>1</v>
      </c>
    </row>
    <row r="719" spans="1:2" x14ac:dyDescent="0.25">
      <c r="A719" s="130" t="s">
        <v>172</v>
      </c>
      <c r="B719">
        <v>6</v>
      </c>
    </row>
    <row r="720" spans="1:2" x14ac:dyDescent="0.25">
      <c r="A720" s="129" t="s">
        <v>541</v>
      </c>
      <c r="B720">
        <v>6</v>
      </c>
    </row>
    <row r="721" spans="1:2" x14ac:dyDescent="0.25">
      <c r="A721" s="131" t="s">
        <v>30</v>
      </c>
      <c r="B721">
        <v>2</v>
      </c>
    </row>
    <row r="722" spans="1:2" x14ac:dyDescent="0.25">
      <c r="A722" s="132">
        <v>46036</v>
      </c>
      <c r="B722">
        <v>1</v>
      </c>
    </row>
    <row r="723" spans="1:2" x14ac:dyDescent="0.25">
      <c r="A723" s="132">
        <v>46037</v>
      </c>
      <c r="B723">
        <v>1</v>
      </c>
    </row>
    <row r="724" spans="1:2" x14ac:dyDescent="0.25">
      <c r="A724" s="131" t="s">
        <v>176</v>
      </c>
      <c r="B724">
        <v>1</v>
      </c>
    </row>
    <row r="725" spans="1:2" x14ac:dyDescent="0.25">
      <c r="A725" s="132">
        <v>46157</v>
      </c>
      <c r="B725">
        <v>1</v>
      </c>
    </row>
    <row r="726" spans="1:2" x14ac:dyDescent="0.25">
      <c r="A726" s="131" t="s">
        <v>174</v>
      </c>
      <c r="B726">
        <v>1</v>
      </c>
    </row>
    <row r="727" spans="1:2" x14ac:dyDescent="0.25">
      <c r="A727" s="132">
        <v>46157</v>
      </c>
      <c r="B727">
        <v>1</v>
      </c>
    </row>
    <row r="728" spans="1:2" x14ac:dyDescent="0.25">
      <c r="A728" s="131" t="s">
        <v>178</v>
      </c>
      <c r="B728">
        <v>1</v>
      </c>
    </row>
    <row r="729" spans="1:2" x14ac:dyDescent="0.25">
      <c r="A729" s="132">
        <v>46188</v>
      </c>
      <c r="B729">
        <v>1</v>
      </c>
    </row>
    <row r="730" spans="1:2" x14ac:dyDescent="0.25">
      <c r="A730" s="131" t="s">
        <v>179</v>
      </c>
      <c r="B730">
        <v>1</v>
      </c>
    </row>
    <row r="731" spans="1:2" x14ac:dyDescent="0.25">
      <c r="A731" s="132">
        <v>46230</v>
      </c>
      <c r="B731">
        <v>1</v>
      </c>
    </row>
    <row r="732" spans="1:2" x14ac:dyDescent="0.25">
      <c r="A732" s="130" t="s">
        <v>180</v>
      </c>
      <c r="B732">
        <v>1</v>
      </c>
    </row>
    <row r="733" spans="1:2" x14ac:dyDescent="0.25">
      <c r="A733" s="129" t="s">
        <v>541</v>
      </c>
      <c r="B733">
        <v>1</v>
      </c>
    </row>
    <row r="734" spans="1:2" x14ac:dyDescent="0.25">
      <c r="A734" s="131" t="s">
        <v>179</v>
      </c>
      <c r="B734">
        <v>1</v>
      </c>
    </row>
    <row r="735" spans="1:2" x14ac:dyDescent="0.25">
      <c r="A735" s="132">
        <v>46230</v>
      </c>
      <c r="B735">
        <v>1</v>
      </c>
    </row>
    <row r="736" spans="1:2" x14ac:dyDescent="0.25">
      <c r="A736" s="130" t="s">
        <v>181</v>
      </c>
      <c r="B736">
        <v>2</v>
      </c>
    </row>
    <row r="737" spans="1:2" x14ac:dyDescent="0.25">
      <c r="A737" s="129" t="s">
        <v>541</v>
      </c>
      <c r="B737">
        <v>2</v>
      </c>
    </row>
    <row r="738" spans="1:2" x14ac:dyDescent="0.25">
      <c r="A738" s="131" t="s">
        <v>30</v>
      </c>
      <c r="B738">
        <v>1</v>
      </c>
    </row>
    <row r="739" spans="1:2" x14ac:dyDescent="0.25">
      <c r="A739" s="132">
        <v>46127</v>
      </c>
      <c r="B739">
        <v>1</v>
      </c>
    </row>
    <row r="740" spans="1:2" x14ac:dyDescent="0.25">
      <c r="A740" s="131" t="s">
        <v>178</v>
      </c>
      <c r="B740">
        <v>1</v>
      </c>
    </row>
    <row r="741" spans="1:2" x14ac:dyDescent="0.25">
      <c r="A741" s="132">
        <v>46188</v>
      </c>
      <c r="B741">
        <v>1</v>
      </c>
    </row>
    <row r="742" spans="1:2" x14ac:dyDescent="0.25">
      <c r="A742" s="130" t="s">
        <v>183</v>
      </c>
      <c r="B742">
        <v>3</v>
      </c>
    </row>
    <row r="743" spans="1:2" x14ac:dyDescent="0.25">
      <c r="A743" s="129" t="s">
        <v>541</v>
      </c>
      <c r="B743">
        <v>3</v>
      </c>
    </row>
    <row r="744" spans="1:2" x14ac:dyDescent="0.25">
      <c r="A744" s="131" t="s">
        <v>38</v>
      </c>
      <c r="B744">
        <v>1</v>
      </c>
    </row>
    <row r="745" spans="1:2" x14ac:dyDescent="0.25">
      <c r="A745" s="132">
        <v>46203</v>
      </c>
      <c r="B745">
        <v>1</v>
      </c>
    </row>
    <row r="746" spans="1:2" x14ac:dyDescent="0.25">
      <c r="A746" s="131" t="s">
        <v>30</v>
      </c>
      <c r="B746">
        <v>1</v>
      </c>
    </row>
    <row r="747" spans="1:2" x14ac:dyDescent="0.25">
      <c r="A747" s="132">
        <v>46112</v>
      </c>
      <c r="B747">
        <v>1</v>
      </c>
    </row>
    <row r="748" spans="1:2" x14ac:dyDescent="0.25">
      <c r="A748" s="131" t="s">
        <v>39</v>
      </c>
      <c r="B748">
        <v>1</v>
      </c>
    </row>
    <row r="749" spans="1:2" x14ac:dyDescent="0.25">
      <c r="A749" s="132">
        <v>46295</v>
      </c>
      <c r="B749">
        <v>1</v>
      </c>
    </row>
    <row r="750" spans="1:2" x14ac:dyDescent="0.25">
      <c r="A750" s="130" t="s">
        <v>185</v>
      </c>
      <c r="B750">
        <v>12.219581949999998</v>
      </c>
    </row>
    <row r="751" spans="1:2" x14ac:dyDescent="0.25">
      <c r="A751" s="129" t="s">
        <v>543</v>
      </c>
      <c r="B751">
        <v>0.93</v>
      </c>
    </row>
    <row r="752" spans="1:2" x14ac:dyDescent="0.25">
      <c r="A752" s="129" t="s">
        <v>541</v>
      </c>
      <c r="B752">
        <v>11.289581949999999</v>
      </c>
    </row>
    <row r="753" spans="1:2" x14ac:dyDescent="0.25">
      <c r="A753" s="131" t="s">
        <v>18</v>
      </c>
      <c r="B753">
        <v>0.84</v>
      </c>
    </row>
    <row r="754" spans="1:2" x14ac:dyDescent="0.25">
      <c r="A754" s="131" t="s">
        <v>19</v>
      </c>
      <c r="B754">
        <v>0.93</v>
      </c>
    </row>
    <row r="755" spans="1:2" x14ac:dyDescent="0.25">
      <c r="A755" s="131" t="s">
        <v>20</v>
      </c>
      <c r="B755">
        <v>0.9</v>
      </c>
    </row>
    <row r="756" spans="1:2" x14ac:dyDescent="0.25">
      <c r="A756" s="131" t="s">
        <v>21</v>
      </c>
      <c r="B756">
        <v>0.93</v>
      </c>
    </row>
    <row r="757" spans="1:2" x14ac:dyDescent="0.25">
      <c r="A757" s="131" t="s">
        <v>22</v>
      </c>
      <c r="B757">
        <v>0.9</v>
      </c>
    </row>
    <row r="758" spans="1:2" x14ac:dyDescent="0.25">
      <c r="A758" s="131" t="s">
        <v>23</v>
      </c>
      <c r="B758">
        <v>0.93</v>
      </c>
    </row>
    <row r="759" spans="1:2" x14ac:dyDescent="0.25">
      <c r="A759" s="131" t="s">
        <v>24</v>
      </c>
      <c r="B759">
        <v>0.93</v>
      </c>
    </row>
    <row r="760" spans="1:2" x14ac:dyDescent="0.25">
      <c r="A760" s="131" t="s">
        <v>25</v>
      </c>
      <c r="B760">
        <v>0.9</v>
      </c>
    </row>
    <row r="761" spans="1:2" x14ac:dyDescent="0.25">
      <c r="A761" s="131" t="s">
        <v>26</v>
      </c>
      <c r="B761">
        <v>0.93</v>
      </c>
    </row>
    <row r="762" spans="1:2" x14ac:dyDescent="0.25">
      <c r="A762" s="131" t="s">
        <v>27</v>
      </c>
      <c r="B762">
        <v>0.9</v>
      </c>
    </row>
    <row r="763" spans="1:2" x14ac:dyDescent="0.25">
      <c r="A763" s="131" t="s">
        <v>28</v>
      </c>
      <c r="B763">
        <v>0.93</v>
      </c>
    </row>
    <row r="764" spans="1:2" x14ac:dyDescent="0.25">
      <c r="A764" s="131" t="s">
        <v>187</v>
      </c>
      <c r="B764">
        <v>1.2695819500000001</v>
      </c>
    </row>
    <row r="765" spans="1:2" x14ac:dyDescent="0.25">
      <c r="A765" s="132">
        <v>46188</v>
      </c>
      <c r="B765">
        <v>1.2695819500000001</v>
      </c>
    </row>
    <row r="766" spans="1:2" x14ac:dyDescent="0.25">
      <c r="A766" s="130" t="s">
        <v>188</v>
      </c>
      <c r="B766">
        <v>18.075097190000001</v>
      </c>
    </row>
    <row r="767" spans="1:2" x14ac:dyDescent="0.25">
      <c r="A767" s="129" t="s">
        <v>541</v>
      </c>
      <c r="B767">
        <v>18.075097190000001</v>
      </c>
    </row>
    <row r="768" spans="1:2" x14ac:dyDescent="0.25">
      <c r="A768" s="131" t="s">
        <v>16</v>
      </c>
      <c r="B768">
        <v>1.4295599999999999</v>
      </c>
    </row>
    <row r="769" spans="1:2" x14ac:dyDescent="0.25">
      <c r="A769" s="131" t="s">
        <v>18</v>
      </c>
      <c r="B769">
        <v>1.4295599999999999</v>
      </c>
    </row>
    <row r="770" spans="1:2" x14ac:dyDescent="0.25">
      <c r="A770" s="131" t="s">
        <v>19</v>
      </c>
      <c r="B770">
        <v>1.4295599999999999</v>
      </c>
    </row>
    <row r="771" spans="1:2" x14ac:dyDescent="0.25">
      <c r="A771" s="131" t="s">
        <v>20</v>
      </c>
      <c r="B771">
        <v>1.4295599999999999</v>
      </c>
    </row>
    <row r="772" spans="1:2" x14ac:dyDescent="0.25">
      <c r="A772" s="131" t="s">
        <v>21</v>
      </c>
      <c r="B772">
        <v>1.4295599999999999</v>
      </c>
    </row>
    <row r="773" spans="1:2" x14ac:dyDescent="0.25">
      <c r="A773" s="131" t="s">
        <v>22</v>
      </c>
      <c r="B773">
        <v>1.4295599999999999</v>
      </c>
    </row>
    <row r="774" spans="1:2" x14ac:dyDescent="0.25">
      <c r="A774" s="131" t="s">
        <v>23</v>
      </c>
      <c r="B774">
        <v>1.4295599999999999</v>
      </c>
    </row>
    <row r="775" spans="1:2" x14ac:dyDescent="0.25">
      <c r="A775" s="131" t="s">
        <v>24</v>
      </c>
      <c r="B775">
        <v>1.4295599999999999</v>
      </c>
    </row>
    <row r="776" spans="1:2" x14ac:dyDescent="0.25">
      <c r="A776" s="131" t="s">
        <v>25</v>
      </c>
      <c r="B776">
        <v>1.4295599999999999</v>
      </c>
    </row>
    <row r="777" spans="1:2" x14ac:dyDescent="0.25">
      <c r="A777" s="131" t="s">
        <v>26</v>
      </c>
      <c r="B777">
        <v>1.4295599999999999</v>
      </c>
    </row>
    <row r="778" spans="1:2" x14ac:dyDescent="0.25">
      <c r="A778" s="131" t="s">
        <v>27</v>
      </c>
      <c r="B778">
        <v>1.4295599999999999</v>
      </c>
    </row>
    <row r="779" spans="1:2" x14ac:dyDescent="0.25">
      <c r="A779" s="131" t="s">
        <v>28</v>
      </c>
      <c r="B779">
        <v>1.4295599999999999</v>
      </c>
    </row>
    <row r="780" spans="1:2" x14ac:dyDescent="0.25">
      <c r="A780" s="131" t="s">
        <v>30</v>
      </c>
      <c r="B780">
        <v>0.92037718999999996</v>
      </c>
    </row>
    <row r="781" spans="1:2" x14ac:dyDescent="0.25">
      <c r="A781" s="132">
        <v>46260</v>
      </c>
      <c r="B781">
        <v>0.92037718999999996</v>
      </c>
    </row>
    <row r="782" spans="1:2" x14ac:dyDescent="0.25">
      <c r="A782" s="130" t="s">
        <v>190</v>
      </c>
      <c r="B782">
        <v>1.83</v>
      </c>
    </row>
    <row r="783" spans="1:2" x14ac:dyDescent="0.25">
      <c r="A783" s="129" t="s">
        <v>541</v>
      </c>
      <c r="B783">
        <v>1.83</v>
      </c>
    </row>
    <row r="784" spans="1:2" x14ac:dyDescent="0.25">
      <c r="A784" s="131" t="s">
        <v>30</v>
      </c>
      <c r="B784">
        <v>1.83</v>
      </c>
    </row>
    <row r="785" spans="1:2" x14ac:dyDescent="0.25">
      <c r="A785" s="132">
        <v>46223</v>
      </c>
      <c r="B785">
        <v>1.83</v>
      </c>
    </row>
    <row r="786" spans="1:2" x14ac:dyDescent="0.25">
      <c r="A786" s="130" t="s">
        <v>192</v>
      </c>
      <c r="B786">
        <v>13</v>
      </c>
    </row>
    <row r="787" spans="1:2" x14ac:dyDescent="0.25">
      <c r="A787" s="129" t="s">
        <v>543</v>
      </c>
      <c r="B787">
        <v>1</v>
      </c>
    </row>
    <row r="788" spans="1:2" x14ac:dyDescent="0.25">
      <c r="A788" s="129" t="s">
        <v>541</v>
      </c>
      <c r="B788">
        <v>12</v>
      </c>
    </row>
    <row r="789" spans="1:2" x14ac:dyDescent="0.25">
      <c r="A789" s="131" t="s">
        <v>18</v>
      </c>
      <c r="B789">
        <v>1</v>
      </c>
    </row>
    <row r="790" spans="1:2" x14ac:dyDescent="0.25">
      <c r="A790" s="131" t="s">
        <v>19</v>
      </c>
      <c r="B790">
        <v>1</v>
      </c>
    </row>
    <row r="791" spans="1:2" x14ac:dyDescent="0.25">
      <c r="A791" s="131" t="s">
        <v>20</v>
      </c>
      <c r="B791">
        <v>1</v>
      </c>
    </row>
    <row r="792" spans="1:2" x14ac:dyDescent="0.25">
      <c r="A792" s="131" t="s">
        <v>21</v>
      </c>
      <c r="B792">
        <v>1</v>
      </c>
    </row>
    <row r="793" spans="1:2" x14ac:dyDescent="0.25">
      <c r="A793" s="131" t="s">
        <v>22</v>
      </c>
      <c r="B793">
        <v>1</v>
      </c>
    </row>
    <row r="794" spans="1:2" x14ac:dyDescent="0.25">
      <c r="A794" s="131" t="s">
        <v>23</v>
      </c>
      <c r="B794">
        <v>1</v>
      </c>
    </row>
    <row r="795" spans="1:2" x14ac:dyDescent="0.25">
      <c r="A795" s="131" t="s">
        <v>24</v>
      </c>
      <c r="B795">
        <v>1</v>
      </c>
    </row>
    <row r="796" spans="1:2" x14ac:dyDescent="0.25">
      <c r="A796" s="131" t="s">
        <v>25</v>
      </c>
      <c r="B796">
        <v>1</v>
      </c>
    </row>
    <row r="797" spans="1:2" x14ac:dyDescent="0.25">
      <c r="A797" s="131" t="s">
        <v>26</v>
      </c>
      <c r="B797">
        <v>1</v>
      </c>
    </row>
    <row r="798" spans="1:2" x14ac:dyDescent="0.25">
      <c r="A798" s="131" t="s">
        <v>27</v>
      </c>
      <c r="B798">
        <v>1</v>
      </c>
    </row>
    <row r="799" spans="1:2" x14ac:dyDescent="0.25">
      <c r="A799" s="131" t="s">
        <v>28</v>
      </c>
      <c r="B799">
        <v>1</v>
      </c>
    </row>
    <row r="800" spans="1:2" x14ac:dyDescent="0.25">
      <c r="A800" s="131" t="s">
        <v>30</v>
      </c>
      <c r="B800">
        <v>1</v>
      </c>
    </row>
    <row r="801" spans="1:2" x14ac:dyDescent="0.25">
      <c r="A801" s="132">
        <v>46224</v>
      </c>
      <c r="B801">
        <v>1</v>
      </c>
    </row>
    <row r="802" spans="1:2" x14ac:dyDescent="0.25">
      <c r="A802" s="130" t="s">
        <v>194</v>
      </c>
      <c r="B802">
        <v>12</v>
      </c>
    </row>
    <row r="803" spans="1:2" x14ac:dyDescent="0.25">
      <c r="A803" s="129" t="s">
        <v>543</v>
      </c>
      <c r="B803">
        <v>1</v>
      </c>
    </row>
    <row r="804" spans="1:2" x14ac:dyDescent="0.25">
      <c r="A804" s="129" t="s">
        <v>541</v>
      </c>
      <c r="B804">
        <v>11</v>
      </c>
    </row>
    <row r="805" spans="1:2" x14ac:dyDescent="0.25">
      <c r="A805" s="131" t="s">
        <v>16</v>
      </c>
      <c r="B805">
        <v>1</v>
      </c>
    </row>
    <row r="806" spans="1:2" x14ac:dyDescent="0.25">
      <c r="A806" s="131" t="s">
        <v>18</v>
      </c>
      <c r="B806">
        <v>1</v>
      </c>
    </row>
    <row r="807" spans="1:2" x14ac:dyDescent="0.25">
      <c r="A807" s="131" t="s">
        <v>20</v>
      </c>
      <c r="B807">
        <v>1</v>
      </c>
    </row>
    <row r="808" spans="1:2" x14ac:dyDescent="0.25">
      <c r="A808" s="131" t="s">
        <v>21</v>
      </c>
      <c r="B808">
        <v>1</v>
      </c>
    </row>
    <row r="809" spans="1:2" x14ac:dyDescent="0.25">
      <c r="A809" s="131" t="s">
        <v>22</v>
      </c>
      <c r="B809">
        <v>1</v>
      </c>
    </row>
    <row r="810" spans="1:2" x14ac:dyDescent="0.25">
      <c r="A810" s="131" t="s">
        <v>23</v>
      </c>
      <c r="B810">
        <v>1</v>
      </c>
    </row>
    <row r="811" spans="1:2" x14ac:dyDescent="0.25">
      <c r="A811" s="131" t="s">
        <v>24</v>
      </c>
      <c r="B811">
        <v>1</v>
      </c>
    </row>
    <row r="812" spans="1:2" x14ac:dyDescent="0.25">
      <c r="A812" s="131" t="s">
        <v>25</v>
      </c>
      <c r="B812">
        <v>1</v>
      </c>
    </row>
    <row r="813" spans="1:2" x14ac:dyDescent="0.25">
      <c r="A813" s="131" t="s">
        <v>26</v>
      </c>
      <c r="B813">
        <v>1</v>
      </c>
    </row>
    <row r="814" spans="1:2" x14ac:dyDescent="0.25">
      <c r="A814" s="131" t="s">
        <v>27</v>
      </c>
      <c r="B814">
        <v>1</v>
      </c>
    </row>
    <row r="815" spans="1:2" x14ac:dyDescent="0.25">
      <c r="A815" s="131" t="s">
        <v>28</v>
      </c>
      <c r="B815">
        <v>1</v>
      </c>
    </row>
    <row r="816" spans="1:2" x14ac:dyDescent="0.25">
      <c r="A816" s="130" t="s">
        <v>199</v>
      </c>
      <c r="B816">
        <v>3.1281599999999998</v>
      </c>
    </row>
    <row r="817" spans="1:2" x14ac:dyDescent="0.25">
      <c r="A817" s="129" t="s">
        <v>541</v>
      </c>
      <c r="B817">
        <v>3.1281599999999998</v>
      </c>
    </row>
    <row r="818" spans="1:2" x14ac:dyDescent="0.25">
      <c r="A818" s="131" t="s">
        <v>37</v>
      </c>
      <c r="B818">
        <v>0.78203999999999996</v>
      </c>
    </row>
    <row r="819" spans="1:2" x14ac:dyDescent="0.25">
      <c r="A819" s="132">
        <v>46096</v>
      </c>
      <c r="B819">
        <v>0.78203999999999996</v>
      </c>
    </row>
    <row r="820" spans="1:2" x14ac:dyDescent="0.25">
      <c r="A820" s="131" t="s">
        <v>38</v>
      </c>
      <c r="B820">
        <v>0.78203999999999996</v>
      </c>
    </row>
    <row r="821" spans="1:2" x14ac:dyDescent="0.25">
      <c r="A821" s="132">
        <v>46188</v>
      </c>
      <c r="B821">
        <v>0.78203999999999996</v>
      </c>
    </row>
    <row r="822" spans="1:2" x14ac:dyDescent="0.25">
      <c r="A822" s="131" t="s">
        <v>30</v>
      </c>
      <c r="B822">
        <v>0.78203999999999996</v>
      </c>
    </row>
    <row r="823" spans="1:2" x14ac:dyDescent="0.25">
      <c r="A823" s="132">
        <v>46063</v>
      </c>
      <c r="B823">
        <v>0.78203999999999996</v>
      </c>
    </row>
    <row r="824" spans="1:2" x14ac:dyDescent="0.25">
      <c r="A824" s="131" t="s">
        <v>39</v>
      </c>
      <c r="B824">
        <v>0.78203999999999996</v>
      </c>
    </row>
    <row r="825" spans="1:2" x14ac:dyDescent="0.25">
      <c r="A825" s="132">
        <v>46280</v>
      </c>
      <c r="B825">
        <v>0.78203999999999996</v>
      </c>
    </row>
    <row r="826" spans="1:2" x14ac:dyDescent="0.25">
      <c r="A826" s="130" t="s">
        <v>201</v>
      </c>
      <c r="B826">
        <v>19.084240000000005</v>
      </c>
    </row>
    <row r="827" spans="1:2" x14ac:dyDescent="0.25">
      <c r="A827" s="129" t="s">
        <v>543</v>
      </c>
      <c r="B827">
        <v>1.50702</v>
      </c>
    </row>
    <row r="828" spans="1:2" x14ac:dyDescent="0.25">
      <c r="A828" s="129" t="s">
        <v>541</v>
      </c>
      <c r="B828">
        <v>17.577220000000004</v>
      </c>
    </row>
    <row r="829" spans="1:2" x14ac:dyDescent="0.25">
      <c r="A829" s="131" t="s">
        <v>18</v>
      </c>
      <c r="B829">
        <v>1.50702</v>
      </c>
    </row>
    <row r="830" spans="1:2" x14ac:dyDescent="0.25">
      <c r="A830" s="131" t="s">
        <v>19</v>
      </c>
      <c r="B830">
        <v>1.50702</v>
      </c>
    </row>
    <row r="831" spans="1:2" x14ac:dyDescent="0.25">
      <c r="A831" s="131" t="s">
        <v>20</v>
      </c>
      <c r="B831">
        <v>1.50702</v>
      </c>
    </row>
    <row r="832" spans="1:2" x14ac:dyDescent="0.25">
      <c r="A832" s="131" t="s">
        <v>21</v>
      </c>
      <c r="B832">
        <v>1.50702</v>
      </c>
    </row>
    <row r="833" spans="1:2" x14ac:dyDescent="0.25">
      <c r="A833" s="131" t="s">
        <v>22</v>
      </c>
      <c r="B833">
        <v>1.50702</v>
      </c>
    </row>
    <row r="834" spans="1:2" x14ac:dyDescent="0.25">
      <c r="A834" s="131" t="s">
        <v>23</v>
      </c>
      <c r="B834">
        <v>1.50702</v>
      </c>
    </row>
    <row r="835" spans="1:2" x14ac:dyDescent="0.25">
      <c r="A835" s="131" t="s">
        <v>24</v>
      </c>
      <c r="B835">
        <v>1.50702</v>
      </c>
    </row>
    <row r="836" spans="1:2" x14ac:dyDescent="0.25">
      <c r="A836" s="131" t="s">
        <v>25</v>
      </c>
      <c r="B836">
        <v>1.50702</v>
      </c>
    </row>
    <row r="837" spans="1:2" x14ac:dyDescent="0.25">
      <c r="A837" s="131" t="s">
        <v>26</v>
      </c>
      <c r="B837">
        <v>1.50702</v>
      </c>
    </row>
    <row r="838" spans="1:2" x14ac:dyDescent="0.25">
      <c r="A838" s="131" t="s">
        <v>27</v>
      </c>
      <c r="B838">
        <v>1.50702</v>
      </c>
    </row>
    <row r="839" spans="1:2" x14ac:dyDescent="0.25">
      <c r="A839" s="131" t="s">
        <v>28</v>
      </c>
      <c r="B839">
        <v>1.50702</v>
      </c>
    </row>
    <row r="840" spans="1:2" x14ac:dyDescent="0.25">
      <c r="A840" s="131" t="s">
        <v>30</v>
      </c>
      <c r="B840">
        <v>1</v>
      </c>
    </row>
    <row r="841" spans="1:2" x14ac:dyDescent="0.25">
      <c r="A841" s="132">
        <v>46224</v>
      </c>
      <c r="B841">
        <v>1</v>
      </c>
    </row>
    <row r="842" spans="1:2" x14ac:dyDescent="0.25">
      <c r="A842" s="130" t="s">
        <v>203</v>
      </c>
      <c r="B842">
        <v>15.63</v>
      </c>
    </row>
    <row r="843" spans="1:2" x14ac:dyDescent="0.25">
      <c r="A843" s="129" t="s">
        <v>541</v>
      </c>
      <c r="B843">
        <v>15.63</v>
      </c>
    </row>
    <row r="844" spans="1:2" x14ac:dyDescent="0.25">
      <c r="A844" s="131" t="s">
        <v>16</v>
      </c>
      <c r="B844">
        <v>1.7795000000000001</v>
      </c>
    </row>
    <row r="845" spans="1:2" x14ac:dyDescent="0.25">
      <c r="A845" s="131" t="s">
        <v>18</v>
      </c>
      <c r="B845">
        <v>1.7795000000000001</v>
      </c>
    </row>
    <row r="846" spans="1:2" x14ac:dyDescent="0.25">
      <c r="A846" s="131" t="s">
        <v>19</v>
      </c>
      <c r="B846">
        <v>1.0495000000000001</v>
      </c>
    </row>
    <row r="847" spans="1:2" x14ac:dyDescent="0.25">
      <c r="A847" s="131" t="s">
        <v>20</v>
      </c>
      <c r="B847">
        <v>1.0495000000000001</v>
      </c>
    </row>
    <row r="848" spans="1:2" x14ac:dyDescent="0.25">
      <c r="A848" s="131" t="s">
        <v>21</v>
      </c>
      <c r="B848">
        <v>1.0495000000000001</v>
      </c>
    </row>
    <row r="849" spans="1:2" x14ac:dyDescent="0.25">
      <c r="A849" s="131" t="s">
        <v>22</v>
      </c>
      <c r="B849">
        <v>1.0495000000000001</v>
      </c>
    </row>
    <row r="850" spans="1:2" x14ac:dyDescent="0.25">
      <c r="A850" s="131" t="s">
        <v>23</v>
      </c>
      <c r="B850">
        <v>1.0495000000000001</v>
      </c>
    </row>
    <row r="851" spans="1:2" x14ac:dyDescent="0.25">
      <c r="A851" s="131" t="s">
        <v>24</v>
      </c>
      <c r="B851">
        <v>1.0495000000000001</v>
      </c>
    </row>
    <row r="852" spans="1:2" x14ac:dyDescent="0.25">
      <c r="A852" s="131" t="s">
        <v>25</v>
      </c>
      <c r="B852">
        <v>1.0495000000000001</v>
      </c>
    </row>
    <row r="853" spans="1:2" x14ac:dyDescent="0.25">
      <c r="A853" s="131" t="s">
        <v>26</v>
      </c>
      <c r="B853">
        <v>1.0495000000000001</v>
      </c>
    </row>
    <row r="854" spans="1:2" x14ac:dyDescent="0.25">
      <c r="A854" s="131" t="s">
        <v>27</v>
      </c>
      <c r="B854">
        <v>1.0495000000000001</v>
      </c>
    </row>
    <row r="855" spans="1:2" x14ac:dyDescent="0.25">
      <c r="A855" s="131" t="s">
        <v>28</v>
      </c>
      <c r="B855">
        <v>1.0495000000000001</v>
      </c>
    </row>
    <row r="856" spans="1:2" x14ac:dyDescent="0.25">
      <c r="A856" s="131" t="s">
        <v>30</v>
      </c>
      <c r="B856">
        <v>1.5760000000000001</v>
      </c>
    </row>
    <row r="857" spans="1:2" x14ac:dyDescent="0.25">
      <c r="A857" s="132">
        <v>46208</v>
      </c>
      <c r="B857">
        <v>1.5760000000000001</v>
      </c>
    </row>
    <row r="858" spans="1:2" x14ac:dyDescent="0.25">
      <c r="A858" s="130" t="s">
        <v>205</v>
      </c>
      <c r="B858">
        <v>5</v>
      </c>
    </row>
    <row r="859" spans="1:2" x14ac:dyDescent="0.25">
      <c r="A859" s="129" t="s">
        <v>541</v>
      </c>
      <c r="B859">
        <v>5</v>
      </c>
    </row>
    <row r="860" spans="1:2" x14ac:dyDescent="0.25">
      <c r="A860" s="131" t="s">
        <v>37</v>
      </c>
      <c r="B860">
        <v>1</v>
      </c>
    </row>
    <row r="861" spans="1:2" x14ac:dyDescent="0.25">
      <c r="A861" s="132">
        <v>46108</v>
      </c>
      <c r="B861">
        <v>1</v>
      </c>
    </row>
    <row r="862" spans="1:2" x14ac:dyDescent="0.25">
      <c r="A862" s="131" t="s">
        <v>35</v>
      </c>
      <c r="B862">
        <v>1</v>
      </c>
    </row>
    <row r="863" spans="1:2" x14ac:dyDescent="0.25">
      <c r="A863" s="132">
        <v>46090</v>
      </c>
      <c r="B863">
        <v>1</v>
      </c>
    </row>
    <row r="864" spans="1:2" x14ac:dyDescent="0.25">
      <c r="A864" s="131" t="s">
        <v>38</v>
      </c>
      <c r="B864">
        <v>1</v>
      </c>
    </row>
    <row r="865" spans="1:2" x14ac:dyDescent="0.25">
      <c r="A865" s="132">
        <v>46200</v>
      </c>
      <c r="B865">
        <v>1</v>
      </c>
    </row>
    <row r="866" spans="1:2" x14ac:dyDescent="0.25">
      <c r="A866" s="131" t="s">
        <v>30</v>
      </c>
      <c r="B866">
        <v>1</v>
      </c>
    </row>
    <row r="867" spans="1:2" x14ac:dyDescent="0.25">
      <c r="A867" s="132">
        <v>46200</v>
      </c>
      <c r="B867">
        <v>1</v>
      </c>
    </row>
    <row r="868" spans="1:2" x14ac:dyDescent="0.25">
      <c r="A868" s="131" t="s">
        <v>39</v>
      </c>
      <c r="B868">
        <v>1</v>
      </c>
    </row>
    <row r="869" spans="1:2" x14ac:dyDescent="0.25">
      <c r="A869" s="132">
        <v>46292</v>
      </c>
      <c r="B869">
        <v>1</v>
      </c>
    </row>
    <row r="870" spans="1:2" x14ac:dyDescent="0.25">
      <c r="A870" s="130" t="s">
        <v>207</v>
      </c>
      <c r="B870">
        <v>2</v>
      </c>
    </row>
    <row r="871" spans="1:2" x14ac:dyDescent="0.25">
      <c r="A871" s="129" t="s">
        <v>541</v>
      </c>
      <c r="B871">
        <v>2</v>
      </c>
    </row>
    <row r="872" spans="1:2" x14ac:dyDescent="0.25">
      <c r="A872" s="131" t="s">
        <v>30</v>
      </c>
      <c r="B872">
        <v>2</v>
      </c>
    </row>
    <row r="873" spans="1:2" x14ac:dyDescent="0.25">
      <c r="A873" s="132">
        <v>46120</v>
      </c>
      <c r="B873">
        <v>1</v>
      </c>
    </row>
    <row r="874" spans="1:2" x14ac:dyDescent="0.25">
      <c r="A874" s="132">
        <v>46188</v>
      </c>
      <c r="B874">
        <v>1</v>
      </c>
    </row>
    <row r="875" spans="1:2" x14ac:dyDescent="0.25">
      <c r="A875" s="130" t="s">
        <v>209</v>
      </c>
      <c r="B875">
        <v>2</v>
      </c>
    </row>
    <row r="876" spans="1:2" x14ac:dyDescent="0.25">
      <c r="A876" s="129" t="s">
        <v>541</v>
      </c>
      <c r="B876">
        <v>2</v>
      </c>
    </row>
    <row r="877" spans="1:2" x14ac:dyDescent="0.25">
      <c r="A877" s="131" t="s">
        <v>30</v>
      </c>
      <c r="B877">
        <v>2</v>
      </c>
    </row>
    <row r="878" spans="1:2" x14ac:dyDescent="0.25">
      <c r="A878" s="132">
        <v>46091</v>
      </c>
      <c r="B878">
        <v>1</v>
      </c>
    </row>
    <row r="879" spans="1:2" x14ac:dyDescent="0.25">
      <c r="A879" s="132">
        <v>46280</v>
      </c>
      <c r="B879">
        <v>1</v>
      </c>
    </row>
    <row r="880" spans="1:2" x14ac:dyDescent="0.25">
      <c r="A880" s="130" t="s">
        <v>211</v>
      </c>
      <c r="B880">
        <v>1</v>
      </c>
    </row>
    <row r="881" spans="1:2" x14ac:dyDescent="0.25">
      <c r="A881" s="129" t="s">
        <v>541</v>
      </c>
      <c r="B881">
        <v>1</v>
      </c>
    </row>
    <row r="882" spans="1:2" x14ac:dyDescent="0.25">
      <c r="A882" s="131" t="s">
        <v>30</v>
      </c>
      <c r="B882">
        <v>1</v>
      </c>
    </row>
    <row r="883" spans="1:2" x14ac:dyDescent="0.25">
      <c r="A883" s="132">
        <v>46120</v>
      </c>
      <c r="B883">
        <v>1</v>
      </c>
    </row>
    <row r="884" spans="1:2" x14ac:dyDescent="0.25">
      <c r="A884" s="130" t="s">
        <v>213</v>
      </c>
      <c r="B884">
        <v>6.5474399999999999</v>
      </c>
    </row>
    <row r="885" spans="1:2" x14ac:dyDescent="0.25">
      <c r="A885" s="129" t="s">
        <v>541</v>
      </c>
      <c r="B885">
        <v>6.5474399999999999</v>
      </c>
    </row>
    <row r="886" spans="1:2" x14ac:dyDescent="0.25">
      <c r="A886" s="131" t="s">
        <v>37</v>
      </c>
      <c r="B886">
        <v>1.63686</v>
      </c>
    </row>
    <row r="887" spans="1:2" x14ac:dyDescent="0.25">
      <c r="A887" s="132">
        <v>46139</v>
      </c>
      <c r="B887">
        <v>1.63686</v>
      </c>
    </row>
    <row r="888" spans="1:2" x14ac:dyDescent="0.25">
      <c r="A888" s="131" t="s">
        <v>35</v>
      </c>
      <c r="B888">
        <v>1.63686</v>
      </c>
    </row>
    <row r="889" spans="1:2" x14ac:dyDescent="0.25">
      <c r="A889" s="132">
        <v>46119</v>
      </c>
      <c r="B889">
        <v>1.63686</v>
      </c>
    </row>
    <row r="890" spans="1:2" x14ac:dyDescent="0.25">
      <c r="A890" s="131" t="s">
        <v>38</v>
      </c>
      <c r="B890">
        <v>1.63686</v>
      </c>
    </row>
    <row r="891" spans="1:2" x14ac:dyDescent="0.25">
      <c r="A891" s="132">
        <v>46203</v>
      </c>
      <c r="B891">
        <v>1.63686</v>
      </c>
    </row>
    <row r="892" spans="1:2" x14ac:dyDescent="0.25">
      <c r="A892" s="131" t="s">
        <v>39</v>
      </c>
      <c r="B892">
        <v>1.63686</v>
      </c>
    </row>
    <row r="893" spans="1:2" x14ac:dyDescent="0.25">
      <c r="A893" s="132">
        <v>46295</v>
      </c>
      <c r="B893">
        <v>1.63686</v>
      </c>
    </row>
    <row r="894" spans="1:2" x14ac:dyDescent="0.25">
      <c r="A894" s="130" t="s">
        <v>215</v>
      </c>
      <c r="B894">
        <v>10.081319999999998</v>
      </c>
    </row>
    <row r="895" spans="1:2" x14ac:dyDescent="0.25">
      <c r="A895" s="129" t="s">
        <v>543</v>
      </c>
      <c r="B895">
        <v>2.52033</v>
      </c>
    </row>
    <row r="896" spans="1:2" x14ac:dyDescent="0.25">
      <c r="A896" s="129" t="s">
        <v>541</v>
      </c>
      <c r="B896">
        <v>7.5609900000000003</v>
      </c>
    </row>
    <row r="897" spans="1:2" x14ac:dyDescent="0.25">
      <c r="A897" s="131" t="s">
        <v>20</v>
      </c>
      <c r="B897">
        <v>0.84011000000000002</v>
      </c>
    </row>
    <row r="898" spans="1:2" x14ac:dyDescent="0.25">
      <c r="A898" s="131" t="s">
        <v>21</v>
      </c>
      <c r="B898">
        <v>0.84011000000000002</v>
      </c>
    </row>
    <row r="899" spans="1:2" x14ac:dyDescent="0.25">
      <c r="A899" s="131" t="s">
        <v>22</v>
      </c>
      <c r="B899">
        <v>0.84011000000000002</v>
      </c>
    </row>
    <row r="900" spans="1:2" x14ac:dyDescent="0.25">
      <c r="A900" s="131" t="s">
        <v>23</v>
      </c>
      <c r="B900">
        <v>0.84011000000000002</v>
      </c>
    </row>
    <row r="901" spans="1:2" x14ac:dyDescent="0.25">
      <c r="A901" s="131" t="s">
        <v>24</v>
      </c>
      <c r="B901">
        <v>0.84011000000000002</v>
      </c>
    </row>
    <row r="902" spans="1:2" x14ac:dyDescent="0.25">
      <c r="A902" s="131" t="s">
        <v>25</v>
      </c>
      <c r="B902">
        <v>0.84011000000000002</v>
      </c>
    </row>
    <row r="903" spans="1:2" x14ac:dyDescent="0.25">
      <c r="A903" s="131" t="s">
        <v>26</v>
      </c>
      <c r="B903">
        <v>0.84011000000000002</v>
      </c>
    </row>
    <row r="904" spans="1:2" x14ac:dyDescent="0.25">
      <c r="A904" s="131" t="s">
        <v>27</v>
      </c>
      <c r="B904">
        <v>0.84011000000000002</v>
      </c>
    </row>
    <row r="905" spans="1:2" x14ac:dyDescent="0.25">
      <c r="A905" s="131" t="s">
        <v>28</v>
      </c>
      <c r="B905">
        <v>0.84011000000000002</v>
      </c>
    </row>
    <row r="906" spans="1:2" x14ac:dyDescent="0.25">
      <c r="A906" s="130" t="s">
        <v>217</v>
      </c>
      <c r="B906">
        <v>19.727630000000001</v>
      </c>
    </row>
    <row r="907" spans="1:2" x14ac:dyDescent="0.25">
      <c r="A907" s="129" t="s">
        <v>541</v>
      </c>
      <c r="B907">
        <v>19.727630000000001</v>
      </c>
    </row>
    <row r="908" spans="1:2" x14ac:dyDescent="0.25">
      <c r="A908" s="131" t="s">
        <v>16</v>
      </c>
      <c r="B908">
        <v>1.5175099999999999</v>
      </c>
    </row>
    <row r="909" spans="1:2" x14ac:dyDescent="0.25">
      <c r="A909" s="131" t="s">
        <v>18</v>
      </c>
      <c r="B909">
        <v>1.5175099999999999</v>
      </c>
    </row>
    <row r="910" spans="1:2" x14ac:dyDescent="0.25">
      <c r="A910" s="131" t="s">
        <v>19</v>
      </c>
      <c r="B910">
        <v>1.5175099999999999</v>
      </c>
    </row>
    <row r="911" spans="1:2" x14ac:dyDescent="0.25">
      <c r="A911" s="131" t="s">
        <v>20</v>
      </c>
      <c r="B911">
        <v>1.5175099999999999</v>
      </c>
    </row>
    <row r="912" spans="1:2" x14ac:dyDescent="0.25">
      <c r="A912" s="131" t="s">
        <v>21</v>
      </c>
      <c r="B912">
        <v>1.5175099999999999</v>
      </c>
    </row>
    <row r="913" spans="1:2" x14ac:dyDescent="0.25">
      <c r="A913" s="131" t="s">
        <v>22</v>
      </c>
      <c r="B913">
        <v>1.5175099999999999</v>
      </c>
    </row>
    <row r="914" spans="1:2" x14ac:dyDescent="0.25">
      <c r="A914" s="131" t="s">
        <v>23</v>
      </c>
      <c r="B914">
        <v>1.5175099999999999</v>
      </c>
    </row>
    <row r="915" spans="1:2" x14ac:dyDescent="0.25">
      <c r="A915" s="131" t="s">
        <v>24</v>
      </c>
      <c r="B915">
        <v>1.5175099999999999</v>
      </c>
    </row>
    <row r="916" spans="1:2" x14ac:dyDescent="0.25">
      <c r="A916" s="131" t="s">
        <v>25</v>
      </c>
      <c r="B916">
        <v>1.5175099999999999</v>
      </c>
    </row>
    <row r="917" spans="1:2" x14ac:dyDescent="0.25">
      <c r="A917" s="131" t="s">
        <v>26</v>
      </c>
      <c r="B917">
        <v>1.5175099999999999</v>
      </c>
    </row>
    <row r="918" spans="1:2" x14ac:dyDescent="0.25">
      <c r="A918" s="131" t="s">
        <v>27</v>
      </c>
      <c r="B918">
        <v>1.5175099999999999</v>
      </c>
    </row>
    <row r="919" spans="1:2" x14ac:dyDescent="0.25">
      <c r="A919" s="131" t="s">
        <v>28</v>
      </c>
      <c r="B919">
        <v>1.5175099999999999</v>
      </c>
    </row>
    <row r="920" spans="1:2" x14ac:dyDescent="0.25">
      <c r="A920" s="131" t="s">
        <v>30</v>
      </c>
      <c r="B920">
        <v>1.5175099999999999</v>
      </c>
    </row>
    <row r="921" spans="1:2" x14ac:dyDescent="0.25">
      <c r="A921" s="132">
        <v>46245</v>
      </c>
      <c r="B921">
        <v>1.5175099999999999</v>
      </c>
    </row>
    <row r="922" spans="1:2" x14ac:dyDescent="0.25">
      <c r="A922" s="130" t="s">
        <v>219</v>
      </c>
      <c r="B922">
        <v>7</v>
      </c>
    </row>
    <row r="923" spans="1:2" x14ac:dyDescent="0.25">
      <c r="A923" s="129" t="s">
        <v>541</v>
      </c>
      <c r="B923">
        <v>7</v>
      </c>
    </row>
    <row r="924" spans="1:2" x14ac:dyDescent="0.25">
      <c r="A924" s="131" t="s">
        <v>23</v>
      </c>
      <c r="B924">
        <v>1</v>
      </c>
    </row>
    <row r="925" spans="1:2" x14ac:dyDescent="0.25">
      <c r="A925" s="131" t="s">
        <v>24</v>
      </c>
      <c r="B925">
        <v>1</v>
      </c>
    </row>
    <row r="926" spans="1:2" x14ac:dyDescent="0.25">
      <c r="A926" s="131" t="s">
        <v>121</v>
      </c>
      <c r="B926">
        <v>1</v>
      </c>
    </row>
    <row r="927" spans="1:2" x14ac:dyDescent="0.25">
      <c r="A927" s="132">
        <v>46081</v>
      </c>
      <c r="B927">
        <v>1</v>
      </c>
    </row>
    <row r="928" spans="1:2" x14ac:dyDescent="0.25">
      <c r="A928" s="131" t="s">
        <v>122</v>
      </c>
      <c r="B928">
        <v>1</v>
      </c>
    </row>
    <row r="929" spans="1:2" x14ac:dyDescent="0.25">
      <c r="A929" s="132">
        <v>46082</v>
      </c>
      <c r="B929">
        <v>1</v>
      </c>
    </row>
    <row r="930" spans="1:2" x14ac:dyDescent="0.25">
      <c r="A930" s="131" t="s">
        <v>43</v>
      </c>
      <c r="B930">
        <v>1</v>
      </c>
    </row>
    <row r="931" spans="1:2" x14ac:dyDescent="0.25">
      <c r="A931" s="132">
        <v>46143</v>
      </c>
      <c r="B931">
        <v>1</v>
      </c>
    </row>
    <row r="932" spans="1:2" x14ac:dyDescent="0.25">
      <c r="A932" s="131" t="s">
        <v>46</v>
      </c>
      <c r="B932">
        <v>1</v>
      </c>
    </row>
    <row r="933" spans="1:2" x14ac:dyDescent="0.25">
      <c r="A933" s="132">
        <v>46327</v>
      </c>
      <c r="B933">
        <v>1</v>
      </c>
    </row>
    <row r="934" spans="1:2" x14ac:dyDescent="0.25">
      <c r="A934" s="131" t="s">
        <v>45</v>
      </c>
      <c r="B934">
        <v>1</v>
      </c>
    </row>
    <row r="935" spans="1:2" x14ac:dyDescent="0.25">
      <c r="A935" s="132">
        <v>46241</v>
      </c>
      <c r="B935">
        <v>1</v>
      </c>
    </row>
    <row r="936" spans="1:2" x14ac:dyDescent="0.25">
      <c r="A936" s="130" t="s">
        <v>221</v>
      </c>
      <c r="B936">
        <v>13</v>
      </c>
    </row>
    <row r="937" spans="1:2" x14ac:dyDescent="0.25">
      <c r="A937" s="129" t="s">
        <v>541</v>
      </c>
      <c r="B937">
        <v>13</v>
      </c>
    </row>
    <row r="938" spans="1:2" x14ac:dyDescent="0.25">
      <c r="A938" s="131" t="s">
        <v>16</v>
      </c>
      <c r="B938">
        <v>1</v>
      </c>
    </row>
    <row r="939" spans="1:2" x14ac:dyDescent="0.25">
      <c r="A939" s="131" t="s">
        <v>18</v>
      </c>
      <c r="B939">
        <v>1</v>
      </c>
    </row>
    <row r="940" spans="1:2" x14ac:dyDescent="0.25">
      <c r="A940" s="131" t="s">
        <v>19</v>
      </c>
      <c r="B940">
        <v>1</v>
      </c>
    </row>
    <row r="941" spans="1:2" x14ac:dyDescent="0.25">
      <c r="A941" s="131" t="s">
        <v>20</v>
      </c>
      <c r="B941">
        <v>1</v>
      </c>
    </row>
    <row r="942" spans="1:2" x14ac:dyDescent="0.25">
      <c r="A942" s="131" t="s">
        <v>21</v>
      </c>
      <c r="B942">
        <v>1</v>
      </c>
    </row>
    <row r="943" spans="1:2" x14ac:dyDescent="0.25">
      <c r="A943" s="131" t="s">
        <v>22</v>
      </c>
      <c r="B943">
        <v>1</v>
      </c>
    </row>
    <row r="944" spans="1:2" x14ac:dyDescent="0.25">
      <c r="A944" s="131" t="s">
        <v>23</v>
      </c>
      <c r="B944">
        <v>1</v>
      </c>
    </row>
    <row r="945" spans="1:2" x14ac:dyDescent="0.25">
      <c r="A945" s="131" t="s">
        <v>24</v>
      </c>
      <c r="B945">
        <v>1</v>
      </c>
    </row>
    <row r="946" spans="1:2" x14ac:dyDescent="0.25">
      <c r="A946" s="131" t="s">
        <v>25</v>
      </c>
      <c r="B946">
        <v>1</v>
      </c>
    </row>
    <row r="947" spans="1:2" x14ac:dyDescent="0.25">
      <c r="A947" s="131" t="s">
        <v>26</v>
      </c>
      <c r="B947">
        <v>1</v>
      </c>
    </row>
    <row r="948" spans="1:2" x14ac:dyDescent="0.25">
      <c r="A948" s="131" t="s">
        <v>27</v>
      </c>
      <c r="B948">
        <v>1</v>
      </c>
    </row>
    <row r="949" spans="1:2" x14ac:dyDescent="0.25">
      <c r="A949" s="131" t="s">
        <v>28</v>
      </c>
      <c r="B949">
        <v>1</v>
      </c>
    </row>
    <row r="950" spans="1:2" x14ac:dyDescent="0.25">
      <c r="A950" s="131" t="s">
        <v>30</v>
      </c>
      <c r="B950">
        <v>1</v>
      </c>
    </row>
    <row r="951" spans="1:2" x14ac:dyDescent="0.25">
      <c r="A951" s="132">
        <v>46259</v>
      </c>
      <c r="B951">
        <v>1</v>
      </c>
    </row>
    <row r="952" spans="1:2" x14ac:dyDescent="0.25">
      <c r="A952" s="130" t="s">
        <v>223</v>
      </c>
      <c r="B952">
        <v>19.461479999999998</v>
      </c>
    </row>
    <row r="953" spans="1:2" x14ac:dyDescent="0.25">
      <c r="A953" s="129" t="s">
        <v>543</v>
      </c>
      <c r="B953">
        <v>1.5670999999999999</v>
      </c>
    </row>
    <row r="954" spans="1:2" x14ac:dyDescent="0.25">
      <c r="A954" s="129" t="s">
        <v>541</v>
      </c>
      <c r="B954">
        <v>17.894379999999998</v>
      </c>
    </row>
    <row r="955" spans="1:2" x14ac:dyDescent="0.25">
      <c r="A955" s="131" t="s">
        <v>19</v>
      </c>
      <c r="B955">
        <v>1.5670999999999999</v>
      </c>
    </row>
    <row r="956" spans="1:2" x14ac:dyDescent="0.25">
      <c r="A956" s="131" t="s">
        <v>20</v>
      </c>
      <c r="B956">
        <v>1.5670999999999999</v>
      </c>
    </row>
    <row r="957" spans="1:2" x14ac:dyDescent="0.25">
      <c r="A957" s="131" t="s">
        <v>21</v>
      </c>
      <c r="B957">
        <v>1.5670999999999999</v>
      </c>
    </row>
    <row r="958" spans="1:2" x14ac:dyDescent="0.25">
      <c r="A958" s="131" t="s">
        <v>22</v>
      </c>
      <c r="B958">
        <v>1.5670999999999999</v>
      </c>
    </row>
    <row r="959" spans="1:2" x14ac:dyDescent="0.25">
      <c r="A959" s="131" t="s">
        <v>23</v>
      </c>
      <c r="B959">
        <v>1.5670999999999999</v>
      </c>
    </row>
    <row r="960" spans="1:2" x14ac:dyDescent="0.25">
      <c r="A960" s="131" t="s">
        <v>24</v>
      </c>
      <c r="B960">
        <v>1.5670999999999999</v>
      </c>
    </row>
    <row r="961" spans="1:2" x14ac:dyDescent="0.25">
      <c r="A961" s="131" t="s">
        <v>25</v>
      </c>
      <c r="B961">
        <v>1.5670999999999999</v>
      </c>
    </row>
    <row r="962" spans="1:2" x14ac:dyDescent="0.25">
      <c r="A962" s="131" t="s">
        <v>26</v>
      </c>
      <c r="B962">
        <v>1.5670999999999999</v>
      </c>
    </row>
    <row r="963" spans="1:2" x14ac:dyDescent="0.25">
      <c r="A963" s="131" t="s">
        <v>27</v>
      </c>
      <c r="B963">
        <v>1.5670999999999999</v>
      </c>
    </row>
    <row r="964" spans="1:2" x14ac:dyDescent="0.25">
      <c r="A964" s="131" t="s">
        <v>28</v>
      </c>
      <c r="B964">
        <v>1.5670999999999999</v>
      </c>
    </row>
    <row r="965" spans="1:2" x14ac:dyDescent="0.25">
      <c r="A965" s="131" t="s">
        <v>30</v>
      </c>
      <c r="B965">
        <v>2.2233799999999997</v>
      </c>
    </row>
    <row r="966" spans="1:2" x14ac:dyDescent="0.25">
      <c r="A966" s="132">
        <v>46042</v>
      </c>
      <c r="B966">
        <v>1.5670999999999999</v>
      </c>
    </row>
    <row r="967" spans="1:2" x14ac:dyDescent="0.25">
      <c r="A967" s="132">
        <v>46249</v>
      </c>
      <c r="B967">
        <v>0.65627999999999997</v>
      </c>
    </row>
    <row r="968" spans="1:2" x14ac:dyDescent="0.25">
      <c r="A968" s="130" t="s">
        <v>225</v>
      </c>
      <c r="B968">
        <v>0.62063999999999997</v>
      </c>
    </row>
    <row r="969" spans="1:2" x14ac:dyDescent="0.25">
      <c r="A969" s="129" t="s">
        <v>541</v>
      </c>
      <c r="B969">
        <v>0.62063999999999997</v>
      </c>
    </row>
    <row r="970" spans="1:2" x14ac:dyDescent="0.25">
      <c r="A970" s="131" t="s">
        <v>35</v>
      </c>
      <c r="B970">
        <v>0.62063999999999997</v>
      </c>
    </row>
    <row r="971" spans="1:2" x14ac:dyDescent="0.25">
      <c r="A971" s="132">
        <v>46112</v>
      </c>
      <c r="B971">
        <v>0.62063999999999997</v>
      </c>
    </row>
    <row r="972" spans="1:2" x14ac:dyDescent="0.25">
      <c r="A972" s="130" t="s">
        <v>227</v>
      </c>
      <c r="B972">
        <v>2.8619199999999996</v>
      </c>
    </row>
    <row r="973" spans="1:2" x14ac:dyDescent="0.25">
      <c r="A973" s="129" t="s">
        <v>541</v>
      </c>
      <c r="B973">
        <v>2.8619199999999996</v>
      </c>
    </row>
    <row r="974" spans="1:2" x14ac:dyDescent="0.25">
      <c r="A974" s="131" t="s">
        <v>37</v>
      </c>
      <c r="B974">
        <v>0.62063999999999997</v>
      </c>
    </row>
    <row r="975" spans="1:2" x14ac:dyDescent="0.25">
      <c r="A975" s="132">
        <v>46154</v>
      </c>
      <c r="B975">
        <v>0.62063999999999997</v>
      </c>
    </row>
    <row r="976" spans="1:2" x14ac:dyDescent="0.25">
      <c r="A976" s="131" t="s">
        <v>38</v>
      </c>
      <c r="B976">
        <v>0.62063999999999997</v>
      </c>
    </row>
    <row r="977" spans="1:2" x14ac:dyDescent="0.25">
      <c r="A977" s="132">
        <v>46203</v>
      </c>
      <c r="B977">
        <v>0.62063999999999997</v>
      </c>
    </row>
    <row r="978" spans="1:2" x14ac:dyDescent="0.25">
      <c r="A978" s="131" t="s">
        <v>30</v>
      </c>
      <c r="B978">
        <v>1</v>
      </c>
    </row>
    <row r="979" spans="1:2" x14ac:dyDescent="0.25">
      <c r="A979" s="132">
        <v>46203</v>
      </c>
      <c r="B979">
        <v>1</v>
      </c>
    </row>
    <row r="980" spans="1:2" x14ac:dyDescent="0.25">
      <c r="A980" s="131" t="s">
        <v>39</v>
      </c>
      <c r="B980">
        <v>0.62063999999999997</v>
      </c>
    </row>
    <row r="981" spans="1:2" x14ac:dyDescent="0.25">
      <c r="A981" s="132">
        <v>46295</v>
      </c>
      <c r="B981">
        <v>0.62063999999999997</v>
      </c>
    </row>
    <row r="982" spans="1:2" x14ac:dyDescent="0.25">
      <c r="A982" s="130" t="s">
        <v>228</v>
      </c>
      <c r="B982">
        <v>22.073</v>
      </c>
    </row>
    <row r="983" spans="1:2" x14ac:dyDescent="0.25">
      <c r="A983" s="129" t="s">
        <v>541</v>
      </c>
      <c r="B983">
        <v>22.073</v>
      </c>
    </row>
    <row r="984" spans="1:2" x14ac:dyDescent="0.25">
      <c r="A984" s="131" t="s">
        <v>16</v>
      </c>
      <c r="B984">
        <v>1.7250000000000001</v>
      </c>
    </row>
    <row r="985" spans="1:2" x14ac:dyDescent="0.25">
      <c r="A985" s="131" t="s">
        <v>18</v>
      </c>
      <c r="B985">
        <v>1.5580000000000001</v>
      </c>
    </row>
    <row r="986" spans="1:2" x14ac:dyDescent="0.25">
      <c r="A986" s="131" t="s">
        <v>19</v>
      </c>
      <c r="B986">
        <v>1.73</v>
      </c>
    </row>
    <row r="987" spans="1:2" x14ac:dyDescent="0.25">
      <c r="A987" s="131" t="s">
        <v>20</v>
      </c>
      <c r="B987">
        <v>1.67</v>
      </c>
    </row>
    <row r="988" spans="1:2" x14ac:dyDescent="0.25">
      <c r="A988" s="131" t="s">
        <v>21</v>
      </c>
      <c r="B988">
        <v>1.73</v>
      </c>
    </row>
    <row r="989" spans="1:2" x14ac:dyDescent="0.25">
      <c r="A989" s="131" t="s">
        <v>22</v>
      </c>
      <c r="B989">
        <v>1.67</v>
      </c>
    </row>
    <row r="990" spans="1:2" x14ac:dyDescent="0.25">
      <c r="A990" s="131" t="s">
        <v>23</v>
      </c>
      <c r="B990">
        <v>1.73</v>
      </c>
    </row>
    <row r="991" spans="1:2" x14ac:dyDescent="0.25">
      <c r="A991" s="131" t="s">
        <v>24</v>
      </c>
      <c r="B991">
        <v>1.73</v>
      </c>
    </row>
    <row r="992" spans="1:2" x14ac:dyDescent="0.25">
      <c r="A992" s="131" t="s">
        <v>26</v>
      </c>
      <c r="B992">
        <v>1.73</v>
      </c>
    </row>
    <row r="993" spans="1:2" x14ac:dyDescent="0.25">
      <c r="A993" s="131" t="s">
        <v>27</v>
      </c>
      <c r="B993">
        <v>1.67</v>
      </c>
    </row>
    <row r="994" spans="1:2" x14ac:dyDescent="0.25">
      <c r="A994" s="131" t="s">
        <v>28</v>
      </c>
      <c r="B994">
        <v>1.73</v>
      </c>
    </row>
    <row r="995" spans="1:2" x14ac:dyDescent="0.25">
      <c r="A995" s="131" t="s">
        <v>30</v>
      </c>
      <c r="B995">
        <v>1.73</v>
      </c>
    </row>
    <row r="996" spans="1:2" x14ac:dyDescent="0.25">
      <c r="A996" s="132">
        <v>46208</v>
      </c>
      <c r="B996">
        <v>1.73</v>
      </c>
    </row>
    <row r="997" spans="1:2" x14ac:dyDescent="0.25">
      <c r="A997" s="131" t="s">
        <v>67</v>
      </c>
      <c r="B997">
        <v>1.67</v>
      </c>
    </row>
    <row r="998" spans="1:2" x14ac:dyDescent="0.25">
      <c r="A998" s="132">
        <v>46260</v>
      </c>
      <c r="B998">
        <v>1.67</v>
      </c>
    </row>
    <row r="999" spans="1:2" x14ac:dyDescent="0.25">
      <c r="A999" s="130" t="s">
        <v>231</v>
      </c>
      <c r="B999">
        <v>12</v>
      </c>
    </row>
    <row r="1000" spans="1:2" x14ac:dyDescent="0.25">
      <c r="A1000" s="129" t="s">
        <v>541</v>
      </c>
      <c r="B1000">
        <v>12</v>
      </c>
    </row>
    <row r="1001" spans="1:2" x14ac:dyDescent="0.25">
      <c r="A1001" s="131" t="s">
        <v>16</v>
      </c>
      <c r="B1001">
        <v>1</v>
      </c>
    </row>
    <row r="1002" spans="1:2" x14ac:dyDescent="0.25">
      <c r="A1002" s="131" t="s">
        <v>18</v>
      </c>
      <c r="B1002">
        <v>1</v>
      </c>
    </row>
    <row r="1003" spans="1:2" x14ac:dyDescent="0.25">
      <c r="A1003" s="131" t="s">
        <v>19</v>
      </c>
      <c r="B1003">
        <v>1</v>
      </c>
    </row>
    <row r="1004" spans="1:2" x14ac:dyDescent="0.25">
      <c r="A1004" s="131" t="s">
        <v>20</v>
      </c>
      <c r="B1004">
        <v>1</v>
      </c>
    </row>
    <row r="1005" spans="1:2" x14ac:dyDescent="0.25">
      <c r="A1005" s="131" t="s">
        <v>21</v>
      </c>
      <c r="B1005">
        <v>1</v>
      </c>
    </row>
    <row r="1006" spans="1:2" x14ac:dyDescent="0.25">
      <c r="A1006" s="131" t="s">
        <v>22</v>
      </c>
      <c r="B1006">
        <v>1</v>
      </c>
    </row>
    <row r="1007" spans="1:2" x14ac:dyDescent="0.25">
      <c r="A1007" s="131" t="s">
        <v>23</v>
      </c>
      <c r="B1007">
        <v>1</v>
      </c>
    </row>
    <row r="1008" spans="1:2" x14ac:dyDescent="0.25">
      <c r="A1008" s="131" t="s">
        <v>24</v>
      </c>
      <c r="B1008">
        <v>1</v>
      </c>
    </row>
    <row r="1009" spans="1:2" x14ac:dyDescent="0.25">
      <c r="A1009" s="131" t="s">
        <v>25</v>
      </c>
      <c r="B1009">
        <v>1</v>
      </c>
    </row>
    <row r="1010" spans="1:2" x14ac:dyDescent="0.25">
      <c r="A1010" s="131" t="s">
        <v>26</v>
      </c>
      <c r="B1010">
        <v>1</v>
      </c>
    </row>
    <row r="1011" spans="1:2" x14ac:dyDescent="0.25">
      <c r="A1011" s="131" t="s">
        <v>27</v>
      </c>
      <c r="B1011">
        <v>1</v>
      </c>
    </row>
    <row r="1012" spans="1:2" x14ac:dyDescent="0.25">
      <c r="A1012" s="131" t="s">
        <v>28</v>
      </c>
      <c r="B1012">
        <v>1</v>
      </c>
    </row>
    <row r="1013" spans="1:2" x14ac:dyDescent="0.25">
      <c r="A1013" s="130" t="s">
        <v>233</v>
      </c>
      <c r="B1013">
        <v>12</v>
      </c>
    </row>
    <row r="1014" spans="1:2" x14ac:dyDescent="0.25">
      <c r="A1014" s="129" t="s">
        <v>541</v>
      </c>
      <c r="B1014">
        <v>12</v>
      </c>
    </row>
    <row r="1015" spans="1:2" x14ac:dyDescent="0.25">
      <c r="A1015" s="131" t="s">
        <v>16</v>
      </c>
      <c r="B1015">
        <v>1</v>
      </c>
    </row>
    <row r="1016" spans="1:2" x14ac:dyDescent="0.25">
      <c r="A1016" s="131" t="s">
        <v>18</v>
      </c>
      <c r="B1016">
        <v>1</v>
      </c>
    </row>
    <row r="1017" spans="1:2" x14ac:dyDescent="0.25">
      <c r="A1017" s="131" t="s">
        <v>19</v>
      </c>
      <c r="B1017">
        <v>1</v>
      </c>
    </row>
    <row r="1018" spans="1:2" x14ac:dyDescent="0.25">
      <c r="A1018" s="131" t="s">
        <v>20</v>
      </c>
      <c r="B1018">
        <v>1</v>
      </c>
    </row>
    <row r="1019" spans="1:2" x14ac:dyDescent="0.25">
      <c r="A1019" s="131" t="s">
        <v>21</v>
      </c>
      <c r="B1019">
        <v>1</v>
      </c>
    </row>
    <row r="1020" spans="1:2" x14ac:dyDescent="0.25">
      <c r="A1020" s="131" t="s">
        <v>22</v>
      </c>
      <c r="B1020">
        <v>1</v>
      </c>
    </row>
    <row r="1021" spans="1:2" x14ac:dyDescent="0.25">
      <c r="A1021" s="131" t="s">
        <v>23</v>
      </c>
      <c r="B1021">
        <v>1</v>
      </c>
    </row>
    <row r="1022" spans="1:2" x14ac:dyDescent="0.25">
      <c r="A1022" s="131" t="s">
        <v>24</v>
      </c>
      <c r="B1022">
        <v>1</v>
      </c>
    </row>
    <row r="1023" spans="1:2" x14ac:dyDescent="0.25">
      <c r="A1023" s="131" t="s">
        <v>25</v>
      </c>
      <c r="B1023">
        <v>1</v>
      </c>
    </row>
    <row r="1024" spans="1:2" x14ac:dyDescent="0.25">
      <c r="A1024" s="131" t="s">
        <v>26</v>
      </c>
      <c r="B1024">
        <v>1</v>
      </c>
    </row>
    <row r="1025" spans="1:2" x14ac:dyDescent="0.25">
      <c r="A1025" s="131" t="s">
        <v>27</v>
      </c>
      <c r="B1025">
        <v>1</v>
      </c>
    </row>
    <row r="1026" spans="1:2" x14ac:dyDescent="0.25">
      <c r="A1026" s="131" t="s">
        <v>28</v>
      </c>
      <c r="B1026">
        <v>1</v>
      </c>
    </row>
    <row r="1027" spans="1:2" x14ac:dyDescent="0.25">
      <c r="A1027" s="130" t="s">
        <v>236</v>
      </c>
      <c r="B1027">
        <v>8.27</v>
      </c>
    </row>
    <row r="1028" spans="1:2" x14ac:dyDescent="0.25">
      <c r="A1028" s="129" t="s">
        <v>541</v>
      </c>
      <c r="B1028">
        <v>8.27</v>
      </c>
    </row>
    <row r="1029" spans="1:2" x14ac:dyDescent="0.25">
      <c r="A1029" s="131" t="s">
        <v>237</v>
      </c>
      <c r="B1029">
        <v>1.47</v>
      </c>
    </row>
    <row r="1030" spans="1:2" x14ac:dyDescent="0.25">
      <c r="A1030" s="132">
        <v>46081</v>
      </c>
      <c r="B1030">
        <v>1.47</v>
      </c>
    </row>
    <row r="1031" spans="1:2" x14ac:dyDescent="0.25">
      <c r="A1031" s="131" t="s">
        <v>44</v>
      </c>
      <c r="B1031">
        <v>1.47</v>
      </c>
    </row>
    <row r="1032" spans="1:2" x14ac:dyDescent="0.25">
      <c r="A1032" s="132">
        <v>46199</v>
      </c>
      <c r="B1032">
        <v>1.47</v>
      </c>
    </row>
    <row r="1033" spans="1:2" x14ac:dyDescent="0.25">
      <c r="A1033" s="131" t="s">
        <v>43</v>
      </c>
      <c r="B1033">
        <v>1.47</v>
      </c>
    </row>
    <row r="1034" spans="1:2" x14ac:dyDescent="0.25">
      <c r="A1034" s="132">
        <v>46136</v>
      </c>
      <c r="B1034">
        <v>1.47</v>
      </c>
    </row>
    <row r="1035" spans="1:2" x14ac:dyDescent="0.25">
      <c r="A1035" s="131" t="s">
        <v>46</v>
      </c>
      <c r="B1035">
        <v>1.47</v>
      </c>
    </row>
    <row r="1036" spans="1:2" x14ac:dyDescent="0.25">
      <c r="A1036" s="132">
        <v>46325</v>
      </c>
      <c r="B1036">
        <v>1.47</v>
      </c>
    </row>
    <row r="1037" spans="1:2" x14ac:dyDescent="0.25">
      <c r="A1037" s="131" t="s">
        <v>30</v>
      </c>
      <c r="B1037">
        <v>0.92</v>
      </c>
    </row>
    <row r="1038" spans="1:2" x14ac:dyDescent="0.25">
      <c r="A1038" s="132">
        <v>46216</v>
      </c>
      <c r="B1038">
        <v>0.92</v>
      </c>
    </row>
    <row r="1039" spans="1:2" x14ac:dyDescent="0.25">
      <c r="A1039" s="131" t="s">
        <v>45</v>
      </c>
      <c r="B1039">
        <v>1.47</v>
      </c>
    </row>
    <row r="1040" spans="1:2" x14ac:dyDescent="0.25">
      <c r="A1040" s="132">
        <v>46262</v>
      </c>
      <c r="B1040">
        <v>1.47</v>
      </c>
    </row>
    <row r="1041" spans="1:2" x14ac:dyDescent="0.25">
      <c r="A1041" s="130" t="s">
        <v>239</v>
      </c>
      <c r="B1041">
        <v>17.718999999999998</v>
      </c>
    </row>
    <row r="1042" spans="1:2" x14ac:dyDescent="0.25">
      <c r="A1042" s="129" t="s">
        <v>541</v>
      </c>
      <c r="B1042">
        <v>17.718999999999998</v>
      </c>
    </row>
    <row r="1043" spans="1:2" x14ac:dyDescent="0.25">
      <c r="A1043" s="131" t="s">
        <v>16</v>
      </c>
      <c r="B1043">
        <v>1.363</v>
      </c>
    </row>
    <row r="1044" spans="1:2" x14ac:dyDescent="0.25">
      <c r="A1044" s="131" t="s">
        <v>18</v>
      </c>
      <c r="B1044">
        <v>1.363</v>
      </c>
    </row>
    <row r="1045" spans="1:2" x14ac:dyDescent="0.25">
      <c r="A1045" s="131" t="s">
        <v>19</v>
      </c>
      <c r="B1045">
        <v>1.363</v>
      </c>
    </row>
    <row r="1046" spans="1:2" x14ac:dyDescent="0.25">
      <c r="A1046" s="131" t="s">
        <v>20</v>
      </c>
      <c r="B1046">
        <v>1.363</v>
      </c>
    </row>
    <row r="1047" spans="1:2" x14ac:dyDescent="0.25">
      <c r="A1047" s="131" t="s">
        <v>21</v>
      </c>
      <c r="B1047">
        <v>1.363</v>
      </c>
    </row>
    <row r="1048" spans="1:2" x14ac:dyDescent="0.25">
      <c r="A1048" s="131" t="s">
        <v>22</v>
      </c>
      <c r="B1048">
        <v>1.363</v>
      </c>
    </row>
    <row r="1049" spans="1:2" x14ac:dyDescent="0.25">
      <c r="A1049" s="131" t="s">
        <v>23</v>
      </c>
      <c r="B1049">
        <v>1.363</v>
      </c>
    </row>
    <row r="1050" spans="1:2" x14ac:dyDescent="0.25">
      <c r="A1050" s="131" t="s">
        <v>24</v>
      </c>
      <c r="B1050">
        <v>1.363</v>
      </c>
    </row>
    <row r="1051" spans="1:2" x14ac:dyDescent="0.25">
      <c r="A1051" s="131" t="s">
        <v>25</v>
      </c>
      <c r="B1051">
        <v>1.363</v>
      </c>
    </row>
    <row r="1052" spans="1:2" x14ac:dyDescent="0.25">
      <c r="A1052" s="131" t="s">
        <v>26</v>
      </c>
      <c r="B1052">
        <v>1.363</v>
      </c>
    </row>
    <row r="1053" spans="1:2" x14ac:dyDescent="0.25">
      <c r="A1053" s="131" t="s">
        <v>27</v>
      </c>
      <c r="B1053">
        <v>1.363</v>
      </c>
    </row>
    <row r="1054" spans="1:2" x14ac:dyDescent="0.25">
      <c r="A1054" s="131" t="s">
        <v>28</v>
      </c>
      <c r="B1054">
        <v>1.363</v>
      </c>
    </row>
    <row r="1055" spans="1:2" x14ac:dyDescent="0.25">
      <c r="A1055" s="131" t="s">
        <v>30</v>
      </c>
      <c r="B1055">
        <v>1.363</v>
      </c>
    </row>
    <row r="1056" spans="1:2" x14ac:dyDescent="0.25">
      <c r="A1056" s="132">
        <v>46220</v>
      </c>
      <c r="B1056">
        <v>1.363</v>
      </c>
    </row>
    <row r="1057" spans="1:2" x14ac:dyDescent="0.25">
      <c r="A1057" s="130" t="s">
        <v>241</v>
      </c>
      <c r="B1057">
        <v>11</v>
      </c>
    </row>
    <row r="1058" spans="1:2" x14ac:dyDescent="0.25">
      <c r="A1058" s="129" t="s">
        <v>541</v>
      </c>
      <c r="B1058">
        <v>11</v>
      </c>
    </row>
    <row r="1059" spans="1:2" x14ac:dyDescent="0.25">
      <c r="A1059" s="131" t="s">
        <v>19</v>
      </c>
      <c r="B1059">
        <v>1</v>
      </c>
    </row>
    <row r="1060" spans="1:2" x14ac:dyDescent="0.25">
      <c r="A1060" s="131" t="s">
        <v>20</v>
      </c>
      <c r="B1060">
        <v>1</v>
      </c>
    </row>
    <row r="1061" spans="1:2" x14ac:dyDescent="0.25">
      <c r="A1061" s="131" t="s">
        <v>21</v>
      </c>
      <c r="B1061">
        <v>1</v>
      </c>
    </row>
    <row r="1062" spans="1:2" x14ac:dyDescent="0.25">
      <c r="A1062" s="131" t="s">
        <v>22</v>
      </c>
      <c r="B1062">
        <v>1</v>
      </c>
    </row>
    <row r="1063" spans="1:2" x14ac:dyDescent="0.25">
      <c r="A1063" s="131" t="s">
        <v>23</v>
      </c>
      <c r="B1063">
        <v>1</v>
      </c>
    </row>
    <row r="1064" spans="1:2" x14ac:dyDescent="0.25">
      <c r="A1064" s="131" t="s">
        <v>24</v>
      </c>
      <c r="B1064">
        <v>1</v>
      </c>
    </row>
    <row r="1065" spans="1:2" x14ac:dyDescent="0.25">
      <c r="A1065" s="131" t="s">
        <v>25</v>
      </c>
      <c r="B1065">
        <v>1</v>
      </c>
    </row>
    <row r="1066" spans="1:2" x14ac:dyDescent="0.25">
      <c r="A1066" s="131" t="s">
        <v>26</v>
      </c>
      <c r="B1066">
        <v>1</v>
      </c>
    </row>
    <row r="1067" spans="1:2" x14ac:dyDescent="0.25">
      <c r="A1067" s="131" t="s">
        <v>27</v>
      </c>
      <c r="B1067">
        <v>1</v>
      </c>
    </row>
    <row r="1068" spans="1:2" x14ac:dyDescent="0.25">
      <c r="A1068" s="131" t="s">
        <v>28</v>
      </c>
      <c r="B1068">
        <v>1</v>
      </c>
    </row>
    <row r="1069" spans="1:2" x14ac:dyDescent="0.25">
      <c r="A1069" s="131" t="s">
        <v>121</v>
      </c>
      <c r="B1069">
        <v>1</v>
      </c>
    </row>
    <row r="1070" spans="1:2" x14ac:dyDescent="0.25">
      <c r="A1070" s="132">
        <v>46091</v>
      </c>
      <c r="B1070">
        <v>1</v>
      </c>
    </row>
    <row r="1071" spans="1:2" x14ac:dyDescent="0.25">
      <c r="A1071" s="130" t="s">
        <v>243</v>
      </c>
      <c r="B1071">
        <v>16.631999999999998</v>
      </c>
    </row>
    <row r="1072" spans="1:2" x14ac:dyDescent="0.25">
      <c r="A1072" s="129" t="s">
        <v>541</v>
      </c>
      <c r="B1072">
        <v>16.631999999999998</v>
      </c>
    </row>
    <row r="1073" spans="1:2" x14ac:dyDescent="0.25">
      <c r="A1073" s="131" t="s">
        <v>16</v>
      </c>
      <c r="B1073">
        <v>1.302</v>
      </c>
    </row>
    <row r="1074" spans="1:2" x14ac:dyDescent="0.25">
      <c r="A1074" s="131" t="s">
        <v>18</v>
      </c>
      <c r="B1074">
        <v>1.1759999999999999</v>
      </c>
    </row>
    <row r="1075" spans="1:2" x14ac:dyDescent="0.25">
      <c r="A1075" s="131" t="s">
        <v>19</v>
      </c>
      <c r="B1075">
        <v>1.302</v>
      </c>
    </row>
    <row r="1076" spans="1:2" x14ac:dyDescent="0.25">
      <c r="A1076" s="131" t="s">
        <v>20</v>
      </c>
      <c r="B1076">
        <v>1.26</v>
      </c>
    </row>
    <row r="1077" spans="1:2" x14ac:dyDescent="0.25">
      <c r="A1077" s="131" t="s">
        <v>21</v>
      </c>
      <c r="B1077">
        <v>1.302</v>
      </c>
    </row>
    <row r="1078" spans="1:2" x14ac:dyDescent="0.25">
      <c r="A1078" s="131" t="s">
        <v>22</v>
      </c>
      <c r="B1078">
        <v>1.26</v>
      </c>
    </row>
    <row r="1079" spans="1:2" x14ac:dyDescent="0.25">
      <c r="A1079" s="131" t="s">
        <v>23</v>
      </c>
      <c r="B1079">
        <v>1.302</v>
      </c>
    </row>
    <row r="1080" spans="1:2" x14ac:dyDescent="0.25">
      <c r="A1080" s="131" t="s">
        <v>24</v>
      </c>
      <c r="B1080">
        <v>1.302</v>
      </c>
    </row>
    <row r="1081" spans="1:2" x14ac:dyDescent="0.25">
      <c r="A1081" s="131" t="s">
        <v>25</v>
      </c>
      <c r="B1081">
        <v>1.26</v>
      </c>
    </row>
    <row r="1082" spans="1:2" x14ac:dyDescent="0.25">
      <c r="A1082" s="131" t="s">
        <v>26</v>
      </c>
      <c r="B1082">
        <v>1.302</v>
      </c>
    </row>
    <row r="1083" spans="1:2" x14ac:dyDescent="0.25">
      <c r="A1083" s="131" t="s">
        <v>27</v>
      </c>
      <c r="B1083">
        <v>1.26</v>
      </c>
    </row>
    <row r="1084" spans="1:2" x14ac:dyDescent="0.25">
      <c r="A1084" s="131" t="s">
        <v>28</v>
      </c>
      <c r="B1084">
        <v>1.302</v>
      </c>
    </row>
    <row r="1085" spans="1:2" x14ac:dyDescent="0.25">
      <c r="A1085" s="131" t="s">
        <v>30</v>
      </c>
      <c r="B1085">
        <v>1.302</v>
      </c>
    </row>
    <row r="1086" spans="1:2" x14ac:dyDescent="0.25">
      <c r="A1086" s="132">
        <v>46223</v>
      </c>
      <c r="B1086">
        <v>1.302</v>
      </c>
    </row>
    <row r="1087" spans="1:2" x14ac:dyDescent="0.25">
      <c r="A1087" s="130" t="s">
        <v>245</v>
      </c>
      <c r="B1087">
        <v>12.752798999999998</v>
      </c>
    </row>
    <row r="1088" spans="1:2" x14ac:dyDescent="0.25">
      <c r="A1088" s="129" t="s">
        <v>541</v>
      </c>
      <c r="B1088">
        <v>12.752798999999998</v>
      </c>
    </row>
    <row r="1089" spans="1:2" x14ac:dyDescent="0.25">
      <c r="A1089" s="131" t="s">
        <v>20</v>
      </c>
      <c r="B1089">
        <v>1.2300629999999999</v>
      </c>
    </row>
    <row r="1090" spans="1:2" x14ac:dyDescent="0.25">
      <c r="A1090" s="131" t="s">
        <v>21</v>
      </c>
      <c r="B1090">
        <v>1.2300629999999999</v>
      </c>
    </row>
    <row r="1091" spans="1:2" x14ac:dyDescent="0.25">
      <c r="A1091" s="131" t="s">
        <v>22</v>
      </c>
      <c r="B1091">
        <v>1.2300629999999999</v>
      </c>
    </row>
    <row r="1092" spans="1:2" x14ac:dyDescent="0.25">
      <c r="A1092" s="131" t="s">
        <v>23</v>
      </c>
      <c r="B1092">
        <v>1.2300629999999999</v>
      </c>
    </row>
    <row r="1093" spans="1:2" x14ac:dyDescent="0.25">
      <c r="A1093" s="131" t="s">
        <v>24</v>
      </c>
      <c r="B1093">
        <v>1.2300629999999999</v>
      </c>
    </row>
    <row r="1094" spans="1:2" x14ac:dyDescent="0.25">
      <c r="A1094" s="131" t="s">
        <v>26</v>
      </c>
      <c r="B1094">
        <v>1.2300629999999999</v>
      </c>
    </row>
    <row r="1095" spans="1:2" x14ac:dyDescent="0.25">
      <c r="A1095" s="131" t="s">
        <v>27</v>
      </c>
      <c r="B1095">
        <v>1.2300629999999999</v>
      </c>
    </row>
    <row r="1096" spans="1:2" x14ac:dyDescent="0.25">
      <c r="A1096" s="131" t="s">
        <v>28</v>
      </c>
      <c r="B1096">
        <v>1.2300629999999999</v>
      </c>
    </row>
    <row r="1097" spans="1:2" x14ac:dyDescent="0.25">
      <c r="A1097" s="131" t="s">
        <v>30</v>
      </c>
      <c r="B1097">
        <v>1.6822319999999999</v>
      </c>
    </row>
    <row r="1098" spans="1:2" x14ac:dyDescent="0.25">
      <c r="A1098" s="132">
        <v>46053</v>
      </c>
      <c r="B1098">
        <v>1.0846119999999999</v>
      </c>
    </row>
    <row r="1099" spans="1:2" x14ac:dyDescent="0.25">
      <c r="A1099" s="132">
        <v>46260</v>
      </c>
      <c r="B1099">
        <v>0.59762000000000004</v>
      </c>
    </row>
    <row r="1100" spans="1:2" x14ac:dyDescent="0.25">
      <c r="A1100" s="131" t="s">
        <v>67</v>
      </c>
      <c r="B1100">
        <v>1.2300629999999999</v>
      </c>
    </row>
    <row r="1101" spans="1:2" x14ac:dyDescent="0.25">
      <c r="A1101" s="132">
        <v>46189</v>
      </c>
      <c r="B1101">
        <v>1.2300629999999999</v>
      </c>
    </row>
    <row r="1102" spans="1:2" x14ac:dyDescent="0.25">
      <c r="A1102" s="130" t="s">
        <v>247</v>
      </c>
      <c r="B1102">
        <v>12</v>
      </c>
    </row>
    <row r="1103" spans="1:2" x14ac:dyDescent="0.25">
      <c r="A1103" s="129" t="s">
        <v>543</v>
      </c>
      <c r="B1103">
        <v>1</v>
      </c>
    </row>
    <row r="1104" spans="1:2" x14ac:dyDescent="0.25">
      <c r="A1104" s="129" t="s">
        <v>541</v>
      </c>
      <c r="B1104">
        <v>11</v>
      </c>
    </row>
    <row r="1105" spans="1:2" x14ac:dyDescent="0.25">
      <c r="A1105" s="131" t="s">
        <v>18</v>
      </c>
      <c r="B1105">
        <v>1</v>
      </c>
    </row>
    <row r="1106" spans="1:2" x14ac:dyDescent="0.25">
      <c r="A1106" s="131" t="s">
        <v>19</v>
      </c>
      <c r="B1106">
        <v>1</v>
      </c>
    </row>
    <row r="1107" spans="1:2" x14ac:dyDescent="0.25">
      <c r="A1107" s="131" t="s">
        <v>20</v>
      </c>
      <c r="B1107">
        <v>1</v>
      </c>
    </row>
    <row r="1108" spans="1:2" x14ac:dyDescent="0.25">
      <c r="A1108" s="131" t="s">
        <v>21</v>
      </c>
      <c r="B1108">
        <v>1</v>
      </c>
    </row>
    <row r="1109" spans="1:2" x14ac:dyDescent="0.25">
      <c r="A1109" s="131" t="s">
        <v>22</v>
      </c>
      <c r="B1109">
        <v>1</v>
      </c>
    </row>
    <row r="1110" spans="1:2" x14ac:dyDescent="0.25">
      <c r="A1110" s="131" t="s">
        <v>23</v>
      </c>
      <c r="B1110">
        <v>1</v>
      </c>
    </row>
    <row r="1111" spans="1:2" x14ac:dyDescent="0.25">
      <c r="A1111" s="131" t="s">
        <v>24</v>
      </c>
      <c r="B1111">
        <v>1</v>
      </c>
    </row>
    <row r="1112" spans="1:2" x14ac:dyDescent="0.25">
      <c r="A1112" s="131" t="s">
        <v>25</v>
      </c>
      <c r="B1112">
        <v>1</v>
      </c>
    </row>
    <row r="1113" spans="1:2" x14ac:dyDescent="0.25">
      <c r="A1113" s="131" t="s">
        <v>26</v>
      </c>
      <c r="B1113">
        <v>1</v>
      </c>
    </row>
    <row r="1114" spans="1:2" x14ac:dyDescent="0.25">
      <c r="A1114" s="131" t="s">
        <v>27</v>
      </c>
      <c r="B1114">
        <v>1</v>
      </c>
    </row>
    <row r="1115" spans="1:2" x14ac:dyDescent="0.25">
      <c r="A1115" s="131" t="s">
        <v>28</v>
      </c>
      <c r="B1115">
        <v>1</v>
      </c>
    </row>
    <row r="1116" spans="1:2" x14ac:dyDescent="0.25">
      <c r="A1116" s="130" t="s">
        <v>249</v>
      </c>
      <c r="B1116">
        <v>9</v>
      </c>
    </row>
    <row r="1117" spans="1:2" x14ac:dyDescent="0.25">
      <c r="A1117" s="129" t="s">
        <v>541</v>
      </c>
      <c r="B1117">
        <v>9</v>
      </c>
    </row>
    <row r="1118" spans="1:2" x14ac:dyDescent="0.25">
      <c r="A1118" s="131" t="s">
        <v>254</v>
      </c>
      <c r="B1118">
        <v>1</v>
      </c>
    </row>
    <row r="1119" spans="1:2" x14ac:dyDescent="0.25">
      <c r="A1119" s="132">
        <v>46243</v>
      </c>
      <c r="B1119">
        <v>1</v>
      </c>
    </row>
    <row r="1120" spans="1:2" x14ac:dyDescent="0.25">
      <c r="A1120" s="131" t="s">
        <v>30</v>
      </c>
      <c r="B1120">
        <v>1</v>
      </c>
    </row>
    <row r="1121" spans="1:2" x14ac:dyDescent="0.25">
      <c r="A1121" s="132">
        <v>46182</v>
      </c>
      <c r="B1121">
        <v>1</v>
      </c>
    </row>
    <row r="1122" spans="1:2" x14ac:dyDescent="0.25">
      <c r="A1122" s="131" t="s">
        <v>258</v>
      </c>
      <c r="B1122">
        <v>1</v>
      </c>
    </row>
    <row r="1123" spans="1:2" x14ac:dyDescent="0.25">
      <c r="A1123" s="132">
        <v>46335</v>
      </c>
      <c r="B1123">
        <v>1</v>
      </c>
    </row>
    <row r="1124" spans="1:2" x14ac:dyDescent="0.25">
      <c r="A1124" s="131" t="s">
        <v>250</v>
      </c>
      <c r="B1124">
        <v>1</v>
      </c>
    </row>
    <row r="1125" spans="1:2" x14ac:dyDescent="0.25">
      <c r="A1125" s="132">
        <v>46182</v>
      </c>
      <c r="B1125">
        <v>1</v>
      </c>
    </row>
    <row r="1126" spans="1:2" x14ac:dyDescent="0.25">
      <c r="A1126" s="131" t="s">
        <v>255</v>
      </c>
      <c r="B1126">
        <v>1</v>
      </c>
    </row>
    <row r="1127" spans="1:2" x14ac:dyDescent="0.25">
      <c r="A1127" s="132">
        <v>46264</v>
      </c>
      <c r="B1127">
        <v>1</v>
      </c>
    </row>
    <row r="1128" spans="1:2" x14ac:dyDescent="0.25">
      <c r="A1128" s="131" t="s">
        <v>252</v>
      </c>
      <c r="B1128">
        <v>1</v>
      </c>
    </row>
    <row r="1129" spans="1:2" x14ac:dyDescent="0.25">
      <c r="A1129" s="132">
        <v>46182</v>
      </c>
      <c r="B1129">
        <v>1</v>
      </c>
    </row>
    <row r="1130" spans="1:2" x14ac:dyDescent="0.25">
      <c r="A1130" s="131" t="s">
        <v>257</v>
      </c>
      <c r="B1130">
        <v>1</v>
      </c>
    </row>
    <row r="1131" spans="1:2" x14ac:dyDescent="0.25">
      <c r="A1131" s="132">
        <v>46335</v>
      </c>
      <c r="B1131">
        <v>1</v>
      </c>
    </row>
    <row r="1132" spans="1:2" x14ac:dyDescent="0.25">
      <c r="A1132" s="131" t="s">
        <v>256</v>
      </c>
      <c r="B1132">
        <v>1</v>
      </c>
    </row>
    <row r="1133" spans="1:2" x14ac:dyDescent="0.25">
      <c r="A1133" s="132">
        <v>46264</v>
      </c>
      <c r="B1133">
        <v>1</v>
      </c>
    </row>
    <row r="1134" spans="1:2" x14ac:dyDescent="0.25">
      <c r="A1134" s="131" t="s">
        <v>253</v>
      </c>
      <c r="B1134">
        <v>1</v>
      </c>
    </row>
    <row r="1135" spans="1:2" x14ac:dyDescent="0.25">
      <c r="A1135" s="132">
        <v>46212</v>
      </c>
      <c r="B1135">
        <v>1</v>
      </c>
    </row>
    <row r="1136" spans="1:2" x14ac:dyDescent="0.25">
      <c r="A1136" s="130" t="s">
        <v>259</v>
      </c>
      <c r="B1136">
        <v>3</v>
      </c>
    </row>
    <row r="1137" spans="1:2" x14ac:dyDescent="0.25">
      <c r="A1137" s="129" t="s">
        <v>541</v>
      </c>
      <c r="B1137">
        <v>3</v>
      </c>
    </row>
    <row r="1138" spans="1:2" x14ac:dyDescent="0.25">
      <c r="A1138" s="131" t="s">
        <v>30</v>
      </c>
      <c r="B1138">
        <v>3</v>
      </c>
    </row>
    <row r="1139" spans="1:2" x14ac:dyDescent="0.25">
      <c r="A1139" s="132">
        <v>46096</v>
      </c>
      <c r="B1139">
        <v>1</v>
      </c>
    </row>
    <row r="1140" spans="1:2" x14ac:dyDescent="0.25">
      <c r="A1140" s="132">
        <v>46122</v>
      </c>
      <c r="B1140">
        <v>1</v>
      </c>
    </row>
    <row r="1141" spans="1:2" x14ac:dyDescent="0.25">
      <c r="A1141" s="132">
        <v>46188</v>
      </c>
      <c r="B1141">
        <v>1</v>
      </c>
    </row>
    <row r="1142" spans="1:2" x14ac:dyDescent="0.25">
      <c r="A1142" s="130" t="s">
        <v>261</v>
      </c>
      <c r="B1142">
        <v>12</v>
      </c>
    </row>
    <row r="1143" spans="1:2" x14ac:dyDescent="0.25">
      <c r="A1143" s="129" t="s">
        <v>541</v>
      </c>
      <c r="B1143">
        <v>12</v>
      </c>
    </row>
    <row r="1144" spans="1:2" x14ac:dyDescent="0.25">
      <c r="A1144" s="131" t="s">
        <v>16</v>
      </c>
      <c r="B1144">
        <v>1</v>
      </c>
    </row>
    <row r="1145" spans="1:2" x14ac:dyDescent="0.25">
      <c r="A1145" s="131" t="s">
        <v>18</v>
      </c>
      <c r="B1145">
        <v>1</v>
      </c>
    </row>
    <row r="1146" spans="1:2" x14ac:dyDescent="0.25">
      <c r="A1146" s="131" t="s">
        <v>19</v>
      </c>
      <c r="B1146">
        <v>1</v>
      </c>
    </row>
    <row r="1147" spans="1:2" x14ac:dyDescent="0.25">
      <c r="A1147" s="131" t="s">
        <v>20</v>
      </c>
      <c r="B1147">
        <v>1</v>
      </c>
    </row>
    <row r="1148" spans="1:2" x14ac:dyDescent="0.25">
      <c r="A1148" s="131" t="s">
        <v>21</v>
      </c>
      <c r="B1148">
        <v>1</v>
      </c>
    </row>
    <row r="1149" spans="1:2" x14ac:dyDescent="0.25">
      <c r="A1149" s="131" t="s">
        <v>22</v>
      </c>
      <c r="B1149">
        <v>1</v>
      </c>
    </row>
    <row r="1150" spans="1:2" x14ac:dyDescent="0.25">
      <c r="A1150" s="131" t="s">
        <v>23</v>
      </c>
      <c r="B1150">
        <v>1</v>
      </c>
    </row>
    <row r="1151" spans="1:2" x14ac:dyDescent="0.25">
      <c r="A1151" s="131" t="s">
        <v>24</v>
      </c>
      <c r="B1151">
        <v>1</v>
      </c>
    </row>
    <row r="1152" spans="1:2" x14ac:dyDescent="0.25">
      <c r="A1152" s="131" t="s">
        <v>25</v>
      </c>
      <c r="B1152">
        <v>1</v>
      </c>
    </row>
    <row r="1153" spans="1:2" x14ac:dyDescent="0.25">
      <c r="A1153" s="131" t="s">
        <v>26</v>
      </c>
      <c r="B1153">
        <v>1</v>
      </c>
    </row>
    <row r="1154" spans="1:2" x14ac:dyDescent="0.25">
      <c r="A1154" s="131" t="s">
        <v>27</v>
      </c>
      <c r="B1154">
        <v>1</v>
      </c>
    </row>
    <row r="1155" spans="1:2" x14ac:dyDescent="0.25">
      <c r="A1155" s="131" t="s">
        <v>28</v>
      </c>
      <c r="B1155">
        <v>1</v>
      </c>
    </row>
    <row r="1156" spans="1:2" x14ac:dyDescent="0.25">
      <c r="A1156" s="130" t="s">
        <v>264</v>
      </c>
      <c r="B1156">
        <v>1.04</v>
      </c>
    </row>
    <row r="1157" spans="1:2" x14ac:dyDescent="0.25">
      <c r="A1157" s="129" t="s">
        <v>541</v>
      </c>
      <c r="B1157">
        <v>1.04</v>
      </c>
    </row>
    <row r="1158" spans="1:2" x14ac:dyDescent="0.25">
      <c r="A1158" s="131" t="s">
        <v>270</v>
      </c>
      <c r="B1158">
        <v>0.26</v>
      </c>
    </row>
    <row r="1159" spans="1:2" x14ac:dyDescent="0.25">
      <c r="A1159" s="132">
        <v>46295</v>
      </c>
      <c r="B1159">
        <v>0.26</v>
      </c>
    </row>
    <row r="1160" spans="1:2" x14ac:dyDescent="0.25">
      <c r="A1160" s="131" t="s">
        <v>265</v>
      </c>
      <c r="B1160">
        <v>0.52</v>
      </c>
    </row>
    <row r="1161" spans="1:2" x14ac:dyDescent="0.25">
      <c r="A1161" s="132">
        <v>46244</v>
      </c>
      <c r="B1161">
        <v>0.52</v>
      </c>
    </row>
    <row r="1162" spans="1:2" x14ac:dyDescent="0.25">
      <c r="A1162" s="131" t="s">
        <v>267</v>
      </c>
      <c r="B1162">
        <v>0.26</v>
      </c>
    </row>
    <row r="1163" spans="1:2" x14ac:dyDescent="0.25">
      <c r="A1163" s="132">
        <v>46295</v>
      </c>
      <c r="B1163">
        <v>0.26</v>
      </c>
    </row>
    <row r="1164" spans="1:2" x14ac:dyDescent="0.25">
      <c r="A1164" s="130" t="s">
        <v>271</v>
      </c>
      <c r="B1164">
        <v>4.9399999999999986</v>
      </c>
    </row>
    <row r="1165" spans="1:2" x14ac:dyDescent="0.25">
      <c r="A1165" s="129" t="s">
        <v>541</v>
      </c>
      <c r="B1165">
        <v>4.9399999999999986</v>
      </c>
    </row>
    <row r="1166" spans="1:2" x14ac:dyDescent="0.25">
      <c r="A1166" s="131" t="s">
        <v>270</v>
      </c>
      <c r="B1166">
        <v>1.04</v>
      </c>
    </row>
    <row r="1167" spans="1:2" x14ac:dyDescent="0.25">
      <c r="A1167" s="132">
        <v>46142</v>
      </c>
      <c r="B1167">
        <v>0.52</v>
      </c>
    </row>
    <row r="1168" spans="1:2" x14ac:dyDescent="0.25">
      <c r="A1168" s="132">
        <v>46179</v>
      </c>
      <c r="B1168">
        <v>0.26</v>
      </c>
    </row>
    <row r="1169" spans="1:2" x14ac:dyDescent="0.25">
      <c r="A1169" s="132">
        <v>46295</v>
      </c>
      <c r="B1169">
        <v>0.26</v>
      </c>
    </row>
    <row r="1170" spans="1:2" x14ac:dyDescent="0.25">
      <c r="A1170" s="131" t="s">
        <v>265</v>
      </c>
      <c r="B1170">
        <v>1.56</v>
      </c>
    </row>
    <row r="1171" spans="1:2" x14ac:dyDescent="0.25">
      <c r="A1171" s="132">
        <v>46091</v>
      </c>
      <c r="B1171">
        <v>0.26</v>
      </c>
    </row>
    <row r="1172" spans="1:2" x14ac:dyDescent="0.25">
      <c r="A1172" s="132">
        <v>46111</v>
      </c>
      <c r="B1172">
        <v>0.26</v>
      </c>
    </row>
    <row r="1173" spans="1:2" x14ac:dyDescent="0.25">
      <c r="A1173" s="132">
        <v>46139</v>
      </c>
      <c r="B1173">
        <v>0.26</v>
      </c>
    </row>
    <row r="1174" spans="1:2" x14ac:dyDescent="0.25">
      <c r="A1174" s="132">
        <v>46192</v>
      </c>
      <c r="B1174">
        <v>0.26</v>
      </c>
    </row>
    <row r="1175" spans="1:2" x14ac:dyDescent="0.25">
      <c r="A1175" s="132">
        <v>46244</v>
      </c>
      <c r="B1175">
        <v>0.52</v>
      </c>
    </row>
    <row r="1176" spans="1:2" x14ac:dyDescent="0.25">
      <c r="A1176" s="131" t="s">
        <v>275</v>
      </c>
      <c r="B1176">
        <v>0.26</v>
      </c>
    </row>
    <row r="1177" spans="1:2" x14ac:dyDescent="0.25">
      <c r="A1177" s="132">
        <v>46223</v>
      </c>
      <c r="B1177">
        <v>0.26</v>
      </c>
    </row>
    <row r="1178" spans="1:2" x14ac:dyDescent="0.25">
      <c r="A1178" s="131" t="s">
        <v>277</v>
      </c>
      <c r="B1178">
        <v>0.26</v>
      </c>
    </row>
    <row r="1179" spans="1:2" x14ac:dyDescent="0.25">
      <c r="A1179" s="132">
        <v>46295</v>
      </c>
      <c r="B1179">
        <v>0.26</v>
      </c>
    </row>
    <row r="1180" spans="1:2" x14ac:dyDescent="0.25">
      <c r="A1180" s="131" t="s">
        <v>267</v>
      </c>
      <c r="B1180">
        <v>1.82</v>
      </c>
    </row>
    <row r="1181" spans="1:2" x14ac:dyDescent="0.25">
      <c r="A1181" s="132">
        <v>46066</v>
      </c>
      <c r="B1181">
        <v>0.26</v>
      </c>
    </row>
    <row r="1182" spans="1:2" x14ac:dyDescent="0.25">
      <c r="A1182" s="132">
        <v>46069</v>
      </c>
      <c r="B1182">
        <v>0.26</v>
      </c>
    </row>
    <row r="1183" spans="1:2" x14ac:dyDescent="0.25">
      <c r="A1183" s="132">
        <v>46111</v>
      </c>
      <c r="B1183">
        <v>0.26</v>
      </c>
    </row>
    <row r="1184" spans="1:2" x14ac:dyDescent="0.25">
      <c r="A1184" s="132">
        <v>46139</v>
      </c>
      <c r="B1184">
        <v>0.26</v>
      </c>
    </row>
    <row r="1185" spans="1:2" x14ac:dyDescent="0.25">
      <c r="A1185" s="132">
        <v>46175</v>
      </c>
      <c r="B1185">
        <v>0.26</v>
      </c>
    </row>
    <row r="1186" spans="1:2" x14ac:dyDescent="0.25">
      <c r="A1186" s="132">
        <v>46192</v>
      </c>
      <c r="B1186">
        <v>0.26</v>
      </c>
    </row>
    <row r="1187" spans="1:2" x14ac:dyDescent="0.25">
      <c r="A1187" s="132">
        <v>46295</v>
      </c>
      <c r="B1187">
        <v>0.26</v>
      </c>
    </row>
    <row r="1188" spans="1:2" x14ac:dyDescent="0.25">
      <c r="A1188" s="130" t="s">
        <v>278</v>
      </c>
      <c r="B1188">
        <v>5.1999999999999984</v>
      </c>
    </row>
    <row r="1189" spans="1:2" x14ac:dyDescent="0.25">
      <c r="A1189" s="129" t="s">
        <v>541</v>
      </c>
      <c r="B1189">
        <v>5.1999999999999984</v>
      </c>
    </row>
    <row r="1190" spans="1:2" x14ac:dyDescent="0.25">
      <c r="A1190" s="131" t="s">
        <v>270</v>
      </c>
      <c r="B1190">
        <v>1.56</v>
      </c>
    </row>
    <row r="1191" spans="1:2" x14ac:dyDescent="0.25">
      <c r="A1191" s="132">
        <v>46042</v>
      </c>
      <c r="B1191">
        <v>0.26</v>
      </c>
    </row>
    <row r="1192" spans="1:2" x14ac:dyDescent="0.25">
      <c r="A1192" s="132">
        <v>46052</v>
      </c>
      <c r="B1192">
        <v>0.26</v>
      </c>
    </row>
    <row r="1193" spans="1:2" x14ac:dyDescent="0.25">
      <c r="A1193" s="132">
        <v>46068</v>
      </c>
      <c r="B1193">
        <v>0.26</v>
      </c>
    </row>
    <row r="1194" spans="1:2" x14ac:dyDescent="0.25">
      <c r="A1194" s="132">
        <v>46142</v>
      </c>
      <c r="B1194">
        <v>0.52</v>
      </c>
    </row>
    <row r="1195" spans="1:2" x14ac:dyDescent="0.25">
      <c r="A1195" s="132">
        <v>46179</v>
      </c>
      <c r="B1195">
        <v>0.26</v>
      </c>
    </row>
    <row r="1196" spans="1:2" x14ac:dyDescent="0.25">
      <c r="A1196" s="131" t="s">
        <v>281</v>
      </c>
      <c r="B1196">
        <v>0.26</v>
      </c>
    </row>
    <row r="1197" spans="1:2" x14ac:dyDescent="0.25">
      <c r="A1197" s="132">
        <v>46068</v>
      </c>
      <c r="B1197">
        <v>0.26</v>
      </c>
    </row>
    <row r="1198" spans="1:2" x14ac:dyDescent="0.25">
      <c r="A1198" s="131" t="s">
        <v>282</v>
      </c>
      <c r="B1198">
        <v>0.26</v>
      </c>
    </row>
    <row r="1199" spans="1:2" x14ac:dyDescent="0.25">
      <c r="A1199" s="132">
        <v>46068</v>
      </c>
      <c r="B1199">
        <v>0.26</v>
      </c>
    </row>
    <row r="1200" spans="1:2" x14ac:dyDescent="0.25">
      <c r="A1200" s="131" t="s">
        <v>283</v>
      </c>
      <c r="B1200">
        <v>0.26</v>
      </c>
    </row>
    <row r="1201" spans="1:2" x14ac:dyDescent="0.25">
      <c r="A1201" s="132">
        <v>46068</v>
      </c>
      <c r="B1201">
        <v>0.26</v>
      </c>
    </row>
    <row r="1202" spans="1:2" x14ac:dyDescent="0.25">
      <c r="A1202" s="131" t="s">
        <v>265</v>
      </c>
      <c r="B1202">
        <v>1.3</v>
      </c>
    </row>
    <row r="1203" spans="1:2" x14ac:dyDescent="0.25">
      <c r="A1203" s="132">
        <v>46111</v>
      </c>
      <c r="B1203">
        <v>0.26</v>
      </c>
    </row>
    <row r="1204" spans="1:2" x14ac:dyDescent="0.25">
      <c r="A1204" s="132">
        <v>46139</v>
      </c>
      <c r="B1204">
        <v>0.26</v>
      </c>
    </row>
    <row r="1205" spans="1:2" x14ac:dyDescent="0.25">
      <c r="A1205" s="132">
        <v>46192</v>
      </c>
      <c r="B1205">
        <v>0.26</v>
      </c>
    </row>
    <row r="1206" spans="1:2" x14ac:dyDescent="0.25">
      <c r="A1206" s="132">
        <v>46244</v>
      </c>
      <c r="B1206">
        <v>0.52</v>
      </c>
    </row>
    <row r="1207" spans="1:2" x14ac:dyDescent="0.25">
      <c r="A1207" s="131" t="s">
        <v>275</v>
      </c>
      <c r="B1207">
        <v>0.26</v>
      </c>
    </row>
    <row r="1208" spans="1:2" x14ac:dyDescent="0.25">
      <c r="A1208" s="132">
        <v>46223</v>
      </c>
      <c r="B1208">
        <v>0.26</v>
      </c>
    </row>
    <row r="1209" spans="1:2" x14ac:dyDescent="0.25">
      <c r="A1209" s="131" t="s">
        <v>277</v>
      </c>
      <c r="B1209">
        <v>0.26</v>
      </c>
    </row>
    <row r="1210" spans="1:2" x14ac:dyDescent="0.25">
      <c r="A1210" s="132">
        <v>46295</v>
      </c>
      <c r="B1210">
        <v>0.26</v>
      </c>
    </row>
    <row r="1211" spans="1:2" x14ac:dyDescent="0.25">
      <c r="A1211" s="131" t="s">
        <v>267</v>
      </c>
      <c r="B1211">
        <v>1.04</v>
      </c>
    </row>
    <row r="1212" spans="1:2" x14ac:dyDescent="0.25">
      <c r="A1212" s="132">
        <v>46111</v>
      </c>
      <c r="B1212">
        <v>0.26</v>
      </c>
    </row>
    <row r="1213" spans="1:2" x14ac:dyDescent="0.25">
      <c r="A1213" s="132">
        <v>46139</v>
      </c>
      <c r="B1213">
        <v>0.26</v>
      </c>
    </row>
    <row r="1214" spans="1:2" x14ac:dyDescent="0.25">
      <c r="A1214" s="132">
        <v>46192</v>
      </c>
      <c r="B1214">
        <v>0.26</v>
      </c>
    </row>
    <row r="1215" spans="1:2" x14ac:dyDescent="0.25">
      <c r="A1215" s="132">
        <v>46295</v>
      </c>
      <c r="B1215">
        <v>0.26</v>
      </c>
    </row>
    <row r="1216" spans="1:2" x14ac:dyDescent="0.25">
      <c r="A1216" s="130" t="s">
        <v>286</v>
      </c>
      <c r="B1216">
        <v>16.272000000000002</v>
      </c>
    </row>
    <row r="1217" spans="1:2" x14ac:dyDescent="0.25">
      <c r="A1217" s="129" t="s">
        <v>543</v>
      </c>
      <c r="B1217">
        <v>1.3560000000000001</v>
      </c>
    </row>
    <row r="1218" spans="1:2" x14ac:dyDescent="0.25">
      <c r="A1218" s="129" t="s">
        <v>541</v>
      </c>
      <c r="B1218">
        <v>14.916</v>
      </c>
    </row>
    <row r="1219" spans="1:2" x14ac:dyDescent="0.25">
      <c r="A1219" s="131" t="s">
        <v>18</v>
      </c>
      <c r="B1219">
        <v>1.3560000000000001</v>
      </c>
    </row>
    <row r="1220" spans="1:2" x14ac:dyDescent="0.25">
      <c r="A1220" s="131" t="s">
        <v>19</v>
      </c>
      <c r="B1220">
        <v>1.3560000000000001</v>
      </c>
    </row>
    <row r="1221" spans="1:2" x14ac:dyDescent="0.25">
      <c r="A1221" s="131" t="s">
        <v>20</v>
      </c>
      <c r="B1221">
        <v>1.3560000000000001</v>
      </c>
    </row>
    <row r="1222" spans="1:2" x14ac:dyDescent="0.25">
      <c r="A1222" s="131" t="s">
        <v>21</v>
      </c>
      <c r="B1222">
        <v>1.3560000000000001</v>
      </c>
    </row>
    <row r="1223" spans="1:2" x14ac:dyDescent="0.25">
      <c r="A1223" s="131" t="s">
        <v>22</v>
      </c>
      <c r="B1223">
        <v>1.3560000000000001</v>
      </c>
    </row>
    <row r="1224" spans="1:2" x14ac:dyDescent="0.25">
      <c r="A1224" s="131" t="s">
        <v>23</v>
      </c>
      <c r="B1224">
        <v>1.3560000000000001</v>
      </c>
    </row>
    <row r="1225" spans="1:2" x14ac:dyDescent="0.25">
      <c r="A1225" s="131" t="s">
        <v>24</v>
      </c>
      <c r="B1225">
        <v>1.3560000000000001</v>
      </c>
    </row>
    <row r="1226" spans="1:2" x14ac:dyDescent="0.25">
      <c r="A1226" s="131" t="s">
        <v>25</v>
      </c>
      <c r="B1226">
        <v>1.3560000000000001</v>
      </c>
    </row>
    <row r="1227" spans="1:2" x14ac:dyDescent="0.25">
      <c r="A1227" s="131" t="s">
        <v>26</v>
      </c>
      <c r="B1227">
        <v>1.3560000000000001</v>
      </c>
    </row>
    <row r="1228" spans="1:2" x14ac:dyDescent="0.25">
      <c r="A1228" s="131" t="s">
        <v>27</v>
      </c>
      <c r="B1228">
        <v>1.3560000000000001</v>
      </c>
    </row>
    <row r="1229" spans="1:2" x14ac:dyDescent="0.25">
      <c r="A1229" s="131" t="s">
        <v>28</v>
      </c>
      <c r="B1229">
        <v>1.3560000000000001</v>
      </c>
    </row>
    <row r="1230" spans="1:2" x14ac:dyDescent="0.25">
      <c r="A1230" s="130" t="s">
        <v>288</v>
      </c>
      <c r="B1230">
        <v>16.765044000000003</v>
      </c>
    </row>
    <row r="1231" spans="1:2" x14ac:dyDescent="0.25">
      <c r="A1231" s="129" t="s">
        <v>541</v>
      </c>
      <c r="B1231">
        <v>16.765044000000003</v>
      </c>
    </row>
    <row r="1232" spans="1:2" x14ac:dyDescent="0.25">
      <c r="A1232" s="131" t="s">
        <v>16</v>
      </c>
      <c r="B1232">
        <v>1.355</v>
      </c>
    </row>
    <row r="1233" spans="1:2" x14ac:dyDescent="0.25">
      <c r="A1233" s="131" t="s">
        <v>18</v>
      </c>
      <c r="B1233">
        <v>1.355</v>
      </c>
    </row>
    <row r="1234" spans="1:2" x14ac:dyDescent="0.25">
      <c r="A1234" s="131" t="s">
        <v>19</v>
      </c>
      <c r="B1234">
        <v>1.355</v>
      </c>
    </row>
    <row r="1235" spans="1:2" x14ac:dyDescent="0.25">
      <c r="A1235" s="131" t="s">
        <v>20</v>
      </c>
      <c r="B1235">
        <v>1.355</v>
      </c>
    </row>
    <row r="1236" spans="1:2" x14ac:dyDescent="0.25">
      <c r="A1236" s="131" t="s">
        <v>21</v>
      </c>
      <c r="B1236">
        <v>1.355</v>
      </c>
    </row>
    <row r="1237" spans="1:2" x14ac:dyDescent="0.25">
      <c r="A1237" s="131" t="s">
        <v>22</v>
      </c>
      <c r="B1237">
        <v>1.355</v>
      </c>
    </row>
    <row r="1238" spans="1:2" x14ac:dyDescent="0.25">
      <c r="A1238" s="131" t="s">
        <v>23</v>
      </c>
      <c r="B1238">
        <v>1.355</v>
      </c>
    </row>
    <row r="1239" spans="1:2" x14ac:dyDescent="0.25">
      <c r="A1239" s="131" t="s">
        <v>24</v>
      </c>
      <c r="B1239">
        <v>1.355</v>
      </c>
    </row>
    <row r="1240" spans="1:2" x14ac:dyDescent="0.25">
      <c r="A1240" s="131" t="s">
        <v>25</v>
      </c>
      <c r="B1240">
        <v>1.355</v>
      </c>
    </row>
    <row r="1241" spans="1:2" x14ac:dyDescent="0.25">
      <c r="A1241" s="131" t="s">
        <v>26</v>
      </c>
      <c r="B1241">
        <v>1.355</v>
      </c>
    </row>
    <row r="1242" spans="1:2" x14ac:dyDescent="0.25">
      <c r="A1242" s="131" t="s">
        <v>27</v>
      </c>
      <c r="B1242">
        <v>1.355</v>
      </c>
    </row>
    <row r="1243" spans="1:2" x14ac:dyDescent="0.25">
      <c r="A1243" s="131" t="s">
        <v>28</v>
      </c>
      <c r="B1243">
        <v>1.355</v>
      </c>
    </row>
    <row r="1244" spans="1:2" x14ac:dyDescent="0.25">
      <c r="A1244" s="131" t="s">
        <v>30</v>
      </c>
      <c r="B1244">
        <v>0.50504400000000005</v>
      </c>
    </row>
    <row r="1245" spans="1:2" x14ac:dyDescent="0.25">
      <c r="A1245" s="132">
        <v>46248</v>
      </c>
      <c r="B1245">
        <v>0.50504400000000005</v>
      </c>
    </row>
    <row r="1246" spans="1:2" x14ac:dyDescent="0.25">
      <c r="A1246" s="130" t="s">
        <v>289</v>
      </c>
      <c r="B1246">
        <v>15.015000000000001</v>
      </c>
    </row>
    <row r="1247" spans="1:2" x14ac:dyDescent="0.25">
      <c r="A1247" s="129" t="s">
        <v>543</v>
      </c>
      <c r="B1247">
        <v>3.2450000000000001</v>
      </c>
    </row>
    <row r="1248" spans="1:2" x14ac:dyDescent="0.25">
      <c r="A1248" s="129" t="s">
        <v>541</v>
      </c>
      <c r="B1248">
        <v>11.77</v>
      </c>
    </row>
    <row r="1249" spans="1:2" x14ac:dyDescent="0.25">
      <c r="A1249" s="131" t="s">
        <v>20</v>
      </c>
      <c r="B1249">
        <v>1.65</v>
      </c>
    </row>
    <row r="1250" spans="1:2" x14ac:dyDescent="0.25">
      <c r="A1250" s="131" t="s">
        <v>21</v>
      </c>
      <c r="B1250">
        <v>1.7050000000000001</v>
      </c>
    </row>
    <row r="1251" spans="1:2" x14ac:dyDescent="0.25">
      <c r="A1251" s="131" t="s">
        <v>22</v>
      </c>
      <c r="B1251">
        <v>1.65</v>
      </c>
    </row>
    <row r="1252" spans="1:2" x14ac:dyDescent="0.25">
      <c r="A1252" s="131" t="s">
        <v>23</v>
      </c>
      <c r="B1252">
        <v>1.7050000000000001</v>
      </c>
    </row>
    <row r="1253" spans="1:2" x14ac:dyDescent="0.25">
      <c r="A1253" s="131" t="s">
        <v>26</v>
      </c>
      <c r="B1253">
        <v>1.7050000000000001</v>
      </c>
    </row>
    <row r="1254" spans="1:2" x14ac:dyDescent="0.25">
      <c r="A1254" s="131" t="s">
        <v>27</v>
      </c>
      <c r="B1254">
        <v>1.65</v>
      </c>
    </row>
    <row r="1255" spans="1:2" x14ac:dyDescent="0.25">
      <c r="A1255" s="131" t="s">
        <v>28</v>
      </c>
      <c r="B1255">
        <v>1.7050000000000001</v>
      </c>
    </row>
    <row r="1256" spans="1:2" x14ac:dyDescent="0.25">
      <c r="A1256" s="130" t="s">
        <v>291</v>
      </c>
      <c r="B1256">
        <v>13</v>
      </c>
    </row>
    <row r="1257" spans="1:2" x14ac:dyDescent="0.25">
      <c r="A1257" s="129" t="s">
        <v>541</v>
      </c>
      <c r="B1257">
        <v>13</v>
      </c>
    </row>
    <row r="1258" spans="1:2" x14ac:dyDescent="0.25">
      <c r="A1258" s="131" t="s">
        <v>16</v>
      </c>
      <c r="B1258">
        <v>1</v>
      </c>
    </row>
    <row r="1259" spans="1:2" x14ac:dyDescent="0.25">
      <c r="A1259" s="131" t="s">
        <v>18</v>
      </c>
      <c r="B1259">
        <v>1</v>
      </c>
    </row>
    <row r="1260" spans="1:2" x14ac:dyDescent="0.25">
      <c r="A1260" s="131" t="s">
        <v>19</v>
      </c>
      <c r="B1260">
        <v>1</v>
      </c>
    </row>
    <row r="1261" spans="1:2" x14ac:dyDescent="0.25">
      <c r="A1261" s="131" t="s">
        <v>20</v>
      </c>
      <c r="B1261">
        <v>1</v>
      </c>
    </row>
    <row r="1262" spans="1:2" x14ac:dyDescent="0.25">
      <c r="A1262" s="131" t="s">
        <v>21</v>
      </c>
      <c r="B1262">
        <v>1</v>
      </c>
    </row>
    <row r="1263" spans="1:2" x14ac:dyDescent="0.25">
      <c r="A1263" s="131" t="s">
        <v>22</v>
      </c>
      <c r="B1263">
        <v>1</v>
      </c>
    </row>
    <row r="1264" spans="1:2" x14ac:dyDescent="0.25">
      <c r="A1264" s="131" t="s">
        <v>23</v>
      </c>
      <c r="B1264">
        <v>1</v>
      </c>
    </row>
    <row r="1265" spans="1:2" x14ac:dyDescent="0.25">
      <c r="A1265" s="131" t="s">
        <v>24</v>
      </c>
      <c r="B1265">
        <v>1</v>
      </c>
    </row>
    <row r="1266" spans="1:2" x14ac:dyDescent="0.25">
      <c r="A1266" s="131" t="s">
        <v>25</v>
      </c>
      <c r="B1266">
        <v>1</v>
      </c>
    </row>
    <row r="1267" spans="1:2" x14ac:dyDescent="0.25">
      <c r="A1267" s="131" t="s">
        <v>26</v>
      </c>
      <c r="B1267">
        <v>1</v>
      </c>
    </row>
    <row r="1268" spans="1:2" x14ac:dyDescent="0.25">
      <c r="A1268" s="131" t="s">
        <v>27</v>
      </c>
      <c r="B1268">
        <v>1</v>
      </c>
    </row>
    <row r="1269" spans="1:2" x14ac:dyDescent="0.25">
      <c r="A1269" s="131" t="s">
        <v>28</v>
      </c>
      <c r="B1269">
        <v>1</v>
      </c>
    </row>
    <row r="1270" spans="1:2" x14ac:dyDescent="0.25">
      <c r="A1270" s="131" t="s">
        <v>30</v>
      </c>
      <c r="B1270">
        <v>1</v>
      </c>
    </row>
    <row r="1271" spans="1:2" x14ac:dyDescent="0.25">
      <c r="A1271" s="132">
        <v>46264</v>
      </c>
      <c r="B1271">
        <v>1</v>
      </c>
    </row>
    <row r="1272" spans="1:2" x14ac:dyDescent="0.25">
      <c r="A1272" s="130" t="s">
        <v>293</v>
      </c>
      <c r="B1272">
        <v>6</v>
      </c>
    </row>
    <row r="1273" spans="1:2" x14ac:dyDescent="0.25">
      <c r="A1273" s="129" t="s">
        <v>543</v>
      </c>
      <c r="B1273">
        <v>0.5</v>
      </c>
    </row>
    <row r="1274" spans="1:2" x14ac:dyDescent="0.25">
      <c r="A1274" s="129" t="s">
        <v>541</v>
      </c>
      <c r="B1274">
        <v>5.5</v>
      </c>
    </row>
    <row r="1275" spans="1:2" x14ac:dyDescent="0.25">
      <c r="A1275" s="131" t="s">
        <v>18</v>
      </c>
      <c r="B1275">
        <v>0.5</v>
      </c>
    </row>
    <row r="1276" spans="1:2" x14ac:dyDescent="0.25">
      <c r="A1276" s="131" t="s">
        <v>19</v>
      </c>
      <c r="B1276">
        <v>0.5</v>
      </c>
    </row>
    <row r="1277" spans="1:2" x14ac:dyDescent="0.25">
      <c r="A1277" s="131" t="s">
        <v>20</v>
      </c>
      <c r="B1277">
        <v>0.5</v>
      </c>
    </row>
    <row r="1278" spans="1:2" x14ac:dyDescent="0.25">
      <c r="A1278" s="131" t="s">
        <v>21</v>
      </c>
      <c r="B1278">
        <v>0.5</v>
      </c>
    </row>
    <row r="1279" spans="1:2" x14ac:dyDescent="0.25">
      <c r="A1279" s="131" t="s">
        <v>22</v>
      </c>
      <c r="B1279">
        <v>0.5</v>
      </c>
    </row>
    <row r="1280" spans="1:2" x14ac:dyDescent="0.25">
      <c r="A1280" s="131" t="s">
        <v>23</v>
      </c>
      <c r="B1280">
        <v>0.5</v>
      </c>
    </row>
    <row r="1281" spans="1:2" x14ac:dyDescent="0.25">
      <c r="A1281" s="131" t="s">
        <v>24</v>
      </c>
      <c r="B1281">
        <v>0.5</v>
      </c>
    </row>
    <row r="1282" spans="1:2" x14ac:dyDescent="0.25">
      <c r="A1282" s="131" t="s">
        <v>25</v>
      </c>
      <c r="B1282">
        <v>0.5</v>
      </c>
    </row>
    <row r="1283" spans="1:2" x14ac:dyDescent="0.25">
      <c r="A1283" s="131" t="s">
        <v>26</v>
      </c>
      <c r="B1283">
        <v>0.5</v>
      </c>
    </row>
    <row r="1284" spans="1:2" x14ac:dyDescent="0.25">
      <c r="A1284" s="131" t="s">
        <v>27</v>
      </c>
      <c r="B1284">
        <v>0.5</v>
      </c>
    </row>
    <row r="1285" spans="1:2" x14ac:dyDescent="0.25">
      <c r="A1285" s="131" t="s">
        <v>28</v>
      </c>
      <c r="B1285">
        <v>0.5</v>
      </c>
    </row>
    <row r="1286" spans="1:2" x14ac:dyDescent="0.25">
      <c r="A1286" s="130" t="s">
        <v>295</v>
      </c>
      <c r="B1286">
        <v>17.702279999999998</v>
      </c>
    </row>
    <row r="1287" spans="1:2" x14ac:dyDescent="0.25">
      <c r="A1287" s="129" t="s">
        <v>541</v>
      </c>
      <c r="B1287">
        <v>17.702279999999998</v>
      </c>
    </row>
    <row r="1288" spans="1:2" x14ac:dyDescent="0.25">
      <c r="A1288" s="131" t="s">
        <v>16</v>
      </c>
      <c r="B1288">
        <v>1.47519</v>
      </c>
    </row>
    <row r="1289" spans="1:2" x14ac:dyDescent="0.25">
      <c r="A1289" s="131" t="s">
        <v>18</v>
      </c>
      <c r="B1289">
        <v>1.47519</v>
      </c>
    </row>
    <row r="1290" spans="1:2" x14ac:dyDescent="0.25">
      <c r="A1290" s="131" t="s">
        <v>19</v>
      </c>
      <c r="B1290">
        <v>1.47519</v>
      </c>
    </row>
    <row r="1291" spans="1:2" x14ac:dyDescent="0.25">
      <c r="A1291" s="131" t="s">
        <v>20</v>
      </c>
      <c r="B1291">
        <v>1.47519</v>
      </c>
    </row>
    <row r="1292" spans="1:2" x14ac:dyDescent="0.25">
      <c r="A1292" s="131" t="s">
        <v>21</v>
      </c>
      <c r="B1292">
        <v>1.47519</v>
      </c>
    </row>
    <row r="1293" spans="1:2" x14ac:dyDescent="0.25">
      <c r="A1293" s="131" t="s">
        <v>22</v>
      </c>
      <c r="B1293">
        <v>1.47519</v>
      </c>
    </row>
    <row r="1294" spans="1:2" x14ac:dyDescent="0.25">
      <c r="A1294" s="131" t="s">
        <v>23</v>
      </c>
      <c r="B1294">
        <v>1.47519</v>
      </c>
    </row>
    <row r="1295" spans="1:2" x14ac:dyDescent="0.25">
      <c r="A1295" s="131" t="s">
        <v>24</v>
      </c>
      <c r="B1295">
        <v>1.47519</v>
      </c>
    </row>
    <row r="1296" spans="1:2" x14ac:dyDescent="0.25">
      <c r="A1296" s="131" t="s">
        <v>25</v>
      </c>
      <c r="B1296">
        <v>1.47519</v>
      </c>
    </row>
    <row r="1297" spans="1:2" x14ac:dyDescent="0.25">
      <c r="A1297" s="131" t="s">
        <v>26</v>
      </c>
      <c r="B1297">
        <v>1.47519</v>
      </c>
    </row>
    <row r="1298" spans="1:2" x14ac:dyDescent="0.25">
      <c r="A1298" s="131" t="s">
        <v>27</v>
      </c>
      <c r="B1298">
        <v>1.47519</v>
      </c>
    </row>
    <row r="1299" spans="1:2" x14ac:dyDescent="0.25">
      <c r="A1299" s="131" t="s">
        <v>28</v>
      </c>
      <c r="B1299">
        <v>1.47519</v>
      </c>
    </row>
    <row r="1300" spans="1:2" x14ac:dyDescent="0.25">
      <c r="A1300" s="130" t="s">
        <v>297</v>
      </c>
      <c r="B1300">
        <v>1</v>
      </c>
    </row>
    <row r="1301" spans="1:2" x14ac:dyDescent="0.25">
      <c r="A1301" s="129" t="s">
        <v>541</v>
      </c>
      <c r="B1301">
        <v>1</v>
      </c>
    </row>
    <row r="1302" spans="1:2" x14ac:dyDescent="0.25">
      <c r="A1302" s="131" t="s">
        <v>30</v>
      </c>
      <c r="B1302">
        <v>1</v>
      </c>
    </row>
    <row r="1303" spans="1:2" x14ac:dyDescent="0.25">
      <c r="A1303" s="132">
        <v>46120</v>
      </c>
      <c r="B1303">
        <v>1</v>
      </c>
    </row>
    <row r="1304" spans="1:2" x14ac:dyDescent="0.25">
      <c r="A1304" s="130" t="s">
        <v>298</v>
      </c>
      <c r="B1304">
        <v>4</v>
      </c>
    </row>
    <row r="1305" spans="1:2" x14ac:dyDescent="0.25">
      <c r="A1305" s="129" t="s">
        <v>541</v>
      </c>
      <c r="B1305">
        <v>4</v>
      </c>
    </row>
    <row r="1306" spans="1:2" x14ac:dyDescent="0.25">
      <c r="A1306" s="131" t="s">
        <v>37</v>
      </c>
      <c r="B1306">
        <v>1</v>
      </c>
    </row>
    <row r="1307" spans="1:2" x14ac:dyDescent="0.25">
      <c r="A1307" s="132">
        <v>46101</v>
      </c>
      <c r="B1307">
        <v>1</v>
      </c>
    </row>
    <row r="1308" spans="1:2" x14ac:dyDescent="0.25">
      <c r="A1308" s="131" t="s">
        <v>35</v>
      </c>
      <c r="B1308">
        <v>1</v>
      </c>
    </row>
    <row r="1309" spans="1:2" x14ac:dyDescent="0.25">
      <c r="A1309" s="132">
        <v>46101</v>
      </c>
      <c r="B1309">
        <v>1</v>
      </c>
    </row>
    <row r="1310" spans="1:2" x14ac:dyDescent="0.25">
      <c r="A1310" s="131" t="s">
        <v>38</v>
      </c>
      <c r="B1310">
        <v>1</v>
      </c>
    </row>
    <row r="1311" spans="1:2" x14ac:dyDescent="0.25">
      <c r="A1311" s="132">
        <v>46192</v>
      </c>
      <c r="B1311">
        <v>1</v>
      </c>
    </row>
    <row r="1312" spans="1:2" x14ac:dyDescent="0.25">
      <c r="A1312" s="131" t="s">
        <v>39</v>
      </c>
      <c r="B1312">
        <v>1</v>
      </c>
    </row>
    <row r="1313" spans="1:2" x14ac:dyDescent="0.25">
      <c r="A1313" s="132">
        <v>46287</v>
      </c>
      <c r="B1313">
        <v>1</v>
      </c>
    </row>
    <row r="1314" spans="1:2" x14ac:dyDescent="0.25">
      <c r="A1314" s="130" t="s">
        <v>300</v>
      </c>
      <c r="B1314">
        <v>9.4499999999999993</v>
      </c>
    </row>
    <row r="1315" spans="1:2" x14ac:dyDescent="0.25">
      <c r="A1315" s="129" t="s">
        <v>541</v>
      </c>
      <c r="B1315">
        <v>9.4499999999999993</v>
      </c>
    </row>
    <row r="1316" spans="1:2" x14ac:dyDescent="0.25">
      <c r="A1316" s="131" t="s">
        <v>121</v>
      </c>
      <c r="B1316">
        <v>1.35</v>
      </c>
    </row>
    <row r="1317" spans="1:2" x14ac:dyDescent="0.25">
      <c r="A1317" s="132">
        <v>46042</v>
      </c>
      <c r="B1317">
        <v>1.35</v>
      </c>
    </row>
    <row r="1318" spans="1:2" x14ac:dyDescent="0.25">
      <c r="A1318" s="131" t="s">
        <v>44</v>
      </c>
      <c r="B1318">
        <v>1.35</v>
      </c>
    </row>
    <row r="1319" spans="1:2" x14ac:dyDescent="0.25">
      <c r="A1319" s="132">
        <v>46192</v>
      </c>
      <c r="B1319">
        <v>1.35</v>
      </c>
    </row>
    <row r="1320" spans="1:2" x14ac:dyDescent="0.25">
      <c r="A1320" s="131" t="s">
        <v>122</v>
      </c>
      <c r="B1320">
        <v>1.35</v>
      </c>
    </row>
    <row r="1321" spans="1:2" x14ac:dyDescent="0.25">
      <c r="A1321" s="132">
        <v>46073</v>
      </c>
      <c r="B1321">
        <v>1.35</v>
      </c>
    </row>
    <row r="1322" spans="1:2" x14ac:dyDescent="0.25">
      <c r="A1322" s="131" t="s">
        <v>43</v>
      </c>
      <c r="B1322">
        <v>1.35</v>
      </c>
    </row>
    <row r="1323" spans="1:2" x14ac:dyDescent="0.25">
      <c r="A1323" s="132">
        <v>46132</v>
      </c>
      <c r="B1323">
        <v>1.35</v>
      </c>
    </row>
    <row r="1324" spans="1:2" x14ac:dyDescent="0.25">
      <c r="A1324" s="131" t="s">
        <v>46</v>
      </c>
      <c r="B1324">
        <v>1.35</v>
      </c>
    </row>
    <row r="1325" spans="1:2" x14ac:dyDescent="0.25">
      <c r="A1325" s="132">
        <v>46315</v>
      </c>
      <c r="B1325">
        <v>1.35</v>
      </c>
    </row>
    <row r="1326" spans="1:2" x14ac:dyDescent="0.25">
      <c r="A1326" s="131" t="s">
        <v>30</v>
      </c>
      <c r="B1326">
        <v>1.35</v>
      </c>
    </row>
    <row r="1327" spans="1:2" x14ac:dyDescent="0.25">
      <c r="A1327" s="132">
        <v>46192</v>
      </c>
      <c r="B1327">
        <v>1.35</v>
      </c>
    </row>
    <row r="1328" spans="1:2" x14ac:dyDescent="0.25">
      <c r="A1328" s="131" t="s">
        <v>45</v>
      </c>
      <c r="B1328">
        <v>1.35</v>
      </c>
    </row>
    <row r="1329" spans="1:2" x14ac:dyDescent="0.25">
      <c r="A1329" s="132">
        <v>46254</v>
      </c>
      <c r="B1329">
        <v>1.35</v>
      </c>
    </row>
    <row r="1330" spans="1:2" x14ac:dyDescent="0.25">
      <c r="A1330" s="130" t="s">
        <v>302</v>
      </c>
      <c r="B1330">
        <v>1</v>
      </c>
    </row>
    <row r="1331" spans="1:2" x14ac:dyDescent="0.25">
      <c r="A1331" s="129" t="s">
        <v>541</v>
      </c>
      <c r="B1331">
        <v>1</v>
      </c>
    </row>
    <row r="1332" spans="1:2" x14ac:dyDescent="0.25">
      <c r="A1332" s="131" t="s">
        <v>30</v>
      </c>
      <c r="B1332">
        <v>1</v>
      </c>
    </row>
    <row r="1333" spans="1:2" x14ac:dyDescent="0.25">
      <c r="A1333" s="132">
        <v>46120</v>
      </c>
      <c r="B1333">
        <v>1</v>
      </c>
    </row>
    <row r="1334" spans="1:2" x14ac:dyDescent="0.25">
      <c r="A1334" s="130" t="s">
        <v>303</v>
      </c>
      <c r="B1334">
        <v>1</v>
      </c>
    </row>
    <row r="1335" spans="1:2" x14ac:dyDescent="0.25">
      <c r="A1335" s="129" t="s">
        <v>541</v>
      </c>
      <c r="B1335">
        <v>1</v>
      </c>
    </row>
    <row r="1336" spans="1:2" x14ac:dyDescent="0.25">
      <c r="A1336" s="131" t="s">
        <v>30</v>
      </c>
      <c r="B1336">
        <v>1</v>
      </c>
    </row>
    <row r="1337" spans="1:2" x14ac:dyDescent="0.25">
      <c r="A1337" s="132">
        <v>46120</v>
      </c>
      <c r="B1337">
        <v>1</v>
      </c>
    </row>
    <row r="1338" spans="1:2" x14ac:dyDescent="0.25">
      <c r="A1338" s="130" t="s">
        <v>305</v>
      </c>
      <c r="B1338">
        <v>13.525</v>
      </c>
    </row>
    <row r="1339" spans="1:2" x14ac:dyDescent="0.25">
      <c r="A1339" s="129" t="s">
        <v>543</v>
      </c>
      <c r="B1339">
        <v>1</v>
      </c>
    </row>
    <row r="1340" spans="1:2" x14ac:dyDescent="0.25">
      <c r="A1340" s="129" t="s">
        <v>541</v>
      </c>
      <c r="B1340">
        <v>12.525</v>
      </c>
    </row>
    <row r="1341" spans="1:2" x14ac:dyDescent="0.25">
      <c r="A1341" s="131" t="s">
        <v>18</v>
      </c>
      <c r="B1341">
        <v>1</v>
      </c>
    </row>
    <row r="1342" spans="1:2" x14ac:dyDescent="0.25">
      <c r="A1342" s="131" t="s">
        <v>19</v>
      </c>
      <c r="B1342">
        <v>1</v>
      </c>
    </row>
    <row r="1343" spans="1:2" x14ac:dyDescent="0.25">
      <c r="A1343" s="131" t="s">
        <v>20</v>
      </c>
      <c r="B1343">
        <v>1</v>
      </c>
    </row>
    <row r="1344" spans="1:2" x14ac:dyDescent="0.25">
      <c r="A1344" s="131" t="s">
        <v>21</v>
      </c>
      <c r="B1344">
        <v>1</v>
      </c>
    </row>
    <row r="1345" spans="1:2" x14ac:dyDescent="0.25">
      <c r="A1345" s="131" t="s">
        <v>22</v>
      </c>
      <c r="B1345">
        <v>1</v>
      </c>
    </row>
    <row r="1346" spans="1:2" x14ac:dyDescent="0.25">
      <c r="A1346" s="131" t="s">
        <v>23</v>
      </c>
      <c r="B1346">
        <v>1</v>
      </c>
    </row>
    <row r="1347" spans="1:2" x14ac:dyDescent="0.25">
      <c r="A1347" s="131" t="s">
        <v>24</v>
      </c>
      <c r="B1347">
        <v>1</v>
      </c>
    </row>
    <row r="1348" spans="1:2" x14ac:dyDescent="0.25">
      <c r="A1348" s="131" t="s">
        <v>25</v>
      </c>
      <c r="B1348">
        <v>1</v>
      </c>
    </row>
    <row r="1349" spans="1:2" x14ac:dyDescent="0.25">
      <c r="A1349" s="131" t="s">
        <v>26</v>
      </c>
      <c r="B1349">
        <v>1</v>
      </c>
    </row>
    <row r="1350" spans="1:2" x14ac:dyDescent="0.25">
      <c r="A1350" s="131" t="s">
        <v>27</v>
      </c>
      <c r="B1350">
        <v>1</v>
      </c>
    </row>
    <row r="1351" spans="1:2" x14ac:dyDescent="0.25">
      <c r="A1351" s="131" t="s">
        <v>28</v>
      </c>
      <c r="B1351">
        <v>1</v>
      </c>
    </row>
    <row r="1352" spans="1:2" x14ac:dyDescent="0.25">
      <c r="A1352" s="131" t="s">
        <v>30</v>
      </c>
      <c r="B1352">
        <v>1.5249999999999999</v>
      </c>
    </row>
    <row r="1353" spans="1:2" x14ac:dyDescent="0.25">
      <c r="A1353" s="132">
        <v>46227</v>
      </c>
      <c r="B1353">
        <v>1.5249999999999999</v>
      </c>
    </row>
    <row r="1354" spans="1:2" x14ac:dyDescent="0.25">
      <c r="A1354" s="130" t="s">
        <v>307</v>
      </c>
      <c r="B1354">
        <v>6</v>
      </c>
    </row>
    <row r="1355" spans="1:2" x14ac:dyDescent="0.25">
      <c r="A1355" s="129" t="s">
        <v>541</v>
      </c>
      <c r="B1355">
        <v>6</v>
      </c>
    </row>
    <row r="1356" spans="1:2" x14ac:dyDescent="0.25">
      <c r="A1356" s="131" t="s">
        <v>121</v>
      </c>
      <c r="B1356">
        <v>1</v>
      </c>
    </row>
    <row r="1357" spans="1:2" x14ac:dyDescent="0.25">
      <c r="A1357" s="132">
        <v>46081</v>
      </c>
      <c r="B1357">
        <v>1</v>
      </c>
    </row>
    <row r="1358" spans="1:2" x14ac:dyDescent="0.25">
      <c r="A1358" s="131" t="s">
        <v>44</v>
      </c>
      <c r="B1358">
        <v>1</v>
      </c>
    </row>
    <row r="1359" spans="1:2" x14ac:dyDescent="0.25">
      <c r="A1359" s="132">
        <v>46218</v>
      </c>
      <c r="B1359">
        <v>1</v>
      </c>
    </row>
    <row r="1360" spans="1:2" x14ac:dyDescent="0.25">
      <c r="A1360" s="131" t="s">
        <v>122</v>
      </c>
      <c r="B1360">
        <v>1</v>
      </c>
    </row>
    <row r="1361" spans="1:2" x14ac:dyDescent="0.25">
      <c r="A1361" s="132">
        <v>46092</v>
      </c>
      <c r="B1361">
        <v>1</v>
      </c>
    </row>
    <row r="1362" spans="1:2" x14ac:dyDescent="0.25">
      <c r="A1362" s="131" t="s">
        <v>43</v>
      </c>
      <c r="B1362">
        <v>1</v>
      </c>
    </row>
    <row r="1363" spans="1:2" x14ac:dyDescent="0.25">
      <c r="A1363" s="132">
        <v>46155</v>
      </c>
      <c r="B1363">
        <v>1</v>
      </c>
    </row>
    <row r="1364" spans="1:2" x14ac:dyDescent="0.25">
      <c r="A1364" s="131" t="s">
        <v>46</v>
      </c>
      <c r="B1364">
        <v>1</v>
      </c>
    </row>
    <row r="1365" spans="1:2" x14ac:dyDescent="0.25">
      <c r="A1365" s="132">
        <v>46344</v>
      </c>
      <c r="B1365">
        <v>1</v>
      </c>
    </row>
    <row r="1366" spans="1:2" x14ac:dyDescent="0.25">
      <c r="A1366" s="131" t="s">
        <v>45</v>
      </c>
      <c r="B1366">
        <v>1</v>
      </c>
    </row>
    <row r="1367" spans="1:2" x14ac:dyDescent="0.25">
      <c r="A1367" s="132">
        <v>46280</v>
      </c>
      <c r="B1367">
        <v>1</v>
      </c>
    </row>
    <row r="1368" spans="1:2" x14ac:dyDescent="0.25">
      <c r="A1368" s="130" t="s">
        <v>309</v>
      </c>
      <c r="B1368">
        <v>7.5</v>
      </c>
    </row>
    <row r="1369" spans="1:2" x14ac:dyDescent="0.25">
      <c r="A1369" s="129" t="s">
        <v>541</v>
      </c>
      <c r="B1369">
        <v>7.5</v>
      </c>
    </row>
    <row r="1370" spans="1:2" x14ac:dyDescent="0.25">
      <c r="A1370" s="131" t="s">
        <v>121</v>
      </c>
      <c r="B1370">
        <v>1.25</v>
      </c>
    </row>
    <row r="1371" spans="1:2" x14ac:dyDescent="0.25">
      <c r="A1371" s="132">
        <v>46042</v>
      </c>
      <c r="B1371">
        <v>1.25</v>
      </c>
    </row>
    <row r="1372" spans="1:2" x14ac:dyDescent="0.25">
      <c r="A1372" s="131" t="s">
        <v>44</v>
      </c>
      <c r="B1372">
        <v>1.25</v>
      </c>
    </row>
    <row r="1373" spans="1:2" x14ac:dyDescent="0.25">
      <c r="A1373" s="132">
        <v>46192</v>
      </c>
      <c r="B1373">
        <v>1.25</v>
      </c>
    </row>
    <row r="1374" spans="1:2" x14ac:dyDescent="0.25">
      <c r="A1374" s="131" t="s">
        <v>122</v>
      </c>
      <c r="B1374">
        <v>1.25</v>
      </c>
    </row>
    <row r="1375" spans="1:2" x14ac:dyDescent="0.25">
      <c r="A1375" s="132">
        <v>46073</v>
      </c>
      <c r="B1375">
        <v>1.25</v>
      </c>
    </row>
    <row r="1376" spans="1:2" x14ac:dyDescent="0.25">
      <c r="A1376" s="131" t="s">
        <v>43</v>
      </c>
      <c r="B1376">
        <v>1.25</v>
      </c>
    </row>
    <row r="1377" spans="1:2" x14ac:dyDescent="0.25">
      <c r="A1377" s="132">
        <v>46132</v>
      </c>
      <c r="B1377">
        <v>1.25</v>
      </c>
    </row>
    <row r="1378" spans="1:2" x14ac:dyDescent="0.25">
      <c r="A1378" s="131" t="s">
        <v>46</v>
      </c>
      <c r="B1378">
        <v>1.25</v>
      </c>
    </row>
    <row r="1379" spans="1:2" x14ac:dyDescent="0.25">
      <c r="A1379" s="132">
        <v>46315</v>
      </c>
      <c r="B1379">
        <v>1.25</v>
      </c>
    </row>
    <row r="1380" spans="1:2" x14ac:dyDescent="0.25">
      <c r="A1380" s="131" t="s">
        <v>45</v>
      </c>
      <c r="B1380">
        <v>1.25</v>
      </c>
    </row>
    <row r="1381" spans="1:2" x14ac:dyDescent="0.25">
      <c r="A1381" s="132">
        <v>46280</v>
      </c>
      <c r="B1381">
        <v>1.25</v>
      </c>
    </row>
    <row r="1382" spans="1:2" x14ac:dyDescent="0.25">
      <c r="A1382" s="130" t="s">
        <v>311</v>
      </c>
      <c r="B1382">
        <v>6.96</v>
      </c>
    </row>
    <row r="1383" spans="1:2" x14ac:dyDescent="0.25">
      <c r="A1383" s="129" t="s">
        <v>543</v>
      </c>
      <c r="B1383">
        <v>1.74</v>
      </c>
    </row>
    <row r="1384" spans="1:2" x14ac:dyDescent="0.25">
      <c r="A1384" s="129" t="s">
        <v>541</v>
      </c>
      <c r="B1384">
        <v>5.22</v>
      </c>
    </row>
    <row r="1385" spans="1:2" x14ac:dyDescent="0.25">
      <c r="A1385" s="131" t="s">
        <v>37</v>
      </c>
      <c r="B1385">
        <v>1.74</v>
      </c>
    </row>
    <row r="1386" spans="1:2" x14ac:dyDescent="0.25">
      <c r="A1386" s="132">
        <v>46107</v>
      </c>
      <c r="B1386">
        <v>1.74</v>
      </c>
    </row>
    <row r="1387" spans="1:2" x14ac:dyDescent="0.25">
      <c r="A1387" s="131" t="s">
        <v>38</v>
      </c>
      <c r="B1387">
        <v>1.74</v>
      </c>
    </row>
    <row r="1388" spans="1:2" x14ac:dyDescent="0.25">
      <c r="A1388" s="132">
        <v>46198</v>
      </c>
      <c r="B1388">
        <v>1.74</v>
      </c>
    </row>
    <row r="1389" spans="1:2" x14ac:dyDescent="0.25">
      <c r="A1389" s="131" t="s">
        <v>39</v>
      </c>
      <c r="B1389">
        <v>1.74</v>
      </c>
    </row>
    <row r="1390" spans="1:2" x14ac:dyDescent="0.25">
      <c r="A1390" s="132">
        <v>46289</v>
      </c>
      <c r="B1390">
        <v>1.74</v>
      </c>
    </row>
    <row r="1391" spans="1:2" x14ac:dyDescent="0.25">
      <c r="A1391" s="130" t="s">
        <v>313</v>
      </c>
      <c r="B1391">
        <v>3.0438000000000001</v>
      </c>
    </row>
    <row r="1392" spans="1:2" x14ac:dyDescent="0.25">
      <c r="A1392" s="129" t="s">
        <v>541</v>
      </c>
      <c r="B1392">
        <v>3.0438000000000001</v>
      </c>
    </row>
    <row r="1393" spans="1:2" x14ac:dyDescent="0.25">
      <c r="A1393" s="131" t="s">
        <v>30</v>
      </c>
      <c r="B1393">
        <v>3.0438000000000001</v>
      </c>
    </row>
    <row r="1394" spans="1:2" x14ac:dyDescent="0.25">
      <c r="A1394" s="132">
        <v>46045</v>
      </c>
      <c r="B1394">
        <v>1.0145999999999999</v>
      </c>
    </row>
    <row r="1395" spans="1:2" x14ac:dyDescent="0.25">
      <c r="A1395" s="132">
        <v>46112</v>
      </c>
      <c r="B1395">
        <v>1.0145999999999999</v>
      </c>
    </row>
    <row r="1396" spans="1:2" x14ac:dyDescent="0.25">
      <c r="A1396" s="132">
        <v>46203</v>
      </c>
      <c r="B1396">
        <v>1.0145999999999999</v>
      </c>
    </row>
    <row r="1397" spans="1:2" x14ac:dyDescent="0.25">
      <c r="A1397" s="130" t="s">
        <v>315</v>
      </c>
      <c r="B1397">
        <v>18.460499999999996</v>
      </c>
    </row>
    <row r="1398" spans="1:2" x14ac:dyDescent="0.25">
      <c r="A1398" s="129" t="s">
        <v>541</v>
      </c>
      <c r="B1398">
        <v>18.460499999999996</v>
      </c>
    </row>
    <row r="1399" spans="1:2" x14ac:dyDescent="0.25">
      <c r="A1399" s="131" t="s">
        <v>16</v>
      </c>
      <c r="B1399">
        <v>1.4172</v>
      </c>
    </row>
    <row r="1400" spans="1:2" x14ac:dyDescent="0.25">
      <c r="A1400" s="131" t="s">
        <v>18</v>
      </c>
      <c r="B1400">
        <v>1.4172</v>
      </c>
    </row>
    <row r="1401" spans="1:2" x14ac:dyDescent="0.25">
      <c r="A1401" s="131" t="s">
        <v>19</v>
      </c>
      <c r="B1401">
        <v>1.4172</v>
      </c>
    </row>
    <row r="1402" spans="1:2" x14ac:dyDescent="0.25">
      <c r="A1402" s="131" t="s">
        <v>20</v>
      </c>
      <c r="B1402">
        <v>1.4172</v>
      </c>
    </row>
    <row r="1403" spans="1:2" x14ac:dyDescent="0.25">
      <c r="A1403" s="131" t="s">
        <v>21</v>
      </c>
      <c r="B1403">
        <v>1.4172</v>
      </c>
    </row>
    <row r="1404" spans="1:2" x14ac:dyDescent="0.25">
      <c r="A1404" s="131" t="s">
        <v>22</v>
      </c>
      <c r="B1404">
        <v>1.4172</v>
      </c>
    </row>
    <row r="1405" spans="1:2" x14ac:dyDescent="0.25">
      <c r="A1405" s="131" t="s">
        <v>23</v>
      </c>
      <c r="B1405">
        <v>1.4172</v>
      </c>
    </row>
    <row r="1406" spans="1:2" x14ac:dyDescent="0.25">
      <c r="A1406" s="131" t="s">
        <v>24</v>
      </c>
      <c r="B1406">
        <v>1.4172</v>
      </c>
    </row>
    <row r="1407" spans="1:2" x14ac:dyDescent="0.25">
      <c r="A1407" s="131" t="s">
        <v>25</v>
      </c>
      <c r="B1407">
        <v>1.4172</v>
      </c>
    </row>
    <row r="1408" spans="1:2" x14ac:dyDescent="0.25">
      <c r="A1408" s="131" t="s">
        <v>26</v>
      </c>
      <c r="B1408">
        <v>1.4172</v>
      </c>
    </row>
    <row r="1409" spans="1:2" x14ac:dyDescent="0.25">
      <c r="A1409" s="131" t="s">
        <v>27</v>
      </c>
      <c r="B1409">
        <v>1.4172</v>
      </c>
    </row>
    <row r="1410" spans="1:2" x14ac:dyDescent="0.25">
      <c r="A1410" s="131" t="s">
        <v>28</v>
      </c>
      <c r="B1410">
        <v>1.4172</v>
      </c>
    </row>
    <row r="1411" spans="1:2" x14ac:dyDescent="0.25">
      <c r="A1411" s="131" t="s">
        <v>30</v>
      </c>
      <c r="B1411">
        <v>1.4540999999999999</v>
      </c>
    </row>
    <row r="1412" spans="1:2" x14ac:dyDescent="0.25">
      <c r="A1412" s="132">
        <v>46259</v>
      </c>
      <c r="B1412">
        <v>1.4540999999999999</v>
      </c>
    </row>
    <row r="1413" spans="1:2" x14ac:dyDescent="0.25">
      <c r="A1413" s="130" t="s">
        <v>318</v>
      </c>
      <c r="B1413">
        <v>6.9312499999999995</v>
      </c>
    </row>
    <row r="1414" spans="1:2" x14ac:dyDescent="0.25">
      <c r="A1414" s="129" t="s">
        <v>541</v>
      </c>
      <c r="B1414">
        <v>6.9312499999999995</v>
      </c>
    </row>
    <row r="1415" spans="1:2" x14ac:dyDescent="0.25">
      <c r="A1415" s="131" t="s">
        <v>30</v>
      </c>
      <c r="B1415">
        <v>1.73</v>
      </c>
    </row>
    <row r="1416" spans="1:2" x14ac:dyDescent="0.25">
      <c r="A1416" s="132">
        <v>46029</v>
      </c>
      <c r="B1416">
        <v>1.73</v>
      </c>
    </row>
    <row r="1417" spans="1:2" x14ac:dyDescent="0.25">
      <c r="A1417" s="131" t="s">
        <v>250</v>
      </c>
      <c r="B1417">
        <v>1.7337499999999999</v>
      </c>
    </row>
    <row r="1418" spans="1:2" x14ac:dyDescent="0.25">
      <c r="A1418" s="132">
        <v>46137</v>
      </c>
      <c r="B1418">
        <v>1.7337499999999999</v>
      </c>
    </row>
    <row r="1419" spans="1:2" x14ac:dyDescent="0.25">
      <c r="A1419" s="131" t="s">
        <v>252</v>
      </c>
      <c r="B1419">
        <v>1.7337499999999999</v>
      </c>
    </row>
    <row r="1420" spans="1:2" x14ac:dyDescent="0.25">
      <c r="A1420" s="132">
        <v>46193</v>
      </c>
      <c r="B1420">
        <v>1.7337499999999999</v>
      </c>
    </row>
    <row r="1421" spans="1:2" x14ac:dyDescent="0.25">
      <c r="A1421" s="131" t="s">
        <v>253</v>
      </c>
      <c r="B1421">
        <v>1.7337499999999999</v>
      </c>
    </row>
    <row r="1422" spans="1:2" x14ac:dyDescent="0.25">
      <c r="A1422" s="132">
        <v>46287</v>
      </c>
      <c r="B1422">
        <v>1.7337499999999999</v>
      </c>
    </row>
    <row r="1423" spans="1:2" x14ac:dyDescent="0.25">
      <c r="A1423" s="130" t="s">
        <v>320</v>
      </c>
      <c r="B1423">
        <v>10</v>
      </c>
    </row>
    <row r="1424" spans="1:2" x14ac:dyDescent="0.25">
      <c r="A1424" s="129" t="s">
        <v>541</v>
      </c>
      <c r="B1424">
        <v>10</v>
      </c>
    </row>
    <row r="1425" spans="1:2" x14ac:dyDescent="0.25">
      <c r="A1425" s="131" t="s">
        <v>19</v>
      </c>
      <c r="B1425">
        <v>1</v>
      </c>
    </row>
    <row r="1426" spans="1:2" x14ac:dyDescent="0.25">
      <c r="A1426" s="131" t="s">
        <v>20</v>
      </c>
      <c r="B1426">
        <v>1</v>
      </c>
    </row>
    <row r="1427" spans="1:2" x14ac:dyDescent="0.25">
      <c r="A1427" s="131" t="s">
        <v>21</v>
      </c>
      <c r="B1427">
        <v>1</v>
      </c>
    </row>
    <row r="1428" spans="1:2" x14ac:dyDescent="0.25">
      <c r="A1428" s="131" t="s">
        <v>22</v>
      </c>
      <c r="B1428">
        <v>1</v>
      </c>
    </row>
    <row r="1429" spans="1:2" x14ac:dyDescent="0.25">
      <c r="A1429" s="131" t="s">
        <v>23</v>
      </c>
      <c r="B1429">
        <v>1</v>
      </c>
    </row>
    <row r="1430" spans="1:2" x14ac:dyDescent="0.25">
      <c r="A1430" s="131" t="s">
        <v>24</v>
      </c>
      <c r="B1430">
        <v>1</v>
      </c>
    </row>
    <row r="1431" spans="1:2" x14ac:dyDescent="0.25">
      <c r="A1431" s="131" t="s">
        <v>25</v>
      </c>
      <c r="B1431">
        <v>1</v>
      </c>
    </row>
    <row r="1432" spans="1:2" x14ac:dyDescent="0.25">
      <c r="A1432" s="131" t="s">
        <v>26</v>
      </c>
      <c r="B1432">
        <v>1</v>
      </c>
    </row>
    <row r="1433" spans="1:2" x14ac:dyDescent="0.25">
      <c r="A1433" s="131" t="s">
        <v>27</v>
      </c>
      <c r="B1433">
        <v>1</v>
      </c>
    </row>
    <row r="1434" spans="1:2" x14ac:dyDescent="0.25">
      <c r="A1434" s="131" t="s">
        <v>28</v>
      </c>
      <c r="B1434">
        <v>1</v>
      </c>
    </row>
    <row r="1435" spans="1:2" x14ac:dyDescent="0.25">
      <c r="A1435" s="130" t="s">
        <v>322</v>
      </c>
      <c r="B1435">
        <v>2</v>
      </c>
    </row>
    <row r="1436" spans="1:2" x14ac:dyDescent="0.25">
      <c r="A1436" s="129" t="s">
        <v>543</v>
      </c>
      <c r="B1436">
        <v>1</v>
      </c>
    </row>
    <row r="1437" spans="1:2" x14ac:dyDescent="0.25">
      <c r="A1437" s="129" t="s">
        <v>541</v>
      </c>
      <c r="B1437">
        <v>1</v>
      </c>
    </row>
    <row r="1438" spans="1:2" x14ac:dyDescent="0.25">
      <c r="A1438" s="131" t="s">
        <v>18</v>
      </c>
      <c r="B1438">
        <v>1</v>
      </c>
    </row>
    <row r="1439" spans="1:2" x14ac:dyDescent="0.25">
      <c r="A1439" s="130" t="s">
        <v>324</v>
      </c>
      <c r="B1439">
        <v>35.04</v>
      </c>
    </row>
    <row r="1440" spans="1:2" x14ac:dyDescent="0.25">
      <c r="A1440" s="129" t="s">
        <v>541</v>
      </c>
      <c r="B1440">
        <v>35.04</v>
      </c>
    </row>
    <row r="1441" spans="1:2" x14ac:dyDescent="0.25">
      <c r="A1441" s="131" t="s">
        <v>16</v>
      </c>
      <c r="B1441">
        <v>2.976</v>
      </c>
    </row>
    <row r="1442" spans="1:2" x14ac:dyDescent="0.25">
      <c r="A1442" s="131" t="s">
        <v>18</v>
      </c>
      <c r="B1442">
        <v>2.6880000000000002</v>
      </c>
    </row>
    <row r="1443" spans="1:2" x14ac:dyDescent="0.25">
      <c r="A1443" s="131" t="s">
        <v>19</v>
      </c>
      <c r="B1443">
        <v>2.976</v>
      </c>
    </row>
    <row r="1444" spans="1:2" x14ac:dyDescent="0.25">
      <c r="A1444" s="131" t="s">
        <v>20</v>
      </c>
      <c r="B1444">
        <v>2.88</v>
      </c>
    </row>
    <row r="1445" spans="1:2" x14ac:dyDescent="0.25">
      <c r="A1445" s="131" t="s">
        <v>21</v>
      </c>
      <c r="B1445">
        <v>2.976</v>
      </c>
    </row>
    <row r="1446" spans="1:2" x14ac:dyDescent="0.25">
      <c r="A1446" s="131" t="s">
        <v>22</v>
      </c>
      <c r="B1446">
        <v>2.88</v>
      </c>
    </row>
    <row r="1447" spans="1:2" x14ac:dyDescent="0.25">
      <c r="A1447" s="131" t="s">
        <v>23</v>
      </c>
      <c r="B1447">
        <v>2.976</v>
      </c>
    </row>
    <row r="1448" spans="1:2" x14ac:dyDescent="0.25">
      <c r="A1448" s="131" t="s">
        <v>24</v>
      </c>
      <c r="B1448">
        <v>2.976</v>
      </c>
    </row>
    <row r="1449" spans="1:2" x14ac:dyDescent="0.25">
      <c r="A1449" s="131" t="s">
        <v>25</v>
      </c>
      <c r="B1449">
        <v>1.8900000000000001</v>
      </c>
    </row>
    <row r="1450" spans="1:2" x14ac:dyDescent="0.25">
      <c r="A1450" s="131" t="s">
        <v>26</v>
      </c>
      <c r="B1450">
        <v>2.976</v>
      </c>
    </row>
    <row r="1451" spans="1:2" x14ac:dyDescent="0.25">
      <c r="A1451" s="131" t="s">
        <v>27</v>
      </c>
      <c r="B1451">
        <v>2.88</v>
      </c>
    </row>
    <row r="1452" spans="1:2" x14ac:dyDescent="0.25">
      <c r="A1452" s="131" t="s">
        <v>28</v>
      </c>
      <c r="B1452">
        <v>2.976</v>
      </c>
    </row>
    <row r="1453" spans="1:2" x14ac:dyDescent="0.25">
      <c r="A1453" s="131" t="s">
        <v>67</v>
      </c>
      <c r="B1453">
        <v>0.99</v>
      </c>
    </row>
    <row r="1454" spans="1:2" x14ac:dyDescent="0.25">
      <c r="A1454" s="132">
        <v>46192</v>
      </c>
      <c r="B1454">
        <v>0.99</v>
      </c>
    </row>
    <row r="1455" spans="1:2" x14ac:dyDescent="0.25">
      <c r="A1455" s="130" t="s">
        <v>326</v>
      </c>
      <c r="B1455">
        <v>5.7458799999999997</v>
      </c>
    </row>
    <row r="1456" spans="1:2" x14ac:dyDescent="0.25">
      <c r="A1456" s="129" t="s">
        <v>541</v>
      </c>
      <c r="B1456">
        <v>5.7458799999999997</v>
      </c>
    </row>
    <row r="1457" spans="1:2" x14ac:dyDescent="0.25">
      <c r="A1457" s="131" t="s">
        <v>37</v>
      </c>
      <c r="B1457">
        <v>1.22397</v>
      </c>
    </row>
    <row r="1458" spans="1:2" x14ac:dyDescent="0.25">
      <c r="A1458" s="132">
        <v>46106</v>
      </c>
      <c r="B1458">
        <v>1.22397</v>
      </c>
    </row>
    <row r="1459" spans="1:2" x14ac:dyDescent="0.25">
      <c r="A1459" s="131" t="s">
        <v>35</v>
      </c>
      <c r="B1459">
        <v>1.22397</v>
      </c>
    </row>
    <row r="1460" spans="1:2" x14ac:dyDescent="0.25">
      <c r="A1460" s="132">
        <v>46039</v>
      </c>
      <c r="B1460">
        <v>1.22397</v>
      </c>
    </row>
    <row r="1461" spans="1:2" x14ac:dyDescent="0.25">
      <c r="A1461" s="131" t="s">
        <v>38</v>
      </c>
      <c r="B1461">
        <v>1.22397</v>
      </c>
    </row>
    <row r="1462" spans="1:2" x14ac:dyDescent="0.25">
      <c r="A1462" s="132">
        <v>46198</v>
      </c>
      <c r="B1462">
        <v>1.22397</v>
      </c>
    </row>
    <row r="1463" spans="1:2" x14ac:dyDescent="0.25">
      <c r="A1463" s="131" t="s">
        <v>30</v>
      </c>
      <c r="B1463">
        <v>0.85</v>
      </c>
    </row>
    <row r="1464" spans="1:2" x14ac:dyDescent="0.25">
      <c r="A1464" s="132">
        <v>46283</v>
      </c>
      <c r="B1464">
        <v>0.85</v>
      </c>
    </row>
    <row r="1465" spans="1:2" x14ac:dyDescent="0.25">
      <c r="A1465" s="131" t="s">
        <v>39</v>
      </c>
      <c r="B1465">
        <v>1.22397</v>
      </c>
    </row>
    <row r="1466" spans="1:2" x14ac:dyDescent="0.25">
      <c r="A1466" s="132">
        <v>46290</v>
      </c>
      <c r="B1466">
        <v>1.22397</v>
      </c>
    </row>
    <row r="1467" spans="1:2" x14ac:dyDescent="0.25">
      <c r="A1467" s="130" t="s">
        <v>328</v>
      </c>
      <c r="B1467">
        <v>1.33832</v>
      </c>
    </row>
    <row r="1468" spans="1:2" x14ac:dyDescent="0.25">
      <c r="A1468" s="129" t="s">
        <v>541</v>
      </c>
      <c r="B1468">
        <v>1.33832</v>
      </c>
    </row>
    <row r="1469" spans="1:2" x14ac:dyDescent="0.25">
      <c r="A1469" s="131" t="s">
        <v>37</v>
      </c>
      <c r="B1469">
        <v>0.33457999999999999</v>
      </c>
    </row>
    <row r="1470" spans="1:2" x14ac:dyDescent="0.25">
      <c r="A1470" s="132">
        <v>46106</v>
      </c>
      <c r="B1470">
        <v>0.33457999999999999</v>
      </c>
    </row>
    <row r="1471" spans="1:2" x14ac:dyDescent="0.25">
      <c r="A1471" s="131" t="s">
        <v>35</v>
      </c>
      <c r="B1471">
        <v>0.33457999999999999</v>
      </c>
    </row>
    <row r="1472" spans="1:2" x14ac:dyDescent="0.25">
      <c r="A1472" s="132">
        <v>46039</v>
      </c>
      <c r="B1472">
        <v>0.33457999999999999</v>
      </c>
    </row>
    <row r="1473" spans="1:2" x14ac:dyDescent="0.25">
      <c r="A1473" s="131" t="s">
        <v>38</v>
      </c>
      <c r="B1473">
        <v>0.33457999999999999</v>
      </c>
    </row>
    <row r="1474" spans="1:2" x14ac:dyDescent="0.25">
      <c r="A1474" s="132">
        <v>46198</v>
      </c>
      <c r="B1474">
        <v>0.33457999999999999</v>
      </c>
    </row>
    <row r="1475" spans="1:2" x14ac:dyDescent="0.25">
      <c r="A1475" s="131" t="s">
        <v>39</v>
      </c>
      <c r="B1475">
        <v>0.33457999999999999</v>
      </c>
    </row>
    <row r="1476" spans="1:2" x14ac:dyDescent="0.25">
      <c r="A1476" s="132">
        <v>46290</v>
      </c>
      <c r="B1476">
        <v>0.33457999999999999</v>
      </c>
    </row>
    <row r="1477" spans="1:2" x14ac:dyDescent="0.25">
      <c r="A1477" s="130" t="s">
        <v>330</v>
      </c>
      <c r="B1477">
        <v>12</v>
      </c>
    </row>
    <row r="1478" spans="1:2" x14ac:dyDescent="0.25">
      <c r="A1478" s="129" t="s">
        <v>541</v>
      </c>
      <c r="B1478">
        <v>12</v>
      </c>
    </row>
    <row r="1479" spans="1:2" x14ac:dyDescent="0.25">
      <c r="A1479" s="131" t="s">
        <v>16</v>
      </c>
      <c r="B1479">
        <v>1</v>
      </c>
    </row>
    <row r="1480" spans="1:2" x14ac:dyDescent="0.25">
      <c r="A1480" s="131" t="s">
        <v>18</v>
      </c>
      <c r="B1480">
        <v>1</v>
      </c>
    </row>
    <row r="1481" spans="1:2" x14ac:dyDescent="0.25">
      <c r="A1481" s="131" t="s">
        <v>19</v>
      </c>
      <c r="B1481">
        <v>1</v>
      </c>
    </row>
    <row r="1482" spans="1:2" x14ac:dyDescent="0.25">
      <c r="A1482" s="131" t="s">
        <v>20</v>
      </c>
      <c r="B1482">
        <v>1</v>
      </c>
    </row>
    <row r="1483" spans="1:2" x14ac:dyDescent="0.25">
      <c r="A1483" s="131" t="s">
        <v>21</v>
      </c>
      <c r="B1483">
        <v>1</v>
      </c>
    </row>
    <row r="1484" spans="1:2" x14ac:dyDescent="0.25">
      <c r="A1484" s="131" t="s">
        <v>22</v>
      </c>
      <c r="B1484">
        <v>1</v>
      </c>
    </row>
    <row r="1485" spans="1:2" x14ac:dyDescent="0.25">
      <c r="A1485" s="131" t="s">
        <v>23</v>
      </c>
      <c r="B1485">
        <v>1</v>
      </c>
    </row>
    <row r="1486" spans="1:2" x14ac:dyDescent="0.25">
      <c r="A1486" s="131" t="s">
        <v>24</v>
      </c>
      <c r="B1486">
        <v>1</v>
      </c>
    </row>
    <row r="1487" spans="1:2" x14ac:dyDescent="0.25">
      <c r="A1487" s="131" t="s">
        <v>25</v>
      </c>
      <c r="B1487">
        <v>1</v>
      </c>
    </row>
    <row r="1488" spans="1:2" x14ac:dyDescent="0.25">
      <c r="A1488" s="131" t="s">
        <v>26</v>
      </c>
      <c r="B1488">
        <v>1</v>
      </c>
    </row>
    <row r="1489" spans="1:2" x14ac:dyDescent="0.25">
      <c r="A1489" s="131" t="s">
        <v>27</v>
      </c>
      <c r="B1489">
        <v>1</v>
      </c>
    </row>
    <row r="1490" spans="1:2" x14ac:dyDescent="0.25">
      <c r="A1490" s="131" t="s">
        <v>28</v>
      </c>
      <c r="B1490">
        <v>1</v>
      </c>
    </row>
    <row r="1491" spans="1:2" x14ac:dyDescent="0.25">
      <c r="A1491" s="130" t="s">
        <v>332</v>
      </c>
      <c r="B1491">
        <v>12</v>
      </c>
    </row>
    <row r="1492" spans="1:2" x14ac:dyDescent="0.25">
      <c r="A1492" s="129" t="s">
        <v>541</v>
      </c>
      <c r="B1492">
        <v>12</v>
      </c>
    </row>
    <row r="1493" spans="1:2" x14ac:dyDescent="0.25">
      <c r="A1493" s="131" t="s">
        <v>16</v>
      </c>
      <c r="B1493">
        <v>1</v>
      </c>
    </row>
    <row r="1494" spans="1:2" x14ac:dyDescent="0.25">
      <c r="A1494" s="131" t="s">
        <v>18</v>
      </c>
      <c r="B1494">
        <v>1</v>
      </c>
    </row>
    <row r="1495" spans="1:2" x14ac:dyDescent="0.25">
      <c r="A1495" s="131" t="s">
        <v>19</v>
      </c>
      <c r="B1495">
        <v>1</v>
      </c>
    </row>
    <row r="1496" spans="1:2" x14ac:dyDescent="0.25">
      <c r="A1496" s="131" t="s">
        <v>20</v>
      </c>
      <c r="B1496">
        <v>1</v>
      </c>
    </row>
    <row r="1497" spans="1:2" x14ac:dyDescent="0.25">
      <c r="A1497" s="131" t="s">
        <v>21</v>
      </c>
      <c r="B1497">
        <v>1</v>
      </c>
    </row>
    <row r="1498" spans="1:2" x14ac:dyDescent="0.25">
      <c r="A1498" s="131" t="s">
        <v>22</v>
      </c>
      <c r="B1498">
        <v>1</v>
      </c>
    </row>
    <row r="1499" spans="1:2" x14ac:dyDescent="0.25">
      <c r="A1499" s="131" t="s">
        <v>23</v>
      </c>
      <c r="B1499">
        <v>1</v>
      </c>
    </row>
    <row r="1500" spans="1:2" x14ac:dyDescent="0.25">
      <c r="A1500" s="131" t="s">
        <v>24</v>
      </c>
      <c r="B1500">
        <v>1</v>
      </c>
    </row>
    <row r="1501" spans="1:2" x14ac:dyDescent="0.25">
      <c r="A1501" s="131" t="s">
        <v>25</v>
      </c>
      <c r="B1501">
        <v>1</v>
      </c>
    </row>
    <row r="1502" spans="1:2" x14ac:dyDescent="0.25">
      <c r="A1502" s="131" t="s">
        <v>26</v>
      </c>
      <c r="B1502">
        <v>1</v>
      </c>
    </row>
    <row r="1503" spans="1:2" x14ac:dyDescent="0.25">
      <c r="A1503" s="131" t="s">
        <v>27</v>
      </c>
      <c r="B1503">
        <v>1</v>
      </c>
    </row>
    <row r="1504" spans="1:2" x14ac:dyDescent="0.25">
      <c r="A1504" s="131" t="s">
        <v>28</v>
      </c>
      <c r="B1504">
        <v>1</v>
      </c>
    </row>
    <row r="1505" spans="1:2" x14ac:dyDescent="0.25">
      <c r="A1505" s="130" t="s">
        <v>333</v>
      </c>
      <c r="B1505">
        <v>13</v>
      </c>
    </row>
    <row r="1506" spans="1:2" x14ac:dyDescent="0.25">
      <c r="A1506" s="129" t="s">
        <v>543</v>
      </c>
      <c r="B1506">
        <v>1</v>
      </c>
    </row>
    <row r="1507" spans="1:2" x14ac:dyDescent="0.25">
      <c r="A1507" s="129" t="s">
        <v>541</v>
      </c>
      <c r="B1507">
        <v>12</v>
      </c>
    </row>
    <row r="1508" spans="1:2" x14ac:dyDescent="0.25">
      <c r="A1508" s="131" t="s">
        <v>18</v>
      </c>
      <c r="B1508">
        <v>1</v>
      </c>
    </row>
    <row r="1509" spans="1:2" x14ac:dyDescent="0.25">
      <c r="A1509" s="131" t="s">
        <v>19</v>
      </c>
      <c r="B1509">
        <v>1</v>
      </c>
    </row>
    <row r="1510" spans="1:2" x14ac:dyDescent="0.25">
      <c r="A1510" s="131" t="s">
        <v>20</v>
      </c>
      <c r="B1510">
        <v>1</v>
      </c>
    </row>
    <row r="1511" spans="1:2" x14ac:dyDescent="0.25">
      <c r="A1511" s="131" t="s">
        <v>21</v>
      </c>
      <c r="B1511">
        <v>1</v>
      </c>
    </row>
    <row r="1512" spans="1:2" x14ac:dyDescent="0.25">
      <c r="A1512" s="131" t="s">
        <v>22</v>
      </c>
      <c r="B1512">
        <v>1</v>
      </c>
    </row>
    <row r="1513" spans="1:2" x14ac:dyDescent="0.25">
      <c r="A1513" s="131" t="s">
        <v>23</v>
      </c>
      <c r="B1513">
        <v>1</v>
      </c>
    </row>
    <row r="1514" spans="1:2" x14ac:dyDescent="0.25">
      <c r="A1514" s="131" t="s">
        <v>24</v>
      </c>
      <c r="B1514">
        <v>1</v>
      </c>
    </row>
    <row r="1515" spans="1:2" x14ac:dyDescent="0.25">
      <c r="A1515" s="131" t="s">
        <v>25</v>
      </c>
      <c r="B1515">
        <v>1</v>
      </c>
    </row>
    <row r="1516" spans="1:2" x14ac:dyDescent="0.25">
      <c r="A1516" s="131" t="s">
        <v>26</v>
      </c>
      <c r="B1516">
        <v>1</v>
      </c>
    </row>
    <row r="1517" spans="1:2" x14ac:dyDescent="0.25">
      <c r="A1517" s="131" t="s">
        <v>27</v>
      </c>
      <c r="B1517">
        <v>1</v>
      </c>
    </row>
    <row r="1518" spans="1:2" x14ac:dyDescent="0.25">
      <c r="A1518" s="131" t="s">
        <v>28</v>
      </c>
      <c r="B1518">
        <v>1</v>
      </c>
    </row>
    <row r="1519" spans="1:2" x14ac:dyDescent="0.25">
      <c r="A1519" s="131" t="s">
        <v>30</v>
      </c>
      <c r="B1519">
        <v>1</v>
      </c>
    </row>
    <row r="1520" spans="1:2" x14ac:dyDescent="0.25">
      <c r="A1520" s="132">
        <v>46255</v>
      </c>
      <c r="B1520">
        <v>1</v>
      </c>
    </row>
    <row r="1521" spans="1:2" x14ac:dyDescent="0.25">
      <c r="A1521" s="130" t="s">
        <v>335</v>
      </c>
      <c r="B1521">
        <v>17.277000000000001</v>
      </c>
    </row>
    <row r="1522" spans="1:2" x14ac:dyDescent="0.25">
      <c r="A1522" s="129" t="s">
        <v>543</v>
      </c>
      <c r="B1522">
        <v>1.4397500000000001</v>
      </c>
    </row>
    <row r="1523" spans="1:2" x14ac:dyDescent="0.25">
      <c r="A1523" s="129" t="s">
        <v>541</v>
      </c>
      <c r="B1523">
        <v>15.837250000000001</v>
      </c>
    </row>
    <row r="1524" spans="1:2" x14ac:dyDescent="0.25">
      <c r="A1524" s="131" t="s">
        <v>18</v>
      </c>
      <c r="B1524">
        <v>1.4397500000000001</v>
      </c>
    </row>
    <row r="1525" spans="1:2" x14ac:dyDescent="0.25">
      <c r="A1525" s="131" t="s">
        <v>19</v>
      </c>
      <c r="B1525">
        <v>1.4397500000000001</v>
      </c>
    </row>
    <row r="1526" spans="1:2" x14ac:dyDescent="0.25">
      <c r="A1526" s="131" t="s">
        <v>20</v>
      </c>
      <c r="B1526">
        <v>1.4397500000000001</v>
      </c>
    </row>
    <row r="1527" spans="1:2" x14ac:dyDescent="0.25">
      <c r="A1527" s="131" t="s">
        <v>21</v>
      </c>
      <c r="B1527">
        <v>1.4397500000000001</v>
      </c>
    </row>
    <row r="1528" spans="1:2" x14ac:dyDescent="0.25">
      <c r="A1528" s="131" t="s">
        <v>22</v>
      </c>
      <c r="B1528">
        <v>1.4397500000000001</v>
      </c>
    </row>
    <row r="1529" spans="1:2" x14ac:dyDescent="0.25">
      <c r="A1529" s="131" t="s">
        <v>23</v>
      </c>
      <c r="B1529">
        <v>1.4397500000000001</v>
      </c>
    </row>
    <row r="1530" spans="1:2" x14ac:dyDescent="0.25">
      <c r="A1530" s="131" t="s">
        <v>24</v>
      </c>
      <c r="B1530">
        <v>1.4397500000000001</v>
      </c>
    </row>
    <row r="1531" spans="1:2" x14ac:dyDescent="0.25">
      <c r="A1531" s="131" t="s">
        <v>25</v>
      </c>
      <c r="B1531">
        <v>1.4397500000000001</v>
      </c>
    </row>
    <row r="1532" spans="1:2" x14ac:dyDescent="0.25">
      <c r="A1532" s="131" t="s">
        <v>26</v>
      </c>
      <c r="B1532">
        <v>1.4397500000000001</v>
      </c>
    </row>
    <row r="1533" spans="1:2" x14ac:dyDescent="0.25">
      <c r="A1533" s="131" t="s">
        <v>27</v>
      </c>
      <c r="B1533">
        <v>1.4397500000000001</v>
      </c>
    </row>
    <row r="1534" spans="1:2" x14ac:dyDescent="0.25">
      <c r="A1534" s="131" t="s">
        <v>28</v>
      </c>
      <c r="B1534">
        <v>1.4397500000000001</v>
      </c>
    </row>
    <row r="1535" spans="1:2" x14ac:dyDescent="0.25">
      <c r="A1535" s="130" t="s">
        <v>337</v>
      </c>
      <c r="B1535">
        <v>4</v>
      </c>
    </row>
    <row r="1536" spans="1:2" x14ac:dyDescent="0.25">
      <c r="A1536" s="129" t="s">
        <v>541</v>
      </c>
      <c r="B1536">
        <v>4</v>
      </c>
    </row>
    <row r="1537" spans="1:2" x14ac:dyDescent="0.25">
      <c r="A1537" s="131" t="s">
        <v>37</v>
      </c>
      <c r="B1537">
        <v>1</v>
      </c>
    </row>
    <row r="1538" spans="1:2" x14ac:dyDescent="0.25">
      <c r="A1538" s="132">
        <v>46106</v>
      </c>
      <c r="B1538">
        <v>1</v>
      </c>
    </row>
    <row r="1539" spans="1:2" x14ac:dyDescent="0.25">
      <c r="A1539" s="131" t="s">
        <v>35</v>
      </c>
      <c r="B1539">
        <v>1</v>
      </c>
    </row>
    <row r="1540" spans="1:2" x14ac:dyDescent="0.25">
      <c r="A1540" s="132">
        <v>46049</v>
      </c>
      <c r="B1540">
        <v>1</v>
      </c>
    </row>
    <row r="1541" spans="1:2" x14ac:dyDescent="0.25">
      <c r="A1541" s="131" t="s">
        <v>38</v>
      </c>
      <c r="B1541">
        <v>1</v>
      </c>
    </row>
    <row r="1542" spans="1:2" x14ac:dyDescent="0.25">
      <c r="A1542" s="132">
        <v>46198</v>
      </c>
      <c r="B1542">
        <v>1</v>
      </c>
    </row>
    <row r="1543" spans="1:2" x14ac:dyDescent="0.25">
      <c r="A1543" s="131" t="s">
        <v>39</v>
      </c>
      <c r="B1543">
        <v>1</v>
      </c>
    </row>
    <row r="1544" spans="1:2" x14ac:dyDescent="0.25">
      <c r="A1544" s="132">
        <v>46291</v>
      </c>
      <c r="B1544">
        <v>1</v>
      </c>
    </row>
    <row r="1545" spans="1:2" x14ac:dyDescent="0.25">
      <c r="A1545" s="130" t="s">
        <v>338</v>
      </c>
      <c r="B1545">
        <v>9.9667099999999973</v>
      </c>
    </row>
    <row r="1546" spans="1:2" x14ac:dyDescent="0.25">
      <c r="A1546" s="129" t="s">
        <v>543</v>
      </c>
      <c r="B1546">
        <v>2.3000099999999999</v>
      </c>
    </row>
    <row r="1547" spans="1:2" x14ac:dyDescent="0.25">
      <c r="A1547" s="129" t="s">
        <v>541</v>
      </c>
      <c r="B1547">
        <v>7.6666999999999987</v>
      </c>
    </row>
    <row r="1548" spans="1:2" x14ac:dyDescent="0.25">
      <c r="A1548" s="131" t="s">
        <v>19</v>
      </c>
      <c r="B1548">
        <v>0.76666999999999996</v>
      </c>
    </row>
    <row r="1549" spans="1:2" x14ac:dyDescent="0.25">
      <c r="A1549" s="131" t="s">
        <v>20</v>
      </c>
      <c r="B1549">
        <v>0.76666999999999996</v>
      </c>
    </row>
    <row r="1550" spans="1:2" x14ac:dyDescent="0.25">
      <c r="A1550" s="131" t="s">
        <v>21</v>
      </c>
      <c r="B1550">
        <v>0.76666999999999996</v>
      </c>
    </row>
    <row r="1551" spans="1:2" x14ac:dyDescent="0.25">
      <c r="A1551" s="131" t="s">
        <v>22</v>
      </c>
      <c r="B1551">
        <v>0.76666999999999996</v>
      </c>
    </row>
    <row r="1552" spans="1:2" x14ac:dyDescent="0.25">
      <c r="A1552" s="131" t="s">
        <v>23</v>
      </c>
      <c r="B1552">
        <v>0.76666999999999996</v>
      </c>
    </row>
    <row r="1553" spans="1:2" x14ac:dyDescent="0.25">
      <c r="A1553" s="131" t="s">
        <v>24</v>
      </c>
      <c r="B1553">
        <v>0.76666999999999996</v>
      </c>
    </row>
    <row r="1554" spans="1:2" x14ac:dyDescent="0.25">
      <c r="A1554" s="131" t="s">
        <v>25</v>
      </c>
      <c r="B1554">
        <v>0.76666999999999996</v>
      </c>
    </row>
    <row r="1555" spans="1:2" x14ac:dyDescent="0.25">
      <c r="A1555" s="131" t="s">
        <v>26</v>
      </c>
      <c r="B1555">
        <v>0.76666999999999996</v>
      </c>
    </row>
    <row r="1556" spans="1:2" x14ac:dyDescent="0.25">
      <c r="A1556" s="131" t="s">
        <v>27</v>
      </c>
      <c r="B1556">
        <v>0.76666999999999996</v>
      </c>
    </row>
    <row r="1557" spans="1:2" x14ac:dyDescent="0.25">
      <c r="A1557" s="131" t="s">
        <v>28</v>
      </c>
      <c r="B1557">
        <v>0.76666999999999996</v>
      </c>
    </row>
    <row r="1558" spans="1:2" x14ac:dyDescent="0.25">
      <c r="A1558" s="130" t="s">
        <v>340</v>
      </c>
      <c r="B1558">
        <v>3</v>
      </c>
    </row>
    <row r="1559" spans="1:2" x14ac:dyDescent="0.25">
      <c r="A1559" s="129" t="s">
        <v>541</v>
      </c>
      <c r="B1559">
        <v>3</v>
      </c>
    </row>
    <row r="1560" spans="1:2" x14ac:dyDescent="0.25">
      <c r="A1560" s="131" t="s">
        <v>30</v>
      </c>
      <c r="B1560">
        <v>3</v>
      </c>
    </row>
    <row r="1561" spans="1:2" x14ac:dyDescent="0.25">
      <c r="A1561" s="132">
        <v>46120</v>
      </c>
      <c r="B1561">
        <v>1</v>
      </c>
    </row>
    <row r="1562" spans="1:2" x14ac:dyDescent="0.25">
      <c r="A1562" s="132">
        <v>46188</v>
      </c>
      <c r="B1562">
        <v>1</v>
      </c>
    </row>
    <row r="1563" spans="1:2" x14ac:dyDescent="0.25">
      <c r="A1563" s="132">
        <v>46274</v>
      </c>
      <c r="B1563">
        <v>1</v>
      </c>
    </row>
    <row r="1564" spans="1:2" x14ac:dyDescent="0.25">
      <c r="A1564" s="130" t="s">
        <v>341</v>
      </c>
      <c r="B1564">
        <v>3.0743999999999998</v>
      </c>
    </row>
    <row r="1565" spans="1:2" x14ac:dyDescent="0.25">
      <c r="A1565" s="129" t="s">
        <v>541</v>
      </c>
      <c r="B1565">
        <v>3.0743999999999998</v>
      </c>
    </row>
    <row r="1566" spans="1:2" x14ac:dyDescent="0.25">
      <c r="A1566" s="131" t="s">
        <v>27</v>
      </c>
      <c r="B1566">
        <v>0.76859999999999995</v>
      </c>
    </row>
    <row r="1567" spans="1:2" x14ac:dyDescent="0.25">
      <c r="A1567" s="131" t="s">
        <v>28</v>
      </c>
      <c r="B1567">
        <v>0.76859999999999995</v>
      </c>
    </row>
    <row r="1568" spans="1:2" x14ac:dyDescent="0.25">
      <c r="A1568" s="131" t="s">
        <v>342</v>
      </c>
      <c r="B1568">
        <v>0.76859999999999995</v>
      </c>
    </row>
    <row r="1569" spans="1:2" x14ac:dyDescent="0.25">
      <c r="A1569" s="132">
        <v>46265</v>
      </c>
      <c r="B1569">
        <v>0.76859999999999995</v>
      </c>
    </row>
    <row r="1570" spans="1:2" x14ac:dyDescent="0.25">
      <c r="A1570" s="131" t="s">
        <v>45</v>
      </c>
      <c r="B1570">
        <v>0.76859999999999995</v>
      </c>
    </row>
    <row r="1571" spans="1:2" x14ac:dyDescent="0.25">
      <c r="A1571" s="132">
        <v>46295</v>
      </c>
      <c r="B1571">
        <v>0.76859999999999995</v>
      </c>
    </row>
    <row r="1572" spans="1:2" x14ac:dyDescent="0.25">
      <c r="A1572" s="130" t="s">
        <v>344</v>
      </c>
      <c r="B1572">
        <v>0.91080000000000005</v>
      </c>
    </row>
    <row r="1573" spans="1:2" x14ac:dyDescent="0.25">
      <c r="A1573" s="129" t="s">
        <v>541</v>
      </c>
      <c r="B1573">
        <v>0.91080000000000005</v>
      </c>
    </row>
    <row r="1574" spans="1:2" x14ac:dyDescent="0.25">
      <c r="A1574" s="131" t="s">
        <v>30</v>
      </c>
      <c r="B1574">
        <v>0.91080000000000005</v>
      </c>
    </row>
    <row r="1575" spans="1:2" x14ac:dyDescent="0.25">
      <c r="A1575" s="132">
        <v>46254</v>
      </c>
      <c r="B1575">
        <v>0.91080000000000005</v>
      </c>
    </row>
    <row r="1576" spans="1:2" x14ac:dyDescent="0.25">
      <c r="A1576" s="130" t="s">
        <v>346</v>
      </c>
      <c r="B1576">
        <v>4.3322400000000005</v>
      </c>
    </row>
    <row r="1577" spans="1:2" x14ac:dyDescent="0.25">
      <c r="A1577" s="129" t="s">
        <v>543</v>
      </c>
      <c r="B1577">
        <v>0.85167000000000004</v>
      </c>
    </row>
    <row r="1578" spans="1:2" x14ac:dyDescent="0.25">
      <c r="A1578" s="129" t="s">
        <v>541</v>
      </c>
      <c r="B1578">
        <v>3.4805700000000002</v>
      </c>
    </row>
    <row r="1579" spans="1:2" x14ac:dyDescent="0.25">
      <c r="A1579" s="131" t="s">
        <v>37</v>
      </c>
      <c r="B1579">
        <v>0.85167000000000004</v>
      </c>
    </row>
    <row r="1580" spans="1:2" x14ac:dyDescent="0.25">
      <c r="A1580" s="132">
        <v>46106</v>
      </c>
      <c r="B1580">
        <v>0.85167000000000004</v>
      </c>
    </row>
    <row r="1581" spans="1:2" x14ac:dyDescent="0.25">
      <c r="A1581" s="131" t="s">
        <v>38</v>
      </c>
      <c r="B1581">
        <v>0.85167000000000004</v>
      </c>
    </row>
    <row r="1582" spans="1:2" x14ac:dyDescent="0.25">
      <c r="A1582" s="132">
        <v>46196</v>
      </c>
      <c r="B1582">
        <v>0.85167000000000004</v>
      </c>
    </row>
    <row r="1583" spans="1:2" x14ac:dyDescent="0.25">
      <c r="A1583" s="131" t="s">
        <v>30</v>
      </c>
      <c r="B1583">
        <v>0.92556000000000005</v>
      </c>
    </row>
    <row r="1584" spans="1:2" x14ac:dyDescent="0.25">
      <c r="A1584" s="132">
        <v>46244</v>
      </c>
      <c r="B1584">
        <v>0.92556000000000005</v>
      </c>
    </row>
    <row r="1585" spans="1:2" x14ac:dyDescent="0.25">
      <c r="A1585" s="131" t="s">
        <v>39</v>
      </c>
      <c r="B1585">
        <v>0.85167000000000004</v>
      </c>
    </row>
    <row r="1586" spans="1:2" x14ac:dyDescent="0.25">
      <c r="A1586" s="132">
        <v>46287</v>
      </c>
      <c r="B1586">
        <v>0.85167000000000004</v>
      </c>
    </row>
    <row r="1587" spans="1:2" x14ac:dyDescent="0.25">
      <c r="A1587" s="130" t="s">
        <v>348</v>
      </c>
      <c r="B1587">
        <v>8.9356800000000014</v>
      </c>
    </row>
    <row r="1588" spans="1:2" x14ac:dyDescent="0.25">
      <c r="A1588" s="129" t="s">
        <v>541</v>
      </c>
      <c r="B1588">
        <v>8.9356800000000014</v>
      </c>
    </row>
    <row r="1589" spans="1:2" x14ac:dyDescent="0.25">
      <c r="A1589" s="131" t="s">
        <v>16</v>
      </c>
      <c r="B1589">
        <v>0.74463999999999997</v>
      </c>
    </row>
    <row r="1590" spans="1:2" x14ac:dyDescent="0.25">
      <c r="A1590" s="131" t="s">
        <v>18</v>
      </c>
      <c r="B1590">
        <v>0.74463999999999997</v>
      </c>
    </row>
    <row r="1591" spans="1:2" x14ac:dyDescent="0.25">
      <c r="A1591" s="131" t="s">
        <v>19</v>
      </c>
      <c r="B1591">
        <v>0.74463999999999997</v>
      </c>
    </row>
    <row r="1592" spans="1:2" x14ac:dyDescent="0.25">
      <c r="A1592" s="131" t="s">
        <v>20</v>
      </c>
      <c r="B1592">
        <v>0.74463999999999997</v>
      </c>
    </row>
    <row r="1593" spans="1:2" x14ac:dyDescent="0.25">
      <c r="A1593" s="131" t="s">
        <v>21</v>
      </c>
      <c r="B1593">
        <v>0.74463999999999997</v>
      </c>
    </row>
    <row r="1594" spans="1:2" x14ac:dyDescent="0.25">
      <c r="A1594" s="131" t="s">
        <v>22</v>
      </c>
      <c r="B1594">
        <v>0.74463999999999997</v>
      </c>
    </row>
    <row r="1595" spans="1:2" x14ac:dyDescent="0.25">
      <c r="A1595" s="131" t="s">
        <v>23</v>
      </c>
      <c r="B1595">
        <v>0.74463999999999997</v>
      </c>
    </row>
    <row r="1596" spans="1:2" x14ac:dyDescent="0.25">
      <c r="A1596" s="131" t="s">
        <v>24</v>
      </c>
      <c r="B1596">
        <v>0.74463999999999997</v>
      </c>
    </row>
    <row r="1597" spans="1:2" x14ac:dyDescent="0.25">
      <c r="A1597" s="131" t="s">
        <v>25</v>
      </c>
      <c r="B1597">
        <v>0.74463999999999997</v>
      </c>
    </row>
    <row r="1598" spans="1:2" x14ac:dyDescent="0.25">
      <c r="A1598" s="131" t="s">
        <v>26</v>
      </c>
      <c r="B1598">
        <v>0.74463999999999997</v>
      </c>
    </row>
    <row r="1599" spans="1:2" x14ac:dyDescent="0.25">
      <c r="A1599" s="131" t="s">
        <v>27</v>
      </c>
      <c r="B1599">
        <v>0.74463999999999997</v>
      </c>
    </row>
    <row r="1600" spans="1:2" x14ac:dyDescent="0.25">
      <c r="A1600" s="131" t="s">
        <v>28</v>
      </c>
      <c r="B1600">
        <v>0.74463999999999997</v>
      </c>
    </row>
    <row r="1601" spans="1:2" x14ac:dyDescent="0.25">
      <c r="A1601" s="130" t="s">
        <v>350</v>
      </c>
      <c r="B1601">
        <v>8.1778959999999987</v>
      </c>
    </row>
    <row r="1602" spans="1:2" x14ac:dyDescent="0.25">
      <c r="A1602" s="129" t="s">
        <v>541</v>
      </c>
      <c r="B1602">
        <v>8.1778959999999987</v>
      </c>
    </row>
    <row r="1603" spans="1:2" x14ac:dyDescent="0.25">
      <c r="A1603" s="131" t="s">
        <v>121</v>
      </c>
      <c r="B1603">
        <v>1.1166259999999999</v>
      </c>
    </row>
    <row r="1604" spans="1:2" x14ac:dyDescent="0.25">
      <c r="A1604" s="132">
        <v>46052</v>
      </c>
      <c r="B1604">
        <v>1.1166259999999999</v>
      </c>
    </row>
    <row r="1605" spans="1:2" x14ac:dyDescent="0.25">
      <c r="A1605" s="131" t="s">
        <v>44</v>
      </c>
      <c r="B1605">
        <v>1.1166259999999999</v>
      </c>
    </row>
    <row r="1606" spans="1:2" x14ac:dyDescent="0.25">
      <c r="A1606" s="132">
        <v>46196</v>
      </c>
      <c r="B1606">
        <v>1.1166259999999999</v>
      </c>
    </row>
    <row r="1607" spans="1:2" x14ac:dyDescent="0.25">
      <c r="A1607" s="131" t="s">
        <v>122</v>
      </c>
      <c r="B1607">
        <v>1.1166259999999999</v>
      </c>
    </row>
    <row r="1608" spans="1:2" x14ac:dyDescent="0.25">
      <c r="A1608" s="132">
        <v>46077</v>
      </c>
      <c r="B1608">
        <v>1.1166259999999999</v>
      </c>
    </row>
    <row r="1609" spans="1:2" x14ac:dyDescent="0.25">
      <c r="A1609" s="131" t="s">
        <v>43</v>
      </c>
      <c r="B1609">
        <v>1.1166259999999999</v>
      </c>
    </row>
    <row r="1610" spans="1:2" x14ac:dyDescent="0.25">
      <c r="A1610" s="132">
        <v>46140</v>
      </c>
      <c r="B1610">
        <v>1.1166259999999999</v>
      </c>
    </row>
    <row r="1611" spans="1:2" x14ac:dyDescent="0.25">
      <c r="A1611" s="131" t="s">
        <v>46</v>
      </c>
      <c r="B1611">
        <v>1.1166259999999999</v>
      </c>
    </row>
    <row r="1612" spans="1:2" x14ac:dyDescent="0.25">
      <c r="A1612" s="132">
        <v>46322</v>
      </c>
      <c r="B1612">
        <v>1.1166259999999999</v>
      </c>
    </row>
    <row r="1613" spans="1:2" x14ac:dyDescent="0.25">
      <c r="A1613" s="131" t="s">
        <v>30</v>
      </c>
      <c r="B1613">
        <v>1.47814</v>
      </c>
    </row>
    <row r="1614" spans="1:2" x14ac:dyDescent="0.25">
      <c r="A1614" s="132">
        <v>46213</v>
      </c>
      <c r="B1614">
        <v>1.47814</v>
      </c>
    </row>
    <row r="1615" spans="1:2" x14ac:dyDescent="0.25">
      <c r="A1615" s="131" t="s">
        <v>45</v>
      </c>
      <c r="B1615">
        <v>1.1166259999999999</v>
      </c>
    </row>
    <row r="1616" spans="1:2" x14ac:dyDescent="0.25">
      <c r="A1616" s="132">
        <v>46259</v>
      </c>
      <c r="B1616">
        <v>1.1166259999999999</v>
      </c>
    </row>
    <row r="1617" spans="1:2" x14ac:dyDescent="0.25">
      <c r="A1617" s="130" t="s">
        <v>352</v>
      </c>
      <c r="B1617">
        <v>2</v>
      </c>
    </row>
    <row r="1618" spans="1:2" x14ac:dyDescent="0.25">
      <c r="A1618" s="129" t="s">
        <v>541</v>
      </c>
      <c r="B1618">
        <v>2</v>
      </c>
    </row>
    <row r="1619" spans="1:2" x14ac:dyDescent="0.25">
      <c r="A1619" s="131" t="s">
        <v>30</v>
      </c>
      <c r="B1619">
        <v>2</v>
      </c>
    </row>
    <row r="1620" spans="1:2" x14ac:dyDescent="0.25">
      <c r="A1620" s="132">
        <v>46120</v>
      </c>
      <c r="B1620">
        <v>1</v>
      </c>
    </row>
    <row r="1621" spans="1:2" x14ac:dyDescent="0.25">
      <c r="A1621" s="132">
        <v>46274</v>
      </c>
      <c r="B1621">
        <v>1</v>
      </c>
    </row>
    <row r="1622" spans="1:2" x14ac:dyDescent="0.25">
      <c r="A1622" s="130" t="s">
        <v>353</v>
      </c>
      <c r="B1622">
        <v>5</v>
      </c>
    </row>
    <row r="1623" spans="1:2" x14ac:dyDescent="0.25">
      <c r="A1623" s="129" t="s">
        <v>541</v>
      </c>
      <c r="B1623">
        <v>5</v>
      </c>
    </row>
    <row r="1624" spans="1:2" x14ac:dyDescent="0.25">
      <c r="A1624" s="131" t="s">
        <v>24</v>
      </c>
      <c r="B1624">
        <v>1</v>
      </c>
    </row>
    <row r="1625" spans="1:2" x14ac:dyDescent="0.25">
      <c r="A1625" s="131" t="s">
        <v>25</v>
      </c>
      <c r="B1625">
        <v>1</v>
      </c>
    </row>
    <row r="1626" spans="1:2" x14ac:dyDescent="0.25">
      <c r="A1626" s="131" t="s">
        <v>26</v>
      </c>
      <c r="B1626">
        <v>1</v>
      </c>
    </row>
    <row r="1627" spans="1:2" x14ac:dyDescent="0.25">
      <c r="A1627" s="131" t="s">
        <v>27</v>
      </c>
      <c r="B1627">
        <v>1</v>
      </c>
    </row>
    <row r="1628" spans="1:2" x14ac:dyDescent="0.25">
      <c r="A1628" s="131" t="s">
        <v>28</v>
      </c>
      <c r="B1628">
        <v>1</v>
      </c>
    </row>
    <row r="1629" spans="1:2" x14ac:dyDescent="0.25">
      <c r="A1629" s="130" t="s">
        <v>355</v>
      </c>
      <c r="B1629">
        <v>2.5</v>
      </c>
    </row>
    <row r="1630" spans="1:2" x14ac:dyDescent="0.25">
      <c r="A1630" s="129" t="s">
        <v>541</v>
      </c>
      <c r="B1630">
        <v>2.5</v>
      </c>
    </row>
    <row r="1631" spans="1:2" x14ac:dyDescent="0.25">
      <c r="A1631" s="131" t="s">
        <v>37</v>
      </c>
      <c r="B1631">
        <v>0.5</v>
      </c>
    </row>
    <row r="1632" spans="1:2" x14ac:dyDescent="0.25">
      <c r="A1632" s="132">
        <v>46111</v>
      </c>
      <c r="B1632">
        <v>0.5</v>
      </c>
    </row>
    <row r="1633" spans="1:2" x14ac:dyDescent="0.25">
      <c r="A1633" s="131" t="s">
        <v>35</v>
      </c>
      <c r="B1633">
        <v>0.5</v>
      </c>
    </row>
    <row r="1634" spans="1:2" x14ac:dyDescent="0.25">
      <c r="A1634" s="132">
        <v>46055</v>
      </c>
      <c r="B1634">
        <v>0.5</v>
      </c>
    </row>
    <row r="1635" spans="1:2" x14ac:dyDescent="0.25">
      <c r="A1635" s="131" t="s">
        <v>38</v>
      </c>
      <c r="B1635">
        <v>0.5</v>
      </c>
    </row>
    <row r="1636" spans="1:2" x14ac:dyDescent="0.25">
      <c r="A1636" s="132">
        <v>46197</v>
      </c>
      <c r="B1636">
        <v>0.5</v>
      </c>
    </row>
    <row r="1637" spans="1:2" x14ac:dyDescent="0.25">
      <c r="A1637" s="131" t="s">
        <v>30</v>
      </c>
      <c r="B1637">
        <v>0.5</v>
      </c>
    </row>
    <row r="1638" spans="1:2" x14ac:dyDescent="0.25">
      <c r="A1638" s="132">
        <v>46214</v>
      </c>
      <c r="B1638">
        <v>0.5</v>
      </c>
    </row>
    <row r="1639" spans="1:2" x14ac:dyDescent="0.25">
      <c r="A1639" s="131" t="s">
        <v>39</v>
      </c>
      <c r="B1639">
        <v>0.5</v>
      </c>
    </row>
    <row r="1640" spans="1:2" x14ac:dyDescent="0.25">
      <c r="A1640" s="132">
        <v>46293</v>
      </c>
      <c r="B1640">
        <v>0.5</v>
      </c>
    </row>
    <row r="1641" spans="1:2" x14ac:dyDescent="0.25">
      <c r="A1641" s="130" t="s">
        <v>357</v>
      </c>
      <c r="B1641">
        <v>4</v>
      </c>
    </row>
    <row r="1642" spans="1:2" x14ac:dyDescent="0.25">
      <c r="A1642" s="129" t="s">
        <v>543</v>
      </c>
      <c r="B1642">
        <v>1</v>
      </c>
    </row>
    <row r="1643" spans="1:2" x14ac:dyDescent="0.25">
      <c r="A1643" s="129" t="s">
        <v>541</v>
      </c>
      <c r="B1643">
        <v>3</v>
      </c>
    </row>
    <row r="1644" spans="1:2" x14ac:dyDescent="0.25">
      <c r="A1644" s="131" t="s">
        <v>37</v>
      </c>
      <c r="B1644">
        <v>1</v>
      </c>
    </row>
    <row r="1645" spans="1:2" x14ac:dyDescent="0.25">
      <c r="A1645" s="132">
        <v>46108</v>
      </c>
      <c r="B1645">
        <v>1</v>
      </c>
    </row>
    <row r="1646" spans="1:2" x14ac:dyDescent="0.25">
      <c r="A1646" s="131" t="s">
        <v>38</v>
      </c>
      <c r="B1646">
        <v>1</v>
      </c>
    </row>
    <row r="1647" spans="1:2" x14ac:dyDescent="0.25">
      <c r="A1647" s="132">
        <v>46198</v>
      </c>
      <c r="B1647">
        <v>1</v>
      </c>
    </row>
    <row r="1648" spans="1:2" x14ac:dyDescent="0.25">
      <c r="A1648" s="131" t="s">
        <v>39</v>
      </c>
      <c r="B1648">
        <v>1</v>
      </c>
    </row>
    <row r="1649" spans="1:2" x14ac:dyDescent="0.25">
      <c r="A1649" s="132">
        <v>46288</v>
      </c>
      <c r="B1649">
        <v>1</v>
      </c>
    </row>
    <row r="1650" spans="1:2" x14ac:dyDescent="0.25">
      <c r="A1650" s="130" t="s">
        <v>359</v>
      </c>
      <c r="B1650">
        <v>7.0399999999999983</v>
      </c>
    </row>
    <row r="1651" spans="1:2" x14ac:dyDescent="0.25">
      <c r="A1651" s="129" t="s">
        <v>541</v>
      </c>
      <c r="B1651">
        <v>7.0399999999999983</v>
      </c>
    </row>
    <row r="1652" spans="1:2" x14ac:dyDescent="0.25">
      <c r="A1652" s="131" t="s">
        <v>19</v>
      </c>
      <c r="B1652">
        <v>0.70399999999999996</v>
      </c>
    </row>
    <row r="1653" spans="1:2" x14ac:dyDescent="0.25">
      <c r="A1653" s="131" t="s">
        <v>20</v>
      </c>
      <c r="B1653">
        <v>0.70399999999999996</v>
      </c>
    </row>
    <row r="1654" spans="1:2" x14ac:dyDescent="0.25">
      <c r="A1654" s="131" t="s">
        <v>21</v>
      </c>
      <c r="B1654">
        <v>0.70399999999999996</v>
      </c>
    </row>
    <row r="1655" spans="1:2" x14ac:dyDescent="0.25">
      <c r="A1655" s="131" t="s">
        <v>22</v>
      </c>
      <c r="B1655">
        <v>0.70399999999999996</v>
      </c>
    </row>
    <row r="1656" spans="1:2" x14ac:dyDescent="0.25">
      <c r="A1656" s="131" t="s">
        <v>23</v>
      </c>
      <c r="B1656">
        <v>0.70399999999999996</v>
      </c>
    </row>
    <row r="1657" spans="1:2" x14ac:dyDescent="0.25">
      <c r="A1657" s="131" t="s">
        <v>24</v>
      </c>
      <c r="B1657">
        <v>0.70399999999999996</v>
      </c>
    </row>
    <row r="1658" spans="1:2" x14ac:dyDescent="0.25">
      <c r="A1658" s="131" t="s">
        <v>25</v>
      </c>
      <c r="B1658">
        <v>0.70399999999999996</v>
      </c>
    </row>
    <row r="1659" spans="1:2" x14ac:dyDescent="0.25">
      <c r="A1659" s="131" t="s">
        <v>26</v>
      </c>
      <c r="B1659">
        <v>0.70399999999999996</v>
      </c>
    </row>
    <row r="1660" spans="1:2" x14ac:dyDescent="0.25">
      <c r="A1660" s="131" t="s">
        <v>27</v>
      </c>
      <c r="B1660">
        <v>0.70399999999999996</v>
      </c>
    </row>
    <row r="1661" spans="1:2" x14ac:dyDescent="0.25">
      <c r="A1661" s="131" t="s">
        <v>28</v>
      </c>
      <c r="B1661">
        <v>0.70399999999999996</v>
      </c>
    </row>
    <row r="1662" spans="1:2" x14ac:dyDescent="0.25">
      <c r="A1662" s="130" t="s">
        <v>361</v>
      </c>
      <c r="B1662">
        <v>0.65</v>
      </c>
    </row>
    <row r="1663" spans="1:2" x14ac:dyDescent="0.25">
      <c r="A1663" s="129" t="s">
        <v>541</v>
      </c>
      <c r="B1663">
        <v>0.65</v>
      </c>
    </row>
    <row r="1664" spans="1:2" x14ac:dyDescent="0.25">
      <c r="A1664" s="131" t="s">
        <v>30</v>
      </c>
      <c r="B1664">
        <v>0.65</v>
      </c>
    </row>
    <row r="1665" spans="1:2" x14ac:dyDescent="0.25">
      <c r="A1665" s="132">
        <v>46068</v>
      </c>
      <c r="B1665">
        <v>0.65</v>
      </c>
    </row>
    <row r="1666" spans="1:2" x14ac:dyDescent="0.25">
      <c r="A1666" s="130" t="s">
        <v>362</v>
      </c>
      <c r="B1666">
        <v>2</v>
      </c>
    </row>
    <row r="1667" spans="1:2" x14ac:dyDescent="0.25">
      <c r="A1667" s="129" t="s">
        <v>541</v>
      </c>
      <c r="B1667">
        <v>2</v>
      </c>
    </row>
    <row r="1668" spans="1:2" x14ac:dyDescent="0.25">
      <c r="A1668" s="131" t="s">
        <v>365</v>
      </c>
      <c r="B1668">
        <v>1</v>
      </c>
    </row>
    <row r="1669" spans="1:2" x14ac:dyDescent="0.25">
      <c r="A1669" s="132">
        <v>46186</v>
      </c>
      <c r="B1669">
        <v>1</v>
      </c>
    </row>
    <row r="1670" spans="1:2" x14ac:dyDescent="0.25">
      <c r="A1670" s="131" t="s">
        <v>363</v>
      </c>
      <c r="B1670">
        <v>1</v>
      </c>
    </row>
    <row r="1671" spans="1:2" x14ac:dyDescent="0.25">
      <c r="A1671" s="132">
        <v>46137</v>
      </c>
      <c r="B1671">
        <v>1</v>
      </c>
    </row>
    <row r="1672" spans="1:2" x14ac:dyDescent="0.25">
      <c r="A1672" s="130" t="s">
        <v>366</v>
      </c>
      <c r="B1672">
        <v>2</v>
      </c>
    </row>
    <row r="1673" spans="1:2" x14ac:dyDescent="0.25">
      <c r="A1673" s="129" t="s">
        <v>541</v>
      </c>
      <c r="B1673">
        <v>2</v>
      </c>
    </row>
    <row r="1674" spans="1:2" x14ac:dyDescent="0.25">
      <c r="A1674" s="131" t="s">
        <v>365</v>
      </c>
      <c r="B1674">
        <v>1</v>
      </c>
    </row>
    <row r="1675" spans="1:2" x14ac:dyDescent="0.25">
      <c r="A1675" s="132">
        <v>46186</v>
      </c>
      <c r="B1675">
        <v>1</v>
      </c>
    </row>
    <row r="1676" spans="1:2" x14ac:dyDescent="0.25">
      <c r="A1676" s="131" t="s">
        <v>363</v>
      </c>
      <c r="B1676">
        <v>1</v>
      </c>
    </row>
    <row r="1677" spans="1:2" x14ac:dyDescent="0.25">
      <c r="A1677" s="132">
        <v>46137</v>
      </c>
      <c r="B1677">
        <v>1</v>
      </c>
    </row>
    <row r="1678" spans="1:2" x14ac:dyDescent="0.25">
      <c r="A1678" s="130" t="s">
        <v>368</v>
      </c>
      <c r="B1678">
        <v>1.5</v>
      </c>
    </row>
    <row r="1679" spans="1:2" x14ac:dyDescent="0.25">
      <c r="A1679" s="129" t="s">
        <v>541</v>
      </c>
      <c r="B1679">
        <v>1.5</v>
      </c>
    </row>
    <row r="1680" spans="1:2" x14ac:dyDescent="0.25">
      <c r="A1680" s="131" t="s">
        <v>365</v>
      </c>
      <c r="B1680">
        <v>0.5</v>
      </c>
    </row>
    <row r="1681" spans="1:2" x14ac:dyDescent="0.25">
      <c r="A1681" s="132">
        <v>46186</v>
      </c>
      <c r="B1681">
        <v>0.5</v>
      </c>
    </row>
    <row r="1682" spans="1:2" x14ac:dyDescent="0.25">
      <c r="A1682" s="131" t="s">
        <v>363</v>
      </c>
      <c r="B1682">
        <v>1</v>
      </c>
    </row>
    <row r="1683" spans="1:2" x14ac:dyDescent="0.25">
      <c r="A1683" s="132">
        <v>46137</v>
      </c>
      <c r="B1683">
        <v>1</v>
      </c>
    </row>
    <row r="1684" spans="1:2" x14ac:dyDescent="0.25">
      <c r="A1684" s="130" t="s">
        <v>370</v>
      </c>
      <c r="B1684">
        <v>1.5</v>
      </c>
    </row>
    <row r="1685" spans="1:2" x14ac:dyDescent="0.25">
      <c r="A1685" s="129" t="s">
        <v>541</v>
      </c>
      <c r="B1685">
        <v>1.5</v>
      </c>
    </row>
    <row r="1686" spans="1:2" x14ac:dyDescent="0.25">
      <c r="A1686" s="131" t="s">
        <v>371</v>
      </c>
      <c r="B1686">
        <v>0.5</v>
      </c>
    </row>
    <row r="1687" spans="1:2" x14ac:dyDescent="0.25">
      <c r="A1687" s="132">
        <v>46093</v>
      </c>
      <c r="B1687">
        <v>0.5</v>
      </c>
    </row>
    <row r="1688" spans="1:2" x14ac:dyDescent="0.25">
      <c r="A1688" s="131" t="s">
        <v>363</v>
      </c>
      <c r="B1688">
        <v>1</v>
      </c>
    </row>
    <row r="1689" spans="1:2" x14ac:dyDescent="0.25">
      <c r="A1689" s="132">
        <v>46137</v>
      </c>
      <c r="B1689">
        <v>1</v>
      </c>
    </row>
    <row r="1690" spans="1:2" x14ac:dyDescent="0.25">
      <c r="A1690" s="130" t="s">
        <v>373</v>
      </c>
      <c r="B1690">
        <v>2.5</v>
      </c>
    </row>
    <row r="1691" spans="1:2" x14ac:dyDescent="0.25">
      <c r="A1691" s="129" t="s">
        <v>541</v>
      </c>
      <c r="B1691">
        <v>2.5</v>
      </c>
    </row>
    <row r="1692" spans="1:2" x14ac:dyDescent="0.25">
      <c r="A1692" s="131" t="s">
        <v>374</v>
      </c>
      <c r="B1692">
        <v>0.5</v>
      </c>
    </row>
    <row r="1693" spans="1:2" x14ac:dyDescent="0.25">
      <c r="A1693" s="132">
        <v>46060</v>
      </c>
      <c r="B1693">
        <v>0.5</v>
      </c>
    </row>
    <row r="1694" spans="1:2" x14ac:dyDescent="0.25">
      <c r="A1694" s="131" t="s">
        <v>365</v>
      </c>
      <c r="B1694">
        <v>1</v>
      </c>
    </row>
    <row r="1695" spans="1:2" x14ac:dyDescent="0.25">
      <c r="A1695" s="132">
        <v>46186</v>
      </c>
      <c r="B1695">
        <v>1</v>
      </c>
    </row>
    <row r="1696" spans="1:2" x14ac:dyDescent="0.25">
      <c r="A1696" s="131" t="s">
        <v>371</v>
      </c>
      <c r="B1696">
        <v>0.5</v>
      </c>
    </row>
    <row r="1697" spans="1:2" x14ac:dyDescent="0.25">
      <c r="A1697" s="132">
        <v>46093</v>
      </c>
      <c r="B1697">
        <v>0.5</v>
      </c>
    </row>
    <row r="1698" spans="1:2" x14ac:dyDescent="0.25">
      <c r="A1698" s="131" t="s">
        <v>376</v>
      </c>
      <c r="B1698">
        <v>0.5</v>
      </c>
    </row>
    <row r="1699" spans="1:2" x14ac:dyDescent="0.25">
      <c r="A1699" s="132">
        <v>46133</v>
      </c>
      <c r="B1699">
        <v>0.5</v>
      </c>
    </row>
    <row r="1700" spans="1:2" x14ac:dyDescent="0.25">
      <c r="A1700" s="130" t="s">
        <v>377</v>
      </c>
      <c r="B1700">
        <v>2</v>
      </c>
    </row>
    <row r="1701" spans="1:2" x14ac:dyDescent="0.25">
      <c r="A1701" s="129" t="s">
        <v>541</v>
      </c>
      <c r="B1701">
        <v>2</v>
      </c>
    </row>
    <row r="1702" spans="1:2" x14ac:dyDescent="0.25">
      <c r="A1702" s="131" t="s">
        <v>365</v>
      </c>
      <c r="B1702">
        <v>1</v>
      </c>
    </row>
    <row r="1703" spans="1:2" x14ac:dyDescent="0.25">
      <c r="A1703" s="132">
        <v>46186</v>
      </c>
      <c r="B1703">
        <v>1</v>
      </c>
    </row>
    <row r="1704" spans="1:2" x14ac:dyDescent="0.25">
      <c r="A1704" s="131" t="s">
        <v>363</v>
      </c>
      <c r="B1704">
        <v>1</v>
      </c>
    </row>
    <row r="1705" spans="1:2" x14ac:dyDescent="0.25">
      <c r="A1705" s="132">
        <v>46137</v>
      </c>
      <c r="B1705">
        <v>1</v>
      </c>
    </row>
    <row r="1706" spans="1:2" x14ac:dyDescent="0.25">
      <c r="A1706" s="130" t="s">
        <v>379</v>
      </c>
      <c r="B1706">
        <v>1.5</v>
      </c>
    </row>
    <row r="1707" spans="1:2" x14ac:dyDescent="0.25">
      <c r="A1707" s="129" t="s">
        <v>541</v>
      </c>
      <c r="B1707">
        <v>1.5</v>
      </c>
    </row>
    <row r="1708" spans="1:2" x14ac:dyDescent="0.25">
      <c r="A1708" s="131" t="s">
        <v>374</v>
      </c>
      <c r="B1708">
        <v>0.5</v>
      </c>
    </row>
    <row r="1709" spans="1:2" x14ac:dyDescent="0.25">
      <c r="A1709" s="132">
        <v>46060</v>
      </c>
      <c r="B1709">
        <v>0.5</v>
      </c>
    </row>
    <row r="1710" spans="1:2" x14ac:dyDescent="0.25">
      <c r="A1710" s="131" t="s">
        <v>365</v>
      </c>
      <c r="B1710">
        <v>0.5</v>
      </c>
    </row>
    <row r="1711" spans="1:2" x14ac:dyDescent="0.25">
      <c r="A1711" s="132">
        <v>46186</v>
      </c>
      <c r="B1711">
        <v>0.5</v>
      </c>
    </row>
    <row r="1712" spans="1:2" x14ac:dyDescent="0.25">
      <c r="A1712" s="131" t="s">
        <v>371</v>
      </c>
      <c r="B1712">
        <v>0.5</v>
      </c>
    </row>
    <row r="1713" spans="1:2" x14ac:dyDescent="0.25">
      <c r="A1713" s="132">
        <v>46093</v>
      </c>
      <c r="B1713">
        <v>0.5</v>
      </c>
    </row>
    <row r="1714" spans="1:2" x14ac:dyDescent="0.25">
      <c r="A1714" s="130" t="s">
        <v>381</v>
      </c>
      <c r="B1714">
        <v>1</v>
      </c>
    </row>
    <row r="1715" spans="1:2" x14ac:dyDescent="0.25">
      <c r="A1715" s="129" t="s">
        <v>541</v>
      </c>
      <c r="B1715">
        <v>1</v>
      </c>
    </row>
    <row r="1716" spans="1:2" x14ac:dyDescent="0.25">
      <c r="A1716" s="131" t="s">
        <v>382</v>
      </c>
      <c r="B1716">
        <v>0.5</v>
      </c>
    </row>
    <row r="1717" spans="1:2" x14ac:dyDescent="0.25">
      <c r="A1717" s="132">
        <v>46068</v>
      </c>
      <c r="B1717">
        <v>0.5</v>
      </c>
    </row>
    <row r="1718" spans="1:2" x14ac:dyDescent="0.25">
      <c r="A1718" s="131" t="s">
        <v>371</v>
      </c>
      <c r="B1718">
        <v>0.5</v>
      </c>
    </row>
    <row r="1719" spans="1:2" x14ac:dyDescent="0.25">
      <c r="A1719" s="132">
        <v>46093</v>
      </c>
      <c r="B1719">
        <v>0.5</v>
      </c>
    </row>
    <row r="1720" spans="1:2" x14ac:dyDescent="0.25">
      <c r="A1720" s="130" t="s">
        <v>383</v>
      </c>
      <c r="B1720">
        <v>2</v>
      </c>
    </row>
    <row r="1721" spans="1:2" x14ac:dyDescent="0.25">
      <c r="A1721" s="129" t="s">
        <v>541</v>
      </c>
      <c r="B1721">
        <v>2</v>
      </c>
    </row>
    <row r="1722" spans="1:2" x14ac:dyDescent="0.25">
      <c r="A1722" s="131" t="s">
        <v>374</v>
      </c>
      <c r="B1722">
        <v>0.5</v>
      </c>
    </row>
    <row r="1723" spans="1:2" x14ac:dyDescent="0.25">
      <c r="A1723" s="132">
        <v>46060</v>
      </c>
      <c r="B1723">
        <v>0.5</v>
      </c>
    </row>
    <row r="1724" spans="1:2" x14ac:dyDescent="0.25">
      <c r="A1724" s="131" t="s">
        <v>365</v>
      </c>
      <c r="B1724">
        <v>1</v>
      </c>
    </row>
    <row r="1725" spans="1:2" x14ac:dyDescent="0.25">
      <c r="A1725" s="132">
        <v>46186</v>
      </c>
      <c r="B1725">
        <v>1</v>
      </c>
    </row>
    <row r="1726" spans="1:2" x14ac:dyDescent="0.25">
      <c r="A1726" s="131" t="s">
        <v>371</v>
      </c>
      <c r="B1726">
        <v>0.5</v>
      </c>
    </row>
    <row r="1727" spans="1:2" x14ac:dyDescent="0.25">
      <c r="A1727" s="132">
        <v>46093</v>
      </c>
      <c r="B1727">
        <v>0.5</v>
      </c>
    </row>
    <row r="1728" spans="1:2" x14ac:dyDescent="0.25">
      <c r="A1728" s="130" t="s">
        <v>385</v>
      </c>
      <c r="B1728">
        <v>0.5</v>
      </c>
    </row>
    <row r="1729" spans="1:2" x14ac:dyDescent="0.25">
      <c r="A1729" s="129" t="s">
        <v>541</v>
      </c>
      <c r="B1729">
        <v>0.5</v>
      </c>
    </row>
    <row r="1730" spans="1:2" x14ac:dyDescent="0.25">
      <c r="A1730" s="131" t="s">
        <v>382</v>
      </c>
      <c r="B1730">
        <v>0.5</v>
      </c>
    </row>
    <row r="1731" spans="1:2" x14ac:dyDescent="0.25">
      <c r="A1731" s="132">
        <v>46068</v>
      </c>
      <c r="B1731">
        <v>0.5</v>
      </c>
    </row>
    <row r="1732" spans="1:2" x14ac:dyDescent="0.25">
      <c r="A1732" s="130" t="s">
        <v>387</v>
      </c>
      <c r="B1732">
        <v>9</v>
      </c>
    </row>
    <row r="1733" spans="1:2" x14ac:dyDescent="0.25">
      <c r="A1733" s="129" t="s">
        <v>543</v>
      </c>
      <c r="B1733">
        <v>1</v>
      </c>
    </row>
    <row r="1734" spans="1:2" x14ac:dyDescent="0.25">
      <c r="A1734" s="129" t="s">
        <v>541</v>
      </c>
      <c r="B1734">
        <v>8</v>
      </c>
    </row>
    <row r="1735" spans="1:2" x14ac:dyDescent="0.25">
      <c r="A1735" s="131" t="s">
        <v>30</v>
      </c>
      <c r="B1735">
        <v>8</v>
      </c>
    </row>
    <row r="1736" spans="1:2" x14ac:dyDescent="0.25">
      <c r="A1736" s="132">
        <v>46081</v>
      </c>
      <c r="B1736">
        <v>1</v>
      </c>
    </row>
    <row r="1737" spans="1:2" x14ac:dyDescent="0.25">
      <c r="A1737" s="132">
        <v>46096</v>
      </c>
      <c r="B1737">
        <v>1</v>
      </c>
    </row>
    <row r="1738" spans="1:2" x14ac:dyDescent="0.25">
      <c r="A1738" s="132">
        <v>46112</v>
      </c>
      <c r="B1738">
        <v>1</v>
      </c>
    </row>
    <row r="1739" spans="1:2" x14ac:dyDescent="0.25">
      <c r="A1739" s="132">
        <v>46132</v>
      </c>
      <c r="B1739">
        <v>1</v>
      </c>
    </row>
    <row r="1740" spans="1:2" x14ac:dyDescent="0.25">
      <c r="A1740" s="132">
        <v>46173</v>
      </c>
      <c r="B1740">
        <v>1</v>
      </c>
    </row>
    <row r="1741" spans="1:2" x14ac:dyDescent="0.25">
      <c r="A1741" s="132">
        <v>46223</v>
      </c>
      <c r="B1741">
        <v>1</v>
      </c>
    </row>
    <row r="1742" spans="1:2" x14ac:dyDescent="0.25">
      <c r="A1742" s="132">
        <v>46254</v>
      </c>
      <c r="B1742">
        <v>1</v>
      </c>
    </row>
    <row r="1743" spans="1:2" x14ac:dyDescent="0.25">
      <c r="A1743" s="132">
        <v>46282</v>
      </c>
      <c r="B1743">
        <v>1</v>
      </c>
    </row>
    <row r="1744" spans="1:2" x14ac:dyDescent="0.25">
      <c r="A1744" s="130" t="s">
        <v>390</v>
      </c>
      <c r="B1744">
        <v>2</v>
      </c>
    </row>
    <row r="1745" spans="1:2" x14ac:dyDescent="0.25">
      <c r="A1745" s="129" t="s">
        <v>541</v>
      </c>
      <c r="B1745">
        <v>2</v>
      </c>
    </row>
    <row r="1746" spans="1:2" x14ac:dyDescent="0.25">
      <c r="A1746" s="131" t="s">
        <v>30</v>
      </c>
      <c r="B1746">
        <v>2</v>
      </c>
    </row>
    <row r="1747" spans="1:2" x14ac:dyDescent="0.25">
      <c r="A1747" s="132">
        <v>46081</v>
      </c>
      <c r="B1747">
        <v>1</v>
      </c>
    </row>
    <row r="1748" spans="1:2" x14ac:dyDescent="0.25">
      <c r="A1748" s="132">
        <v>46096</v>
      </c>
      <c r="B1748">
        <v>1</v>
      </c>
    </row>
    <row r="1749" spans="1:2" x14ac:dyDescent="0.25">
      <c r="A1749" s="130" t="s">
        <v>392</v>
      </c>
      <c r="B1749">
        <v>2</v>
      </c>
    </row>
    <row r="1750" spans="1:2" x14ac:dyDescent="0.25">
      <c r="A1750" s="129" t="s">
        <v>541</v>
      </c>
      <c r="B1750">
        <v>2</v>
      </c>
    </row>
    <row r="1751" spans="1:2" x14ac:dyDescent="0.25">
      <c r="A1751" s="131" t="s">
        <v>30</v>
      </c>
      <c r="B1751">
        <v>2</v>
      </c>
    </row>
    <row r="1752" spans="1:2" x14ac:dyDescent="0.25">
      <c r="A1752" s="132">
        <v>46081</v>
      </c>
      <c r="B1752">
        <v>1</v>
      </c>
    </row>
    <row r="1753" spans="1:2" x14ac:dyDescent="0.25">
      <c r="A1753" s="132">
        <v>46096</v>
      </c>
      <c r="B1753">
        <v>1</v>
      </c>
    </row>
    <row r="1754" spans="1:2" x14ac:dyDescent="0.25">
      <c r="A1754" s="130" t="s">
        <v>394</v>
      </c>
      <c r="B1754">
        <v>12</v>
      </c>
    </row>
    <row r="1755" spans="1:2" x14ac:dyDescent="0.25">
      <c r="A1755" s="129" t="s">
        <v>541</v>
      </c>
      <c r="B1755">
        <v>12</v>
      </c>
    </row>
    <row r="1756" spans="1:2" x14ac:dyDescent="0.25">
      <c r="A1756" s="131" t="s">
        <v>16</v>
      </c>
      <c r="B1756">
        <v>1</v>
      </c>
    </row>
    <row r="1757" spans="1:2" x14ac:dyDescent="0.25">
      <c r="A1757" s="131" t="s">
        <v>18</v>
      </c>
      <c r="B1757">
        <v>1</v>
      </c>
    </row>
    <row r="1758" spans="1:2" x14ac:dyDescent="0.25">
      <c r="A1758" s="131" t="s">
        <v>19</v>
      </c>
      <c r="B1758">
        <v>1</v>
      </c>
    </row>
    <row r="1759" spans="1:2" x14ac:dyDescent="0.25">
      <c r="A1759" s="131" t="s">
        <v>20</v>
      </c>
      <c r="B1759">
        <v>1</v>
      </c>
    </row>
    <row r="1760" spans="1:2" x14ac:dyDescent="0.25">
      <c r="A1760" s="131" t="s">
        <v>21</v>
      </c>
      <c r="B1760">
        <v>1</v>
      </c>
    </row>
    <row r="1761" spans="1:2" x14ac:dyDescent="0.25">
      <c r="A1761" s="131" t="s">
        <v>22</v>
      </c>
      <c r="B1761">
        <v>1</v>
      </c>
    </row>
    <row r="1762" spans="1:2" x14ac:dyDescent="0.25">
      <c r="A1762" s="131" t="s">
        <v>23</v>
      </c>
      <c r="B1762">
        <v>1</v>
      </c>
    </row>
    <row r="1763" spans="1:2" x14ac:dyDescent="0.25">
      <c r="A1763" s="131" t="s">
        <v>24</v>
      </c>
      <c r="B1763">
        <v>1</v>
      </c>
    </row>
    <row r="1764" spans="1:2" x14ac:dyDescent="0.25">
      <c r="A1764" s="131" t="s">
        <v>25</v>
      </c>
      <c r="B1764">
        <v>1</v>
      </c>
    </row>
    <row r="1765" spans="1:2" x14ac:dyDescent="0.25">
      <c r="A1765" s="131" t="s">
        <v>26</v>
      </c>
      <c r="B1765">
        <v>1</v>
      </c>
    </row>
    <row r="1766" spans="1:2" x14ac:dyDescent="0.25">
      <c r="A1766" s="131" t="s">
        <v>27</v>
      </c>
      <c r="B1766">
        <v>1</v>
      </c>
    </row>
    <row r="1767" spans="1:2" x14ac:dyDescent="0.25">
      <c r="A1767" s="131" t="s">
        <v>28</v>
      </c>
      <c r="B1767">
        <v>1</v>
      </c>
    </row>
    <row r="1768" spans="1:2" x14ac:dyDescent="0.25">
      <c r="A1768" s="130" t="s">
        <v>396</v>
      </c>
      <c r="B1768">
        <v>14</v>
      </c>
    </row>
    <row r="1769" spans="1:2" x14ac:dyDescent="0.25">
      <c r="A1769" s="129" t="s">
        <v>543</v>
      </c>
      <c r="B1769">
        <v>1</v>
      </c>
    </row>
    <row r="1770" spans="1:2" x14ac:dyDescent="0.25">
      <c r="A1770" s="129" t="s">
        <v>541</v>
      </c>
      <c r="B1770">
        <v>13</v>
      </c>
    </row>
    <row r="1771" spans="1:2" x14ac:dyDescent="0.25">
      <c r="A1771" s="131" t="s">
        <v>18</v>
      </c>
      <c r="B1771">
        <v>1</v>
      </c>
    </row>
    <row r="1772" spans="1:2" x14ac:dyDescent="0.25">
      <c r="A1772" s="131" t="s">
        <v>19</v>
      </c>
      <c r="B1772">
        <v>1</v>
      </c>
    </row>
    <row r="1773" spans="1:2" x14ac:dyDescent="0.25">
      <c r="A1773" s="131" t="s">
        <v>20</v>
      </c>
      <c r="B1773">
        <v>1</v>
      </c>
    </row>
    <row r="1774" spans="1:2" x14ac:dyDescent="0.25">
      <c r="A1774" s="131" t="s">
        <v>21</v>
      </c>
      <c r="B1774">
        <v>1</v>
      </c>
    </row>
    <row r="1775" spans="1:2" x14ac:dyDescent="0.25">
      <c r="A1775" s="131" t="s">
        <v>22</v>
      </c>
      <c r="B1775">
        <v>1</v>
      </c>
    </row>
    <row r="1776" spans="1:2" x14ac:dyDescent="0.25">
      <c r="A1776" s="131" t="s">
        <v>23</v>
      </c>
      <c r="B1776">
        <v>1</v>
      </c>
    </row>
    <row r="1777" spans="1:2" x14ac:dyDescent="0.25">
      <c r="A1777" s="131" t="s">
        <v>24</v>
      </c>
      <c r="B1777">
        <v>1</v>
      </c>
    </row>
    <row r="1778" spans="1:2" x14ac:dyDescent="0.25">
      <c r="A1778" s="131" t="s">
        <v>25</v>
      </c>
      <c r="B1778">
        <v>1</v>
      </c>
    </row>
    <row r="1779" spans="1:2" x14ac:dyDescent="0.25">
      <c r="A1779" s="131" t="s">
        <v>26</v>
      </c>
      <c r="B1779">
        <v>1</v>
      </c>
    </row>
    <row r="1780" spans="1:2" x14ac:dyDescent="0.25">
      <c r="A1780" s="131" t="s">
        <v>27</v>
      </c>
      <c r="B1780">
        <v>1</v>
      </c>
    </row>
    <row r="1781" spans="1:2" x14ac:dyDescent="0.25">
      <c r="A1781" s="131" t="s">
        <v>28</v>
      </c>
      <c r="B1781">
        <v>1</v>
      </c>
    </row>
    <row r="1782" spans="1:2" x14ac:dyDescent="0.25">
      <c r="A1782" s="131" t="s">
        <v>30</v>
      </c>
      <c r="B1782">
        <v>1</v>
      </c>
    </row>
    <row r="1783" spans="1:2" x14ac:dyDescent="0.25">
      <c r="A1783" s="132">
        <v>46265</v>
      </c>
      <c r="B1783">
        <v>1</v>
      </c>
    </row>
    <row r="1784" spans="1:2" x14ac:dyDescent="0.25">
      <c r="A1784" s="133">
        <v>46388</v>
      </c>
      <c r="B1784">
        <v>1</v>
      </c>
    </row>
    <row r="1785" spans="1:2" x14ac:dyDescent="0.25">
      <c r="A1785" s="132">
        <v>46379</v>
      </c>
      <c r="B1785">
        <v>1</v>
      </c>
    </row>
    <row r="1786" spans="1:2" x14ac:dyDescent="0.25">
      <c r="A1786" s="130" t="s">
        <v>399</v>
      </c>
      <c r="B1786">
        <v>6</v>
      </c>
    </row>
    <row r="1787" spans="1:2" x14ac:dyDescent="0.25">
      <c r="A1787" s="129" t="s">
        <v>541</v>
      </c>
      <c r="B1787">
        <v>6</v>
      </c>
    </row>
    <row r="1788" spans="1:2" x14ac:dyDescent="0.25">
      <c r="A1788" s="131" t="s">
        <v>37</v>
      </c>
      <c r="B1788">
        <v>1.5</v>
      </c>
    </row>
    <row r="1789" spans="1:2" x14ac:dyDescent="0.25">
      <c r="A1789" s="132">
        <v>46142</v>
      </c>
      <c r="B1789">
        <v>1.5</v>
      </c>
    </row>
    <row r="1790" spans="1:2" x14ac:dyDescent="0.25">
      <c r="A1790" s="131" t="s">
        <v>35</v>
      </c>
      <c r="B1790">
        <v>1.5</v>
      </c>
    </row>
    <row r="1791" spans="1:2" x14ac:dyDescent="0.25">
      <c r="A1791" s="132">
        <v>46055</v>
      </c>
      <c r="B1791">
        <v>1.5</v>
      </c>
    </row>
    <row r="1792" spans="1:2" x14ac:dyDescent="0.25">
      <c r="A1792" s="131" t="s">
        <v>38</v>
      </c>
      <c r="B1792">
        <v>1.5</v>
      </c>
    </row>
    <row r="1793" spans="1:2" x14ac:dyDescent="0.25">
      <c r="A1793" s="132">
        <v>46203</v>
      </c>
      <c r="B1793">
        <v>1.5</v>
      </c>
    </row>
    <row r="1794" spans="1:2" x14ac:dyDescent="0.25">
      <c r="A1794" s="131" t="s">
        <v>39</v>
      </c>
      <c r="B1794">
        <v>1.5</v>
      </c>
    </row>
    <row r="1795" spans="1:2" x14ac:dyDescent="0.25">
      <c r="A1795" s="132">
        <v>46295</v>
      </c>
      <c r="B1795">
        <v>1.5</v>
      </c>
    </row>
    <row r="1796" spans="1:2" x14ac:dyDescent="0.25">
      <c r="A1796" s="130" t="s">
        <v>401</v>
      </c>
      <c r="B1796">
        <v>6.1372640000000001</v>
      </c>
    </row>
    <row r="1797" spans="1:2" x14ac:dyDescent="0.25">
      <c r="A1797" s="129" t="s">
        <v>541</v>
      </c>
      <c r="B1797">
        <v>6.1372640000000001</v>
      </c>
    </row>
    <row r="1798" spans="1:2" x14ac:dyDescent="0.25">
      <c r="A1798" s="131" t="s">
        <v>121</v>
      </c>
      <c r="B1798">
        <v>0.76004400000000005</v>
      </c>
    </row>
    <row r="1799" spans="1:2" x14ac:dyDescent="0.25">
      <c r="A1799" s="132">
        <v>46037</v>
      </c>
      <c r="B1799">
        <v>0.76004400000000005</v>
      </c>
    </row>
    <row r="1800" spans="1:2" x14ac:dyDescent="0.25">
      <c r="A1800" s="131" t="s">
        <v>44</v>
      </c>
      <c r="B1800">
        <v>0.76004400000000005</v>
      </c>
    </row>
    <row r="1801" spans="1:2" x14ac:dyDescent="0.25">
      <c r="A1801" s="132">
        <v>46201</v>
      </c>
      <c r="B1801">
        <v>0.76004400000000005</v>
      </c>
    </row>
    <row r="1802" spans="1:2" x14ac:dyDescent="0.25">
      <c r="A1802" s="131" t="s">
        <v>122</v>
      </c>
      <c r="B1802">
        <v>0.76004400000000005</v>
      </c>
    </row>
    <row r="1803" spans="1:2" x14ac:dyDescent="0.25">
      <c r="A1803" s="132">
        <v>46080</v>
      </c>
      <c r="B1803">
        <v>0.76004400000000005</v>
      </c>
    </row>
    <row r="1804" spans="1:2" x14ac:dyDescent="0.25">
      <c r="A1804" s="131" t="s">
        <v>43</v>
      </c>
      <c r="B1804">
        <v>0.76004400000000005</v>
      </c>
    </row>
    <row r="1805" spans="1:2" x14ac:dyDescent="0.25">
      <c r="A1805" s="132">
        <v>46135</v>
      </c>
      <c r="B1805">
        <v>0.76004400000000005</v>
      </c>
    </row>
    <row r="1806" spans="1:2" x14ac:dyDescent="0.25">
      <c r="A1806" s="131" t="s">
        <v>46</v>
      </c>
      <c r="B1806">
        <v>0.76004400000000005</v>
      </c>
    </row>
    <row r="1807" spans="1:2" x14ac:dyDescent="0.25">
      <c r="A1807" s="132">
        <v>46323</v>
      </c>
      <c r="B1807">
        <v>0.76004400000000005</v>
      </c>
    </row>
    <row r="1808" spans="1:2" x14ac:dyDescent="0.25">
      <c r="A1808" s="131" t="s">
        <v>30</v>
      </c>
      <c r="B1808">
        <v>1.577</v>
      </c>
    </row>
    <row r="1809" spans="1:2" x14ac:dyDescent="0.25">
      <c r="A1809" s="132">
        <v>46260</v>
      </c>
      <c r="B1809">
        <v>1.577</v>
      </c>
    </row>
    <row r="1810" spans="1:2" x14ac:dyDescent="0.25">
      <c r="A1810" s="131" t="s">
        <v>45</v>
      </c>
      <c r="B1810">
        <v>0.76004400000000005</v>
      </c>
    </row>
    <row r="1811" spans="1:2" x14ac:dyDescent="0.25">
      <c r="A1811" s="132">
        <v>46260</v>
      </c>
      <c r="B1811">
        <v>0.76004400000000005</v>
      </c>
    </row>
    <row r="1812" spans="1:2" x14ac:dyDescent="0.25">
      <c r="A1812" s="130" t="s">
        <v>403</v>
      </c>
      <c r="B1812">
        <v>12</v>
      </c>
    </row>
    <row r="1813" spans="1:2" x14ac:dyDescent="0.25">
      <c r="A1813" s="129" t="s">
        <v>541</v>
      </c>
      <c r="B1813">
        <v>12</v>
      </c>
    </row>
    <row r="1814" spans="1:2" x14ac:dyDescent="0.25">
      <c r="A1814" s="131" t="s">
        <v>19</v>
      </c>
      <c r="B1814">
        <v>1</v>
      </c>
    </row>
    <row r="1815" spans="1:2" x14ac:dyDescent="0.25">
      <c r="A1815" s="131" t="s">
        <v>20</v>
      </c>
      <c r="B1815">
        <v>1</v>
      </c>
    </row>
    <row r="1816" spans="1:2" x14ac:dyDescent="0.25">
      <c r="A1816" s="131" t="s">
        <v>21</v>
      </c>
      <c r="B1816">
        <v>1</v>
      </c>
    </row>
    <row r="1817" spans="1:2" x14ac:dyDescent="0.25">
      <c r="A1817" s="131" t="s">
        <v>22</v>
      </c>
      <c r="B1817">
        <v>1</v>
      </c>
    </row>
    <row r="1818" spans="1:2" x14ac:dyDescent="0.25">
      <c r="A1818" s="131" t="s">
        <v>23</v>
      </c>
      <c r="B1818">
        <v>1</v>
      </c>
    </row>
    <row r="1819" spans="1:2" x14ac:dyDescent="0.25">
      <c r="A1819" s="131" t="s">
        <v>24</v>
      </c>
      <c r="B1819">
        <v>1</v>
      </c>
    </row>
    <row r="1820" spans="1:2" x14ac:dyDescent="0.25">
      <c r="A1820" s="131" t="s">
        <v>25</v>
      </c>
      <c r="B1820">
        <v>1</v>
      </c>
    </row>
    <row r="1821" spans="1:2" x14ac:dyDescent="0.25">
      <c r="A1821" s="131" t="s">
        <v>26</v>
      </c>
      <c r="B1821">
        <v>1</v>
      </c>
    </row>
    <row r="1822" spans="1:2" x14ac:dyDescent="0.25">
      <c r="A1822" s="131" t="s">
        <v>27</v>
      </c>
      <c r="B1822">
        <v>1</v>
      </c>
    </row>
    <row r="1823" spans="1:2" x14ac:dyDescent="0.25">
      <c r="A1823" s="131" t="s">
        <v>28</v>
      </c>
      <c r="B1823">
        <v>1</v>
      </c>
    </row>
    <row r="1824" spans="1:2" x14ac:dyDescent="0.25">
      <c r="A1824" s="131" t="s">
        <v>121</v>
      </c>
      <c r="B1824">
        <v>1</v>
      </c>
    </row>
    <row r="1825" spans="1:2" x14ac:dyDescent="0.25">
      <c r="A1825" s="132">
        <v>46081</v>
      </c>
      <c r="B1825">
        <v>1</v>
      </c>
    </row>
    <row r="1826" spans="1:2" x14ac:dyDescent="0.25">
      <c r="A1826" s="131" t="s">
        <v>30</v>
      </c>
      <c r="B1826">
        <v>1</v>
      </c>
    </row>
    <row r="1827" spans="1:2" x14ac:dyDescent="0.25">
      <c r="A1827" s="132">
        <v>46281</v>
      </c>
      <c r="B1827">
        <v>1</v>
      </c>
    </row>
    <row r="1828" spans="1:2" x14ac:dyDescent="0.25">
      <c r="A1828" s="130" t="s">
        <v>544</v>
      </c>
      <c r="B1828">
        <v>1308.0767155400024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Cereal</vt:lpstr>
      <vt:lpstr>Leche</vt:lpstr>
      <vt:lpstr>Producción</vt:lpstr>
      <vt:lpstr>Entradas y Salidas</vt:lpstr>
      <vt:lpstr>Almacen</vt:lpstr>
      <vt:lpstr>Calculo</vt:lpstr>
      <vt:lpstr>Formulas</vt:lpstr>
      <vt:lpstr>Pendientes</vt:lpstr>
      <vt:lpstr>Entregado</vt:lpstr>
      <vt:lpstr>Resumen Cereal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Jesús Polo Gonzalez</dc:creator>
  <cp:keywords/>
  <dc:description/>
  <cp:lastModifiedBy>Cristopher Sal y Rosas Corthon</cp:lastModifiedBy>
  <cp:revision/>
  <dcterms:created xsi:type="dcterms:W3CDTF">2025-02-17T22:12:26Z</dcterms:created>
  <dcterms:modified xsi:type="dcterms:W3CDTF">2026-09-30T16:23:39Z</dcterms:modified>
  <cp:category/>
  <cp:contentStatus/>
</cp:coreProperties>
</file>