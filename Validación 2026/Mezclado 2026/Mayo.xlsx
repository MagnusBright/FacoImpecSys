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Validación 2026\Mezclado 2026\"/>
    </mc:Choice>
  </mc:AlternateContent>
  <xr:revisionPtr revIDLastSave="0" documentId="13_ncr:1_{535764A2-3CAE-4DB5-BEDA-DD34F1EC838C}" xr6:coauthVersionLast="47" xr6:coauthVersionMax="47" xr10:uidLastSave="{00000000-0000-0000-0000-000000000000}"/>
  <bookViews>
    <workbookView xWindow="-120" yWindow="-120" windowWidth="29040" windowHeight="15720" activeTab="4" xr2:uid="{7C9DF992-C883-48CD-A5A8-6441119EE8A0}"/>
  </bookViews>
  <sheets>
    <sheet name="Olmos 1" sheetId="3" r:id="rId1"/>
    <sheet name="Olmos 2" sheetId="12" r:id="rId2"/>
    <sheet name="Sanchez Carrion 1" sheetId="13" r:id="rId3"/>
    <sheet name="Sanchez Carrion 2" sheetId="14" r:id="rId4"/>
    <sheet name="Viru 1" sheetId="15" r:id="rId5"/>
    <sheet name="Viru 2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6" l="1"/>
  <c r="C28" i="15"/>
  <c r="C28" i="14" l="1"/>
  <c r="C28" i="13" l="1"/>
  <c r="C28" i="12" l="1"/>
  <c r="C28" i="3" l="1"/>
</calcChain>
</file>

<file path=xl/sharedStrings.xml><?xml version="1.0" encoding="utf-8"?>
<sst xmlns="http://schemas.openxmlformats.org/spreadsheetml/2006/main" count="760" uniqueCount="100">
  <si>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</si>
  <si>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</si>
  <si>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</si>
  <si>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</si>
  <si>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</si>
  <si>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</si>
  <si>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</si>
  <si>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</si>
  <si>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</si>
  <si>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</si>
  <si>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</si>
  <si>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</si>
  <si>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</si>
  <si>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</si>
  <si>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</si>
  <si>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</si>
  <si>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</si>
  <si>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</si>
  <si>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</si>
  <si>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</si>
  <si>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</si>
  <si>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</si>
  <si>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</si>
  <si>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</si>
  <si>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</si>
  <si>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</si>
  <si>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03</t>
  </si>
  <si>
    <t>04</t>
  </si>
  <si>
    <t>Mezcladora 1</t>
  </si>
  <si>
    <t>Hojuela de Avena</t>
  </si>
  <si>
    <t>Hojuela de Quinua</t>
  </si>
  <si>
    <t>Fosfato Tricálcico</t>
  </si>
  <si>
    <t>Mix Vitáminico</t>
  </si>
  <si>
    <t>0.84
MV150</t>
  </si>
  <si>
    <t>Mezcladora 2</t>
  </si>
  <si>
    <t>Harina de Soya</t>
  </si>
  <si>
    <t>Leche en Polvo</t>
  </si>
  <si>
    <t xml:space="preserve">MEZCLA PRECOCIDA DE QUINUA, KIWICHA, AVENA Y HARINA DE SOYA INTEGRAL TOSTADA CON LECHE ENTERA EN POLVO FORTIFICADA CON VITAMINAS Y MINERALES </t>
  </si>
  <si>
    <t>Harina de Kiwicha</t>
  </si>
  <si>
    <t>0.84
MV120</t>
  </si>
  <si>
    <t>90.85
AH121</t>
  </si>
  <si>
    <t>125.79
QH121</t>
  </si>
  <si>
    <t>104.82
KA121</t>
  </si>
  <si>
    <t>41.93
LP120</t>
  </si>
  <si>
    <t>14.81
FT120</t>
  </si>
  <si>
    <t>3.77
AH121</t>
  </si>
  <si>
    <t>5.23
QH121</t>
  </si>
  <si>
    <t>4.36
KA121</t>
  </si>
  <si>
    <t>1.74
LP120</t>
  </si>
  <si>
    <t>0.62
FT120</t>
  </si>
  <si>
    <t>0.03
MV120</t>
  </si>
  <si>
    <t>20.96
SH121</t>
  </si>
  <si>
    <t>0.87
SH121</t>
  </si>
  <si>
    <t>HOJUELAS DE AVENA, QUINUA, MACA, HARINA DE SOYA INTEGRAL TOSTADA, ALMIDÓN DE MAÍZ AZUCARADA FORTIFICADA CON VITAMINAS Y MINERALES (HOJUELAS CRUDAS)</t>
  </si>
  <si>
    <t>Harina de Maca</t>
  </si>
  <si>
    <t>Azúcar Rubia</t>
  </si>
  <si>
    <t>Harina de Maiz Chufla</t>
  </si>
  <si>
    <t>1.12
CC151</t>
  </si>
  <si>
    <t>25.08
AH123</t>
  </si>
  <si>
    <t>163.64
QH123</t>
  </si>
  <si>
    <t>45.44
SH123</t>
  </si>
  <si>
    <t>68.20
MH124</t>
  </si>
  <si>
    <t>31.84
MA120</t>
  </si>
  <si>
    <t>45.44
AR120</t>
  </si>
  <si>
    <t>19.28
FT120</t>
  </si>
  <si>
    <t>1.08
MV120</t>
  </si>
  <si>
    <t>6.73
AH123</t>
  </si>
  <si>
    <t>43.93
QH123</t>
  </si>
  <si>
    <t>12.20
SH123</t>
  </si>
  <si>
    <t>12.20
AR120</t>
  </si>
  <si>
    <t>8.55
MA120</t>
  </si>
  <si>
    <t>18.31
MH124</t>
  </si>
  <si>
    <t>5.18
FT120</t>
  </si>
  <si>
    <t>0.29
MV120</t>
  </si>
  <si>
    <t>HOJUELAS PRECOCIDAS DE QUINUA, AVENA, KIWICHA, MACA, LINAZA, AJONJOLÍ CON PROTEÍNA AISLADA DE SOYA Y OMEGA 3 FORTIFICADO CON VITAMINAS Y MINERALES</t>
  </si>
  <si>
    <t>Hojuela de Kiwicha</t>
  </si>
  <si>
    <t>Aceite de Girasol</t>
  </si>
  <si>
    <t>Linaza</t>
  </si>
  <si>
    <t>Ajonjoli</t>
  </si>
  <si>
    <t>Proteína Aislada de Soya</t>
  </si>
  <si>
    <t>52.08
AH125</t>
  </si>
  <si>
    <t>89.76
QH125</t>
  </si>
  <si>
    <t>179.52
KH125</t>
  </si>
  <si>
    <t>40.80
MA120</t>
  </si>
  <si>
    <t>7.36
AG120</t>
  </si>
  <si>
    <t>4.08
LZ120</t>
  </si>
  <si>
    <t>4.08
AJ120</t>
  </si>
  <si>
    <t>4.08
SP120</t>
  </si>
  <si>
    <t>17.28
FT120</t>
  </si>
  <si>
    <t>0.96
MV120</t>
  </si>
  <si>
    <t>6.78
AH125</t>
  </si>
  <si>
    <t>11.68
QH125</t>
  </si>
  <si>
    <t>23.36
KH125</t>
  </si>
  <si>
    <t>5.31
MA120</t>
  </si>
  <si>
    <t>0.96
AG120</t>
  </si>
  <si>
    <t>0.53
LZ120</t>
  </si>
  <si>
    <t>0.53
AJ120</t>
  </si>
  <si>
    <t>0.53
SP120</t>
  </si>
  <si>
    <t>2.25
FT120</t>
  </si>
  <si>
    <t>0.12
MV120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</si>
</sst>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22C334-7AD5-4DE2-88F0-2DCAB42C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61E318B-963C-46DD-934E-53287BDEFC3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9B3E8D-1749-4ED8-86B3-E9E27B83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E144312-D9DB-4B49-B216-667D3E793C68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DC0A91-8905-409E-B7C8-DBF76980E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10E7A41-9AFC-4DB9-8050-31D04E08D336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3A3634-62C5-45E1-8A51-558B0D4EE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666F2C7-E772-442D-81DA-5B3B7DA8463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2D0770-8314-4831-8F40-AEA62E563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717C167-B27B-4F4F-B592-E70B31AA3AF6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50999B-29E3-4E5C-B4DD-EEF18798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EA354CBA-8B67-4BB6-8F06-86B4163F17E3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DE0-E848-43C7-9216-F34ABA5E3A2D}">
  <sheetPr>
    <pageSetUpPr fitToPage="1"/>
  </sheetPr>
  <dimension ref="B7:U33"/>
  <sheetViews>
    <sheetView workbookViewId="0">
      <selection activeCell="C7" sqref="C7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46143</v>
      </c>
      <c r="D9" s="1"/>
      <c r="E9" s="57" t="s">
        <v>2</v>
      </c>
      <c r="F9" s="57"/>
      <c r="G9" s="58" t="s">
        <v>37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0.54513888888888884</v>
      </c>
      <c r="E15" s="11">
        <v>0.55902777777777779</v>
      </c>
      <c r="F15" s="11">
        <v>0.57291666666666696</v>
      </c>
      <c r="G15" s="11">
        <v>0.58680555555555602</v>
      </c>
      <c r="H15" s="11">
        <v>0.60069444444444497</v>
      </c>
      <c r="I15" s="11">
        <v>0.61458333333333404</v>
      </c>
      <c r="J15" s="11">
        <v>0.62847222222222299</v>
      </c>
      <c r="K15" s="11"/>
      <c r="L15" s="11"/>
      <c r="M15" s="11"/>
      <c r="N15" s="11"/>
      <c r="O15" s="11"/>
      <c r="P15" s="11"/>
      <c r="Q15" s="23" t="s">
        <v>28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635.91999999999996</v>
      </c>
      <c r="D16" s="20" t="s">
        <v>40</v>
      </c>
      <c r="E16" s="20" t="s">
        <v>40</v>
      </c>
      <c r="F16" s="20" t="s">
        <v>40</v>
      </c>
      <c r="G16" s="20" t="s">
        <v>40</v>
      </c>
      <c r="H16" s="20" t="s">
        <v>40</v>
      </c>
      <c r="I16" s="20" t="s">
        <v>40</v>
      </c>
      <c r="J16" s="20" t="s">
        <v>40</v>
      </c>
      <c r="K16" s="20"/>
      <c r="L16" s="20"/>
      <c r="M16" s="20"/>
      <c r="N16" s="20"/>
      <c r="O16" s="20"/>
      <c r="P16" s="20"/>
      <c r="Q16" s="23" t="s">
        <v>28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880.5</v>
      </c>
      <c r="D17" s="20" t="s">
        <v>41</v>
      </c>
      <c r="E17" s="20" t="s">
        <v>41</v>
      </c>
      <c r="F17" s="20" t="s">
        <v>41</v>
      </c>
      <c r="G17" s="20" t="s">
        <v>41</v>
      </c>
      <c r="H17" s="20" t="s">
        <v>41</v>
      </c>
      <c r="I17" s="20" t="s">
        <v>41</v>
      </c>
      <c r="J17" s="20" t="s">
        <v>41</v>
      </c>
      <c r="K17" s="20"/>
      <c r="L17" s="20"/>
      <c r="M17" s="20"/>
      <c r="N17" s="20"/>
      <c r="O17" s="20"/>
      <c r="P17" s="20"/>
      <c r="Q17" s="23" t="s">
        <v>28</v>
      </c>
      <c r="R17" s="24"/>
      <c r="S17" s="25"/>
      <c r="T17" s="26"/>
      <c r="U17" s="2"/>
    </row>
    <row r="18" spans="2:21" ht="26.25" thickBot="1" x14ac:dyDescent="0.3">
      <c r="B18" s="6" t="s">
        <v>38</v>
      </c>
      <c r="C18" s="15">
        <v>733.75</v>
      </c>
      <c r="D18" s="20" t="s">
        <v>42</v>
      </c>
      <c r="E18" s="20" t="s">
        <v>42</v>
      </c>
      <c r="F18" s="20" t="s">
        <v>42</v>
      </c>
      <c r="G18" s="20" t="s">
        <v>42</v>
      </c>
      <c r="H18" s="20" t="s">
        <v>42</v>
      </c>
      <c r="I18" s="20" t="s">
        <v>42</v>
      </c>
      <c r="J18" s="20" t="s">
        <v>42</v>
      </c>
      <c r="K18" s="20"/>
      <c r="L18" s="20"/>
      <c r="M18" s="20"/>
      <c r="N18" s="20"/>
      <c r="O18" s="20"/>
      <c r="P18" s="20"/>
      <c r="Q18" s="23" t="s">
        <v>28</v>
      </c>
      <c r="R18" s="24"/>
      <c r="S18" s="25"/>
      <c r="T18" s="26"/>
      <c r="U18" s="2"/>
    </row>
    <row r="19" spans="2:21" ht="26.25" thickBot="1" x14ac:dyDescent="0.3">
      <c r="B19" s="6" t="s">
        <v>35</v>
      </c>
      <c r="C19" s="15">
        <v>146.75</v>
      </c>
      <c r="D19" s="20" t="s">
        <v>51</v>
      </c>
      <c r="E19" s="20" t="s">
        <v>51</v>
      </c>
      <c r="F19" s="20" t="s">
        <v>51</v>
      </c>
      <c r="G19" s="20" t="s">
        <v>51</v>
      </c>
      <c r="H19" s="20" t="s">
        <v>51</v>
      </c>
      <c r="I19" s="20" t="s">
        <v>51</v>
      </c>
      <c r="J19" s="20" t="s">
        <v>51</v>
      </c>
      <c r="K19" s="20"/>
      <c r="L19" s="20"/>
      <c r="M19" s="20"/>
      <c r="N19" s="20"/>
      <c r="O19" s="20"/>
      <c r="P19" s="20"/>
      <c r="Q19" s="23" t="s">
        <v>28</v>
      </c>
      <c r="R19" s="24"/>
      <c r="S19" s="25"/>
      <c r="T19" s="26"/>
      <c r="U19" s="2"/>
    </row>
    <row r="20" spans="2:21" ht="26.25" thickBot="1" x14ac:dyDescent="0.3">
      <c r="B20" s="6" t="s">
        <v>36</v>
      </c>
      <c r="C20" s="15">
        <v>293.5</v>
      </c>
      <c r="D20" s="20" t="s">
        <v>43</v>
      </c>
      <c r="E20" s="20" t="s">
        <v>43</v>
      </c>
      <c r="F20" s="20" t="s">
        <v>43</v>
      </c>
      <c r="G20" s="20" t="s">
        <v>43</v>
      </c>
      <c r="H20" s="20" t="s">
        <v>43</v>
      </c>
      <c r="I20" s="20" t="s">
        <v>43</v>
      </c>
      <c r="J20" s="20" t="s">
        <v>43</v>
      </c>
      <c r="K20" s="20"/>
      <c r="L20" s="20"/>
      <c r="M20" s="20"/>
      <c r="N20" s="20"/>
      <c r="O20" s="20"/>
      <c r="P20" s="20"/>
      <c r="Q20" s="23" t="s">
        <v>28</v>
      </c>
      <c r="R20" s="24"/>
      <c r="S20" s="25"/>
      <c r="T20" s="26"/>
      <c r="U20" s="2"/>
    </row>
    <row r="21" spans="2:21" ht="26.25" thickBot="1" x14ac:dyDescent="0.3">
      <c r="B21" s="6" t="s">
        <v>31</v>
      </c>
      <c r="C21" s="15">
        <v>103.7</v>
      </c>
      <c r="D21" s="20" t="s">
        <v>44</v>
      </c>
      <c r="E21" s="20" t="s">
        <v>44</v>
      </c>
      <c r="F21" s="20" t="s">
        <v>44</v>
      </c>
      <c r="G21" s="20" t="s">
        <v>44</v>
      </c>
      <c r="H21" s="20" t="s">
        <v>44</v>
      </c>
      <c r="I21" s="20" t="s">
        <v>44</v>
      </c>
      <c r="J21" s="20" t="s">
        <v>44</v>
      </c>
      <c r="K21" s="20"/>
      <c r="L21" s="20"/>
      <c r="M21" s="20"/>
      <c r="N21" s="20"/>
      <c r="O21" s="20"/>
      <c r="P21" s="20"/>
      <c r="Q21" s="23" t="s">
        <v>28</v>
      </c>
      <c r="R21" s="24"/>
      <c r="S21" s="25"/>
      <c r="T21" s="26"/>
      <c r="U21" s="2"/>
    </row>
    <row r="22" spans="2:21" ht="26.25" thickBot="1" x14ac:dyDescent="0.3">
      <c r="B22" s="6" t="s">
        <v>32</v>
      </c>
      <c r="C22" s="15">
        <v>5.88</v>
      </c>
      <c r="D22" s="20" t="s">
        <v>39</v>
      </c>
      <c r="E22" s="20" t="s">
        <v>39</v>
      </c>
      <c r="F22" s="20" t="s">
        <v>39</v>
      </c>
      <c r="G22" s="20" t="s">
        <v>39</v>
      </c>
      <c r="H22" s="20" t="s">
        <v>39</v>
      </c>
      <c r="I22" s="20" t="s">
        <v>39</v>
      </c>
      <c r="J22" s="20" t="s">
        <v>39</v>
      </c>
      <c r="K22" s="20"/>
      <c r="L22" s="20"/>
      <c r="M22" s="20"/>
      <c r="N22" s="20"/>
      <c r="O22" s="20"/>
      <c r="P22" s="20"/>
      <c r="Q22" s="23" t="s">
        <v>28</v>
      </c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2800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/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Q30:R30"/>
    <mergeCell ref="S30:T30"/>
    <mergeCell ref="B29:T29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2432-8467-45C5-ADA9-76F49EC99C66}">
  <sheetPr>
    <pageSetUpPr fitToPage="1"/>
  </sheetPr>
  <dimension ref="B7:U33"/>
  <sheetViews>
    <sheetView workbookViewId="0">
      <selection activeCell="B2" sqref="B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46143</v>
      </c>
      <c r="D9" s="1"/>
      <c r="E9" s="57" t="s">
        <v>2</v>
      </c>
      <c r="F9" s="57"/>
      <c r="G9" s="58" t="s">
        <v>37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0.54861111111111116</v>
      </c>
      <c r="E15" s="11">
        <v>0.5625</v>
      </c>
      <c r="F15" s="11">
        <v>0.57638888888888895</v>
      </c>
      <c r="G15" s="11">
        <v>0.59027777777777801</v>
      </c>
      <c r="H15" s="11">
        <v>0.60416666666666696</v>
      </c>
      <c r="I15" s="11">
        <v>0.61805555555555503</v>
      </c>
      <c r="J15" s="11">
        <v>0.63194444444444398</v>
      </c>
      <c r="K15" s="11">
        <v>0.64583333333333304</v>
      </c>
      <c r="L15" s="11"/>
      <c r="M15" s="11"/>
      <c r="N15" s="11"/>
      <c r="O15" s="11"/>
      <c r="P15" s="11"/>
      <c r="Q15" s="23" t="s">
        <v>34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639.69000000000005</v>
      </c>
      <c r="D16" s="20" t="s">
        <v>40</v>
      </c>
      <c r="E16" s="20" t="s">
        <v>40</v>
      </c>
      <c r="F16" s="20" t="s">
        <v>40</v>
      </c>
      <c r="G16" s="20" t="s">
        <v>40</v>
      </c>
      <c r="H16" s="20" t="s">
        <v>40</v>
      </c>
      <c r="I16" s="20" t="s">
        <v>40</v>
      </c>
      <c r="J16" s="20" t="s">
        <v>40</v>
      </c>
      <c r="K16" s="20" t="s">
        <v>45</v>
      </c>
      <c r="L16" s="20"/>
      <c r="M16" s="20"/>
      <c r="N16" s="20"/>
      <c r="O16" s="20"/>
      <c r="P16" s="20"/>
      <c r="Q16" s="23" t="s">
        <v>34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885.73</v>
      </c>
      <c r="D17" s="20" t="s">
        <v>41</v>
      </c>
      <c r="E17" s="20" t="s">
        <v>41</v>
      </c>
      <c r="F17" s="20" t="s">
        <v>41</v>
      </c>
      <c r="G17" s="20" t="s">
        <v>41</v>
      </c>
      <c r="H17" s="20" t="s">
        <v>41</v>
      </c>
      <c r="I17" s="20" t="s">
        <v>41</v>
      </c>
      <c r="J17" s="20" t="s">
        <v>41</v>
      </c>
      <c r="K17" s="20" t="s">
        <v>46</v>
      </c>
      <c r="L17" s="20"/>
      <c r="M17" s="20"/>
      <c r="N17" s="20"/>
      <c r="O17" s="20"/>
      <c r="P17" s="20"/>
      <c r="Q17" s="23" t="s">
        <v>34</v>
      </c>
      <c r="R17" s="24"/>
      <c r="S17" s="25"/>
      <c r="T17" s="26"/>
      <c r="U17" s="2"/>
    </row>
    <row r="18" spans="2:21" ht="26.25" thickBot="1" x14ac:dyDescent="0.3">
      <c r="B18" s="6" t="s">
        <v>38</v>
      </c>
      <c r="C18" s="15">
        <v>738.11</v>
      </c>
      <c r="D18" s="20" t="s">
        <v>42</v>
      </c>
      <c r="E18" s="20" t="s">
        <v>42</v>
      </c>
      <c r="F18" s="20" t="s">
        <v>42</v>
      </c>
      <c r="G18" s="20" t="s">
        <v>42</v>
      </c>
      <c r="H18" s="20" t="s">
        <v>42</v>
      </c>
      <c r="I18" s="20" t="s">
        <v>42</v>
      </c>
      <c r="J18" s="20" t="s">
        <v>42</v>
      </c>
      <c r="K18" s="20" t="s">
        <v>47</v>
      </c>
      <c r="L18" s="20"/>
      <c r="M18" s="20"/>
      <c r="N18" s="20"/>
      <c r="O18" s="20"/>
      <c r="P18" s="20"/>
      <c r="Q18" s="23" t="s">
        <v>34</v>
      </c>
      <c r="R18" s="24"/>
      <c r="S18" s="25"/>
      <c r="T18" s="26"/>
      <c r="U18" s="2"/>
    </row>
    <row r="19" spans="2:21" ht="26.25" thickBot="1" x14ac:dyDescent="0.3">
      <c r="B19" s="6" t="s">
        <v>35</v>
      </c>
      <c r="C19" s="15">
        <v>147.62</v>
      </c>
      <c r="D19" s="20" t="s">
        <v>51</v>
      </c>
      <c r="E19" s="20" t="s">
        <v>51</v>
      </c>
      <c r="F19" s="20" t="s">
        <v>51</v>
      </c>
      <c r="G19" s="20" t="s">
        <v>51</v>
      </c>
      <c r="H19" s="20" t="s">
        <v>51</v>
      </c>
      <c r="I19" s="20" t="s">
        <v>51</v>
      </c>
      <c r="J19" s="20" t="s">
        <v>51</v>
      </c>
      <c r="K19" s="20" t="s">
        <v>52</v>
      </c>
      <c r="L19" s="20"/>
      <c r="M19" s="20"/>
      <c r="N19" s="20"/>
      <c r="O19" s="20"/>
      <c r="P19" s="20"/>
      <c r="Q19" s="23" t="s">
        <v>34</v>
      </c>
      <c r="R19" s="24"/>
      <c r="S19" s="25"/>
      <c r="T19" s="26"/>
      <c r="U19" s="2"/>
    </row>
    <row r="20" spans="2:21" ht="26.25" thickBot="1" x14ac:dyDescent="0.3">
      <c r="B20" s="6" t="s">
        <v>36</v>
      </c>
      <c r="C20" s="15">
        <v>295.24</v>
      </c>
      <c r="D20" s="20" t="s">
        <v>43</v>
      </c>
      <c r="E20" s="20" t="s">
        <v>43</v>
      </c>
      <c r="F20" s="20" t="s">
        <v>43</v>
      </c>
      <c r="G20" s="20" t="s">
        <v>43</v>
      </c>
      <c r="H20" s="20" t="s">
        <v>43</v>
      </c>
      <c r="I20" s="20" t="s">
        <v>43</v>
      </c>
      <c r="J20" s="20" t="s">
        <v>43</v>
      </c>
      <c r="K20" s="20" t="s">
        <v>48</v>
      </c>
      <c r="L20" s="20"/>
      <c r="M20" s="20"/>
      <c r="N20" s="20"/>
      <c r="O20" s="20"/>
      <c r="P20" s="20"/>
      <c r="Q20" s="23" t="s">
        <v>34</v>
      </c>
      <c r="R20" s="24"/>
      <c r="S20" s="25"/>
      <c r="T20" s="26"/>
      <c r="U20" s="2"/>
    </row>
    <row r="21" spans="2:21" ht="26.25" thickBot="1" x14ac:dyDescent="0.3">
      <c r="B21" s="6" t="s">
        <v>31</v>
      </c>
      <c r="C21" s="15">
        <v>104.32</v>
      </c>
      <c r="D21" s="20" t="s">
        <v>44</v>
      </c>
      <c r="E21" s="20" t="s">
        <v>44</v>
      </c>
      <c r="F21" s="20" t="s">
        <v>44</v>
      </c>
      <c r="G21" s="20" t="s">
        <v>44</v>
      </c>
      <c r="H21" s="20" t="s">
        <v>44</v>
      </c>
      <c r="I21" s="20" t="s">
        <v>44</v>
      </c>
      <c r="J21" s="20" t="s">
        <v>44</v>
      </c>
      <c r="K21" s="20" t="s">
        <v>49</v>
      </c>
      <c r="L21" s="20"/>
      <c r="M21" s="20"/>
      <c r="N21" s="20"/>
      <c r="O21" s="20"/>
      <c r="P21" s="20"/>
      <c r="Q21" s="23" t="s">
        <v>34</v>
      </c>
      <c r="R21" s="24"/>
      <c r="S21" s="25"/>
      <c r="T21" s="26"/>
      <c r="U21" s="2"/>
    </row>
    <row r="22" spans="2:21" ht="26.25" thickBot="1" x14ac:dyDescent="0.3">
      <c r="B22" s="6" t="s">
        <v>32</v>
      </c>
      <c r="C22" s="15">
        <v>5.9</v>
      </c>
      <c r="D22" s="20" t="s">
        <v>39</v>
      </c>
      <c r="E22" s="20" t="s">
        <v>39</v>
      </c>
      <c r="F22" s="20" t="s">
        <v>39</v>
      </c>
      <c r="G22" s="20" t="s">
        <v>39</v>
      </c>
      <c r="H22" s="20" t="s">
        <v>39</v>
      </c>
      <c r="I22" s="20" t="s">
        <v>39</v>
      </c>
      <c r="J22" s="20" t="s">
        <v>39</v>
      </c>
      <c r="K22" s="20" t="s">
        <v>50</v>
      </c>
      <c r="L22" s="20"/>
      <c r="M22" s="20"/>
      <c r="N22" s="20"/>
      <c r="O22" s="20"/>
      <c r="P22" s="20"/>
      <c r="Q22" s="23" t="s">
        <v>34</v>
      </c>
      <c r="R22" s="24"/>
      <c r="S22" s="25"/>
      <c r="T22" s="26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3"/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3"/>
      <c r="R25" s="24"/>
      <c r="S25" s="25"/>
      <c r="T25" s="26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3"/>
      <c r="R26" s="24"/>
      <c r="S26" s="25"/>
      <c r="T26" s="26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SUM(C16:C23)</f>
        <v>2816.6100000000006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16.61</v>
      </c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75F6-5071-46E6-96AB-EF265BD57B83}">
  <sheetPr>
    <pageSetUpPr fitToPage="1"/>
  </sheetPr>
  <dimension ref="B7:U33"/>
  <sheetViews>
    <sheetView workbookViewId="0">
      <selection activeCell="C6" sqref="C6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46146</v>
      </c>
      <c r="D9" s="1"/>
      <c r="E9" s="57" t="s">
        <v>2</v>
      </c>
      <c r="F9" s="57"/>
      <c r="G9" s="60" t="s">
        <v>53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0.54861111111111116</v>
      </c>
      <c r="E15" s="11">
        <v>0.5625</v>
      </c>
      <c r="F15" s="11">
        <v>0.57638888888888895</v>
      </c>
      <c r="G15" s="11">
        <v>0.59027777777777801</v>
      </c>
      <c r="H15" s="11">
        <v>0.60416666666666696</v>
      </c>
      <c r="I15" s="11">
        <v>0.61805555555555503</v>
      </c>
      <c r="J15" s="11">
        <v>0.63194444444444398</v>
      </c>
      <c r="K15" s="11">
        <v>0.64583333333333304</v>
      </c>
      <c r="L15" s="11">
        <v>0.65972222222222199</v>
      </c>
      <c r="M15" s="11">
        <v>0.67361111111111105</v>
      </c>
      <c r="N15" s="11">
        <v>0.687499999999999</v>
      </c>
      <c r="O15" s="11">
        <v>0.70138888888888795</v>
      </c>
      <c r="P15" s="11"/>
      <c r="Q15" s="23" t="s">
        <v>28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300.95999999999998</v>
      </c>
      <c r="D16" s="20" t="s">
        <v>58</v>
      </c>
      <c r="E16" s="20" t="s">
        <v>58</v>
      </c>
      <c r="F16" s="20" t="s">
        <v>58</v>
      </c>
      <c r="G16" s="20" t="s">
        <v>58</v>
      </c>
      <c r="H16" s="20" t="s">
        <v>58</v>
      </c>
      <c r="I16" s="20" t="s">
        <v>58</v>
      </c>
      <c r="J16" s="20" t="s">
        <v>58</v>
      </c>
      <c r="K16" s="20" t="s">
        <v>58</v>
      </c>
      <c r="L16" s="20" t="s">
        <v>58</v>
      </c>
      <c r="M16" s="20" t="s">
        <v>58</v>
      </c>
      <c r="N16" s="20" t="s">
        <v>58</v>
      </c>
      <c r="O16" s="20" t="s">
        <v>58</v>
      </c>
      <c r="P16" s="20"/>
      <c r="Q16" s="23" t="s">
        <v>28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1963.68</v>
      </c>
      <c r="D17" s="20" t="s">
        <v>59</v>
      </c>
      <c r="E17" s="20" t="s">
        <v>59</v>
      </c>
      <c r="F17" s="20" t="s">
        <v>59</v>
      </c>
      <c r="G17" s="20" t="s">
        <v>59</v>
      </c>
      <c r="H17" s="20" t="s">
        <v>59</v>
      </c>
      <c r="I17" s="20" t="s">
        <v>59</v>
      </c>
      <c r="J17" s="20" t="s">
        <v>59</v>
      </c>
      <c r="K17" s="20" t="s">
        <v>59</v>
      </c>
      <c r="L17" s="20" t="s">
        <v>59</v>
      </c>
      <c r="M17" s="20" t="s">
        <v>59</v>
      </c>
      <c r="N17" s="20" t="s">
        <v>59</v>
      </c>
      <c r="O17" s="20" t="s">
        <v>59</v>
      </c>
      <c r="P17" s="20"/>
      <c r="Q17" s="23" t="s">
        <v>28</v>
      </c>
      <c r="R17" s="24"/>
      <c r="S17" s="25"/>
      <c r="T17" s="26"/>
      <c r="U17" s="2"/>
    </row>
    <row r="18" spans="2:21" ht="26.25" thickBot="1" x14ac:dyDescent="0.3">
      <c r="B18" s="6" t="s">
        <v>35</v>
      </c>
      <c r="C18" s="15">
        <v>545.28</v>
      </c>
      <c r="D18" s="20" t="s">
        <v>60</v>
      </c>
      <c r="E18" s="20" t="s">
        <v>60</v>
      </c>
      <c r="F18" s="20" t="s">
        <v>60</v>
      </c>
      <c r="G18" s="20" t="s">
        <v>60</v>
      </c>
      <c r="H18" s="20" t="s">
        <v>60</v>
      </c>
      <c r="I18" s="20" t="s">
        <v>60</v>
      </c>
      <c r="J18" s="20" t="s">
        <v>60</v>
      </c>
      <c r="K18" s="20" t="s">
        <v>60</v>
      </c>
      <c r="L18" s="20" t="s">
        <v>60</v>
      </c>
      <c r="M18" s="20" t="s">
        <v>60</v>
      </c>
      <c r="N18" s="20" t="s">
        <v>60</v>
      </c>
      <c r="O18" s="20" t="s">
        <v>60</v>
      </c>
      <c r="P18" s="20"/>
      <c r="Q18" s="23" t="s">
        <v>28</v>
      </c>
      <c r="R18" s="24"/>
      <c r="S18" s="25"/>
      <c r="T18" s="26"/>
      <c r="U18" s="2"/>
    </row>
    <row r="19" spans="2:21" ht="26.25" thickBot="1" x14ac:dyDescent="0.3">
      <c r="B19" s="6" t="s">
        <v>54</v>
      </c>
      <c r="C19" s="15">
        <v>382.08</v>
      </c>
      <c r="D19" s="20" t="s">
        <v>62</v>
      </c>
      <c r="E19" s="20" t="s">
        <v>62</v>
      </c>
      <c r="F19" s="20" t="s">
        <v>62</v>
      </c>
      <c r="G19" s="20" t="s">
        <v>62</v>
      </c>
      <c r="H19" s="20" t="s">
        <v>62</v>
      </c>
      <c r="I19" s="20" t="s">
        <v>62</v>
      </c>
      <c r="J19" s="20" t="s">
        <v>62</v>
      </c>
      <c r="K19" s="20" t="s">
        <v>62</v>
      </c>
      <c r="L19" s="20" t="s">
        <v>62</v>
      </c>
      <c r="M19" s="20" t="s">
        <v>62</v>
      </c>
      <c r="N19" s="20" t="s">
        <v>62</v>
      </c>
      <c r="O19" s="20" t="s">
        <v>62</v>
      </c>
      <c r="P19" s="20"/>
      <c r="Q19" s="23" t="s">
        <v>28</v>
      </c>
      <c r="R19" s="24"/>
      <c r="S19" s="25"/>
      <c r="T19" s="26"/>
      <c r="U19" s="2"/>
    </row>
    <row r="20" spans="2:21" ht="26.25" thickBot="1" x14ac:dyDescent="0.3">
      <c r="B20" s="6" t="s">
        <v>55</v>
      </c>
      <c r="C20" s="15">
        <v>545.28</v>
      </c>
      <c r="D20" s="20" t="s">
        <v>63</v>
      </c>
      <c r="E20" s="20" t="s">
        <v>63</v>
      </c>
      <c r="F20" s="20" t="s">
        <v>63</v>
      </c>
      <c r="G20" s="20" t="s">
        <v>63</v>
      </c>
      <c r="H20" s="20" t="s">
        <v>63</v>
      </c>
      <c r="I20" s="20" t="s">
        <v>63</v>
      </c>
      <c r="J20" s="20" t="s">
        <v>63</v>
      </c>
      <c r="K20" s="20" t="s">
        <v>63</v>
      </c>
      <c r="L20" s="20" t="s">
        <v>63</v>
      </c>
      <c r="M20" s="20" t="s">
        <v>63</v>
      </c>
      <c r="N20" s="20" t="s">
        <v>63</v>
      </c>
      <c r="O20" s="20" t="s">
        <v>63</v>
      </c>
      <c r="P20" s="20"/>
      <c r="Q20" s="23" t="s">
        <v>28</v>
      </c>
      <c r="R20" s="24"/>
      <c r="S20" s="25"/>
      <c r="T20" s="26"/>
      <c r="U20" s="2"/>
    </row>
    <row r="21" spans="2:21" ht="26.25" thickBot="1" x14ac:dyDescent="0.3">
      <c r="B21" s="6" t="s">
        <v>56</v>
      </c>
      <c r="C21" s="15">
        <v>818.4</v>
      </c>
      <c r="D21" s="20" t="s">
        <v>61</v>
      </c>
      <c r="E21" s="20" t="s">
        <v>61</v>
      </c>
      <c r="F21" s="20" t="s">
        <v>61</v>
      </c>
      <c r="G21" s="20" t="s">
        <v>61</v>
      </c>
      <c r="H21" s="20" t="s">
        <v>61</v>
      </c>
      <c r="I21" s="20" t="s">
        <v>61</v>
      </c>
      <c r="J21" s="20" t="s">
        <v>61</v>
      </c>
      <c r="K21" s="20" t="s">
        <v>61</v>
      </c>
      <c r="L21" s="20" t="s">
        <v>61</v>
      </c>
      <c r="M21" s="20" t="s">
        <v>61</v>
      </c>
      <c r="N21" s="20" t="s">
        <v>61</v>
      </c>
      <c r="O21" s="20" t="s">
        <v>61</v>
      </c>
      <c r="P21" s="20"/>
      <c r="Q21" s="23" t="s">
        <v>28</v>
      </c>
      <c r="R21" s="24"/>
      <c r="S21" s="25"/>
      <c r="T21" s="26"/>
      <c r="U21" s="2"/>
    </row>
    <row r="22" spans="2:21" ht="26.25" thickBot="1" x14ac:dyDescent="0.3">
      <c r="B22" s="6" t="s">
        <v>31</v>
      </c>
      <c r="C22" s="15">
        <v>231.36</v>
      </c>
      <c r="D22" s="20" t="s">
        <v>64</v>
      </c>
      <c r="E22" s="20" t="s">
        <v>64</v>
      </c>
      <c r="F22" s="20" t="s">
        <v>64</v>
      </c>
      <c r="G22" s="20" t="s">
        <v>64</v>
      </c>
      <c r="H22" s="20" t="s">
        <v>64</v>
      </c>
      <c r="I22" s="20" t="s">
        <v>64</v>
      </c>
      <c r="J22" s="20" t="s">
        <v>64</v>
      </c>
      <c r="K22" s="20" t="s">
        <v>64</v>
      </c>
      <c r="L22" s="20" t="s">
        <v>64</v>
      </c>
      <c r="M22" s="20" t="s">
        <v>64</v>
      </c>
      <c r="N22" s="20" t="s">
        <v>64</v>
      </c>
      <c r="O22" s="20" t="s">
        <v>64</v>
      </c>
      <c r="P22" s="20"/>
      <c r="Q22" s="23" t="s">
        <v>28</v>
      </c>
      <c r="R22" s="24"/>
      <c r="S22" s="25"/>
      <c r="T22" s="26"/>
      <c r="U22" s="2"/>
    </row>
    <row r="23" spans="2:21" ht="26.25" thickBot="1" x14ac:dyDescent="0.3">
      <c r="B23" s="6" t="s">
        <v>32</v>
      </c>
      <c r="C23" s="15">
        <v>12.96</v>
      </c>
      <c r="D23" s="20" t="s">
        <v>65</v>
      </c>
      <c r="E23" s="20" t="s">
        <v>65</v>
      </c>
      <c r="F23" s="20" t="s">
        <v>65</v>
      </c>
      <c r="G23" s="20" t="s">
        <v>65</v>
      </c>
      <c r="H23" s="20" t="s">
        <v>65</v>
      </c>
      <c r="I23" s="20" t="s">
        <v>65</v>
      </c>
      <c r="J23" s="20" t="s">
        <v>65</v>
      </c>
      <c r="K23" s="20" t="s">
        <v>65</v>
      </c>
      <c r="L23" s="20" t="s">
        <v>65</v>
      </c>
      <c r="M23" s="20" t="s">
        <v>65</v>
      </c>
      <c r="N23" s="20" t="s">
        <v>65</v>
      </c>
      <c r="O23" s="20" t="s">
        <v>65</v>
      </c>
      <c r="P23" s="20"/>
      <c r="Q23" s="23" t="s">
        <v>28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57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57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3"/>
      <c r="R25" s="24"/>
      <c r="S25" s="25"/>
      <c r="T25" s="26"/>
      <c r="U25" s="2"/>
    </row>
    <row r="26" spans="2:21" ht="26.25" thickBot="1" x14ac:dyDescent="0.3">
      <c r="B26" s="6"/>
      <c r="C26" s="15"/>
      <c r="D26" s="21" t="s">
        <v>57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3"/>
      <c r="R26" s="24"/>
      <c r="S26" s="25"/>
      <c r="T26" s="26"/>
      <c r="U26" s="2"/>
    </row>
    <row r="27" spans="2:21" ht="26.25" thickBot="1" x14ac:dyDescent="0.3">
      <c r="B27" s="6"/>
      <c r="C27" s="15"/>
      <c r="D27" s="21" t="s">
        <v>57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SUM(C16:C26)</f>
        <v>4799.9999999999991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C9AA-63EA-41F8-AB73-ECB2638B0941}">
  <sheetPr>
    <pageSetUpPr fitToPage="1"/>
  </sheetPr>
  <dimension ref="B7:U33"/>
  <sheetViews>
    <sheetView workbookViewId="0">
      <selection activeCell="C7" sqref="C7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46146</v>
      </c>
      <c r="D9" s="1"/>
      <c r="E9" s="57" t="s">
        <v>2</v>
      </c>
      <c r="F9" s="57"/>
      <c r="G9" s="60" t="s">
        <v>53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0.55208333333333337</v>
      </c>
      <c r="E15" s="11">
        <v>0.56597222222222221</v>
      </c>
      <c r="F15" s="11">
        <v>0.57986111111111105</v>
      </c>
      <c r="G15" s="11">
        <v>0.59375</v>
      </c>
      <c r="H15" s="11">
        <v>0.60763888888888895</v>
      </c>
      <c r="I15" s="11">
        <v>0.62152777777777801</v>
      </c>
      <c r="J15" s="11">
        <v>0.63541666666666596</v>
      </c>
      <c r="K15" s="11">
        <v>0.64930555555555503</v>
      </c>
      <c r="L15" s="11">
        <v>0.66319444444444398</v>
      </c>
      <c r="M15" s="11">
        <v>0.67708333333333304</v>
      </c>
      <c r="N15" s="11">
        <v>0.69097222222222099</v>
      </c>
      <c r="O15" s="11">
        <v>0.70486111111111005</v>
      </c>
      <c r="P15" s="11"/>
      <c r="Q15" s="23" t="s">
        <v>34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282.61</v>
      </c>
      <c r="D16" s="20" t="s">
        <v>58</v>
      </c>
      <c r="E16" s="20" t="s">
        <v>58</v>
      </c>
      <c r="F16" s="20" t="s">
        <v>58</v>
      </c>
      <c r="G16" s="20" t="s">
        <v>58</v>
      </c>
      <c r="H16" s="20" t="s">
        <v>58</v>
      </c>
      <c r="I16" s="20" t="s">
        <v>58</v>
      </c>
      <c r="J16" s="20" t="s">
        <v>58</v>
      </c>
      <c r="K16" s="20" t="s">
        <v>58</v>
      </c>
      <c r="L16" s="20" t="s">
        <v>58</v>
      </c>
      <c r="M16" s="20" t="s">
        <v>58</v>
      </c>
      <c r="N16" s="20" t="s">
        <v>58</v>
      </c>
      <c r="O16" s="20" t="s">
        <v>66</v>
      </c>
      <c r="P16" s="20"/>
      <c r="Q16" s="23" t="s">
        <v>34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1843.97</v>
      </c>
      <c r="D17" s="20" t="s">
        <v>59</v>
      </c>
      <c r="E17" s="20" t="s">
        <v>59</v>
      </c>
      <c r="F17" s="20" t="s">
        <v>59</v>
      </c>
      <c r="G17" s="20" t="s">
        <v>59</v>
      </c>
      <c r="H17" s="20" t="s">
        <v>59</v>
      </c>
      <c r="I17" s="20" t="s">
        <v>59</v>
      </c>
      <c r="J17" s="20" t="s">
        <v>59</v>
      </c>
      <c r="K17" s="20" t="s">
        <v>59</v>
      </c>
      <c r="L17" s="20" t="s">
        <v>59</v>
      </c>
      <c r="M17" s="20" t="s">
        <v>59</v>
      </c>
      <c r="N17" s="20" t="s">
        <v>59</v>
      </c>
      <c r="O17" s="20" t="s">
        <v>67</v>
      </c>
      <c r="P17" s="20"/>
      <c r="Q17" s="23" t="s">
        <v>34</v>
      </c>
      <c r="R17" s="24"/>
      <c r="S17" s="25"/>
      <c r="T17" s="26"/>
      <c r="U17" s="2"/>
    </row>
    <row r="18" spans="2:21" ht="26.25" thickBot="1" x14ac:dyDescent="0.3">
      <c r="B18" s="6" t="s">
        <v>35</v>
      </c>
      <c r="C18" s="15">
        <v>512.04</v>
      </c>
      <c r="D18" s="20" t="s">
        <v>60</v>
      </c>
      <c r="E18" s="20" t="s">
        <v>60</v>
      </c>
      <c r="F18" s="20" t="s">
        <v>60</v>
      </c>
      <c r="G18" s="20" t="s">
        <v>60</v>
      </c>
      <c r="H18" s="20" t="s">
        <v>60</v>
      </c>
      <c r="I18" s="20" t="s">
        <v>60</v>
      </c>
      <c r="J18" s="20" t="s">
        <v>60</v>
      </c>
      <c r="K18" s="20" t="s">
        <v>60</v>
      </c>
      <c r="L18" s="20" t="s">
        <v>60</v>
      </c>
      <c r="M18" s="20" t="s">
        <v>60</v>
      </c>
      <c r="N18" s="20" t="s">
        <v>60</v>
      </c>
      <c r="O18" s="20" t="s">
        <v>68</v>
      </c>
      <c r="P18" s="20"/>
      <c r="Q18" s="23" t="s">
        <v>34</v>
      </c>
      <c r="R18" s="24"/>
      <c r="S18" s="25"/>
      <c r="T18" s="26"/>
      <c r="U18" s="2"/>
    </row>
    <row r="19" spans="2:21" ht="26.25" thickBot="1" x14ac:dyDescent="0.3">
      <c r="B19" s="6" t="s">
        <v>54</v>
      </c>
      <c r="C19" s="15">
        <v>358.79</v>
      </c>
      <c r="D19" s="20" t="s">
        <v>62</v>
      </c>
      <c r="E19" s="20" t="s">
        <v>62</v>
      </c>
      <c r="F19" s="20" t="s">
        <v>62</v>
      </c>
      <c r="G19" s="20" t="s">
        <v>62</v>
      </c>
      <c r="H19" s="20" t="s">
        <v>62</v>
      </c>
      <c r="I19" s="20" t="s">
        <v>62</v>
      </c>
      <c r="J19" s="20" t="s">
        <v>62</v>
      </c>
      <c r="K19" s="20" t="s">
        <v>62</v>
      </c>
      <c r="L19" s="20" t="s">
        <v>62</v>
      </c>
      <c r="M19" s="20" t="s">
        <v>62</v>
      </c>
      <c r="N19" s="20" t="s">
        <v>62</v>
      </c>
      <c r="O19" s="20" t="s">
        <v>70</v>
      </c>
      <c r="P19" s="20"/>
      <c r="Q19" s="23" t="s">
        <v>34</v>
      </c>
      <c r="R19" s="24"/>
      <c r="S19" s="25"/>
      <c r="T19" s="26"/>
      <c r="U19" s="2"/>
    </row>
    <row r="20" spans="2:21" ht="26.25" thickBot="1" x14ac:dyDescent="0.3">
      <c r="B20" s="6" t="s">
        <v>55</v>
      </c>
      <c r="C20" s="15">
        <v>512.04</v>
      </c>
      <c r="D20" s="20" t="s">
        <v>63</v>
      </c>
      <c r="E20" s="20" t="s">
        <v>63</v>
      </c>
      <c r="F20" s="20" t="s">
        <v>63</v>
      </c>
      <c r="G20" s="20" t="s">
        <v>63</v>
      </c>
      <c r="H20" s="20" t="s">
        <v>63</v>
      </c>
      <c r="I20" s="20" t="s">
        <v>63</v>
      </c>
      <c r="J20" s="20" t="s">
        <v>63</v>
      </c>
      <c r="K20" s="20" t="s">
        <v>63</v>
      </c>
      <c r="L20" s="20" t="s">
        <v>63</v>
      </c>
      <c r="M20" s="20" t="s">
        <v>63</v>
      </c>
      <c r="N20" s="20" t="s">
        <v>63</v>
      </c>
      <c r="O20" s="20" t="s">
        <v>69</v>
      </c>
      <c r="P20" s="20"/>
      <c r="Q20" s="23" t="s">
        <v>34</v>
      </c>
      <c r="R20" s="24"/>
      <c r="S20" s="25"/>
      <c r="T20" s="26"/>
      <c r="U20" s="2"/>
    </row>
    <row r="21" spans="2:21" ht="26.25" thickBot="1" x14ac:dyDescent="0.3">
      <c r="B21" s="6" t="s">
        <v>56</v>
      </c>
      <c r="C21" s="15">
        <v>768.51</v>
      </c>
      <c r="D21" s="20" t="s">
        <v>61</v>
      </c>
      <c r="E21" s="20" t="s">
        <v>61</v>
      </c>
      <c r="F21" s="20" t="s">
        <v>61</v>
      </c>
      <c r="G21" s="20" t="s">
        <v>61</v>
      </c>
      <c r="H21" s="20" t="s">
        <v>61</v>
      </c>
      <c r="I21" s="20" t="s">
        <v>61</v>
      </c>
      <c r="J21" s="20" t="s">
        <v>61</v>
      </c>
      <c r="K21" s="20" t="s">
        <v>61</v>
      </c>
      <c r="L21" s="20" t="s">
        <v>61</v>
      </c>
      <c r="M21" s="20" t="s">
        <v>61</v>
      </c>
      <c r="N21" s="20" t="s">
        <v>61</v>
      </c>
      <c r="O21" s="20" t="s">
        <v>71</v>
      </c>
      <c r="P21" s="20"/>
      <c r="Q21" s="23" t="s">
        <v>34</v>
      </c>
      <c r="R21" s="24"/>
      <c r="S21" s="25"/>
      <c r="T21" s="26"/>
      <c r="U21" s="2"/>
    </row>
    <row r="22" spans="2:21" ht="26.25" thickBot="1" x14ac:dyDescent="0.3">
      <c r="B22" s="6" t="s">
        <v>31</v>
      </c>
      <c r="C22" s="15">
        <v>217.26</v>
      </c>
      <c r="D22" s="20" t="s">
        <v>64</v>
      </c>
      <c r="E22" s="20" t="s">
        <v>64</v>
      </c>
      <c r="F22" s="20" t="s">
        <v>64</v>
      </c>
      <c r="G22" s="20" t="s">
        <v>64</v>
      </c>
      <c r="H22" s="20" t="s">
        <v>64</v>
      </c>
      <c r="I22" s="20" t="s">
        <v>64</v>
      </c>
      <c r="J22" s="20" t="s">
        <v>64</v>
      </c>
      <c r="K22" s="20" t="s">
        <v>64</v>
      </c>
      <c r="L22" s="20" t="s">
        <v>64</v>
      </c>
      <c r="M22" s="20" t="s">
        <v>64</v>
      </c>
      <c r="N22" s="20" t="s">
        <v>64</v>
      </c>
      <c r="O22" s="20" t="s">
        <v>72</v>
      </c>
      <c r="P22" s="20"/>
      <c r="Q22" s="23" t="s">
        <v>34</v>
      </c>
      <c r="R22" s="24"/>
      <c r="S22" s="25"/>
      <c r="T22" s="26"/>
      <c r="U22" s="2"/>
    </row>
    <row r="23" spans="2:21" ht="26.25" thickBot="1" x14ac:dyDescent="0.3">
      <c r="B23" s="6" t="s">
        <v>32</v>
      </c>
      <c r="C23" s="15">
        <v>12.17</v>
      </c>
      <c r="D23" s="20" t="s">
        <v>65</v>
      </c>
      <c r="E23" s="20" t="s">
        <v>65</v>
      </c>
      <c r="F23" s="20" t="s">
        <v>65</v>
      </c>
      <c r="G23" s="20" t="s">
        <v>65</v>
      </c>
      <c r="H23" s="20" t="s">
        <v>65</v>
      </c>
      <c r="I23" s="20" t="s">
        <v>65</v>
      </c>
      <c r="J23" s="20" t="s">
        <v>65</v>
      </c>
      <c r="K23" s="20" t="s">
        <v>65</v>
      </c>
      <c r="L23" s="20" t="s">
        <v>65</v>
      </c>
      <c r="M23" s="20" t="s">
        <v>65</v>
      </c>
      <c r="N23" s="20" t="s">
        <v>65</v>
      </c>
      <c r="O23" s="20" t="s">
        <v>73</v>
      </c>
      <c r="P23" s="20"/>
      <c r="Q23" s="23" t="s">
        <v>34</v>
      </c>
      <c r="R23" s="24"/>
      <c r="S23" s="25"/>
      <c r="T23" s="26"/>
      <c r="U23" s="2"/>
    </row>
    <row r="24" spans="2:21" ht="26.25" thickBot="1" x14ac:dyDescent="0.3">
      <c r="B24" s="6"/>
      <c r="C24" s="15"/>
      <c r="D24" s="21" t="s">
        <v>57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3"/>
      <c r="R24" s="24"/>
      <c r="S24" s="25"/>
      <c r="T24" s="26"/>
      <c r="U24" s="2"/>
    </row>
    <row r="25" spans="2:21" ht="26.25" thickBot="1" x14ac:dyDescent="0.3">
      <c r="B25" s="6"/>
      <c r="C25" s="15"/>
      <c r="D25" s="21" t="s">
        <v>57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3"/>
      <c r="R25" s="24"/>
      <c r="S25" s="25"/>
      <c r="T25" s="26"/>
      <c r="U25" s="2"/>
    </row>
    <row r="26" spans="2:21" ht="26.25" thickBot="1" x14ac:dyDescent="0.3">
      <c r="B26" s="6"/>
      <c r="C26" s="15"/>
      <c r="D26" s="21" t="s">
        <v>57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3"/>
      <c r="R26" s="24"/>
      <c r="S26" s="25"/>
      <c r="T26" s="26"/>
      <c r="U26" s="2"/>
    </row>
    <row r="27" spans="2:21" ht="26.25" thickBot="1" x14ac:dyDescent="0.3">
      <c r="B27" s="6"/>
      <c r="C27" s="15"/>
      <c r="D27" s="21" t="s">
        <v>57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SUM(C16:C26)</f>
        <v>4507.3900000000003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107.39</v>
      </c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9C74-9541-4BA4-8FCF-04B71CA04E1F}">
  <sheetPr>
    <pageSetUpPr fitToPage="1"/>
  </sheetPr>
  <dimension ref="B7:U33"/>
  <sheetViews>
    <sheetView tabSelected="1" workbookViewId="0">
      <selection activeCell="C7" sqref="C7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46147</v>
      </c>
      <c r="D9" s="1"/>
      <c r="E9" s="57" t="s">
        <v>2</v>
      </c>
      <c r="F9" s="57"/>
      <c r="G9" s="60" t="s">
        <v>74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0.54166666666666663</v>
      </c>
      <c r="E15" s="11">
        <v>0.55555555555555558</v>
      </c>
      <c r="F15" s="11">
        <v>0.56944444444444497</v>
      </c>
      <c r="G15" s="11">
        <v>0.58333333333333304</v>
      </c>
      <c r="H15" s="11">
        <v>0.59722222222222199</v>
      </c>
      <c r="I15" s="11">
        <v>0.61111111111111105</v>
      </c>
      <c r="J15" s="11">
        <v>0.625</v>
      </c>
      <c r="K15" s="11">
        <v>0.63888888888888895</v>
      </c>
      <c r="L15" s="11"/>
      <c r="M15" s="11"/>
      <c r="N15" s="11"/>
      <c r="O15" s="11"/>
      <c r="P15" s="11"/>
      <c r="Q15" s="23" t="s">
        <v>28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416.64</v>
      </c>
      <c r="D16" s="20" t="s">
        <v>80</v>
      </c>
      <c r="E16" s="20" t="s">
        <v>80</v>
      </c>
      <c r="F16" s="20" t="s">
        <v>80</v>
      </c>
      <c r="G16" s="20" t="s">
        <v>80</v>
      </c>
      <c r="H16" s="20" t="s">
        <v>80</v>
      </c>
      <c r="I16" s="20" t="s">
        <v>80</v>
      </c>
      <c r="J16" s="20" t="s">
        <v>80</v>
      </c>
      <c r="K16" s="20" t="s">
        <v>80</v>
      </c>
      <c r="L16" s="20"/>
      <c r="M16" s="20"/>
      <c r="N16" s="20"/>
      <c r="O16" s="20"/>
      <c r="P16" s="20"/>
      <c r="Q16" s="23" t="s">
        <v>28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718.08</v>
      </c>
      <c r="D17" s="20" t="s">
        <v>81</v>
      </c>
      <c r="E17" s="20" t="s">
        <v>81</v>
      </c>
      <c r="F17" s="20" t="s">
        <v>81</v>
      </c>
      <c r="G17" s="20" t="s">
        <v>81</v>
      </c>
      <c r="H17" s="20" t="s">
        <v>81</v>
      </c>
      <c r="I17" s="20" t="s">
        <v>81</v>
      </c>
      <c r="J17" s="20" t="s">
        <v>81</v>
      </c>
      <c r="K17" s="20" t="s">
        <v>81</v>
      </c>
      <c r="L17" s="20"/>
      <c r="M17" s="20"/>
      <c r="N17" s="20"/>
      <c r="O17" s="20"/>
      <c r="P17" s="20"/>
      <c r="Q17" s="23" t="s">
        <v>28</v>
      </c>
      <c r="R17" s="24"/>
      <c r="S17" s="25"/>
      <c r="T17" s="26"/>
      <c r="U17" s="2"/>
    </row>
    <row r="18" spans="2:21" ht="26.25" thickBot="1" x14ac:dyDescent="0.3">
      <c r="B18" s="6" t="s">
        <v>75</v>
      </c>
      <c r="C18" s="15">
        <v>1436.16</v>
      </c>
      <c r="D18" s="20" t="s">
        <v>82</v>
      </c>
      <c r="E18" s="20" t="s">
        <v>82</v>
      </c>
      <c r="F18" s="20" t="s">
        <v>82</v>
      </c>
      <c r="G18" s="20" t="s">
        <v>82</v>
      </c>
      <c r="H18" s="20" t="s">
        <v>82</v>
      </c>
      <c r="I18" s="20" t="s">
        <v>82</v>
      </c>
      <c r="J18" s="20" t="s">
        <v>82</v>
      </c>
      <c r="K18" s="20" t="s">
        <v>82</v>
      </c>
      <c r="L18" s="20"/>
      <c r="M18" s="20"/>
      <c r="N18" s="20"/>
      <c r="O18" s="20"/>
      <c r="P18" s="20"/>
      <c r="Q18" s="23" t="s">
        <v>28</v>
      </c>
      <c r="R18" s="24"/>
      <c r="S18" s="25"/>
      <c r="T18" s="26"/>
      <c r="U18" s="2"/>
    </row>
    <row r="19" spans="2:21" ht="26.25" thickBot="1" x14ac:dyDescent="0.3">
      <c r="B19" s="6" t="s">
        <v>54</v>
      </c>
      <c r="C19" s="15">
        <v>326.39999999999998</v>
      </c>
      <c r="D19" s="20" t="s">
        <v>83</v>
      </c>
      <c r="E19" s="20" t="s">
        <v>83</v>
      </c>
      <c r="F19" s="20" t="s">
        <v>83</v>
      </c>
      <c r="G19" s="20" t="s">
        <v>83</v>
      </c>
      <c r="H19" s="20" t="s">
        <v>83</v>
      </c>
      <c r="I19" s="20" t="s">
        <v>83</v>
      </c>
      <c r="J19" s="20" t="s">
        <v>83</v>
      </c>
      <c r="K19" s="20" t="s">
        <v>83</v>
      </c>
      <c r="L19" s="20"/>
      <c r="M19" s="20"/>
      <c r="N19" s="20"/>
      <c r="O19" s="20"/>
      <c r="P19" s="20"/>
      <c r="Q19" s="23" t="s">
        <v>28</v>
      </c>
      <c r="R19" s="24"/>
      <c r="S19" s="25"/>
      <c r="T19" s="26"/>
      <c r="U19" s="2"/>
    </row>
    <row r="20" spans="2:21" ht="26.25" thickBot="1" x14ac:dyDescent="0.3">
      <c r="B20" s="6" t="s">
        <v>76</v>
      </c>
      <c r="C20" s="15">
        <v>58.88</v>
      </c>
      <c r="D20" s="20" t="s">
        <v>84</v>
      </c>
      <c r="E20" s="20" t="s">
        <v>84</v>
      </c>
      <c r="F20" s="20" t="s">
        <v>84</v>
      </c>
      <c r="G20" s="20" t="s">
        <v>84</v>
      </c>
      <c r="H20" s="20" t="s">
        <v>84</v>
      </c>
      <c r="I20" s="20" t="s">
        <v>84</v>
      </c>
      <c r="J20" s="20" t="s">
        <v>84</v>
      </c>
      <c r="K20" s="20" t="s">
        <v>84</v>
      </c>
      <c r="L20" s="20"/>
      <c r="M20" s="20"/>
      <c r="N20" s="20"/>
      <c r="O20" s="20"/>
      <c r="P20" s="20"/>
      <c r="Q20" s="23" t="s">
        <v>28</v>
      </c>
      <c r="R20" s="24"/>
      <c r="S20" s="25"/>
      <c r="T20" s="26"/>
      <c r="U20" s="2"/>
    </row>
    <row r="21" spans="2:21" ht="26.25" thickBot="1" x14ac:dyDescent="0.3">
      <c r="B21" s="6" t="s">
        <v>77</v>
      </c>
      <c r="C21" s="15">
        <v>32.64</v>
      </c>
      <c r="D21" s="20" t="s">
        <v>85</v>
      </c>
      <c r="E21" s="20" t="s">
        <v>85</v>
      </c>
      <c r="F21" s="20" t="s">
        <v>85</v>
      </c>
      <c r="G21" s="20" t="s">
        <v>85</v>
      </c>
      <c r="H21" s="20" t="s">
        <v>85</v>
      </c>
      <c r="I21" s="20" t="s">
        <v>85</v>
      </c>
      <c r="J21" s="20" t="s">
        <v>85</v>
      </c>
      <c r="K21" s="20" t="s">
        <v>85</v>
      </c>
      <c r="L21" s="20"/>
      <c r="M21" s="20"/>
      <c r="N21" s="20"/>
      <c r="O21" s="20"/>
      <c r="P21" s="20"/>
      <c r="Q21" s="23" t="s">
        <v>28</v>
      </c>
      <c r="R21" s="24"/>
      <c r="S21" s="25"/>
      <c r="T21" s="26"/>
      <c r="U21" s="2"/>
    </row>
    <row r="22" spans="2:21" ht="26.25" thickBot="1" x14ac:dyDescent="0.3">
      <c r="B22" s="6" t="s">
        <v>78</v>
      </c>
      <c r="C22" s="15">
        <v>32.64</v>
      </c>
      <c r="D22" s="20" t="s">
        <v>86</v>
      </c>
      <c r="E22" s="20" t="s">
        <v>86</v>
      </c>
      <c r="F22" s="20" t="s">
        <v>86</v>
      </c>
      <c r="G22" s="20" t="s">
        <v>86</v>
      </c>
      <c r="H22" s="20" t="s">
        <v>86</v>
      </c>
      <c r="I22" s="20" t="s">
        <v>86</v>
      </c>
      <c r="J22" s="20" t="s">
        <v>86</v>
      </c>
      <c r="K22" s="20" t="s">
        <v>86</v>
      </c>
      <c r="L22" s="20"/>
      <c r="M22" s="20"/>
      <c r="N22" s="20"/>
      <c r="O22" s="20"/>
      <c r="P22" s="20"/>
      <c r="Q22" s="23" t="s">
        <v>28</v>
      </c>
      <c r="R22" s="24"/>
      <c r="S22" s="25"/>
      <c r="T22" s="26"/>
      <c r="U22" s="2"/>
    </row>
    <row r="23" spans="2:21" ht="26.25" thickBot="1" x14ac:dyDescent="0.3">
      <c r="B23" s="6" t="s">
        <v>79</v>
      </c>
      <c r="C23" s="15">
        <v>32.64</v>
      </c>
      <c r="D23" s="20" t="s">
        <v>87</v>
      </c>
      <c r="E23" s="20" t="s">
        <v>87</v>
      </c>
      <c r="F23" s="20" t="s">
        <v>87</v>
      </c>
      <c r="G23" s="20" t="s">
        <v>87</v>
      </c>
      <c r="H23" s="20" t="s">
        <v>87</v>
      </c>
      <c r="I23" s="20" t="s">
        <v>87</v>
      </c>
      <c r="J23" s="20" t="s">
        <v>87</v>
      </c>
      <c r="K23" s="20" t="s">
        <v>87</v>
      </c>
      <c r="L23" s="20"/>
      <c r="M23" s="20"/>
      <c r="N23" s="20"/>
      <c r="O23" s="20"/>
      <c r="P23" s="20"/>
      <c r="Q23" s="23" t="s">
        <v>28</v>
      </c>
      <c r="R23" s="24"/>
      <c r="S23" s="25"/>
      <c r="T23" s="26"/>
      <c r="U23" s="2"/>
    </row>
    <row r="24" spans="2:21" ht="26.25" thickBot="1" x14ac:dyDescent="0.3">
      <c r="B24" s="6" t="s">
        <v>31</v>
      </c>
      <c r="C24" s="15">
        <v>138.24</v>
      </c>
      <c r="D24" s="20" t="s">
        <v>88</v>
      </c>
      <c r="E24" s="20" t="s">
        <v>88</v>
      </c>
      <c r="F24" s="20" t="s">
        <v>88</v>
      </c>
      <c r="G24" s="20" t="s">
        <v>88</v>
      </c>
      <c r="H24" s="20" t="s">
        <v>88</v>
      </c>
      <c r="I24" s="20" t="s">
        <v>88</v>
      </c>
      <c r="J24" s="20" t="s">
        <v>88</v>
      </c>
      <c r="K24" s="20" t="s">
        <v>88</v>
      </c>
      <c r="L24" s="20"/>
      <c r="M24" s="20"/>
      <c r="N24" s="20"/>
      <c r="O24" s="20"/>
      <c r="P24" s="20"/>
      <c r="Q24" s="23" t="s">
        <v>28</v>
      </c>
      <c r="R24" s="24"/>
      <c r="S24" s="25"/>
      <c r="T24" s="26"/>
      <c r="U24" s="2"/>
    </row>
    <row r="25" spans="2:21" ht="26.25" thickBot="1" x14ac:dyDescent="0.3">
      <c r="B25" s="6" t="s">
        <v>32</v>
      </c>
      <c r="C25" s="15">
        <v>7.68</v>
      </c>
      <c r="D25" s="20" t="s">
        <v>89</v>
      </c>
      <c r="E25" s="20" t="s">
        <v>89</v>
      </c>
      <c r="F25" s="20" t="s">
        <v>89</v>
      </c>
      <c r="G25" s="20" t="s">
        <v>89</v>
      </c>
      <c r="H25" s="20" t="s">
        <v>89</v>
      </c>
      <c r="I25" s="20" t="s">
        <v>89</v>
      </c>
      <c r="J25" s="20" t="s">
        <v>89</v>
      </c>
      <c r="K25" s="20" t="s">
        <v>89</v>
      </c>
      <c r="L25" s="20"/>
      <c r="M25" s="20"/>
      <c r="N25" s="20"/>
      <c r="O25" s="20"/>
      <c r="P25" s="20"/>
      <c r="Q25" s="23" t="s">
        <v>28</v>
      </c>
      <c r="R25" s="24"/>
      <c r="S25" s="25"/>
      <c r="T25" s="26"/>
      <c r="U25" s="2"/>
    </row>
    <row r="26" spans="2:21" ht="26.25" thickBot="1" x14ac:dyDescent="0.3">
      <c r="B26" s="6"/>
      <c r="C26" s="15"/>
      <c r="D26" s="21" t="s">
        <v>57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3" t="s">
        <v>28</v>
      </c>
      <c r="R26" s="24"/>
      <c r="S26" s="25"/>
      <c r="T26" s="26"/>
      <c r="U26" s="2"/>
    </row>
    <row r="27" spans="2:21" ht="26.25" thickBot="1" x14ac:dyDescent="0.3">
      <c r="B27" s="6"/>
      <c r="C27" s="15"/>
      <c r="D27" s="21" t="s">
        <v>57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SUM(C16:C26)</f>
        <v>3199.9999999999995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2E87-CFB1-4CD7-A04E-2C33C21AE207}">
  <sheetPr>
    <pageSetUpPr fitToPage="1"/>
  </sheetPr>
  <dimension ref="B7:U33"/>
  <sheetViews>
    <sheetView workbookViewId="0">
      <selection activeCell="K26" sqref="K26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2"/>
      <c r="T7" s="22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2"/>
      <c r="S8" s="22"/>
      <c r="T8" s="1"/>
      <c r="U8" s="1"/>
    </row>
    <row r="9" spans="2:21" ht="15.75" customHeight="1" x14ac:dyDescent="0.25">
      <c r="B9" s="3" t="s">
        <v>1</v>
      </c>
      <c r="C9" s="19">
        <v>46147</v>
      </c>
      <c r="D9" s="1"/>
      <c r="E9" s="57" t="s">
        <v>2</v>
      </c>
      <c r="F9" s="57"/>
      <c r="G9" s="60" t="s">
        <v>74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0.54513888888888884</v>
      </c>
      <c r="E15" s="11">
        <v>0.55902777777777779</v>
      </c>
      <c r="F15" s="11">
        <v>0.57291666666666696</v>
      </c>
      <c r="G15" s="11">
        <v>0.58680555555555602</v>
      </c>
      <c r="H15" s="11">
        <v>0.60069444444444497</v>
      </c>
      <c r="I15" s="11">
        <v>0.61458333333333404</v>
      </c>
      <c r="J15" s="11">
        <v>0.62847222222222299</v>
      </c>
      <c r="K15" s="11">
        <v>0.64236111111111105</v>
      </c>
      <c r="L15" s="11"/>
      <c r="M15" s="11"/>
      <c r="N15" s="11"/>
      <c r="O15" s="11"/>
      <c r="P15" s="11"/>
      <c r="Q15" s="23" t="s">
        <v>34</v>
      </c>
      <c r="R15" s="24"/>
      <c r="S15" s="30"/>
      <c r="T15" s="31"/>
      <c r="U15" s="2"/>
    </row>
    <row r="16" spans="2:21" ht="26.25" thickBot="1" x14ac:dyDescent="0.3">
      <c r="B16" s="6" t="s">
        <v>29</v>
      </c>
      <c r="C16" s="15">
        <v>371.34</v>
      </c>
      <c r="D16" s="20" t="s">
        <v>80</v>
      </c>
      <c r="E16" s="20" t="s">
        <v>80</v>
      </c>
      <c r="F16" s="20" t="s">
        <v>80</v>
      </c>
      <c r="G16" s="20" t="s">
        <v>80</v>
      </c>
      <c r="H16" s="20" t="s">
        <v>80</v>
      </c>
      <c r="I16" s="20" t="s">
        <v>80</v>
      </c>
      <c r="J16" s="20" t="s">
        <v>80</v>
      </c>
      <c r="K16" s="20" t="s">
        <v>90</v>
      </c>
      <c r="L16" s="20"/>
      <c r="M16" s="20"/>
      <c r="N16" s="20"/>
      <c r="O16" s="20"/>
      <c r="P16" s="20"/>
      <c r="Q16" s="23" t="s">
        <v>34</v>
      </c>
      <c r="R16" s="24"/>
      <c r="S16" s="25"/>
      <c r="T16" s="26"/>
      <c r="U16" s="2"/>
    </row>
    <row r="17" spans="2:21" ht="26.25" thickBot="1" x14ac:dyDescent="0.3">
      <c r="B17" s="6" t="s">
        <v>30</v>
      </c>
      <c r="C17" s="15">
        <v>640</v>
      </c>
      <c r="D17" s="20" t="s">
        <v>81</v>
      </c>
      <c r="E17" s="20" t="s">
        <v>81</v>
      </c>
      <c r="F17" s="20" t="s">
        <v>81</v>
      </c>
      <c r="G17" s="20" t="s">
        <v>81</v>
      </c>
      <c r="H17" s="20" t="s">
        <v>81</v>
      </c>
      <c r="I17" s="20" t="s">
        <v>81</v>
      </c>
      <c r="J17" s="20" t="s">
        <v>81</v>
      </c>
      <c r="K17" s="20" t="s">
        <v>91</v>
      </c>
      <c r="L17" s="20"/>
      <c r="M17" s="20"/>
      <c r="N17" s="20"/>
      <c r="O17" s="20"/>
      <c r="P17" s="20"/>
      <c r="Q17" s="23" t="s">
        <v>34</v>
      </c>
      <c r="R17" s="24"/>
      <c r="S17" s="25"/>
      <c r="T17" s="26"/>
      <c r="U17" s="2"/>
    </row>
    <row r="18" spans="2:21" ht="26.25" thickBot="1" x14ac:dyDescent="0.3">
      <c r="B18" s="6" t="s">
        <v>75</v>
      </c>
      <c r="C18" s="15">
        <v>1280</v>
      </c>
      <c r="D18" s="20" t="s">
        <v>82</v>
      </c>
      <c r="E18" s="20" t="s">
        <v>82</v>
      </c>
      <c r="F18" s="20" t="s">
        <v>82</v>
      </c>
      <c r="G18" s="20" t="s">
        <v>82</v>
      </c>
      <c r="H18" s="20" t="s">
        <v>82</v>
      </c>
      <c r="I18" s="20" t="s">
        <v>82</v>
      </c>
      <c r="J18" s="20" t="s">
        <v>82</v>
      </c>
      <c r="K18" s="20" t="s">
        <v>92</v>
      </c>
      <c r="L18" s="20"/>
      <c r="M18" s="20"/>
      <c r="N18" s="20"/>
      <c r="O18" s="20"/>
      <c r="P18" s="20"/>
      <c r="Q18" s="23" t="s">
        <v>34</v>
      </c>
      <c r="R18" s="24"/>
      <c r="S18" s="25"/>
      <c r="T18" s="26"/>
      <c r="U18" s="2"/>
    </row>
    <row r="19" spans="2:21" ht="26.25" thickBot="1" x14ac:dyDescent="0.3">
      <c r="B19" s="6" t="s">
        <v>54</v>
      </c>
      <c r="C19" s="15">
        <v>290.91000000000003</v>
      </c>
      <c r="D19" s="20" t="s">
        <v>83</v>
      </c>
      <c r="E19" s="20" t="s">
        <v>83</v>
      </c>
      <c r="F19" s="20" t="s">
        <v>83</v>
      </c>
      <c r="G19" s="20" t="s">
        <v>83</v>
      </c>
      <c r="H19" s="20" t="s">
        <v>83</v>
      </c>
      <c r="I19" s="20" t="s">
        <v>83</v>
      </c>
      <c r="J19" s="20" t="s">
        <v>83</v>
      </c>
      <c r="K19" s="20" t="s">
        <v>93</v>
      </c>
      <c r="L19" s="20"/>
      <c r="M19" s="20"/>
      <c r="N19" s="20"/>
      <c r="O19" s="20"/>
      <c r="P19" s="20"/>
      <c r="Q19" s="23" t="s">
        <v>34</v>
      </c>
      <c r="R19" s="24"/>
      <c r="S19" s="25"/>
      <c r="T19" s="26"/>
      <c r="U19" s="2"/>
    </row>
    <row r="20" spans="2:21" ht="26.25" thickBot="1" x14ac:dyDescent="0.3">
      <c r="B20" s="6" t="s">
        <v>76</v>
      </c>
      <c r="C20" s="15">
        <v>52.48</v>
      </c>
      <c r="D20" s="20" t="s">
        <v>84</v>
      </c>
      <c r="E20" s="20" t="s">
        <v>84</v>
      </c>
      <c r="F20" s="20" t="s">
        <v>84</v>
      </c>
      <c r="G20" s="20" t="s">
        <v>84</v>
      </c>
      <c r="H20" s="20" t="s">
        <v>84</v>
      </c>
      <c r="I20" s="20" t="s">
        <v>84</v>
      </c>
      <c r="J20" s="20" t="s">
        <v>84</v>
      </c>
      <c r="K20" s="20" t="s">
        <v>94</v>
      </c>
      <c r="L20" s="20"/>
      <c r="M20" s="20"/>
      <c r="N20" s="20"/>
      <c r="O20" s="20"/>
      <c r="P20" s="20"/>
      <c r="Q20" s="23" t="s">
        <v>34</v>
      </c>
      <c r="R20" s="24"/>
      <c r="S20" s="25"/>
      <c r="T20" s="26"/>
      <c r="U20" s="2"/>
    </row>
    <row r="21" spans="2:21" ht="26.25" thickBot="1" x14ac:dyDescent="0.3">
      <c r="B21" s="6" t="s">
        <v>77</v>
      </c>
      <c r="C21" s="15">
        <v>29.09</v>
      </c>
      <c r="D21" s="20" t="s">
        <v>85</v>
      </c>
      <c r="E21" s="20" t="s">
        <v>85</v>
      </c>
      <c r="F21" s="20" t="s">
        <v>85</v>
      </c>
      <c r="G21" s="20" t="s">
        <v>85</v>
      </c>
      <c r="H21" s="20" t="s">
        <v>85</v>
      </c>
      <c r="I21" s="20" t="s">
        <v>85</v>
      </c>
      <c r="J21" s="20" t="s">
        <v>85</v>
      </c>
      <c r="K21" s="20" t="s">
        <v>95</v>
      </c>
      <c r="L21" s="20"/>
      <c r="M21" s="20"/>
      <c r="N21" s="20"/>
      <c r="O21" s="20"/>
      <c r="P21" s="20"/>
      <c r="Q21" s="23" t="s">
        <v>34</v>
      </c>
      <c r="R21" s="24"/>
      <c r="S21" s="25"/>
      <c r="T21" s="26"/>
      <c r="U21" s="2"/>
    </row>
    <row r="22" spans="2:21" ht="26.25" thickBot="1" x14ac:dyDescent="0.3">
      <c r="B22" s="6" t="s">
        <v>78</v>
      </c>
      <c r="C22" s="15">
        <v>29.09</v>
      </c>
      <c r="D22" s="20" t="s">
        <v>86</v>
      </c>
      <c r="E22" s="20" t="s">
        <v>86</v>
      </c>
      <c r="F22" s="20" t="s">
        <v>86</v>
      </c>
      <c r="G22" s="20" t="s">
        <v>86</v>
      </c>
      <c r="H22" s="20" t="s">
        <v>86</v>
      </c>
      <c r="I22" s="20" t="s">
        <v>86</v>
      </c>
      <c r="J22" s="20" t="s">
        <v>86</v>
      </c>
      <c r="K22" s="20" t="s">
        <v>96</v>
      </c>
      <c r="L22" s="20"/>
      <c r="M22" s="20"/>
      <c r="N22" s="20"/>
      <c r="O22" s="20"/>
      <c r="P22" s="20"/>
      <c r="Q22" s="23" t="s">
        <v>34</v>
      </c>
      <c r="R22" s="24"/>
      <c r="S22" s="25"/>
      <c r="T22" s="26"/>
      <c r="U22" s="2"/>
    </row>
    <row r="23" spans="2:21" ht="26.25" thickBot="1" x14ac:dyDescent="0.3">
      <c r="B23" s="6" t="s">
        <v>79</v>
      </c>
      <c r="C23" s="15">
        <v>29.09</v>
      </c>
      <c r="D23" s="20" t="s">
        <v>87</v>
      </c>
      <c r="E23" s="20" t="s">
        <v>87</v>
      </c>
      <c r="F23" s="20" t="s">
        <v>87</v>
      </c>
      <c r="G23" s="20" t="s">
        <v>87</v>
      </c>
      <c r="H23" s="20" t="s">
        <v>87</v>
      </c>
      <c r="I23" s="20" t="s">
        <v>87</v>
      </c>
      <c r="J23" s="20" t="s">
        <v>87</v>
      </c>
      <c r="K23" s="20" t="s">
        <v>97</v>
      </c>
      <c r="L23" s="20"/>
      <c r="M23" s="20"/>
      <c r="N23" s="20"/>
      <c r="O23" s="20"/>
      <c r="P23" s="20"/>
      <c r="Q23" s="23" t="s">
        <v>34</v>
      </c>
      <c r="R23" s="24"/>
      <c r="S23" s="25"/>
      <c r="T23" s="26"/>
      <c r="U23" s="2"/>
    </row>
    <row r="24" spans="2:21" ht="26.25" thickBot="1" x14ac:dyDescent="0.3">
      <c r="B24" s="6" t="s">
        <v>31</v>
      </c>
      <c r="C24" s="15">
        <v>123.21</v>
      </c>
      <c r="D24" s="20" t="s">
        <v>88</v>
      </c>
      <c r="E24" s="20" t="s">
        <v>88</v>
      </c>
      <c r="F24" s="20" t="s">
        <v>88</v>
      </c>
      <c r="G24" s="20" t="s">
        <v>88</v>
      </c>
      <c r="H24" s="20" t="s">
        <v>88</v>
      </c>
      <c r="I24" s="20" t="s">
        <v>88</v>
      </c>
      <c r="J24" s="20" t="s">
        <v>88</v>
      </c>
      <c r="K24" s="20" t="s">
        <v>98</v>
      </c>
      <c r="L24" s="20"/>
      <c r="M24" s="20"/>
      <c r="N24" s="20"/>
      <c r="O24" s="20"/>
      <c r="P24" s="20"/>
      <c r="Q24" s="23" t="s">
        <v>34</v>
      </c>
      <c r="R24" s="24"/>
      <c r="S24" s="25"/>
      <c r="T24" s="26"/>
      <c r="U24" s="2"/>
    </row>
    <row r="25" spans="2:21" ht="26.25" thickBot="1" x14ac:dyDescent="0.3">
      <c r="B25" s="6" t="s">
        <v>32</v>
      </c>
      <c r="C25" s="15">
        <v>6.84</v>
      </c>
      <c r="D25" s="20" t="s">
        <v>89</v>
      </c>
      <c r="E25" s="20" t="s">
        <v>89</v>
      </c>
      <c r="F25" s="20" t="s">
        <v>89</v>
      </c>
      <c r="G25" s="20" t="s">
        <v>89</v>
      </c>
      <c r="H25" s="20" t="s">
        <v>89</v>
      </c>
      <c r="I25" s="20" t="s">
        <v>89</v>
      </c>
      <c r="J25" s="20" t="s">
        <v>89</v>
      </c>
      <c r="K25" s="20" t="s">
        <v>99</v>
      </c>
      <c r="L25" s="20"/>
      <c r="M25" s="20"/>
      <c r="N25" s="20"/>
      <c r="O25" s="20"/>
      <c r="P25" s="20"/>
      <c r="Q25" s="23" t="s">
        <v>34</v>
      </c>
      <c r="R25" s="24"/>
      <c r="S25" s="25"/>
      <c r="T25" s="26"/>
      <c r="U25" s="2"/>
    </row>
    <row r="26" spans="2:21" ht="26.25" thickBot="1" x14ac:dyDescent="0.3">
      <c r="B26" s="6"/>
      <c r="C26" s="15"/>
      <c r="D26" s="21" t="s">
        <v>57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3"/>
      <c r="R26" s="24"/>
      <c r="S26" s="25"/>
      <c r="T26" s="26"/>
      <c r="U26" s="2"/>
    </row>
    <row r="27" spans="2:21" ht="26.25" thickBot="1" x14ac:dyDescent="0.3">
      <c r="B27" s="6"/>
      <c r="C27" s="15"/>
      <c r="D27" s="21" t="s">
        <v>57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3"/>
      <c r="R27" s="24"/>
      <c r="S27" s="25"/>
      <c r="T27" s="26"/>
      <c r="U27" s="2"/>
    </row>
    <row r="28" spans="2:21" ht="16.5" thickBot="1" x14ac:dyDescent="0.3">
      <c r="B28" s="9" t="s">
        <v>21</v>
      </c>
      <c r="C28" s="13">
        <f>SUM(C16:C26)</f>
        <v>2852.0500000000006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52.05</v>
      </c>
      <c r="L28" s="13"/>
      <c r="M28" s="13"/>
      <c r="N28" s="13"/>
      <c r="O28" s="13"/>
      <c r="P28" s="13"/>
      <c r="Q28" s="25"/>
      <c r="R28" s="26"/>
      <c r="S28" s="25"/>
      <c r="T28" s="26"/>
      <c r="U28" s="2"/>
    </row>
    <row r="29" spans="2:21" x14ac:dyDescent="0.25">
      <c r="B29" s="27" t="s">
        <v>22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2"/>
      <c r="R30" s="22"/>
      <c r="S30" s="22"/>
      <c r="T30" s="22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8"/>
      <c r="R31" s="28"/>
      <c r="S31" s="22"/>
      <c r="T31" s="22"/>
      <c r="U31" s="2"/>
    </row>
    <row r="32" spans="2:21" x14ac:dyDescent="0.25">
      <c r="B32" s="1"/>
      <c r="C32" s="29" t="s">
        <v>23</v>
      </c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9" t="s">
        <v>24</v>
      </c>
      <c r="Q32" s="29"/>
      <c r="R32" s="29"/>
      <c r="S32" s="22"/>
      <c r="T32" s="22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2"/>
      <c r="R33" s="22"/>
      <c r="S33" s="22"/>
      <c r="T33" s="22"/>
      <c r="U33" s="2"/>
    </row>
  </sheetData>
  <mergeCells count="50">
    <mergeCell ref="Q31:R31"/>
    <mergeCell ref="S31:T31"/>
    <mergeCell ref="C32:D32"/>
    <mergeCell ref="P32:R32"/>
    <mergeCell ref="S32:T32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Olmos 1</vt:lpstr>
      <vt:lpstr>Olmos 2</vt:lpstr>
      <vt:lpstr>Sanchez Carrion 1</vt:lpstr>
      <vt:lpstr>Sanchez Carrion 2</vt:lpstr>
      <vt:lpstr>Viru 1</vt:lpstr>
      <vt:lpstr>Viru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2026-06-22T20:40:02Z</cp:lastPrinted>
  <dcterms:created xsi:type="dcterms:W3CDTF">2026-06-22T16:11:07Z</dcterms:created>
  <dcterms:modified xsi:type="dcterms:W3CDTF">2026-07-08T19:12:08Z</dcterms:modified>
</cp:coreProperties>
</file>