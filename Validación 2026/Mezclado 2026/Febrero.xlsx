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Mezclado 2026\"/>
    </mc:Choice>
  </mc:AlternateContent>
  <xr:revisionPtr revIDLastSave="0" documentId="13_ncr:1_{31228026-4C50-42DA-B289-3A975DB35AF4}" xr6:coauthVersionLast="47" xr6:coauthVersionMax="47" xr10:uidLastSave="{00000000-0000-0000-0000-000000000000}"/>
  <bookViews>
    <workbookView xWindow="-120" yWindow="-120" windowWidth="29040" windowHeight="15720" activeTab="8" xr2:uid="{7C9DF992-C883-48CD-A5A8-6441119EE8A0}"/>
  </bookViews>
  <sheets>
    <sheet name="Olmos 1" sheetId="12" r:id="rId1"/>
    <sheet name="Olmos 2" sheetId="15" r:id="rId2"/>
    <sheet name="Olmos 3" sheetId="17" r:id="rId3"/>
    <sheet name="Cajatambo" sheetId="18" r:id="rId4"/>
    <sheet name="Encañada 1" sheetId="3" r:id="rId5"/>
    <sheet name="Encañada 2" sheetId="19" r:id="rId6"/>
    <sheet name="Encañada 3" sheetId="20" r:id="rId7"/>
    <sheet name="Encañada 4" sheetId="21" r:id="rId8"/>
    <sheet name="Encañada 5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21" l="1"/>
  <c r="C28" i="20"/>
  <c r="C28" i="19"/>
  <c r="C28" i="18"/>
  <c r="C28" i="17" l="1"/>
  <c r="C22" i="15"/>
  <c r="C21" i="15"/>
  <c r="C20" i="15"/>
  <c r="C19" i="15"/>
  <c r="C18" i="15"/>
  <c r="C17" i="15"/>
  <c r="C16" i="15"/>
  <c r="C28" i="15" s="1"/>
  <c r="C22" i="12"/>
  <c r="C21" i="12"/>
  <c r="C20" i="12"/>
  <c r="C19" i="12"/>
  <c r="C18" i="12"/>
  <c r="C17" i="12"/>
  <c r="C16" i="12"/>
  <c r="C28" i="12" l="1"/>
  <c r="C28" i="8"/>
  <c r="C28" i="3"/>
</calcChain>
</file>

<file path=xl/sharedStrings.xml><?xml version="1.0" encoding="utf-8"?>
<sst xmlns="http://schemas.openxmlformats.org/spreadsheetml/2006/main" count="1083" uniqueCount="86">
  <si>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</si>
  <si>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</si>
  <si>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</si>
  <si>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</si>
  <si>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</si>
  <si>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</si>
  <si>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</si>
  <si>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</si>
  <si>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</si>
  <si>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</si>
  <si>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</si>
  <si>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</si>
  <si>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</si>
  <si>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</si>
  <si>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</si>
  <si>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</si>
  <si>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</si>
  <si>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</si>
  <si>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</si>
  <si>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</si>
  <si>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</si>
  <si>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</si>
  <si>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</si>
  <si>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</si>
  <si>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</si>
  <si>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</si>
  <si>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MEZCLA PRECOCIDA DE HOJUELAS DE QUINUA, AVENA Y KIWICHA CON SEMILLAS DE CHÍA, HARINAS DE MACA Y CACAO FORTIFICADA CON VITAMINAS Y MINERALES</t>
  </si>
  <si>
    <t>03</t>
  </si>
  <si>
    <t>04</t>
  </si>
  <si>
    <t>Mezcladora 1</t>
  </si>
  <si>
    <t>Hojuela de Avena</t>
  </si>
  <si>
    <t>Hojuela de Quinua</t>
  </si>
  <si>
    <t>Hojuela de Kiwicha</t>
  </si>
  <si>
    <t>Harina de Maca</t>
  </si>
  <si>
    <t>Harina de Chia</t>
  </si>
  <si>
    <t>Harina de Cacao</t>
  </si>
  <si>
    <t>Fosfato Tricálcico</t>
  </si>
  <si>
    <t>Mix Vitáminico</t>
  </si>
  <si>
    <t>0.84
MV150</t>
  </si>
  <si>
    <t>Mezcladora 2</t>
  </si>
  <si>
    <t>HOJUELAS PRECOCIDAS DE AVENA, QUINUA, KIWICHA Y MACA ENRIQUECIDA CON VITAMINAS Y MINERALES</t>
  </si>
  <si>
    <t>Harina de Soya</t>
  </si>
  <si>
    <t>Leche en Polvo</t>
  </si>
  <si>
    <t xml:space="preserve">MEZCLA PRECOCIDA DE QUINUA, KIWICHA, AVENA Y HARINA DE SOYA INTEGRAL TOSTADA CON LECHE ENTERA EN POLVO FORTIFICADA CON VITAMINAS Y MINERALES </t>
  </si>
  <si>
    <t>Harina de Kiwicha</t>
  </si>
  <si>
    <t>90.85
AH032</t>
  </si>
  <si>
    <t>125.79
QH032</t>
  </si>
  <si>
    <t>104.82
KA032</t>
  </si>
  <si>
    <t>20.96
SH032</t>
  </si>
  <si>
    <t>41.93
LP030</t>
  </si>
  <si>
    <t>14.81
FT030</t>
  </si>
  <si>
    <t>0.84
MV030</t>
  </si>
  <si>
    <t>61.11
AH032</t>
  </si>
  <si>
    <t>84.61
QH032</t>
  </si>
  <si>
    <t>70.51
KA032</t>
  </si>
  <si>
    <t>14.10
SH032</t>
  </si>
  <si>
    <t>28.20
LP030</t>
  </si>
  <si>
    <t>9.97
FT030</t>
  </si>
  <si>
    <t>0.56
MV030</t>
  </si>
  <si>
    <t>142.04
AH036</t>
  </si>
  <si>
    <t>47.36
QH036</t>
  </si>
  <si>
    <t>47.36
KH036</t>
  </si>
  <si>
    <t>142.04
MA029</t>
  </si>
  <si>
    <t>20.08
CH030</t>
  </si>
  <si>
    <t>1.12
MV030</t>
  </si>
  <si>
    <t>86.3
AH036</t>
  </si>
  <si>
    <t>28.78
QH036</t>
  </si>
  <si>
    <t>28.78
KH036</t>
  </si>
  <si>
    <t>86.3
MA029</t>
  </si>
  <si>
    <t>12.20
CH030</t>
  </si>
  <si>
    <t>0.68
MV030</t>
  </si>
  <si>
    <t>80.44
AH046</t>
  </si>
  <si>
    <t>78.56
QH046</t>
  </si>
  <si>
    <t>178.56
KH046</t>
  </si>
  <si>
    <t>21.44
MA029</t>
  </si>
  <si>
    <t>7.16
CH046</t>
  </si>
  <si>
    <t>17.84
CC031</t>
  </si>
  <si>
    <t>15.16
FT030</t>
  </si>
  <si>
    <t>66.86
QH046</t>
  </si>
  <si>
    <t>68.46
AH046</t>
  </si>
  <si>
    <t>151.96
KH046</t>
  </si>
  <si>
    <t>18.25
MA029</t>
  </si>
  <si>
    <t>6.09
CH046</t>
  </si>
  <si>
    <t>15.18
CC031</t>
  </si>
  <si>
    <t>12.90
FT030</t>
  </si>
  <si>
    <t>0.71
MV030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</si>
</sst>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30783-C659-49FA-B0B0-1D042480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F4B2665-A420-492D-ACAE-3DA843F5914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92CF6F-D2D0-4335-A670-66188816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5074FB9-4703-43CC-83C5-2A093496BD5C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6D6673-EE39-4313-B786-22A817110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73B9058-539B-4D88-8EE0-704D54D39A1E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2E8413-D2A6-4160-89D4-6DB6A459D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E3AC841-2AEA-4B72-86EE-537DAD14BAC3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2C334-7AD5-4DE2-88F0-2DCAB42C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1E318B-963C-46DD-934E-53287BDEFC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76F5B7-1FF1-4695-827C-F6000C7AA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8BAB4A5-0D8A-45E2-A48A-75E35B769DF6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2E8AAD-CD53-431B-9710-6FF47D569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EEA2AAE-FF55-4DF7-A549-08529DC04E34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714B62-3B4D-403D-91F5-E9732334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6E8C09F-2DCB-4D10-BE44-0ED4D67C86C5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145579-E357-45C1-A670-9CB2BD26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995FDE2-401C-46EE-BF48-749C0DC77575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E997-C203-493A-B9DF-6CD7B930968A}">
  <sheetPr>
    <pageSetUpPr fitToPage="1"/>
  </sheetPr>
  <dimension ref="B7:U33"/>
  <sheetViews>
    <sheetView workbookViewId="0">
      <selection activeCell="M23" sqref="M23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46054</v>
      </c>
      <c r="D9" s="1"/>
      <c r="E9" s="57" t="s">
        <v>2</v>
      </c>
      <c r="F9" s="57"/>
      <c r="G9" s="60" t="s">
        <v>43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0.5625</v>
      </c>
      <c r="E15" s="11">
        <v>0.57638888888888884</v>
      </c>
      <c r="F15" s="11">
        <v>0.59027777777777801</v>
      </c>
      <c r="G15" s="11">
        <v>0.60416666666666696</v>
      </c>
      <c r="H15" s="11">
        <v>0.61805555555555503</v>
      </c>
      <c r="I15" s="11">
        <v>0.63194444444444398</v>
      </c>
      <c r="J15" s="11">
        <v>0.64583333333333304</v>
      </c>
      <c r="K15" s="11">
        <v>0.65972222222222199</v>
      </c>
      <c r="L15" s="11">
        <v>0.67361111111111105</v>
      </c>
      <c r="M15" s="11">
        <v>0.6875</v>
      </c>
      <c r="N15" s="11">
        <v>0.70138888888888795</v>
      </c>
      <c r="O15" s="11">
        <v>0.71527777777777701</v>
      </c>
      <c r="P15" s="11">
        <v>0.72916666666666596</v>
      </c>
      <c r="Q15" s="23" t="s">
        <v>29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f>90.85*13</f>
        <v>1181.05</v>
      </c>
      <c r="D16" s="20" t="s">
        <v>45</v>
      </c>
      <c r="E16" s="20" t="s">
        <v>45</v>
      </c>
      <c r="F16" s="20" t="s">
        <v>45</v>
      </c>
      <c r="G16" s="20" t="s">
        <v>45</v>
      </c>
      <c r="H16" s="20" t="s">
        <v>45</v>
      </c>
      <c r="I16" s="20" t="s">
        <v>45</v>
      </c>
      <c r="J16" s="20" t="s">
        <v>45</v>
      </c>
      <c r="K16" s="20" t="s">
        <v>45</v>
      </c>
      <c r="L16" s="20" t="s">
        <v>45</v>
      </c>
      <c r="M16" s="20" t="s">
        <v>45</v>
      </c>
      <c r="N16" s="20" t="s">
        <v>45</v>
      </c>
      <c r="O16" s="20" t="s">
        <v>45</v>
      </c>
      <c r="P16" s="20" t="s">
        <v>45</v>
      </c>
      <c r="Q16" s="23" t="s">
        <v>29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f>125.79*13</f>
        <v>1635.27</v>
      </c>
      <c r="D17" s="20" t="s">
        <v>46</v>
      </c>
      <c r="E17" s="20" t="s">
        <v>46</v>
      </c>
      <c r="F17" s="20" t="s">
        <v>46</v>
      </c>
      <c r="G17" s="20" t="s">
        <v>46</v>
      </c>
      <c r="H17" s="20" t="s">
        <v>46</v>
      </c>
      <c r="I17" s="20" t="s">
        <v>46</v>
      </c>
      <c r="J17" s="20" t="s">
        <v>46</v>
      </c>
      <c r="K17" s="20" t="s">
        <v>46</v>
      </c>
      <c r="L17" s="20" t="s">
        <v>46</v>
      </c>
      <c r="M17" s="20" t="s">
        <v>46</v>
      </c>
      <c r="N17" s="20" t="s">
        <v>46</v>
      </c>
      <c r="O17" s="20" t="s">
        <v>46</v>
      </c>
      <c r="P17" s="20" t="s">
        <v>46</v>
      </c>
      <c r="Q17" s="23" t="s">
        <v>29</v>
      </c>
      <c r="R17" s="24"/>
      <c r="S17" s="25"/>
      <c r="T17" s="26"/>
      <c r="U17" s="2"/>
    </row>
    <row r="18" spans="2:21" ht="26.25" thickBot="1" x14ac:dyDescent="0.3">
      <c r="B18" s="6" t="s">
        <v>44</v>
      </c>
      <c r="C18" s="15">
        <f>104.82*13</f>
        <v>1362.6599999999999</v>
      </c>
      <c r="D18" s="20" t="s">
        <v>47</v>
      </c>
      <c r="E18" s="20" t="s">
        <v>47</v>
      </c>
      <c r="F18" s="20" t="s">
        <v>47</v>
      </c>
      <c r="G18" s="20" t="s">
        <v>47</v>
      </c>
      <c r="H18" s="20" t="s">
        <v>47</v>
      </c>
      <c r="I18" s="20" t="s">
        <v>47</v>
      </c>
      <c r="J18" s="20" t="s">
        <v>47</v>
      </c>
      <c r="K18" s="20" t="s">
        <v>47</v>
      </c>
      <c r="L18" s="20" t="s">
        <v>47</v>
      </c>
      <c r="M18" s="20" t="s">
        <v>47</v>
      </c>
      <c r="N18" s="20" t="s">
        <v>47</v>
      </c>
      <c r="O18" s="20" t="s">
        <v>47</v>
      </c>
      <c r="P18" s="20" t="s">
        <v>47</v>
      </c>
      <c r="Q18" s="23" t="s">
        <v>29</v>
      </c>
      <c r="R18" s="24"/>
      <c r="S18" s="25"/>
      <c r="T18" s="26"/>
      <c r="U18" s="2"/>
    </row>
    <row r="19" spans="2:21" ht="26.25" thickBot="1" x14ac:dyDescent="0.3">
      <c r="B19" s="6" t="s">
        <v>41</v>
      </c>
      <c r="C19" s="15">
        <f>20.96*13</f>
        <v>272.48</v>
      </c>
      <c r="D19" s="20" t="s">
        <v>48</v>
      </c>
      <c r="E19" s="20" t="s">
        <v>48</v>
      </c>
      <c r="F19" s="20" t="s">
        <v>48</v>
      </c>
      <c r="G19" s="20" t="s">
        <v>48</v>
      </c>
      <c r="H19" s="20" t="s">
        <v>48</v>
      </c>
      <c r="I19" s="20" t="s">
        <v>48</v>
      </c>
      <c r="J19" s="20" t="s">
        <v>48</v>
      </c>
      <c r="K19" s="20" t="s">
        <v>48</v>
      </c>
      <c r="L19" s="20" t="s">
        <v>48</v>
      </c>
      <c r="M19" s="20" t="s">
        <v>48</v>
      </c>
      <c r="N19" s="20" t="s">
        <v>48</v>
      </c>
      <c r="O19" s="20" t="s">
        <v>48</v>
      </c>
      <c r="P19" s="20" t="s">
        <v>48</v>
      </c>
      <c r="Q19" s="23" t="s">
        <v>29</v>
      </c>
      <c r="R19" s="24"/>
      <c r="S19" s="25"/>
      <c r="T19" s="26"/>
      <c r="U19" s="2"/>
    </row>
    <row r="20" spans="2:21" ht="26.25" thickBot="1" x14ac:dyDescent="0.3">
      <c r="B20" s="6" t="s">
        <v>42</v>
      </c>
      <c r="C20" s="15">
        <f>41.93*13</f>
        <v>545.09</v>
      </c>
      <c r="D20" s="20" t="s">
        <v>49</v>
      </c>
      <c r="E20" s="20" t="s">
        <v>49</v>
      </c>
      <c r="F20" s="20" t="s">
        <v>49</v>
      </c>
      <c r="G20" s="20" t="s">
        <v>49</v>
      </c>
      <c r="H20" s="20" t="s">
        <v>49</v>
      </c>
      <c r="I20" s="20" t="s">
        <v>49</v>
      </c>
      <c r="J20" s="20" t="s">
        <v>49</v>
      </c>
      <c r="K20" s="20" t="s">
        <v>49</v>
      </c>
      <c r="L20" s="20" t="s">
        <v>49</v>
      </c>
      <c r="M20" s="20" t="s">
        <v>49</v>
      </c>
      <c r="N20" s="20" t="s">
        <v>49</v>
      </c>
      <c r="O20" s="20" t="s">
        <v>49</v>
      </c>
      <c r="P20" s="20" t="s">
        <v>49</v>
      </c>
      <c r="Q20" s="23" t="s">
        <v>29</v>
      </c>
      <c r="R20" s="24"/>
      <c r="S20" s="25"/>
      <c r="T20" s="26"/>
      <c r="U20" s="2"/>
    </row>
    <row r="21" spans="2:21" ht="26.25" thickBot="1" x14ac:dyDescent="0.3">
      <c r="B21" s="6" t="s">
        <v>36</v>
      </c>
      <c r="C21" s="15">
        <f>14.81*13</f>
        <v>192.53</v>
      </c>
      <c r="D21" s="20" t="s">
        <v>50</v>
      </c>
      <c r="E21" s="20" t="s">
        <v>50</v>
      </c>
      <c r="F21" s="20" t="s">
        <v>50</v>
      </c>
      <c r="G21" s="20" t="s">
        <v>50</v>
      </c>
      <c r="H21" s="20" t="s">
        <v>50</v>
      </c>
      <c r="I21" s="20" t="s">
        <v>50</v>
      </c>
      <c r="J21" s="20" t="s">
        <v>50</v>
      </c>
      <c r="K21" s="20" t="s">
        <v>50</v>
      </c>
      <c r="L21" s="20" t="s">
        <v>50</v>
      </c>
      <c r="M21" s="20" t="s">
        <v>50</v>
      </c>
      <c r="N21" s="20" t="s">
        <v>50</v>
      </c>
      <c r="O21" s="20" t="s">
        <v>50</v>
      </c>
      <c r="P21" s="20" t="s">
        <v>50</v>
      </c>
      <c r="Q21" s="23" t="s">
        <v>29</v>
      </c>
      <c r="R21" s="24"/>
      <c r="S21" s="25"/>
      <c r="T21" s="26"/>
      <c r="U21" s="2"/>
    </row>
    <row r="22" spans="2:21" ht="26.25" thickBot="1" x14ac:dyDescent="0.3">
      <c r="B22" s="6" t="s">
        <v>37</v>
      </c>
      <c r="C22" s="15">
        <f>0.84*13</f>
        <v>10.92</v>
      </c>
      <c r="D22" s="20" t="s">
        <v>51</v>
      </c>
      <c r="E22" s="20" t="s">
        <v>51</v>
      </c>
      <c r="F22" s="20" t="s">
        <v>51</v>
      </c>
      <c r="G22" s="20" t="s">
        <v>51</v>
      </c>
      <c r="H22" s="20" t="s">
        <v>51</v>
      </c>
      <c r="I22" s="20" t="s">
        <v>51</v>
      </c>
      <c r="J22" s="20" t="s">
        <v>51</v>
      </c>
      <c r="K22" s="20" t="s">
        <v>51</v>
      </c>
      <c r="L22" s="20" t="s">
        <v>51</v>
      </c>
      <c r="M22" s="20" t="s">
        <v>51</v>
      </c>
      <c r="N22" s="20" t="s">
        <v>51</v>
      </c>
      <c r="O22" s="20" t="s">
        <v>51</v>
      </c>
      <c r="P22" s="20" t="s">
        <v>51</v>
      </c>
      <c r="Q22" s="23" t="s">
        <v>29</v>
      </c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43E2-7FB1-412A-9AD8-710398C0FD5E}">
  <sheetPr>
    <pageSetUpPr fitToPage="1"/>
  </sheetPr>
  <dimension ref="B7:U33"/>
  <sheetViews>
    <sheetView topLeftCell="A4" workbookViewId="0">
      <selection activeCell="N19" sqref="N19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46054</v>
      </c>
      <c r="D9" s="1"/>
      <c r="E9" s="57" t="s">
        <v>2</v>
      </c>
      <c r="F9" s="57"/>
      <c r="G9" s="60" t="s">
        <v>43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0.56597222222222221</v>
      </c>
      <c r="E15" s="11">
        <v>0.57986111111111116</v>
      </c>
      <c r="F15" s="11">
        <v>0.59375</v>
      </c>
      <c r="G15" s="11">
        <v>0.60763888888888895</v>
      </c>
      <c r="H15" s="11">
        <v>0.62152777777777801</v>
      </c>
      <c r="I15" s="11">
        <v>0.63541666666666696</v>
      </c>
      <c r="J15" s="11">
        <v>0.64930555555555602</v>
      </c>
      <c r="K15" s="11">
        <v>0.66319444444444497</v>
      </c>
      <c r="L15" s="11">
        <v>0.67708333333333404</v>
      </c>
      <c r="M15" s="11">
        <v>0.69097222222222299</v>
      </c>
      <c r="N15" s="11">
        <v>0.70486111111111205</v>
      </c>
      <c r="O15" s="11">
        <v>0.71875</v>
      </c>
      <c r="P15" s="11">
        <v>0.73263888888888895</v>
      </c>
      <c r="Q15" s="23" t="s">
        <v>39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f>90.85*13</f>
        <v>1181.05</v>
      </c>
      <c r="D16" s="20" t="s">
        <v>45</v>
      </c>
      <c r="E16" s="20" t="s">
        <v>45</v>
      </c>
      <c r="F16" s="20" t="s">
        <v>45</v>
      </c>
      <c r="G16" s="20" t="s">
        <v>45</v>
      </c>
      <c r="H16" s="20" t="s">
        <v>45</v>
      </c>
      <c r="I16" s="20" t="s">
        <v>45</v>
      </c>
      <c r="J16" s="20" t="s">
        <v>45</v>
      </c>
      <c r="K16" s="20" t="s">
        <v>45</v>
      </c>
      <c r="L16" s="20" t="s">
        <v>45</v>
      </c>
      <c r="M16" s="20" t="s">
        <v>45</v>
      </c>
      <c r="N16" s="20" t="s">
        <v>45</v>
      </c>
      <c r="O16" s="20" t="s">
        <v>45</v>
      </c>
      <c r="P16" s="20" t="s">
        <v>45</v>
      </c>
      <c r="Q16" s="23" t="s">
        <v>39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f>125.79*13</f>
        <v>1635.27</v>
      </c>
      <c r="D17" s="20" t="s">
        <v>46</v>
      </c>
      <c r="E17" s="20" t="s">
        <v>46</v>
      </c>
      <c r="F17" s="20" t="s">
        <v>46</v>
      </c>
      <c r="G17" s="20" t="s">
        <v>46</v>
      </c>
      <c r="H17" s="20" t="s">
        <v>46</v>
      </c>
      <c r="I17" s="20" t="s">
        <v>46</v>
      </c>
      <c r="J17" s="20" t="s">
        <v>46</v>
      </c>
      <c r="K17" s="20" t="s">
        <v>46</v>
      </c>
      <c r="L17" s="20" t="s">
        <v>46</v>
      </c>
      <c r="M17" s="20" t="s">
        <v>46</v>
      </c>
      <c r="N17" s="20" t="s">
        <v>46</v>
      </c>
      <c r="O17" s="20" t="s">
        <v>46</v>
      </c>
      <c r="P17" s="20" t="s">
        <v>46</v>
      </c>
      <c r="Q17" s="23" t="s">
        <v>39</v>
      </c>
      <c r="R17" s="24"/>
      <c r="S17" s="25"/>
      <c r="T17" s="26"/>
      <c r="U17" s="2"/>
    </row>
    <row r="18" spans="2:21" ht="26.25" thickBot="1" x14ac:dyDescent="0.3">
      <c r="B18" s="6" t="s">
        <v>44</v>
      </c>
      <c r="C18" s="15">
        <f>104.82*13</f>
        <v>1362.6599999999999</v>
      </c>
      <c r="D18" s="20" t="s">
        <v>47</v>
      </c>
      <c r="E18" s="20" t="s">
        <v>47</v>
      </c>
      <c r="F18" s="20" t="s">
        <v>47</v>
      </c>
      <c r="G18" s="20" t="s">
        <v>47</v>
      </c>
      <c r="H18" s="20" t="s">
        <v>47</v>
      </c>
      <c r="I18" s="20" t="s">
        <v>47</v>
      </c>
      <c r="J18" s="20" t="s">
        <v>47</v>
      </c>
      <c r="K18" s="20" t="s">
        <v>47</v>
      </c>
      <c r="L18" s="20" t="s">
        <v>47</v>
      </c>
      <c r="M18" s="20" t="s">
        <v>47</v>
      </c>
      <c r="N18" s="20" t="s">
        <v>47</v>
      </c>
      <c r="O18" s="20" t="s">
        <v>47</v>
      </c>
      <c r="P18" s="20" t="s">
        <v>47</v>
      </c>
      <c r="Q18" s="23" t="s">
        <v>39</v>
      </c>
      <c r="R18" s="24"/>
      <c r="S18" s="25"/>
      <c r="T18" s="26"/>
      <c r="U18" s="2"/>
    </row>
    <row r="19" spans="2:21" ht="26.25" thickBot="1" x14ac:dyDescent="0.3">
      <c r="B19" s="6" t="s">
        <v>41</v>
      </c>
      <c r="C19" s="15">
        <f>20.96*13</f>
        <v>272.48</v>
      </c>
      <c r="D19" s="20" t="s">
        <v>48</v>
      </c>
      <c r="E19" s="20" t="s">
        <v>48</v>
      </c>
      <c r="F19" s="20" t="s">
        <v>48</v>
      </c>
      <c r="G19" s="20" t="s">
        <v>48</v>
      </c>
      <c r="H19" s="20" t="s">
        <v>48</v>
      </c>
      <c r="I19" s="20" t="s">
        <v>48</v>
      </c>
      <c r="J19" s="20" t="s">
        <v>48</v>
      </c>
      <c r="K19" s="20" t="s">
        <v>48</v>
      </c>
      <c r="L19" s="20" t="s">
        <v>48</v>
      </c>
      <c r="M19" s="20" t="s">
        <v>48</v>
      </c>
      <c r="N19" s="20" t="s">
        <v>48</v>
      </c>
      <c r="O19" s="20" t="s">
        <v>48</v>
      </c>
      <c r="P19" s="20" t="s">
        <v>48</v>
      </c>
      <c r="Q19" s="23" t="s">
        <v>39</v>
      </c>
      <c r="R19" s="24"/>
      <c r="S19" s="25"/>
      <c r="T19" s="26"/>
      <c r="U19" s="2"/>
    </row>
    <row r="20" spans="2:21" ht="26.25" thickBot="1" x14ac:dyDescent="0.3">
      <c r="B20" s="6" t="s">
        <v>42</v>
      </c>
      <c r="C20" s="15">
        <f>41.93*13</f>
        <v>545.09</v>
      </c>
      <c r="D20" s="20" t="s">
        <v>49</v>
      </c>
      <c r="E20" s="20" t="s">
        <v>49</v>
      </c>
      <c r="F20" s="20" t="s">
        <v>49</v>
      </c>
      <c r="G20" s="20" t="s">
        <v>49</v>
      </c>
      <c r="H20" s="20" t="s">
        <v>49</v>
      </c>
      <c r="I20" s="20" t="s">
        <v>49</v>
      </c>
      <c r="J20" s="20" t="s">
        <v>49</v>
      </c>
      <c r="K20" s="20" t="s">
        <v>49</v>
      </c>
      <c r="L20" s="20" t="s">
        <v>49</v>
      </c>
      <c r="M20" s="20" t="s">
        <v>49</v>
      </c>
      <c r="N20" s="20" t="s">
        <v>49</v>
      </c>
      <c r="O20" s="20" t="s">
        <v>49</v>
      </c>
      <c r="P20" s="20" t="s">
        <v>49</v>
      </c>
      <c r="Q20" s="23" t="s">
        <v>39</v>
      </c>
      <c r="R20" s="24"/>
      <c r="S20" s="25"/>
      <c r="T20" s="26"/>
      <c r="U20" s="2"/>
    </row>
    <row r="21" spans="2:21" ht="26.25" thickBot="1" x14ac:dyDescent="0.3">
      <c r="B21" s="6" t="s">
        <v>36</v>
      </c>
      <c r="C21" s="15">
        <f>14.81*13</f>
        <v>192.53</v>
      </c>
      <c r="D21" s="20" t="s">
        <v>50</v>
      </c>
      <c r="E21" s="20" t="s">
        <v>50</v>
      </c>
      <c r="F21" s="20" t="s">
        <v>50</v>
      </c>
      <c r="G21" s="20" t="s">
        <v>50</v>
      </c>
      <c r="H21" s="20" t="s">
        <v>50</v>
      </c>
      <c r="I21" s="20" t="s">
        <v>50</v>
      </c>
      <c r="J21" s="20" t="s">
        <v>50</v>
      </c>
      <c r="K21" s="20" t="s">
        <v>50</v>
      </c>
      <c r="L21" s="20" t="s">
        <v>50</v>
      </c>
      <c r="M21" s="20" t="s">
        <v>50</v>
      </c>
      <c r="N21" s="20" t="s">
        <v>50</v>
      </c>
      <c r="O21" s="20" t="s">
        <v>50</v>
      </c>
      <c r="P21" s="20" t="s">
        <v>50</v>
      </c>
      <c r="Q21" s="23" t="s">
        <v>39</v>
      </c>
      <c r="R21" s="24"/>
      <c r="S21" s="25"/>
      <c r="T21" s="26"/>
      <c r="U21" s="2"/>
    </row>
    <row r="22" spans="2:21" ht="26.25" thickBot="1" x14ac:dyDescent="0.3">
      <c r="B22" s="6" t="s">
        <v>37</v>
      </c>
      <c r="C22" s="15">
        <f>0.84*13</f>
        <v>10.92</v>
      </c>
      <c r="D22" s="20" t="s">
        <v>51</v>
      </c>
      <c r="E22" s="20" t="s">
        <v>51</v>
      </c>
      <c r="F22" s="20" t="s">
        <v>51</v>
      </c>
      <c r="G22" s="20" t="s">
        <v>51</v>
      </c>
      <c r="H22" s="20" t="s">
        <v>51</v>
      </c>
      <c r="I22" s="20" t="s">
        <v>51</v>
      </c>
      <c r="J22" s="20" t="s">
        <v>51</v>
      </c>
      <c r="K22" s="20" t="s">
        <v>51</v>
      </c>
      <c r="L22" s="20" t="s">
        <v>51</v>
      </c>
      <c r="M22" s="20" t="s">
        <v>51</v>
      </c>
      <c r="N22" s="20" t="s">
        <v>51</v>
      </c>
      <c r="O22" s="20" t="s">
        <v>51</v>
      </c>
      <c r="P22" s="20" t="s">
        <v>51</v>
      </c>
      <c r="Q22" s="23" t="s">
        <v>39</v>
      </c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45F2-29B8-4F94-B20C-BF2662DCD78E}">
  <sheetPr>
    <pageSetUpPr fitToPage="1"/>
  </sheetPr>
  <dimension ref="B7:U33"/>
  <sheetViews>
    <sheetView workbookViewId="0">
      <selection activeCell="B3" sqref="B3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46054</v>
      </c>
      <c r="D9" s="1"/>
      <c r="E9" s="57" t="s">
        <v>2</v>
      </c>
      <c r="F9" s="57"/>
      <c r="G9" s="60" t="s">
        <v>43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0.24305555555555555</v>
      </c>
      <c r="E15" s="11">
        <v>0.25694444444444442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3" t="s">
        <v>29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151.94999999999999</v>
      </c>
      <c r="D16" s="20" t="s">
        <v>45</v>
      </c>
      <c r="E16" s="20" t="s">
        <v>52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3" t="s">
        <v>29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210.4</v>
      </c>
      <c r="D17" s="20" t="s">
        <v>46</v>
      </c>
      <c r="E17" s="20" t="s">
        <v>53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3" t="s">
        <v>29</v>
      </c>
      <c r="R17" s="24"/>
      <c r="S17" s="25"/>
      <c r="T17" s="26"/>
      <c r="U17" s="2"/>
    </row>
    <row r="18" spans="2:21" ht="26.25" thickBot="1" x14ac:dyDescent="0.3">
      <c r="B18" s="6" t="s">
        <v>44</v>
      </c>
      <c r="C18" s="15">
        <v>175.33</v>
      </c>
      <c r="D18" s="20" t="s">
        <v>47</v>
      </c>
      <c r="E18" s="20" t="s">
        <v>54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3" t="s">
        <v>29</v>
      </c>
      <c r="R18" s="24"/>
      <c r="S18" s="25"/>
      <c r="T18" s="26"/>
      <c r="U18" s="2"/>
    </row>
    <row r="19" spans="2:21" ht="26.25" thickBot="1" x14ac:dyDescent="0.3">
      <c r="B19" s="6" t="s">
        <v>41</v>
      </c>
      <c r="C19" s="15">
        <v>35.07</v>
      </c>
      <c r="D19" s="20" t="s">
        <v>48</v>
      </c>
      <c r="E19" s="20" t="s">
        <v>55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3" t="s">
        <v>29</v>
      </c>
      <c r="R19" s="24"/>
      <c r="S19" s="25"/>
      <c r="T19" s="26"/>
      <c r="U19" s="2"/>
    </row>
    <row r="20" spans="2:21" ht="26.25" thickBot="1" x14ac:dyDescent="0.3">
      <c r="B20" s="6" t="s">
        <v>42</v>
      </c>
      <c r="C20" s="15">
        <v>70.13</v>
      </c>
      <c r="D20" s="20" t="s">
        <v>49</v>
      </c>
      <c r="E20" s="20" t="s">
        <v>56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3" t="s">
        <v>29</v>
      </c>
      <c r="R20" s="24"/>
      <c r="S20" s="25"/>
      <c r="T20" s="26"/>
      <c r="U20" s="2"/>
    </row>
    <row r="21" spans="2:21" ht="26.25" thickBot="1" x14ac:dyDescent="0.3">
      <c r="B21" s="6" t="s">
        <v>36</v>
      </c>
      <c r="C21" s="15">
        <v>24.78</v>
      </c>
      <c r="D21" s="20" t="s">
        <v>50</v>
      </c>
      <c r="E21" s="20" t="s">
        <v>57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3" t="s">
        <v>29</v>
      </c>
      <c r="R21" s="24"/>
      <c r="S21" s="25"/>
      <c r="T21" s="26"/>
      <c r="U21" s="2"/>
    </row>
    <row r="22" spans="2:21" ht="26.25" thickBot="1" x14ac:dyDescent="0.3">
      <c r="B22" s="6" t="s">
        <v>37</v>
      </c>
      <c r="C22" s="15">
        <v>1.4</v>
      </c>
      <c r="D22" s="20" t="s">
        <v>51</v>
      </c>
      <c r="E22" s="20" t="s">
        <v>58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3" t="s">
        <v>29</v>
      </c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669.06000000000006</v>
      </c>
      <c r="D28" s="13">
        <v>400</v>
      </c>
      <c r="E28" s="13">
        <v>269.06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6F14-5D83-4715-9177-37DB2B820256}">
  <sheetPr>
    <pageSetUpPr fitToPage="1"/>
  </sheetPr>
  <dimension ref="B7:U33"/>
  <sheetViews>
    <sheetView workbookViewId="0">
      <selection activeCell="F22" sqref="F2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46058</v>
      </c>
      <c r="D9" s="1"/>
      <c r="E9" s="57" t="s">
        <v>2</v>
      </c>
      <c r="F9" s="57"/>
      <c r="G9" s="58" t="s">
        <v>40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0.56944444444444442</v>
      </c>
      <c r="E15" s="11">
        <v>0.58333333333333337</v>
      </c>
      <c r="F15" s="11">
        <v>0.59722222222222199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3" t="s">
        <v>29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370.38</v>
      </c>
      <c r="D16" s="20" t="s">
        <v>59</v>
      </c>
      <c r="E16" s="20" t="s">
        <v>59</v>
      </c>
      <c r="F16" s="20" t="s">
        <v>65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3" t="s">
        <v>29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123.5</v>
      </c>
      <c r="D17" s="20" t="s">
        <v>60</v>
      </c>
      <c r="E17" s="20" t="s">
        <v>60</v>
      </c>
      <c r="F17" s="20" t="s">
        <v>66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3" t="s">
        <v>29</v>
      </c>
      <c r="R17" s="24"/>
      <c r="S17" s="25"/>
      <c r="T17" s="26"/>
      <c r="U17" s="2"/>
    </row>
    <row r="18" spans="2:21" ht="26.25" thickBot="1" x14ac:dyDescent="0.3">
      <c r="B18" s="6" t="s">
        <v>32</v>
      </c>
      <c r="C18" s="15">
        <v>123.5</v>
      </c>
      <c r="D18" s="20" t="s">
        <v>61</v>
      </c>
      <c r="E18" s="20" t="s">
        <v>61</v>
      </c>
      <c r="F18" s="20" t="s">
        <v>67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3" t="s">
        <v>29</v>
      </c>
      <c r="R18" s="24"/>
      <c r="S18" s="25"/>
      <c r="T18" s="26"/>
      <c r="U18" s="2"/>
    </row>
    <row r="19" spans="2:21" ht="26.25" thickBot="1" x14ac:dyDescent="0.3">
      <c r="B19" s="6" t="s">
        <v>33</v>
      </c>
      <c r="C19" s="15">
        <v>370.38</v>
      </c>
      <c r="D19" s="20" t="s">
        <v>62</v>
      </c>
      <c r="E19" s="20" t="s">
        <v>62</v>
      </c>
      <c r="F19" s="20" t="s">
        <v>68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3" t="s">
        <v>29</v>
      </c>
      <c r="R19" s="24"/>
      <c r="S19" s="25"/>
      <c r="T19" s="26"/>
      <c r="U19" s="2"/>
    </row>
    <row r="20" spans="2:21" ht="26.25" thickBot="1" x14ac:dyDescent="0.3">
      <c r="B20" s="6" t="s">
        <v>36</v>
      </c>
      <c r="C20" s="15">
        <v>52.36</v>
      </c>
      <c r="D20" s="20" t="s">
        <v>63</v>
      </c>
      <c r="E20" s="20" t="s">
        <v>63</v>
      </c>
      <c r="F20" s="20" t="s">
        <v>69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3" t="s">
        <v>29</v>
      </c>
      <c r="R20" s="24"/>
      <c r="S20" s="25"/>
      <c r="T20" s="26"/>
      <c r="U20" s="2"/>
    </row>
    <row r="21" spans="2:21" ht="26.25" thickBot="1" x14ac:dyDescent="0.3">
      <c r="B21" s="6" t="s">
        <v>37</v>
      </c>
      <c r="C21" s="15">
        <v>2.92</v>
      </c>
      <c r="D21" s="20" t="s">
        <v>64</v>
      </c>
      <c r="E21" s="20" t="s">
        <v>64</v>
      </c>
      <c r="F21" s="20" t="s">
        <v>70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3" t="s">
        <v>29</v>
      </c>
      <c r="R21" s="24"/>
      <c r="S21" s="25"/>
      <c r="T21" s="26"/>
      <c r="U21" s="2"/>
    </row>
    <row r="22" spans="2:21" ht="26.25" thickBot="1" x14ac:dyDescent="0.3">
      <c r="B22" s="6"/>
      <c r="C22" s="15"/>
      <c r="D22" s="21" t="s">
        <v>38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3"/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1043.04</v>
      </c>
      <c r="D28" s="13">
        <v>400</v>
      </c>
      <c r="E28" s="13">
        <v>400</v>
      </c>
      <c r="F28" s="13">
        <v>243.04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DE0-E848-43C7-9216-F34ABA5E3A2D}">
  <sheetPr>
    <pageSetUpPr fitToPage="1"/>
  </sheetPr>
  <dimension ref="B7:U33"/>
  <sheetViews>
    <sheetView workbookViewId="0">
      <selection activeCell="O18" sqref="O18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46069</v>
      </c>
      <c r="D9" s="1"/>
      <c r="E9" s="57" t="s">
        <v>2</v>
      </c>
      <c r="F9" s="57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>
        <v>0.44444444444444398</v>
      </c>
      <c r="M15" s="11">
        <v>0.45833333333333298</v>
      </c>
      <c r="N15" s="11">
        <v>0.47222222222222199</v>
      </c>
      <c r="O15" s="11">
        <v>0.48611111111111099</v>
      </c>
      <c r="P15" s="11">
        <v>0.5</v>
      </c>
      <c r="Q15" s="23" t="s">
        <v>29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1045.72</v>
      </c>
      <c r="D16" s="20" t="s">
        <v>71</v>
      </c>
      <c r="E16" s="20" t="s">
        <v>71</v>
      </c>
      <c r="F16" s="20" t="s">
        <v>71</v>
      </c>
      <c r="G16" s="20" t="s">
        <v>71</v>
      </c>
      <c r="H16" s="20" t="s">
        <v>71</v>
      </c>
      <c r="I16" s="20" t="s">
        <v>71</v>
      </c>
      <c r="J16" s="20" t="s">
        <v>71</v>
      </c>
      <c r="K16" s="20" t="s">
        <v>71</v>
      </c>
      <c r="L16" s="20" t="s">
        <v>71</v>
      </c>
      <c r="M16" s="20" t="s">
        <v>71</v>
      </c>
      <c r="N16" s="20" t="s">
        <v>71</v>
      </c>
      <c r="O16" s="20" t="s">
        <v>71</v>
      </c>
      <c r="P16" s="20" t="s">
        <v>71</v>
      </c>
      <c r="Q16" s="23" t="s">
        <v>29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1021.28</v>
      </c>
      <c r="D17" s="20" t="s">
        <v>72</v>
      </c>
      <c r="E17" s="20" t="s">
        <v>72</v>
      </c>
      <c r="F17" s="20" t="s">
        <v>72</v>
      </c>
      <c r="G17" s="20" t="s">
        <v>72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0" t="s">
        <v>72</v>
      </c>
      <c r="P17" s="20" t="s">
        <v>72</v>
      </c>
      <c r="Q17" s="23" t="s">
        <v>29</v>
      </c>
      <c r="R17" s="24"/>
      <c r="S17" s="25"/>
      <c r="T17" s="2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73</v>
      </c>
      <c r="E18" s="20" t="s">
        <v>73</v>
      </c>
      <c r="F18" s="20" t="s">
        <v>73</v>
      </c>
      <c r="G18" s="20" t="s">
        <v>73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73</v>
      </c>
      <c r="M18" s="20" t="s">
        <v>73</v>
      </c>
      <c r="N18" s="20" t="s">
        <v>73</v>
      </c>
      <c r="O18" s="20" t="s">
        <v>73</v>
      </c>
      <c r="P18" s="20" t="s">
        <v>73</v>
      </c>
      <c r="Q18" s="23" t="s">
        <v>29</v>
      </c>
      <c r="R18" s="24"/>
      <c r="S18" s="25"/>
      <c r="T18" s="2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3" t="s">
        <v>29</v>
      </c>
      <c r="R19" s="24"/>
      <c r="S19" s="25"/>
      <c r="T19" s="26"/>
      <c r="U19" s="2"/>
    </row>
    <row r="20" spans="2:21" ht="26.25" thickBot="1" x14ac:dyDescent="0.3">
      <c r="B20" s="6" t="s">
        <v>34</v>
      </c>
      <c r="C20" s="15">
        <v>93.08</v>
      </c>
      <c r="D20" s="20" t="s">
        <v>75</v>
      </c>
      <c r="E20" s="20" t="s">
        <v>75</v>
      </c>
      <c r="F20" s="20" t="s">
        <v>75</v>
      </c>
      <c r="G20" s="20" t="s">
        <v>75</v>
      </c>
      <c r="H20" s="20" t="s">
        <v>75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 t="s">
        <v>75</v>
      </c>
      <c r="O20" s="20" t="s">
        <v>75</v>
      </c>
      <c r="P20" s="20" t="s">
        <v>75</v>
      </c>
      <c r="Q20" s="23" t="s">
        <v>29</v>
      </c>
      <c r="R20" s="24"/>
      <c r="S20" s="25"/>
      <c r="T20" s="26"/>
      <c r="U20" s="2"/>
    </row>
    <row r="21" spans="2:21" ht="26.25" thickBot="1" x14ac:dyDescent="0.3">
      <c r="B21" s="6" t="s">
        <v>35</v>
      </c>
      <c r="C21" s="15">
        <v>231.92</v>
      </c>
      <c r="D21" s="20" t="s">
        <v>76</v>
      </c>
      <c r="E21" s="20" t="s">
        <v>76</v>
      </c>
      <c r="F21" s="20" t="s">
        <v>76</v>
      </c>
      <c r="G21" s="20" t="s">
        <v>76</v>
      </c>
      <c r="H21" s="20" t="s">
        <v>76</v>
      </c>
      <c r="I21" s="20" t="s">
        <v>76</v>
      </c>
      <c r="J21" s="20" t="s">
        <v>76</v>
      </c>
      <c r="K21" s="20" t="s">
        <v>76</v>
      </c>
      <c r="L21" s="20" t="s">
        <v>76</v>
      </c>
      <c r="M21" s="20" t="s">
        <v>76</v>
      </c>
      <c r="N21" s="20" t="s">
        <v>76</v>
      </c>
      <c r="O21" s="20" t="s">
        <v>76</v>
      </c>
      <c r="P21" s="20" t="s">
        <v>76</v>
      </c>
      <c r="Q21" s="23" t="s">
        <v>29</v>
      </c>
      <c r="R21" s="24"/>
      <c r="S21" s="25"/>
      <c r="T21" s="26"/>
      <c r="U21" s="2"/>
    </row>
    <row r="22" spans="2:21" ht="26.25" thickBot="1" x14ac:dyDescent="0.3">
      <c r="B22" s="6" t="s">
        <v>36</v>
      </c>
      <c r="C22" s="15">
        <v>197.08</v>
      </c>
      <c r="D22" s="20" t="s">
        <v>77</v>
      </c>
      <c r="E22" s="20" t="s">
        <v>77</v>
      </c>
      <c r="F22" s="20" t="s">
        <v>77</v>
      </c>
      <c r="G22" s="20" t="s">
        <v>77</v>
      </c>
      <c r="H22" s="20" t="s">
        <v>77</v>
      </c>
      <c r="I22" s="20" t="s">
        <v>77</v>
      </c>
      <c r="J22" s="20" t="s">
        <v>77</v>
      </c>
      <c r="K22" s="20" t="s">
        <v>77</v>
      </c>
      <c r="L22" s="20" t="s">
        <v>77</v>
      </c>
      <c r="M22" s="20" t="s">
        <v>77</v>
      </c>
      <c r="N22" s="20" t="s">
        <v>77</v>
      </c>
      <c r="O22" s="20" t="s">
        <v>77</v>
      </c>
      <c r="P22" s="20" t="s">
        <v>77</v>
      </c>
      <c r="Q22" s="23" t="s">
        <v>29</v>
      </c>
      <c r="R22" s="24"/>
      <c r="S22" s="25"/>
      <c r="T22" s="26"/>
      <c r="U22" s="2"/>
    </row>
    <row r="23" spans="2:21" ht="26.25" thickBot="1" x14ac:dyDescent="0.3">
      <c r="B23" s="6" t="s">
        <v>37</v>
      </c>
      <c r="C23" s="15">
        <v>10.92</v>
      </c>
      <c r="D23" s="20" t="s">
        <v>51</v>
      </c>
      <c r="E23" s="20" t="s">
        <v>51</v>
      </c>
      <c r="F23" s="20" t="s">
        <v>51</v>
      </c>
      <c r="G23" s="20" t="s">
        <v>51</v>
      </c>
      <c r="H23" s="20" t="s">
        <v>51</v>
      </c>
      <c r="I23" s="20" t="s">
        <v>51</v>
      </c>
      <c r="J23" s="20" t="s">
        <v>51</v>
      </c>
      <c r="K23" s="20" t="s">
        <v>51</v>
      </c>
      <c r="L23" s="20" t="s">
        <v>51</v>
      </c>
      <c r="M23" s="20" t="s">
        <v>51</v>
      </c>
      <c r="N23" s="20" t="s">
        <v>51</v>
      </c>
      <c r="O23" s="20" t="s">
        <v>51</v>
      </c>
      <c r="P23" s="20" t="s">
        <v>51</v>
      </c>
      <c r="Q23" s="23" t="s">
        <v>29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Q30:R30"/>
    <mergeCell ref="S30:T30"/>
    <mergeCell ref="B29:T29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474E-B1AC-45D0-99FD-CC2A2D822987}">
  <sheetPr>
    <pageSetUpPr fitToPage="1"/>
  </sheetPr>
  <dimension ref="B7:U33"/>
  <sheetViews>
    <sheetView workbookViewId="0">
      <selection activeCell="O18" sqref="O18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46069</v>
      </c>
      <c r="D9" s="1"/>
      <c r="E9" s="57" t="s">
        <v>2</v>
      </c>
      <c r="F9" s="57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>
        <v>0.44791666666666702</v>
      </c>
      <c r="M15" s="11">
        <v>0.46180555555555602</v>
      </c>
      <c r="N15" s="11">
        <v>0.47569444444444398</v>
      </c>
      <c r="O15" s="11">
        <v>0.48958333333333298</v>
      </c>
      <c r="P15" s="11">
        <v>0.50347222222222199</v>
      </c>
      <c r="Q15" s="23" t="s">
        <v>39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1045.72</v>
      </c>
      <c r="D16" s="20" t="s">
        <v>71</v>
      </c>
      <c r="E16" s="20" t="s">
        <v>71</v>
      </c>
      <c r="F16" s="20" t="s">
        <v>71</v>
      </c>
      <c r="G16" s="20" t="s">
        <v>71</v>
      </c>
      <c r="H16" s="20" t="s">
        <v>71</v>
      </c>
      <c r="I16" s="20" t="s">
        <v>71</v>
      </c>
      <c r="J16" s="20" t="s">
        <v>71</v>
      </c>
      <c r="K16" s="20" t="s">
        <v>71</v>
      </c>
      <c r="L16" s="20" t="s">
        <v>71</v>
      </c>
      <c r="M16" s="20" t="s">
        <v>71</v>
      </c>
      <c r="N16" s="20" t="s">
        <v>71</v>
      </c>
      <c r="O16" s="20" t="s">
        <v>71</v>
      </c>
      <c r="P16" s="20" t="s">
        <v>71</v>
      </c>
      <c r="Q16" s="23" t="s">
        <v>39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1021.28</v>
      </c>
      <c r="D17" s="20" t="s">
        <v>72</v>
      </c>
      <c r="E17" s="20" t="s">
        <v>72</v>
      </c>
      <c r="F17" s="20" t="s">
        <v>72</v>
      </c>
      <c r="G17" s="20" t="s">
        <v>72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0" t="s">
        <v>72</v>
      </c>
      <c r="P17" s="20" t="s">
        <v>72</v>
      </c>
      <c r="Q17" s="23" t="s">
        <v>39</v>
      </c>
      <c r="R17" s="24"/>
      <c r="S17" s="25"/>
      <c r="T17" s="2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73</v>
      </c>
      <c r="E18" s="20" t="s">
        <v>73</v>
      </c>
      <c r="F18" s="20" t="s">
        <v>73</v>
      </c>
      <c r="G18" s="20" t="s">
        <v>73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73</v>
      </c>
      <c r="M18" s="20" t="s">
        <v>73</v>
      </c>
      <c r="N18" s="20" t="s">
        <v>73</v>
      </c>
      <c r="O18" s="20" t="s">
        <v>73</v>
      </c>
      <c r="P18" s="20" t="s">
        <v>73</v>
      </c>
      <c r="Q18" s="23" t="s">
        <v>39</v>
      </c>
      <c r="R18" s="24"/>
      <c r="S18" s="25"/>
      <c r="T18" s="2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3" t="s">
        <v>39</v>
      </c>
      <c r="R19" s="24"/>
      <c r="S19" s="25"/>
      <c r="T19" s="26"/>
      <c r="U19" s="2"/>
    </row>
    <row r="20" spans="2:21" ht="26.25" thickBot="1" x14ac:dyDescent="0.3">
      <c r="B20" s="6" t="s">
        <v>34</v>
      </c>
      <c r="C20" s="15">
        <v>93.08</v>
      </c>
      <c r="D20" s="20" t="s">
        <v>75</v>
      </c>
      <c r="E20" s="20" t="s">
        <v>75</v>
      </c>
      <c r="F20" s="20" t="s">
        <v>75</v>
      </c>
      <c r="G20" s="20" t="s">
        <v>75</v>
      </c>
      <c r="H20" s="20" t="s">
        <v>75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 t="s">
        <v>75</v>
      </c>
      <c r="O20" s="20" t="s">
        <v>75</v>
      </c>
      <c r="P20" s="20" t="s">
        <v>75</v>
      </c>
      <c r="Q20" s="23" t="s">
        <v>39</v>
      </c>
      <c r="R20" s="24"/>
      <c r="S20" s="25"/>
      <c r="T20" s="26"/>
      <c r="U20" s="2"/>
    </row>
    <row r="21" spans="2:21" ht="26.25" thickBot="1" x14ac:dyDescent="0.3">
      <c r="B21" s="6" t="s">
        <v>35</v>
      </c>
      <c r="C21" s="15">
        <v>231.92</v>
      </c>
      <c r="D21" s="20" t="s">
        <v>76</v>
      </c>
      <c r="E21" s="20" t="s">
        <v>76</v>
      </c>
      <c r="F21" s="20" t="s">
        <v>76</v>
      </c>
      <c r="G21" s="20" t="s">
        <v>76</v>
      </c>
      <c r="H21" s="20" t="s">
        <v>76</v>
      </c>
      <c r="I21" s="20" t="s">
        <v>76</v>
      </c>
      <c r="J21" s="20" t="s">
        <v>76</v>
      </c>
      <c r="K21" s="20" t="s">
        <v>76</v>
      </c>
      <c r="L21" s="20" t="s">
        <v>76</v>
      </c>
      <c r="M21" s="20" t="s">
        <v>76</v>
      </c>
      <c r="N21" s="20" t="s">
        <v>76</v>
      </c>
      <c r="O21" s="20" t="s">
        <v>76</v>
      </c>
      <c r="P21" s="20" t="s">
        <v>76</v>
      </c>
      <c r="Q21" s="23" t="s">
        <v>39</v>
      </c>
      <c r="R21" s="24"/>
      <c r="S21" s="25"/>
      <c r="T21" s="26"/>
      <c r="U21" s="2"/>
    </row>
    <row r="22" spans="2:21" ht="26.25" thickBot="1" x14ac:dyDescent="0.3">
      <c r="B22" s="6" t="s">
        <v>36</v>
      </c>
      <c r="C22" s="15">
        <v>197.08</v>
      </c>
      <c r="D22" s="20" t="s">
        <v>77</v>
      </c>
      <c r="E22" s="20" t="s">
        <v>77</v>
      </c>
      <c r="F22" s="20" t="s">
        <v>77</v>
      </c>
      <c r="G22" s="20" t="s">
        <v>77</v>
      </c>
      <c r="H22" s="20" t="s">
        <v>77</v>
      </c>
      <c r="I22" s="20" t="s">
        <v>77</v>
      </c>
      <c r="J22" s="20" t="s">
        <v>77</v>
      </c>
      <c r="K22" s="20" t="s">
        <v>77</v>
      </c>
      <c r="L22" s="20" t="s">
        <v>77</v>
      </c>
      <c r="M22" s="20" t="s">
        <v>77</v>
      </c>
      <c r="N22" s="20" t="s">
        <v>77</v>
      </c>
      <c r="O22" s="20" t="s">
        <v>77</v>
      </c>
      <c r="P22" s="20" t="s">
        <v>77</v>
      </c>
      <c r="Q22" s="23" t="s">
        <v>39</v>
      </c>
      <c r="R22" s="24"/>
      <c r="S22" s="25"/>
      <c r="T22" s="26"/>
      <c r="U22" s="2"/>
    </row>
    <row r="23" spans="2:21" ht="26.25" thickBot="1" x14ac:dyDescent="0.3">
      <c r="B23" s="6" t="s">
        <v>37</v>
      </c>
      <c r="C23" s="15">
        <v>10.92</v>
      </c>
      <c r="D23" s="20" t="s">
        <v>51</v>
      </c>
      <c r="E23" s="20" t="s">
        <v>51</v>
      </c>
      <c r="F23" s="20" t="s">
        <v>51</v>
      </c>
      <c r="G23" s="20" t="s">
        <v>51</v>
      </c>
      <c r="H23" s="20" t="s">
        <v>51</v>
      </c>
      <c r="I23" s="20" t="s">
        <v>51</v>
      </c>
      <c r="J23" s="20" t="s">
        <v>51</v>
      </c>
      <c r="K23" s="20" t="s">
        <v>51</v>
      </c>
      <c r="L23" s="20" t="s">
        <v>51</v>
      </c>
      <c r="M23" s="20" t="s">
        <v>51</v>
      </c>
      <c r="N23" s="20" t="s">
        <v>51</v>
      </c>
      <c r="O23" s="20" t="s">
        <v>51</v>
      </c>
      <c r="P23" s="20" t="s">
        <v>51</v>
      </c>
      <c r="Q23" s="23" t="s">
        <v>39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83D7-9E0E-4E53-B31D-F29DBC7FD856}">
  <sheetPr>
    <pageSetUpPr fitToPage="1"/>
  </sheetPr>
  <dimension ref="B7:U33"/>
  <sheetViews>
    <sheetView workbookViewId="0">
      <selection activeCell="D16" sqref="D1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46069</v>
      </c>
      <c r="D9" s="1"/>
      <c r="E9" s="57" t="s">
        <v>2</v>
      </c>
      <c r="F9" s="57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0.5625</v>
      </c>
      <c r="E15" s="11">
        <v>0.57638888888888884</v>
      </c>
      <c r="F15" s="11">
        <v>0.59027777777777801</v>
      </c>
      <c r="G15" s="11">
        <v>0.60416666666666696</v>
      </c>
      <c r="H15" s="11">
        <v>0.61805555555555503</v>
      </c>
      <c r="I15" s="11">
        <v>0.63194444444444398</v>
      </c>
      <c r="J15" s="11">
        <v>0.64583333333333304</v>
      </c>
      <c r="K15" s="11">
        <v>0.65972222222222199</v>
      </c>
      <c r="L15" s="11">
        <v>0.67361111111111105</v>
      </c>
      <c r="M15" s="11">
        <v>0.6875</v>
      </c>
      <c r="N15" s="11">
        <v>0.70138888888888795</v>
      </c>
      <c r="O15" s="11">
        <v>0.71527777777777701</v>
      </c>
      <c r="P15" s="11">
        <v>0.72916666666666596</v>
      </c>
      <c r="Q15" s="23" t="s">
        <v>29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1045.72</v>
      </c>
      <c r="D16" s="20" t="s">
        <v>71</v>
      </c>
      <c r="E16" s="20" t="s">
        <v>71</v>
      </c>
      <c r="F16" s="20" t="s">
        <v>71</v>
      </c>
      <c r="G16" s="20" t="s">
        <v>71</v>
      </c>
      <c r="H16" s="20" t="s">
        <v>71</v>
      </c>
      <c r="I16" s="20" t="s">
        <v>71</v>
      </c>
      <c r="J16" s="20" t="s">
        <v>71</v>
      </c>
      <c r="K16" s="20" t="s">
        <v>71</v>
      </c>
      <c r="L16" s="20" t="s">
        <v>71</v>
      </c>
      <c r="M16" s="20" t="s">
        <v>71</v>
      </c>
      <c r="N16" s="20" t="s">
        <v>71</v>
      </c>
      <c r="O16" s="20" t="s">
        <v>71</v>
      </c>
      <c r="P16" s="20" t="s">
        <v>71</v>
      </c>
      <c r="Q16" s="23" t="s">
        <v>29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1021.28</v>
      </c>
      <c r="D17" s="20" t="s">
        <v>72</v>
      </c>
      <c r="E17" s="20" t="s">
        <v>72</v>
      </c>
      <c r="F17" s="20" t="s">
        <v>72</v>
      </c>
      <c r="G17" s="20" t="s">
        <v>72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0" t="s">
        <v>72</v>
      </c>
      <c r="P17" s="20" t="s">
        <v>72</v>
      </c>
      <c r="Q17" s="23" t="s">
        <v>29</v>
      </c>
      <c r="R17" s="24"/>
      <c r="S17" s="25"/>
      <c r="T17" s="2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73</v>
      </c>
      <c r="E18" s="20" t="s">
        <v>73</v>
      </c>
      <c r="F18" s="20" t="s">
        <v>73</v>
      </c>
      <c r="G18" s="20" t="s">
        <v>73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73</v>
      </c>
      <c r="M18" s="20" t="s">
        <v>73</v>
      </c>
      <c r="N18" s="20" t="s">
        <v>73</v>
      </c>
      <c r="O18" s="20" t="s">
        <v>73</v>
      </c>
      <c r="P18" s="20" t="s">
        <v>73</v>
      </c>
      <c r="Q18" s="23" t="s">
        <v>29</v>
      </c>
      <c r="R18" s="24"/>
      <c r="S18" s="25"/>
      <c r="T18" s="2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3" t="s">
        <v>29</v>
      </c>
      <c r="R19" s="24"/>
      <c r="S19" s="25"/>
      <c r="T19" s="26"/>
      <c r="U19" s="2"/>
    </row>
    <row r="20" spans="2:21" ht="26.25" thickBot="1" x14ac:dyDescent="0.3">
      <c r="B20" s="6" t="s">
        <v>34</v>
      </c>
      <c r="C20" s="15">
        <v>93.08</v>
      </c>
      <c r="D20" s="20" t="s">
        <v>75</v>
      </c>
      <c r="E20" s="20" t="s">
        <v>75</v>
      </c>
      <c r="F20" s="20" t="s">
        <v>75</v>
      </c>
      <c r="G20" s="20" t="s">
        <v>75</v>
      </c>
      <c r="H20" s="20" t="s">
        <v>75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 t="s">
        <v>75</v>
      </c>
      <c r="O20" s="20" t="s">
        <v>75</v>
      </c>
      <c r="P20" s="20" t="s">
        <v>75</v>
      </c>
      <c r="Q20" s="23" t="s">
        <v>29</v>
      </c>
      <c r="R20" s="24"/>
      <c r="S20" s="25"/>
      <c r="T20" s="26"/>
      <c r="U20" s="2"/>
    </row>
    <row r="21" spans="2:21" ht="26.25" thickBot="1" x14ac:dyDescent="0.3">
      <c r="B21" s="6" t="s">
        <v>35</v>
      </c>
      <c r="C21" s="15">
        <v>231.92</v>
      </c>
      <c r="D21" s="20" t="s">
        <v>76</v>
      </c>
      <c r="E21" s="20" t="s">
        <v>76</v>
      </c>
      <c r="F21" s="20" t="s">
        <v>76</v>
      </c>
      <c r="G21" s="20" t="s">
        <v>76</v>
      </c>
      <c r="H21" s="20" t="s">
        <v>76</v>
      </c>
      <c r="I21" s="20" t="s">
        <v>76</v>
      </c>
      <c r="J21" s="20" t="s">
        <v>76</v>
      </c>
      <c r="K21" s="20" t="s">
        <v>76</v>
      </c>
      <c r="L21" s="20" t="s">
        <v>76</v>
      </c>
      <c r="M21" s="20" t="s">
        <v>76</v>
      </c>
      <c r="N21" s="20" t="s">
        <v>76</v>
      </c>
      <c r="O21" s="20" t="s">
        <v>76</v>
      </c>
      <c r="P21" s="20" t="s">
        <v>76</v>
      </c>
      <c r="Q21" s="23" t="s">
        <v>29</v>
      </c>
      <c r="R21" s="24"/>
      <c r="S21" s="25"/>
      <c r="T21" s="26"/>
      <c r="U21" s="2"/>
    </row>
    <row r="22" spans="2:21" ht="26.25" thickBot="1" x14ac:dyDescent="0.3">
      <c r="B22" s="6" t="s">
        <v>36</v>
      </c>
      <c r="C22" s="15">
        <v>197.08</v>
      </c>
      <c r="D22" s="20" t="s">
        <v>77</v>
      </c>
      <c r="E22" s="20" t="s">
        <v>77</v>
      </c>
      <c r="F22" s="20" t="s">
        <v>77</v>
      </c>
      <c r="G22" s="20" t="s">
        <v>77</v>
      </c>
      <c r="H22" s="20" t="s">
        <v>77</v>
      </c>
      <c r="I22" s="20" t="s">
        <v>77</v>
      </c>
      <c r="J22" s="20" t="s">
        <v>77</v>
      </c>
      <c r="K22" s="20" t="s">
        <v>77</v>
      </c>
      <c r="L22" s="20" t="s">
        <v>77</v>
      </c>
      <c r="M22" s="20" t="s">
        <v>77</v>
      </c>
      <c r="N22" s="20" t="s">
        <v>77</v>
      </c>
      <c r="O22" s="20" t="s">
        <v>77</v>
      </c>
      <c r="P22" s="20" t="s">
        <v>77</v>
      </c>
      <c r="Q22" s="23" t="s">
        <v>29</v>
      </c>
      <c r="R22" s="24"/>
      <c r="S22" s="25"/>
      <c r="T22" s="26"/>
      <c r="U22" s="2"/>
    </row>
    <row r="23" spans="2:21" ht="26.25" thickBot="1" x14ac:dyDescent="0.3">
      <c r="B23" s="6" t="s">
        <v>37</v>
      </c>
      <c r="C23" s="15">
        <v>10.92</v>
      </c>
      <c r="D23" s="20" t="s">
        <v>51</v>
      </c>
      <c r="E23" s="20" t="s">
        <v>51</v>
      </c>
      <c r="F23" s="20" t="s">
        <v>51</v>
      </c>
      <c r="G23" s="20" t="s">
        <v>51</v>
      </c>
      <c r="H23" s="20" t="s">
        <v>51</v>
      </c>
      <c r="I23" s="20" t="s">
        <v>51</v>
      </c>
      <c r="J23" s="20" t="s">
        <v>51</v>
      </c>
      <c r="K23" s="20" t="s">
        <v>51</v>
      </c>
      <c r="L23" s="20" t="s">
        <v>51</v>
      </c>
      <c r="M23" s="20" t="s">
        <v>51</v>
      </c>
      <c r="N23" s="20" t="s">
        <v>51</v>
      </c>
      <c r="O23" s="20" t="s">
        <v>51</v>
      </c>
      <c r="P23" s="20" t="s">
        <v>51</v>
      </c>
      <c r="Q23" s="23" t="s">
        <v>29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AD22-BA64-474A-8CE6-CC73D06CDBF9}">
  <sheetPr>
    <pageSetUpPr fitToPage="1"/>
  </sheetPr>
  <dimension ref="B7:U33"/>
  <sheetViews>
    <sheetView workbookViewId="0">
      <selection activeCell="D15" sqref="D15:P15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46069</v>
      </c>
      <c r="D9" s="1"/>
      <c r="E9" s="57" t="s">
        <v>2</v>
      </c>
      <c r="F9" s="57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0.56597222222222221</v>
      </c>
      <c r="E15" s="11">
        <v>0.57986111111111116</v>
      </c>
      <c r="F15" s="11">
        <v>0.59375</v>
      </c>
      <c r="G15" s="11">
        <v>0.60763888888888895</v>
      </c>
      <c r="H15" s="11">
        <v>0.62152777777777801</v>
      </c>
      <c r="I15" s="11">
        <v>0.63541666666666696</v>
      </c>
      <c r="J15" s="11">
        <v>0.64930555555555602</v>
      </c>
      <c r="K15" s="11">
        <v>0.66319444444444497</v>
      </c>
      <c r="L15" s="11">
        <v>0.67708333333333404</v>
      </c>
      <c r="M15" s="11">
        <v>0.69097222222222299</v>
      </c>
      <c r="N15" s="11">
        <v>0.70486111111111205</v>
      </c>
      <c r="O15" s="11">
        <v>0.71875</v>
      </c>
      <c r="P15" s="11">
        <v>0.73263888888888895</v>
      </c>
      <c r="Q15" s="23" t="s">
        <v>39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1045.72</v>
      </c>
      <c r="D16" s="20" t="s">
        <v>71</v>
      </c>
      <c r="E16" s="20" t="s">
        <v>71</v>
      </c>
      <c r="F16" s="20" t="s">
        <v>71</v>
      </c>
      <c r="G16" s="20" t="s">
        <v>71</v>
      </c>
      <c r="H16" s="20" t="s">
        <v>71</v>
      </c>
      <c r="I16" s="20" t="s">
        <v>71</v>
      </c>
      <c r="J16" s="20" t="s">
        <v>71</v>
      </c>
      <c r="K16" s="20" t="s">
        <v>71</v>
      </c>
      <c r="L16" s="20" t="s">
        <v>71</v>
      </c>
      <c r="M16" s="20" t="s">
        <v>71</v>
      </c>
      <c r="N16" s="20" t="s">
        <v>71</v>
      </c>
      <c r="O16" s="20" t="s">
        <v>71</v>
      </c>
      <c r="P16" s="20" t="s">
        <v>71</v>
      </c>
      <c r="Q16" s="23" t="s">
        <v>39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1021.28</v>
      </c>
      <c r="D17" s="20" t="s">
        <v>72</v>
      </c>
      <c r="E17" s="20" t="s">
        <v>72</v>
      </c>
      <c r="F17" s="20" t="s">
        <v>72</v>
      </c>
      <c r="G17" s="20" t="s">
        <v>72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0" t="s">
        <v>72</v>
      </c>
      <c r="P17" s="20" t="s">
        <v>72</v>
      </c>
      <c r="Q17" s="23" t="s">
        <v>39</v>
      </c>
      <c r="R17" s="24"/>
      <c r="S17" s="25"/>
      <c r="T17" s="2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73</v>
      </c>
      <c r="E18" s="20" t="s">
        <v>73</v>
      </c>
      <c r="F18" s="20" t="s">
        <v>73</v>
      </c>
      <c r="G18" s="20" t="s">
        <v>73</v>
      </c>
      <c r="H18" s="20" t="s">
        <v>73</v>
      </c>
      <c r="I18" s="20" t="s">
        <v>73</v>
      </c>
      <c r="J18" s="20" t="s">
        <v>73</v>
      </c>
      <c r="K18" s="20" t="s">
        <v>73</v>
      </c>
      <c r="L18" s="20" t="s">
        <v>73</v>
      </c>
      <c r="M18" s="20" t="s">
        <v>73</v>
      </c>
      <c r="N18" s="20" t="s">
        <v>73</v>
      </c>
      <c r="O18" s="20" t="s">
        <v>73</v>
      </c>
      <c r="P18" s="20" t="s">
        <v>73</v>
      </c>
      <c r="Q18" s="23" t="s">
        <v>39</v>
      </c>
      <c r="R18" s="24"/>
      <c r="S18" s="25"/>
      <c r="T18" s="2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74</v>
      </c>
      <c r="E19" s="20" t="s">
        <v>74</v>
      </c>
      <c r="F19" s="20" t="s">
        <v>74</v>
      </c>
      <c r="G19" s="20" t="s">
        <v>74</v>
      </c>
      <c r="H19" s="20" t="s">
        <v>74</v>
      </c>
      <c r="I19" s="20" t="s">
        <v>74</v>
      </c>
      <c r="J19" s="20" t="s">
        <v>74</v>
      </c>
      <c r="K19" s="20" t="s">
        <v>74</v>
      </c>
      <c r="L19" s="20" t="s">
        <v>74</v>
      </c>
      <c r="M19" s="20" t="s">
        <v>74</v>
      </c>
      <c r="N19" s="20" t="s">
        <v>74</v>
      </c>
      <c r="O19" s="20" t="s">
        <v>74</v>
      </c>
      <c r="P19" s="20" t="s">
        <v>74</v>
      </c>
      <c r="Q19" s="23" t="s">
        <v>39</v>
      </c>
      <c r="R19" s="24"/>
      <c r="S19" s="25"/>
      <c r="T19" s="26"/>
      <c r="U19" s="2"/>
    </row>
    <row r="20" spans="2:21" ht="26.25" thickBot="1" x14ac:dyDescent="0.3">
      <c r="B20" s="6" t="s">
        <v>34</v>
      </c>
      <c r="C20" s="15">
        <v>93.08</v>
      </c>
      <c r="D20" s="20" t="s">
        <v>75</v>
      </c>
      <c r="E20" s="20" t="s">
        <v>75</v>
      </c>
      <c r="F20" s="20" t="s">
        <v>75</v>
      </c>
      <c r="G20" s="20" t="s">
        <v>75</v>
      </c>
      <c r="H20" s="20" t="s">
        <v>75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 t="s">
        <v>75</v>
      </c>
      <c r="O20" s="20" t="s">
        <v>75</v>
      </c>
      <c r="P20" s="20" t="s">
        <v>75</v>
      </c>
      <c r="Q20" s="23" t="s">
        <v>39</v>
      </c>
      <c r="R20" s="24"/>
      <c r="S20" s="25"/>
      <c r="T20" s="26"/>
      <c r="U20" s="2"/>
    </row>
    <row r="21" spans="2:21" ht="26.25" thickBot="1" x14ac:dyDescent="0.3">
      <c r="B21" s="6" t="s">
        <v>35</v>
      </c>
      <c r="C21" s="15">
        <v>231.92</v>
      </c>
      <c r="D21" s="20" t="s">
        <v>76</v>
      </c>
      <c r="E21" s="20" t="s">
        <v>76</v>
      </c>
      <c r="F21" s="20" t="s">
        <v>76</v>
      </c>
      <c r="G21" s="20" t="s">
        <v>76</v>
      </c>
      <c r="H21" s="20" t="s">
        <v>76</v>
      </c>
      <c r="I21" s="20" t="s">
        <v>76</v>
      </c>
      <c r="J21" s="20" t="s">
        <v>76</v>
      </c>
      <c r="K21" s="20" t="s">
        <v>76</v>
      </c>
      <c r="L21" s="20" t="s">
        <v>76</v>
      </c>
      <c r="M21" s="20" t="s">
        <v>76</v>
      </c>
      <c r="N21" s="20" t="s">
        <v>76</v>
      </c>
      <c r="O21" s="20" t="s">
        <v>76</v>
      </c>
      <c r="P21" s="20" t="s">
        <v>76</v>
      </c>
      <c r="Q21" s="23" t="s">
        <v>39</v>
      </c>
      <c r="R21" s="24"/>
      <c r="S21" s="25"/>
      <c r="T21" s="26"/>
      <c r="U21" s="2"/>
    </row>
    <row r="22" spans="2:21" ht="26.25" thickBot="1" x14ac:dyDescent="0.3">
      <c r="B22" s="6" t="s">
        <v>36</v>
      </c>
      <c r="C22" s="15">
        <v>197.08</v>
      </c>
      <c r="D22" s="20" t="s">
        <v>77</v>
      </c>
      <c r="E22" s="20" t="s">
        <v>77</v>
      </c>
      <c r="F22" s="20" t="s">
        <v>77</v>
      </c>
      <c r="G22" s="20" t="s">
        <v>77</v>
      </c>
      <c r="H22" s="20" t="s">
        <v>77</v>
      </c>
      <c r="I22" s="20" t="s">
        <v>77</v>
      </c>
      <c r="J22" s="20" t="s">
        <v>77</v>
      </c>
      <c r="K22" s="20" t="s">
        <v>77</v>
      </c>
      <c r="L22" s="20" t="s">
        <v>77</v>
      </c>
      <c r="M22" s="20" t="s">
        <v>77</v>
      </c>
      <c r="N22" s="20" t="s">
        <v>77</v>
      </c>
      <c r="O22" s="20" t="s">
        <v>77</v>
      </c>
      <c r="P22" s="20" t="s">
        <v>77</v>
      </c>
      <c r="Q22" s="23" t="s">
        <v>39</v>
      </c>
      <c r="R22" s="24"/>
      <c r="S22" s="25"/>
      <c r="T22" s="26"/>
      <c r="U22" s="2"/>
    </row>
    <row r="23" spans="2:21" ht="26.25" thickBot="1" x14ac:dyDescent="0.3">
      <c r="B23" s="6" t="s">
        <v>37</v>
      </c>
      <c r="C23" s="15">
        <v>10.92</v>
      </c>
      <c r="D23" s="20" t="s">
        <v>51</v>
      </c>
      <c r="E23" s="20" t="s">
        <v>51</v>
      </c>
      <c r="F23" s="20" t="s">
        <v>51</v>
      </c>
      <c r="G23" s="20" t="s">
        <v>51</v>
      </c>
      <c r="H23" s="20" t="s">
        <v>51</v>
      </c>
      <c r="I23" s="20" t="s">
        <v>51</v>
      </c>
      <c r="J23" s="20" t="s">
        <v>51</v>
      </c>
      <c r="K23" s="20" t="s">
        <v>51</v>
      </c>
      <c r="L23" s="20" t="s">
        <v>51</v>
      </c>
      <c r="M23" s="20" t="s">
        <v>51</v>
      </c>
      <c r="N23" s="20" t="s">
        <v>51</v>
      </c>
      <c r="O23" s="20" t="s">
        <v>51</v>
      </c>
      <c r="P23" s="20" t="s">
        <v>51</v>
      </c>
      <c r="Q23" s="23" t="s">
        <v>39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C598-BBB7-40A7-8002-5CD61C54987D}">
  <sheetPr>
    <pageSetUpPr fitToPage="1"/>
  </sheetPr>
  <dimension ref="B7:U33"/>
  <sheetViews>
    <sheetView tabSelected="1" workbookViewId="0">
      <selection activeCell="D24" sqref="D24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46069</v>
      </c>
      <c r="D9" s="1"/>
      <c r="E9" s="57" t="s">
        <v>2</v>
      </c>
      <c r="F9" s="57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0.74305555555555558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3" t="s">
        <v>29</v>
      </c>
      <c r="R15" s="24"/>
      <c r="S15" s="30"/>
      <c r="T15" s="31"/>
      <c r="U15" s="2"/>
    </row>
    <row r="16" spans="2:21" ht="26.25" thickBot="1" x14ac:dyDescent="0.3">
      <c r="B16" s="6" t="s">
        <v>30</v>
      </c>
      <c r="C16" s="15">
        <v>68.459999999999994</v>
      </c>
      <c r="D16" s="20" t="s">
        <v>79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3" t="s">
        <v>29</v>
      </c>
      <c r="R16" s="24"/>
      <c r="S16" s="25"/>
      <c r="T16" s="26"/>
      <c r="U16" s="2"/>
    </row>
    <row r="17" spans="2:21" ht="26.25" thickBot="1" x14ac:dyDescent="0.3">
      <c r="B17" s="6" t="s">
        <v>31</v>
      </c>
      <c r="C17" s="15">
        <v>66.86</v>
      </c>
      <c r="D17" s="20" t="s">
        <v>78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3" t="s">
        <v>29</v>
      </c>
      <c r="R17" s="24"/>
      <c r="S17" s="25"/>
      <c r="T17" s="26"/>
      <c r="U17" s="2"/>
    </row>
    <row r="18" spans="2:21" ht="26.25" thickBot="1" x14ac:dyDescent="0.3">
      <c r="B18" s="6" t="s">
        <v>32</v>
      </c>
      <c r="C18" s="15">
        <v>151.96</v>
      </c>
      <c r="D18" s="20" t="s">
        <v>80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3" t="s">
        <v>29</v>
      </c>
      <c r="R18" s="24"/>
      <c r="S18" s="25"/>
      <c r="T18" s="26"/>
      <c r="U18" s="2"/>
    </row>
    <row r="19" spans="2:21" ht="26.25" thickBot="1" x14ac:dyDescent="0.3">
      <c r="B19" s="6" t="s">
        <v>33</v>
      </c>
      <c r="C19" s="15">
        <v>18.25</v>
      </c>
      <c r="D19" s="20" t="s">
        <v>81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3" t="s">
        <v>29</v>
      </c>
      <c r="R19" s="24"/>
      <c r="S19" s="25"/>
      <c r="T19" s="26"/>
      <c r="U19" s="2"/>
    </row>
    <row r="20" spans="2:21" ht="26.25" thickBot="1" x14ac:dyDescent="0.3">
      <c r="B20" s="6" t="s">
        <v>34</v>
      </c>
      <c r="C20" s="15">
        <v>6.09</v>
      </c>
      <c r="D20" s="20" t="s">
        <v>82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3" t="s">
        <v>29</v>
      </c>
      <c r="R20" s="24"/>
      <c r="S20" s="25"/>
      <c r="T20" s="26"/>
      <c r="U20" s="2"/>
    </row>
    <row r="21" spans="2:21" ht="26.25" thickBot="1" x14ac:dyDescent="0.3">
      <c r="B21" s="6" t="s">
        <v>35</v>
      </c>
      <c r="C21" s="15">
        <v>15.18</v>
      </c>
      <c r="D21" s="20" t="s">
        <v>83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3" t="s">
        <v>29</v>
      </c>
      <c r="R21" s="24"/>
      <c r="S21" s="25"/>
      <c r="T21" s="26"/>
      <c r="U21" s="2"/>
    </row>
    <row r="22" spans="2:21" ht="26.25" thickBot="1" x14ac:dyDescent="0.3">
      <c r="B22" s="6" t="s">
        <v>36</v>
      </c>
      <c r="C22" s="15">
        <v>12.9</v>
      </c>
      <c r="D22" s="20" t="s">
        <v>84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3" t="s">
        <v>29</v>
      </c>
      <c r="R22" s="24"/>
      <c r="S22" s="25"/>
      <c r="T22" s="26"/>
      <c r="U22" s="2"/>
    </row>
    <row r="23" spans="2:21" ht="26.25" thickBot="1" x14ac:dyDescent="0.3">
      <c r="B23" s="6" t="s">
        <v>37</v>
      </c>
      <c r="C23" s="15">
        <v>0.71</v>
      </c>
      <c r="D23" s="20" t="s">
        <v>85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 t="s">
        <v>29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340.40999999999991</v>
      </c>
      <c r="D28" s="13">
        <v>340.41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Olmos 1</vt:lpstr>
      <vt:lpstr>Olmos 2</vt:lpstr>
      <vt:lpstr>Olmos 3</vt:lpstr>
      <vt:lpstr>Cajatambo</vt:lpstr>
      <vt:lpstr>Encañada 1</vt:lpstr>
      <vt:lpstr>Encañada 2</vt:lpstr>
      <vt:lpstr>Encañada 3</vt:lpstr>
      <vt:lpstr>Encañada 4</vt:lpstr>
      <vt:lpstr>Encañada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2026-06-22T20:48:00Z</cp:lastPrinted>
  <dcterms:created xsi:type="dcterms:W3CDTF">2026-06-22T16:11:07Z</dcterms:created>
  <dcterms:modified xsi:type="dcterms:W3CDTF">2026-06-25T16:50:50Z</dcterms:modified>
</cp:coreProperties>
</file>