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COIMPEC\Desktop\Mezclado 2026\"/>
    </mc:Choice>
  </mc:AlternateContent>
  <xr:revisionPtr revIDLastSave="0" documentId="13_ncr:1_{892A00EA-FE87-4EFB-8CD3-76C95F0B749F}" xr6:coauthVersionLast="47" xr6:coauthVersionMax="47" xr10:uidLastSave="{00000000-0000-0000-0000-000000000000}"/>
  <bookViews>
    <workbookView xWindow="-120" yWindow="-120" windowWidth="29040" windowHeight="15720" activeTab="5" xr2:uid="{7C9DF992-C883-48CD-A5A8-6441119EE8A0}"/>
  </bookViews>
  <sheets>
    <sheet name="Encañada 1" sheetId="3" r:id="rId1"/>
    <sheet name="Encañada 2" sheetId="2" r:id="rId2"/>
    <sheet name="Encañada 3" sheetId="6" r:id="rId3"/>
    <sheet name="Encañada 4" sheetId="7" r:id="rId4"/>
    <sheet name="Encañada 5" sheetId="8" r:id="rId5"/>
    <sheet name="Cajatambo" sheetId="4" r:id="rId6"/>
    <sheet name="Hualgayoc 1" sheetId="9" r:id="rId7"/>
    <sheet name="Hualgayoc 2" sheetId="10" r:id="rId8"/>
    <sheet name="Hualgayoc 3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8" i="11" l="1"/>
  <c r="C28" i="10"/>
  <c r="C28" i="9"/>
  <c r="C28" i="8" l="1"/>
  <c r="C28" i="7"/>
  <c r="C28" i="6"/>
  <c r="C28" i="4"/>
  <c r="C28" i="3"/>
  <c r="C28" i="2"/>
</calcChain>
</file>

<file path=xl/sharedStrings.xml><?xml version="1.0" encoding="utf-8"?>
<sst xmlns="http://schemas.openxmlformats.org/spreadsheetml/2006/main" count="1229" uniqueCount="97">
  <si>
    <t>FACO-HACCP- F-14</t>
  </si>
  <si>
    <t>FECHA:</t>
  </si>
  <si>
    <t>PRODUCTO:</t>
  </si>
  <si>
    <t>INGREDIENTES</t>
  </si>
  <si>
    <t>FORMULA (Kg)</t>
  </si>
  <si>
    <t>N° DE BATCH</t>
  </si>
  <si>
    <t>OBSERVACIONES</t>
  </si>
  <si>
    <t>V.B.</t>
  </si>
  <si>
    <t>Respons.</t>
  </si>
  <si>
    <t>01 </t>
  </si>
  <si>
    <t>02 </t>
  </si>
  <si>
    <t>05 </t>
  </si>
  <si>
    <t>06 </t>
  </si>
  <si>
    <t>07 </t>
  </si>
  <si>
    <t>08 </t>
  </si>
  <si>
    <t>09 </t>
  </si>
  <si>
    <t> 10</t>
  </si>
  <si>
    <t>11 </t>
  </si>
  <si>
    <t>12 </t>
  </si>
  <si>
    <t> 13</t>
  </si>
  <si>
    <t xml:space="preserve">HORA    </t>
  </si>
  <si>
    <t>TOTAL</t>
  </si>
  <si>
    <r>
      <t>Nota</t>
    </r>
    <r>
      <rPr>
        <sz val="9"/>
        <color theme="1"/>
        <rFont val="Times New Roman"/>
        <family val="1"/>
      </rPr>
      <t>: En cada Batch se registra el código interno de cada ingrediente</t>
    </r>
  </si>
  <si>
    <t>JEFE DE PRODUCCIÓN</t>
  </si>
  <si>
    <t>JEFE DE CONTROL DE      CALIDAD</t>
  </si>
  <si>
    <t xml:space="preserve">  CONTROL DE MEZCLADO (DIGITAL)</t>
  </si>
  <si>
    <t>MEZCLA PRECOCIDA DE HOJUELAS DE QUINUA, AVENA Y KIWICHA CON SEMILLAS DE CHÍA, HARINAS DE MACA Y CACAO FORTIFICADA CON VITAMINAS Y MINERALES</t>
  </si>
  <si>
    <t>03</t>
  </si>
  <si>
    <t>04</t>
  </si>
  <si>
    <t>Mezcladora 1</t>
  </si>
  <si>
    <t>Hojuela de Avena</t>
  </si>
  <si>
    <t>Hojuela de Quinua</t>
  </si>
  <si>
    <t>Hojuela de Kiwicha</t>
  </si>
  <si>
    <t>Harina de Maca</t>
  </si>
  <si>
    <t>Harina de Chia</t>
  </si>
  <si>
    <t>Harina de Cacao</t>
  </si>
  <si>
    <t>Fosfato Tricálcico</t>
  </si>
  <si>
    <t>Mix Vitáminico</t>
  </si>
  <si>
    <t>80.44
AH152</t>
  </si>
  <si>
    <t>78.56
QH152</t>
  </si>
  <si>
    <t>178.56
KH152</t>
  </si>
  <si>
    <t>21.44
MA150</t>
  </si>
  <si>
    <t>7.16
CH152</t>
  </si>
  <si>
    <t>17.84
CC151</t>
  </si>
  <si>
    <t>15.16
FT150</t>
  </si>
  <si>
    <t>0.84
MV150</t>
  </si>
  <si>
    <t>Mezcladora 2</t>
  </si>
  <si>
    <t>HOJUELAS PRECOCIDAS DE AVENA, QUINUA, KIWICHA Y MACA ENRIQUECIDA CON VITAMINAS Y MINERALES</t>
  </si>
  <si>
    <t>142.04
AH152</t>
  </si>
  <si>
    <t>47.36
QH152</t>
  </si>
  <si>
    <t>47.36
KH152</t>
  </si>
  <si>
    <t>142.04
MA150</t>
  </si>
  <si>
    <t>20.08
CH152</t>
  </si>
  <si>
    <t>1.12
CC151</t>
  </si>
  <si>
    <t>77.06
AH152</t>
  </si>
  <si>
    <t>25.69
QH152</t>
  </si>
  <si>
    <t>25.69
KH152</t>
  </si>
  <si>
    <t>77.06
MA150</t>
  </si>
  <si>
    <t>10.89
CH152</t>
  </si>
  <si>
    <t>68.46
AH152</t>
  </si>
  <si>
    <t>66.86
QH152</t>
  </si>
  <si>
    <t>151.96
KH152</t>
  </si>
  <si>
    <t>18.25
MA150</t>
  </si>
  <si>
    <t>6.09
CH152</t>
  </si>
  <si>
    <t>15.18
CC151</t>
  </si>
  <si>
    <t>12.90
FT150</t>
  </si>
  <si>
    <t>0.71
MV150</t>
  </si>
  <si>
    <t xml:space="preserve">HOJUELAS PRECOCIDAS LACTEADAS DE KIWICHA, QUINUA Y AVENA, CON MACA, SOYA, TARHUI Y GARBANZO FORTIFICADAS CON VITAMINAS Y MINERALES </t>
  </si>
  <si>
    <t>Harina de Soya</t>
  </si>
  <si>
    <t>Leche en Polvo</t>
  </si>
  <si>
    <t>Aceite de Soya</t>
  </si>
  <si>
    <t>Harina de Garbanzo</t>
  </si>
  <si>
    <t>Harina de Tarhui</t>
  </si>
  <si>
    <t>51.40
AH153</t>
  </si>
  <si>
    <t>86.56
QH153</t>
  </si>
  <si>
    <t>50.48
MA150</t>
  </si>
  <si>
    <t>133.40
KH153</t>
  </si>
  <si>
    <t>3.60
SH153</t>
  </si>
  <si>
    <t>46.88
LP150</t>
  </si>
  <si>
    <t>5.76
AS150</t>
  </si>
  <si>
    <t>2.88
GA153</t>
  </si>
  <si>
    <t>2.88
TH151</t>
  </si>
  <si>
    <t>15.28
FT150</t>
  </si>
  <si>
    <t>0.88
MV150</t>
  </si>
  <si>
    <t>40.88
AH153</t>
  </si>
  <si>
    <t>68.85
QH153</t>
  </si>
  <si>
    <t>106.11
KH153</t>
  </si>
  <si>
    <t>2.86
SH153</t>
  </si>
  <si>
    <t>40.15
MA150</t>
  </si>
  <si>
    <t>37.29
LP150</t>
  </si>
  <si>
    <t>4.58
AS150</t>
  </si>
  <si>
    <t>2.29
GA153</t>
  </si>
  <si>
    <t>2.29
TH151</t>
  </si>
  <si>
    <t>12.15
FT150</t>
  </si>
  <si>
    <t>0.70
MV150</t>
  </si>
  <si>
    <t>1.12
MV151</t>
  </si>
  <si>
    <t>0.61
MV151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</si>
</sst>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b/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8"/>
      <name val="Aptos Narrow"/>
      <family val="2"/>
      <scheme val="minor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9" fillId="0" borderId="0" xfId="0" applyFont="1" applyAlignment="1">
      <alignment vertical="center"/>
    </xf>
    <xf numFmtId="18" fontId="3" fillId="0" borderId="9" xfId="0" applyNumberFormat="1" applyFont="1" applyBorder="1" applyAlignment="1">
      <alignment horizontal="center" vertical="center" wrapText="1"/>
    </xf>
    <xf numFmtId="0" fontId="7" fillId="2" borderId="9" xfId="0" quotePrefix="1" applyFont="1" applyFill="1" applyBorder="1" applyAlignment="1">
      <alignment horizontal="center" vertical="center"/>
    </xf>
    <xf numFmtId="4" fontId="3" fillId="0" borderId="9" xfId="0" applyNumberFormat="1" applyFont="1" applyBorder="1" applyAlignment="1">
      <alignment horizontal="center" vertical="center"/>
    </xf>
    <xf numFmtId="4" fontId="1" fillId="0" borderId="0" xfId="0" applyNumberFormat="1" applyFont="1" applyAlignment="1">
      <alignment horizontal="center"/>
    </xf>
    <xf numFmtId="4" fontId="2" fillId="0" borderId="9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4" fontId="0" fillId="0" borderId="0" xfId="0" applyNumberFormat="1" applyAlignment="1">
      <alignment horizontal="center"/>
    </xf>
    <xf numFmtId="4" fontId="3" fillId="0" borderId="9" xfId="0" applyNumberFormat="1" applyFont="1" applyBorder="1" applyAlignment="1">
      <alignment horizontal="left" vertical="center" wrapText="1"/>
    </xf>
    <xf numFmtId="14" fontId="11" fillId="0" borderId="0" xfId="0" applyNumberFormat="1" applyFont="1" applyAlignment="1">
      <alignment horizontal="center"/>
    </xf>
    <xf numFmtId="4" fontId="2" fillId="0" borderId="9" xfId="0" applyNumberFormat="1" applyFont="1" applyBorder="1" applyAlignment="1">
      <alignment horizontal="center" vertical="center" wrapText="1"/>
    </xf>
    <xf numFmtId="4" fontId="13" fillId="0" borderId="9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vertical="center" wrapText="1"/>
    </xf>
    <xf numFmtId="4" fontId="3" fillId="0" borderId="3" xfId="0" applyNumberFormat="1" applyFont="1" applyBorder="1" applyAlignment="1">
      <alignment horizontal="center" vertical="center" wrapText="1"/>
    </xf>
    <xf numFmtId="4" fontId="3" fillId="0" borderId="4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13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9" fillId="0" borderId="8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10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122C334-7AD5-4DE2-88F0-2DCAB42C0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461E318B-963C-46DD-934E-53287BDEFC3B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84D9093-1AA2-4708-9EC3-98F570950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087265EC-9C69-4041-BD3D-BFF8E4143B21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99E8C66-96EE-47DB-BF70-F9012ACF7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7BB0B794-051E-447F-A150-17891B4386FF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A93289-F258-40B1-A002-041CC69A8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1F8D3C96-0B48-4971-AF91-68B6EECFB976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3145579-E357-45C1-A670-9CB2BD26A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6995FDE2-401C-46EE-BF48-749C0DC77575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FB27969-5455-4D13-B12A-AE62A1EB9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93E36D72-9626-436A-98CE-F2F3D786837B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8DF2867-3A98-4C52-94B8-4C051BC3F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B1262C4C-04AB-43F6-BD3D-52E27B20F678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8A663F1-52AE-4147-B900-4886906C9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0CC431A4-8B4F-4C56-AC1C-EAF77E810B96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701759</xdr:colOff>
      <xdr:row>0</xdr:row>
      <xdr:rowOff>57151</xdr:rowOff>
    </xdr:from>
    <xdr:to>
      <xdr:col>16</xdr:col>
      <xdr:colOff>265867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B61EA4B-582C-4FB7-AA5E-3BCF2F851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73559" y="57151"/>
          <a:ext cx="9470108" cy="933449"/>
        </a:xfrm>
        <a:prstGeom prst="rect">
          <a:avLst/>
        </a:prstGeom>
      </xdr:spPr>
    </xdr:pic>
    <xdr:clientData/>
  </xdr:twoCellAnchor>
  <xdr:twoCellAnchor>
    <xdr:from>
      <xdr:col>2</xdr:col>
      <xdr:colOff>426085</xdr:colOff>
      <xdr:row>14</xdr:row>
      <xdr:rowOff>97155</xdr:rowOff>
    </xdr:from>
    <xdr:to>
      <xdr:col>2</xdr:col>
      <xdr:colOff>692150</xdr:colOff>
      <xdr:row>14</xdr:row>
      <xdr:rowOff>97155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B44D8538-B89B-41D8-A94A-E15FF8A22560}"/>
            </a:ext>
          </a:extLst>
        </xdr:cNvPr>
        <xdr:cNvCxnSpPr/>
      </xdr:nvCxnSpPr>
      <xdr:spPr>
        <a:xfrm>
          <a:off x="2635885" y="2802255"/>
          <a:ext cx="26606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84DE0-E848-43C7-9216-F34ABA5E3A2D}">
  <sheetPr>
    <pageSetUpPr fitToPage="1"/>
  </sheetPr>
  <dimension ref="B7:U33"/>
  <sheetViews>
    <sheetView workbookViewId="0">
      <selection activeCell="B1" sqref="B1:T32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2" t="s">
        <v>0</v>
      </c>
      <c r="R7" s="22"/>
      <c r="S7" s="23"/>
      <c r="T7" s="23"/>
      <c r="U7" s="2"/>
    </row>
    <row r="8" spans="2:21" x14ac:dyDescent="0.25">
      <c r="B8" s="24" t="s">
        <v>25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3"/>
      <c r="S8" s="23"/>
      <c r="T8" s="1"/>
      <c r="U8" s="1"/>
    </row>
    <row r="9" spans="2:21" ht="15.75" customHeight="1" x14ac:dyDescent="0.25">
      <c r="B9" s="3" t="s">
        <v>1</v>
      </c>
      <c r="C9" s="19">
        <v>46174</v>
      </c>
      <c r="D9" s="1"/>
      <c r="E9" s="25" t="s">
        <v>2</v>
      </c>
      <c r="F9" s="25"/>
      <c r="G9" s="60" t="s">
        <v>26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2"/>
    </row>
    <row r="10" spans="2:21" ht="15.75" customHeight="1" thickBot="1" x14ac:dyDescent="0.3">
      <c r="B10" s="1"/>
      <c r="C10" s="14"/>
      <c r="D10" s="1"/>
      <c r="E10" s="1"/>
      <c r="F10" s="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</row>
    <row r="11" spans="2:21" ht="15" customHeight="1" x14ac:dyDescent="0.25">
      <c r="B11" s="28" t="s">
        <v>3</v>
      </c>
      <c r="C11" s="31" t="s">
        <v>4</v>
      </c>
      <c r="D11" s="34" t="s">
        <v>5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4" t="s">
        <v>6</v>
      </c>
      <c r="R11" s="40"/>
      <c r="S11" s="43" t="s">
        <v>7</v>
      </c>
      <c r="T11" s="44"/>
    </row>
    <row r="12" spans="2:21" x14ac:dyDescent="0.25">
      <c r="B12" s="29"/>
      <c r="C12" s="32"/>
      <c r="D12" s="36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6"/>
      <c r="R12" s="41"/>
      <c r="S12" s="45"/>
      <c r="T12" s="46"/>
    </row>
    <row r="13" spans="2:21" ht="15.75" thickBot="1" x14ac:dyDescent="0.3">
      <c r="B13" s="29"/>
      <c r="C13" s="32"/>
      <c r="D13" s="38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6"/>
      <c r="R13" s="41"/>
      <c r="S13" s="47" t="s">
        <v>8</v>
      </c>
      <c r="T13" s="48"/>
    </row>
    <row r="14" spans="2:21" ht="15.75" thickBot="1" x14ac:dyDescent="0.3">
      <c r="B14" s="30"/>
      <c r="C14" s="33"/>
      <c r="D14" s="4" t="s">
        <v>9</v>
      </c>
      <c r="E14" s="4" t="s">
        <v>10</v>
      </c>
      <c r="F14" s="12" t="s">
        <v>27</v>
      </c>
      <c r="G14" s="12" t="s">
        <v>28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38"/>
      <c r="R14" s="42"/>
      <c r="S14" s="49"/>
      <c r="T14" s="50"/>
      <c r="U14" s="2"/>
    </row>
    <row r="15" spans="2:21" ht="15.75" thickBot="1" x14ac:dyDescent="0.3">
      <c r="B15" s="5"/>
      <c r="C15" s="18" t="s">
        <v>20</v>
      </c>
      <c r="D15" s="11">
        <v>2.0833333333333332E-2</v>
      </c>
      <c r="E15" s="11">
        <v>3.4722222222222224E-2</v>
      </c>
      <c r="F15" s="11">
        <v>4.8611111111111098E-2</v>
      </c>
      <c r="G15" s="11">
        <v>6.25E-2</v>
      </c>
      <c r="H15" s="11">
        <v>7.6388888888888895E-2</v>
      </c>
      <c r="I15" s="11">
        <v>9.0277777777777804E-2</v>
      </c>
      <c r="J15" s="11">
        <v>0.104166666666667</v>
      </c>
      <c r="K15" s="11">
        <v>0.118055555555556</v>
      </c>
      <c r="L15" s="11">
        <v>0.131944444444444</v>
      </c>
      <c r="M15" s="11">
        <v>0.14583333333333301</v>
      </c>
      <c r="N15" s="11">
        <v>0.15972222222222199</v>
      </c>
      <c r="O15" s="11">
        <v>0.17361111111111099</v>
      </c>
      <c r="P15" s="11">
        <v>0.1875</v>
      </c>
      <c r="Q15" s="51" t="s">
        <v>29</v>
      </c>
      <c r="R15" s="52"/>
      <c r="S15" s="53"/>
      <c r="T15" s="54"/>
      <c r="U15" s="2"/>
    </row>
    <row r="16" spans="2:21" ht="26.25" thickBot="1" x14ac:dyDescent="0.3">
      <c r="B16" s="6" t="s">
        <v>30</v>
      </c>
      <c r="C16" s="15">
        <v>1045.72</v>
      </c>
      <c r="D16" s="20" t="s">
        <v>38</v>
      </c>
      <c r="E16" s="20" t="s">
        <v>38</v>
      </c>
      <c r="F16" s="20" t="s">
        <v>38</v>
      </c>
      <c r="G16" s="20" t="s">
        <v>38</v>
      </c>
      <c r="H16" s="20" t="s">
        <v>38</v>
      </c>
      <c r="I16" s="20" t="s">
        <v>38</v>
      </c>
      <c r="J16" s="20" t="s">
        <v>38</v>
      </c>
      <c r="K16" s="20" t="s">
        <v>38</v>
      </c>
      <c r="L16" s="20" t="s">
        <v>38</v>
      </c>
      <c r="M16" s="20" t="s">
        <v>38</v>
      </c>
      <c r="N16" s="20" t="s">
        <v>38</v>
      </c>
      <c r="O16" s="20" t="s">
        <v>38</v>
      </c>
      <c r="P16" s="20" t="s">
        <v>38</v>
      </c>
      <c r="Q16" s="51" t="s">
        <v>29</v>
      </c>
      <c r="R16" s="52"/>
      <c r="S16" s="55"/>
      <c r="T16" s="56"/>
      <c r="U16" s="2"/>
    </row>
    <row r="17" spans="2:21" ht="26.25" thickBot="1" x14ac:dyDescent="0.3">
      <c r="B17" s="6" t="s">
        <v>31</v>
      </c>
      <c r="C17" s="15">
        <v>1021.28</v>
      </c>
      <c r="D17" s="20" t="s">
        <v>39</v>
      </c>
      <c r="E17" s="20" t="s">
        <v>39</v>
      </c>
      <c r="F17" s="20" t="s">
        <v>39</v>
      </c>
      <c r="G17" s="20" t="s">
        <v>39</v>
      </c>
      <c r="H17" s="20" t="s">
        <v>39</v>
      </c>
      <c r="I17" s="20" t="s">
        <v>39</v>
      </c>
      <c r="J17" s="20" t="s">
        <v>39</v>
      </c>
      <c r="K17" s="20" t="s">
        <v>39</v>
      </c>
      <c r="L17" s="20" t="s">
        <v>39</v>
      </c>
      <c r="M17" s="20" t="s">
        <v>39</v>
      </c>
      <c r="N17" s="20" t="s">
        <v>39</v>
      </c>
      <c r="O17" s="20" t="s">
        <v>39</v>
      </c>
      <c r="P17" s="20" t="s">
        <v>39</v>
      </c>
      <c r="Q17" s="51" t="s">
        <v>29</v>
      </c>
      <c r="R17" s="52"/>
      <c r="S17" s="55"/>
      <c r="T17" s="56"/>
      <c r="U17" s="2"/>
    </row>
    <row r="18" spans="2:21" ht="26.25" thickBot="1" x14ac:dyDescent="0.3">
      <c r="B18" s="6" t="s">
        <v>32</v>
      </c>
      <c r="C18" s="15">
        <v>2321.2800000000002</v>
      </c>
      <c r="D18" s="20" t="s">
        <v>40</v>
      </c>
      <c r="E18" s="20" t="s">
        <v>40</v>
      </c>
      <c r="F18" s="20" t="s">
        <v>40</v>
      </c>
      <c r="G18" s="20" t="s">
        <v>40</v>
      </c>
      <c r="H18" s="20" t="s">
        <v>40</v>
      </c>
      <c r="I18" s="20" t="s">
        <v>40</v>
      </c>
      <c r="J18" s="20" t="s">
        <v>40</v>
      </c>
      <c r="K18" s="20" t="s">
        <v>40</v>
      </c>
      <c r="L18" s="20" t="s">
        <v>40</v>
      </c>
      <c r="M18" s="20" t="s">
        <v>40</v>
      </c>
      <c r="N18" s="20" t="s">
        <v>40</v>
      </c>
      <c r="O18" s="20" t="s">
        <v>40</v>
      </c>
      <c r="P18" s="20" t="s">
        <v>40</v>
      </c>
      <c r="Q18" s="51" t="s">
        <v>29</v>
      </c>
      <c r="R18" s="52"/>
      <c r="S18" s="55"/>
      <c r="T18" s="56"/>
      <c r="U18" s="2"/>
    </row>
    <row r="19" spans="2:21" ht="26.25" thickBot="1" x14ac:dyDescent="0.3">
      <c r="B19" s="6" t="s">
        <v>33</v>
      </c>
      <c r="C19" s="15">
        <v>278.72000000000003</v>
      </c>
      <c r="D19" s="20" t="s">
        <v>41</v>
      </c>
      <c r="E19" s="20" t="s">
        <v>41</v>
      </c>
      <c r="F19" s="20" t="s">
        <v>41</v>
      </c>
      <c r="G19" s="20" t="s">
        <v>41</v>
      </c>
      <c r="H19" s="20" t="s">
        <v>41</v>
      </c>
      <c r="I19" s="20" t="s">
        <v>41</v>
      </c>
      <c r="J19" s="20" t="s">
        <v>41</v>
      </c>
      <c r="K19" s="20" t="s">
        <v>41</v>
      </c>
      <c r="L19" s="20" t="s">
        <v>41</v>
      </c>
      <c r="M19" s="20" t="s">
        <v>41</v>
      </c>
      <c r="N19" s="20" t="s">
        <v>41</v>
      </c>
      <c r="O19" s="20" t="s">
        <v>41</v>
      </c>
      <c r="P19" s="20" t="s">
        <v>41</v>
      </c>
      <c r="Q19" s="51" t="s">
        <v>29</v>
      </c>
      <c r="R19" s="52"/>
      <c r="S19" s="55"/>
      <c r="T19" s="56"/>
      <c r="U19" s="2"/>
    </row>
    <row r="20" spans="2:21" ht="26.25" thickBot="1" x14ac:dyDescent="0.3">
      <c r="B20" s="6" t="s">
        <v>34</v>
      </c>
      <c r="C20" s="15">
        <v>93.08</v>
      </c>
      <c r="D20" s="20" t="s">
        <v>42</v>
      </c>
      <c r="E20" s="20" t="s">
        <v>42</v>
      </c>
      <c r="F20" s="20" t="s">
        <v>42</v>
      </c>
      <c r="G20" s="20" t="s">
        <v>42</v>
      </c>
      <c r="H20" s="20" t="s">
        <v>42</v>
      </c>
      <c r="I20" s="20" t="s">
        <v>42</v>
      </c>
      <c r="J20" s="20" t="s">
        <v>42</v>
      </c>
      <c r="K20" s="20" t="s">
        <v>42</v>
      </c>
      <c r="L20" s="20" t="s">
        <v>42</v>
      </c>
      <c r="M20" s="20" t="s">
        <v>42</v>
      </c>
      <c r="N20" s="20" t="s">
        <v>42</v>
      </c>
      <c r="O20" s="20" t="s">
        <v>42</v>
      </c>
      <c r="P20" s="20" t="s">
        <v>42</v>
      </c>
      <c r="Q20" s="51" t="s">
        <v>29</v>
      </c>
      <c r="R20" s="52"/>
      <c r="S20" s="55"/>
      <c r="T20" s="56"/>
      <c r="U20" s="2"/>
    </row>
    <row r="21" spans="2:21" ht="26.25" thickBot="1" x14ac:dyDescent="0.3">
      <c r="B21" s="6" t="s">
        <v>35</v>
      </c>
      <c r="C21" s="15">
        <v>231.92</v>
      </c>
      <c r="D21" s="20" t="s">
        <v>43</v>
      </c>
      <c r="E21" s="20" t="s">
        <v>43</v>
      </c>
      <c r="F21" s="20" t="s">
        <v>43</v>
      </c>
      <c r="G21" s="20" t="s">
        <v>43</v>
      </c>
      <c r="H21" s="20" t="s">
        <v>43</v>
      </c>
      <c r="I21" s="20" t="s">
        <v>43</v>
      </c>
      <c r="J21" s="20" t="s">
        <v>43</v>
      </c>
      <c r="K21" s="20" t="s">
        <v>43</v>
      </c>
      <c r="L21" s="20" t="s">
        <v>43</v>
      </c>
      <c r="M21" s="20" t="s">
        <v>43</v>
      </c>
      <c r="N21" s="20" t="s">
        <v>43</v>
      </c>
      <c r="O21" s="20" t="s">
        <v>43</v>
      </c>
      <c r="P21" s="20" t="s">
        <v>43</v>
      </c>
      <c r="Q21" s="51" t="s">
        <v>29</v>
      </c>
      <c r="R21" s="52"/>
      <c r="S21" s="55"/>
      <c r="T21" s="56"/>
      <c r="U21" s="2"/>
    </row>
    <row r="22" spans="2:21" ht="26.25" thickBot="1" x14ac:dyDescent="0.3">
      <c r="B22" s="6" t="s">
        <v>36</v>
      </c>
      <c r="C22" s="15">
        <v>197.08</v>
      </c>
      <c r="D22" s="20" t="s">
        <v>44</v>
      </c>
      <c r="E22" s="20" t="s">
        <v>44</v>
      </c>
      <c r="F22" s="20" t="s">
        <v>44</v>
      </c>
      <c r="G22" s="20" t="s">
        <v>44</v>
      </c>
      <c r="H22" s="20" t="s">
        <v>44</v>
      </c>
      <c r="I22" s="20" t="s">
        <v>44</v>
      </c>
      <c r="J22" s="20" t="s">
        <v>44</v>
      </c>
      <c r="K22" s="20" t="s">
        <v>44</v>
      </c>
      <c r="L22" s="20" t="s">
        <v>44</v>
      </c>
      <c r="M22" s="20" t="s">
        <v>44</v>
      </c>
      <c r="N22" s="20" t="s">
        <v>44</v>
      </c>
      <c r="O22" s="20" t="s">
        <v>44</v>
      </c>
      <c r="P22" s="20" t="s">
        <v>44</v>
      </c>
      <c r="Q22" s="51" t="s">
        <v>29</v>
      </c>
      <c r="R22" s="52"/>
      <c r="S22" s="55"/>
      <c r="T22" s="56"/>
      <c r="U22" s="2"/>
    </row>
    <row r="23" spans="2:21" ht="26.25" thickBot="1" x14ac:dyDescent="0.3">
      <c r="B23" s="6" t="s">
        <v>37</v>
      </c>
      <c r="C23" s="15">
        <v>10.92</v>
      </c>
      <c r="D23" s="20" t="s">
        <v>45</v>
      </c>
      <c r="E23" s="20" t="s">
        <v>45</v>
      </c>
      <c r="F23" s="20" t="s">
        <v>45</v>
      </c>
      <c r="G23" s="20" t="s">
        <v>45</v>
      </c>
      <c r="H23" s="20" t="s">
        <v>45</v>
      </c>
      <c r="I23" s="20" t="s">
        <v>45</v>
      </c>
      <c r="J23" s="20" t="s">
        <v>45</v>
      </c>
      <c r="K23" s="20" t="s">
        <v>45</v>
      </c>
      <c r="L23" s="20" t="s">
        <v>45</v>
      </c>
      <c r="M23" s="20" t="s">
        <v>45</v>
      </c>
      <c r="N23" s="20" t="s">
        <v>45</v>
      </c>
      <c r="O23" s="20" t="s">
        <v>45</v>
      </c>
      <c r="P23" s="20" t="s">
        <v>45</v>
      </c>
      <c r="Q23" s="51" t="s">
        <v>29</v>
      </c>
      <c r="R23" s="52"/>
      <c r="S23" s="55"/>
      <c r="T23" s="56"/>
      <c r="U23" s="2"/>
    </row>
    <row r="24" spans="2:21" ht="26.25" thickBot="1" x14ac:dyDescent="0.3">
      <c r="B24" s="6"/>
      <c r="C24" s="15"/>
      <c r="D24" s="21" t="s">
        <v>45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51"/>
      <c r="R24" s="52"/>
      <c r="S24" s="55"/>
      <c r="T24" s="56"/>
      <c r="U24" s="2"/>
    </row>
    <row r="25" spans="2:21" ht="26.25" thickBot="1" x14ac:dyDescent="0.3">
      <c r="B25" s="6"/>
      <c r="C25" s="15"/>
      <c r="D25" s="21" t="s">
        <v>45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51"/>
      <c r="R25" s="52"/>
      <c r="S25" s="55"/>
      <c r="T25" s="56"/>
      <c r="U25" s="2"/>
    </row>
    <row r="26" spans="2:21" ht="26.25" thickBot="1" x14ac:dyDescent="0.3">
      <c r="B26" s="8"/>
      <c r="C26" s="15"/>
      <c r="D26" s="21" t="s">
        <v>45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51"/>
      <c r="R26" s="52"/>
      <c r="S26" s="55"/>
      <c r="T26" s="56"/>
      <c r="U26" s="2"/>
    </row>
    <row r="27" spans="2:21" ht="26.25" thickBot="1" x14ac:dyDescent="0.3">
      <c r="B27" s="8"/>
      <c r="C27" s="15"/>
      <c r="D27" s="21" t="s">
        <v>45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51"/>
      <c r="R27" s="52"/>
      <c r="S27" s="55"/>
      <c r="T27" s="56"/>
      <c r="U27" s="2"/>
    </row>
    <row r="28" spans="2:21" ht="16.5" thickBot="1" x14ac:dyDescent="0.3">
      <c r="B28" s="9" t="s">
        <v>21</v>
      </c>
      <c r="C28" s="13">
        <f>SUM(C16:C23)</f>
        <v>5200.0000000000009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400</v>
      </c>
      <c r="L28" s="13">
        <v>400</v>
      </c>
      <c r="M28" s="13">
        <v>400</v>
      </c>
      <c r="N28" s="13">
        <v>400</v>
      </c>
      <c r="O28" s="13">
        <v>400</v>
      </c>
      <c r="P28" s="13">
        <v>400</v>
      </c>
      <c r="Q28" s="55"/>
      <c r="R28" s="56"/>
      <c r="S28" s="55"/>
      <c r="T28" s="56"/>
      <c r="U28" s="2"/>
    </row>
    <row r="29" spans="2:21" x14ac:dyDescent="0.25">
      <c r="B29" s="57" t="s">
        <v>22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58"/>
      <c r="R31" s="58"/>
      <c r="S31" s="23"/>
      <c r="T31" s="23"/>
      <c r="U31" s="2"/>
    </row>
    <row r="32" spans="2:21" x14ac:dyDescent="0.25">
      <c r="B32" s="1"/>
      <c r="C32" s="59" t="s">
        <v>23</v>
      </c>
      <c r="D32" s="5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59" t="s">
        <v>24</v>
      </c>
      <c r="Q32" s="59"/>
      <c r="R32" s="59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0">
    <mergeCell ref="Q33:R33"/>
    <mergeCell ref="S33:T33"/>
    <mergeCell ref="Q27:R27"/>
    <mergeCell ref="S27:T27"/>
    <mergeCell ref="Q28:R28"/>
    <mergeCell ref="S28:T28"/>
    <mergeCell ref="Q30:R30"/>
    <mergeCell ref="S30:T30"/>
    <mergeCell ref="B29:T29"/>
    <mergeCell ref="Q31:R31"/>
    <mergeCell ref="S31:T31"/>
    <mergeCell ref="C32:D32"/>
    <mergeCell ref="P32:R32"/>
    <mergeCell ref="S32:T32"/>
    <mergeCell ref="Q24:R24"/>
    <mergeCell ref="S24:T24"/>
    <mergeCell ref="Q25:R25"/>
    <mergeCell ref="S25:T25"/>
    <mergeCell ref="Q26:R26"/>
    <mergeCell ref="S26:T26"/>
    <mergeCell ref="Q21:R21"/>
    <mergeCell ref="S21:T21"/>
    <mergeCell ref="Q22:R22"/>
    <mergeCell ref="S22:T22"/>
    <mergeCell ref="Q23:R23"/>
    <mergeCell ref="S23:T23"/>
    <mergeCell ref="Q18:R18"/>
    <mergeCell ref="S18:T18"/>
    <mergeCell ref="Q19:R19"/>
    <mergeCell ref="S19:T19"/>
    <mergeCell ref="Q20:R20"/>
    <mergeCell ref="S20:T20"/>
    <mergeCell ref="Q15:R15"/>
    <mergeCell ref="S15:T15"/>
    <mergeCell ref="Q16:R16"/>
    <mergeCell ref="S16:T16"/>
    <mergeCell ref="Q17:R17"/>
    <mergeCell ref="S17:T17"/>
    <mergeCell ref="B11:B14"/>
    <mergeCell ref="C11:C14"/>
    <mergeCell ref="D11:P13"/>
    <mergeCell ref="Q11:R14"/>
    <mergeCell ref="S11:T12"/>
    <mergeCell ref="S13:T14"/>
    <mergeCell ref="Q7:R7"/>
    <mergeCell ref="S7:T7"/>
    <mergeCell ref="B8:Q8"/>
    <mergeCell ref="R8:S8"/>
    <mergeCell ref="E9:F9"/>
    <mergeCell ref="G9:T10"/>
  </mergeCells>
  <pageMargins left="0.25" right="0.25" top="0.75" bottom="0.75" header="0.3" footer="0.3"/>
  <pageSetup paperSize="9" scale="5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FC210-F222-4157-925F-B8B9D0228F04}">
  <sheetPr>
    <pageSetUpPr fitToPage="1"/>
  </sheetPr>
  <dimension ref="B7:U33"/>
  <sheetViews>
    <sheetView topLeftCell="A10" workbookViewId="0">
      <selection activeCell="B1" sqref="B1:U32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2" t="s">
        <v>0</v>
      </c>
      <c r="R7" s="22"/>
      <c r="S7" s="23"/>
      <c r="T7" s="23"/>
      <c r="U7" s="2"/>
    </row>
    <row r="8" spans="2:21" x14ac:dyDescent="0.25">
      <c r="B8" s="24" t="s">
        <v>25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3"/>
      <c r="S8" s="23"/>
      <c r="T8" s="23"/>
      <c r="U8" s="23"/>
    </row>
    <row r="9" spans="2:21" ht="15.75" customHeight="1" x14ac:dyDescent="0.25">
      <c r="B9" s="3" t="s">
        <v>1</v>
      </c>
      <c r="C9" s="19">
        <v>46174</v>
      </c>
      <c r="D9" s="1"/>
      <c r="E9" s="25" t="s">
        <v>2</v>
      </c>
      <c r="F9" s="25"/>
      <c r="G9" s="60" t="s">
        <v>26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2"/>
    </row>
    <row r="10" spans="2:21" ht="15.75" customHeight="1" thickBot="1" x14ac:dyDescent="0.3">
      <c r="B10" s="1"/>
      <c r="C10" s="14"/>
      <c r="D10" s="1"/>
      <c r="E10" s="1"/>
      <c r="F10" s="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</row>
    <row r="11" spans="2:21" ht="15" customHeight="1" x14ac:dyDescent="0.25">
      <c r="B11" s="28" t="s">
        <v>3</v>
      </c>
      <c r="C11" s="31" t="s">
        <v>4</v>
      </c>
      <c r="D11" s="34" t="s">
        <v>5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4" t="s">
        <v>6</v>
      </c>
      <c r="R11" s="40"/>
      <c r="S11" s="43" t="s">
        <v>7</v>
      </c>
      <c r="T11" s="44"/>
    </row>
    <row r="12" spans="2:21" x14ac:dyDescent="0.25">
      <c r="B12" s="29"/>
      <c r="C12" s="32"/>
      <c r="D12" s="36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6"/>
      <c r="R12" s="41"/>
      <c r="S12" s="45"/>
      <c r="T12" s="46"/>
    </row>
    <row r="13" spans="2:21" ht="15.75" thickBot="1" x14ac:dyDescent="0.3">
      <c r="B13" s="29"/>
      <c r="C13" s="32"/>
      <c r="D13" s="38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6"/>
      <c r="R13" s="41"/>
      <c r="S13" s="47" t="s">
        <v>8</v>
      </c>
      <c r="T13" s="48"/>
    </row>
    <row r="14" spans="2:21" ht="15.75" thickBot="1" x14ac:dyDescent="0.3">
      <c r="B14" s="30"/>
      <c r="C14" s="33"/>
      <c r="D14" s="4" t="s">
        <v>9</v>
      </c>
      <c r="E14" s="4" t="s">
        <v>10</v>
      </c>
      <c r="F14" s="12" t="s">
        <v>27</v>
      </c>
      <c r="G14" s="12" t="s">
        <v>28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38"/>
      <c r="R14" s="42"/>
      <c r="S14" s="49"/>
      <c r="T14" s="50"/>
      <c r="U14" s="2"/>
    </row>
    <row r="15" spans="2:21" ht="15.75" thickBot="1" x14ac:dyDescent="0.3">
      <c r="B15" s="5"/>
      <c r="C15" s="18" t="s">
        <v>20</v>
      </c>
      <c r="D15" s="11">
        <v>2.4305555555555556E-2</v>
      </c>
      <c r="E15" s="11">
        <v>3.8194444444444448E-2</v>
      </c>
      <c r="F15" s="11">
        <v>5.2083333333333398E-2</v>
      </c>
      <c r="G15" s="11">
        <v>6.5972222222222293E-2</v>
      </c>
      <c r="H15" s="11">
        <v>7.9861111111111202E-2</v>
      </c>
      <c r="I15" s="11">
        <v>9.3750000000000097E-2</v>
      </c>
      <c r="J15" s="11">
        <v>0.10763888888888901</v>
      </c>
      <c r="K15" s="11">
        <v>0.121527777777778</v>
      </c>
      <c r="L15" s="11">
        <v>0.13541666666666699</v>
      </c>
      <c r="M15" s="11">
        <v>0.149305555555556</v>
      </c>
      <c r="N15" s="11">
        <v>0.163194444444445</v>
      </c>
      <c r="O15" s="11">
        <v>0.17708333333333401</v>
      </c>
      <c r="P15" s="11">
        <v>0.19097222222222299</v>
      </c>
      <c r="Q15" s="51" t="s">
        <v>46</v>
      </c>
      <c r="R15" s="52"/>
      <c r="S15" s="53"/>
      <c r="T15" s="54"/>
      <c r="U15" s="2"/>
    </row>
    <row r="16" spans="2:21" ht="26.25" thickBot="1" x14ac:dyDescent="0.3">
      <c r="B16" s="6" t="s">
        <v>30</v>
      </c>
      <c r="C16" s="15">
        <v>1045.72</v>
      </c>
      <c r="D16" s="20" t="s">
        <v>38</v>
      </c>
      <c r="E16" s="20" t="s">
        <v>38</v>
      </c>
      <c r="F16" s="20" t="s">
        <v>38</v>
      </c>
      <c r="G16" s="20" t="s">
        <v>38</v>
      </c>
      <c r="H16" s="20" t="s">
        <v>38</v>
      </c>
      <c r="I16" s="20" t="s">
        <v>38</v>
      </c>
      <c r="J16" s="20" t="s">
        <v>38</v>
      </c>
      <c r="K16" s="20" t="s">
        <v>38</v>
      </c>
      <c r="L16" s="20" t="s">
        <v>38</v>
      </c>
      <c r="M16" s="20" t="s">
        <v>38</v>
      </c>
      <c r="N16" s="20" t="s">
        <v>38</v>
      </c>
      <c r="O16" s="20" t="s">
        <v>38</v>
      </c>
      <c r="P16" s="20" t="s">
        <v>38</v>
      </c>
      <c r="Q16" s="51" t="s">
        <v>46</v>
      </c>
      <c r="R16" s="52"/>
      <c r="S16" s="55"/>
      <c r="T16" s="56"/>
      <c r="U16" s="2"/>
    </row>
    <row r="17" spans="2:21" ht="26.25" thickBot="1" x14ac:dyDescent="0.3">
      <c r="B17" s="6" t="s">
        <v>31</v>
      </c>
      <c r="C17" s="15">
        <v>1021.28</v>
      </c>
      <c r="D17" s="20" t="s">
        <v>39</v>
      </c>
      <c r="E17" s="20" t="s">
        <v>39</v>
      </c>
      <c r="F17" s="20" t="s">
        <v>39</v>
      </c>
      <c r="G17" s="20" t="s">
        <v>39</v>
      </c>
      <c r="H17" s="20" t="s">
        <v>39</v>
      </c>
      <c r="I17" s="20" t="s">
        <v>39</v>
      </c>
      <c r="J17" s="20" t="s">
        <v>39</v>
      </c>
      <c r="K17" s="20" t="s">
        <v>39</v>
      </c>
      <c r="L17" s="20" t="s">
        <v>39</v>
      </c>
      <c r="M17" s="20" t="s">
        <v>39</v>
      </c>
      <c r="N17" s="20" t="s">
        <v>39</v>
      </c>
      <c r="O17" s="20" t="s">
        <v>39</v>
      </c>
      <c r="P17" s="20" t="s">
        <v>39</v>
      </c>
      <c r="Q17" s="51" t="s">
        <v>46</v>
      </c>
      <c r="R17" s="52"/>
      <c r="S17" s="55"/>
      <c r="T17" s="56"/>
      <c r="U17" s="2"/>
    </row>
    <row r="18" spans="2:21" ht="26.25" thickBot="1" x14ac:dyDescent="0.3">
      <c r="B18" s="6" t="s">
        <v>32</v>
      </c>
      <c r="C18" s="15">
        <v>2321.2800000000002</v>
      </c>
      <c r="D18" s="20" t="s">
        <v>40</v>
      </c>
      <c r="E18" s="20" t="s">
        <v>40</v>
      </c>
      <c r="F18" s="20" t="s">
        <v>40</v>
      </c>
      <c r="G18" s="20" t="s">
        <v>40</v>
      </c>
      <c r="H18" s="20" t="s">
        <v>40</v>
      </c>
      <c r="I18" s="20" t="s">
        <v>40</v>
      </c>
      <c r="J18" s="20" t="s">
        <v>40</v>
      </c>
      <c r="K18" s="20" t="s">
        <v>40</v>
      </c>
      <c r="L18" s="20" t="s">
        <v>40</v>
      </c>
      <c r="M18" s="20" t="s">
        <v>40</v>
      </c>
      <c r="N18" s="20" t="s">
        <v>40</v>
      </c>
      <c r="O18" s="20" t="s">
        <v>40</v>
      </c>
      <c r="P18" s="20" t="s">
        <v>40</v>
      </c>
      <c r="Q18" s="51" t="s">
        <v>46</v>
      </c>
      <c r="R18" s="52"/>
      <c r="S18" s="55"/>
      <c r="T18" s="56"/>
      <c r="U18" s="2"/>
    </row>
    <row r="19" spans="2:21" ht="26.25" thickBot="1" x14ac:dyDescent="0.3">
      <c r="B19" s="6" t="s">
        <v>33</v>
      </c>
      <c r="C19" s="15">
        <v>278.72000000000003</v>
      </c>
      <c r="D19" s="20" t="s">
        <v>41</v>
      </c>
      <c r="E19" s="20" t="s">
        <v>41</v>
      </c>
      <c r="F19" s="20" t="s">
        <v>41</v>
      </c>
      <c r="G19" s="20" t="s">
        <v>41</v>
      </c>
      <c r="H19" s="20" t="s">
        <v>41</v>
      </c>
      <c r="I19" s="20" t="s">
        <v>41</v>
      </c>
      <c r="J19" s="20" t="s">
        <v>41</v>
      </c>
      <c r="K19" s="20" t="s">
        <v>41</v>
      </c>
      <c r="L19" s="20" t="s">
        <v>41</v>
      </c>
      <c r="M19" s="20" t="s">
        <v>41</v>
      </c>
      <c r="N19" s="20" t="s">
        <v>41</v>
      </c>
      <c r="O19" s="20" t="s">
        <v>41</v>
      </c>
      <c r="P19" s="20" t="s">
        <v>41</v>
      </c>
      <c r="Q19" s="51" t="s">
        <v>46</v>
      </c>
      <c r="R19" s="52"/>
      <c r="S19" s="55"/>
      <c r="T19" s="56"/>
      <c r="U19" s="2"/>
    </row>
    <row r="20" spans="2:21" ht="26.25" thickBot="1" x14ac:dyDescent="0.3">
      <c r="B20" s="6" t="s">
        <v>34</v>
      </c>
      <c r="C20" s="15">
        <v>93.08</v>
      </c>
      <c r="D20" s="20" t="s">
        <v>42</v>
      </c>
      <c r="E20" s="20" t="s">
        <v>42</v>
      </c>
      <c r="F20" s="20" t="s">
        <v>42</v>
      </c>
      <c r="G20" s="20" t="s">
        <v>42</v>
      </c>
      <c r="H20" s="20" t="s">
        <v>42</v>
      </c>
      <c r="I20" s="20" t="s">
        <v>42</v>
      </c>
      <c r="J20" s="20" t="s">
        <v>42</v>
      </c>
      <c r="K20" s="20" t="s">
        <v>42</v>
      </c>
      <c r="L20" s="20" t="s">
        <v>42</v>
      </c>
      <c r="M20" s="20" t="s">
        <v>42</v>
      </c>
      <c r="N20" s="20" t="s">
        <v>42</v>
      </c>
      <c r="O20" s="20" t="s">
        <v>42</v>
      </c>
      <c r="P20" s="20" t="s">
        <v>42</v>
      </c>
      <c r="Q20" s="51" t="s">
        <v>46</v>
      </c>
      <c r="R20" s="52"/>
      <c r="S20" s="55"/>
      <c r="T20" s="56"/>
      <c r="U20" s="2"/>
    </row>
    <row r="21" spans="2:21" ht="26.25" thickBot="1" x14ac:dyDescent="0.3">
      <c r="B21" s="6" t="s">
        <v>35</v>
      </c>
      <c r="C21" s="15">
        <v>231.92</v>
      </c>
      <c r="D21" s="20" t="s">
        <v>43</v>
      </c>
      <c r="E21" s="20" t="s">
        <v>43</v>
      </c>
      <c r="F21" s="20" t="s">
        <v>43</v>
      </c>
      <c r="G21" s="20" t="s">
        <v>43</v>
      </c>
      <c r="H21" s="20" t="s">
        <v>43</v>
      </c>
      <c r="I21" s="20" t="s">
        <v>43</v>
      </c>
      <c r="J21" s="20" t="s">
        <v>43</v>
      </c>
      <c r="K21" s="20" t="s">
        <v>43</v>
      </c>
      <c r="L21" s="20" t="s">
        <v>43</v>
      </c>
      <c r="M21" s="20" t="s">
        <v>43</v>
      </c>
      <c r="N21" s="20" t="s">
        <v>43</v>
      </c>
      <c r="O21" s="20" t="s">
        <v>43</v>
      </c>
      <c r="P21" s="20" t="s">
        <v>43</v>
      </c>
      <c r="Q21" s="51" t="s">
        <v>46</v>
      </c>
      <c r="R21" s="52"/>
      <c r="S21" s="55"/>
      <c r="T21" s="56"/>
      <c r="U21" s="2"/>
    </row>
    <row r="22" spans="2:21" ht="26.25" thickBot="1" x14ac:dyDescent="0.3">
      <c r="B22" s="6" t="s">
        <v>36</v>
      </c>
      <c r="C22" s="15">
        <v>197.08</v>
      </c>
      <c r="D22" s="20" t="s">
        <v>44</v>
      </c>
      <c r="E22" s="20" t="s">
        <v>44</v>
      </c>
      <c r="F22" s="20" t="s">
        <v>44</v>
      </c>
      <c r="G22" s="20" t="s">
        <v>44</v>
      </c>
      <c r="H22" s="20" t="s">
        <v>44</v>
      </c>
      <c r="I22" s="20" t="s">
        <v>44</v>
      </c>
      <c r="J22" s="20" t="s">
        <v>44</v>
      </c>
      <c r="K22" s="20" t="s">
        <v>44</v>
      </c>
      <c r="L22" s="20" t="s">
        <v>44</v>
      </c>
      <c r="M22" s="20" t="s">
        <v>44</v>
      </c>
      <c r="N22" s="20" t="s">
        <v>44</v>
      </c>
      <c r="O22" s="20" t="s">
        <v>44</v>
      </c>
      <c r="P22" s="20" t="s">
        <v>44</v>
      </c>
      <c r="Q22" s="51" t="s">
        <v>46</v>
      </c>
      <c r="R22" s="52"/>
      <c r="S22" s="55"/>
      <c r="T22" s="56"/>
      <c r="U22" s="2"/>
    </row>
    <row r="23" spans="2:21" ht="26.25" thickBot="1" x14ac:dyDescent="0.3">
      <c r="B23" s="6" t="s">
        <v>37</v>
      </c>
      <c r="C23" s="15">
        <v>10.92</v>
      </c>
      <c r="D23" s="20" t="s">
        <v>45</v>
      </c>
      <c r="E23" s="20" t="s">
        <v>45</v>
      </c>
      <c r="F23" s="20" t="s">
        <v>45</v>
      </c>
      <c r="G23" s="20" t="s">
        <v>45</v>
      </c>
      <c r="H23" s="20" t="s">
        <v>45</v>
      </c>
      <c r="I23" s="20" t="s">
        <v>45</v>
      </c>
      <c r="J23" s="20" t="s">
        <v>45</v>
      </c>
      <c r="K23" s="20" t="s">
        <v>45</v>
      </c>
      <c r="L23" s="20" t="s">
        <v>45</v>
      </c>
      <c r="M23" s="20" t="s">
        <v>45</v>
      </c>
      <c r="N23" s="20" t="s">
        <v>45</v>
      </c>
      <c r="O23" s="20" t="s">
        <v>45</v>
      </c>
      <c r="P23" s="20" t="s">
        <v>45</v>
      </c>
      <c r="Q23" s="51" t="s">
        <v>46</v>
      </c>
      <c r="R23" s="52"/>
      <c r="S23" s="55"/>
      <c r="T23" s="56"/>
      <c r="U23" s="2"/>
    </row>
    <row r="24" spans="2:21" ht="26.25" thickBot="1" x14ac:dyDescent="0.3">
      <c r="B24" s="6"/>
      <c r="C24" s="15"/>
      <c r="D24" s="21" t="s">
        <v>45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51"/>
      <c r="R24" s="52"/>
      <c r="S24" s="55"/>
      <c r="T24" s="56"/>
      <c r="U24" s="2"/>
    </row>
    <row r="25" spans="2:21" ht="26.25" thickBot="1" x14ac:dyDescent="0.3">
      <c r="B25" s="6"/>
      <c r="C25" s="15"/>
      <c r="D25" s="21" t="s">
        <v>45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51"/>
      <c r="R25" s="52"/>
      <c r="S25" s="55"/>
      <c r="T25" s="56"/>
      <c r="U25" s="2"/>
    </row>
    <row r="26" spans="2:21" ht="26.25" thickBot="1" x14ac:dyDescent="0.3">
      <c r="B26" s="8"/>
      <c r="C26" s="15"/>
      <c r="D26" s="21" t="s">
        <v>45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51"/>
      <c r="R26" s="52"/>
      <c r="S26" s="55"/>
      <c r="T26" s="56"/>
      <c r="U26" s="2"/>
    </row>
    <row r="27" spans="2:21" ht="26.25" thickBot="1" x14ac:dyDescent="0.3">
      <c r="B27" s="8"/>
      <c r="C27" s="15"/>
      <c r="D27" s="21" t="s">
        <v>45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51"/>
      <c r="R27" s="52"/>
      <c r="S27" s="55"/>
      <c r="T27" s="56"/>
      <c r="U27" s="2"/>
    </row>
    <row r="28" spans="2:21" ht="16.5" thickBot="1" x14ac:dyDescent="0.3">
      <c r="B28" s="9" t="s">
        <v>21</v>
      </c>
      <c r="C28" s="13">
        <f>SUM(C16:C23)</f>
        <v>5200.0000000000009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400</v>
      </c>
      <c r="L28" s="13">
        <v>400</v>
      </c>
      <c r="M28" s="13">
        <v>400</v>
      </c>
      <c r="N28" s="13">
        <v>400</v>
      </c>
      <c r="O28" s="13">
        <v>400</v>
      </c>
      <c r="P28" s="13">
        <v>400</v>
      </c>
      <c r="Q28" s="55"/>
      <c r="R28" s="56"/>
      <c r="S28" s="55"/>
      <c r="T28" s="56"/>
      <c r="U28" s="2"/>
    </row>
    <row r="29" spans="2:21" x14ac:dyDescent="0.25">
      <c r="B29" s="62" t="s">
        <v>22</v>
      </c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58"/>
      <c r="R31" s="58"/>
      <c r="S31" s="23"/>
      <c r="T31" s="23"/>
      <c r="U31" s="2"/>
    </row>
    <row r="32" spans="2:21" x14ac:dyDescent="0.25">
      <c r="B32" s="1"/>
      <c r="C32" s="59" t="s">
        <v>23</v>
      </c>
      <c r="D32" s="5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59" t="s">
        <v>24</v>
      </c>
      <c r="Q32" s="59"/>
      <c r="R32" s="59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1">
    <mergeCell ref="Q33:R33"/>
    <mergeCell ref="S33:T33"/>
    <mergeCell ref="Q27:R27"/>
    <mergeCell ref="S27:T27"/>
    <mergeCell ref="Q28:R28"/>
    <mergeCell ref="S28:T28"/>
    <mergeCell ref="B29:U29"/>
    <mergeCell ref="Q30:R30"/>
    <mergeCell ref="S30:T30"/>
    <mergeCell ref="Q31:R31"/>
    <mergeCell ref="S31:T31"/>
    <mergeCell ref="C32:D32"/>
    <mergeCell ref="P32:R32"/>
    <mergeCell ref="S32:T32"/>
    <mergeCell ref="Q24:R24"/>
    <mergeCell ref="S24:T24"/>
    <mergeCell ref="Q25:R25"/>
    <mergeCell ref="S25:T25"/>
    <mergeCell ref="Q26:R26"/>
    <mergeCell ref="S26:T26"/>
    <mergeCell ref="Q21:R21"/>
    <mergeCell ref="S21:T21"/>
    <mergeCell ref="Q22:R22"/>
    <mergeCell ref="S22:T22"/>
    <mergeCell ref="Q23:R23"/>
    <mergeCell ref="S23:T23"/>
    <mergeCell ref="Q18:R18"/>
    <mergeCell ref="S18:T18"/>
    <mergeCell ref="Q19:R19"/>
    <mergeCell ref="S19:T19"/>
    <mergeCell ref="Q20:R20"/>
    <mergeCell ref="S20:T20"/>
    <mergeCell ref="Q15:R15"/>
    <mergeCell ref="S15:T15"/>
    <mergeCell ref="Q16:R16"/>
    <mergeCell ref="S16:T16"/>
    <mergeCell ref="Q17:R17"/>
    <mergeCell ref="S17:T17"/>
    <mergeCell ref="B11:B14"/>
    <mergeCell ref="C11:C14"/>
    <mergeCell ref="D11:P13"/>
    <mergeCell ref="Q11:R14"/>
    <mergeCell ref="S11:T12"/>
    <mergeCell ref="S13:T14"/>
    <mergeCell ref="E9:F9"/>
    <mergeCell ref="G9:T10"/>
    <mergeCell ref="Q7:R7"/>
    <mergeCell ref="S7:T7"/>
    <mergeCell ref="B8:Q8"/>
    <mergeCell ref="R8:S8"/>
    <mergeCell ref="T8:U8"/>
  </mergeCells>
  <phoneticPr fontId="12" type="noConversion"/>
  <pageMargins left="0.25" right="0.25" top="0.75" bottom="0.75" header="0.3" footer="0.3"/>
  <pageSetup paperSize="9" scale="5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A1BE5-6DB6-4AA9-9FDB-F4822E447A08}">
  <sheetPr>
    <pageSetUpPr fitToPage="1"/>
  </sheetPr>
  <dimension ref="B7:U33"/>
  <sheetViews>
    <sheetView workbookViewId="0">
      <selection activeCell="B1" sqref="B1:T32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2" t="s">
        <v>0</v>
      </c>
      <c r="R7" s="22"/>
      <c r="S7" s="23"/>
      <c r="T7" s="23"/>
      <c r="U7" s="2"/>
    </row>
    <row r="8" spans="2:21" x14ac:dyDescent="0.25">
      <c r="B8" s="24" t="s">
        <v>25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3"/>
      <c r="S8" s="23"/>
      <c r="T8" s="1"/>
      <c r="U8" s="1"/>
    </row>
    <row r="9" spans="2:21" ht="15.75" customHeight="1" x14ac:dyDescent="0.25">
      <c r="B9" s="3" t="s">
        <v>1</v>
      </c>
      <c r="C9" s="19">
        <v>46174</v>
      </c>
      <c r="D9" s="1"/>
      <c r="E9" s="25" t="s">
        <v>2</v>
      </c>
      <c r="F9" s="25"/>
      <c r="G9" s="60" t="s">
        <v>26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2"/>
    </row>
    <row r="10" spans="2:21" ht="15.75" customHeight="1" thickBot="1" x14ac:dyDescent="0.3">
      <c r="B10" s="1"/>
      <c r="C10" s="14"/>
      <c r="D10" s="1"/>
      <c r="E10" s="1"/>
      <c r="F10" s="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</row>
    <row r="11" spans="2:21" ht="15" customHeight="1" x14ac:dyDescent="0.25">
      <c r="B11" s="28" t="s">
        <v>3</v>
      </c>
      <c r="C11" s="31" t="s">
        <v>4</v>
      </c>
      <c r="D11" s="34" t="s">
        <v>5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4" t="s">
        <v>6</v>
      </c>
      <c r="R11" s="40"/>
      <c r="S11" s="43" t="s">
        <v>7</v>
      </c>
      <c r="T11" s="44"/>
    </row>
    <row r="12" spans="2:21" x14ac:dyDescent="0.25">
      <c r="B12" s="29"/>
      <c r="C12" s="32"/>
      <c r="D12" s="36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6"/>
      <c r="R12" s="41"/>
      <c r="S12" s="45"/>
      <c r="T12" s="46"/>
    </row>
    <row r="13" spans="2:21" ht="15.75" thickBot="1" x14ac:dyDescent="0.3">
      <c r="B13" s="29"/>
      <c r="C13" s="32"/>
      <c r="D13" s="38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6"/>
      <c r="R13" s="41"/>
      <c r="S13" s="47" t="s">
        <v>8</v>
      </c>
      <c r="T13" s="48"/>
    </row>
    <row r="14" spans="2:21" ht="15.75" thickBot="1" x14ac:dyDescent="0.3">
      <c r="B14" s="30"/>
      <c r="C14" s="33"/>
      <c r="D14" s="4" t="s">
        <v>9</v>
      </c>
      <c r="E14" s="4" t="s">
        <v>10</v>
      </c>
      <c r="F14" s="12" t="s">
        <v>27</v>
      </c>
      <c r="G14" s="12" t="s">
        <v>28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38"/>
      <c r="R14" s="42"/>
      <c r="S14" s="49"/>
      <c r="T14" s="50"/>
      <c r="U14" s="2"/>
    </row>
    <row r="15" spans="2:21" ht="15.75" thickBot="1" x14ac:dyDescent="0.3">
      <c r="B15" s="5"/>
      <c r="C15" s="18" t="s">
        <v>20</v>
      </c>
      <c r="D15" s="11">
        <v>0.21180555555555555</v>
      </c>
      <c r="E15" s="11">
        <v>0.22569444444444445</v>
      </c>
      <c r="F15" s="11">
        <v>0.23958333333333301</v>
      </c>
      <c r="G15" s="11">
        <v>0.25347222222222199</v>
      </c>
      <c r="H15" s="11">
        <v>0.26736111111111099</v>
      </c>
      <c r="I15" s="11">
        <v>0.28125</v>
      </c>
      <c r="J15" s="11">
        <v>0.29513888888888901</v>
      </c>
      <c r="K15" s="11">
        <v>0.30902777777777801</v>
      </c>
      <c r="L15" s="11">
        <v>0.32291666666666702</v>
      </c>
      <c r="M15" s="11">
        <v>0.33680555555555602</v>
      </c>
      <c r="N15" s="11">
        <v>0.35069444444444497</v>
      </c>
      <c r="O15" s="11">
        <v>0.36458333333333398</v>
      </c>
      <c r="P15" s="11">
        <v>0.37847222222222299</v>
      </c>
      <c r="Q15" s="51" t="s">
        <v>29</v>
      </c>
      <c r="R15" s="52"/>
      <c r="S15" s="53"/>
      <c r="T15" s="54"/>
      <c r="U15" s="2"/>
    </row>
    <row r="16" spans="2:21" ht="26.25" thickBot="1" x14ac:dyDescent="0.3">
      <c r="B16" s="6" t="s">
        <v>30</v>
      </c>
      <c r="C16" s="15">
        <v>1045.72</v>
      </c>
      <c r="D16" s="20" t="s">
        <v>38</v>
      </c>
      <c r="E16" s="20" t="s">
        <v>38</v>
      </c>
      <c r="F16" s="20" t="s">
        <v>38</v>
      </c>
      <c r="G16" s="20" t="s">
        <v>38</v>
      </c>
      <c r="H16" s="20" t="s">
        <v>38</v>
      </c>
      <c r="I16" s="20" t="s">
        <v>38</v>
      </c>
      <c r="J16" s="20" t="s">
        <v>38</v>
      </c>
      <c r="K16" s="20" t="s">
        <v>38</v>
      </c>
      <c r="L16" s="20" t="s">
        <v>38</v>
      </c>
      <c r="M16" s="20" t="s">
        <v>38</v>
      </c>
      <c r="N16" s="20" t="s">
        <v>38</v>
      </c>
      <c r="O16" s="20" t="s">
        <v>38</v>
      </c>
      <c r="P16" s="20" t="s">
        <v>38</v>
      </c>
      <c r="Q16" s="51" t="s">
        <v>29</v>
      </c>
      <c r="R16" s="52"/>
      <c r="S16" s="55"/>
      <c r="T16" s="56"/>
      <c r="U16" s="2"/>
    </row>
    <row r="17" spans="2:21" ht="26.25" thickBot="1" x14ac:dyDescent="0.3">
      <c r="B17" s="6" t="s">
        <v>31</v>
      </c>
      <c r="C17" s="15">
        <v>1021.28</v>
      </c>
      <c r="D17" s="20" t="s">
        <v>39</v>
      </c>
      <c r="E17" s="20" t="s">
        <v>39</v>
      </c>
      <c r="F17" s="20" t="s">
        <v>39</v>
      </c>
      <c r="G17" s="20" t="s">
        <v>39</v>
      </c>
      <c r="H17" s="20" t="s">
        <v>39</v>
      </c>
      <c r="I17" s="20" t="s">
        <v>39</v>
      </c>
      <c r="J17" s="20" t="s">
        <v>39</v>
      </c>
      <c r="K17" s="20" t="s">
        <v>39</v>
      </c>
      <c r="L17" s="20" t="s">
        <v>39</v>
      </c>
      <c r="M17" s="20" t="s">
        <v>39</v>
      </c>
      <c r="N17" s="20" t="s">
        <v>39</v>
      </c>
      <c r="O17" s="20" t="s">
        <v>39</v>
      </c>
      <c r="P17" s="20" t="s">
        <v>39</v>
      </c>
      <c r="Q17" s="51" t="s">
        <v>29</v>
      </c>
      <c r="R17" s="52"/>
      <c r="S17" s="55"/>
      <c r="T17" s="56"/>
      <c r="U17" s="2"/>
    </row>
    <row r="18" spans="2:21" ht="26.25" thickBot="1" x14ac:dyDescent="0.3">
      <c r="B18" s="6" t="s">
        <v>32</v>
      </c>
      <c r="C18" s="15">
        <v>2321.2800000000002</v>
      </c>
      <c r="D18" s="20" t="s">
        <v>40</v>
      </c>
      <c r="E18" s="20" t="s">
        <v>40</v>
      </c>
      <c r="F18" s="20" t="s">
        <v>40</v>
      </c>
      <c r="G18" s="20" t="s">
        <v>40</v>
      </c>
      <c r="H18" s="20" t="s">
        <v>40</v>
      </c>
      <c r="I18" s="20" t="s">
        <v>40</v>
      </c>
      <c r="J18" s="20" t="s">
        <v>40</v>
      </c>
      <c r="K18" s="20" t="s">
        <v>40</v>
      </c>
      <c r="L18" s="20" t="s">
        <v>40</v>
      </c>
      <c r="M18" s="20" t="s">
        <v>40</v>
      </c>
      <c r="N18" s="20" t="s">
        <v>40</v>
      </c>
      <c r="O18" s="20" t="s">
        <v>40</v>
      </c>
      <c r="P18" s="20" t="s">
        <v>40</v>
      </c>
      <c r="Q18" s="51" t="s">
        <v>29</v>
      </c>
      <c r="R18" s="52"/>
      <c r="S18" s="55"/>
      <c r="T18" s="56"/>
      <c r="U18" s="2"/>
    </row>
    <row r="19" spans="2:21" ht="26.25" thickBot="1" x14ac:dyDescent="0.3">
      <c r="B19" s="6" t="s">
        <v>33</v>
      </c>
      <c r="C19" s="15">
        <v>278.72000000000003</v>
      </c>
      <c r="D19" s="20" t="s">
        <v>41</v>
      </c>
      <c r="E19" s="20" t="s">
        <v>41</v>
      </c>
      <c r="F19" s="20" t="s">
        <v>41</v>
      </c>
      <c r="G19" s="20" t="s">
        <v>41</v>
      </c>
      <c r="H19" s="20" t="s">
        <v>41</v>
      </c>
      <c r="I19" s="20" t="s">
        <v>41</v>
      </c>
      <c r="J19" s="20" t="s">
        <v>41</v>
      </c>
      <c r="K19" s="20" t="s">
        <v>41</v>
      </c>
      <c r="L19" s="20" t="s">
        <v>41</v>
      </c>
      <c r="M19" s="20" t="s">
        <v>41</v>
      </c>
      <c r="N19" s="20" t="s">
        <v>41</v>
      </c>
      <c r="O19" s="20" t="s">
        <v>41</v>
      </c>
      <c r="P19" s="20" t="s">
        <v>41</v>
      </c>
      <c r="Q19" s="51" t="s">
        <v>29</v>
      </c>
      <c r="R19" s="52"/>
      <c r="S19" s="55"/>
      <c r="T19" s="56"/>
      <c r="U19" s="2"/>
    </row>
    <row r="20" spans="2:21" ht="26.25" thickBot="1" x14ac:dyDescent="0.3">
      <c r="B20" s="6" t="s">
        <v>34</v>
      </c>
      <c r="C20" s="15">
        <v>93.08</v>
      </c>
      <c r="D20" s="20" t="s">
        <v>42</v>
      </c>
      <c r="E20" s="20" t="s">
        <v>42</v>
      </c>
      <c r="F20" s="20" t="s">
        <v>42</v>
      </c>
      <c r="G20" s="20" t="s">
        <v>42</v>
      </c>
      <c r="H20" s="20" t="s">
        <v>42</v>
      </c>
      <c r="I20" s="20" t="s">
        <v>42</v>
      </c>
      <c r="J20" s="20" t="s">
        <v>42</v>
      </c>
      <c r="K20" s="20" t="s">
        <v>42</v>
      </c>
      <c r="L20" s="20" t="s">
        <v>42</v>
      </c>
      <c r="M20" s="20" t="s">
        <v>42</v>
      </c>
      <c r="N20" s="20" t="s">
        <v>42</v>
      </c>
      <c r="O20" s="20" t="s">
        <v>42</v>
      </c>
      <c r="P20" s="20" t="s">
        <v>42</v>
      </c>
      <c r="Q20" s="51" t="s">
        <v>29</v>
      </c>
      <c r="R20" s="52"/>
      <c r="S20" s="55"/>
      <c r="T20" s="56"/>
      <c r="U20" s="2"/>
    </row>
    <row r="21" spans="2:21" ht="26.25" thickBot="1" x14ac:dyDescent="0.3">
      <c r="B21" s="6" t="s">
        <v>35</v>
      </c>
      <c r="C21" s="15">
        <v>231.92</v>
      </c>
      <c r="D21" s="20" t="s">
        <v>43</v>
      </c>
      <c r="E21" s="20" t="s">
        <v>43</v>
      </c>
      <c r="F21" s="20" t="s">
        <v>43</v>
      </c>
      <c r="G21" s="20" t="s">
        <v>43</v>
      </c>
      <c r="H21" s="20" t="s">
        <v>43</v>
      </c>
      <c r="I21" s="20" t="s">
        <v>43</v>
      </c>
      <c r="J21" s="20" t="s">
        <v>43</v>
      </c>
      <c r="K21" s="20" t="s">
        <v>43</v>
      </c>
      <c r="L21" s="20" t="s">
        <v>43</v>
      </c>
      <c r="M21" s="20" t="s">
        <v>43</v>
      </c>
      <c r="N21" s="20" t="s">
        <v>43</v>
      </c>
      <c r="O21" s="20" t="s">
        <v>43</v>
      </c>
      <c r="P21" s="20" t="s">
        <v>43</v>
      </c>
      <c r="Q21" s="51" t="s">
        <v>29</v>
      </c>
      <c r="R21" s="52"/>
      <c r="S21" s="55"/>
      <c r="T21" s="56"/>
      <c r="U21" s="2"/>
    </row>
    <row r="22" spans="2:21" ht="26.25" thickBot="1" x14ac:dyDescent="0.3">
      <c r="B22" s="6" t="s">
        <v>36</v>
      </c>
      <c r="C22" s="15">
        <v>197.08</v>
      </c>
      <c r="D22" s="20" t="s">
        <v>44</v>
      </c>
      <c r="E22" s="20" t="s">
        <v>44</v>
      </c>
      <c r="F22" s="20" t="s">
        <v>44</v>
      </c>
      <c r="G22" s="20" t="s">
        <v>44</v>
      </c>
      <c r="H22" s="20" t="s">
        <v>44</v>
      </c>
      <c r="I22" s="20" t="s">
        <v>44</v>
      </c>
      <c r="J22" s="20" t="s">
        <v>44</v>
      </c>
      <c r="K22" s="20" t="s">
        <v>44</v>
      </c>
      <c r="L22" s="20" t="s">
        <v>44</v>
      </c>
      <c r="M22" s="20" t="s">
        <v>44</v>
      </c>
      <c r="N22" s="20" t="s">
        <v>44</v>
      </c>
      <c r="O22" s="20" t="s">
        <v>44</v>
      </c>
      <c r="P22" s="20" t="s">
        <v>44</v>
      </c>
      <c r="Q22" s="51" t="s">
        <v>29</v>
      </c>
      <c r="R22" s="52"/>
      <c r="S22" s="55"/>
      <c r="T22" s="56"/>
      <c r="U22" s="2"/>
    </row>
    <row r="23" spans="2:21" ht="26.25" thickBot="1" x14ac:dyDescent="0.3">
      <c r="B23" s="6" t="s">
        <v>37</v>
      </c>
      <c r="C23" s="15">
        <v>10.92</v>
      </c>
      <c r="D23" s="20" t="s">
        <v>45</v>
      </c>
      <c r="E23" s="20" t="s">
        <v>45</v>
      </c>
      <c r="F23" s="20" t="s">
        <v>45</v>
      </c>
      <c r="G23" s="20" t="s">
        <v>45</v>
      </c>
      <c r="H23" s="20" t="s">
        <v>45</v>
      </c>
      <c r="I23" s="20" t="s">
        <v>45</v>
      </c>
      <c r="J23" s="20" t="s">
        <v>45</v>
      </c>
      <c r="K23" s="20" t="s">
        <v>45</v>
      </c>
      <c r="L23" s="20" t="s">
        <v>45</v>
      </c>
      <c r="M23" s="20" t="s">
        <v>45</v>
      </c>
      <c r="N23" s="20" t="s">
        <v>45</v>
      </c>
      <c r="O23" s="20" t="s">
        <v>45</v>
      </c>
      <c r="P23" s="20" t="s">
        <v>45</v>
      </c>
      <c r="Q23" s="51" t="s">
        <v>29</v>
      </c>
      <c r="R23" s="52"/>
      <c r="S23" s="55"/>
      <c r="T23" s="56"/>
      <c r="U23" s="2"/>
    </row>
    <row r="24" spans="2:21" ht="26.25" thickBot="1" x14ac:dyDescent="0.3">
      <c r="B24" s="6"/>
      <c r="C24" s="15"/>
      <c r="D24" s="21" t="s">
        <v>45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51"/>
      <c r="R24" s="52"/>
      <c r="S24" s="55"/>
      <c r="T24" s="56"/>
      <c r="U24" s="2"/>
    </row>
    <row r="25" spans="2:21" ht="26.25" thickBot="1" x14ac:dyDescent="0.3">
      <c r="B25" s="6"/>
      <c r="C25" s="15"/>
      <c r="D25" s="21" t="s">
        <v>45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51"/>
      <c r="R25" s="52"/>
      <c r="S25" s="55"/>
      <c r="T25" s="56"/>
      <c r="U25" s="2"/>
    </row>
    <row r="26" spans="2:21" ht="26.25" thickBot="1" x14ac:dyDescent="0.3">
      <c r="B26" s="8"/>
      <c r="C26" s="15"/>
      <c r="D26" s="21" t="s">
        <v>45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51"/>
      <c r="R26" s="52"/>
      <c r="S26" s="55"/>
      <c r="T26" s="56"/>
      <c r="U26" s="2"/>
    </row>
    <row r="27" spans="2:21" ht="26.25" thickBot="1" x14ac:dyDescent="0.3">
      <c r="B27" s="8"/>
      <c r="C27" s="15"/>
      <c r="D27" s="21" t="s">
        <v>45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51"/>
      <c r="R27" s="52"/>
      <c r="S27" s="55"/>
      <c r="T27" s="56"/>
      <c r="U27" s="2"/>
    </row>
    <row r="28" spans="2:21" ht="16.5" thickBot="1" x14ac:dyDescent="0.3">
      <c r="B28" s="9" t="s">
        <v>21</v>
      </c>
      <c r="C28" s="13">
        <f>SUM(C16:C23)</f>
        <v>5200.0000000000009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400</v>
      </c>
      <c r="L28" s="13">
        <v>400</v>
      </c>
      <c r="M28" s="13">
        <v>400</v>
      </c>
      <c r="N28" s="13">
        <v>400</v>
      </c>
      <c r="O28" s="13">
        <v>400</v>
      </c>
      <c r="P28" s="13">
        <v>400</v>
      </c>
      <c r="Q28" s="55"/>
      <c r="R28" s="56"/>
      <c r="S28" s="55"/>
      <c r="T28" s="56"/>
      <c r="U28" s="2"/>
    </row>
    <row r="29" spans="2:21" x14ac:dyDescent="0.25">
      <c r="B29" s="57" t="s">
        <v>22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58"/>
      <c r="R31" s="58"/>
      <c r="S31" s="23"/>
      <c r="T31" s="23"/>
      <c r="U31" s="2"/>
    </row>
    <row r="32" spans="2:21" x14ac:dyDescent="0.25">
      <c r="B32" s="1"/>
      <c r="C32" s="59" t="s">
        <v>23</v>
      </c>
      <c r="D32" s="5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59" t="s">
        <v>24</v>
      </c>
      <c r="Q32" s="59"/>
      <c r="R32" s="59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0"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  <mergeCell ref="Q24:R24"/>
    <mergeCell ref="S24:T24"/>
    <mergeCell ref="Q25:R25"/>
    <mergeCell ref="S25:T25"/>
    <mergeCell ref="Q26:R26"/>
    <mergeCell ref="S26:T26"/>
    <mergeCell ref="Q21:R21"/>
    <mergeCell ref="S21:T21"/>
    <mergeCell ref="Q22:R22"/>
    <mergeCell ref="S22:T22"/>
    <mergeCell ref="Q23:R23"/>
    <mergeCell ref="S23:T23"/>
    <mergeCell ref="Q18:R18"/>
    <mergeCell ref="S18:T18"/>
    <mergeCell ref="Q19:R19"/>
    <mergeCell ref="S19:T19"/>
    <mergeCell ref="Q20:R20"/>
    <mergeCell ref="S20:T20"/>
    <mergeCell ref="Q15:R15"/>
    <mergeCell ref="S15:T15"/>
    <mergeCell ref="Q16:R16"/>
    <mergeCell ref="S16:T16"/>
    <mergeCell ref="Q17:R17"/>
    <mergeCell ref="S17:T17"/>
    <mergeCell ref="B11:B14"/>
    <mergeCell ref="C11:C14"/>
    <mergeCell ref="D11:P13"/>
    <mergeCell ref="Q11:R14"/>
    <mergeCell ref="S11:T12"/>
    <mergeCell ref="S13:T14"/>
    <mergeCell ref="Q7:R7"/>
    <mergeCell ref="S7:T7"/>
    <mergeCell ref="B8:Q8"/>
    <mergeCell ref="R8:S8"/>
    <mergeCell ref="E9:F9"/>
    <mergeCell ref="G9:T10"/>
  </mergeCells>
  <pageMargins left="0.25" right="0.25" top="0.75" bottom="0.75" header="0.3" footer="0.3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379F1-BA7A-422E-B8CE-5B69FCCBBF70}">
  <sheetPr>
    <pageSetUpPr fitToPage="1"/>
  </sheetPr>
  <dimension ref="B7:U33"/>
  <sheetViews>
    <sheetView workbookViewId="0">
      <selection activeCell="B1" activeCellId="1" sqref="E16 B1:T32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2" t="s">
        <v>0</v>
      </c>
      <c r="R7" s="22"/>
      <c r="S7" s="23"/>
      <c r="T7" s="23"/>
      <c r="U7" s="2"/>
    </row>
    <row r="8" spans="2:21" x14ac:dyDescent="0.25">
      <c r="B8" s="24" t="s">
        <v>25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3"/>
      <c r="S8" s="23"/>
      <c r="T8" s="1"/>
      <c r="U8" s="1"/>
    </row>
    <row r="9" spans="2:21" ht="15.75" customHeight="1" x14ac:dyDescent="0.25">
      <c r="B9" s="3" t="s">
        <v>1</v>
      </c>
      <c r="C9" s="19">
        <v>46174</v>
      </c>
      <c r="D9" s="1"/>
      <c r="E9" s="25" t="s">
        <v>2</v>
      </c>
      <c r="F9" s="25"/>
      <c r="G9" s="60" t="s">
        <v>26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2"/>
    </row>
    <row r="10" spans="2:21" ht="15.75" customHeight="1" thickBot="1" x14ac:dyDescent="0.3">
      <c r="B10" s="1"/>
      <c r="C10" s="14"/>
      <c r="D10" s="1"/>
      <c r="E10" s="1"/>
      <c r="F10" s="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</row>
    <row r="11" spans="2:21" ht="15" customHeight="1" x14ac:dyDescent="0.25">
      <c r="B11" s="28" t="s">
        <v>3</v>
      </c>
      <c r="C11" s="31" t="s">
        <v>4</v>
      </c>
      <c r="D11" s="34" t="s">
        <v>5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4" t="s">
        <v>6</v>
      </c>
      <c r="R11" s="40"/>
      <c r="S11" s="43" t="s">
        <v>7</v>
      </c>
      <c r="T11" s="44"/>
    </row>
    <row r="12" spans="2:21" x14ac:dyDescent="0.25">
      <c r="B12" s="29"/>
      <c r="C12" s="32"/>
      <c r="D12" s="36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6"/>
      <c r="R12" s="41"/>
      <c r="S12" s="45"/>
      <c r="T12" s="46"/>
    </row>
    <row r="13" spans="2:21" ht="15.75" thickBot="1" x14ac:dyDescent="0.3">
      <c r="B13" s="29"/>
      <c r="C13" s="32"/>
      <c r="D13" s="38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6"/>
      <c r="R13" s="41"/>
      <c r="S13" s="47" t="s">
        <v>8</v>
      </c>
      <c r="T13" s="48"/>
    </row>
    <row r="14" spans="2:21" ht="15.75" thickBot="1" x14ac:dyDescent="0.3">
      <c r="B14" s="30"/>
      <c r="C14" s="33"/>
      <c r="D14" s="4" t="s">
        <v>9</v>
      </c>
      <c r="E14" s="4" t="s">
        <v>10</v>
      </c>
      <c r="F14" s="12" t="s">
        <v>27</v>
      </c>
      <c r="G14" s="12" t="s">
        <v>28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38"/>
      <c r="R14" s="42"/>
      <c r="S14" s="49"/>
      <c r="T14" s="50"/>
      <c r="U14" s="2"/>
    </row>
    <row r="15" spans="2:21" ht="15.75" thickBot="1" x14ac:dyDescent="0.3">
      <c r="B15" s="5"/>
      <c r="C15" s="18" t="s">
        <v>20</v>
      </c>
      <c r="D15" s="11">
        <v>0.24305555555555555</v>
      </c>
      <c r="E15" s="11">
        <v>0.25694444444444442</v>
      </c>
      <c r="F15" s="11">
        <v>0.27083333333333298</v>
      </c>
      <c r="G15" s="11">
        <v>0.28472222222222199</v>
      </c>
      <c r="H15" s="11">
        <v>0.29861111111111099</v>
      </c>
      <c r="I15" s="11">
        <v>0.3125</v>
      </c>
      <c r="J15" s="11">
        <v>0.32638888888888901</v>
      </c>
      <c r="K15" s="11">
        <v>0.34027777777777801</v>
      </c>
      <c r="L15" s="11">
        <v>0.35416666666666702</v>
      </c>
      <c r="M15" s="11">
        <v>0.36805555555555602</v>
      </c>
      <c r="N15" s="11">
        <v>0.38194444444444497</v>
      </c>
      <c r="O15" s="11">
        <v>0.39583333333333398</v>
      </c>
      <c r="P15" s="11">
        <v>0.40972222222222199</v>
      </c>
      <c r="Q15" s="51" t="s">
        <v>46</v>
      </c>
      <c r="R15" s="52"/>
      <c r="S15" s="53"/>
      <c r="T15" s="54"/>
      <c r="U15" s="2"/>
    </row>
    <row r="16" spans="2:21" ht="26.25" thickBot="1" x14ac:dyDescent="0.3">
      <c r="B16" s="6" t="s">
        <v>30</v>
      </c>
      <c r="C16" s="15">
        <v>1045.72</v>
      </c>
      <c r="D16" s="20" t="s">
        <v>38</v>
      </c>
      <c r="E16" s="20" t="s">
        <v>38</v>
      </c>
      <c r="F16" s="20" t="s">
        <v>38</v>
      </c>
      <c r="G16" s="20" t="s">
        <v>38</v>
      </c>
      <c r="H16" s="20" t="s">
        <v>38</v>
      </c>
      <c r="I16" s="20" t="s">
        <v>38</v>
      </c>
      <c r="J16" s="20" t="s">
        <v>38</v>
      </c>
      <c r="K16" s="20" t="s">
        <v>38</v>
      </c>
      <c r="L16" s="20" t="s">
        <v>38</v>
      </c>
      <c r="M16" s="20" t="s">
        <v>38</v>
      </c>
      <c r="N16" s="20" t="s">
        <v>38</v>
      </c>
      <c r="O16" s="20" t="s">
        <v>38</v>
      </c>
      <c r="P16" s="20" t="s">
        <v>38</v>
      </c>
      <c r="Q16" s="51" t="s">
        <v>46</v>
      </c>
      <c r="R16" s="52"/>
      <c r="S16" s="55"/>
      <c r="T16" s="56"/>
      <c r="U16" s="2"/>
    </row>
    <row r="17" spans="2:21" ht="26.25" thickBot="1" x14ac:dyDescent="0.3">
      <c r="B17" s="6" t="s">
        <v>31</v>
      </c>
      <c r="C17" s="15">
        <v>1021.28</v>
      </c>
      <c r="D17" s="20" t="s">
        <v>39</v>
      </c>
      <c r="E17" s="20" t="s">
        <v>39</v>
      </c>
      <c r="F17" s="20" t="s">
        <v>39</v>
      </c>
      <c r="G17" s="20" t="s">
        <v>39</v>
      </c>
      <c r="H17" s="20" t="s">
        <v>39</v>
      </c>
      <c r="I17" s="20" t="s">
        <v>39</v>
      </c>
      <c r="J17" s="20" t="s">
        <v>39</v>
      </c>
      <c r="K17" s="20" t="s">
        <v>39</v>
      </c>
      <c r="L17" s="20" t="s">
        <v>39</v>
      </c>
      <c r="M17" s="20" t="s">
        <v>39</v>
      </c>
      <c r="N17" s="20" t="s">
        <v>39</v>
      </c>
      <c r="O17" s="20" t="s">
        <v>39</v>
      </c>
      <c r="P17" s="20" t="s">
        <v>39</v>
      </c>
      <c r="Q17" s="51" t="s">
        <v>46</v>
      </c>
      <c r="R17" s="52"/>
      <c r="S17" s="55"/>
      <c r="T17" s="56"/>
      <c r="U17" s="2"/>
    </row>
    <row r="18" spans="2:21" ht="26.25" thickBot="1" x14ac:dyDescent="0.3">
      <c r="B18" s="6" t="s">
        <v>32</v>
      </c>
      <c r="C18" s="15">
        <v>2321.2800000000002</v>
      </c>
      <c r="D18" s="20" t="s">
        <v>40</v>
      </c>
      <c r="E18" s="20" t="s">
        <v>40</v>
      </c>
      <c r="F18" s="20" t="s">
        <v>40</v>
      </c>
      <c r="G18" s="20" t="s">
        <v>40</v>
      </c>
      <c r="H18" s="20" t="s">
        <v>40</v>
      </c>
      <c r="I18" s="20" t="s">
        <v>40</v>
      </c>
      <c r="J18" s="20" t="s">
        <v>40</v>
      </c>
      <c r="K18" s="20" t="s">
        <v>40</v>
      </c>
      <c r="L18" s="20" t="s">
        <v>40</v>
      </c>
      <c r="M18" s="20" t="s">
        <v>40</v>
      </c>
      <c r="N18" s="20" t="s">
        <v>40</v>
      </c>
      <c r="O18" s="20" t="s">
        <v>40</v>
      </c>
      <c r="P18" s="20" t="s">
        <v>40</v>
      </c>
      <c r="Q18" s="51" t="s">
        <v>46</v>
      </c>
      <c r="R18" s="52"/>
      <c r="S18" s="55"/>
      <c r="T18" s="56"/>
      <c r="U18" s="2"/>
    </row>
    <row r="19" spans="2:21" ht="26.25" thickBot="1" x14ac:dyDescent="0.3">
      <c r="B19" s="6" t="s">
        <v>33</v>
      </c>
      <c r="C19" s="15">
        <v>278.72000000000003</v>
      </c>
      <c r="D19" s="20" t="s">
        <v>41</v>
      </c>
      <c r="E19" s="20" t="s">
        <v>41</v>
      </c>
      <c r="F19" s="20" t="s">
        <v>41</v>
      </c>
      <c r="G19" s="20" t="s">
        <v>41</v>
      </c>
      <c r="H19" s="20" t="s">
        <v>41</v>
      </c>
      <c r="I19" s="20" t="s">
        <v>41</v>
      </c>
      <c r="J19" s="20" t="s">
        <v>41</v>
      </c>
      <c r="K19" s="20" t="s">
        <v>41</v>
      </c>
      <c r="L19" s="20" t="s">
        <v>41</v>
      </c>
      <c r="M19" s="20" t="s">
        <v>41</v>
      </c>
      <c r="N19" s="20" t="s">
        <v>41</v>
      </c>
      <c r="O19" s="20" t="s">
        <v>41</v>
      </c>
      <c r="P19" s="20" t="s">
        <v>41</v>
      </c>
      <c r="Q19" s="51" t="s">
        <v>46</v>
      </c>
      <c r="R19" s="52"/>
      <c r="S19" s="55"/>
      <c r="T19" s="56"/>
      <c r="U19" s="2"/>
    </row>
    <row r="20" spans="2:21" ht="26.25" thickBot="1" x14ac:dyDescent="0.3">
      <c r="B20" s="6" t="s">
        <v>34</v>
      </c>
      <c r="C20" s="15">
        <v>93.08</v>
      </c>
      <c r="D20" s="20" t="s">
        <v>42</v>
      </c>
      <c r="E20" s="20" t="s">
        <v>42</v>
      </c>
      <c r="F20" s="20" t="s">
        <v>42</v>
      </c>
      <c r="G20" s="20" t="s">
        <v>42</v>
      </c>
      <c r="H20" s="20" t="s">
        <v>42</v>
      </c>
      <c r="I20" s="20" t="s">
        <v>42</v>
      </c>
      <c r="J20" s="20" t="s">
        <v>42</v>
      </c>
      <c r="K20" s="20" t="s">
        <v>42</v>
      </c>
      <c r="L20" s="20" t="s">
        <v>42</v>
      </c>
      <c r="M20" s="20" t="s">
        <v>42</v>
      </c>
      <c r="N20" s="20" t="s">
        <v>42</v>
      </c>
      <c r="O20" s="20" t="s">
        <v>42</v>
      </c>
      <c r="P20" s="20" t="s">
        <v>42</v>
      </c>
      <c r="Q20" s="51" t="s">
        <v>46</v>
      </c>
      <c r="R20" s="52"/>
      <c r="S20" s="55"/>
      <c r="T20" s="56"/>
      <c r="U20" s="2"/>
    </row>
    <row r="21" spans="2:21" ht="26.25" thickBot="1" x14ac:dyDescent="0.3">
      <c r="B21" s="6" t="s">
        <v>35</v>
      </c>
      <c r="C21" s="15">
        <v>231.92</v>
      </c>
      <c r="D21" s="20" t="s">
        <v>43</v>
      </c>
      <c r="E21" s="20" t="s">
        <v>43</v>
      </c>
      <c r="F21" s="20" t="s">
        <v>43</v>
      </c>
      <c r="G21" s="20" t="s">
        <v>43</v>
      </c>
      <c r="H21" s="20" t="s">
        <v>43</v>
      </c>
      <c r="I21" s="20" t="s">
        <v>43</v>
      </c>
      <c r="J21" s="20" t="s">
        <v>43</v>
      </c>
      <c r="K21" s="20" t="s">
        <v>43</v>
      </c>
      <c r="L21" s="20" t="s">
        <v>43</v>
      </c>
      <c r="M21" s="20" t="s">
        <v>43</v>
      </c>
      <c r="N21" s="20" t="s">
        <v>43</v>
      </c>
      <c r="O21" s="20" t="s">
        <v>43</v>
      </c>
      <c r="P21" s="20" t="s">
        <v>43</v>
      </c>
      <c r="Q21" s="51" t="s">
        <v>46</v>
      </c>
      <c r="R21" s="52"/>
      <c r="S21" s="55"/>
      <c r="T21" s="56"/>
      <c r="U21" s="2"/>
    </row>
    <row r="22" spans="2:21" ht="26.25" thickBot="1" x14ac:dyDescent="0.3">
      <c r="B22" s="6" t="s">
        <v>36</v>
      </c>
      <c r="C22" s="15">
        <v>197.08</v>
      </c>
      <c r="D22" s="20" t="s">
        <v>44</v>
      </c>
      <c r="E22" s="20" t="s">
        <v>44</v>
      </c>
      <c r="F22" s="20" t="s">
        <v>44</v>
      </c>
      <c r="G22" s="20" t="s">
        <v>44</v>
      </c>
      <c r="H22" s="20" t="s">
        <v>44</v>
      </c>
      <c r="I22" s="20" t="s">
        <v>44</v>
      </c>
      <c r="J22" s="20" t="s">
        <v>44</v>
      </c>
      <c r="K22" s="20" t="s">
        <v>44</v>
      </c>
      <c r="L22" s="20" t="s">
        <v>44</v>
      </c>
      <c r="M22" s="20" t="s">
        <v>44</v>
      </c>
      <c r="N22" s="20" t="s">
        <v>44</v>
      </c>
      <c r="O22" s="20" t="s">
        <v>44</v>
      </c>
      <c r="P22" s="20" t="s">
        <v>44</v>
      </c>
      <c r="Q22" s="51" t="s">
        <v>46</v>
      </c>
      <c r="R22" s="52"/>
      <c r="S22" s="55"/>
      <c r="T22" s="56"/>
      <c r="U22" s="2"/>
    </row>
    <row r="23" spans="2:21" ht="26.25" thickBot="1" x14ac:dyDescent="0.3">
      <c r="B23" s="6" t="s">
        <v>37</v>
      </c>
      <c r="C23" s="15">
        <v>10.92</v>
      </c>
      <c r="D23" s="20" t="s">
        <v>45</v>
      </c>
      <c r="E23" s="20" t="s">
        <v>45</v>
      </c>
      <c r="F23" s="20" t="s">
        <v>45</v>
      </c>
      <c r="G23" s="20" t="s">
        <v>45</v>
      </c>
      <c r="H23" s="20" t="s">
        <v>45</v>
      </c>
      <c r="I23" s="20" t="s">
        <v>45</v>
      </c>
      <c r="J23" s="20" t="s">
        <v>45</v>
      </c>
      <c r="K23" s="20" t="s">
        <v>45</v>
      </c>
      <c r="L23" s="20" t="s">
        <v>45</v>
      </c>
      <c r="M23" s="20" t="s">
        <v>45</v>
      </c>
      <c r="N23" s="20" t="s">
        <v>45</v>
      </c>
      <c r="O23" s="20" t="s">
        <v>45</v>
      </c>
      <c r="P23" s="20" t="s">
        <v>45</v>
      </c>
      <c r="Q23" s="51" t="s">
        <v>46</v>
      </c>
      <c r="R23" s="52"/>
      <c r="S23" s="55"/>
      <c r="T23" s="56"/>
      <c r="U23" s="2"/>
    </row>
    <row r="24" spans="2:21" ht="26.25" thickBot="1" x14ac:dyDescent="0.3">
      <c r="B24" s="6"/>
      <c r="C24" s="15"/>
      <c r="D24" s="21" t="s">
        <v>45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51"/>
      <c r="R24" s="52"/>
      <c r="S24" s="55"/>
      <c r="T24" s="56"/>
      <c r="U24" s="2"/>
    </row>
    <row r="25" spans="2:21" ht="26.25" thickBot="1" x14ac:dyDescent="0.3">
      <c r="B25" s="6"/>
      <c r="C25" s="15"/>
      <c r="D25" s="21" t="s">
        <v>45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51"/>
      <c r="R25" s="52"/>
      <c r="S25" s="55"/>
      <c r="T25" s="56"/>
      <c r="U25" s="2"/>
    </row>
    <row r="26" spans="2:21" ht="26.25" thickBot="1" x14ac:dyDescent="0.3">
      <c r="B26" s="8"/>
      <c r="C26" s="15"/>
      <c r="D26" s="21" t="s">
        <v>45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51"/>
      <c r="R26" s="52"/>
      <c r="S26" s="55"/>
      <c r="T26" s="56"/>
      <c r="U26" s="2"/>
    </row>
    <row r="27" spans="2:21" ht="26.25" thickBot="1" x14ac:dyDescent="0.3">
      <c r="B27" s="8"/>
      <c r="C27" s="15"/>
      <c r="D27" s="21" t="s">
        <v>45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51"/>
      <c r="R27" s="52"/>
      <c r="S27" s="55"/>
      <c r="T27" s="56"/>
      <c r="U27" s="2"/>
    </row>
    <row r="28" spans="2:21" ht="16.5" thickBot="1" x14ac:dyDescent="0.3">
      <c r="B28" s="9" t="s">
        <v>21</v>
      </c>
      <c r="C28" s="13">
        <f>SUM(C16:C23)</f>
        <v>5200.0000000000009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400</v>
      </c>
      <c r="L28" s="13">
        <v>400</v>
      </c>
      <c r="M28" s="13">
        <v>400</v>
      </c>
      <c r="N28" s="13">
        <v>400</v>
      </c>
      <c r="O28" s="13">
        <v>400</v>
      </c>
      <c r="P28" s="13">
        <v>400</v>
      </c>
      <c r="Q28" s="55"/>
      <c r="R28" s="56"/>
      <c r="S28" s="55"/>
      <c r="T28" s="56"/>
      <c r="U28" s="2"/>
    </row>
    <row r="29" spans="2:21" x14ac:dyDescent="0.25">
      <c r="B29" s="57" t="s">
        <v>22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58"/>
      <c r="R31" s="58"/>
      <c r="S31" s="23"/>
      <c r="T31" s="23"/>
      <c r="U31" s="2"/>
    </row>
    <row r="32" spans="2:21" x14ac:dyDescent="0.25">
      <c r="B32" s="1"/>
      <c r="C32" s="59" t="s">
        <v>23</v>
      </c>
      <c r="D32" s="5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59" t="s">
        <v>24</v>
      </c>
      <c r="Q32" s="59"/>
      <c r="R32" s="59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0"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  <mergeCell ref="Q24:R24"/>
    <mergeCell ref="S24:T24"/>
    <mergeCell ref="Q25:R25"/>
    <mergeCell ref="S25:T25"/>
    <mergeCell ref="Q26:R26"/>
    <mergeCell ref="S26:T26"/>
    <mergeCell ref="Q21:R21"/>
    <mergeCell ref="S21:T21"/>
    <mergeCell ref="Q22:R22"/>
    <mergeCell ref="S22:T22"/>
    <mergeCell ref="Q23:R23"/>
    <mergeCell ref="S23:T23"/>
    <mergeCell ref="Q18:R18"/>
    <mergeCell ref="S18:T18"/>
    <mergeCell ref="Q19:R19"/>
    <mergeCell ref="S19:T19"/>
    <mergeCell ref="Q20:R20"/>
    <mergeCell ref="S20:T20"/>
    <mergeCell ref="Q15:R15"/>
    <mergeCell ref="S15:T15"/>
    <mergeCell ref="Q16:R16"/>
    <mergeCell ref="S16:T16"/>
    <mergeCell ref="Q17:R17"/>
    <mergeCell ref="S17:T17"/>
    <mergeCell ref="B11:B14"/>
    <mergeCell ref="C11:C14"/>
    <mergeCell ref="D11:P13"/>
    <mergeCell ref="Q11:R14"/>
    <mergeCell ref="S11:T12"/>
    <mergeCell ref="S13:T14"/>
    <mergeCell ref="Q7:R7"/>
    <mergeCell ref="S7:T7"/>
    <mergeCell ref="B8:Q8"/>
    <mergeCell ref="R8:S8"/>
    <mergeCell ref="E9:F9"/>
    <mergeCell ref="G9:T10"/>
  </mergeCells>
  <phoneticPr fontId="12" type="noConversion"/>
  <pageMargins left="0.25" right="0.25" top="0.75" bottom="0.75" header="0.3" footer="0.3"/>
  <pageSetup paperSize="9" scale="5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3C598-BBB7-40A7-8002-5CD61C54987D}">
  <sheetPr>
    <pageSetUpPr fitToPage="1"/>
  </sheetPr>
  <dimension ref="B7:U33"/>
  <sheetViews>
    <sheetView topLeftCell="A10" workbookViewId="0">
      <selection activeCell="B1" sqref="B1:T32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2" t="s">
        <v>0</v>
      </c>
      <c r="R7" s="22"/>
      <c r="S7" s="23"/>
      <c r="T7" s="23"/>
      <c r="U7" s="2"/>
    </row>
    <row r="8" spans="2:21" x14ac:dyDescent="0.25">
      <c r="B8" s="24" t="s">
        <v>25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3"/>
      <c r="S8" s="23"/>
      <c r="T8" s="1"/>
      <c r="U8" s="1"/>
    </row>
    <row r="9" spans="2:21" ht="15.75" customHeight="1" x14ac:dyDescent="0.25">
      <c r="B9" s="3" t="s">
        <v>1</v>
      </c>
      <c r="C9" s="19">
        <v>46174</v>
      </c>
      <c r="D9" s="1"/>
      <c r="E9" s="25" t="s">
        <v>2</v>
      </c>
      <c r="F9" s="25"/>
      <c r="G9" s="60" t="s">
        <v>26</v>
      </c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2"/>
    </row>
    <row r="10" spans="2:21" ht="15.75" customHeight="1" thickBot="1" x14ac:dyDescent="0.3">
      <c r="B10" s="1"/>
      <c r="C10" s="14"/>
      <c r="D10" s="1"/>
      <c r="E10" s="1"/>
      <c r="F10" s="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</row>
    <row r="11" spans="2:21" ht="15" customHeight="1" x14ac:dyDescent="0.25">
      <c r="B11" s="28" t="s">
        <v>3</v>
      </c>
      <c r="C11" s="31" t="s">
        <v>4</v>
      </c>
      <c r="D11" s="34" t="s">
        <v>5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4" t="s">
        <v>6</v>
      </c>
      <c r="R11" s="40"/>
      <c r="S11" s="43" t="s">
        <v>7</v>
      </c>
      <c r="T11" s="44"/>
    </row>
    <row r="12" spans="2:21" x14ac:dyDescent="0.25">
      <c r="B12" s="29"/>
      <c r="C12" s="32"/>
      <c r="D12" s="36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6"/>
      <c r="R12" s="41"/>
      <c r="S12" s="45"/>
      <c r="T12" s="46"/>
    </row>
    <row r="13" spans="2:21" ht="15.75" thickBot="1" x14ac:dyDescent="0.3">
      <c r="B13" s="29"/>
      <c r="C13" s="32"/>
      <c r="D13" s="38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6"/>
      <c r="R13" s="41"/>
      <c r="S13" s="47" t="s">
        <v>8</v>
      </c>
      <c r="T13" s="48"/>
    </row>
    <row r="14" spans="2:21" ht="15.75" thickBot="1" x14ac:dyDescent="0.3">
      <c r="B14" s="30"/>
      <c r="C14" s="33"/>
      <c r="D14" s="4" t="s">
        <v>9</v>
      </c>
      <c r="E14" s="4" t="s">
        <v>10</v>
      </c>
      <c r="F14" s="12" t="s">
        <v>27</v>
      </c>
      <c r="G14" s="12" t="s">
        <v>28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38"/>
      <c r="R14" s="42"/>
      <c r="S14" s="49"/>
      <c r="T14" s="50"/>
      <c r="U14" s="2"/>
    </row>
    <row r="15" spans="2:21" ht="15.75" thickBot="1" x14ac:dyDescent="0.3">
      <c r="B15" s="5"/>
      <c r="C15" s="18" t="s">
        <v>20</v>
      </c>
      <c r="D15" s="11">
        <v>0.38194444444444442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51" t="s">
        <v>29</v>
      </c>
      <c r="R15" s="52"/>
      <c r="S15" s="53"/>
      <c r="T15" s="54"/>
      <c r="U15" s="2"/>
    </row>
    <row r="16" spans="2:21" ht="26.25" thickBot="1" x14ac:dyDescent="0.3">
      <c r="B16" s="6" t="s">
        <v>30</v>
      </c>
      <c r="C16" s="15">
        <v>68.459999999999994</v>
      </c>
      <c r="D16" s="20" t="s">
        <v>59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51" t="s">
        <v>29</v>
      </c>
      <c r="R16" s="52"/>
      <c r="S16" s="55"/>
      <c r="T16" s="56"/>
      <c r="U16" s="2"/>
    </row>
    <row r="17" spans="2:21" ht="26.25" thickBot="1" x14ac:dyDescent="0.3">
      <c r="B17" s="6" t="s">
        <v>31</v>
      </c>
      <c r="C17" s="15">
        <v>66.86</v>
      </c>
      <c r="D17" s="20" t="s">
        <v>60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51" t="s">
        <v>29</v>
      </c>
      <c r="R17" s="52"/>
      <c r="S17" s="55"/>
      <c r="T17" s="56"/>
      <c r="U17" s="2"/>
    </row>
    <row r="18" spans="2:21" ht="26.25" thickBot="1" x14ac:dyDescent="0.3">
      <c r="B18" s="6" t="s">
        <v>32</v>
      </c>
      <c r="C18" s="15">
        <v>151.96</v>
      </c>
      <c r="D18" s="20" t="s">
        <v>61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51" t="s">
        <v>29</v>
      </c>
      <c r="R18" s="52"/>
      <c r="S18" s="55"/>
      <c r="T18" s="56"/>
      <c r="U18" s="2"/>
    </row>
    <row r="19" spans="2:21" ht="26.25" thickBot="1" x14ac:dyDescent="0.3">
      <c r="B19" s="6" t="s">
        <v>33</v>
      </c>
      <c r="C19" s="15">
        <v>18.25</v>
      </c>
      <c r="D19" s="20" t="s">
        <v>62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51" t="s">
        <v>29</v>
      </c>
      <c r="R19" s="52"/>
      <c r="S19" s="55"/>
      <c r="T19" s="56"/>
      <c r="U19" s="2"/>
    </row>
    <row r="20" spans="2:21" ht="26.25" thickBot="1" x14ac:dyDescent="0.3">
      <c r="B20" s="6" t="s">
        <v>34</v>
      </c>
      <c r="C20" s="15">
        <v>6.09</v>
      </c>
      <c r="D20" s="20" t="s">
        <v>63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51" t="s">
        <v>29</v>
      </c>
      <c r="R20" s="52"/>
      <c r="S20" s="55"/>
      <c r="T20" s="56"/>
      <c r="U20" s="2"/>
    </row>
    <row r="21" spans="2:21" ht="26.25" thickBot="1" x14ac:dyDescent="0.3">
      <c r="B21" s="6" t="s">
        <v>35</v>
      </c>
      <c r="C21" s="15">
        <v>15.18</v>
      </c>
      <c r="D21" s="20" t="s">
        <v>64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51" t="s">
        <v>29</v>
      </c>
      <c r="R21" s="52"/>
      <c r="S21" s="55"/>
      <c r="T21" s="56"/>
      <c r="U21" s="2"/>
    </row>
    <row r="22" spans="2:21" ht="26.25" thickBot="1" x14ac:dyDescent="0.3">
      <c r="B22" s="6" t="s">
        <v>36</v>
      </c>
      <c r="C22" s="15">
        <v>12.9</v>
      </c>
      <c r="D22" s="20" t="s">
        <v>65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51" t="s">
        <v>29</v>
      </c>
      <c r="R22" s="52"/>
      <c r="S22" s="55"/>
      <c r="T22" s="56"/>
      <c r="U22" s="2"/>
    </row>
    <row r="23" spans="2:21" ht="26.25" thickBot="1" x14ac:dyDescent="0.3">
      <c r="B23" s="6" t="s">
        <v>37</v>
      </c>
      <c r="C23" s="15">
        <v>0.71</v>
      </c>
      <c r="D23" s="20" t="s">
        <v>66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51" t="s">
        <v>29</v>
      </c>
      <c r="R23" s="52"/>
      <c r="S23" s="55"/>
      <c r="T23" s="56"/>
      <c r="U23" s="2"/>
    </row>
    <row r="24" spans="2:21" ht="26.25" thickBot="1" x14ac:dyDescent="0.3">
      <c r="B24" s="6"/>
      <c r="C24" s="15"/>
      <c r="D24" s="21" t="s">
        <v>45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51"/>
      <c r="R24" s="52"/>
      <c r="S24" s="55"/>
      <c r="T24" s="56"/>
      <c r="U24" s="2"/>
    </row>
    <row r="25" spans="2:21" ht="26.25" thickBot="1" x14ac:dyDescent="0.3">
      <c r="B25" s="6"/>
      <c r="C25" s="15"/>
      <c r="D25" s="21" t="s">
        <v>45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51"/>
      <c r="R25" s="52"/>
      <c r="S25" s="55"/>
      <c r="T25" s="56"/>
      <c r="U25" s="2"/>
    </row>
    <row r="26" spans="2:21" ht="26.25" thickBot="1" x14ac:dyDescent="0.3">
      <c r="B26" s="8"/>
      <c r="C26" s="15"/>
      <c r="D26" s="21" t="s">
        <v>45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51"/>
      <c r="R26" s="52"/>
      <c r="S26" s="55"/>
      <c r="T26" s="56"/>
      <c r="U26" s="2"/>
    </row>
    <row r="27" spans="2:21" ht="26.25" thickBot="1" x14ac:dyDescent="0.3">
      <c r="B27" s="8"/>
      <c r="C27" s="15"/>
      <c r="D27" s="21" t="s">
        <v>45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51"/>
      <c r="R27" s="52"/>
      <c r="S27" s="55"/>
      <c r="T27" s="56"/>
      <c r="U27" s="2"/>
    </row>
    <row r="28" spans="2:21" ht="16.5" thickBot="1" x14ac:dyDescent="0.3">
      <c r="B28" s="9" t="s">
        <v>21</v>
      </c>
      <c r="C28" s="13">
        <f>SUM(C16:C23)</f>
        <v>340.40999999999991</v>
      </c>
      <c r="D28" s="13">
        <v>340.41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55"/>
      <c r="R28" s="56"/>
      <c r="S28" s="55"/>
      <c r="T28" s="56"/>
      <c r="U28" s="2"/>
    </row>
    <row r="29" spans="2:21" x14ac:dyDescent="0.25">
      <c r="B29" s="57" t="s">
        <v>22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58"/>
      <c r="R31" s="58"/>
      <c r="S31" s="23"/>
      <c r="T31" s="23"/>
      <c r="U31" s="2"/>
    </row>
    <row r="32" spans="2:21" x14ac:dyDescent="0.25">
      <c r="B32" s="1"/>
      <c r="C32" s="59" t="s">
        <v>23</v>
      </c>
      <c r="D32" s="5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59" t="s">
        <v>24</v>
      </c>
      <c r="Q32" s="59"/>
      <c r="R32" s="59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0"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  <mergeCell ref="Q24:R24"/>
    <mergeCell ref="S24:T24"/>
    <mergeCell ref="Q25:R25"/>
    <mergeCell ref="S25:T25"/>
    <mergeCell ref="Q26:R26"/>
    <mergeCell ref="S26:T26"/>
    <mergeCell ref="Q21:R21"/>
    <mergeCell ref="S21:T21"/>
    <mergeCell ref="Q22:R22"/>
    <mergeCell ref="S22:T22"/>
    <mergeCell ref="Q23:R23"/>
    <mergeCell ref="S23:T23"/>
    <mergeCell ref="Q18:R18"/>
    <mergeCell ref="S18:T18"/>
    <mergeCell ref="Q19:R19"/>
    <mergeCell ref="S19:T19"/>
    <mergeCell ref="Q20:R20"/>
    <mergeCell ref="S20:T20"/>
    <mergeCell ref="Q15:R15"/>
    <mergeCell ref="S15:T15"/>
    <mergeCell ref="Q16:R16"/>
    <mergeCell ref="S16:T16"/>
    <mergeCell ref="Q17:R17"/>
    <mergeCell ref="S17:T17"/>
    <mergeCell ref="B11:B14"/>
    <mergeCell ref="C11:C14"/>
    <mergeCell ref="D11:P13"/>
    <mergeCell ref="Q11:R14"/>
    <mergeCell ref="S11:T12"/>
    <mergeCell ref="S13:T14"/>
    <mergeCell ref="Q7:R7"/>
    <mergeCell ref="S7:T7"/>
    <mergeCell ref="B8:Q8"/>
    <mergeCell ref="R8:S8"/>
    <mergeCell ref="E9:F9"/>
    <mergeCell ref="G9:T10"/>
  </mergeCells>
  <pageMargins left="0.25" right="0.25" top="0.75" bottom="0.75" header="0.3" footer="0.3"/>
  <pageSetup paperSize="9" scale="5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616AE-539F-48CF-BC57-A501E67E7893}">
  <sheetPr>
    <pageSetUpPr fitToPage="1"/>
  </sheetPr>
  <dimension ref="B7:U33"/>
  <sheetViews>
    <sheetView tabSelected="1" workbookViewId="0">
      <selection activeCell="I27" sqref="I27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2" t="s">
        <v>0</v>
      </c>
      <c r="R7" s="22"/>
      <c r="S7" s="23"/>
      <c r="T7" s="23"/>
      <c r="U7" s="2"/>
    </row>
    <row r="8" spans="2:21" x14ac:dyDescent="0.25">
      <c r="B8" s="24" t="s">
        <v>25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3"/>
      <c r="S8" s="23"/>
      <c r="T8" s="1"/>
      <c r="U8" s="1"/>
    </row>
    <row r="9" spans="2:21" ht="15.75" customHeight="1" x14ac:dyDescent="0.25">
      <c r="B9" s="3" t="s">
        <v>1</v>
      </c>
      <c r="C9" s="19">
        <v>46174</v>
      </c>
      <c r="D9" s="1"/>
      <c r="E9" s="25" t="s">
        <v>2</v>
      </c>
      <c r="F9" s="25"/>
      <c r="G9" s="26" t="s">
        <v>47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"/>
    </row>
    <row r="10" spans="2:21" ht="15.75" customHeight="1" thickBot="1" x14ac:dyDescent="0.3">
      <c r="B10" s="1"/>
      <c r="C10" s="14"/>
      <c r="D10" s="1"/>
      <c r="E10" s="1"/>
      <c r="F10" s="1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</row>
    <row r="11" spans="2:21" ht="15" customHeight="1" x14ac:dyDescent="0.25">
      <c r="B11" s="28" t="s">
        <v>3</v>
      </c>
      <c r="C11" s="31" t="s">
        <v>4</v>
      </c>
      <c r="D11" s="34" t="s">
        <v>5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4" t="s">
        <v>6</v>
      </c>
      <c r="R11" s="40"/>
      <c r="S11" s="43" t="s">
        <v>7</v>
      </c>
      <c r="T11" s="44"/>
    </row>
    <row r="12" spans="2:21" x14ac:dyDescent="0.25">
      <c r="B12" s="29"/>
      <c r="C12" s="32"/>
      <c r="D12" s="36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6"/>
      <c r="R12" s="41"/>
      <c r="S12" s="45"/>
      <c r="T12" s="46"/>
    </row>
    <row r="13" spans="2:21" ht="15.75" thickBot="1" x14ac:dyDescent="0.3">
      <c r="B13" s="29"/>
      <c r="C13" s="32"/>
      <c r="D13" s="38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6"/>
      <c r="R13" s="41"/>
      <c r="S13" s="47" t="s">
        <v>8</v>
      </c>
      <c r="T13" s="48"/>
    </row>
    <row r="14" spans="2:21" ht="15.75" thickBot="1" x14ac:dyDescent="0.3">
      <c r="B14" s="30"/>
      <c r="C14" s="33"/>
      <c r="D14" s="4" t="s">
        <v>9</v>
      </c>
      <c r="E14" s="4" t="s">
        <v>10</v>
      </c>
      <c r="F14" s="12" t="s">
        <v>27</v>
      </c>
      <c r="G14" s="12" t="s">
        <v>28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38"/>
      <c r="R14" s="42"/>
      <c r="S14" s="49"/>
      <c r="T14" s="50"/>
      <c r="U14" s="2"/>
    </row>
    <row r="15" spans="2:21" ht="15.75" thickBot="1" x14ac:dyDescent="0.3">
      <c r="B15" s="5"/>
      <c r="C15" s="18" t="s">
        <v>20</v>
      </c>
      <c r="D15" s="11">
        <v>0.20833333333333334</v>
      </c>
      <c r="E15" s="11">
        <v>0.22222222222222221</v>
      </c>
      <c r="F15" s="11">
        <v>0.23611111111111099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51" t="s">
        <v>29</v>
      </c>
      <c r="R15" s="52"/>
      <c r="S15" s="53"/>
      <c r="T15" s="54"/>
      <c r="U15" s="2"/>
    </row>
    <row r="16" spans="2:21" ht="26.25" thickBot="1" x14ac:dyDescent="0.3">
      <c r="B16" s="6" t="s">
        <v>30</v>
      </c>
      <c r="C16" s="15">
        <v>361.14</v>
      </c>
      <c r="D16" s="20" t="s">
        <v>48</v>
      </c>
      <c r="E16" s="20" t="s">
        <v>48</v>
      </c>
      <c r="F16" s="20" t="s">
        <v>54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51" t="s">
        <v>29</v>
      </c>
      <c r="R16" s="52"/>
      <c r="S16" s="55"/>
      <c r="T16" s="56"/>
      <c r="U16" s="2"/>
    </row>
    <row r="17" spans="2:21" ht="26.25" thickBot="1" x14ac:dyDescent="0.3">
      <c r="B17" s="6" t="s">
        <v>31</v>
      </c>
      <c r="C17" s="15">
        <v>120.41</v>
      </c>
      <c r="D17" s="20" t="s">
        <v>49</v>
      </c>
      <c r="E17" s="20" t="s">
        <v>49</v>
      </c>
      <c r="F17" s="20" t="s">
        <v>55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51" t="s">
        <v>29</v>
      </c>
      <c r="R17" s="52"/>
      <c r="S17" s="55"/>
      <c r="T17" s="56"/>
      <c r="U17" s="2"/>
    </row>
    <row r="18" spans="2:21" ht="26.25" thickBot="1" x14ac:dyDescent="0.3">
      <c r="B18" s="6" t="s">
        <v>32</v>
      </c>
      <c r="C18" s="15">
        <v>120.41</v>
      </c>
      <c r="D18" s="20" t="s">
        <v>50</v>
      </c>
      <c r="E18" s="20" t="s">
        <v>50</v>
      </c>
      <c r="F18" s="20" t="s">
        <v>56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51" t="s">
        <v>29</v>
      </c>
      <c r="R18" s="52"/>
      <c r="S18" s="55"/>
      <c r="T18" s="56"/>
      <c r="U18" s="2"/>
    </row>
    <row r="19" spans="2:21" ht="26.25" thickBot="1" x14ac:dyDescent="0.3">
      <c r="B19" s="6" t="s">
        <v>33</v>
      </c>
      <c r="C19" s="15">
        <v>361.14</v>
      </c>
      <c r="D19" s="20" t="s">
        <v>51</v>
      </c>
      <c r="E19" s="20" t="s">
        <v>51</v>
      </c>
      <c r="F19" s="20" t="s">
        <v>57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51" t="s">
        <v>29</v>
      </c>
      <c r="R19" s="52"/>
      <c r="S19" s="55"/>
      <c r="T19" s="56"/>
      <c r="U19" s="2"/>
    </row>
    <row r="20" spans="2:21" ht="26.25" thickBot="1" x14ac:dyDescent="0.3">
      <c r="B20" s="6" t="s">
        <v>36</v>
      </c>
      <c r="C20" s="15">
        <v>51.05</v>
      </c>
      <c r="D20" s="20" t="s">
        <v>52</v>
      </c>
      <c r="E20" s="20" t="s">
        <v>52</v>
      </c>
      <c r="F20" s="20" t="s">
        <v>58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51" t="s">
        <v>29</v>
      </c>
      <c r="R20" s="52"/>
      <c r="S20" s="55"/>
      <c r="T20" s="56"/>
      <c r="U20" s="2"/>
    </row>
    <row r="21" spans="2:21" ht="26.25" thickBot="1" x14ac:dyDescent="0.3">
      <c r="B21" s="6" t="s">
        <v>37</v>
      </c>
      <c r="C21" s="15">
        <v>2.85</v>
      </c>
      <c r="D21" s="20" t="s">
        <v>95</v>
      </c>
      <c r="E21" s="20" t="s">
        <v>95</v>
      </c>
      <c r="F21" s="20" t="s">
        <v>96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51" t="s">
        <v>29</v>
      </c>
      <c r="R21" s="52"/>
      <c r="S21" s="55"/>
      <c r="T21" s="56"/>
      <c r="U21" s="2"/>
    </row>
    <row r="22" spans="2:21" ht="26.25" thickBot="1" x14ac:dyDescent="0.3">
      <c r="B22" s="6"/>
      <c r="C22" s="15"/>
      <c r="D22" s="21" t="s">
        <v>45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51"/>
      <c r="R22" s="52"/>
      <c r="S22" s="55"/>
      <c r="T22" s="56"/>
      <c r="U22" s="2"/>
    </row>
    <row r="23" spans="2:21" ht="26.25" thickBot="1" x14ac:dyDescent="0.3">
      <c r="B23" s="6"/>
      <c r="C23" s="15"/>
      <c r="D23" s="21" t="s">
        <v>45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51"/>
      <c r="R23" s="52"/>
      <c r="S23" s="55"/>
      <c r="T23" s="56"/>
      <c r="U23" s="2"/>
    </row>
    <row r="24" spans="2:21" ht="26.25" thickBot="1" x14ac:dyDescent="0.3">
      <c r="B24" s="6"/>
      <c r="C24" s="15"/>
      <c r="D24" s="21" t="s">
        <v>45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51"/>
      <c r="R24" s="52"/>
      <c r="S24" s="55"/>
      <c r="T24" s="56"/>
      <c r="U24" s="2"/>
    </row>
    <row r="25" spans="2:21" ht="26.25" thickBot="1" x14ac:dyDescent="0.3">
      <c r="B25" s="6"/>
      <c r="C25" s="15"/>
      <c r="D25" s="21" t="s">
        <v>45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51"/>
      <c r="R25" s="52"/>
      <c r="S25" s="55"/>
      <c r="T25" s="56"/>
      <c r="U25" s="2"/>
    </row>
    <row r="26" spans="2:21" ht="26.25" thickBot="1" x14ac:dyDescent="0.3">
      <c r="B26" s="8"/>
      <c r="C26" s="15"/>
      <c r="D26" s="21" t="s">
        <v>45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51"/>
      <c r="R26" s="52"/>
      <c r="S26" s="55"/>
      <c r="T26" s="56"/>
      <c r="U26" s="2"/>
    </row>
    <row r="27" spans="2:21" ht="26.25" thickBot="1" x14ac:dyDescent="0.3">
      <c r="B27" s="8"/>
      <c r="C27" s="15"/>
      <c r="D27" s="21" t="s">
        <v>45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51"/>
      <c r="R27" s="52"/>
      <c r="S27" s="55"/>
      <c r="T27" s="56"/>
      <c r="U27" s="2"/>
    </row>
    <row r="28" spans="2:21" ht="16.5" thickBot="1" x14ac:dyDescent="0.3">
      <c r="B28" s="9" t="s">
        <v>21</v>
      </c>
      <c r="C28" s="13">
        <f>SUM(C16:C23)</f>
        <v>1016.9999999999999</v>
      </c>
      <c r="D28" s="13">
        <v>400</v>
      </c>
      <c r="E28" s="13">
        <v>400</v>
      </c>
      <c r="F28" s="13">
        <v>217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55"/>
      <c r="R28" s="56"/>
      <c r="S28" s="55"/>
      <c r="T28" s="56"/>
      <c r="U28" s="2"/>
    </row>
    <row r="29" spans="2:21" x14ac:dyDescent="0.25">
      <c r="B29" s="57" t="s">
        <v>22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58"/>
      <c r="R31" s="58"/>
      <c r="S31" s="23"/>
      <c r="T31" s="23"/>
      <c r="U31" s="2"/>
    </row>
    <row r="32" spans="2:21" x14ac:dyDescent="0.25">
      <c r="B32" s="1"/>
      <c r="C32" s="59" t="s">
        <v>23</v>
      </c>
      <c r="D32" s="5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59" t="s">
        <v>24</v>
      </c>
      <c r="Q32" s="59"/>
      <c r="R32" s="59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0"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  <mergeCell ref="Q24:R24"/>
    <mergeCell ref="S24:T24"/>
    <mergeCell ref="Q25:R25"/>
    <mergeCell ref="S25:T25"/>
    <mergeCell ref="Q26:R26"/>
    <mergeCell ref="S26:T26"/>
    <mergeCell ref="Q21:R21"/>
    <mergeCell ref="S21:T21"/>
    <mergeCell ref="Q22:R22"/>
    <mergeCell ref="S22:T22"/>
    <mergeCell ref="Q23:R23"/>
    <mergeCell ref="S23:T23"/>
    <mergeCell ref="Q18:R18"/>
    <mergeCell ref="S18:T18"/>
    <mergeCell ref="Q19:R19"/>
    <mergeCell ref="S19:T19"/>
    <mergeCell ref="Q20:R20"/>
    <mergeCell ref="S20:T20"/>
    <mergeCell ref="Q15:R15"/>
    <mergeCell ref="S15:T15"/>
    <mergeCell ref="Q16:R16"/>
    <mergeCell ref="S16:T16"/>
    <mergeCell ref="Q17:R17"/>
    <mergeCell ref="S17:T17"/>
    <mergeCell ref="B11:B14"/>
    <mergeCell ref="C11:C14"/>
    <mergeCell ref="D11:P13"/>
    <mergeCell ref="Q11:R14"/>
    <mergeCell ref="S11:T12"/>
    <mergeCell ref="S13:T14"/>
    <mergeCell ref="Q7:R7"/>
    <mergeCell ref="S7:T7"/>
    <mergeCell ref="B8:Q8"/>
    <mergeCell ref="R8:S8"/>
    <mergeCell ref="E9:F9"/>
    <mergeCell ref="G9:T10"/>
  </mergeCells>
  <phoneticPr fontId="12" type="noConversion"/>
  <pageMargins left="0.25" right="0.25" top="0.75" bottom="0.75" header="0.3" footer="0.3"/>
  <pageSetup paperSize="9" scale="5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9CE2A-C68E-41BD-B7BF-E7C2195C9CE6}">
  <sheetPr>
    <pageSetUpPr fitToPage="1"/>
  </sheetPr>
  <dimension ref="B7:U33"/>
  <sheetViews>
    <sheetView workbookViewId="0">
      <selection activeCell="I30" sqref="I30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2" t="s">
        <v>0</v>
      </c>
      <c r="R7" s="22"/>
      <c r="S7" s="23"/>
      <c r="T7" s="23"/>
      <c r="U7" s="2"/>
    </row>
    <row r="8" spans="2:21" x14ac:dyDescent="0.25">
      <c r="B8" s="24" t="s">
        <v>25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3"/>
      <c r="S8" s="23"/>
      <c r="T8" s="1"/>
      <c r="U8" s="1"/>
    </row>
    <row r="9" spans="2:21" ht="15.75" customHeight="1" x14ac:dyDescent="0.25">
      <c r="B9" s="3" t="s">
        <v>1</v>
      </c>
      <c r="C9" s="19">
        <v>46175</v>
      </c>
      <c r="D9" s="1"/>
      <c r="E9" s="25" t="s">
        <v>2</v>
      </c>
      <c r="F9" s="25"/>
      <c r="G9" s="26" t="s">
        <v>67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"/>
    </row>
    <row r="10" spans="2:21" ht="15.75" customHeight="1" thickBot="1" x14ac:dyDescent="0.3">
      <c r="B10" s="1"/>
      <c r="C10" s="14"/>
      <c r="D10" s="1"/>
      <c r="E10" s="1"/>
      <c r="F10" s="1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</row>
    <row r="11" spans="2:21" ht="15" customHeight="1" x14ac:dyDescent="0.25">
      <c r="B11" s="28" t="s">
        <v>3</v>
      </c>
      <c r="C11" s="31" t="s">
        <v>4</v>
      </c>
      <c r="D11" s="34" t="s">
        <v>5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4" t="s">
        <v>6</v>
      </c>
      <c r="R11" s="40"/>
      <c r="S11" s="43" t="s">
        <v>7</v>
      </c>
      <c r="T11" s="44"/>
    </row>
    <row r="12" spans="2:21" x14ac:dyDescent="0.25">
      <c r="B12" s="29"/>
      <c r="C12" s="32"/>
      <c r="D12" s="36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6"/>
      <c r="R12" s="41"/>
      <c r="S12" s="45"/>
      <c r="T12" s="46"/>
    </row>
    <row r="13" spans="2:21" ht="15.75" thickBot="1" x14ac:dyDescent="0.3">
      <c r="B13" s="29"/>
      <c r="C13" s="32"/>
      <c r="D13" s="38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6"/>
      <c r="R13" s="41"/>
      <c r="S13" s="47" t="s">
        <v>8</v>
      </c>
      <c r="T13" s="48"/>
    </row>
    <row r="14" spans="2:21" ht="15.75" thickBot="1" x14ac:dyDescent="0.3">
      <c r="B14" s="30"/>
      <c r="C14" s="33"/>
      <c r="D14" s="4" t="s">
        <v>9</v>
      </c>
      <c r="E14" s="4" t="s">
        <v>10</v>
      </c>
      <c r="F14" s="12" t="s">
        <v>27</v>
      </c>
      <c r="G14" s="12" t="s">
        <v>28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38"/>
      <c r="R14" s="42"/>
      <c r="S14" s="49"/>
      <c r="T14" s="50"/>
      <c r="U14" s="2"/>
    </row>
    <row r="15" spans="2:21" ht="15.75" thickBot="1" x14ac:dyDescent="0.3">
      <c r="B15" s="5"/>
      <c r="C15" s="18" t="s">
        <v>20</v>
      </c>
      <c r="D15" s="11">
        <v>0.4201388888888889</v>
      </c>
      <c r="E15" s="11">
        <v>0.43402777777777779</v>
      </c>
      <c r="F15" s="11">
        <v>0.44791666666666702</v>
      </c>
      <c r="G15" s="11">
        <v>0.46180555555555602</v>
      </c>
      <c r="H15" s="11">
        <v>0.47569444444444398</v>
      </c>
      <c r="I15" s="11">
        <v>0.48958333333333298</v>
      </c>
      <c r="J15" s="11">
        <v>0.50347222222222199</v>
      </c>
      <c r="K15" s="11">
        <v>0.56597222222222221</v>
      </c>
      <c r="L15" s="11">
        <v>0.57986111111111116</v>
      </c>
      <c r="M15" s="11">
        <v>0.59375</v>
      </c>
      <c r="N15" s="11">
        <v>0.60763888888888895</v>
      </c>
      <c r="O15" s="11">
        <v>0.62152777777777801</v>
      </c>
      <c r="P15" s="11">
        <v>0.63541666666666696</v>
      </c>
      <c r="Q15" s="51" t="s">
        <v>29</v>
      </c>
      <c r="R15" s="52"/>
      <c r="S15" s="53"/>
      <c r="T15" s="54"/>
      <c r="U15" s="2"/>
    </row>
    <row r="16" spans="2:21" ht="26.25" thickBot="1" x14ac:dyDescent="0.3">
      <c r="B16" s="6" t="s">
        <v>30</v>
      </c>
      <c r="C16" s="15">
        <v>668.2</v>
      </c>
      <c r="D16" s="20" t="s">
        <v>73</v>
      </c>
      <c r="E16" s="20" t="s">
        <v>73</v>
      </c>
      <c r="F16" s="20" t="s">
        <v>73</v>
      </c>
      <c r="G16" s="20" t="s">
        <v>73</v>
      </c>
      <c r="H16" s="20" t="s">
        <v>73</v>
      </c>
      <c r="I16" s="20" t="s">
        <v>73</v>
      </c>
      <c r="J16" s="20" t="s">
        <v>73</v>
      </c>
      <c r="K16" s="20" t="s">
        <v>73</v>
      </c>
      <c r="L16" s="20" t="s">
        <v>73</v>
      </c>
      <c r="M16" s="20" t="s">
        <v>73</v>
      </c>
      <c r="N16" s="20" t="s">
        <v>73</v>
      </c>
      <c r="O16" s="20" t="s">
        <v>73</v>
      </c>
      <c r="P16" s="20" t="s">
        <v>73</v>
      </c>
      <c r="Q16" s="51" t="s">
        <v>29</v>
      </c>
      <c r="R16" s="52"/>
      <c r="S16" s="55"/>
      <c r="T16" s="56"/>
      <c r="U16" s="2"/>
    </row>
    <row r="17" spans="2:21" ht="26.25" thickBot="1" x14ac:dyDescent="0.3">
      <c r="B17" s="6" t="s">
        <v>31</v>
      </c>
      <c r="C17" s="15">
        <v>1125.28</v>
      </c>
      <c r="D17" s="20" t="s">
        <v>74</v>
      </c>
      <c r="E17" s="20" t="s">
        <v>74</v>
      </c>
      <c r="F17" s="20" t="s">
        <v>74</v>
      </c>
      <c r="G17" s="20" t="s">
        <v>74</v>
      </c>
      <c r="H17" s="20" t="s">
        <v>74</v>
      </c>
      <c r="I17" s="20" t="s">
        <v>74</v>
      </c>
      <c r="J17" s="20" t="s">
        <v>74</v>
      </c>
      <c r="K17" s="20" t="s">
        <v>74</v>
      </c>
      <c r="L17" s="20" t="s">
        <v>74</v>
      </c>
      <c r="M17" s="20" t="s">
        <v>74</v>
      </c>
      <c r="N17" s="20" t="s">
        <v>74</v>
      </c>
      <c r="O17" s="20" t="s">
        <v>74</v>
      </c>
      <c r="P17" s="20" t="s">
        <v>74</v>
      </c>
      <c r="Q17" s="51" t="s">
        <v>29</v>
      </c>
      <c r="R17" s="52"/>
      <c r="S17" s="55"/>
      <c r="T17" s="56"/>
      <c r="U17" s="2"/>
    </row>
    <row r="18" spans="2:21" ht="26.25" thickBot="1" x14ac:dyDescent="0.3">
      <c r="B18" s="6" t="s">
        <v>32</v>
      </c>
      <c r="C18" s="15">
        <v>1734.2</v>
      </c>
      <c r="D18" s="20" t="s">
        <v>76</v>
      </c>
      <c r="E18" s="20" t="s">
        <v>76</v>
      </c>
      <c r="F18" s="20" t="s">
        <v>76</v>
      </c>
      <c r="G18" s="20" t="s">
        <v>76</v>
      </c>
      <c r="H18" s="20" t="s">
        <v>76</v>
      </c>
      <c r="I18" s="20" t="s">
        <v>76</v>
      </c>
      <c r="J18" s="20" t="s">
        <v>76</v>
      </c>
      <c r="K18" s="20" t="s">
        <v>76</v>
      </c>
      <c r="L18" s="20" t="s">
        <v>76</v>
      </c>
      <c r="M18" s="20" t="s">
        <v>76</v>
      </c>
      <c r="N18" s="20" t="s">
        <v>76</v>
      </c>
      <c r="O18" s="20" t="s">
        <v>76</v>
      </c>
      <c r="P18" s="20" t="s">
        <v>76</v>
      </c>
      <c r="Q18" s="51" t="s">
        <v>29</v>
      </c>
      <c r="R18" s="52"/>
      <c r="S18" s="55"/>
      <c r="T18" s="56"/>
      <c r="U18" s="2"/>
    </row>
    <row r="19" spans="2:21" ht="26.25" thickBot="1" x14ac:dyDescent="0.3">
      <c r="B19" s="6" t="s">
        <v>68</v>
      </c>
      <c r="C19" s="15">
        <v>46.8</v>
      </c>
      <c r="D19" s="20" t="s">
        <v>77</v>
      </c>
      <c r="E19" s="20" t="s">
        <v>77</v>
      </c>
      <c r="F19" s="20" t="s">
        <v>77</v>
      </c>
      <c r="G19" s="20" t="s">
        <v>77</v>
      </c>
      <c r="H19" s="20" t="s">
        <v>77</v>
      </c>
      <c r="I19" s="20" t="s">
        <v>77</v>
      </c>
      <c r="J19" s="20" t="s">
        <v>77</v>
      </c>
      <c r="K19" s="20" t="s">
        <v>77</v>
      </c>
      <c r="L19" s="20" t="s">
        <v>77</v>
      </c>
      <c r="M19" s="20" t="s">
        <v>77</v>
      </c>
      <c r="N19" s="20" t="s">
        <v>77</v>
      </c>
      <c r="O19" s="20" t="s">
        <v>77</v>
      </c>
      <c r="P19" s="20" t="s">
        <v>77</v>
      </c>
      <c r="Q19" s="51" t="s">
        <v>29</v>
      </c>
      <c r="R19" s="52"/>
      <c r="S19" s="55"/>
      <c r="T19" s="56"/>
      <c r="U19" s="2"/>
    </row>
    <row r="20" spans="2:21" ht="26.25" thickBot="1" x14ac:dyDescent="0.3">
      <c r="B20" s="6" t="s">
        <v>33</v>
      </c>
      <c r="C20" s="15">
        <v>656.24</v>
      </c>
      <c r="D20" s="20" t="s">
        <v>75</v>
      </c>
      <c r="E20" s="20" t="s">
        <v>75</v>
      </c>
      <c r="F20" s="20" t="s">
        <v>75</v>
      </c>
      <c r="G20" s="20" t="s">
        <v>75</v>
      </c>
      <c r="H20" s="20" t="s">
        <v>75</v>
      </c>
      <c r="I20" s="20" t="s">
        <v>75</v>
      </c>
      <c r="J20" s="20" t="s">
        <v>75</v>
      </c>
      <c r="K20" s="20" t="s">
        <v>75</v>
      </c>
      <c r="L20" s="20" t="s">
        <v>75</v>
      </c>
      <c r="M20" s="20" t="s">
        <v>75</v>
      </c>
      <c r="N20" s="20" t="s">
        <v>75</v>
      </c>
      <c r="O20" s="20" t="s">
        <v>75</v>
      </c>
      <c r="P20" s="20" t="s">
        <v>75</v>
      </c>
      <c r="Q20" s="51" t="s">
        <v>29</v>
      </c>
      <c r="R20" s="52"/>
      <c r="S20" s="55"/>
      <c r="T20" s="56"/>
      <c r="U20" s="2"/>
    </row>
    <row r="21" spans="2:21" ht="26.25" thickBot="1" x14ac:dyDescent="0.3">
      <c r="B21" s="6" t="s">
        <v>69</v>
      </c>
      <c r="C21" s="15">
        <v>609.44000000000005</v>
      </c>
      <c r="D21" s="20" t="s">
        <v>78</v>
      </c>
      <c r="E21" s="20" t="s">
        <v>78</v>
      </c>
      <c r="F21" s="20" t="s">
        <v>78</v>
      </c>
      <c r="G21" s="20" t="s">
        <v>78</v>
      </c>
      <c r="H21" s="20" t="s">
        <v>78</v>
      </c>
      <c r="I21" s="20" t="s">
        <v>78</v>
      </c>
      <c r="J21" s="20" t="s">
        <v>78</v>
      </c>
      <c r="K21" s="20" t="s">
        <v>78</v>
      </c>
      <c r="L21" s="20" t="s">
        <v>78</v>
      </c>
      <c r="M21" s="20" t="s">
        <v>78</v>
      </c>
      <c r="N21" s="20" t="s">
        <v>78</v>
      </c>
      <c r="O21" s="20" t="s">
        <v>78</v>
      </c>
      <c r="P21" s="20" t="s">
        <v>78</v>
      </c>
      <c r="Q21" s="51" t="s">
        <v>29</v>
      </c>
      <c r="R21" s="52"/>
      <c r="S21" s="55"/>
      <c r="T21" s="56"/>
      <c r="U21" s="2"/>
    </row>
    <row r="22" spans="2:21" ht="26.25" thickBot="1" x14ac:dyDescent="0.3">
      <c r="B22" s="6" t="s">
        <v>70</v>
      </c>
      <c r="C22" s="15">
        <v>74.88</v>
      </c>
      <c r="D22" s="20" t="s">
        <v>79</v>
      </c>
      <c r="E22" s="20" t="s">
        <v>79</v>
      </c>
      <c r="F22" s="20" t="s">
        <v>79</v>
      </c>
      <c r="G22" s="20" t="s">
        <v>79</v>
      </c>
      <c r="H22" s="20" t="s">
        <v>79</v>
      </c>
      <c r="I22" s="20" t="s">
        <v>79</v>
      </c>
      <c r="J22" s="20" t="s">
        <v>79</v>
      </c>
      <c r="K22" s="20" t="s">
        <v>79</v>
      </c>
      <c r="L22" s="20" t="s">
        <v>79</v>
      </c>
      <c r="M22" s="20" t="s">
        <v>79</v>
      </c>
      <c r="N22" s="20" t="s">
        <v>79</v>
      </c>
      <c r="O22" s="20" t="s">
        <v>79</v>
      </c>
      <c r="P22" s="20" t="s">
        <v>79</v>
      </c>
      <c r="Q22" s="51" t="s">
        <v>29</v>
      </c>
      <c r="R22" s="52"/>
      <c r="S22" s="55"/>
      <c r="T22" s="56"/>
      <c r="U22" s="2"/>
    </row>
    <row r="23" spans="2:21" ht="26.25" thickBot="1" x14ac:dyDescent="0.3">
      <c r="B23" s="6" t="s">
        <v>71</v>
      </c>
      <c r="C23" s="15">
        <v>37.44</v>
      </c>
      <c r="D23" s="20" t="s">
        <v>80</v>
      </c>
      <c r="E23" s="20" t="s">
        <v>80</v>
      </c>
      <c r="F23" s="20" t="s">
        <v>80</v>
      </c>
      <c r="G23" s="20" t="s">
        <v>80</v>
      </c>
      <c r="H23" s="20" t="s">
        <v>80</v>
      </c>
      <c r="I23" s="20" t="s">
        <v>80</v>
      </c>
      <c r="J23" s="20" t="s">
        <v>80</v>
      </c>
      <c r="K23" s="20" t="s">
        <v>80</v>
      </c>
      <c r="L23" s="20" t="s">
        <v>80</v>
      </c>
      <c r="M23" s="20" t="s">
        <v>80</v>
      </c>
      <c r="N23" s="20" t="s">
        <v>80</v>
      </c>
      <c r="O23" s="20" t="s">
        <v>80</v>
      </c>
      <c r="P23" s="20" t="s">
        <v>80</v>
      </c>
      <c r="Q23" s="51" t="s">
        <v>29</v>
      </c>
      <c r="R23" s="52"/>
      <c r="S23" s="55"/>
      <c r="T23" s="56"/>
      <c r="U23" s="2"/>
    </row>
    <row r="24" spans="2:21" ht="26.25" thickBot="1" x14ac:dyDescent="0.3">
      <c r="B24" s="6" t="s">
        <v>72</v>
      </c>
      <c r="C24" s="15">
        <v>37.44</v>
      </c>
      <c r="D24" s="20" t="s">
        <v>81</v>
      </c>
      <c r="E24" s="20" t="s">
        <v>81</v>
      </c>
      <c r="F24" s="20" t="s">
        <v>81</v>
      </c>
      <c r="G24" s="20" t="s">
        <v>81</v>
      </c>
      <c r="H24" s="20" t="s">
        <v>81</v>
      </c>
      <c r="I24" s="20" t="s">
        <v>81</v>
      </c>
      <c r="J24" s="20" t="s">
        <v>81</v>
      </c>
      <c r="K24" s="20" t="s">
        <v>81</v>
      </c>
      <c r="L24" s="20" t="s">
        <v>81</v>
      </c>
      <c r="M24" s="20" t="s">
        <v>81</v>
      </c>
      <c r="N24" s="20" t="s">
        <v>81</v>
      </c>
      <c r="O24" s="20" t="s">
        <v>81</v>
      </c>
      <c r="P24" s="20" t="s">
        <v>81</v>
      </c>
      <c r="Q24" s="51" t="s">
        <v>29</v>
      </c>
      <c r="R24" s="52"/>
      <c r="S24" s="55"/>
      <c r="T24" s="56"/>
      <c r="U24" s="2"/>
    </row>
    <row r="25" spans="2:21" ht="26.25" thickBot="1" x14ac:dyDescent="0.3">
      <c r="B25" s="6" t="s">
        <v>36</v>
      </c>
      <c r="C25" s="15">
        <v>198.64</v>
      </c>
      <c r="D25" s="20" t="s">
        <v>82</v>
      </c>
      <c r="E25" s="20" t="s">
        <v>82</v>
      </c>
      <c r="F25" s="20" t="s">
        <v>82</v>
      </c>
      <c r="G25" s="20" t="s">
        <v>82</v>
      </c>
      <c r="H25" s="20" t="s">
        <v>82</v>
      </c>
      <c r="I25" s="20" t="s">
        <v>82</v>
      </c>
      <c r="J25" s="20" t="s">
        <v>82</v>
      </c>
      <c r="K25" s="20" t="s">
        <v>82</v>
      </c>
      <c r="L25" s="20" t="s">
        <v>82</v>
      </c>
      <c r="M25" s="20" t="s">
        <v>82</v>
      </c>
      <c r="N25" s="20" t="s">
        <v>82</v>
      </c>
      <c r="O25" s="20" t="s">
        <v>82</v>
      </c>
      <c r="P25" s="20" t="s">
        <v>82</v>
      </c>
      <c r="Q25" s="51" t="s">
        <v>29</v>
      </c>
      <c r="R25" s="52"/>
      <c r="S25" s="55"/>
      <c r="T25" s="56"/>
      <c r="U25" s="2"/>
    </row>
    <row r="26" spans="2:21" ht="26.25" thickBot="1" x14ac:dyDescent="0.3">
      <c r="B26" s="6" t="s">
        <v>37</v>
      </c>
      <c r="C26" s="15">
        <v>11.44</v>
      </c>
      <c r="D26" s="20" t="s">
        <v>83</v>
      </c>
      <c r="E26" s="20" t="s">
        <v>83</v>
      </c>
      <c r="F26" s="20" t="s">
        <v>83</v>
      </c>
      <c r="G26" s="20" t="s">
        <v>83</v>
      </c>
      <c r="H26" s="20" t="s">
        <v>83</v>
      </c>
      <c r="I26" s="20" t="s">
        <v>83</v>
      </c>
      <c r="J26" s="20" t="s">
        <v>83</v>
      </c>
      <c r="K26" s="20" t="s">
        <v>83</v>
      </c>
      <c r="L26" s="20" t="s">
        <v>83</v>
      </c>
      <c r="M26" s="20" t="s">
        <v>83</v>
      </c>
      <c r="N26" s="20" t="s">
        <v>83</v>
      </c>
      <c r="O26" s="20" t="s">
        <v>83</v>
      </c>
      <c r="P26" s="20" t="s">
        <v>83</v>
      </c>
      <c r="Q26" s="51" t="s">
        <v>29</v>
      </c>
      <c r="R26" s="52"/>
      <c r="S26" s="55"/>
      <c r="T26" s="56"/>
      <c r="U26" s="2"/>
    </row>
    <row r="27" spans="2:21" ht="26.25" thickBot="1" x14ac:dyDescent="0.3">
      <c r="B27" s="6"/>
      <c r="C27" s="15"/>
      <c r="D27" s="21" t="s">
        <v>53</v>
      </c>
      <c r="E27" s="20"/>
      <c r="F27" s="20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51"/>
      <c r="R27" s="52"/>
      <c r="S27" s="55"/>
      <c r="T27" s="56"/>
      <c r="U27" s="2"/>
    </row>
    <row r="28" spans="2:21" ht="16.5" thickBot="1" x14ac:dyDescent="0.3">
      <c r="B28" s="9" t="s">
        <v>21</v>
      </c>
      <c r="C28" s="13">
        <f>SUM(C16:C26)</f>
        <v>5199.9999999999991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400</v>
      </c>
      <c r="L28" s="13">
        <v>400</v>
      </c>
      <c r="M28" s="13">
        <v>400</v>
      </c>
      <c r="N28" s="13">
        <v>400</v>
      </c>
      <c r="O28" s="13">
        <v>400</v>
      </c>
      <c r="P28" s="13">
        <v>400</v>
      </c>
      <c r="Q28" s="55"/>
      <c r="R28" s="56"/>
      <c r="S28" s="55"/>
      <c r="T28" s="56"/>
      <c r="U28" s="2"/>
    </row>
    <row r="29" spans="2:21" x14ac:dyDescent="0.25">
      <c r="B29" s="57" t="s">
        <v>22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58"/>
      <c r="R31" s="58"/>
      <c r="S31" s="23"/>
      <c r="T31" s="23"/>
      <c r="U31" s="2"/>
    </row>
    <row r="32" spans="2:21" x14ac:dyDescent="0.25">
      <c r="B32" s="1"/>
      <c r="C32" s="59" t="s">
        <v>23</v>
      </c>
      <c r="D32" s="5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59" t="s">
        <v>24</v>
      </c>
      <c r="Q32" s="59"/>
      <c r="R32" s="59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0"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  <mergeCell ref="Q24:R24"/>
    <mergeCell ref="S24:T24"/>
    <mergeCell ref="Q25:R25"/>
    <mergeCell ref="S25:T25"/>
    <mergeCell ref="Q26:R26"/>
    <mergeCell ref="S26:T26"/>
    <mergeCell ref="Q22:R22"/>
    <mergeCell ref="S22:T22"/>
    <mergeCell ref="Q20:R20"/>
    <mergeCell ref="S20:T20"/>
    <mergeCell ref="Q23:R23"/>
    <mergeCell ref="S23:T23"/>
    <mergeCell ref="Q18:R18"/>
    <mergeCell ref="S18:T18"/>
    <mergeCell ref="Q19:R19"/>
    <mergeCell ref="S19:T19"/>
    <mergeCell ref="Q21:R21"/>
    <mergeCell ref="S21:T21"/>
    <mergeCell ref="Q15:R15"/>
    <mergeCell ref="S15:T15"/>
    <mergeCell ref="Q16:R16"/>
    <mergeCell ref="S16:T16"/>
    <mergeCell ref="Q17:R17"/>
    <mergeCell ref="S17:T17"/>
    <mergeCell ref="B11:B14"/>
    <mergeCell ref="C11:C14"/>
    <mergeCell ref="D11:P13"/>
    <mergeCell ref="Q11:R14"/>
    <mergeCell ref="S11:T12"/>
    <mergeCell ref="S13:T14"/>
    <mergeCell ref="Q7:R7"/>
    <mergeCell ref="S7:T7"/>
    <mergeCell ref="B8:Q8"/>
    <mergeCell ref="R8:S8"/>
    <mergeCell ref="E9:F9"/>
    <mergeCell ref="G9:T10"/>
  </mergeCells>
  <phoneticPr fontId="12" type="noConversion"/>
  <pageMargins left="0.25" right="0.25" top="0.75" bottom="0.75" header="0.3" footer="0.3"/>
  <pageSetup paperSize="9" scale="5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4846B-CF20-4D4E-A64C-C0CBDFA536B1}">
  <sheetPr>
    <pageSetUpPr fitToPage="1"/>
  </sheetPr>
  <dimension ref="B7:U33"/>
  <sheetViews>
    <sheetView workbookViewId="0">
      <selection activeCell="I30" sqref="I30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2" t="s">
        <v>0</v>
      </c>
      <c r="R7" s="22"/>
      <c r="S7" s="23"/>
      <c r="T7" s="23"/>
      <c r="U7" s="2"/>
    </row>
    <row r="8" spans="2:21" x14ac:dyDescent="0.25">
      <c r="B8" s="24" t="s">
        <v>25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3"/>
      <c r="S8" s="23"/>
      <c r="T8" s="1"/>
      <c r="U8" s="1"/>
    </row>
    <row r="9" spans="2:21" ht="15.75" customHeight="1" x14ac:dyDescent="0.25">
      <c r="B9" s="3" t="s">
        <v>1</v>
      </c>
      <c r="C9" s="19">
        <v>46175</v>
      </c>
      <c r="D9" s="1"/>
      <c r="E9" s="25" t="s">
        <v>2</v>
      </c>
      <c r="F9" s="25"/>
      <c r="G9" s="26" t="s">
        <v>67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"/>
    </row>
    <row r="10" spans="2:21" ht="15.75" customHeight="1" thickBot="1" x14ac:dyDescent="0.3">
      <c r="B10" s="1"/>
      <c r="C10" s="14"/>
      <c r="D10" s="1"/>
      <c r="E10" s="1"/>
      <c r="F10" s="1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</row>
    <row r="11" spans="2:21" ht="15" customHeight="1" x14ac:dyDescent="0.25">
      <c r="B11" s="28" t="s">
        <v>3</v>
      </c>
      <c r="C11" s="31" t="s">
        <v>4</v>
      </c>
      <c r="D11" s="34" t="s">
        <v>5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4" t="s">
        <v>6</v>
      </c>
      <c r="R11" s="40"/>
      <c r="S11" s="43" t="s">
        <v>7</v>
      </c>
      <c r="T11" s="44"/>
    </row>
    <row r="12" spans="2:21" x14ac:dyDescent="0.25">
      <c r="B12" s="29"/>
      <c r="C12" s="32"/>
      <c r="D12" s="36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6"/>
      <c r="R12" s="41"/>
      <c r="S12" s="45"/>
      <c r="T12" s="46"/>
    </row>
    <row r="13" spans="2:21" ht="15.75" thickBot="1" x14ac:dyDescent="0.3">
      <c r="B13" s="29"/>
      <c r="C13" s="32"/>
      <c r="D13" s="38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6"/>
      <c r="R13" s="41"/>
      <c r="S13" s="47" t="s">
        <v>8</v>
      </c>
      <c r="T13" s="48"/>
    </row>
    <row r="14" spans="2:21" ht="15.75" thickBot="1" x14ac:dyDescent="0.3">
      <c r="B14" s="30"/>
      <c r="C14" s="33"/>
      <c r="D14" s="4" t="s">
        <v>9</v>
      </c>
      <c r="E14" s="4" t="s">
        <v>10</v>
      </c>
      <c r="F14" s="12" t="s">
        <v>27</v>
      </c>
      <c r="G14" s="12" t="s">
        <v>28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38"/>
      <c r="R14" s="42"/>
      <c r="S14" s="49"/>
      <c r="T14" s="50"/>
      <c r="U14" s="2"/>
    </row>
    <row r="15" spans="2:21" ht="15.75" thickBot="1" x14ac:dyDescent="0.3">
      <c r="B15" s="5"/>
      <c r="C15" s="18" t="s">
        <v>20</v>
      </c>
      <c r="D15" s="11">
        <v>0.4236111111111111</v>
      </c>
      <c r="E15" s="11">
        <v>0.4375</v>
      </c>
      <c r="F15" s="11">
        <v>0.45138888888888901</v>
      </c>
      <c r="G15" s="11">
        <v>0.46527777777777801</v>
      </c>
      <c r="H15" s="11">
        <v>0.47916666666666702</v>
      </c>
      <c r="I15" s="11">
        <v>0.49305555555555602</v>
      </c>
      <c r="J15" s="11">
        <v>0.50694444444444497</v>
      </c>
      <c r="K15" s="11">
        <v>0.56944444444444442</v>
      </c>
      <c r="L15" s="11">
        <v>0.58333333333333337</v>
      </c>
      <c r="M15" s="11">
        <v>0.59722222222222199</v>
      </c>
      <c r="N15" s="11">
        <v>0.61111111111111105</v>
      </c>
      <c r="O15" s="11">
        <v>0.625</v>
      </c>
      <c r="P15" s="11">
        <v>0.63888888888888895</v>
      </c>
      <c r="Q15" s="51" t="s">
        <v>46</v>
      </c>
      <c r="R15" s="52"/>
      <c r="S15" s="53"/>
      <c r="T15" s="54"/>
      <c r="U15" s="2"/>
    </row>
    <row r="16" spans="2:21" ht="26.25" thickBot="1" x14ac:dyDescent="0.3">
      <c r="B16" s="6" t="s">
        <v>30</v>
      </c>
      <c r="C16" s="15">
        <v>668.2</v>
      </c>
      <c r="D16" s="20" t="s">
        <v>73</v>
      </c>
      <c r="E16" s="20" t="s">
        <v>73</v>
      </c>
      <c r="F16" s="20" t="s">
        <v>73</v>
      </c>
      <c r="G16" s="20" t="s">
        <v>73</v>
      </c>
      <c r="H16" s="20" t="s">
        <v>73</v>
      </c>
      <c r="I16" s="20" t="s">
        <v>73</v>
      </c>
      <c r="J16" s="20" t="s">
        <v>73</v>
      </c>
      <c r="K16" s="20" t="s">
        <v>73</v>
      </c>
      <c r="L16" s="20" t="s">
        <v>73</v>
      </c>
      <c r="M16" s="20" t="s">
        <v>73</v>
      </c>
      <c r="N16" s="20" t="s">
        <v>73</v>
      </c>
      <c r="O16" s="20" t="s">
        <v>73</v>
      </c>
      <c r="P16" s="20" t="s">
        <v>73</v>
      </c>
      <c r="Q16" s="51" t="s">
        <v>46</v>
      </c>
      <c r="R16" s="52"/>
      <c r="S16" s="55"/>
      <c r="T16" s="56"/>
      <c r="U16" s="2"/>
    </row>
    <row r="17" spans="2:21" ht="26.25" thickBot="1" x14ac:dyDescent="0.3">
      <c r="B17" s="6" t="s">
        <v>31</v>
      </c>
      <c r="C17" s="15">
        <v>1125.28</v>
      </c>
      <c r="D17" s="20" t="s">
        <v>74</v>
      </c>
      <c r="E17" s="20" t="s">
        <v>74</v>
      </c>
      <c r="F17" s="20" t="s">
        <v>74</v>
      </c>
      <c r="G17" s="20" t="s">
        <v>74</v>
      </c>
      <c r="H17" s="20" t="s">
        <v>74</v>
      </c>
      <c r="I17" s="20" t="s">
        <v>74</v>
      </c>
      <c r="J17" s="20" t="s">
        <v>74</v>
      </c>
      <c r="K17" s="20" t="s">
        <v>74</v>
      </c>
      <c r="L17" s="20" t="s">
        <v>74</v>
      </c>
      <c r="M17" s="20" t="s">
        <v>74</v>
      </c>
      <c r="N17" s="20" t="s">
        <v>74</v>
      </c>
      <c r="O17" s="20" t="s">
        <v>74</v>
      </c>
      <c r="P17" s="20" t="s">
        <v>74</v>
      </c>
      <c r="Q17" s="51" t="s">
        <v>46</v>
      </c>
      <c r="R17" s="52"/>
      <c r="S17" s="55"/>
      <c r="T17" s="56"/>
      <c r="U17" s="2"/>
    </row>
    <row r="18" spans="2:21" ht="26.25" thickBot="1" x14ac:dyDescent="0.3">
      <c r="B18" s="6" t="s">
        <v>32</v>
      </c>
      <c r="C18" s="15">
        <v>1734.2</v>
      </c>
      <c r="D18" s="20" t="s">
        <v>76</v>
      </c>
      <c r="E18" s="20" t="s">
        <v>76</v>
      </c>
      <c r="F18" s="20" t="s">
        <v>76</v>
      </c>
      <c r="G18" s="20" t="s">
        <v>76</v>
      </c>
      <c r="H18" s="20" t="s">
        <v>76</v>
      </c>
      <c r="I18" s="20" t="s">
        <v>76</v>
      </c>
      <c r="J18" s="20" t="s">
        <v>76</v>
      </c>
      <c r="K18" s="20" t="s">
        <v>76</v>
      </c>
      <c r="L18" s="20" t="s">
        <v>76</v>
      </c>
      <c r="M18" s="20" t="s">
        <v>76</v>
      </c>
      <c r="N18" s="20" t="s">
        <v>76</v>
      </c>
      <c r="O18" s="20" t="s">
        <v>76</v>
      </c>
      <c r="P18" s="20" t="s">
        <v>76</v>
      </c>
      <c r="Q18" s="51" t="s">
        <v>46</v>
      </c>
      <c r="R18" s="52"/>
      <c r="S18" s="55"/>
      <c r="T18" s="56"/>
      <c r="U18" s="2"/>
    </row>
    <row r="19" spans="2:21" ht="26.25" thickBot="1" x14ac:dyDescent="0.3">
      <c r="B19" s="6" t="s">
        <v>68</v>
      </c>
      <c r="C19" s="15">
        <v>46.8</v>
      </c>
      <c r="D19" s="20" t="s">
        <v>77</v>
      </c>
      <c r="E19" s="20" t="s">
        <v>77</v>
      </c>
      <c r="F19" s="20" t="s">
        <v>77</v>
      </c>
      <c r="G19" s="20" t="s">
        <v>77</v>
      </c>
      <c r="H19" s="20" t="s">
        <v>77</v>
      </c>
      <c r="I19" s="20" t="s">
        <v>77</v>
      </c>
      <c r="J19" s="20" t="s">
        <v>77</v>
      </c>
      <c r="K19" s="20" t="s">
        <v>77</v>
      </c>
      <c r="L19" s="20" t="s">
        <v>77</v>
      </c>
      <c r="M19" s="20" t="s">
        <v>77</v>
      </c>
      <c r="N19" s="20" t="s">
        <v>77</v>
      </c>
      <c r="O19" s="20" t="s">
        <v>77</v>
      </c>
      <c r="P19" s="20" t="s">
        <v>77</v>
      </c>
      <c r="Q19" s="51" t="s">
        <v>46</v>
      </c>
      <c r="R19" s="52"/>
      <c r="S19" s="55"/>
      <c r="T19" s="56"/>
      <c r="U19" s="2"/>
    </row>
    <row r="20" spans="2:21" ht="26.25" thickBot="1" x14ac:dyDescent="0.3">
      <c r="B20" s="6" t="s">
        <v>33</v>
      </c>
      <c r="C20" s="15">
        <v>656.24</v>
      </c>
      <c r="D20" s="20" t="s">
        <v>75</v>
      </c>
      <c r="E20" s="20" t="s">
        <v>75</v>
      </c>
      <c r="F20" s="20" t="s">
        <v>75</v>
      </c>
      <c r="G20" s="20" t="s">
        <v>75</v>
      </c>
      <c r="H20" s="20" t="s">
        <v>75</v>
      </c>
      <c r="I20" s="20" t="s">
        <v>75</v>
      </c>
      <c r="J20" s="20" t="s">
        <v>75</v>
      </c>
      <c r="K20" s="20" t="s">
        <v>75</v>
      </c>
      <c r="L20" s="20" t="s">
        <v>75</v>
      </c>
      <c r="M20" s="20" t="s">
        <v>75</v>
      </c>
      <c r="N20" s="20" t="s">
        <v>75</v>
      </c>
      <c r="O20" s="20" t="s">
        <v>75</v>
      </c>
      <c r="P20" s="20" t="s">
        <v>75</v>
      </c>
      <c r="Q20" s="51" t="s">
        <v>46</v>
      </c>
      <c r="R20" s="52"/>
      <c r="S20" s="55"/>
      <c r="T20" s="56"/>
      <c r="U20" s="2"/>
    </row>
    <row r="21" spans="2:21" ht="26.25" thickBot="1" x14ac:dyDescent="0.3">
      <c r="B21" s="6" t="s">
        <v>69</v>
      </c>
      <c r="C21" s="15">
        <v>609.44000000000005</v>
      </c>
      <c r="D21" s="20" t="s">
        <v>78</v>
      </c>
      <c r="E21" s="20" t="s">
        <v>78</v>
      </c>
      <c r="F21" s="20" t="s">
        <v>78</v>
      </c>
      <c r="G21" s="20" t="s">
        <v>78</v>
      </c>
      <c r="H21" s="20" t="s">
        <v>78</v>
      </c>
      <c r="I21" s="20" t="s">
        <v>78</v>
      </c>
      <c r="J21" s="20" t="s">
        <v>78</v>
      </c>
      <c r="K21" s="20" t="s">
        <v>78</v>
      </c>
      <c r="L21" s="20" t="s">
        <v>78</v>
      </c>
      <c r="M21" s="20" t="s">
        <v>78</v>
      </c>
      <c r="N21" s="20" t="s">
        <v>78</v>
      </c>
      <c r="O21" s="20" t="s">
        <v>78</v>
      </c>
      <c r="P21" s="20" t="s">
        <v>78</v>
      </c>
      <c r="Q21" s="51" t="s">
        <v>46</v>
      </c>
      <c r="R21" s="52"/>
      <c r="S21" s="55"/>
      <c r="T21" s="56"/>
      <c r="U21" s="2"/>
    </row>
    <row r="22" spans="2:21" ht="26.25" thickBot="1" x14ac:dyDescent="0.3">
      <c r="B22" s="6" t="s">
        <v>70</v>
      </c>
      <c r="C22" s="15">
        <v>74.88</v>
      </c>
      <c r="D22" s="20" t="s">
        <v>79</v>
      </c>
      <c r="E22" s="20" t="s">
        <v>79</v>
      </c>
      <c r="F22" s="20" t="s">
        <v>79</v>
      </c>
      <c r="G22" s="20" t="s">
        <v>79</v>
      </c>
      <c r="H22" s="20" t="s">
        <v>79</v>
      </c>
      <c r="I22" s="20" t="s">
        <v>79</v>
      </c>
      <c r="J22" s="20" t="s">
        <v>79</v>
      </c>
      <c r="K22" s="20" t="s">
        <v>79</v>
      </c>
      <c r="L22" s="20" t="s">
        <v>79</v>
      </c>
      <c r="M22" s="20" t="s">
        <v>79</v>
      </c>
      <c r="N22" s="20" t="s">
        <v>79</v>
      </c>
      <c r="O22" s="20" t="s">
        <v>79</v>
      </c>
      <c r="P22" s="20" t="s">
        <v>79</v>
      </c>
      <c r="Q22" s="51" t="s">
        <v>46</v>
      </c>
      <c r="R22" s="52"/>
      <c r="S22" s="55"/>
      <c r="T22" s="56"/>
      <c r="U22" s="2"/>
    </row>
    <row r="23" spans="2:21" ht="26.25" thickBot="1" x14ac:dyDescent="0.3">
      <c r="B23" s="6" t="s">
        <v>71</v>
      </c>
      <c r="C23" s="15">
        <v>37.44</v>
      </c>
      <c r="D23" s="20" t="s">
        <v>80</v>
      </c>
      <c r="E23" s="20" t="s">
        <v>80</v>
      </c>
      <c r="F23" s="20" t="s">
        <v>80</v>
      </c>
      <c r="G23" s="20" t="s">
        <v>80</v>
      </c>
      <c r="H23" s="20" t="s">
        <v>80</v>
      </c>
      <c r="I23" s="20" t="s">
        <v>80</v>
      </c>
      <c r="J23" s="20" t="s">
        <v>80</v>
      </c>
      <c r="K23" s="20" t="s">
        <v>80</v>
      </c>
      <c r="L23" s="20" t="s">
        <v>80</v>
      </c>
      <c r="M23" s="20" t="s">
        <v>80</v>
      </c>
      <c r="N23" s="20" t="s">
        <v>80</v>
      </c>
      <c r="O23" s="20" t="s">
        <v>80</v>
      </c>
      <c r="P23" s="20" t="s">
        <v>80</v>
      </c>
      <c r="Q23" s="51" t="s">
        <v>46</v>
      </c>
      <c r="R23" s="52"/>
      <c r="S23" s="55"/>
      <c r="T23" s="56"/>
      <c r="U23" s="2"/>
    </row>
    <row r="24" spans="2:21" ht="26.25" thickBot="1" x14ac:dyDescent="0.3">
      <c r="B24" s="6" t="s">
        <v>72</v>
      </c>
      <c r="C24" s="15">
        <v>37.44</v>
      </c>
      <c r="D24" s="20" t="s">
        <v>81</v>
      </c>
      <c r="E24" s="20" t="s">
        <v>81</v>
      </c>
      <c r="F24" s="20" t="s">
        <v>81</v>
      </c>
      <c r="G24" s="20" t="s">
        <v>81</v>
      </c>
      <c r="H24" s="20" t="s">
        <v>81</v>
      </c>
      <c r="I24" s="20" t="s">
        <v>81</v>
      </c>
      <c r="J24" s="20" t="s">
        <v>81</v>
      </c>
      <c r="K24" s="20" t="s">
        <v>81</v>
      </c>
      <c r="L24" s="20" t="s">
        <v>81</v>
      </c>
      <c r="M24" s="20" t="s">
        <v>81</v>
      </c>
      <c r="N24" s="20" t="s">
        <v>81</v>
      </c>
      <c r="O24" s="20" t="s">
        <v>81</v>
      </c>
      <c r="P24" s="20" t="s">
        <v>81</v>
      </c>
      <c r="Q24" s="51" t="s">
        <v>46</v>
      </c>
      <c r="R24" s="52"/>
      <c r="S24" s="55"/>
      <c r="T24" s="56"/>
      <c r="U24" s="2"/>
    </row>
    <row r="25" spans="2:21" ht="26.25" thickBot="1" x14ac:dyDescent="0.3">
      <c r="B25" s="6" t="s">
        <v>36</v>
      </c>
      <c r="C25" s="15">
        <v>198.64</v>
      </c>
      <c r="D25" s="20" t="s">
        <v>82</v>
      </c>
      <c r="E25" s="20" t="s">
        <v>82</v>
      </c>
      <c r="F25" s="20" t="s">
        <v>82</v>
      </c>
      <c r="G25" s="20" t="s">
        <v>82</v>
      </c>
      <c r="H25" s="20" t="s">
        <v>82</v>
      </c>
      <c r="I25" s="20" t="s">
        <v>82</v>
      </c>
      <c r="J25" s="20" t="s">
        <v>82</v>
      </c>
      <c r="K25" s="20" t="s">
        <v>82</v>
      </c>
      <c r="L25" s="20" t="s">
        <v>82</v>
      </c>
      <c r="M25" s="20" t="s">
        <v>82</v>
      </c>
      <c r="N25" s="20" t="s">
        <v>82</v>
      </c>
      <c r="O25" s="20" t="s">
        <v>82</v>
      </c>
      <c r="P25" s="20" t="s">
        <v>82</v>
      </c>
      <c r="Q25" s="51" t="s">
        <v>46</v>
      </c>
      <c r="R25" s="52"/>
      <c r="S25" s="55"/>
      <c r="T25" s="56"/>
      <c r="U25" s="2"/>
    </row>
    <row r="26" spans="2:21" ht="26.25" thickBot="1" x14ac:dyDescent="0.3">
      <c r="B26" s="6" t="s">
        <v>37</v>
      </c>
      <c r="C26" s="15">
        <v>11.44</v>
      </c>
      <c r="D26" s="20" t="s">
        <v>83</v>
      </c>
      <c r="E26" s="20" t="s">
        <v>83</v>
      </c>
      <c r="F26" s="20" t="s">
        <v>83</v>
      </c>
      <c r="G26" s="20" t="s">
        <v>83</v>
      </c>
      <c r="H26" s="20" t="s">
        <v>83</v>
      </c>
      <c r="I26" s="20" t="s">
        <v>83</v>
      </c>
      <c r="J26" s="20" t="s">
        <v>83</v>
      </c>
      <c r="K26" s="20" t="s">
        <v>83</v>
      </c>
      <c r="L26" s="20" t="s">
        <v>83</v>
      </c>
      <c r="M26" s="20" t="s">
        <v>83</v>
      </c>
      <c r="N26" s="20" t="s">
        <v>83</v>
      </c>
      <c r="O26" s="20" t="s">
        <v>83</v>
      </c>
      <c r="P26" s="20" t="s">
        <v>83</v>
      </c>
      <c r="Q26" s="51" t="s">
        <v>46</v>
      </c>
      <c r="R26" s="52"/>
      <c r="S26" s="55"/>
      <c r="T26" s="56"/>
      <c r="U26" s="2"/>
    </row>
    <row r="27" spans="2:21" ht="26.25" thickBot="1" x14ac:dyDescent="0.3">
      <c r="B27" s="6"/>
      <c r="C27" s="15"/>
      <c r="D27" s="21" t="s">
        <v>53</v>
      </c>
      <c r="E27" s="20"/>
      <c r="F27" s="20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51"/>
      <c r="R27" s="52"/>
      <c r="S27" s="55"/>
      <c r="T27" s="56"/>
      <c r="U27" s="2"/>
    </row>
    <row r="28" spans="2:21" ht="16.5" thickBot="1" x14ac:dyDescent="0.3">
      <c r="B28" s="9" t="s">
        <v>21</v>
      </c>
      <c r="C28" s="13">
        <f>SUM(C16:C26)</f>
        <v>5199.9999999999991</v>
      </c>
      <c r="D28" s="13">
        <v>400</v>
      </c>
      <c r="E28" s="13">
        <v>400</v>
      </c>
      <c r="F28" s="13">
        <v>400</v>
      </c>
      <c r="G28" s="13">
        <v>400</v>
      </c>
      <c r="H28" s="13">
        <v>400</v>
      </c>
      <c r="I28" s="13">
        <v>400</v>
      </c>
      <c r="J28" s="13">
        <v>400</v>
      </c>
      <c r="K28" s="13">
        <v>400</v>
      </c>
      <c r="L28" s="13">
        <v>400</v>
      </c>
      <c r="M28" s="13">
        <v>400</v>
      </c>
      <c r="N28" s="13">
        <v>400</v>
      </c>
      <c r="O28" s="13">
        <v>400</v>
      </c>
      <c r="P28" s="13">
        <v>400</v>
      </c>
      <c r="Q28" s="55"/>
      <c r="R28" s="56"/>
      <c r="S28" s="55"/>
      <c r="T28" s="56"/>
      <c r="U28" s="2"/>
    </row>
    <row r="29" spans="2:21" x14ac:dyDescent="0.25">
      <c r="B29" s="57" t="s">
        <v>22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58"/>
      <c r="R31" s="58"/>
      <c r="S31" s="23"/>
      <c r="T31" s="23"/>
      <c r="U31" s="2"/>
    </row>
    <row r="32" spans="2:21" x14ac:dyDescent="0.25">
      <c r="B32" s="1"/>
      <c r="C32" s="59" t="s">
        <v>23</v>
      </c>
      <c r="D32" s="5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59" t="s">
        <v>24</v>
      </c>
      <c r="Q32" s="59"/>
      <c r="R32" s="59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0"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  <mergeCell ref="Q24:R24"/>
    <mergeCell ref="S24:T24"/>
    <mergeCell ref="Q25:R25"/>
    <mergeCell ref="S25:T25"/>
    <mergeCell ref="Q26:R26"/>
    <mergeCell ref="S26:T26"/>
    <mergeCell ref="Q21:R21"/>
    <mergeCell ref="S21:T21"/>
    <mergeCell ref="Q22:R22"/>
    <mergeCell ref="S22:T22"/>
    <mergeCell ref="Q23:R23"/>
    <mergeCell ref="S23:T23"/>
    <mergeCell ref="Q18:R18"/>
    <mergeCell ref="S18:T18"/>
    <mergeCell ref="Q19:R19"/>
    <mergeCell ref="S19:T19"/>
    <mergeCell ref="Q20:R20"/>
    <mergeCell ref="S20:T20"/>
    <mergeCell ref="Q15:R15"/>
    <mergeCell ref="S15:T15"/>
    <mergeCell ref="Q16:R16"/>
    <mergeCell ref="S16:T16"/>
    <mergeCell ref="Q17:R17"/>
    <mergeCell ref="S17:T17"/>
    <mergeCell ref="B11:B14"/>
    <mergeCell ref="C11:C14"/>
    <mergeCell ref="D11:P13"/>
    <mergeCell ref="Q11:R14"/>
    <mergeCell ref="S11:T12"/>
    <mergeCell ref="S13:T14"/>
    <mergeCell ref="Q7:R7"/>
    <mergeCell ref="S7:T7"/>
    <mergeCell ref="B8:Q8"/>
    <mergeCell ref="R8:S8"/>
    <mergeCell ref="E9:F9"/>
    <mergeCell ref="G9:T10"/>
  </mergeCells>
  <pageMargins left="0.25" right="0.25" top="0.75" bottom="0.75" header="0.3" footer="0.3"/>
  <pageSetup paperSize="9" scale="5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13DFC-037A-42BF-9345-F93CC1AB3B28}">
  <sheetPr>
    <pageSetUpPr fitToPage="1"/>
  </sheetPr>
  <dimension ref="B7:U33"/>
  <sheetViews>
    <sheetView topLeftCell="A7" workbookViewId="0">
      <selection activeCell="I30" sqref="I30"/>
    </sheetView>
  </sheetViews>
  <sheetFormatPr baseColWidth="10" defaultRowHeight="15" x14ac:dyDescent="0.25"/>
  <cols>
    <col min="2" max="2" width="21.7109375" customWidth="1"/>
    <col min="3" max="3" width="11.42578125" style="17"/>
  </cols>
  <sheetData>
    <row r="7" spans="2:21" x14ac:dyDescent="0.25">
      <c r="B7" s="1"/>
      <c r="C7" s="1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2" t="s">
        <v>0</v>
      </c>
      <c r="R7" s="22"/>
      <c r="S7" s="23"/>
      <c r="T7" s="23"/>
      <c r="U7" s="2"/>
    </row>
    <row r="8" spans="2:21" x14ac:dyDescent="0.25">
      <c r="B8" s="24" t="s">
        <v>25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3"/>
      <c r="S8" s="23"/>
      <c r="T8" s="1"/>
      <c r="U8" s="1"/>
    </row>
    <row r="9" spans="2:21" ht="15.75" customHeight="1" x14ac:dyDescent="0.25">
      <c r="B9" s="3" t="s">
        <v>1</v>
      </c>
      <c r="C9" s="19">
        <v>46175</v>
      </c>
      <c r="D9" s="1"/>
      <c r="E9" s="25" t="s">
        <v>2</v>
      </c>
      <c r="F9" s="25"/>
      <c r="G9" s="26" t="s">
        <v>67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"/>
    </row>
    <row r="10" spans="2:21" ht="15.75" customHeight="1" thickBot="1" x14ac:dyDescent="0.3">
      <c r="B10" s="1"/>
      <c r="C10" s="14"/>
      <c r="D10" s="1"/>
      <c r="E10" s="1"/>
      <c r="F10" s="1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</row>
    <row r="11" spans="2:21" ht="15" customHeight="1" x14ac:dyDescent="0.25">
      <c r="B11" s="28" t="s">
        <v>3</v>
      </c>
      <c r="C11" s="31" t="s">
        <v>4</v>
      </c>
      <c r="D11" s="34" t="s">
        <v>5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4" t="s">
        <v>6</v>
      </c>
      <c r="R11" s="40"/>
      <c r="S11" s="43" t="s">
        <v>7</v>
      </c>
      <c r="T11" s="44"/>
    </row>
    <row r="12" spans="2:21" x14ac:dyDescent="0.25">
      <c r="B12" s="29"/>
      <c r="C12" s="32"/>
      <c r="D12" s="36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6"/>
      <c r="R12" s="41"/>
      <c r="S12" s="45"/>
      <c r="T12" s="46"/>
    </row>
    <row r="13" spans="2:21" ht="15.75" thickBot="1" x14ac:dyDescent="0.3">
      <c r="B13" s="29"/>
      <c r="C13" s="32"/>
      <c r="D13" s="38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6"/>
      <c r="R13" s="41"/>
      <c r="S13" s="47" t="s">
        <v>8</v>
      </c>
      <c r="T13" s="48"/>
    </row>
    <row r="14" spans="2:21" ht="15.75" thickBot="1" x14ac:dyDescent="0.3">
      <c r="B14" s="30"/>
      <c r="C14" s="33"/>
      <c r="D14" s="4" t="s">
        <v>9</v>
      </c>
      <c r="E14" s="4" t="s">
        <v>10</v>
      </c>
      <c r="F14" s="12" t="s">
        <v>27</v>
      </c>
      <c r="G14" s="12" t="s">
        <v>28</v>
      </c>
      <c r="H14" s="4" t="s">
        <v>11</v>
      </c>
      <c r="I14" s="4" t="s">
        <v>12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38"/>
      <c r="R14" s="42"/>
      <c r="S14" s="49"/>
      <c r="T14" s="50"/>
      <c r="U14" s="2"/>
    </row>
    <row r="15" spans="2:21" ht="15.75" thickBot="1" x14ac:dyDescent="0.3">
      <c r="B15" s="5"/>
      <c r="C15" s="18" t="s">
        <v>20</v>
      </c>
      <c r="D15" s="11">
        <v>0.64930555555555558</v>
      </c>
      <c r="E15" s="11">
        <v>0.66319444444444442</v>
      </c>
      <c r="F15" s="11">
        <v>0.67708333333333304</v>
      </c>
      <c r="G15" s="11">
        <v>0.69097222222222199</v>
      </c>
      <c r="H15" s="11"/>
      <c r="I15" s="11"/>
      <c r="J15" s="11"/>
      <c r="K15" s="11"/>
      <c r="L15" s="11"/>
      <c r="M15" s="11"/>
      <c r="N15" s="11"/>
      <c r="O15" s="11"/>
      <c r="P15" s="11"/>
      <c r="Q15" s="51" t="s">
        <v>29</v>
      </c>
      <c r="R15" s="52"/>
      <c r="S15" s="53"/>
      <c r="T15" s="54"/>
      <c r="U15" s="2"/>
    </row>
    <row r="16" spans="2:21" ht="26.25" thickBot="1" x14ac:dyDescent="0.3">
      <c r="B16" s="6" t="s">
        <v>30</v>
      </c>
      <c r="C16" s="15">
        <v>195.08</v>
      </c>
      <c r="D16" s="20" t="s">
        <v>73</v>
      </c>
      <c r="E16" s="20" t="s">
        <v>73</v>
      </c>
      <c r="F16" s="20" t="s">
        <v>73</v>
      </c>
      <c r="G16" s="20" t="s">
        <v>84</v>
      </c>
      <c r="H16" s="20"/>
      <c r="I16" s="20"/>
      <c r="J16" s="20"/>
      <c r="K16" s="20"/>
      <c r="L16" s="20"/>
      <c r="M16" s="20"/>
      <c r="N16" s="20"/>
      <c r="O16" s="20"/>
      <c r="P16" s="20"/>
      <c r="Q16" s="51" t="s">
        <v>29</v>
      </c>
      <c r="R16" s="52"/>
      <c r="S16" s="55"/>
      <c r="T16" s="56"/>
      <c r="U16" s="2"/>
    </row>
    <row r="17" spans="2:21" ht="26.25" thickBot="1" x14ac:dyDescent="0.3">
      <c r="B17" s="6" t="s">
        <v>31</v>
      </c>
      <c r="C17" s="15">
        <v>328.53</v>
      </c>
      <c r="D17" s="20" t="s">
        <v>74</v>
      </c>
      <c r="E17" s="20" t="s">
        <v>74</v>
      </c>
      <c r="F17" s="20" t="s">
        <v>74</v>
      </c>
      <c r="G17" s="20" t="s">
        <v>85</v>
      </c>
      <c r="H17" s="20"/>
      <c r="I17" s="20"/>
      <c r="J17" s="20"/>
      <c r="K17" s="20"/>
      <c r="L17" s="20"/>
      <c r="M17" s="20"/>
      <c r="N17" s="20"/>
      <c r="O17" s="20"/>
      <c r="P17" s="20"/>
      <c r="Q17" s="51" t="s">
        <v>29</v>
      </c>
      <c r="R17" s="52"/>
      <c r="S17" s="55"/>
      <c r="T17" s="56"/>
      <c r="U17" s="2"/>
    </row>
    <row r="18" spans="2:21" ht="26.25" thickBot="1" x14ac:dyDescent="0.3">
      <c r="B18" s="6" t="s">
        <v>32</v>
      </c>
      <c r="C18" s="15">
        <v>506.31</v>
      </c>
      <c r="D18" s="20" t="s">
        <v>76</v>
      </c>
      <c r="E18" s="20" t="s">
        <v>76</v>
      </c>
      <c r="F18" s="20" t="s">
        <v>76</v>
      </c>
      <c r="G18" s="20" t="s">
        <v>86</v>
      </c>
      <c r="H18" s="20"/>
      <c r="I18" s="20"/>
      <c r="J18" s="20"/>
      <c r="K18" s="20"/>
      <c r="L18" s="20"/>
      <c r="M18" s="20"/>
      <c r="N18" s="20"/>
      <c r="O18" s="20"/>
      <c r="P18" s="20"/>
      <c r="Q18" s="51" t="s">
        <v>29</v>
      </c>
      <c r="R18" s="52"/>
      <c r="S18" s="55"/>
      <c r="T18" s="56"/>
      <c r="U18" s="2"/>
    </row>
    <row r="19" spans="2:21" ht="26.25" thickBot="1" x14ac:dyDescent="0.3">
      <c r="B19" s="6" t="s">
        <v>68</v>
      </c>
      <c r="C19" s="15">
        <v>13.66</v>
      </c>
      <c r="D19" s="20" t="s">
        <v>77</v>
      </c>
      <c r="E19" s="20" t="s">
        <v>77</v>
      </c>
      <c r="F19" s="20" t="s">
        <v>77</v>
      </c>
      <c r="G19" s="20" t="s">
        <v>87</v>
      </c>
      <c r="H19" s="20"/>
      <c r="I19" s="20"/>
      <c r="J19" s="20"/>
      <c r="K19" s="20"/>
      <c r="L19" s="20"/>
      <c r="M19" s="20"/>
      <c r="N19" s="20"/>
      <c r="O19" s="20"/>
      <c r="P19" s="20"/>
      <c r="Q19" s="51" t="s">
        <v>29</v>
      </c>
      <c r="R19" s="52"/>
      <c r="S19" s="55"/>
      <c r="T19" s="56"/>
      <c r="U19" s="2"/>
    </row>
    <row r="20" spans="2:21" ht="26.25" thickBot="1" x14ac:dyDescent="0.3">
      <c r="B20" s="6" t="s">
        <v>33</v>
      </c>
      <c r="C20" s="15">
        <v>191.59</v>
      </c>
      <c r="D20" s="20" t="s">
        <v>75</v>
      </c>
      <c r="E20" s="20" t="s">
        <v>75</v>
      </c>
      <c r="F20" s="20" t="s">
        <v>75</v>
      </c>
      <c r="G20" s="20" t="s">
        <v>88</v>
      </c>
      <c r="H20" s="20"/>
      <c r="I20" s="20"/>
      <c r="J20" s="20"/>
      <c r="K20" s="20"/>
      <c r="L20" s="20"/>
      <c r="M20" s="20"/>
      <c r="N20" s="20"/>
      <c r="O20" s="20"/>
      <c r="P20" s="20"/>
      <c r="Q20" s="51" t="s">
        <v>29</v>
      </c>
      <c r="R20" s="52"/>
      <c r="S20" s="55"/>
      <c r="T20" s="56"/>
      <c r="U20" s="2"/>
    </row>
    <row r="21" spans="2:21" ht="26.25" thickBot="1" x14ac:dyDescent="0.3">
      <c r="B21" s="6" t="s">
        <v>69</v>
      </c>
      <c r="C21" s="15">
        <v>177.93</v>
      </c>
      <c r="D21" s="20" t="s">
        <v>78</v>
      </c>
      <c r="E21" s="20" t="s">
        <v>78</v>
      </c>
      <c r="F21" s="20" t="s">
        <v>78</v>
      </c>
      <c r="G21" s="20" t="s">
        <v>89</v>
      </c>
      <c r="H21" s="20"/>
      <c r="I21" s="20"/>
      <c r="J21" s="20"/>
      <c r="K21" s="20"/>
      <c r="L21" s="20"/>
      <c r="M21" s="20"/>
      <c r="N21" s="20"/>
      <c r="O21" s="20"/>
      <c r="P21" s="20"/>
      <c r="Q21" s="51" t="s">
        <v>29</v>
      </c>
      <c r="R21" s="52"/>
      <c r="S21" s="55"/>
      <c r="T21" s="56"/>
      <c r="U21" s="2"/>
    </row>
    <row r="22" spans="2:21" ht="26.25" thickBot="1" x14ac:dyDescent="0.3">
      <c r="B22" s="6" t="s">
        <v>70</v>
      </c>
      <c r="C22" s="15">
        <v>21.86</v>
      </c>
      <c r="D22" s="20" t="s">
        <v>79</v>
      </c>
      <c r="E22" s="20" t="s">
        <v>79</v>
      </c>
      <c r="F22" s="20" t="s">
        <v>79</v>
      </c>
      <c r="G22" s="20" t="s">
        <v>90</v>
      </c>
      <c r="H22" s="20"/>
      <c r="I22" s="20"/>
      <c r="J22" s="20"/>
      <c r="K22" s="20"/>
      <c r="L22" s="20"/>
      <c r="M22" s="20"/>
      <c r="N22" s="20"/>
      <c r="O22" s="20"/>
      <c r="P22" s="20"/>
      <c r="Q22" s="51" t="s">
        <v>29</v>
      </c>
      <c r="R22" s="52"/>
      <c r="S22" s="55"/>
      <c r="T22" s="56"/>
      <c r="U22" s="2"/>
    </row>
    <row r="23" spans="2:21" ht="26.25" thickBot="1" x14ac:dyDescent="0.3">
      <c r="B23" s="6" t="s">
        <v>71</v>
      </c>
      <c r="C23" s="15">
        <v>10.93</v>
      </c>
      <c r="D23" s="20" t="s">
        <v>80</v>
      </c>
      <c r="E23" s="20" t="s">
        <v>80</v>
      </c>
      <c r="F23" s="20" t="s">
        <v>80</v>
      </c>
      <c r="G23" s="20" t="s">
        <v>91</v>
      </c>
      <c r="H23" s="20"/>
      <c r="I23" s="20"/>
      <c r="J23" s="20"/>
      <c r="K23" s="20"/>
      <c r="L23" s="20"/>
      <c r="M23" s="20"/>
      <c r="N23" s="20"/>
      <c r="O23" s="20"/>
      <c r="P23" s="20"/>
      <c r="Q23" s="51" t="s">
        <v>29</v>
      </c>
      <c r="R23" s="52"/>
      <c r="S23" s="55"/>
      <c r="T23" s="56"/>
      <c r="U23" s="2"/>
    </row>
    <row r="24" spans="2:21" ht="26.25" thickBot="1" x14ac:dyDescent="0.3">
      <c r="B24" s="6" t="s">
        <v>72</v>
      </c>
      <c r="C24" s="15">
        <v>10.93</v>
      </c>
      <c r="D24" s="20" t="s">
        <v>81</v>
      </c>
      <c r="E24" s="20" t="s">
        <v>81</v>
      </c>
      <c r="F24" s="20" t="s">
        <v>81</v>
      </c>
      <c r="G24" s="20" t="s">
        <v>92</v>
      </c>
      <c r="H24" s="20"/>
      <c r="I24" s="20"/>
      <c r="J24" s="20"/>
      <c r="K24" s="20"/>
      <c r="L24" s="20"/>
      <c r="M24" s="20"/>
      <c r="N24" s="20"/>
      <c r="O24" s="20"/>
      <c r="P24" s="20"/>
      <c r="Q24" s="51" t="s">
        <v>29</v>
      </c>
      <c r="R24" s="52"/>
      <c r="S24" s="55"/>
      <c r="T24" s="56"/>
      <c r="U24" s="2"/>
    </row>
    <row r="25" spans="2:21" ht="26.25" thickBot="1" x14ac:dyDescent="0.3">
      <c r="B25" s="6" t="s">
        <v>36</v>
      </c>
      <c r="C25" s="15">
        <v>57.99</v>
      </c>
      <c r="D25" s="20" t="s">
        <v>82</v>
      </c>
      <c r="E25" s="20" t="s">
        <v>82</v>
      </c>
      <c r="F25" s="20" t="s">
        <v>82</v>
      </c>
      <c r="G25" s="20" t="s">
        <v>93</v>
      </c>
      <c r="H25" s="20"/>
      <c r="I25" s="20"/>
      <c r="J25" s="20"/>
      <c r="K25" s="20"/>
      <c r="L25" s="20"/>
      <c r="M25" s="20"/>
      <c r="N25" s="20"/>
      <c r="O25" s="20"/>
      <c r="P25" s="20"/>
      <c r="Q25" s="51" t="s">
        <v>29</v>
      </c>
      <c r="R25" s="52"/>
      <c r="S25" s="55"/>
      <c r="T25" s="56"/>
      <c r="U25" s="2"/>
    </row>
    <row r="26" spans="2:21" ht="26.25" thickBot="1" x14ac:dyDescent="0.3">
      <c r="B26" s="6" t="s">
        <v>37</v>
      </c>
      <c r="C26" s="15">
        <v>3.34</v>
      </c>
      <c r="D26" s="20" t="s">
        <v>83</v>
      </c>
      <c r="E26" s="20" t="s">
        <v>83</v>
      </c>
      <c r="F26" s="20" t="s">
        <v>83</v>
      </c>
      <c r="G26" s="20" t="s">
        <v>94</v>
      </c>
      <c r="H26" s="20"/>
      <c r="I26" s="20"/>
      <c r="J26" s="20"/>
      <c r="K26" s="20"/>
      <c r="L26" s="20"/>
      <c r="M26" s="20"/>
      <c r="N26" s="20"/>
      <c r="O26" s="20"/>
      <c r="P26" s="20"/>
      <c r="Q26" s="51" t="s">
        <v>29</v>
      </c>
      <c r="R26" s="52"/>
      <c r="S26" s="55"/>
      <c r="T26" s="56"/>
      <c r="U26" s="2"/>
    </row>
    <row r="27" spans="2:21" ht="26.25" thickBot="1" x14ac:dyDescent="0.3">
      <c r="B27" s="6"/>
      <c r="C27" s="15"/>
      <c r="D27" s="21" t="s">
        <v>53</v>
      </c>
      <c r="E27" s="20"/>
      <c r="F27" s="20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51"/>
      <c r="R27" s="52"/>
      <c r="S27" s="55"/>
      <c r="T27" s="56"/>
      <c r="U27" s="2"/>
    </row>
    <row r="28" spans="2:21" ht="16.5" thickBot="1" x14ac:dyDescent="0.3">
      <c r="B28" s="9" t="s">
        <v>21</v>
      </c>
      <c r="C28" s="13">
        <f>SUM(C16:C26)</f>
        <v>1518.15</v>
      </c>
      <c r="D28" s="13">
        <v>400</v>
      </c>
      <c r="E28" s="13">
        <v>400</v>
      </c>
      <c r="F28" s="13">
        <v>400</v>
      </c>
      <c r="G28" s="13">
        <v>318.14999999999998</v>
      </c>
      <c r="H28" s="13"/>
      <c r="I28" s="13"/>
      <c r="J28" s="13"/>
      <c r="K28" s="13"/>
      <c r="L28" s="13"/>
      <c r="M28" s="13"/>
      <c r="N28" s="13"/>
      <c r="O28" s="13"/>
      <c r="P28" s="13"/>
      <c r="Q28" s="55"/>
      <c r="R28" s="56"/>
      <c r="S28" s="55"/>
      <c r="T28" s="56"/>
      <c r="U28" s="2"/>
    </row>
    <row r="29" spans="2:21" x14ac:dyDescent="0.25">
      <c r="B29" s="57" t="s">
        <v>22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10"/>
    </row>
    <row r="30" spans="2:21" x14ac:dyDescent="0.25">
      <c r="B30" s="1"/>
      <c r="C30" s="1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3"/>
      <c r="R30" s="23"/>
      <c r="S30" s="23"/>
      <c r="T30" s="23"/>
      <c r="U30" s="2"/>
    </row>
    <row r="31" spans="2:21" ht="16.5" thickBot="1" x14ac:dyDescent="0.3">
      <c r="B31" s="1"/>
      <c r="C31" s="16"/>
      <c r="D31" s="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58"/>
      <c r="R31" s="58"/>
      <c r="S31" s="23"/>
      <c r="T31" s="23"/>
      <c r="U31" s="2"/>
    </row>
    <row r="32" spans="2:21" x14ac:dyDescent="0.25">
      <c r="B32" s="1"/>
      <c r="C32" s="59" t="s">
        <v>23</v>
      </c>
      <c r="D32" s="5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59" t="s">
        <v>24</v>
      </c>
      <c r="Q32" s="59"/>
      <c r="R32" s="59"/>
      <c r="S32" s="23"/>
      <c r="T32" s="23"/>
      <c r="U32" s="2"/>
    </row>
    <row r="33" spans="2:21" x14ac:dyDescent="0.25">
      <c r="B33" s="1"/>
      <c r="C33" s="1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3"/>
      <c r="R33" s="23"/>
      <c r="S33" s="23"/>
      <c r="T33" s="23"/>
      <c r="U33" s="2"/>
    </row>
  </sheetData>
  <mergeCells count="50">
    <mergeCell ref="Q33:R33"/>
    <mergeCell ref="S33:T33"/>
    <mergeCell ref="Q27:R27"/>
    <mergeCell ref="S27:T27"/>
    <mergeCell ref="Q28:R28"/>
    <mergeCell ref="S28:T28"/>
    <mergeCell ref="B29:T29"/>
    <mergeCell ref="Q30:R30"/>
    <mergeCell ref="S30:T30"/>
    <mergeCell ref="Q31:R31"/>
    <mergeCell ref="S31:T31"/>
    <mergeCell ref="C32:D32"/>
    <mergeCell ref="P32:R32"/>
    <mergeCell ref="S32:T32"/>
    <mergeCell ref="Q24:R24"/>
    <mergeCell ref="S24:T24"/>
    <mergeCell ref="Q25:R25"/>
    <mergeCell ref="S25:T25"/>
    <mergeCell ref="Q26:R26"/>
    <mergeCell ref="S26:T26"/>
    <mergeCell ref="Q21:R21"/>
    <mergeCell ref="S21:T21"/>
    <mergeCell ref="Q22:R22"/>
    <mergeCell ref="S22:T22"/>
    <mergeCell ref="Q23:R23"/>
    <mergeCell ref="S23:T23"/>
    <mergeCell ref="Q18:R18"/>
    <mergeCell ref="S18:T18"/>
    <mergeCell ref="Q19:R19"/>
    <mergeCell ref="S19:T19"/>
    <mergeCell ref="Q20:R20"/>
    <mergeCell ref="S20:T20"/>
    <mergeCell ref="Q15:R15"/>
    <mergeCell ref="S15:T15"/>
    <mergeCell ref="Q16:R16"/>
    <mergeCell ref="S16:T16"/>
    <mergeCell ref="Q17:R17"/>
    <mergeCell ref="S17:T17"/>
    <mergeCell ref="B11:B14"/>
    <mergeCell ref="C11:C14"/>
    <mergeCell ref="D11:P13"/>
    <mergeCell ref="Q11:R14"/>
    <mergeCell ref="S11:T12"/>
    <mergeCell ref="S13:T14"/>
    <mergeCell ref="Q7:R7"/>
    <mergeCell ref="S7:T7"/>
    <mergeCell ref="B8:Q8"/>
    <mergeCell ref="R8:S8"/>
    <mergeCell ref="E9:F9"/>
    <mergeCell ref="G9:T10"/>
  </mergeCells>
  <pageMargins left="0.25" right="0.25" top="0.75" bottom="0.75" header="0.3" footer="0.3"/>
  <pageSetup paperSize="9" scale="5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Encañada 1</vt:lpstr>
      <vt:lpstr>Encañada 2</vt:lpstr>
      <vt:lpstr>Encañada 3</vt:lpstr>
      <vt:lpstr>Encañada 4</vt:lpstr>
      <vt:lpstr>Encañada 5</vt:lpstr>
      <vt:lpstr>Cajatambo</vt:lpstr>
      <vt:lpstr>Hualgayoc 1</vt:lpstr>
      <vt:lpstr>Hualgayoc 2</vt:lpstr>
      <vt:lpstr>Hualgayoc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Jesús Polo Gonzalez</dc:creator>
  <cp:lastModifiedBy>Diego Jesús Polo Gonzalez</cp:lastModifiedBy>
  <cp:lastPrinted>2026-06-22T20:48:00Z</cp:lastPrinted>
  <dcterms:created xsi:type="dcterms:W3CDTF">2026-06-22T16:11:07Z</dcterms:created>
  <dcterms:modified xsi:type="dcterms:W3CDTF">2026-06-24T17:45:47Z</dcterms:modified>
</cp:coreProperties>
</file>