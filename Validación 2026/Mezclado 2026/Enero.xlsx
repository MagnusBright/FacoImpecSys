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Mezclado 2026\"/>
    </mc:Choice>
  </mc:AlternateContent>
  <xr:revisionPtr revIDLastSave="0" documentId="13_ncr:1_{5C124F1E-4464-4BAC-9F48-90F0BF35A96F}" xr6:coauthVersionLast="47" xr6:coauthVersionMax="47" xr10:uidLastSave="{00000000-0000-0000-0000-000000000000}"/>
  <bookViews>
    <workbookView xWindow="-120" yWindow="-120" windowWidth="29040" windowHeight="15720" xr2:uid="{7C9DF992-C883-48CD-A5A8-6441119EE8A0}"/>
  </bookViews>
  <sheets>
    <sheet name="Olmos 1" sheetId="32" r:id="rId1"/>
    <sheet name="Olmos 2" sheetId="33" r:id="rId2"/>
    <sheet name="Olmos 3" sheetId="34" r:id="rId3"/>
    <sheet name="Sanchez Carrion 1" sheetId="24" r:id="rId4"/>
    <sheet name="Sanchez Carrion 2" sheetId="25" r:id="rId5"/>
    <sheet name="Hualgayoc 1" sheetId="18" r:id="rId6"/>
    <sheet name="Hualgayoc 2" sheetId="21" r:id="rId7"/>
    <sheet name="Hualgayoc 3" sheetId="20" r:id="rId8"/>
    <sheet name="Viru 1" sheetId="22" r:id="rId9"/>
    <sheet name="Viru 2" sheetId="23" r:id="rId10"/>
    <sheet name="Florencia de Mora" sheetId="2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34" l="1"/>
  <c r="C22" i="33"/>
  <c r="C21" i="33"/>
  <c r="C20" i="33"/>
  <c r="C19" i="33"/>
  <c r="C28" i="33" s="1"/>
  <c r="C18" i="33"/>
  <c r="C17" i="33"/>
  <c r="C16" i="33"/>
  <c r="C28" i="32"/>
  <c r="C22" i="32"/>
  <c r="C21" i="32"/>
  <c r="C20" i="32"/>
  <c r="C19" i="32"/>
  <c r="C18" i="32"/>
  <c r="C17" i="32"/>
  <c r="C16" i="32"/>
  <c r="C28" i="26" l="1"/>
  <c r="C28" i="25"/>
  <c r="C28" i="24"/>
  <c r="C28" i="23"/>
  <c r="C28" i="22"/>
  <c r="C28" i="21"/>
  <c r="C28" i="20"/>
  <c r="C28" i="18"/>
</calcChain>
</file>

<file path=xl/sharedStrings.xml><?xml version="1.0" encoding="utf-8"?>
<sst xmlns="http://schemas.openxmlformats.org/spreadsheetml/2006/main" count="1481" uniqueCount="137">
  <si>
    <t>FACO-HACCP- F-14</t>
  </si>
  <si>
    <t>FECHA:</t>
  </si>
  <si>
    <t>PRODUCTO:</t>
  </si>
  <si>
    <t>INGREDIENTES</t>
  </si>
  <si>
    <t>FORMULA (Kg)</t>
  </si>
  <si>
    <t>N° DE BATCH</t>
  </si>
  <si>
    <t>OBSERVACIONES</t>
  </si>
  <si>
    <t>V.B.</t>
  </si>
  <si>
    <t>Respons.</t>
  </si>
  <si>
    <t>01 </t>
  </si>
  <si>
    <t>02 </t>
  </si>
  <si>
    <t>05 </t>
  </si>
  <si>
    <t>06 </t>
  </si>
  <si>
    <t>07 </t>
  </si>
  <si>
    <t>08 </t>
  </si>
  <si>
    <t>09 </t>
  </si>
  <si>
    <t> 10</t>
  </si>
  <si>
    <t>11 </t>
  </si>
  <si>
    <t>12 </t>
  </si>
  <si>
    <t> 13</t>
  </si>
  <si>
    <t xml:space="preserve">HORA    </t>
  </si>
  <si>
    <t>TOTAL</t>
  </si>
  <si>
    <r>
      <t>Nota</t>
    </r>
    <r>
      <rPr>
        <sz val="9"/>
        <color theme="1"/>
        <rFont val="Times New Roman"/>
        <family val="1"/>
      </rPr>
      <t>: En cada Batch se registra el código interno de cada ingrediente</t>
    </r>
  </si>
  <si>
    <t>JEFE DE PRODUCCIÓN</t>
  </si>
  <si>
    <t>JEFE DE CONTROL DE      CALIDAD</t>
  </si>
  <si>
    <t xml:space="preserve">  CONTROL DE MEZCLADO (DIGITAL)</t>
  </si>
  <si>
    <t>03</t>
  </si>
  <si>
    <t>04</t>
  </si>
  <si>
    <t>Mezcladora 1</t>
  </si>
  <si>
    <t>Hojuela de Avena</t>
  </si>
  <si>
    <t>Hojuela de Quinua</t>
  </si>
  <si>
    <t>Fosfato Tricálcico</t>
  </si>
  <si>
    <t>Mix Vitáminico</t>
  </si>
  <si>
    <t>0.84
MV150</t>
  </si>
  <si>
    <t>Mezcladora 2</t>
  </si>
  <si>
    <t>Harina de Soya</t>
  </si>
  <si>
    <t>Leche en Polvo</t>
  </si>
  <si>
    <t xml:space="preserve">MEZCLA PRECOCIDA DE QUINUA, KIWICHA, AVENA Y HARINA DE SOYA INTEGRAL TOSTADA CON LECHE ENTERA EN POLVO FORTIFICADA CON VITAMINAS Y MINERALES </t>
  </si>
  <si>
    <t>Harina de Kiwicha</t>
  </si>
  <si>
    <t>Hojuela de Kiwicha</t>
  </si>
  <si>
    <t>Azúcar Rubia</t>
  </si>
  <si>
    <t>Harina de Maca</t>
  </si>
  <si>
    <t>1.12
CC151</t>
  </si>
  <si>
    <t xml:space="preserve">HOJUELAS PRECOCIDAS LACTEADAS DE KIWICHA, QUINUA Y AVENA, CON MACA, SOYA, TARHUI Y GARBANZO FORTIFICADAS CON VITAMINAS Y MINERALES </t>
  </si>
  <si>
    <t>Aceite de Soya</t>
  </si>
  <si>
    <t>Harina de Garbanzo</t>
  </si>
  <si>
    <t>Harina de Tarhui</t>
  </si>
  <si>
    <t>HOJUELAS PRECOCIDAS DE QUINUA, AVENA, KIWICHA, MACA, LINAZA, AJONJOLÍ CON PROTEÍNA AISLADA DE SOYA Y OMEGA 3 FORTIFICADO CON VITAMINAS Y MINERALES</t>
  </si>
  <si>
    <t>Aceite de Girasol</t>
  </si>
  <si>
    <t>Linaza</t>
  </si>
  <si>
    <t>Ajonjoli</t>
  </si>
  <si>
    <t>Proteína Aislada de Soya</t>
  </si>
  <si>
    <t>HOJUELAS DE AVENA, QUINUA, MACA, HARINA DE SOYA INTEGRAL TOSTADA, ALMIDÓN DE MAÍZ AZUCARADA FORTIFICADA CON VITAMINAS Y MINERALES (HOJUELAS CRUDAS)</t>
  </si>
  <si>
    <t>Harina de Maiz Chufla</t>
  </si>
  <si>
    <t>HOJUELAS DE AVENA QUINUA KIWICHA PRECOCIDA FORTIFICADA CON VITAMINAS Y MINERALES</t>
  </si>
  <si>
    <t>25.08
AH010</t>
  </si>
  <si>
    <t>163.64
QH010</t>
  </si>
  <si>
    <t>45.44
SH010</t>
  </si>
  <si>
    <t>31.84
MA004</t>
  </si>
  <si>
    <t>45.44
AR007</t>
  </si>
  <si>
    <t>19.28
FT005</t>
  </si>
  <si>
    <t>1.08
MV005</t>
  </si>
  <si>
    <t>17.34
AH010</t>
  </si>
  <si>
    <t>113.12
QH010</t>
  </si>
  <si>
    <t>31.41
SH010</t>
  </si>
  <si>
    <t>22.01
MA004</t>
  </si>
  <si>
    <t>31.41
AR007</t>
  </si>
  <si>
    <t>13.33
FT005</t>
  </si>
  <si>
    <t>0.75
MV005</t>
  </si>
  <si>
    <t>90.85
AH010</t>
  </si>
  <si>
    <t>125.79
QH010</t>
  </si>
  <si>
    <t>104.82
KA010</t>
  </si>
  <si>
    <t>20.96
SH010</t>
  </si>
  <si>
    <t>41.93
LP004</t>
  </si>
  <si>
    <t>14.81
FT005</t>
  </si>
  <si>
    <t>0.84
MV005</t>
  </si>
  <si>
    <t>57.02
AH010</t>
  </si>
  <si>
    <t>78.95
QH010</t>
  </si>
  <si>
    <t>65.79
KA010</t>
  </si>
  <si>
    <t>13.16
SH010</t>
  </si>
  <si>
    <t>9.30
FT005</t>
  </si>
  <si>
    <t>0.52
MV005</t>
  </si>
  <si>
    <t>26.31
LP004</t>
  </si>
  <si>
    <t>51.40
AH010</t>
  </si>
  <si>
    <t>86.56
QH010</t>
  </si>
  <si>
    <t>133.40
KH010</t>
  </si>
  <si>
    <t>3.60
SH010</t>
  </si>
  <si>
    <t>68.20
MH011</t>
  </si>
  <si>
    <t>47.15
MH011</t>
  </si>
  <si>
    <t>50.48
MA004</t>
  </si>
  <si>
    <t>46.88
LP004</t>
  </si>
  <si>
    <t>5.76
AS006</t>
  </si>
  <si>
    <t>2.88
GA010</t>
  </si>
  <si>
    <t>2.88
TH006</t>
  </si>
  <si>
    <t>15.28
FT005</t>
  </si>
  <si>
    <t>0.88
MV005</t>
  </si>
  <si>
    <t>40.88
AH010</t>
  </si>
  <si>
    <t>68.85
QH010</t>
  </si>
  <si>
    <t>106.11
KH010</t>
  </si>
  <si>
    <t>2.86
SH010</t>
  </si>
  <si>
    <t>40.15
MA004</t>
  </si>
  <si>
    <t>37.29
LP004</t>
  </si>
  <si>
    <t>4.58
AS006</t>
  </si>
  <si>
    <t>2.29
GA010</t>
  </si>
  <si>
    <t>2.29
TH006</t>
  </si>
  <si>
    <t>12.15
FT005</t>
  </si>
  <si>
    <t>0.70
MV005</t>
  </si>
  <si>
    <t>52.08
AH010</t>
  </si>
  <si>
    <t>89.76
QH010</t>
  </si>
  <si>
    <t>179.52
KH011</t>
  </si>
  <si>
    <t>40.80
MA004</t>
  </si>
  <si>
    <t>7.36
AG006</t>
  </si>
  <si>
    <t>4.08
LZ006</t>
  </si>
  <si>
    <t>4.08
AJ006</t>
  </si>
  <si>
    <t>4.08
SP004</t>
  </si>
  <si>
    <t>17.28
FT005</t>
  </si>
  <si>
    <t>0.96
MV005</t>
  </si>
  <si>
    <t>33.31
AH010</t>
  </si>
  <si>
    <t>57.41
QH010</t>
  </si>
  <si>
    <t>114.83
KH011</t>
  </si>
  <si>
    <t>26.10
MA004</t>
  </si>
  <si>
    <t>4.71
AG006</t>
  </si>
  <si>
    <t>2.61
LZ006</t>
  </si>
  <si>
    <t>2.61
AJ006</t>
  </si>
  <si>
    <t>2.61
SP004</t>
  </si>
  <si>
    <t>11.05
FT005</t>
  </si>
  <si>
    <t>0.61
MV005</t>
  </si>
  <si>
    <t>67.74
AH018</t>
  </si>
  <si>
    <t>160.88
QH018</t>
  </si>
  <si>
    <t>152.41
KH018</t>
  </si>
  <si>
    <t>17.95
FT005</t>
  </si>
  <si>
    <t>1.02
MV005</t>
  </si>
  <si>
    <t>48.45
AH018</t>
  </si>
  <si>
    <t>115.08
QH018</t>
  </si>
  <si>
    <t>109.02
KH018</t>
  </si>
  <si>
    <t>12.84
FT005</t>
  </si>
  <si>
    <t>0.73
MV005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</si>
</sst>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0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9" fillId="0" borderId="0" xfId="0" applyFont="1" applyAlignment="1">
      <alignment vertical="center"/>
    </xf>
    <xf numFmtId="18" fontId="3" fillId="0" borderId="9" xfId="0" applyNumberFormat="1" applyFont="1" applyBorder="1" applyAlignment="1">
      <alignment horizontal="center" vertical="center" wrapText="1"/>
    </xf>
    <xf numFmtId="0" fontId="7" fillId="2" borderId="9" xfId="0" quotePrefix="1" applyFont="1" applyFill="1" applyBorder="1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4" fontId="2" fillId="0" borderId="9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3" fillId="0" borderId="9" xfId="0" applyNumberFormat="1" applyFont="1" applyBorder="1" applyAlignment="1">
      <alignment horizontal="left" vertical="center" wrapText="1"/>
    </xf>
    <xf numFmtId="14" fontId="11" fillId="0" borderId="0" xfId="0" applyNumberFormat="1" applyFont="1" applyAlignment="1">
      <alignment horizontal="center"/>
    </xf>
    <xf numFmtId="4" fontId="2" fillId="0" borderId="9" xfId="0" applyNumberFormat="1" applyFont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1" fillId="0" borderId="0" xfId="0" applyFont="1"/>
    <xf numFmtId="0" fontId="10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9" fillId="0" borderId="8" xfId="0" applyFont="1" applyBorder="1" applyAlignment="1">
      <alignment horizontal="left" vertical="center"/>
    </xf>
    <xf numFmtId="0" fontId="8" fillId="0" borderId="14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1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DC36D7-FB92-4415-BA30-C9370F2CA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1E19EDD2-AAD5-4C33-B634-69B913CC8A49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E89C82-2782-463E-8671-5F1FC5147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76BE33FB-418B-4F20-9094-A70073F2A3C1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FF6FA1-F06C-43F3-8401-2D39F2D90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874B1895-2FC2-4844-851B-9C6111F9FA62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832C34-219F-405A-9683-BB8684181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7F7CD623-0907-4EDC-A32E-A5AE1F8C6A33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2CE53A-E4A1-4651-A018-144147574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F3D26C7F-4DA8-45A8-950C-386859C5B52A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8959FD-DA90-4D55-9520-4997D231E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A00F25B5-B2AF-4070-A041-657EA21B1EFD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C80F58-0558-4A0D-AEF5-7114E7E05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447E389-BF6A-4CEC-9794-13A6D38E4754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E72F66-5562-4076-AFCA-BE5146042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57359EF-637B-4713-8E01-3B8B02654B95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1840D8-17A6-40D5-818F-7817B94A6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D7428F8F-2EC5-4B13-9B17-89BEBC24AC44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BFF219-EBA8-447A-86EA-EF9023BCC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649CB865-38E0-47AE-A98F-2B1DDCACCC22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48D5EE-6BC0-4018-B6B7-D13D15340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8CF22948-44F4-419F-8801-25F9B034E341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15621-17C4-4527-9851-E3B6CB2DC51A}">
  <sheetPr>
    <pageSetUpPr fitToPage="1"/>
  </sheetPr>
  <dimension ref="B7:U33"/>
  <sheetViews>
    <sheetView tabSelected="1" workbookViewId="0">
      <selection activeCell="D26" sqref="D26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46033</v>
      </c>
      <c r="D9" s="1"/>
      <c r="E9" s="57" t="s">
        <v>2</v>
      </c>
      <c r="F9" s="57"/>
      <c r="G9" s="58" t="s">
        <v>37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2"/>
    </row>
    <row r="10" spans="2:21" ht="15.75" customHeight="1" thickBot="1" x14ac:dyDescent="0.3">
      <c r="B10" s="1"/>
      <c r="C10" s="14"/>
      <c r="D10" s="1"/>
      <c r="E10" s="1"/>
      <c r="F10" s="1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0.33333333333333331</v>
      </c>
      <c r="E15" s="11">
        <v>0.34722222222222221</v>
      </c>
      <c r="F15" s="11">
        <v>0.36111111111111099</v>
      </c>
      <c r="G15" s="11">
        <v>0.375</v>
      </c>
      <c r="H15" s="11">
        <v>0.38888888888888901</v>
      </c>
      <c r="I15" s="11">
        <v>0.40277777777777801</v>
      </c>
      <c r="J15" s="11">
        <v>0.41666666666666702</v>
      </c>
      <c r="K15" s="11">
        <v>0.43055555555555602</v>
      </c>
      <c r="L15" s="11">
        <v>0.44444444444444398</v>
      </c>
      <c r="M15" s="11">
        <v>0.45833333333333298</v>
      </c>
      <c r="N15" s="11">
        <v>0.47222222222222199</v>
      </c>
      <c r="O15" s="11">
        <v>0.48611111111111099</v>
      </c>
      <c r="P15" s="11">
        <v>0.5</v>
      </c>
      <c r="Q15" s="25" t="s">
        <v>28</v>
      </c>
      <c r="R15" s="26"/>
      <c r="S15" s="30"/>
      <c r="T15" s="31"/>
      <c r="U15" s="2"/>
    </row>
    <row r="16" spans="2:21" ht="26.25" thickBot="1" x14ac:dyDescent="0.3">
      <c r="B16" s="6" t="s">
        <v>29</v>
      </c>
      <c r="C16" s="15">
        <f>90.85*13</f>
        <v>1181.05</v>
      </c>
      <c r="D16" s="20" t="s">
        <v>69</v>
      </c>
      <c r="E16" s="20" t="s">
        <v>69</v>
      </c>
      <c r="F16" s="20" t="s">
        <v>69</v>
      </c>
      <c r="G16" s="20" t="s">
        <v>69</v>
      </c>
      <c r="H16" s="20" t="s">
        <v>69</v>
      </c>
      <c r="I16" s="20" t="s">
        <v>69</v>
      </c>
      <c r="J16" s="20" t="s">
        <v>69</v>
      </c>
      <c r="K16" s="20" t="s">
        <v>69</v>
      </c>
      <c r="L16" s="20" t="s">
        <v>69</v>
      </c>
      <c r="M16" s="20" t="s">
        <v>69</v>
      </c>
      <c r="N16" s="20" t="s">
        <v>69</v>
      </c>
      <c r="O16" s="20" t="s">
        <v>69</v>
      </c>
      <c r="P16" s="20" t="s">
        <v>69</v>
      </c>
      <c r="Q16" s="25" t="s">
        <v>28</v>
      </c>
      <c r="R16" s="26"/>
      <c r="S16" s="27"/>
      <c r="T16" s="28"/>
      <c r="U16" s="2"/>
    </row>
    <row r="17" spans="2:21" ht="26.25" thickBot="1" x14ac:dyDescent="0.3">
      <c r="B17" s="6" t="s">
        <v>30</v>
      </c>
      <c r="C17" s="15">
        <f>125.79*13</f>
        <v>1635.27</v>
      </c>
      <c r="D17" s="20" t="s">
        <v>70</v>
      </c>
      <c r="E17" s="20" t="s">
        <v>70</v>
      </c>
      <c r="F17" s="20" t="s">
        <v>70</v>
      </c>
      <c r="G17" s="20" t="s">
        <v>70</v>
      </c>
      <c r="H17" s="20" t="s">
        <v>70</v>
      </c>
      <c r="I17" s="20" t="s">
        <v>70</v>
      </c>
      <c r="J17" s="20" t="s">
        <v>70</v>
      </c>
      <c r="K17" s="20" t="s">
        <v>70</v>
      </c>
      <c r="L17" s="20" t="s">
        <v>70</v>
      </c>
      <c r="M17" s="20" t="s">
        <v>70</v>
      </c>
      <c r="N17" s="20" t="s">
        <v>70</v>
      </c>
      <c r="O17" s="20" t="s">
        <v>70</v>
      </c>
      <c r="P17" s="20" t="s">
        <v>70</v>
      </c>
      <c r="Q17" s="25" t="s">
        <v>28</v>
      </c>
      <c r="R17" s="26"/>
      <c r="S17" s="27"/>
      <c r="T17" s="28"/>
      <c r="U17" s="2"/>
    </row>
    <row r="18" spans="2:21" ht="26.25" thickBot="1" x14ac:dyDescent="0.3">
      <c r="B18" s="6" t="s">
        <v>38</v>
      </c>
      <c r="C18" s="15">
        <f>104.82*13</f>
        <v>1362.6599999999999</v>
      </c>
      <c r="D18" s="20" t="s">
        <v>71</v>
      </c>
      <c r="E18" s="20" t="s">
        <v>71</v>
      </c>
      <c r="F18" s="20" t="s">
        <v>71</v>
      </c>
      <c r="G18" s="20" t="s">
        <v>71</v>
      </c>
      <c r="H18" s="20" t="s">
        <v>71</v>
      </c>
      <c r="I18" s="20" t="s">
        <v>71</v>
      </c>
      <c r="J18" s="20" t="s">
        <v>71</v>
      </c>
      <c r="K18" s="20" t="s">
        <v>71</v>
      </c>
      <c r="L18" s="20" t="s">
        <v>71</v>
      </c>
      <c r="M18" s="20" t="s">
        <v>71</v>
      </c>
      <c r="N18" s="20" t="s">
        <v>71</v>
      </c>
      <c r="O18" s="20" t="s">
        <v>71</v>
      </c>
      <c r="P18" s="20" t="s">
        <v>71</v>
      </c>
      <c r="Q18" s="25" t="s">
        <v>28</v>
      </c>
      <c r="R18" s="26"/>
      <c r="S18" s="27"/>
      <c r="T18" s="28"/>
      <c r="U18" s="2"/>
    </row>
    <row r="19" spans="2:21" ht="26.25" thickBot="1" x14ac:dyDescent="0.3">
      <c r="B19" s="6" t="s">
        <v>35</v>
      </c>
      <c r="C19" s="15">
        <f>20.96*13</f>
        <v>272.48</v>
      </c>
      <c r="D19" s="20" t="s">
        <v>72</v>
      </c>
      <c r="E19" s="20" t="s">
        <v>72</v>
      </c>
      <c r="F19" s="20" t="s">
        <v>72</v>
      </c>
      <c r="G19" s="20" t="s">
        <v>72</v>
      </c>
      <c r="H19" s="20" t="s">
        <v>72</v>
      </c>
      <c r="I19" s="20" t="s">
        <v>72</v>
      </c>
      <c r="J19" s="20" t="s">
        <v>72</v>
      </c>
      <c r="K19" s="20" t="s">
        <v>72</v>
      </c>
      <c r="L19" s="20" t="s">
        <v>72</v>
      </c>
      <c r="M19" s="20" t="s">
        <v>72</v>
      </c>
      <c r="N19" s="20" t="s">
        <v>72</v>
      </c>
      <c r="O19" s="20" t="s">
        <v>72</v>
      </c>
      <c r="P19" s="20" t="s">
        <v>72</v>
      </c>
      <c r="Q19" s="25" t="s">
        <v>28</v>
      </c>
      <c r="R19" s="26"/>
      <c r="S19" s="27"/>
      <c r="T19" s="28"/>
      <c r="U19" s="2"/>
    </row>
    <row r="20" spans="2:21" ht="26.25" thickBot="1" x14ac:dyDescent="0.3">
      <c r="B20" s="6" t="s">
        <v>36</v>
      </c>
      <c r="C20" s="15">
        <f>41.93*13</f>
        <v>545.09</v>
      </c>
      <c r="D20" s="20" t="s">
        <v>73</v>
      </c>
      <c r="E20" s="20" t="s">
        <v>73</v>
      </c>
      <c r="F20" s="20" t="s">
        <v>73</v>
      </c>
      <c r="G20" s="20" t="s">
        <v>73</v>
      </c>
      <c r="H20" s="20" t="s">
        <v>73</v>
      </c>
      <c r="I20" s="20" t="s">
        <v>73</v>
      </c>
      <c r="J20" s="20" t="s">
        <v>73</v>
      </c>
      <c r="K20" s="20" t="s">
        <v>73</v>
      </c>
      <c r="L20" s="20" t="s">
        <v>73</v>
      </c>
      <c r="M20" s="20" t="s">
        <v>73</v>
      </c>
      <c r="N20" s="20" t="s">
        <v>73</v>
      </c>
      <c r="O20" s="20" t="s">
        <v>73</v>
      </c>
      <c r="P20" s="20" t="s">
        <v>73</v>
      </c>
      <c r="Q20" s="25" t="s">
        <v>28</v>
      </c>
      <c r="R20" s="26"/>
      <c r="S20" s="27"/>
      <c r="T20" s="28"/>
      <c r="U20" s="2"/>
    </row>
    <row r="21" spans="2:21" ht="26.25" thickBot="1" x14ac:dyDescent="0.3">
      <c r="B21" s="6" t="s">
        <v>31</v>
      </c>
      <c r="C21" s="15">
        <f>14.81*13</f>
        <v>192.53</v>
      </c>
      <c r="D21" s="20" t="s">
        <v>74</v>
      </c>
      <c r="E21" s="20" t="s">
        <v>74</v>
      </c>
      <c r="F21" s="20" t="s">
        <v>74</v>
      </c>
      <c r="G21" s="20" t="s">
        <v>74</v>
      </c>
      <c r="H21" s="20" t="s">
        <v>74</v>
      </c>
      <c r="I21" s="20" t="s">
        <v>74</v>
      </c>
      <c r="J21" s="20" t="s">
        <v>74</v>
      </c>
      <c r="K21" s="20" t="s">
        <v>74</v>
      </c>
      <c r="L21" s="20" t="s">
        <v>74</v>
      </c>
      <c r="M21" s="20" t="s">
        <v>74</v>
      </c>
      <c r="N21" s="20" t="s">
        <v>74</v>
      </c>
      <c r="O21" s="20" t="s">
        <v>74</v>
      </c>
      <c r="P21" s="20" t="s">
        <v>74</v>
      </c>
      <c r="Q21" s="25" t="s">
        <v>28</v>
      </c>
      <c r="R21" s="26"/>
      <c r="S21" s="27"/>
      <c r="T21" s="28"/>
      <c r="U21" s="2"/>
    </row>
    <row r="22" spans="2:21" ht="26.25" thickBot="1" x14ac:dyDescent="0.3">
      <c r="B22" s="6" t="s">
        <v>32</v>
      </c>
      <c r="C22" s="15">
        <f>0.84*13</f>
        <v>10.92</v>
      </c>
      <c r="D22" s="20" t="s">
        <v>75</v>
      </c>
      <c r="E22" s="20" t="s">
        <v>75</v>
      </c>
      <c r="F22" s="20" t="s">
        <v>75</v>
      </c>
      <c r="G22" s="20" t="s">
        <v>75</v>
      </c>
      <c r="H22" s="20" t="s">
        <v>75</v>
      </c>
      <c r="I22" s="20" t="s">
        <v>75</v>
      </c>
      <c r="J22" s="20" t="s">
        <v>75</v>
      </c>
      <c r="K22" s="20" t="s">
        <v>75</v>
      </c>
      <c r="L22" s="20" t="s">
        <v>75</v>
      </c>
      <c r="M22" s="20" t="s">
        <v>75</v>
      </c>
      <c r="N22" s="20" t="s">
        <v>75</v>
      </c>
      <c r="O22" s="20" t="s">
        <v>75</v>
      </c>
      <c r="P22" s="20" t="s">
        <v>75</v>
      </c>
      <c r="Q22" s="25" t="s">
        <v>28</v>
      </c>
      <c r="R22" s="26"/>
      <c r="S22" s="27"/>
      <c r="T22" s="28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5"/>
      <c r="R23" s="26"/>
      <c r="S23" s="27"/>
      <c r="T23" s="28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5"/>
      <c r="R24" s="26"/>
      <c r="S24" s="27"/>
      <c r="T24" s="28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5"/>
      <c r="R25" s="26"/>
      <c r="S25" s="27"/>
      <c r="T25" s="28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5"/>
      <c r="R26" s="26"/>
      <c r="S26" s="27"/>
      <c r="T26" s="28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>
        <f>SUM(C16:C23)</f>
        <v>5199.9999999999991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27"/>
      <c r="R28" s="28"/>
      <c r="S28" s="27"/>
      <c r="T28" s="28"/>
      <c r="U28" s="2"/>
    </row>
    <row r="29" spans="2:21" x14ac:dyDescent="0.25">
      <c r="B29" s="29" t="s">
        <v>22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9B2C-91AE-4D10-9A0F-D933DAFCE9AB}">
  <sheetPr>
    <pageSetUpPr fitToPage="1"/>
  </sheetPr>
  <dimension ref="B7:U33"/>
  <sheetViews>
    <sheetView workbookViewId="0">
      <selection activeCell="D6" sqref="D6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46033</v>
      </c>
      <c r="D9" s="1"/>
      <c r="E9" s="57" t="s">
        <v>2</v>
      </c>
      <c r="F9" s="57"/>
      <c r="G9" s="58" t="s">
        <v>37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2"/>
    </row>
    <row r="10" spans="2:21" ht="15.75" customHeight="1" thickBot="1" x14ac:dyDescent="0.3">
      <c r="B10" s="1"/>
      <c r="C10" s="14"/>
      <c r="D10" s="1"/>
      <c r="E10" s="1"/>
      <c r="F10" s="1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0.33680555555555558</v>
      </c>
      <c r="E15" s="11">
        <v>0.35069444444444442</v>
      </c>
      <c r="F15" s="11">
        <v>0.36458333333333298</v>
      </c>
      <c r="G15" s="11">
        <v>0.37847222222222199</v>
      </c>
      <c r="H15" s="11">
        <v>0.39236111111111099</v>
      </c>
      <c r="I15" s="11">
        <v>0.40625</v>
      </c>
      <c r="J15" s="11">
        <v>0.42013888888888901</v>
      </c>
      <c r="K15" s="11">
        <v>0.43402777777777701</v>
      </c>
      <c r="L15" s="11">
        <v>0.44791666666666702</v>
      </c>
      <c r="M15" s="11">
        <v>0.46180555555555602</v>
      </c>
      <c r="N15" s="11">
        <v>0.47569444444444398</v>
      </c>
      <c r="O15" s="11">
        <v>0.48958333333333298</v>
      </c>
      <c r="P15" s="11">
        <v>0.50347222222222199</v>
      </c>
      <c r="Q15" s="25" t="s">
        <v>34</v>
      </c>
      <c r="R15" s="26"/>
      <c r="S15" s="30"/>
      <c r="T15" s="31"/>
      <c r="U15" s="2"/>
    </row>
    <row r="16" spans="2:21" ht="26.25" thickBot="1" x14ac:dyDescent="0.3">
      <c r="B16" s="6" t="s">
        <v>29</v>
      </c>
      <c r="C16" s="15">
        <f>90.85*13</f>
        <v>1181.05</v>
      </c>
      <c r="D16" s="20" t="s">
        <v>69</v>
      </c>
      <c r="E16" s="20" t="s">
        <v>69</v>
      </c>
      <c r="F16" s="20" t="s">
        <v>69</v>
      </c>
      <c r="G16" s="20" t="s">
        <v>69</v>
      </c>
      <c r="H16" s="20" t="s">
        <v>69</v>
      </c>
      <c r="I16" s="20" t="s">
        <v>69</v>
      </c>
      <c r="J16" s="20" t="s">
        <v>69</v>
      </c>
      <c r="K16" s="20" t="s">
        <v>69</v>
      </c>
      <c r="L16" s="20" t="s">
        <v>69</v>
      </c>
      <c r="M16" s="20" t="s">
        <v>69</v>
      </c>
      <c r="N16" s="20" t="s">
        <v>69</v>
      </c>
      <c r="O16" s="20" t="s">
        <v>69</v>
      </c>
      <c r="P16" s="20" t="s">
        <v>69</v>
      </c>
      <c r="Q16" s="25" t="s">
        <v>34</v>
      </c>
      <c r="R16" s="26"/>
      <c r="S16" s="27"/>
      <c r="T16" s="28"/>
      <c r="U16" s="2"/>
    </row>
    <row r="17" spans="2:21" ht="26.25" thickBot="1" x14ac:dyDescent="0.3">
      <c r="B17" s="6" t="s">
        <v>30</v>
      </c>
      <c r="C17" s="15">
        <f>125.79*13</f>
        <v>1635.27</v>
      </c>
      <c r="D17" s="20" t="s">
        <v>70</v>
      </c>
      <c r="E17" s="20" t="s">
        <v>70</v>
      </c>
      <c r="F17" s="20" t="s">
        <v>70</v>
      </c>
      <c r="G17" s="20" t="s">
        <v>70</v>
      </c>
      <c r="H17" s="20" t="s">
        <v>70</v>
      </c>
      <c r="I17" s="20" t="s">
        <v>70</v>
      </c>
      <c r="J17" s="20" t="s">
        <v>70</v>
      </c>
      <c r="K17" s="20" t="s">
        <v>70</v>
      </c>
      <c r="L17" s="20" t="s">
        <v>70</v>
      </c>
      <c r="M17" s="20" t="s">
        <v>70</v>
      </c>
      <c r="N17" s="20" t="s">
        <v>70</v>
      </c>
      <c r="O17" s="20" t="s">
        <v>70</v>
      </c>
      <c r="P17" s="20" t="s">
        <v>70</v>
      </c>
      <c r="Q17" s="25" t="s">
        <v>34</v>
      </c>
      <c r="R17" s="26"/>
      <c r="S17" s="27"/>
      <c r="T17" s="28"/>
      <c r="U17" s="2"/>
    </row>
    <row r="18" spans="2:21" ht="26.25" thickBot="1" x14ac:dyDescent="0.3">
      <c r="B18" s="6" t="s">
        <v>38</v>
      </c>
      <c r="C18" s="15">
        <f>104.82*13</f>
        <v>1362.6599999999999</v>
      </c>
      <c r="D18" s="20" t="s">
        <v>71</v>
      </c>
      <c r="E18" s="20" t="s">
        <v>71</v>
      </c>
      <c r="F18" s="20" t="s">
        <v>71</v>
      </c>
      <c r="G18" s="20" t="s">
        <v>71</v>
      </c>
      <c r="H18" s="20" t="s">
        <v>71</v>
      </c>
      <c r="I18" s="20" t="s">
        <v>71</v>
      </c>
      <c r="J18" s="20" t="s">
        <v>71</v>
      </c>
      <c r="K18" s="20" t="s">
        <v>71</v>
      </c>
      <c r="L18" s="20" t="s">
        <v>71</v>
      </c>
      <c r="M18" s="20" t="s">
        <v>71</v>
      </c>
      <c r="N18" s="20" t="s">
        <v>71</v>
      </c>
      <c r="O18" s="20" t="s">
        <v>71</v>
      </c>
      <c r="P18" s="20" t="s">
        <v>71</v>
      </c>
      <c r="Q18" s="25" t="s">
        <v>34</v>
      </c>
      <c r="R18" s="26"/>
      <c r="S18" s="27"/>
      <c r="T18" s="28"/>
      <c r="U18" s="2"/>
    </row>
    <row r="19" spans="2:21" ht="26.25" thickBot="1" x14ac:dyDescent="0.3">
      <c r="B19" s="6" t="s">
        <v>35</v>
      </c>
      <c r="C19" s="15">
        <f>20.96*13</f>
        <v>272.48</v>
      </c>
      <c r="D19" s="20" t="s">
        <v>72</v>
      </c>
      <c r="E19" s="20" t="s">
        <v>72</v>
      </c>
      <c r="F19" s="20" t="s">
        <v>72</v>
      </c>
      <c r="G19" s="20" t="s">
        <v>72</v>
      </c>
      <c r="H19" s="20" t="s">
        <v>72</v>
      </c>
      <c r="I19" s="20" t="s">
        <v>72</v>
      </c>
      <c r="J19" s="20" t="s">
        <v>72</v>
      </c>
      <c r="K19" s="20" t="s">
        <v>72</v>
      </c>
      <c r="L19" s="20" t="s">
        <v>72</v>
      </c>
      <c r="M19" s="20" t="s">
        <v>72</v>
      </c>
      <c r="N19" s="20" t="s">
        <v>72</v>
      </c>
      <c r="O19" s="20" t="s">
        <v>72</v>
      </c>
      <c r="P19" s="20" t="s">
        <v>72</v>
      </c>
      <c r="Q19" s="25" t="s">
        <v>34</v>
      </c>
      <c r="R19" s="26"/>
      <c r="S19" s="27"/>
      <c r="T19" s="28"/>
      <c r="U19" s="2"/>
    </row>
    <row r="20" spans="2:21" ht="26.25" thickBot="1" x14ac:dyDescent="0.3">
      <c r="B20" s="6" t="s">
        <v>36</v>
      </c>
      <c r="C20" s="15">
        <f>41.93*13</f>
        <v>545.09</v>
      </c>
      <c r="D20" s="20" t="s">
        <v>73</v>
      </c>
      <c r="E20" s="20" t="s">
        <v>73</v>
      </c>
      <c r="F20" s="20" t="s">
        <v>73</v>
      </c>
      <c r="G20" s="20" t="s">
        <v>73</v>
      </c>
      <c r="H20" s="20" t="s">
        <v>73</v>
      </c>
      <c r="I20" s="20" t="s">
        <v>73</v>
      </c>
      <c r="J20" s="20" t="s">
        <v>73</v>
      </c>
      <c r="K20" s="20" t="s">
        <v>73</v>
      </c>
      <c r="L20" s="20" t="s">
        <v>73</v>
      </c>
      <c r="M20" s="20" t="s">
        <v>73</v>
      </c>
      <c r="N20" s="20" t="s">
        <v>73</v>
      </c>
      <c r="O20" s="20" t="s">
        <v>73</v>
      </c>
      <c r="P20" s="20" t="s">
        <v>73</v>
      </c>
      <c r="Q20" s="25" t="s">
        <v>34</v>
      </c>
      <c r="R20" s="26"/>
      <c r="S20" s="27"/>
      <c r="T20" s="28"/>
      <c r="U20" s="2"/>
    </row>
    <row r="21" spans="2:21" ht="26.25" thickBot="1" x14ac:dyDescent="0.3">
      <c r="B21" s="6" t="s">
        <v>31</v>
      </c>
      <c r="C21" s="15">
        <f>14.81*13</f>
        <v>192.53</v>
      </c>
      <c r="D21" s="20" t="s">
        <v>74</v>
      </c>
      <c r="E21" s="20" t="s">
        <v>74</v>
      </c>
      <c r="F21" s="20" t="s">
        <v>74</v>
      </c>
      <c r="G21" s="20" t="s">
        <v>74</v>
      </c>
      <c r="H21" s="20" t="s">
        <v>74</v>
      </c>
      <c r="I21" s="20" t="s">
        <v>74</v>
      </c>
      <c r="J21" s="20" t="s">
        <v>74</v>
      </c>
      <c r="K21" s="20" t="s">
        <v>74</v>
      </c>
      <c r="L21" s="20" t="s">
        <v>74</v>
      </c>
      <c r="M21" s="20" t="s">
        <v>74</v>
      </c>
      <c r="N21" s="20" t="s">
        <v>74</v>
      </c>
      <c r="O21" s="20" t="s">
        <v>74</v>
      </c>
      <c r="P21" s="20" t="s">
        <v>74</v>
      </c>
      <c r="Q21" s="25" t="s">
        <v>34</v>
      </c>
      <c r="R21" s="26"/>
      <c r="S21" s="27"/>
      <c r="T21" s="28"/>
      <c r="U21" s="2"/>
    </row>
    <row r="22" spans="2:21" ht="26.25" thickBot="1" x14ac:dyDescent="0.3">
      <c r="B22" s="6" t="s">
        <v>32</v>
      </c>
      <c r="C22" s="15">
        <f>0.84*13</f>
        <v>10.92</v>
      </c>
      <c r="D22" s="20" t="s">
        <v>75</v>
      </c>
      <c r="E22" s="20" t="s">
        <v>75</v>
      </c>
      <c r="F22" s="20" t="s">
        <v>75</v>
      </c>
      <c r="G22" s="20" t="s">
        <v>75</v>
      </c>
      <c r="H22" s="20" t="s">
        <v>75</v>
      </c>
      <c r="I22" s="20" t="s">
        <v>75</v>
      </c>
      <c r="J22" s="20" t="s">
        <v>75</v>
      </c>
      <c r="K22" s="20" t="s">
        <v>75</v>
      </c>
      <c r="L22" s="20" t="s">
        <v>75</v>
      </c>
      <c r="M22" s="20" t="s">
        <v>75</v>
      </c>
      <c r="N22" s="20" t="s">
        <v>75</v>
      </c>
      <c r="O22" s="20" t="s">
        <v>75</v>
      </c>
      <c r="P22" s="20" t="s">
        <v>75</v>
      </c>
      <c r="Q22" s="25" t="s">
        <v>34</v>
      </c>
      <c r="R22" s="26"/>
      <c r="S22" s="27"/>
      <c r="T22" s="28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5"/>
      <c r="R23" s="26"/>
      <c r="S23" s="27"/>
      <c r="T23" s="28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5"/>
      <c r="R24" s="26"/>
      <c r="S24" s="27"/>
      <c r="T24" s="28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5"/>
      <c r="R25" s="26"/>
      <c r="S25" s="27"/>
      <c r="T25" s="28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5"/>
      <c r="R26" s="26"/>
      <c r="S26" s="27"/>
      <c r="T26" s="28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>
        <f>SUM(C16:C23)</f>
        <v>5199.9999999999991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27"/>
      <c r="R28" s="28"/>
      <c r="S28" s="27"/>
      <c r="T28" s="28"/>
      <c r="U28" s="2"/>
    </row>
    <row r="29" spans="2:21" x14ac:dyDescent="0.25">
      <c r="B29" s="29" t="s">
        <v>22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FC7D-4458-496C-87A5-CBA1B30F7E60}">
  <sheetPr>
    <pageSetUpPr fitToPage="1"/>
  </sheetPr>
  <dimension ref="B7:U33"/>
  <sheetViews>
    <sheetView workbookViewId="0">
      <selection activeCell="E17" sqref="E17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46033</v>
      </c>
      <c r="D9" s="1"/>
      <c r="E9" s="57" t="s">
        <v>2</v>
      </c>
      <c r="F9" s="57"/>
      <c r="G9" s="58" t="s">
        <v>37</v>
      </c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2"/>
    </row>
    <row r="10" spans="2:21" ht="15.75" customHeight="1" thickBot="1" x14ac:dyDescent="0.3">
      <c r="B10" s="1"/>
      <c r="C10" s="14"/>
      <c r="D10" s="1"/>
      <c r="E10" s="1"/>
      <c r="F10" s="1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0.5625</v>
      </c>
      <c r="E15" s="11">
        <v>0.57638888888888884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25" t="s">
        <v>28</v>
      </c>
      <c r="R15" s="26"/>
      <c r="S15" s="30"/>
      <c r="T15" s="31"/>
      <c r="U15" s="2"/>
    </row>
    <row r="16" spans="2:21" ht="26.25" thickBot="1" x14ac:dyDescent="0.3">
      <c r="B16" s="6" t="s">
        <v>29</v>
      </c>
      <c r="C16" s="15">
        <v>147.87</v>
      </c>
      <c r="D16" s="20" t="s">
        <v>69</v>
      </c>
      <c r="E16" s="20" t="s">
        <v>76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5" t="s">
        <v>28</v>
      </c>
      <c r="R16" s="26"/>
      <c r="S16" s="27"/>
      <c r="T16" s="28"/>
      <c r="U16" s="2"/>
    </row>
    <row r="17" spans="2:21" ht="26.25" thickBot="1" x14ac:dyDescent="0.3">
      <c r="B17" s="6" t="s">
        <v>30</v>
      </c>
      <c r="C17" s="15">
        <v>204.74</v>
      </c>
      <c r="D17" s="20" t="s">
        <v>70</v>
      </c>
      <c r="E17" s="20" t="s">
        <v>77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5" t="s">
        <v>28</v>
      </c>
      <c r="R17" s="26"/>
      <c r="S17" s="27"/>
      <c r="T17" s="28"/>
      <c r="U17" s="2"/>
    </row>
    <row r="18" spans="2:21" ht="26.25" thickBot="1" x14ac:dyDescent="0.3">
      <c r="B18" s="6" t="s">
        <v>38</v>
      </c>
      <c r="C18" s="15">
        <v>170.61</v>
      </c>
      <c r="D18" s="20" t="s">
        <v>71</v>
      </c>
      <c r="E18" s="20" t="s">
        <v>78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5" t="s">
        <v>28</v>
      </c>
      <c r="R18" s="26"/>
      <c r="S18" s="27"/>
      <c r="T18" s="28"/>
      <c r="U18" s="2"/>
    </row>
    <row r="19" spans="2:21" ht="26.25" thickBot="1" x14ac:dyDescent="0.3">
      <c r="B19" s="6" t="s">
        <v>35</v>
      </c>
      <c r="C19" s="15">
        <v>34.119999999999997</v>
      </c>
      <c r="D19" s="20" t="s">
        <v>72</v>
      </c>
      <c r="E19" s="20" t="s">
        <v>79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5" t="s">
        <v>28</v>
      </c>
      <c r="R19" s="26"/>
      <c r="S19" s="27"/>
      <c r="T19" s="28"/>
      <c r="U19" s="2"/>
    </row>
    <row r="20" spans="2:21" ht="26.25" thickBot="1" x14ac:dyDescent="0.3">
      <c r="B20" s="6" t="s">
        <v>36</v>
      </c>
      <c r="C20" s="15">
        <v>68.239999999999995</v>
      </c>
      <c r="D20" s="20" t="s">
        <v>73</v>
      </c>
      <c r="E20" s="20" t="s">
        <v>82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5" t="s">
        <v>28</v>
      </c>
      <c r="R20" s="26"/>
      <c r="S20" s="27"/>
      <c r="T20" s="28"/>
      <c r="U20" s="2"/>
    </row>
    <row r="21" spans="2:21" ht="26.25" thickBot="1" x14ac:dyDescent="0.3">
      <c r="B21" s="6" t="s">
        <v>31</v>
      </c>
      <c r="C21" s="15">
        <v>24.11</v>
      </c>
      <c r="D21" s="20" t="s">
        <v>74</v>
      </c>
      <c r="E21" s="20" t="s">
        <v>80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5" t="s">
        <v>28</v>
      </c>
      <c r="R21" s="26"/>
      <c r="S21" s="27"/>
      <c r="T21" s="28"/>
      <c r="U21" s="2"/>
    </row>
    <row r="22" spans="2:21" ht="26.25" thickBot="1" x14ac:dyDescent="0.3">
      <c r="B22" s="6" t="s">
        <v>32</v>
      </c>
      <c r="C22" s="15">
        <v>1.36</v>
      </c>
      <c r="D22" s="20" t="s">
        <v>75</v>
      </c>
      <c r="E22" s="20" t="s">
        <v>81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5" t="s">
        <v>28</v>
      </c>
      <c r="R22" s="26"/>
      <c r="S22" s="27"/>
      <c r="T22" s="28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5"/>
      <c r="R23" s="26"/>
      <c r="S23" s="27"/>
      <c r="T23" s="28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5"/>
      <c r="R24" s="26"/>
      <c r="S24" s="27"/>
      <c r="T24" s="28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5"/>
      <c r="R25" s="26"/>
      <c r="S25" s="27"/>
      <c r="T25" s="28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5"/>
      <c r="R26" s="26"/>
      <c r="S26" s="27"/>
      <c r="T26" s="28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>
        <f>SUM(C16:C23)</f>
        <v>651.05000000000007</v>
      </c>
      <c r="D28" s="13">
        <v>400</v>
      </c>
      <c r="E28" s="13">
        <v>251.05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27"/>
      <c r="R28" s="28"/>
      <c r="S28" s="27"/>
      <c r="T28" s="28"/>
      <c r="U28" s="2"/>
    </row>
    <row r="29" spans="2:21" x14ac:dyDescent="0.25">
      <c r="B29" s="29" t="s">
        <v>22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A02F-3E5A-4BAE-853C-398B4494D434}">
  <sheetPr>
    <pageSetUpPr fitToPage="1"/>
  </sheetPr>
  <dimension ref="B7:U33"/>
  <sheetViews>
    <sheetView topLeftCell="A7" workbookViewId="0">
      <selection activeCell="D21" sqref="D21:N21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46033</v>
      </c>
      <c r="D9" s="1"/>
      <c r="E9" s="57" t="s">
        <v>2</v>
      </c>
      <c r="F9" s="57"/>
      <c r="G9" s="60" t="s">
        <v>52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0.59027777777777779</v>
      </c>
      <c r="E15" s="11">
        <v>0.60416666666666663</v>
      </c>
      <c r="F15" s="11">
        <v>0.61805555555555503</v>
      </c>
      <c r="G15" s="11">
        <v>0.63194444444444398</v>
      </c>
      <c r="H15" s="11">
        <v>0.64583333333333304</v>
      </c>
      <c r="I15" s="11">
        <v>0.65972222222222199</v>
      </c>
      <c r="J15" s="11">
        <v>0.67361111111111105</v>
      </c>
      <c r="K15" s="11">
        <v>0.6875</v>
      </c>
      <c r="L15" s="11">
        <v>0.70138888888888895</v>
      </c>
      <c r="M15" s="11">
        <v>0.71527777777777801</v>
      </c>
      <c r="N15" s="11">
        <v>0.72916666666666596</v>
      </c>
      <c r="O15" s="11">
        <v>0.74305555555555503</v>
      </c>
      <c r="P15" s="11"/>
      <c r="Q15" s="25" t="s">
        <v>28</v>
      </c>
      <c r="R15" s="26"/>
      <c r="S15" s="30"/>
      <c r="T15" s="31"/>
      <c r="U15" s="2"/>
    </row>
    <row r="16" spans="2:21" ht="26.25" thickBot="1" x14ac:dyDescent="0.3">
      <c r="B16" s="6" t="s">
        <v>29</v>
      </c>
      <c r="C16" s="15">
        <v>300.95999999999998</v>
      </c>
      <c r="D16" s="20" t="s">
        <v>55</v>
      </c>
      <c r="E16" s="20" t="s">
        <v>55</v>
      </c>
      <c r="F16" s="20" t="s">
        <v>55</v>
      </c>
      <c r="G16" s="20" t="s">
        <v>55</v>
      </c>
      <c r="H16" s="20" t="s">
        <v>55</v>
      </c>
      <c r="I16" s="20" t="s">
        <v>55</v>
      </c>
      <c r="J16" s="20" t="s">
        <v>55</v>
      </c>
      <c r="K16" s="20" t="s">
        <v>55</v>
      </c>
      <c r="L16" s="20" t="s">
        <v>55</v>
      </c>
      <c r="M16" s="20" t="s">
        <v>55</v>
      </c>
      <c r="N16" s="20" t="s">
        <v>55</v>
      </c>
      <c r="O16" s="20" t="s">
        <v>55</v>
      </c>
      <c r="P16" s="20"/>
      <c r="Q16" s="25" t="s">
        <v>28</v>
      </c>
      <c r="R16" s="26"/>
      <c r="S16" s="27"/>
      <c r="T16" s="28"/>
      <c r="U16" s="2"/>
    </row>
    <row r="17" spans="2:21" ht="26.25" thickBot="1" x14ac:dyDescent="0.3">
      <c r="B17" s="6" t="s">
        <v>30</v>
      </c>
      <c r="C17" s="15">
        <v>1963.68</v>
      </c>
      <c r="D17" s="20" t="s">
        <v>56</v>
      </c>
      <c r="E17" s="20" t="s">
        <v>56</v>
      </c>
      <c r="F17" s="20" t="s">
        <v>56</v>
      </c>
      <c r="G17" s="20" t="s">
        <v>56</v>
      </c>
      <c r="H17" s="20" t="s">
        <v>56</v>
      </c>
      <c r="I17" s="20" t="s">
        <v>56</v>
      </c>
      <c r="J17" s="20" t="s">
        <v>56</v>
      </c>
      <c r="K17" s="20" t="s">
        <v>56</v>
      </c>
      <c r="L17" s="20" t="s">
        <v>56</v>
      </c>
      <c r="M17" s="20" t="s">
        <v>56</v>
      </c>
      <c r="N17" s="20" t="s">
        <v>56</v>
      </c>
      <c r="O17" s="20" t="s">
        <v>56</v>
      </c>
      <c r="P17" s="20"/>
      <c r="Q17" s="25" t="s">
        <v>28</v>
      </c>
      <c r="R17" s="26"/>
      <c r="S17" s="27"/>
      <c r="T17" s="28"/>
      <c r="U17" s="2"/>
    </row>
    <row r="18" spans="2:21" ht="26.25" thickBot="1" x14ac:dyDescent="0.3">
      <c r="B18" s="6" t="s">
        <v>35</v>
      </c>
      <c r="C18" s="15">
        <v>545.28</v>
      </c>
      <c r="D18" s="20" t="s">
        <v>57</v>
      </c>
      <c r="E18" s="20" t="s">
        <v>57</v>
      </c>
      <c r="F18" s="20" t="s">
        <v>57</v>
      </c>
      <c r="G18" s="20" t="s">
        <v>57</v>
      </c>
      <c r="H18" s="20" t="s">
        <v>57</v>
      </c>
      <c r="I18" s="20" t="s">
        <v>57</v>
      </c>
      <c r="J18" s="20" t="s">
        <v>57</v>
      </c>
      <c r="K18" s="20" t="s">
        <v>57</v>
      </c>
      <c r="L18" s="20" t="s">
        <v>57</v>
      </c>
      <c r="M18" s="20" t="s">
        <v>57</v>
      </c>
      <c r="N18" s="20" t="s">
        <v>57</v>
      </c>
      <c r="O18" s="20" t="s">
        <v>57</v>
      </c>
      <c r="P18" s="20"/>
      <c r="Q18" s="25" t="s">
        <v>28</v>
      </c>
      <c r="R18" s="26"/>
      <c r="S18" s="27"/>
      <c r="T18" s="28"/>
      <c r="U18" s="2"/>
    </row>
    <row r="19" spans="2:21" ht="26.25" thickBot="1" x14ac:dyDescent="0.3">
      <c r="B19" s="6" t="s">
        <v>41</v>
      </c>
      <c r="C19" s="15">
        <v>382.08</v>
      </c>
      <c r="D19" s="20" t="s">
        <v>58</v>
      </c>
      <c r="E19" s="20" t="s">
        <v>58</v>
      </c>
      <c r="F19" s="20" t="s">
        <v>58</v>
      </c>
      <c r="G19" s="20" t="s">
        <v>58</v>
      </c>
      <c r="H19" s="20" t="s">
        <v>58</v>
      </c>
      <c r="I19" s="20" t="s">
        <v>58</v>
      </c>
      <c r="J19" s="20" t="s">
        <v>58</v>
      </c>
      <c r="K19" s="20" t="s">
        <v>58</v>
      </c>
      <c r="L19" s="20" t="s">
        <v>58</v>
      </c>
      <c r="M19" s="20" t="s">
        <v>58</v>
      </c>
      <c r="N19" s="20" t="s">
        <v>58</v>
      </c>
      <c r="O19" s="20" t="s">
        <v>58</v>
      </c>
      <c r="P19" s="20"/>
      <c r="Q19" s="25" t="s">
        <v>28</v>
      </c>
      <c r="R19" s="26"/>
      <c r="S19" s="27"/>
      <c r="T19" s="28"/>
      <c r="U19" s="2"/>
    </row>
    <row r="20" spans="2:21" ht="26.25" thickBot="1" x14ac:dyDescent="0.3">
      <c r="B20" s="6" t="s">
        <v>40</v>
      </c>
      <c r="C20" s="15">
        <v>545.28</v>
      </c>
      <c r="D20" s="20" t="s">
        <v>59</v>
      </c>
      <c r="E20" s="20" t="s">
        <v>59</v>
      </c>
      <c r="F20" s="20" t="s">
        <v>59</v>
      </c>
      <c r="G20" s="20" t="s">
        <v>59</v>
      </c>
      <c r="H20" s="20" t="s">
        <v>59</v>
      </c>
      <c r="I20" s="20" t="s">
        <v>59</v>
      </c>
      <c r="J20" s="20" t="s">
        <v>59</v>
      </c>
      <c r="K20" s="20" t="s">
        <v>59</v>
      </c>
      <c r="L20" s="20" t="s">
        <v>59</v>
      </c>
      <c r="M20" s="20" t="s">
        <v>59</v>
      </c>
      <c r="N20" s="20" t="s">
        <v>59</v>
      </c>
      <c r="O20" s="20" t="s">
        <v>59</v>
      </c>
      <c r="P20" s="20"/>
      <c r="Q20" s="25" t="s">
        <v>28</v>
      </c>
      <c r="R20" s="26"/>
      <c r="S20" s="27"/>
      <c r="T20" s="28"/>
      <c r="U20" s="2"/>
    </row>
    <row r="21" spans="2:21" ht="26.25" thickBot="1" x14ac:dyDescent="0.3">
      <c r="B21" s="6" t="s">
        <v>53</v>
      </c>
      <c r="C21" s="15">
        <v>818.4</v>
      </c>
      <c r="D21" s="20" t="s">
        <v>87</v>
      </c>
      <c r="E21" s="20" t="s">
        <v>87</v>
      </c>
      <c r="F21" s="20" t="s">
        <v>87</v>
      </c>
      <c r="G21" s="20" t="s">
        <v>87</v>
      </c>
      <c r="H21" s="20" t="s">
        <v>87</v>
      </c>
      <c r="I21" s="20" t="s">
        <v>87</v>
      </c>
      <c r="J21" s="20" t="s">
        <v>87</v>
      </c>
      <c r="K21" s="20" t="s">
        <v>87</v>
      </c>
      <c r="L21" s="20" t="s">
        <v>87</v>
      </c>
      <c r="M21" s="20" t="s">
        <v>87</v>
      </c>
      <c r="N21" s="20" t="s">
        <v>87</v>
      </c>
      <c r="O21" s="20" t="s">
        <v>87</v>
      </c>
      <c r="P21" s="20"/>
      <c r="Q21" s="25" t="s">
        <v>28</v>
      </c>
      <c r="R21" s="26"/>
      <c r="S21" s="27"/>
      <c r="T21" s="28"/>
      <c r="U21" s="2"/>
    </row>
    <row r="22" spans="2:21" ht="26.25" thickBot="1" x14ac:dyDescent="0.3">
      <c r="B22" s="6" t="s">
        <v>31</v>
      </c>
      <c r="C22" s="15">
        <v>231.36</v>
      </c>
      <c r="D22" s="20" t="s">
        <v>60</v>
      </c>
      <c r="E22" s="20" t="s">
        <v>60</v>
      </c>
      <c r="F22" s="20" t="s">
        <v>60</v>
      </c>
      <c r="G22" s="20" t="s">
        <v>60</v>
      </c>
      <c r="H22" s="20" t="s">
        <v>60</v>
      </c>
      <c r="I22" s="20" t="s">
        <v>60</v>
      </c>
      <c r="J22" s="20" t="s">
        <v>60</v>
      </c>
      <c r="K22" s="20" t="s">
        <v>60</v>
      </c>
      <c r="L22" s="20" t="s">
        <v>60</v>
      </c>
      <c r="M22" s="20" t="s">
        <v>60</v>
      </c>
      <c r="N22" s="20" t="s">
        <v>60</v>
      </c>
      <c r="O22" s="20" t="s">
        <v>60</v>
      </c>
      <c r="P22" s="20"/>
      <c r="Q22" s="25" t="s">
        <v>28</v>
      </c>
      <c r="R22" s="26"/>
      <c r="S22" s="27"/>
      <c r="T22" s="28"/>
      <c r="U22" s="2"/>
    </row>
    <row r="23" spans="2:21" ht="26.25" thickBot="1" x14ac:dyDescent="0.3">
      <c r="B23" s="6" t="s">
        <v>32</v>
      </c>
      <c r="C23" s="15">
        <v>12.96</v>
      </c>
      <c r="D23" s="20" t="s">
        <v>61</v>
      </c>
      <c r="E23" s="20" t="s">
        <v>61</v>
      </c>
      <c r="F23" s="20" t="s">
        <v>61</v>
      </c>
      <c r="G23" s="20" t="s">
        <v>61</v>
      </c>
      <c r="H23" s="20" t="s">
        <v>61</v>
      </c>
      <c r="I23" s="20" t="s">
        <v>61</v>
      </c>
      <c r="J23" s="20" t="s">
        <v>61</v>
      </c>
      <c r="K23" s="20" t="s">
        <v>61</v>
      </c>
      <c r="L23" s="20" t="s">
        <v>61</v>
      </c>
      <c r="M23" s="20" t="s">
        <v>61</v>
      </c>
      <c r="N23" s="20" t="s">
        <v>61</v>
      </c>
      <c r="O23" s="20" t="s">
        <v>61</v>
      </c>
      <c r="P23" s="20"/>
      <c r="Q23" s="25" t="s">
        <v>28</v>
      </c>
      <c r="R23" s="26"/>
      <c r="S23" s="27"/>
      <c r="T23" s="28"/>
      <c r="U23" s="2"/>
    </row>
    <row r="24" spans="2:21" ht="26.25" thickBot="1" x14ac:dyDescent="0.3">
      <c r="B24" s="6"/>
      <c r="C24" s="15"/>
      <c r="D24" s="21" t="s">
        <v>42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5"/>
      <c r="R24" s="26"/>
      <c r="S24" s="27"/>
      <c r="T24" s="28"/>
      <c r="U24" s="2"/>
    </row>
    <row r="25" spans="2:21" ht="26.25" thickBot="1" x14ac:dyDescent="0.3">
      <c r="B25" s="6"/>
      <c r="C25" s="15"/>
      <c r="D25" s="21" t="s">
        <v>42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5"/>
      <c r="R25" s="26"/>
      <c r="S25" s="27"/>
      <c r="T25" s="28"/>
      <c r="U25" s="2"/>
    </row>
    <row r="26" spans="2:21" ht="26.25" thickBot="1" x14ac:dyDescent="0.3">
      <c r="B26" s="6"/>
      <c r="C26" s="15"/>
      <c r="D26" s="21" t="s">
        <v>42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5"/>
      <c r="R26" s="26"/>
      <c r="S26" s="27"/>
      <c r="T26" s="28"/>
      <c r="U26" s="2"/>
    </row>
    <row r="27" spans="2:21" ht="26.25" thickBot="1" x14ac:dyDescent="0.3">
      <c r="B27" s="6"/>
      <c r="C27" s="15"/>
      <c r="D27" s="21" t="s">
        <v>42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>
        <f>SUM(C16:C26)</f>
        <v>4799.9999999999991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/>
      <c r="Q28" s="27"/>
      <c r="R28" s="28"/>
      <c r="S28" s="27"/>
      <c r="T28" s="28"/>
      <c r="U28" s="2"/>
    </row>
    <row r="29" spans="2:21" x14ac:dyDescent="0.25">
      <c r="B29" s="29" t="s">
        <v>22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CF97-F27C-44CE-907D-6F12A441563A}">
  <sheetPr>
    <pageSetUpPr fitToPage="1"/>
  </sheetPr>
  <dimension ref="B7:U33"/>
  <sheetViews>
    <sheetView workbookViewId="0">
      <selection activeCell="O22" sqref="O2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46033</v>
      </c>
      <c r="D9" s="1"/>
      <c r="E9" s="57" t="s">
        <v>2</v>
      </c>
      <c r="F9" s="57"/>
      <c r="G9" s="60" t="s">
        <v>52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0.59375</v>
      </c>
      <c r="E15" s="11">
        <v>0.60763888888888884</v>
      </c>
      <c r="F15" s="11">
        <v>0.62152777777777801</v>
      </c>
      <c r="G15" s="11">
        <v>0.63541666666666696</v>
      </c>
      <c r="H15" s="11">
        <v>0.64930555555555503</v>
      </c>
      <c r="I15" s="11">
        <v>0.66319444444444398</v>
      </c>
      <c r="J15" s="11">
        <v>0.67708333333333304</v>
      </c>
      <c r="K15" s="11">
        <v>0.69097222222222199</v>
      </c>
      <c r="L15" s="11">
        <v>0.70486111111111105</v>
      </c>
      <c r="M15" s="11">
        <v>0.71875</v>
      </c>
      <c r="N15" s="11">
        <v>0.73263888888888795</v>
      </c>
      <c r="O15" s="11">
        <v>0.74652777777777701</v>
      </c>
      <c r="P15" s="11"/>
      <c r="Q15" s="25" t="s">
        <v>34</v>
      </c>
      <c r="R15" s="26"/>
      <c r="S15" s="30"/>
      <c r="T15" s="31"/>
      <c r="U15" s="2"/>
    </row>
    <row r="16" spans="2:21" ht="26.25" thickBot="1" x14ac:dyDescent="0.3">
      <c r="B16" s="6" t="s">
        <v>29</v>
      </c>
      <c r="C16" s="15">
        <v>293.22000000000003</v>
      </c>
      <c r="D16" s="20" t="s">
        <v>55</v>
      </c>
      <c r="E16" s="20" t="s">
        <v>55</v>
      </c>
      <c r="F16" s="20" t="s">
        <v>55</v>
      </c>
      <c r="G16" s="20" t="s">
        <v>55</v>
      </c>
      <c r="H16" s="20" t="s">
        <v>55</v>
      </c>
      <c r="I16" s="20" t="s">
        <v>55</v>
      </c>
      <c r="J16" s="20" t="s">
        <v>55</v>
      </c>
      <c r="K16" s="20" t="s">
        <v>55</v>
      </c>
      <c r="L16" s="20" t="s">
        <v>55</v>
      </c>
      <c r="M16" s="20" t="s">
        <v>55</v>
      </c>
      <c r="N16" s="20" t="s">
        <v>55</v>
      </c>
      <c r="O16" s="20" t="s">
        <v>62</v>
      </c>
      <c r="P16" s="20"/>
      <c r="Q16" s="25" t="s">
        <v>34</v>
      </c>
      <c r="R16" s="26"/>
      <c r="S16" s="27"/>
      <c r="T16" s="28"/>
      <c r="U16" s="2"/>
    </row>
    <row r="17" spans="2:21" ht="26.25" thickBot="1" x14ac:dyDescent="0.3">
      <c r="B17" s="6" t="s">
        <v>30</v>
      </c>
      <c r="C17" s="15">
        <v>1913.16</v>
      </c>
      <c r="D17" s="20" t="s">
        <v>56</v>
      </c>
      <c r="E17" s="20" t="s">
        <v>56</v>
      </c>
      <c r="F17" s="20" t="s">
        <v>56</v>
      </c>
      <c r="G17" s="20" t="s">
        <v>56</v>
      </c>
      <c r="H17" s="20" t="s">
        <v>56</v>
      </c>
      <c r="I17" s="20" t="s">
        <v>56</v>
      </c>
      <c r="J17" s="20" t="s">
        <v>56</v>
      </c>
      <c r="K17" s="20" t="s">
        <v>56</v>
      </c>
      <c r="L17" s="20" t="s">
        <v>56</v>
      </c>
      <c r="M17" s="20" t="s">
        <v>56</v>
      </c>
      <c r="N17" s="20" t="s">
        <v>56</v>
      </c>
      <c r="O17" s="20" t="s">
        <v>63</v>
      </c>
      <c r="P17" s="20"/>
      <c r="Q17" s="25" t="s">
        <v>34</v>
      </c>
      <c r="R17" s="26"/>
      <c r="S17" s="27"/>
      <c r="T17" s="28"/>
      <c r="U17" s="2"/>
    </row>
    <row r="18" spans="2:21" ht="26.25" thickBot="1" x14ac:dyDescent="0.3">
      <c r="B18" s="6" t="s">
        <v>35</v>
      </c>
      <c r="C18" s="15">
        <v>531.25</v>
      </c>
      <c r="D18" s="20" t="s">
        <v>57</v>
      </c>
      <c r="E18" s="20" t="s">
        <v>57</v>
      </c>
      <c r="F18" s="20" t="s">
        <v>57</v>
      </c>
      <c r="G18" s="20" t="s">
        <v>57</v>
      </c>
      <c r="H18" s="20" t="s">
        <v>57</v>
      </c>
      <c r="I18" s="20" t="s">
        <v>57</v>
      </c>
      <c r="J18" s="20" t="s">
        <v>57</v>
      </c>
      <c r="K18" s="20" t="s">
        <v>57</v>
      </c>
      <c r="L18" s="20" t="s">
        <v>57</v>
      </c>
      <c r="M18" s="20" t="s">
        <v>57</v>
      </c>
      <c r="N18" s="20" t="s">
        <v>57</v>
      </c>
      <c r="O18" s="20" t="s">
        <v>64</v>
      </c>
      <c r="P18" s="20"/>
      <c r="Q18" s="25" t="s">
        <v>34</v>
      </c>
      <c r="R18" s="26"/>
      <c r="S18" s="27"/>
      <c r="T18" s="28"/>
      <c r="U18" s="2"/>
    </row>
    <row r="19" spans="2:21" ht="26.25" thickBot="1" x14ac:dyDescent="0.3">
      <c r="B19" s="6" t="s">
        <v>41</v>
      </c>
      <c r="C19" s="15">
        <v>372.25</v>
      </c>
      <c r="D19" s="20" t="s">
        <v>58</v>
      </c>
      <c r="E19" s="20" t="s">
        <v>58</v>
      </c>
      <c r="F19" s="20" t="s">
        <v>58</v>
      </c>
      <c r="G19" s="20" t="s">
        <v>58</v>
      </c>
      <c r="H19" s="20" t="s">
        <v>58</v>
      </c>
      <c r="I19" s="20" t="s">
        <v>58</v>
      </c>
      <c r="J19" s="20" t="s">
        <v>58</v>
      </c>
      <c r="K19" s="20" t="s">
        <v>58</v>
      </c>
      <c r="L19" s="20" t="s">
        <v>58</v>
      </c>
      <c r="M19" s="20" t="s">
        <v>58</v>
      </c>
      <c r="N19" s="20" t="s">
        <v>58</v>
      </c>
      <c r="O19" s="20" t="s">
        <v>65</v>
      </c>
      <c r="P19" s="20"/>
      <c r="Q19" s="25" t="s">
        <v>34</v>
      </c>
      <c r="R19" s="26"/>
      <c r="S19" s="27"/>
      <c r="T19" s="28"/>
      <c r="U19" s="2"/>
    </row>
    <row r="20" spans="2:21" ht="26.25" thickBot="1" x14ac:dyDescent="0.3">
      <c r="B20" s="6" t="s">
        <v>40</v>
      </c>
      <c r="C20" s="15">
        <v>531.25</v>
      </c>
      <c r="D20" s="20" t="s">
        <v>59</v>
      </c>
      <c r="E20" s="20" t="s">
        <v>59</v>
      </c>
      <c r="F20" s="20" t="s">
        <v>59</v>
      </c>
      <c r="G20" s="20" t="s">
        <v>59</v>
      </c>
      <c r="H20" s="20" t="s">
        <v>59</v>
      </c>
      <c r="I20" s="20" t="s">
        <v>59</v>
      </c>
      <c r="J20" s="20" t="s">
        <v>59</v>
      </c>
      <c r="K20" s="20" t="s">
        <v>59</v>
      </c>
      <c r="L20" s="20" t="s">
        <v>59</v>
      </c>
      <c r="M20" s="20" t="s">
        <v>59</v>
      </c>
      <c r="N20" s="20" t="s">
        <v>59</v>
      </c>
      <c r="O20" s="20" t="s">
        <v>66</v>
      </c>
      <c r="P20" s="20"/>
      <c r="Q20" s="25" t="s">
        <v>34</v>
      </c>
      <c r="R20" s="26"/>
      <c r="S20" s="27"/>
      <c r="T20" s="28"/>
      <c r="U20" s="2"/>
    </row>
    <row r="21" spans="2:21" ht="26.25" thickBot="1" x14ac:dyDescent="0.3">
      <c r="B21" s="6" t="s">
        <v>53</v>
      </c>
      <c r="C21" s="15">
        <v>797.35</v>
      </c>
      <c r="D21" s="20" t="s">
        <v>87</v>
      </c>
      <c r="E21" s="20" t="s">
        <v>87</v>
      </c>
      <c r="F21" s="20" t="s">
        <v>87</v>
      </c>
      <c r="G21" s="20" t="s">
        <v>87</v>
      </c>
      <c r="H21" s="20" t="s">
        <v>87</v>
      </c>
      <c r="I21" s="20" t="s">
        <v>87</v>
      </c>
      <c r="J21" s="20" t="s">
        <v>87</v>
      </c>
      <c r="K21" s="20" t="s">
        <v>87</v>
      </c>
      <c r="L21" s="20" t="s">
        <v>87</v>
      </c>
      <c r="M21" s="20" t="s">
        <v>87</v>
      </c>
      <c r="N21" s="20" t="s">
        <v>87</v>
      </c>
      <c r="O21" s="20" t="s">
        <v>88</v>
      </c>
      <c r="P21" s="20"/>
      <c r="Q21" s="25" t="s">
        <v>34</v>
      </c>
      <c r="R21" s="26"/>
      <c r="S21" s="27"/>
      <c r="T21" s="28"/>
      <c r="U21" s="2"/>
    </row>
    <row r="22" spans="2:21" ht="26.25" thickBot="1" x14ac:dyDescent="0.3">
      <c r="B22" s="6" t="s">
        <v>31</v>
      </c>
      <c r="C22" s="15">
        <v>225.41</v>
      </c>
      <c r="D22" s="20" t="s">
        <v>60</v>
      </c>
      <c r="E22" s="20" t="s">
        <v>60</v>
      </c>
      <c r="F22" s="20" t="s">
        <v>60</v>
      </c>
      <c r="G22" s="20" t="s">
        <v>60</v>
      </c>
      <c r="H22" s="20" t="s">
        <v>60</v>
      </c>
      <c r="I22" s="20" t="s">
        <v>60</v>
      </c>
      <c r="J22" s="20" t="s">
        <v>60</v>
      </c>
      <c r="K22" s="20" t="s">
        <v>60</v>
      </c>
      <c r="L22" s="20" t="s">
        <v>60</v>
      </c>
      <c r="M22" s="20" t="s">
        <v>60</v>
      </c>
      <c r="N22" s="20" t="s">
        <v>60</v>
      </c>
      <c r="O22" s="20" t="s">
        <v>67</v>
      </c>
      <c r="P22" s="20"/>
      <c r="Q22" s="25" t="s">
        <v>34</v>
      </c>
      <c r="R22" s="26"/>
      <c r="S22" s="27"/>
      <c r="T22" s="28"/>
      <c r="U22" s="2"/>
    </row>
    <row r="23" spans="2:21" ht="26.25" thickBot="1" x14ac:dyDescent="0.3">
      <c r="B23" s="6" t="s">
        <v>32</v>
      </c>
      <c r="C23" s="15">
        <v>12.63</v>
      </c>
      <c r="D23" s="20" t="s">
        <v>61</v>
      </c>
      <c r="E23" s="20" t="s">
        <v>61</v>
      </c>
      <c r="F23" s="20" t="s">
        <v>61</v>
      </c>
      <c r="G23" s="20" t="s">
        <v>61</v>
      </c>
      <c r="H23" s="20" t="s">
        <v>61</v>
      </c>
      <c r="I23" s="20" t="s">
        <v>61</v>
      </c>
      <c r="J23" s="20" t="s">
        <v>61</v>
      </c>
      <c r="K23" s="20" t="s">
        <v>61</v>
      </c>
      <c r="L23" s="20" t="s">
        <v>61</v>
      </c>
      <c r="M23" s="20" t="s">
        <v>61</v>
      </c>
      <c r="N23" s="20" t="s">
        <v>61</v>
      </c>
      <c r="O23" s="20" t="s">
        <v>68</v>
      </c>
      <c r="P23" s="20"/>
      <c r="Q23" s="25" t="s">
        <v>34</v>
      </c>
      <c r="R23" s="26"/>
      <c r="S23" s="27"/>
      <c r="T23" s="28"/>
      <c r="U23" s="2"/>
    </row>
    <row r="24" spans="2:21" ht="26.25" thickBot="1" x14ac:dyDescent="0.3">
      <c r="B24" s="6"/>
      <c r="C24" s="15"/>
      <c r="D24" s="21" t="s">
        <v>42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5"/>
      <c r="R24" s="26"/>
      <c r="S24" s="27"/>
      <c r="T24" s="28"/>
      <c r="U24" s="2"/>
    </row>
    <row r="25" spans="2:21" ht="26.25" thickBot="1" x14ac:dyDescent="0.3">
      <c r="B25" s="6"/>
      <c r="C25" s="15"/>
      <c r="D25" s="21" t="s">
        <v>42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5"/>
      <c r="R25" s="26"/>
      <c r="S25" s="27"/>
      <c r="T25" s="28"/>
      <c r="U25" s="2"/>
    </row>
    <row r="26" spans="2:21" ht="26.25" thickBot="1" x14ac:dyDescent="0.3">
      <c r="B26" s="6"/>
      <c r="C26" s="15"/>
      <c r="D26" s="21" t="s">
        <v>42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5"/>
      <c r="R26" s="26"/>
      <c r="S26" s="27"/>
      <c r="T26" s="28"/>
      <c r="U26" s="2"/>
    </row>
    <row r="27" spans="2:21" ht="26.25" thickBot="1" x14ac:dyDescent="0.3">
      <c r="B27" s="6"/>
      <c r="C27" s="15"/>
      <c r="D27" s="21" t="s">
        <v>42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>
        <f>SUM(C16:C26)</f>
        <v>4676.5200000000004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276.52</v>
      </c>
      <c r="P28" s="13"/>
      <c r="Q28" s="27"/>
      <c r="R28" s="28"/>
      <c r="S28" s="27"/>
      <c r="T28" s="28"/>
      <c r="U28" s="2"/>
    </row>
    <row r="29" spans="2:21" x14ac:dyDescent="0.25">
      <c r="B29" s="29" t="s">
        <v>22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honeticPr fontId="13" type="noConversion"/>
  <pageMargins left="0.25" right="0.25" top="0.75" bottom="0.75" header="0.3" footer="0.3"/>
  <pageSetup paperSize="9" scale="5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1AE0-E063-44DD-8197-72D6B98250AE}">
  <sheetPr>
    <pageSetUpPr fitToPage="1"/>
  </sheetPr>
  <dimension ref="B7:U33"/>
  <sheetViews>
    <sheetView topLeftCell="A4" workbookViewId="0">
      <selection activeCell="D16" sqref="D16:P26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46034</v>
      </c>
      <c r="D9" s="1"/>
      <c r="E9" s="57" t="s">
        <v>2</v>
      </c>
      <c r="F9" s="57"/>
      <c r="G9" s="60" t="s">
        <v>43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0.33333333333333331</v>
      </c>
      <c r="E15" s="11">
        <v>0.34722222222222221</v>
      </c>
      <c r="F15" s="11">
        <v>0.36111111111111099</v>
      </c>
      <c r="G15" s="11">
        <v>0.375</v>
      </c>
      <c r="H15" s="11">
        <v>0.38888888888888901</v>
      </c>
      <c r="I15" s="11">
        <v>0.40277777777777801</v>
      </c>
      <c r="J15" s="11">
        <v>0.41666666666666702</v>
      </c>
      <c r="K15" s="11">
        <v>0.43055555555555602</v>
      </c>
      <c r="L15" s="11">
        <v>0.44444444444444398</v>
      </c>
      <c r="M15" s="11">
        <v>0.45833333333333298</v>
      </c>
      <c r="N15" s="11">
        <v>0.47222222222222199</v>
      </c>
      <c r="O15" s="11">
        <v>0.48611111111111099</v>
      </c>
      <c r="P15" s="11">
        <v>0.5</v>
      </c>
      <c r="Q15" s="25" t="s">
        <v>28</v>
      </c>
      <c r="R15" s="26"/>
      <c r="S15" s="30"/>
      <c r="T15" s="31"/>
      <c r="U15" s="2"/>
    </row>
    <row r="16" spans="2:21" ht="26.25" thickBot="1" x14ac:dyDescent="0.3">
      <c r="B16" s="6" t="s">
        <v>29</v>
      </c>
      <c r="C16" s="15">
        <v>668.2</v>
      </c>
      <c r="D16" s="20" t="s">
        <v>83</v>
      </c>
      <c r="E16" s="20" t="s">
        <v>83</v>
      </c>
      <c r="F16" s="20" t="s">
        <v>83</v>
      </c>
      <c r="G16" s="20" t="s">
        <v>83</v>
      </c>
      <c r="H16" s="20" t="s">
        <v>83</v>
      </c>
      <c r="I16" s="20" t="s">
        <v>83</v>
      </c>
      <c r="J16" s="20" t="s">
        <v>83</v>
      </c>
      <c r="K16" s="20" t="s">
        <v>83</v>
      </c>
      <c r="L16" s="20" t="s">
        <v>83</v>
      </c>
      <c r="M16" s="20" t="s">
        <v>83</v>
      </c>
      <c r="N16" s="20" t="s">
        <v>83</v>
      </c>
      <c r="O16" s="20" t="s">
        <v>83</v>
      </c>
      <c r="P16" s="20" t="s">
        <v>83</v>
      </c>
      <c r="Q16" s="25" t="s">
        <v>28</v>
      </c>
      <c r="R16" s="26"/>
      <c r="S16" s="27"/>
      <c r="T16" s="28"/>
      <c r="U16" s="2"/>
    </row>
    <row r="17" spans="2:21" ht="26.25" thickBot="1" x14ac:dyDescent="0.3">
      <c r="B17" s="6" t="s">
        <v>30</v>
      </c>
      <c r="C17" s="15">
        <v>1125.28</v>
      </c>
      <c r="D17" s="20" t="s">
        <v>84</v>
      </c>
      <c r="E17" s="20" t="s">
        <v>84</v>
      </c>
      <c r="F17" s="20" t="s">
        <v>84</v>
      </c>
      <c r="G17" s="20" t="s">
        <v>84</v>
      </c>
      <c r="H17" s="20" t="s">
        <v>84</v>
      </c>
      <c r="I17" s="20" t="s">
        <v>84</v>
      </c>
      <c r="J17" s="20" t="s">
        <v>84</v>
      </c>
      <c r="K17" s="20" t="s">
        <v>84</v>
      </c>
      <c r="L17" s="20" t="s">
        <v>84</v>
      </c>
      <c r="M17" s="20" t="s">
        <v>84</v>
      </c>
      <c r="N17" s="20" t="s">
        <v>84</v>
      </c>
      <c r="O17" s="20" t="s">
        <v>84</v>
      </c>
      <c r="P17" s="20" t="s">
        <v>84</v>
      </c>
      <c r="Q17" s="25" t="s">
        <v>28</v>
      </c>
      <c r="R17" s="26"/>
      <c r="S17" s="27"/>
      <c r="T17" s="28"/>
      <c r="U17" s="2"/>
    </row>
    <row r="18" spans="2:21" ht="26.25" thickBot="1" x14ac:dyDescent="0.3">
      <c r="B18" s="6" t="s">
        <v>39</v>
      </c>
      <c r="C18" s="15">
        <v>1734.2</v>
      </c>
      <c r="D18" s="20" t="s">
        <v>85</v>
      </c>
      <c r="E18" s="20" t="s">
        <v>85</v>
      </c>
      <c r="F18" s="20" t="s">
        <v>85</v>
      </c>
      <c r="G18" s="20" t="s">
        <v>85</v>
      </c>
      <c r="H18" s="20" t="s">
        <v>85</v>
      </c>
      <c r="I18" s="20" t="s">
        <v>85</v>
      </c>
      <c r="J18" s="20" t="s">
        <v>85</v>
      </c>
      <c r="K18" s="20" t="s">
        <v>85</v>
      </c>
      <c r="L18" s="20" t="s">
        <v>85</v>
      </c>
      <c r="M18" s="20" t="s">
        <v>85</v>
      </c>
      <c r="N18" s="20" t="s">
        <v>85</v>
      </c>
      <c r="O18" s="20" t="s">
        <v>85</v>
      </c>
      <c r="P18" s="20" t="s">
        <v>85</v>
      </c>
      <c r="Q18" s="25" t="s">
        <v>28</v>
      </c>
      <c r="R18" s="26"/>
      <c r="S18" s="27"/>
      <c r="T18" s="28"/>
      <c r="U18" s="2"/>
    </row>
    <row r="19" spans="2:21" ht="26.25" thickBot="1" x14ac:dyDescent="0.3">
      <c r="B19" s="6" t="s">
        <v>35</v>
      </c>
      <c r="C19" s="15">
        <v>46.8</v>
      </c>
      <c r="D19" s="20" t="s">
        <v>86</v>
      </c>
      <c r="E19" s="20" t="s">
        <v>86</v>
      </c>
      <c r="F19" s="20" t="s">
        <v>86</v>
      </c>
      <c r="G19" s="20" t="s">
        <v>86</v>
      </c>
      <c r="H19" s="20" t="s">
        <v>86</v>
      </c>
      <c r="I19" s="20" t="s">
        <v>86</v>
      </c>
      <c r="J19" s="20" t="s">
        <v>86</v>
      </c>
      <c r="K19" s="20" t="s">
        <v>86</v>
      </c>
      <c r="L19" s="20" t="s">
        <v>86</v>
      </c>
      <c r="M19" s="20" t="s">
        <v>86</v>
      </c>
      <c r="N19" s="20" t="s">
        <v>86</v>
      </c>
      <c r="O19" s="20" t="s">
        <v>86</v>
      </c>
      <c r="P19" s="20" t="s">
        <v>86</v>
      </c>
      <c r="Q19" s="25" t="s">
        <v>28</v>
      </c>
      <c r="R19" s="26"/>
      <c r="S19" s="27"/>
      <c r="T19" s="28"/>
      <c r="U19" s="2"/>
    </row>
    <row r="20" spans="2:21" ht="26.25" thickBot="1" x14ac:dyDescent="0.3">
      <c r="B20" s="6" t="s">
        <v>41</v>
      </c>
      <c r="C20" s="15">
        <v>656.24</v>
      </c>
      <c r="D20" s="20" t="s">
        <v>89</v>
      </c>
      <c r="E20" s="20" t="s">
        <v>89</v>
      </c>
      <c r="F20" s="20" t="s">
        <v>89</v>
      </c>
      <c r="G20" s="20" t="s">
        <v>89</v>
      </c>
      <c r="H20" s="20" t="s">
        <v>89</v>
      </c>
      <c r="I20" s="20" t="s">
        <v>89</v>
      </c>
      <c r="J20" s="20" t="s">
        <v>89</v>
      </c>
      <c r="K20" s="20" t="s">
        <v>89</v>
      </c>
      <c r="L20" s="20" t="s">
        <v>89</v>
      </c>
      <c r="M20" s="20" t="s">
        <v>89</v>
      </c>
      <c r="N20" s="20" t="s">
        <v>89</v>
      </c>
      <c r="O20" s="20" t="s">
        <v>89</v>
      </c>
      <c r="P20" s="20" t="s">
        <v>89</v>
      </c>
      <c r="Q20" s="25" t="s">
        <v>28</v>
      </c>
      <c r="R20" s="26"/>
      <c r="S20" s="27"/>
      <c r="T20" s="28"/>
      <c r="U20" s="2"/>
    </row>
    <row r="21" spans="2:21" ht="26.25" thickBot="1" x14ac:dyDescent="0.3">
      <c r="B21" s="6" t="s">
        <v>36</v>
      </c>
      <c r="C21" s="15">
        <v>609.44000000000005</v>
      </c>
      <c r="D21" s="20" t="s">
        <v>90</v>
      </c>
      <c r="E21" s="20" t="s">
        <v>90</v>
      </c>
      <c r="F21" s="20" t="s">
        <v>90</v>
      </c>
      <c r="G21" s="20" t="s">
        <v>90</v>
      </c>
      <c r="H21" s="20" t="s">
        <v>90</v>
      </c>
      <c r="I21" s="20" t="s">
        <v>90</v>
      </c>
      <c r="J21" s="20" t="s">
        <v>90</v>
      </c>
      <c r="K21" s="20" t="s">
        <v>90</v>
      </c>
      <c r="L21" s="20" t="s">
        <v>90</v>
      </c>
      <c r="M21" s="20" t="s">
        <v>90</v>
      </c>
      <c r="N21" s="20" t="s">
        <v>90</v>
      </c>
      <c r="O21" s="20" t="s">
        <v>90</v>
      </c>
      <c r="P21" s="20" t="s">
        <v>90</v>
      </c>
      <c r="Q21" s="25" t="s">
        <v>28</v>
      </c>
      <c r="R21" s="26"/>
      <c r="S21" s="27"/>
      <c r="T21" s="28"/>
      <c r="U21" s="2"/>
    </row>
    <row r="22" spans="2:21" ht="26.25" thickBot="1" x14ac:dyDescent="0.3">
      <c r="B22" s="6" t="s">
        <v>44</v>
      </c>
      <c r="C22" s="15">
        <v>74.88</v>
      </c>
      <c r="D22" s="20" t="s">
        <v>91</v>
      </c>
      <c r="E22" s="20" t="s">
        <v>91</v>
      </c>
      <c r="F22" s="20" t="s">
        <v>91</v>
      </c>
      <c r="G22" s="20" t="s">
        <v>91</v>
      </c>
      <c r="H22" s="20" t="s">
        <v>91</v>
      </c>
      <c r="I22" s="20" t="s">
        <v>91</v>
      </c>
      <c r="J22" s="20" t="s">
        <v>91</v>
      </c>
      <c r="K22" s="20" t="s">
        <v>91</v>
      </c>
      <c r="L22" s="20" t="s">
        <v>91</v>
      </c>
      <c r="M22" s="20" t="s">
        <v>91</v>
      </c>
      <c r="N22" s="20" t="s">
        <v>91</v>
      </c>
      <c r="O22" s="20" t="s">
        <v>91</v>
      </c>
      <c r="P22" s="20" t="s">
        <v>91</v>
      </c>
      <c r="Q22" s="25" t="s">
        <v>28</v>
      </c>
      <c r="R22" s="26"/>
      <c r="S22" s="27"/>
      <c r="T22" s="28"/>
      <c r="U22" s="2"/>
    </row>
    <row r="23" spans="2:21" ht="26.25" thickBot="1" x14ac:dyDescent="0.3">
      <c r="B23" s="6" t="s">
        <v>45</v>
      </c>
      <c r="C23" s="15">
        <v>37.44</v>
      </c>
      <c r="D23" s="20" t="s">
        <v>92</v>
      </c>
      <c r="E23" s="20" t="s">
        <v>92</v>
      </c>
      <c r="F23" s="20" t="s">
        <v>92</v>
      </c>
      <c r="G23" s="20" t="s">
        <v>92</v>
      </c>
      <c r="H23" s="20" t="s">
        <v>92</v>
      </c>
      <c r="I23" s="20" t="s">
        <v>92</v>
      </c>
      <c r="J23" s="20" t="s">
        <v>92</v>
      </c>
      <c r="K23" s="20" t="s">
        <v>92</v>
      </c>
      <c r="L23" s="20" t="s">
        <v>92</v>
      </c>
      <c r="M23" s="20" t="s">
        <v>92</v>
      </c>
      <c r="N23" s="20" t="s">
        <v>92</v>
      </c>
      <c r="O23" s="20" t="s">
        <v>92</v>
      </c>
      <c r="P23" s="20" t="s">
        <v>92</v>
      </c>
      <c r="Q23" s="25" t="s">
        <v>28</v>
      </c>
      <c r="R23" s="26"/>
      <c r="S23" s="27"/>
      <c r="T23" s="28"/>
      <c r="U23" s="2"/>
    </row>
    <row r="24" spans="2:21" ht="26.25" thickBot="1" x14ac:dyDescent="0.3">
      <c r="B24" s="6" t="s">
        <v>46</v>
      </c>
      <c r="C24" s="15">
        <v>37.44</v>
      </c>
      <c r="D24" s="20" t="s">
        <v>93</v>
      </c>
      <c r="E24" s="20" t="s">
        <v>93</v>
      </c>
      <c r="F24" s="20" t="s">
        <v>93</v>
      </c>
      <c r="G24" s="20" t="s">
        <v>93</v>
      </c>
      <c r="H24" s="20" t="s">
        <v>93</v>
      </c>
      <c r="I24" s="20" t="s">
        <v>93</v>
      </c>
      <c r="J24" s="20" t="s">
        <v>93</v>
      </c>
      <c r="K24" s="20" t="s">
        <v>93</v>
      </c>
      <c r="L24" s="20" t="s">
        <v>93</v>
      </c>
      <c r="M24" s="20" t="s">
        <v>93</v>
      </c>
      <c r="N24" s="20" t="s">
        <v>93</v>
      </c>
      <c r="O24" s="20" t="s">
        <v>93</v>
      </c>
      <c r="P24" s="20" t="s">
        <v>93</v>
      </c>
      <c r="Q24" s="25" t="s">
        <v>28</v>
      </c>
      <c r="R24" s="26"/>
      <c r="S24" s="27"/>
      <c r="T24" s="28"/>
      <c r="U24" s="2"/>
    </row>
    <row r="25" spans="2:21" ht="26.25" thickBot="1" x14ac:dyDescent="0.3">
      <c r="B25" s="6" t="s">
        <v>31</v>
      </c>
      <c r="C25" s="15">
        <v>198.64</v>
      </c>
      <c r="D25" s="20" t="s">
        <v>94</v>
      </c>
      <c r="E25" s="20" t="s">
        <v>94</v>
      </c>
      <c r="F25" s="20" t="s">
        <v>94</v>
      </c>
      <c r="G25" s="20" t="s">
        <v>94</v>
      </c>
      <c r="H25" s="20" t="s">
        <v>94</v>
      </c>
      <c r="I25" s="20" t="s">
        <v>94</v>
      </c>
      <c r="J25" s="20" t="s">
        <v>94</v>
      </c>
      <c r="K25" s="20" t="s">
        <v>94</v>
      </c>
      <c r="L25" s="20" t="s">
        <v>94</v>
      </c>
      <c r="M25" s="20" t="s">
        <v>94</v>
      </c>
      <c r="N25" s="20" t="s">
        <v>94</v>
      </c>
      <c r="O25" s="20" t="s">
        <v>94</v>
      </c>
      <c r="P25" s="20" t="s">
        <v>94</v>
      </c>
      <c r="Q25" s="25" t="s">
        <v>28</v>
      </c>
      <c r="R25" s="26"/>
      <c r="S25" s="27"/>
      <c r="T25" s="28"/>
      <c r="U25" s="2"/>
    </row>
    <row r="26" spans="2:21" ht="26.25" thickBot="1" x14ac:dyDescent="0.3">
      <c r="B26" s="6" t="s">
        <v>32</v>
      </c>
      <c r="C26" s="15">
        <v>11.44</v>
      </c>
      <c r="D26" s="20" t="s">
        <v>95</v>
      </c>
      <c r="E26" s="20" t="s">
        <v>95</v>
      </c>
      <c r="F26" s="20" t="s">
        <v>95</v>
      </c>
      <c r="G26" s="20" t="s">
        <v>95</v>
      </c>
      <c r="H26" s="20" t="s">
        <v>95</v>
      </c>
      <c r="I26" s="20" t="s">
        <v>95</v>
      </c>
      <c r="J26" s="20" t="s">
        <v>95</v>
      </c>
      <c r="K26" s="20" t="s">
        <v>95</v>
      </c>
      <c r="L26" s="20" t="s">
        <v>95</v>
      </c>
      <c r="M26" s="20" t="s">
        <v>95</v>
      </c>
      <c r="N26" s="20" t="s">
        <v>95</v>
      </c>
      <c r="O26" s="20" t="s">
        <v>95</v>
      </c>
      <c r="P26" s="20" t="s">
        <v>95</v>
      </c>
      <c r="Q26" s="25" t="s">
        <v>28</v>
      </c>
      <c r="R26" s="26"/>
      <c r="S26" s="27"/>
      <c r="T26" s="28"/>
      <c r="U26" s="2"/>
    </row>
    <row r="27" spans="2:21" ht="26.25" thickBot="1" x14ac:dyDescent="0.3">
      <c r="B27" s="6"/>
      <c r="C27" s="15"/>
      <c r="D27" s="21" t="s">
        <v>42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>
        <f>SUM(C16:C26)</f>
        <v>5199.9999999999991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27"/>
      <c r="R28" s="28"/>
      <c r="S28" s="27"/>
      <c r="T28" s="28"/>
      <c r="U28" s="2"/>
    </row>
    <row r="29" spans="2:21" x14ac:dyDescent="0.25">
      <c r="B29" s="29" t="s">
        <v>22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50DF-62E6-4EAC-B4AA-507978942595}">
  <sheetPr>
    <pageSetUpPr fitToPage="1"/>
  </sheetPr>
  <dimension ref="B7:U33"/>
  <sheetViews>
    <sheetView workbookViewId="0">
      <selection activeCell="D16" sqref="D16:D26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46034</v>
      </c>
      <c r="D9" s="1"/>
      <c r="E9" s="57" t="s">
        <v>2</v>
      </c>
      <c r="F9" s="57"/>
      <c r="G9" s="60" t="s">
        <v>43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0.33680555555555558</v>
      </c>
      <c r="E15" s="11">
        <v>0.35069444444444442</v>
      </c>
      <c r="F15" s="11">
        <v>0.36458333333333298</v>
      </c>
      <c r="G15" s="11">
        <v>0.37847222222222199</v>
      </c>
      <c r="H15" s="11">
        <v>0.39236111111111099</v>
      </c>
      <c r="I15" s="11">
        <v>0.40625</v>
      </c>
      <c r="J15" s="11">
        <v>0.42013888888888901</v>
      </c>
      <c r="K15" s="11">
        <v>0.43402777777777701</v>
      </c>
      <c r="L15" s="11">
        <v>0.44791666666666702</v>
      </c>
      <c r="M15" s="11">
        <v>0.46180555555555602</v>
      </c>
      <c r="N15" s="11">
        <v>0.47569444444444398</v>
      </c>
      <c r="O15" s="11">
        <v>0.48958333333333298</v>
      </c>
      <c r="P15" s="11">
        <v>0.50347222222222199</v>
      </c>
      <c r="Q15" s="25" t="s">
        <v>34</v>
      </c>
      <c r="R15" s="26"/>
      <c r="S15" s="30"/>
      <c r="T15" s="31"/>
      <c r="U15" s="2"/>
    </row>
    <row r="16" spans="2:21" ht="26.25" thickBot="1" x14ac:dyDescent="0.3">
      <c r="B16" s="6" t="s">
        <v>29</v>
      </c>
      <c r="C16" s="15">
        <v>668.2</v>
      </c>
      <c r="D16" s="20" t="s">
        <v>83</v>
      </c>
      <c r="E16" s="20" t="s">
        <v>83</v>
      </c>
      <c r="F16" s="20" t="s">
        <v>83</v>
      </c>
      <c r="G16" s="20" t="s">
        <v>83</v>
      </c>
      <c r="H16" s="20" t="s">
        <v>83</v>
      </c>
      <c r="I16" s="20" t="s">
        <v>83</v>
      </c>
      <c r="J16" s="20" t="s">
        <v>83</v>
      </c>
      <c r="K16" s="20" t="s">
        <v>83</v>
      </c>
      <c r="L16" s="20" t="s">
        <v>83</v>
      </c>
      <c r="M16" s="20" t="s">
        <v>83</v>
      </c>
      <c r="N16" s="20" t="s">
        <v>83</v>
      </c>
      <c r="O16" s="20" t="s">
        <v>83</v>
      </c>
      <c r="P16" s="20" t="s">
        <v>83</v>
      </c>
      <c r="Q16" s="25" t="s">
        <v>34</v>
      </c>
      <c r="R16" s="26"/>
      <c r="S16" s="27"/>
      <c r="T16" s="28"/>
      <c r="U16" s="2"/>
    </row>
    <row r="17" spans="2:21" ht="26.25" thickBot="1" x14ac:dyDescent="0.3">
      <c r="B17" s="6" t="s">
        <v>30</v>
      </c>
      <c r="C17" s="15">
        <v>1125.28</v>
      </c>
      <c r="D17" s="20" t="s">
        <v>84</v>
      </c>
      <c r="E17" s="20" t="s">
        <v>84</v>
      </c>
      <c r="F17" s="20" t="s">
        <v>84</v>
      </c>
      <c r="G17" s="20" t="s">
        <v>84</v>
      </c>
      <c r="H17" s="20" t="s">
        <v>84</v>
      </c>
      <c r="I17" s="20" t="s">
        <v>84</v>
      </c>
      <c r="J17" s="20" t="s">
        <v>84</v>
      </c>
      <c r="K17" s="20" t="s">
        <v>84</v>
      </c>
      <c r="L17" s="20" t="s">
        <v>84</v>
      </c>
      <c r="M17" s="20" t="s">
        <v>84</v>
      </c>
      <c r="N17" s="20" t="s">
        <v>84</v>
      </c>
      <c r="O17" s="20" t="s">
        <v>84</v>
      </c>
      <c r="P17" s="20" t="s">
        <v>84</v>
      </c>
      <c r="Q17" s="25" t="s">
        <v>34</v>
      </c>
      <c r="R17" s="26"/>
      <c r="S17" s="27"/>
      <c r="T17" s="28"/>
      <c r="U17" s="2"/>
    </row>
    <row r="18" spans="2:21" ht="26.25" thickBot="1" x14ac:dyDescent="0.3">
      <c r="B18" s="6" t="s">
        <v>39</v>
      </c>
      <c r="C18" s="15">
        <v>1734.2</v>
      </c>
      <c r="D18" s="20" t="s">
        <v>85</v>
      </c>
      <c r="E18" s="20" t="s">
        <v>85</v>
      </c>
      <c r="F18" s="20" t="s">
        <v>85</v>
      </c>
      <c r="G18" s="20" t="s">
        <v>85</v>
      </c>
      <c r="H18" s="20" t="s">
        <v>85</v>
      </c>
      <c r="I18" s="20" t="s">
        <v>85</v>
      </c>
      <c r="J18" s="20" t="s">
        <v>85</v>
      </c>
      <c r="K18" s="20" t="s">
        <v>85</v>
      </c>
      <c r="L18" s="20" t="s">
        <v>85</v>
      </c>
      <c r="M18" s="20" t="s">
        <v>85</v>
      </c>
      <c r="N18" s="20" t="s">
        <v>85</v>
      </c>
      <c r="O18" s="20" t="s">
        <v>85</v>
      </c>
      <c r="P18" s="20" t="s">
        <v>85</v>
      </c>
      <c r="Q18" s="25" t="s">
        <v>34</v>
      </c>
      <c r="R18" s="26"/>
      <c r="S18" s="27"/>
      <c r="T18" s="28"/>
      <c r="U18" s="2"/>
    </row>
    <row r="19" spans="2:21" ht="26.25" thickBot="1" x14ac:dyDescent="0.3">
      <c r="B19" s="6" t="s">
        <v>35</v>
      </c>
      <c r="C19" s="15">
        <v>46.8</v>
      </c>
      <c r="D19" s="20" t="s">
        <v>86</v>
      </c>
      <c r="E19" s="20" t="s">
        <v>86</v>
      </c>
      <c r="F19" s="20" t="s">
        <v>86</v>
      </c>
      <c r="G19" s="20" t="s">
        <v>86</v>
      </c>
      <c r="H19" s="20" t="s">
        <v>86</v>
      </c>
      <c r="I19" s="20" t="s">
        <v>86</v>
      </c>
      <c r="J19" s="20" t="s">
        <v>86</v>
      </c>
      <c r="K19" s="20" t="s">
        <v>86</v>
      </c>
      <c r="L19" s="20" t="s">
        <v>86</v>
      </c>
      <c r="M19" s="20" t="s">
        <v>86</v>
      </c>
      <c r="N19" s="20" t="s">
        <v>86</v>
      </c>
      <c r="O19" s="20" t="s">
        <v>86</v>
      </c>
      <c r="P19" s="20" t="s">
        <v>86</v>
      </c>
      <c r="Q19" s="25" t="s">
        <v>34</v>
      </c>
      <c r="R19" s="26"/>
      <c r="S19" s="27"/>
      <c r="T19" s="28"/>
      <c r="U19" s="2"/>
    </row>
    <row r="20" spans="2:21" ht="26.25" thickBot="1" x14ac:dyDescent="0.3">
      <c r="B20" s="6" t="s">
        <v>41</v>
      </c>
      <c r="C20" s="15">
        <v>656.24</v>
      </c>
      <c r="D20" s="20" t="s">
        <v>89</v>
      </c>
      <c r="E20" s="20" t="s">
        <v>89</v>
      </c>
      <c r="F20" s="20" t="s">
        <v>89</v>
      </c>
      <c r="G20" s="20" t="s">
        <v>89</v>
      </c>
      <c r="H20" s="20" t="s">
        <v>89</v>
      </c>
      <c r="I20" s="20" t="s">
        <v>89</v>
      </c>
      <c r="J20" s="20" t="s">
        <v>89</v>
      </c>
      <c r="K20" s="20" t="s">
        <v>89</v>
      </c>
      <c r="L20" s="20" t="s">
        <v>89</v>
      </c>
      <c r="M20" s="20" t="s">
        <v>89</v>
      </c>
      <c r="N20" s="20" t="s">
        <v>89</v>
      </c>
      <c r="O20" s="20" t="s">
        <v>89</v>
      </c>
      <c r="P20" s="20" t="s">
        <v>89</v>
      </c>
      <c r="Q20" s="25" t="s">
        <v>34</v>
      </c>
      <c r="R20" s="26"/>
      <c r="S20" s="27"/>
      <c r="T20" s="28"/>
      <c r="U20" s="2"/>
    </row>
    <row r="21" spans="2:21" ht="26.25" thickBot="1" x14ac:dyDescent="0.3">
      <c r="B21" s="6" t="s">
        <v>36</v>
      </c>
      <c r="C21" s="15">
        <v>609.44000000000005</v>
      </c>
      <c r="D21" s="20" t="s">
        <v>90</v>
      </c>
      <c r="E21" s="20" t="s">
        <v>90</v>
      </c>
      <c r="F21" s="20" t="s">
        <v>90</v>
      </c>
      <c r="G21" s="20" t="s">
        <v>90</v>
      </c>
      <c r="H21" s="20" t="s">
        <v>90</v>
      </c>
      <c r="I21" s="20" t="s">
        <v>90</v>
      </c>
      <c r="J21" s="20" t="s">
        <v>90</v>
      </c>
      <c r="K21" s="20" t="s">
        <v>90</v>
      </c>
      <c r="L21" s="20" t="s">
        <v>90</v>
      </c>
      <c r="M21" s="20" t="s">
        <v>90</v>
      </c>
      <c r="N21" s="20" t="s">
        <v>90</v>
      </c>
      <c r="O21" s="20" t="s">
        <v>90</v>
      </c>
      <c r="P21" s="20" t="s">
        <v>90</v>
      </c>
      <c r="Q21" s="25" t="s">
        <v>34</v>
      </c>
      <c r="R21" s="26"/>
      <c r="S21" s="27"/>
      <c r="T21" s="28"/>
      <c r="U21" s="2"/>
    </row>
    <row r="22" spans="2:21" ht="26.25" thickBot="1" x14ac:dyDescent="0.3">
      <c r="B22" s="6" t="s">
        <v>44</v>
      </c>
      <c r="C22" s="15">
        <v>74.88</v>
      </c>
      <c r="D22" s="20" t="s">
        <v>91</v>
      </c>
      <c r="E22" s="20" t="s">
        <v>91</v>
      </c>
      <c r="F22" s="20" t="s">
        <v>91</v>
      </c>
      <c r="G22" s="20" t="s">
        <v>91</v>
      </c>
      <c r="H22" s="20" t="s">
        <v>91</v>
      </c>
      <c r="I22" s="20" t="s">
        <v>91</v>
      </c>
      <c r="J22" s="20" t="s">
        <v>91</v>
      </c>
      <c r="K22" s="20" t="s">
        <v>91</v>
      </c>
      <c r="L22" s="20" t="s">
        <v>91</v>
      </c>
      <c r="M22" s="20" t="s">
        <v>91</v>
      </c>
      <c r="N22" s="20" t="s">
        <v>91</v>
      </c>
      <c r="O22" s="20" t="s">
        <v>91</v>
      </c>
      <c r="P22" s="20" t="s">
        <v>91</v>
      </c>
      <c r="Q22" s="25" t="s">
        <v>34</v>
      </c>
      <c r="R22" s="26"/>
      <c r="S22" s="27"/>
      <c r="T22" s="28"/>
      <c r="U22" s="2"/>
    </row>
    <row r="23" spans="2:21" ht="26.25" thickBot="1" x14ac:dyDescent="0.3">
      <c r="B23" s="6" t="s">
        <v>45</v>
      </c>
      <c r="C23" s="15">
        <v>37.44</v>
      </c>
      <c r="D23" s="20" t="s">
        <v>92</v>
      </c>
      <c r="E23" s="20" t="s">
        <v>92</v>
      </c>
      <c r="F23" s="20" t="s">
        <v>92</v>
      </c>
      <c r="G23" s="20" t="s">
        <v>92</v>
      </c>
      <c r="H23" s="20" t="s">
        <v>92</v>
      </c>
      <c r="I23" s="20" t="s">
        <v>92</v>
      </c>
      <c r="J23" s="20" t="s">
        <v>92</v>
      </c>
      <c r="K23" s="20" t="s">
        <v>92</v>
      </c>
      <c r="L23" s="20" t="s">
        <v>92</v>
      </c>
      <c r="M23" s="20" t="s">
        <v>92</v>
      </c>
      <c r="N23" s="20" t="s">
        <v>92</v>
      </c>
      <c r="O23" s="20" t="s">
        <v>92</v>
      </c>
      <c r="P23" s="20" t="s">
        <v>92</v>
      </c>
      <c r="Q23" s="25" t="s">
        <v>34</v>
      </c>
      <c r="R23" s="26"/>
      <c r="S23" s="27"/>
      <c r="T23" s="28"/>
      <c r="U23" s="2"/>
    </row>
    <row r="24" spans="2:21" ht="26.25" thickBot="1" x14ac:dyDescent="0.3">
      <c r="B24" s="6" t="s">
        <v>46</v>
      </c>
      <c r="C24" s="15">
        <v>37.44</v>
      </c>
      <c r="D24" s="20" t="s">
        <v>93</v>
      </c>
      <c r="E24" s="20" t="s">
        <v>93</v>
      </c>
      <c r="F24" s="20" t="s">
        <v>93</v>
      </c>
      <c r="G24" s="20" t="s">
        <v>93</v>
      </c>
      <c r="H24" s="20" t="s">
        <v>93</v>
      </c>
      <c r="I24" s="20" t="s">
        <v>93</v>
      </c>
      <c r="J24" s="20" t="s">
        <v>93</v>
      </c>
      <c r="K24" s="20" t="s">
        <v>93</v>
      </c>
      <c r="L24" s="20" t="s">
        <v>93</v>
      </c>
      <c r="M24" s="20" t="s">
        <v>93</v>
      </c>
      <c r="N24" s="20" t="s">
        <v>93</v>
      </c>
      <c r="O24" s="20" t="s">
        <v>93</v>
      </c>
      <c r="P24" s="20" t="s">
        <v>93</v>
      </c>
      <c r="Q24" s="25" t="s">
        <v>34</v>
      </c>
      <c r="R24" s="26"/>
      <c r="S24" s="27"/>
      <c r="T24" s="28"/>
      <c r="U24" s="2"/>
    </row>
    <row r="25" spans="2:21" ht="26.25" thickBot="1" x14ac:dyDescent="0.3">
      <c r="B25" s="6" t="s">
        <v>31</v>
      </c>
      <c r="C25" s="15">
        <v>198.64</v>
      </c>
      <c r="D25" s="20" t="s">
        <v>94</v>
      </c>
      <c r="E25" s="20" t="s">
        <v>94</v>
      </c>
      <c r="F25" s="20" t="s">
        <v>94</v>
      </c>
      <c r="G25" s="20" t="s">
        <v>94</v>
      </c>
      <c r="H25" s="20" t="s">
        <v>94</v>
      </c>
      <c r="I25" s="20" t="s">
        <v>94</v>
      </c>
      <c r="J25" s="20" t="s">
        <v>94</v>
      </c>
      <c r="K25" s="20" t="s">
        <v>94</v>
      </c>
      <c r="L25" s="20" t="s">
        <v>94</v>
      </c>
      <c r="M25" s="20" t="s">
        <v>94</v>
      </c>
      <c r="N25" s="20" t="s">
        <v>94</v>
      </c>
      <c r="O25" s="20" t="s">
        <v>94</v>
      </c>
      <c r="P25" s="20" t="s">
        <v>94</v>
      </c>
      <c r="Q25" s="25" t="s">
        <v>34</v>
      </c>
      <c r="R25" s="26"/>
      <c r="S25" s="27"/>
      <c r="T25" s="28"/>
      <c r="U25" s="2"/>
    </row>
    <row r="26" spans="2:21" ht="26.25" thickBot="1" x14ac:dyDescent="0.3">
      <c r="B26" s="6" t="s">
        <v>32</v>
      </c>
      <c r="C26" s="15">
        <v>11.44</v>
      </c>
      <c r="D26" s="20" t="s">
        <v>95</v>
      </c>
      <c r="E26" s="20" t="s">
        <v>95</v>
      </c>
      <c r="F26" s="20" t="s">
        <v>95</v>
      </c>
      <c r="G26" s="20" t="s">
        <v>95</v>
      </c>
      <c r="H26" s="20" t="s">
        <v>95</v>
      </c>
      <c r="I26" s="20" t="s">
        <v>95</v>
      </c>
      <c r="J26" s="20" t="s">
        <v>95</v>
      </c>
      <c r="K26" s="20" t="s">
        <v>95</v>
      </c>
      <c r="L26" s="20" t="s">
        <v>95</v>
      </c>
      <c r="M26" s="20" t="s">
        <v>95</v>
      </c>
      <c r="N26" s="20" t="s">
        <v>95</v>
      </c>
      <c r="O26" s="20" t="s">
        <v>95</v>
      </c>
      <c r="P26" s="20" t="s">
        <v>95</v>
      </c>
      <c r="Q26" s="25" t="s">
        <v>34</v>
      </c>
      <c r="R26" s="26"/>
      <c r="S26" s="27"/>
      <c r="T26" s="28"/>
      <c r="U26" s="2"/>
    </row>
    <row r="27" spans="2:21" ht="26.25" thickBot="1" x14ac:dyDescent="0.3">
      <c r="B27" s="6"/>
      <c r="C27" s="15"/>
      <c r="D27" s="21" t="s">
        <v>42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>
        <f>SUM(C16:C26)</f>
        <v>5199.9999999999991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27"/>
      <c r="R28" s="28"/>
      <c r="S28" s="27"/>
      <c r="T28" s="28"/>
      <c r="U28" s="2"/>
    </row>
    <row r="29" spans="2:21" x14ac:dyDescent="0.25">
      <c r="B29" s="29" t="s">
        <v>22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honeticPr fontId="13" type="noConversion"/>
  <pageMargins left="0.25" right="0.25" top="0.75" bottom="0.75" header="0.3" footer="0.3"/>
  <pageSetup paperSize="9" scale="5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B91E3-DA3D-49FF-9A41-0A9F764CF8C0}">
  <sheetPr>
    <pageSetUpPr fitToPage="1"/>
  </sheetPr>
  <dimension ref="B7:U33"/>
  <sheetViews>
    <sheetView workbookViewId="0">
      <selection activeCell="K27" sqref="K27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46034</v>
      </c>
      <c r="D9" s="1"/>
      <c r="E9" s="57" t="s">
        <v>2</v>
      </c>
      <c r="F9" s="57"/>
      <c r="G9" s="60" t="s">
        <v>43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0.5625</v>
      </c>
      <c r="E15" s="11">
        <v>0.57638888888888884</v>
      </c>
      <c r="F15" s="11">
        <v>0.59027777777777801</v>
      </c>
      <c r="G15" s="11">
        <v>0.60416666666666696</v>
      </c>
      <c r="H15" s="11"/>
      <c r="I15" s="11"/>
      <c r="J15" s="11"/>
      <c r="K15" s="11"/>
      <c r="L15" s="11"/>
      <c r="M15" s="11"/>
      <c r="N15" s="11"/>
      <c r="O15" s="11"/>
      <c r="P15" s="11"/>
      <c r="Q15" s="25" t="s">
        <v>28</v>
      </c>
      <c r="R15" s="26"/>
      <c r="S15" s="30"/>
      <c r="T15" s="31"/>
      <c r="U15" s="2"/>
    </row>
    <row r="16" spans="2:21" ht="26.25" thickBot="1" x14ac:dyDescent="0.3">
      <c r="B16" s="6" t="s">
        <v>29</v>
      </c>
      <c r="C16" s="15">
        <v>195.08</v>
      </c>
      <c r="D16" s="20" t="s">
        <v>83</v>
      </c>
      <c r="E16" s="20" t="s">
        <v>83</v>
      </c>
      <c r="F16" s="20" t="s">
        <v>83</v>
      </c>
      <c r="G16" s="20" t="s">
        <v>96</v>
      </c>
      <c r="H16" s="20"/>
      <c r="I16" s="20"/>
      <c r="J16" s="20"/>
      <c r="K16" s="20"/>
      <c r="L16" s="20"/>
      <c r="M16" s="20"/>
      <c r="N16" s="20"/>
      <c r="O16" s="20"/>
      <c r="P16" s="20"/>
      <c r="Q16" s="25" t="s">
        <v>28</v>
      </c>
      <c r="R16" s="26"/>
      <c r="S16" s="27"/>
      <c r="T16" s="28"/>
      <c r="U16" s="2"/>
    </row>
    <row r="17" spans="2:21" ht="26.25" thickBot="1" x14ac:dyDescent="0.3">
      <c r="B17" s="6" t="s">
        <v>30</v>
      </c>
      <c r="C17" s="15">
        <v>328.53</v>
      </c>
      <c r="D17" s="20" t="s">
        <v>84</v>
      </c>
      <c r="E17" s="20" t="s">
        <v>84</v>
      </c>
      <c r="F17" s="20" t="s">
        <v>84</v>
      </c>
      <c r="G17" s="20" t="s">
        <v>97</v>
      </c>
      <c r="H17" s="20"/>
      <c r="I17" s="20"/>
      <c r="J17" s="20"/>
      <c r="K17" s="20"/>
      <c r="L17" s="20"/>
      <c r="M17" s="20"/>
      <c r="N17" s="20"/>
      <c r="O17" s="20"/>
      <c r="P17" s="20"/>
      <c r="Q17" s="25" t="s">
        <v>28</v>
      </c>
      <c r="R17" s="26"/>
      <c r="S17" s="27"/>
      <c r="T17" s="28"/>
      <c r="U17" s="2"/>
    </row>
    <row r="18" spans="2:21" ht="26.25" thickBot="1" x14ac:dyDescent="0.3">
      <c r="B18" s="6" t="s">
        <v>39</v>
      </c>
      <c r="C18" s="15">
        <v>506.31</v>
      </c>
      <c r="D18" s="20" t="s">
        <v>85</v>
      </c>
      <c r="E18" s="20" t="s">
        <v>85</v>
      </c>
      <c r="F18" s="20" t="s">
        <v>85</v>
      </c>
      <c r="G18" s="20" t="s">
        <v>98</v>
      </c>
      <c r="H18" s="20"/>
      <c r="I18" s="20"/>
      <c r="J18" s="20"/>
      <c r="K18" s="20"/>
      <c r="L18" s="20"/>
      <c r="M18" s="20"/>
      <c r="N18" s="20"/>
      <c r="O18" s="20"/>
      <c r="P18" s="20"/>
      <c r="Q18" s="25" t="s">
        <v>28</v>
      </c>
      <c r="R18" s="26"/>
      <c r="S18" s="27"/>
      <c r="T18" s="28"/>
      <c r="U18" s="2"/>
    </row>
    <row r="19" spans="2:21" ht="26.25" thickBot="1" x14ac:dyDescent="0.3">
      <c r="B19" s="6" t="s">
        <v>35</v>
      </c>
      <c r="C19" s="15">
        <v>13.66</v>
      </c>
      <c r="D19" s="20" t="s">
        <v>86</v>
      </c>
      <c r="E19" s="20" t="s">
        <v>86</v>
      </c>
      <c r="F19" s="20" t="s">
        <v>86</v>
      </c>
      <c r="G19" s="20" t="s">
        <v>99</v>
      </c>
      <c r="H19" s="20"/>
      <c r="I19" s="20"/>
      <c r="J19" s="20"/>
      <c r="K19" s="20"/>
      <c r="L19" s="20"/>
      <c r="M19" s="20"/>
      <c r="N19" s="20"/>
      <c r="O19" s="20"/>
      <c r="P19" s="20"/>
      <c r="Q19" s="25" t="s">
        <v>28</v>
      </c>
      <c r="R19" s="26"/>
      <c r="S19" s="27"/>
      <c r="T19" s="28"/>
      <c r="U19" s="2"/>
    </row>
    <row r="20" spans="2:21" ht="26.25" thickBot="1" x14ac:dyDescent="0.3">
      <c r="B20" s="6" t="s">
        <v>41</v>
      </c>
      <c r="C20" s="15">
        <v>191.59</v>
      </c>
      <c r="D20" s="20" t="s">
        <v>89</v>
      </c>
      <c r="E20" s="20" t="s">
        <v>89</v>
      </c>
      <c r="F20" s="20" t="s">
        <v>89</v>
      </c>
      <c r="G20" s="20" t="s">
        <v>100</v>
      </c>
      <c r="H20" s="20"/>
      <c r="I20" s="20"/>
      <c r="J20" s="20"/>
      <c r="K20" s="20"/>
      <c r="L20" s="20"/>
      <c r="M20" s="20"/>
      <c r="N20" s="20"/>
      <c r="O20" s="20"/>
      <c r="P20" s="20"/>
      <c r="Q20" s="25" t="s">
        <v>28</v>
      </c>
      <c r="R20" s="26"/>
      <c r="S20" s="27"/>
      <c r="T20" s="28"/>
      <c r="U20" s="2"/>
    </row>
    <row r="21" spans="2:21" ht="26.25" thickBot="1" x14ac:dyDescent="0.3">
      <c r="B21" s="6" t="s">
        <v>36</v>
      </c>
      <c r="C21" s="15">
        <v>177.93</v>
      </c>
      <c r="D21" s="20" t="s">
        <v>90</v>
      </c>
      <c r="E21" s="20" t="s">
        <v>90</v>
      </c>
      <c r="F21" s="20" t="s">
        <v>90</v>
      </c>
      <c r="G21" s="20" t="s">
        <v>101</v>
      </c>
      <c r="H21" s="20"/>
      <c r="I21" s="20"/>
      <c r="J21" s="20"/>
      <c r="K21" s="20"/>
      <c r="L21" s="20"/>
      <c r="M21" s="20"/>
      <c r="N21" s="20"/>
      <c r="O21" s="20"/>
      <c r="P21" s="20"/>
      <c r="Q21" s="25" t="s">
        <v>28</v>
      </c>
      <c r="R21" s="26"/>
      <c r="S21" s="27"/>
      <c r="T21" s="28"/>
      <c r="U21" s="2"/>
    </row>
    <row r="22" spans="2:21" ht="26.25" thickBot="1" x14ac:dyDescent="0.3">
      <c r="B22" s="6" t="s">
        <v>44</v>
      </c>
      <c r="C22" s="15">
        <v>21.86</v>
      </c>
      <c r="D22" s="20" t="s">
        <v>91</v>
      </c>
      <c r="E22" s="20" t="s">
        <v>91</v>
      </c>
      <c r="F22" s="20" t="s">
        <v>91</v>
      </c>
      <c r="G22" s="20" t="s">
        <v>102</v>
      </c>
      <c r="H22" s="20"/>
      <c r="I22" s="20"/>
      <c r="J22" s="20"/>
      <c r="K22" s="20"/>
      <c r="L22" s="20"/>
      <c r="M22" s="20"/>
      <c r="N22" s="20"/>
      <c r="O22" s="20"/>
      <c r="P22" s="20"/>
      <c r="Q22" s="25" t="s">
        <v>28</v>
      </c>
      <c r="R22" s="26"/>
      <c r="S22" s="27"/>
      <c r="T22" s="28"/>
      <c r="U22" s="2"/>
    </row>
    <row r="23" spans="2:21" ht="26.25" thickBot="1" x14ac:dyDescent="0.3">
      <c r="B23" s="6" t="s">
        <v>45</v>
      </c>
      <c r="C23" s="15">
        <v>10.93</v>
      </c>
      <c r="D23" s="20" t="s">
        <v>92</v>
      </c>
      <c r="E23" s="20" t="s">
        <v>92</v>
      </c>
      <c r="F23" s="20" t="s">
        <v>92</v>
      </c>
      <c r="G23" s="20" t="s">
        <v>103</v>
      </c>
      <c r="H23" s="20"/>
      <c r="I23" s="20"/>
      <c r="J23" s="20"/>
      <c r="K23" s="20"/>
      <c r="L23" s="20"/>
      <c r="M23" s="20"/>
      <c r="N23" s="20"/>
      <c r="O23" s="20"/>
      <c r="P23" s="20"/>
      <c r="Q23" s="25" t="s">
        <v>28</v>
      </c>
      <c r="R23" s="26"/>
      <c r="S23" s="27"/>
      <c r="T23" s="28"/>
      <c r="U23" s="2"/>
    </row>
    <row r="24" spans="2:21" ht="26.25" thickBot="1" x14ac:dyDescent="0.3">
      <c r="B24" s="6" t="s">
        <v>46</v>
      </c>
      <c r="C24" s="15">
        <v>10.93</v>
      </c>
      <c r="D24" s="20" t="s">
        <v>93</v>
      </c>
      <c r="E24" s="20" t="s">
        <v>93</v>
      </c>
      <c r="F24" s="20" t="s">
        <v>93</v>
      </c>
      <c r="G24" s="20" t="s">
        <v>104</v>
      </c>
      <c r="H24" s="20"/>
      <c r="I24" s="20"/>
      <c r="J24" s="20"/>
      <c r="K24" s="20"/>
      <c r="L24" s="20"/>
      <c r="M24" s="20"/>
      <c r="N24" s="20"/>
      <c r="O24" s="20"/>
      <c r="P24" s="20"/>
      <c r="Q24" s="25" t="s">
        <v>28</v>
      </c>
      <c r="R24" s="26"/>
      <c r="S24" s="27"/>
      <c r="T24" s="28"/>
      <c r="U24" s="2"/>
    </row>
    <row r="25" spans="2:21" ht="26.25" thickBot="1" x14ac:dyDescent="0.3">
      <c r="B25" s="6" t="s">
        <v>31</v>
      </c>
      <c r="C25" s="15">
        <v>57.99</v>
      </c>
      <c r="D25" s="20" t="s">
        <v>94</v>
      </c>
      <c r="E25" s="20" t="s">
        <v>94</v>
      </c>
      <c r="F25" s="20" t="s">
        <v>94</v>
      </c>
      <c r="G25" s="20" t="s">
        <v>105</v>
      </c>
      <c r="H25" s="20"/>
      <c r="I25" s="20"/>
      <c r="J25" s="20"/>
      <c r="K25" s="20"/>
      <c r="L25" s="20"/>
      <c r="M25" s="20"/>
      <c r="N25" s="20"/>
      <c r="O25" s="20"/>
      <c r="P25" s="20"/>
      <c r="Q25" s="25" t="s">
        <v>28</v>
      </c>
      <c r="R25" s="26"/>
      <c r="S25" s="27"/>
      <c r="T25" s="28"/>
      <c r="U25" s="2"/>
    </row>
    <row r="26" spans="2:21" ht="26.25" thickBot="1" x14ac:dyDescent="0.3">
      <c r="B26" s="6" t="s">
        <v>32</v>
      </c>
      <c r="C26" s="15">
        <v>3.34</v>
      </c>
      <c r="D26" s="20" t="s">
        <v>95</v>
      </c>
      <c r="E26" s="20" t="s">
        <v>95</v>
      </c>
      <c r="F26" s="20" t="s">
        <v>95</v>
      </c>
      <c r="G26" s="20" t="s">
        <v>106</v>
      </c>
      <c r="H26" s="20"/>
      <c r="I26" s="20"/>
      <c r="J26" s="20"/>
      <c r="K26" s="20"/>
      <c r="L26" s="20"/>
      <c r="M26" s="20"/>
      <c r="N26" s="20"/>
      <c r="O26" s="20"/>
      <c r="P26" s="20"/>
      <c r="Q26" s="25" t="s">
        <v>28</v>
      </c>
      <c r="R26" s="26"/>
      <c r="S26" s="27"/>
      <c r="T26" s="28"/>
      <c r="U26" s="2"/>
    </row>
    <row r="27" spans="2:21" ht="26.25" thickBot="1" x14ac:dyDescent="0.3">
      <c r="B27" s="6"/>
      <c r="C27" s="15"/>
      <c r="D27" s="21" t="s">
        <v>42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>
        <f>SUM(C16:C26)</f>
        <v>1518.15</v>
      </c>
      <c r="D28" s="13">
        <v>400</v>
      </c>
      <c r="E28" s="13">
        <v>400</v>
      </c>
      <c r="F28" s="13">
        <v>400</v>
      </c>
      <c r="G28" s="13">
        <v>318.14999999999998</v>
      </c>
      <c r="H28" s="13"/>
      <c r="I28" s="13"/>
      <c r="J28" s="13"/>
      <c r="K28" s="13"/>
      <c r="L28" s="13"/>
      <c r="M28" s="13"/>
      <c r="N28" s="13"/>
      <c r="O28" s="13"/>
      <c r="P28" s="13"/>
      <c r="Q28" s="27"/>
      <c r="R28" s="28"/>
      <c r="S28" s="27"/>
      <c r="T28" s="28"/>
      <c r="U28" s="2"/>
    </row>
    <row r="29" spans="2:21" x14ac:dyDescent="0.25">
      <c r="B29" s="29" t="s">
        <v>22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9628-C75D-45AA-A77E-6944C8FA5DE4}">
  <sheetPr>
    <pageSetUpPr fitToPage="1"/>
  </sheetPr>
  <dimension ref="B7:U33"/>
  <sheetViews>
    <sheetView workbookViewId="0">
      <selection activeCell="D15" sqref="D15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46034</v>
      </c>
      <c r="D9" s="1"/>
      <c r="E9" s="57" t="s">
        <v>2</v>
      </c>
      <c r="F9" s="57"/>
      <c r="G9" s="60" t="s">
        <v>47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0.61805555555555558</v>
      </c>
      <c r="E15" s="11">
        <v>0.63194444444444442</v>
      </c>
      <c r="F15" s="11">
        <v>0.64583333333333304</v>
      </c>
      <c r="G15" s="11">
        <v>0.65972222222222199</v>
      </c>
      <c r="H15" s="11">
        <v>0.67361111111111105</v>
      </c>
      <c r="I15" s="11">
        <v>0.6875</v>
      </c>
      <c r="J15" s="11">
        <v>0.70138888888888895</v>
      </c>
      <c r="K15" s="11"/>
      <c r="L15" s="11"/>
      <c r="M15" s="11"/>
      <c r="N15" s="11"/>
      <c r="O15" s="11"/>
      <c r="P15" s="11"/>
      <c r="Q15" s="25" t="s">
        <v>28</v>
      </c>
      <c r="R15" s="26"/>
      <c r="S15" s="30"/>
      <c r="T15" s="31"/>
      <c r="U15" s="2"/>
    </row>
    <row r="16" spans="2:21" ht="26.25" thickBot="1" x14ac:dyDescent="0.3">
      <c r="B16" s="6" t="s">
        <v>29</v>
      </c>
      <c r="C16" s="15">
        <v>364.56</v>
      </c>
      <c r="D16" s="20" t="s">
        <v>107</v>
      </c>
      <c r="E16" s="20" t="s">
        <v>107</v>
      </c>
      <c r="F16" s="20" t="s">
        <v>107</v>
      </c>
      <c r="G16" s="20" t="s">
        <v>107</v>
      </c>
      <c r="H16" s="20" t="s">
        <v>107</v>
      </c>
      <c r="I16" s="20" t="s">
        <v>107</v>
      </c>
      <c r="J16" s="20" t="s">
        <v>107</v>
      </c>
      <c r="K16" s="20"/>
      <c r="L16" s="20"/>
      <c r="M16" s="20"/>
      <c r="N16" s="20"/>
      <c r="O16" s="20"/>
      <c r="P16" s="20"/>
      <c r="Q16" s="25" t="s">
        <v>28</v>
      </c>
      <c r="R16" s="26"/>
      <c r="S16" s="27"/>
      <c r="T16" s="28"/>
      <c r="U16" s="2"/>
    </row>
    <row r="17" spans="2:21" ht="26.25" thickBot="1" x14ac:dyDescent="0.3">
      <c r="B17" s="6" t="s">
        <v>30</v>
      </c>
      <c r="C17" s="15">
        <v>628.32000000000005</v>
      </c>
      <c r="D17" s="20" t="s">
        <v>108</v>
      </c>
      <c r="E17" s="20" t="s">
        <v>108</v>
      </c>
      <c r="F17" s="20" t="s">
        <v>108</v>
      </c>
      <c r="G17" s="20" t="s">
        <v>108</v>
      </c>
      <c r="H17" s="20" t="s">
        <v>108</v>
      </c>
      <c r="I17" s="20" t="s">
        <v>108</v>
      </c>
      <c r="J17" s="20" t="s">
        <v>108</v>
      </c>
      <c r="K17" s="20"/>
      <c r="L17" s="20"/>
      <c r="M17" s="20"/>
      <c r="N17" s="20"/>
      <c r="O17" s="20"/>
      <c r="P17" s="20"/>
      <c r="Q17" s="25" t="s">
        <v>28</v>
      </c>
      <c r="R17" s="26"/>
      <c r="S17" s="27"/>
      <c r="T17" s="28"/>
      <c r="U17" s="2"/>
    </row>
    <row r="18" spans="2:21" ht="26.25" thickBot="1" x14ac:dyDescent="0.3">
      <c r="B18" s="6" t="s">
        <v>39</v>
      </c>
      <c r="C18" s="15">
        <v>1256.6400000000001</v>
      </c>
      <c r="D18" s="20" t="s">
        <v>109</v>
      </c>
      <c r="E18" s="20" t="s">
        <v>109</v>
      </c>
      <c r="F18" s="20" t="s">
        <v>109</v>
      </c>
      <c r="G18" s="20" t="s">
        <v>109</v>
      </c>
      <c r="H18" s="20" t="s">
        <v>109</v>
      </c>
      <c r="I18" s="20" t="s">
        <v>109</v>
      </c>
      <c r="J18" s="20" t="s">
        <v>109</v>
      </c>
      <c r="K18" s="20"/>
      <c r="L18" s="20"/>
      <c r="M18" s="20"/>
      <c r="N18" s="20"/>
      <c r="O18" s="20"/>
      <c r="P18" s="20"/>
      <c r="Q18" s="25" t="s">
        <v>28</v>
      </c>
      <c r="R18" s="26"/>
      <c r="S18" s="27"/>
      <c r="T18" s="28"/>
      <c r="U18" s="2"/>
    </row>
    <row r="19" spans="2:21" ht="26.25" thickBot="1" x14ac:dyDescent="0.3">
      <c r="B19" s="6" t="s">
        <v>41</v>
      </c>
      <c r="C19" s="15">
        <v>285.60000000000002</v>
      </c>
      <c r="D19" s="20" t="s">
        <v>110</v>
      </c>
      <c r="E19" s="20" t="s">
        <v>110</v>
      </c>
      <c r="F19" s="20" t="s">
        <v>110</v>
      </c>
      <c r="G19" s="20" t="s">
        <v>110</v>
      </c>
      <c r="H19" s="20" t="s">
        <v>110</v>
      </c>
      <c r="I19" s="20" t="s">
        <v>110</v>
      </c>
      <c r="J19" s="20" t="s">
        <v>110</v>
      </c>
      <c r="K19" s="20"/>
      <c r="L19" s="20"/>
      <c r="M19" s="20"/>
      <c r="N19" s="20"/>
      <c r="O19" s="20"/>
      <c r="P19" s="20"/>
      <c r="Q19" s="25" t="s">
        <v>28</v>
      </c>
      <c r="R19" s="26"/>
      <c r="S19" s="27"/>
      <c r="T19" s="28"/>
      <c r="U19" s="2"/>
    </row>
    <row r="20" spans="2:21" ht="26.25" thickBot="1" x14ac:dyDescent="0.3">
      <c r="B20" s="6" t="s">
        <v>48</v>
      </c>
      <c r="C20" s="15">
        <v>51.52</v>
      </c>
      <c r="D20" s="20" t="s">
        <v>111</v>
      </c>
      <c r="E20" s="20" t="s">
        <v>111</v>
      </c>
      <c r="F20" s="20" t="s">
        <v>111</v>
      </c>
      <c r="G20" s="20" t="s">
        <v>111</v>
      </c>
      <c r="H20" s="20" t="s">
        <v>111</v>
      </c>
      <c r="I20" s="20" t="s">
        <v>111</v>
      </c>
      <c r="J20" s="20" t="s">
        <v>111</v>
      </c>
      <c r="K20" s="20"/>
      <c r="L20" s="20"/>
      <c r="M20" s="20"/>
      <c r="N20" s="20"/>
      <c r="O20" s="20"/>
      <c r="P20" s="20"/>
      <c r="Q20" s="25" t="s">
        <v>28</v>
      </c>
      <c r="R20" s="26"/>
      <c r="S20" s="27"/>
      <c r="T20" s="28"/>
      <c r="U20" s="2"/>
    </row>
    <row r="21" spans="2:21" ht="26.25" thickBot="1" x14ac:dyDescent="0.3">
      <c r="B21" s="6" t="s">
        <v>49</v>
      </c>
      <c r="C21" s="15">
        <v>28.56</v>
      </c>
      <c r="D21" s="20" t="s">
        <v>112</v>
      </c>
      <c r="E21" s="20" t="s">
        <v>112</v>
      </c>
      <c r="F21" s="20" t="s">
        <v>112</v>
      </c>
      <c r="G21" s="20" t="s">
        <v>112</v>
      </c>
      <c r="H21" s="20" t="s">
        <v>112</v>
      </c>
      <c r="I21" s="20" t="s">
        <v>112</v>
      </c>
      <c r="J21" s="20" t="s">
        <v>112</v>
      </c>
      <c r="K21" s="20"/>
      <c r="L21" s="20"/>
      <c r="M21" s="20"/>
      <c r="N21" s="20"/>
      <c r="O21" s="20"/>
      <c r="P21" s="20"/>
      <c r="Q21" s="25" t="s">
        <v>28</v>
      </c>
      <c r="R21" s="26"/>
      <c r="S21" s="27"/>
      <c r="T21" s="28"/>
      <c r="U21" s="2"/>
    </row>
    <row r="22" spans="2:21" ht="26.25" thickBot="1" x14ac:dyDescent="0.3">
      <c r="B22" s="6" t="s">
        <v>50</v>
      </c>
      <c r="C22" s="15">
        <v>28.56</v>
      </c>
      <c r="D22" s="20" t="s">
        <v>113</v>
      </c>
      <c r="E22" s="20" t="s">
        <v>113</v>
      </c>
      <c r="F22" s="20" t="s">
        <v>113</v>
      </c>
      <c r="G22" s="20" t="s">
        <v>113</v>
      </c>
      <c r="H22" s="20" t="s">
        <v>113</v>
      </c>
      <c r="I22" s="20" t="s">
        <v>113</v>
      </c>
      <c r="J22" s="20" t="s">
        <v>113</v>
      </c>
      <c r="K22" s="20"/>
      <c r="L22" s="20"/>
      <c r="M22" s="20"/>
      <c r="N22" s="20"/>
      <c r="O22" s="20"/>
      <c r="P22" s="20"/>
      <c r="Q22" s="25" t="s">
        <v>28</v>
      </c>
      <c r="R22" s="26"/>
      <c r="S22" s="27"/>
      <c r="T22" s="28"/>
      <c r="U22" s="2"/>
    </row>
    <row r="23" spans="2:21" ht="26.25" thickBot="1" x14ac:dyDescent="0.3">
      <c r="B23" s="6" t="s">
        <v>51</v>
      </c>
      <c r="C23" s="15">
        <v>28.56</v>
      </c>
      <c r="D23" s="20" t="s">
        <v>114</v>
      </c>
      <c r="E23" s="20" t="s">
        <v>114</v>
      </c>
      <c r="F23" s="20" t="s">
        <v>114</v>
      </c>
      <c r="G23" s="20" t="s">
        <v>114</v>
      </c>
      <c r="H23" s="20" t="s">
        <v>114</v>
      </c>
      <c r="I23" s="20" t="s">
        <v>114</v>
      </c>
      <c r="J23" s="20" t="s">
        <v>114</v>
      </c>
      <c r="K23" s="20"/>
      <c r="L23" s="20"/>
      <c r="M23" s="20"/>
      <c r="N23" s="20"/>
      <c r="O23" s="20"/>
      <c r="P23" s="20"/>
      <c r="Q23" s="25" t="s">
        <v>28</v>
      </c>
      <c r="R23" s="26"/>
      <c r="S23" s="27"/>
      <c r="T23" s="28"/>
      <c r="U23" s="2"/>
    </row>
    <row r="24" spans="2:21" ht="26.25" thickBot="1" x14ac:dyDescent="0.3">
      <c r="B24" s="6" t="s">
        <v>31</v>
      </c>
      <c r="C24" s="15">
        <v>120.96</v>
      </c>
      <c r="D24" s="20" t="s">
        <v>115</v>
      </c>
      <c r="E24" s="20" t="s">
        <v>115</v>
      </c>
      <c r="F24" s="20" t="s">
        <v>115</v>
      </c>
      <c r="G24" s="20" t="s">
        <v>115</v>
      </c>
      <c r="H24" s="20" t="s">
        <v>115</v>
      </c>
      <c r="I24" s="20" t="s">
        <v>115</v>
      </c>
      <c r="J24" s="20" t="s">
        <v>115</v>
      </c>
      <c r="K24" s="20"/>
      <c r="L24" s="20"/>
      <c r="M24" s="20"/>
      <c r="N24" s="20"/>
      <c r="O24" s="20"/>
      <c r="P24" s="20"/>
      <c r="Q24" s="25" t="s">
        <v>28</v>
      </c>
      <c r="R24" s="26"/>
      <c r="S24" s="27"/>
      <c r="T24" s="28"/>
      <c r="U24" s="2"/>
    </row>
    <row r="25" spans="2:21" ht="26.25" thickBot="1" x14ac:dyDescent="0.3">
      <c r="B25" s="6" t="s">
        <v>32</v>
      </c>
      <c r="C25" s="15">
        <v>6.72</v>
      </c>
      <c r="D25" s="20" t="s">
        <v>116</v>
      </c>
      <c r="E25" s="20" t="s">
        <v>116</v>
      </c>
      <c r="F25" s="20" t="s">
        <v>116</v>
      </c>
      <c r="G25" s="20" t="s">
        <v>116</v>
      </c>
      <c r="H25" s="20" t="s">
        <v>116</v>
      </c>
      <c r="I25" s="20" t="s">
        <v>116</v>
      </c>
      <c r="J25" s="20" t="s">
        <v>116</v>
      </c>
      <c r="K25" s="20"/>
      <c r="L25" s="20"/>
      <c r="M25" s="20"/>
      <c r="N25" s="20"/>
      <c r="O25" s="20"/>
      <c r="P25" s="20"/>
      <c r="Q25" s="25" t="s">
        <v>28</v>
      </c>
      <c r="R25" s="26"/>
      <c r="S25" s="27"/>
      <c r="T25" s="28"/>
      <c r="U25" s="2"/>
    </row>
    <row r="26" spans="2:21" ht="26.25" thickBot="1" x14ac:dyDescent="0.3">
      <c r="B26" s="6"/>
      <c r="C26" s="15"/>
      <c r="D26" s="21" t="s">
        <v>42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5" t="s">
        <v>28</v>
      </c>
      <c r="R26" s="26"/>
      <c r="S26" s="27"/>
      <c r="T26" s="28"/>
      <c r="U26" s="2"/>
    </row>
    <row r="27" spans="2:21" ht="26.25" thickBot="1" x14ac:dyDescent="0.3">
      <c r="B27" s="6"/>
      <c r="C27" s="15"/>
      <c r="D27" s="21" t="s">
        <v>42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>
        <f>SUM(C16:C26)</f>
        <v>2800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/>
      <c r="L28" s="13"/>
      <c r="M28" s="13"/>
      <c r="N28" s="13"/>
      <c r="O28" s="13"/>
      <c r="P28" s="13"/>
      <c r="Q28" s="27"/>
      <c r="R28" s="28"/>
      <c r="S28" s="27"/>
      <c r="T28" s="28"/>
      <c r="U28" s="2"/>
    </row>
    <row r="29" spans="2:21" x14ac:dyDescent="0.25">
      <c r="B29" s="29" t="s">
        <v>22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D2E9-6481-4396-A395-2159E22FEC9C}">
  <sheetPr>
    <pageSetUpPr fitToPage="1"/>
  </sheetPr>
  <dimension ref="B7:U33"/>
  <sheetViews>
    <sheetView workbookViewId="0">
      <selection activeCell="D15" sqref="D15:K15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46034</v>
      </c>
      <c r="D9" s="1"/>
      <c r="E9" s="57" t="s">
        <v>2</v>
      </c>
      <c r="F9" s="57"/>
      <c r="G9" s="60" t="s">
        <v>47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0.62152777777777779</v>
      </c>
      <c r="E15" s="11">
        <v>0.63541666666666663</v>
      </c>
      <c r="F15" s="11">
        <v>0.64930555555555503</v>
      </c>
      <c r="G15" s="11">
        <v>0.66319444444444398</v>
      </c>
      <c r="H15" s="11">
        <v>0.67708333333333304</v>
      </c>
      <c r="I15" s="11">
        <v>0.69097222222222199</v>
      </c>
      <c r="J15" s="11">
        <v>0.70486111111111105</v>
      </c>
      <c r="K15" s="11">
        <v>0.71875</v>
      </c>
      <c r="L15" s="11"/>
      <c r="M15" s="11"/>
      <c r="N15" s="11"/>
      <c r="O15" s="11"/>
      <c r="P15" s="11"/>
      <c r="Q15" s="25" t="s">
        <v>34</v>
      </c>
      <c r="R15" s="26"/>
      <c r="S15" s="30"/>
      <c r="T15" s="31"/>
      <c r="U15" s="2"/>
    </row>
    <row r="16" spans="2:21" ht="26.25" thickBot="1" x14ac:dyDescent="0.3">
      <c r="B16" s="6" t="s">
        <v>29</v>
      </c>
      <c r="C16" s="15">
        <v>397.87</v>
      </c>
      <c r="D16" s="20" t="s">
        <v>107</v>
      </c>
      <c r="E16" s="20" t="s">
        <v>107</v>
      </c>
      <c r="F16" s="20" t="s">
        <v>107</v>
      </c>
      <c r="G16" s="20" t="s">
        <v>107</v>
      </c>
      <c r="H16" s="20" t="s">
        <v>107</v>
      </c>
      <c r="I16" s="20" t="s">
        <v>107</v>
      </c>
      <c r="J16" s="20" t="s">
        <v>107</v>
      </c>
      <c r="K16" s="20" t="s">
        <v>117</v>
      </c>
      <c r="L16" s="20"/>
      <c r="M16" s="20"/>
      <c r="N16" s="20"/>
      <c r="O16" s="20"/>
      <c r="P16" s="20"/>
      <c r="Q16" s="25" t="s">
        <v>34</v>
      </c>
      <c r="R16" s="26"/>
      <c r="S16" s="27"/>
      <c r="T16" s="28"/>
      <c r="U16" s="2"/>
    </row>
    <row r="17" spans="2:21" ht="26.25" thickBot="1" x14ac:dyDescent="0.3">
      <c r="B17" s="6" t="s">
        <v>30</v>
      </c>
      <c r="C17" s="15">
        <v>685.73</v>
      </c>
      <c r="D17" s="20" t="s">
        <v>108</v>
      </c>
      <c r="E17" s="20" t="s">
        <v>108</v>
      </c>
      <c r="F17" s="20" t="s">
        <v>108</v>
      </c>
      <c r="G17" s="20" t="s">
        <v>108</v>
      </c>
      <c r="H17" s="20" t="s">
        <v>108</v>
      </c>
      <c r="I17" s="20" t="s">
        <v>108</v>
      </c>
      <c r="J17" s="20" t="s">
        <v>108</v>
      </c>
      <c r="K17" s="20" t="s">
        <v>118</v>
      </c>
      <c r="L17" s="20"/>
      <c r="M17" s="20"/>
      <c r="N17" s="20"/>
      <c r="O17" s="20"/>
      <c r="P17" s="20"/>
      <c r="Q17" s="25" t="s">
        <v>34</v>
      </c>
      <c r="R17" s="26"/>
      <c r="S17" s="27"/>
      <c r="T17" s="28"/>
      <c r="U17" s="2"/>
    </row>
    <row r="18" spans="2:21" ht="26.25" thickBot="1" x14ac:dyDescent="0.3">
      <c r="B18" s="6" t="s">
        <v>39</v>
      </c>
      <c r="C18" s="15">
        <v>1371.47</v>
      </c>
      <c r="D18" s="20" t="s">
        <v>109</v>
      </c>
      <c r="E18" s="20" t="s">
        <v>109</v>
      </c>
      <c r="F18" s="20" t="s">
        <v>109</v>
      </c>
      <c r="G18" s="20" t="s">
        <v>109</v>
      </c>
      <c r="H18" s="20" t="s">
        <v>109</v>
      </c>
      <c r="I18" s="20" t="s">
        <v>109</v>
      </c>
      <c r="J18" s="20" t="s">
        <v>109</v>
      </c>
      <c r="K18" s="20" t="s">
        <v>119</v>
      </c>
      <c r="L18" s="20"/>
      <c r="M18" s="20"/>
      <c r="N18" s="20"/>
      <c r="O18" s="20"/>
      <c r="P18" s="20"/>
      <c r="Q18" s="25" t="s">
        <v>34</v>
      </c>
      <c r="R18" s="26"/>
      <c r="S18" s="27"/>
      <c r="T18" s="28"/>
      <c r="U18" s="2"/>
    </row>
    <row r="19" spans="2:21" ht="26.25" thickBot="1" x14ac:dyDescent="0.3">
      <c r="B19" s="6" t="s">
        <v>41</v>
      </c>
      <c r="C19" s="15">
        <v>311.7</v>
      </c>
      <c r="D19" s="20" t="s">
        <v>110</v>
      </c>
      <c r="E19" s="20" t="s">
        <v>110</v>
      </c>
      <c r="F19" s="20" t="s">
        <v>110</v>
      </c>
      <c r="G19" s="20" t="s">
        <v>110</v>
      </c>
      <c r="H19" s="20" t="s">
        <v>110</v>
      </c>
      <c r="I19" s="20" t="s">
        <v>110</v>
      </c>
      <c r="J19" s="20" t="s">
        <v>110</v>
      </c>
      <c r="K19" s="20" t="s">
        <v>120</v>
      </c>
      <c r="L19" s="20"/>
      <c r="M19" s="20"/>
      <c r="N19" s="20"/>
      <c r="O19" s="20"/>
      <c r="P19" s="20"/>
      <c r="Q19" s="25" t="s">
        <v>34</v>
      </c>
      <c r="R19" s="26"/>
      <c r="S19" s="27"/>
      <c r="T19" s="28"/>
      <c r="U19" s="2"/>
    </row>
    <row r="20" spans="2:21" ht="26.25" thickBot="1" x14ac:dyDescent="0.3">
      <c r="B20" s="6" t="s">
        <v>48</v>
      </c>
      <c r="C20" s="15">
        <v>56.23</v>
      </c>
      <c r="D20" s="20" t="s">
        <v>111</v>
      </c>
      <c r="E20" s="20" t="s">
        <v>111</v>
      </c>
      <c r="F20" s="20" t="s">
        <v>111</v>
      </c>
      <c r="G20" s="20" t="s">
        <v>111</v>
      </c>
      <c r="H20" s="20" t="s">
        <v>111</v>
      </c>
      <c r="I20" s="20" t="s">
        <v>111</v>
      </c>
      <c r="J20" s="20" t="s">
        <v>111</v>
      </c>
      <c r="K20" s="20" t="s">
        <v>121</v>
      </c>
      <c r="L20" s="20"/>
      <c r="M20" s="20"/>
      <c r="N20" s="20"/>
      <c r="O20" s="20"/>
      <c r="P20" s="20"/>
      <c r="Q20" s="25" t="s">
        <v>34</v>
      </c>
      <c r="R20" s="26"/>
      <c r="S20" s="27"/>
      <c r="T20" s="28"/>
      <c r="U20" s="2"/>
    </row>
    <row r="21" spans="2:21" ht="26.25" thickBot="1" x14ac:dyDescent="0.3">
      <c r="B21" s="6" t="s">
        <v>49</v>
      </c>
      <c r="C21" s="15">
        <v>31.17</v>
      </c>
      <c r="D21" s="20" t="s">
        <v>112</v>
      </c>
      <c r="E21" s="20" t="s">
        <v>112</v>
      </c>
      <c r="F21" s="20" t="s">
        <v>112</v>
      </c>
      <c r="G21" s="20" t="s">
        <v>112</v>
      </c>
      <c r="H21" s="20" t="s">
        <v>112</v>
      </c>
      <c r="I21" s="20" t="s">
        <v>112</v>
      </c>
      <c r="J21" s="20" t="s">
        <v>112</v>
      </c>
      <c r="K21" s="20" t="s">
        <v>122</v>
      </c>
      <c r="L21" s="20"/>
      <c r="M21" s="20"/>
      <c r="N21" s="20"/>
      <c r="O21" s="20"/>
      <c r="P21" s="20"/>
      <c r="Q21" s="25" t="s">
        <v>34</v>
      </c>
      <c r="R21" s="26"/>
      <c r="S21" s="27"/>
      <c r="T21" s="28"/>
      <c r="U21" s="2"/>
    </row>
    <row r="22" spans="2:21" ht="26.25" thickBot="1" x14ac:dyDescent="0.3">
      <c r="B22" s="6" t="s">
        <v>50</v>
      </c>
      <c r="C22" s="15">
        <v>31.17</v>
      </c>
      <c r="D22" s="20" t="s">
        <v>113</v>
      </c>
      <c r="E22" s="20" t="s">
        <v>113</v>
      </c>
      <c r="F22" s="20" t="s">
        <v>113</v>
      </c>
      <c r="G22" s="20" t="s">
        <v>113</v>
      </c>
      <c r="H22" s="20" t="s">
        <v>113</v>
      </c>
      <c r="I22" s="20" t="s">
        <v>113</v>
      </c>
      <c r="J22" s="20" t="s">
        <v>113</v>
      </c>
      <c r="K22" s="20" t="s">
        <v>123</v>
      </c>
      <c r="L22" s="20"/>
      <c r="M22" s="20"/>
      <c r="N22" s="20"/>
      <c r="O22" s="20"/>
      <c r="P22" s="20"/>
      <c r="Q22" s="25" t="s">
        <v>34</v>
      </c>
      <c r="R22" s="26"/>
      <c r="S22" s="27"/>
      <c r="T22" s="28"/>
      <c r="U22" s="2"/>
    </row>
    <row r="23" spans="2:21" ht="26.25" thickBot="1" x14ac:dyDescent="0.3">
      <c r="B23" s="6" t="s">
        <v>51</v>
      </c>
      <c r="C23" s="15">
        <v>31.17</v>
      </c>
      <c r="D23" s="20" t="s">
        <v>114</v>
      </c>
      <c r="E23" s="20" t="s">
        <v>114</v>
      </c>
      <c r="F23" s="20" t="s">
        <v>114</v>
      </c>
      <c r="G23" s="20" t="s">
        <v>114</v>
      </c>
      <c r="H23" s="20" t="s">
        <v>114</v>
      </c>
      <c r="I23" s="20" t="s">
        <v>114</v>
      </c>
      <c r="J23" s="20" t="s">
        <v>114</v>
      </c>
      <c r="K23" s="20" t="s">
        <v>124</v>
      </c>
      <c r="L23" s="20"/>
      <c r="M23" s="20"/>
      <c r="N23" s="20"/>
      <c r="O23" s="20"/>
      <c r="P23" s="20"/>
      <c r="Q23" s="25" t="s">
        <v>34</v>
      </c>
      <c r="R23" s="26"/>
      <c r="S23" s="27"/>
      <c r="T23" s="28"/>
      <c r="U23" s="2"/>
    </row>
    <row r="24" spans="2:21" ht="26.25" thickBot="1" x14ac:dyDescent="0.3">
      <c r="B24" s="6" t="s">
        <v>31</v>
      </c>
      <c r="C24" s="15">
        <v>132.01</v>
      </c>
      <c r="D24" s="20" t="s">
        <v>115</v>
      </c>
      <c r="E24" s="20" t="s">
        <v>115</v>
      </c>
      <c r="F24" s="20" t="s">
        <v>115</v>
      </c>
      <c r="G24" s="20" t="s">
        <v>115</v>
      </c>
      <c r="H24" s="20" t="s">
        <v>115</v>
      </c>
      <c r="I24" s="20" t="s">
        <v>115</v>
      </c>
      <c r="J24" s="20" t="s">
        <v>115</v>
      </c>
      <c r="K24" s="20" t="s">
        <v>125</v>
      </c>
      <c r="L24" s="20"/>
      <c r="M24" s="20"/>
      <c r="N24" s="20"/>
      <c r="O24" s="20"/>
      <c r="P24" s="20"/>
      <c r="Q24" s="25" t="s">
        <v>34</v>
      </c>
      <c r="R24" s="26"/>
      <c r="S24" s="27"/>
      <c r="T24" s="28"/>
      <c r="U24" s="2"/>
    </row>
    <row r="25" spans="2:21" ht="26.25" thickBot="1" x14ac:dyDescent="0.3">
      <c r="B25" s="6" t="s">
        <v>32</v>
      </c>
      <c r="C25" s="15">
        <v>7.33</v>
      </c>
      <c r="D25" s="20" t="s">
        <v>116</v>
      </c>
      <c r="E25" s="20" t="s">
        <v>116</v>
      </c>
      <c r="F25" s="20" t="s">
        <v>116</v>
      </c>
      <c r="G25" s="20" t="s">
        <v>116</v>
      </c>
      <c r="H25" s="20" t="s">
        <v>116</v>
      </c>
      <c r="I25" s="20" t="s">
        <v>116</v>
      </c>
      <c r="J25" s="20" t="s">
        <v>116</v>
      </c>
      <c r="K25" s="20" t="s">
        <v>126</v>
      </c>
      <c r="L25" s="20"/>
      <c r="M25" s="20"/>
      <c r="N25" s="20"/>
      <c r="O25" s="20"/>
      <c r="P25" s="20"/>
      <c r="Q25" s="25" t="s">
        <v>34</v>
      </c>
      <c r="R25" s="26"/>
      <c r="S25" s="27"/>
      <c r="T25" s="28"/>
      <c r="U25" s="2"/>
    </row>
    <row r="26" spans="2:21" ht="26.25" thickBot="1" x14ac:dyDescent="0.3">
      <c r="B26" s="6"/>
      <c r="C26" s="15"/>
      <c r="D26" s="21" t="s">
        <v>42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5"/>
      <c r="R26" s="26"/>
      <c r="S26" s="27"/>
      <c r="T26" s="28"/>
      <c r="U26" s="2"/>
    </row>
    <row r="27" spans="2:21" ht="26.25" thickBot="1" x14ac:dyDescent="0.3">
      <c r="B27" s="6"/>
      <c r="C27" s="15"/>
      <c r="D27" s="21" t="s">
        <v>42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>
        <f>SUM(C16:C26)</f>
        <v>3055.8499999999995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255.85</v>
      </c>
      <c r="L28" s="13"/>
      <c r="M28" s="13"/>
      <c r="N28" s="13"/>
      <c r="O28" s="13"/>
      <c r="P28" s="13"/>
      <c r="Q28" s="27"/>
      <c r="R28" s="28"/>
      <c r="S28" s="27"/>
      <c r="T28" s="28"/>
      <c r="U28" s="2"/>
    </row>
    <row r="29" spans="2:21" x14ac:dyDescent="0.25">
      <c r="B29" s="29" t="s">
        <v>22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honeticPr fontId="13" type="noConversion"/>
  <pageMargins left="0.25" right="0.25" top="0.75" bottom="0.75" header="0.3" footer="0.3"/>
  <pageSetup paperSize="9" scale="5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E89B-665D-4475-9765-3D585239AB94}">
  <sheetPr>
    <pageSetUpPr fitToPage="1"/>
  </sheetPr>
  <dimension ref="B7:U33"/>
  <sheetViews>
    <sheetView workbookViewId="0">
      <selection activeCell="N21" sqref="N21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55" t="s">
        <v>0</v>
      </c>
      <c r="R7" s="55"/>
      <c r="S7" s="23"/>
      <c r="T7" s="23"/>
      <c r="U7" s="2"/>
    </row>
    <row r="8" spans="2:21" x14ac:dyDescent="0.25">
      <c r="B8" s="56" t="s">
        <v>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46041</v>
      </c>
      <c r="D9" s="1"/>
      <c r="E9" s="57" t="s">
        <v>2</v>
      </c>
      <c r="F9" s="57"/>
      <c r="G9" s="60" t="s">
        <v>54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32" t="s">
        <v>3</v>
      </c>
      <c r="C11" s="35" t="s">
        <v>4</v>
      </c>
      <c r="D11" s="38" t="s">
        <v>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 t="s">
        <v>6</v>
      </c>
      <c r="R11" s="44"/>
      <c r="S11" s="47" t="s">
        <v>7</v>
      </c>
      <c r="T11" s="48"/>
    </row>
    <row r="12" spans="2:21" x14ac:dyDescent="0.25">
      <c r="B12" s="33"/>
      <c r="C12" s="36"/>
      <c r="D12" s="40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0"/>
      <c r="R12" s="45"/>
      <c r="S12" s="49"/>
      <c r="T12" s="50"/>
    </row>
    <row r="13" spans="2:21" ht="15.75" thickBot="1" x14ac:dyDescent="0.3">
      <c r="B13" s="33"/>
      <c r="C13" s="36"/>
      <c r="D13" s="42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0"/>
      <c r="R13" s="45"/>
      <c r="S13" s="51" t="s">
        <v>8</v>
      </c>
      <c r="T13" s="52"/>
    </row>
    <row r="14" spans="2:21" ht="15.75" thickBot="1" x14ac:dyDescent="0.3">
      <c r="B14" s="34"/>
      <c r="C14" s="37"/>
      <c r="D14" s="4" t="s">
        <v>9</v>
      </c>
      <c r="E14" s="4" t="s">
        <v>10</v>
      </c>
      <c r="F14" s="12" t="s">
        <v>26</v>
      </c>
      <c r="G14" s="12" t="s">
        <v>27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42"/>
      <c r="R14" s="46"/>
      <c r="S14" s="53"/>
      <c r="T14" s="54"/>
      <c r="U14" s="2"/>
    </row>
    <row r="15" spans="2:21" ht="15.75" thickBot="1" x14ac:dyDescent="0.3">
      <c r="B15" s="5"/>
      <c r="C15" s="18" t="s">
        <v>20</v>
      </c>
      <c r="D15" s="11">
        <v>0.33333333333333331</v>
      </c>
      <c r="E15" s="11">
        <v>0.34722222222222221</v>
      </c>
      <c r="F15" s="11">
        <v>0.36111111111111099</v>
      </c>
      <c r="G15" s="11">
        <v>0.375</v>
      </c>
      <c r="H15" s="11">
        <v>0.38888888888888901</v>
      </c>
      <c r="I15" s="11">
        <v>0.40277777777777801</v>
      </c>
      <c r="J15" s="11">
        <v>0.41666666666666702</v>
      </c>
      <c r="K15" s="11">
        <v>0.43055555555555602</v>
      </c>
      <c r="L15" s="11">
        <v>0.44444444444444398</v>
      </c>
      <c r="M15" s="11">
        <v>0.45833333333333298</v>
      </c>
      <c r="N15" s="11">
        <v>0.47222222222222199</v>
      </c>
      <c r="O15" s="11"/>
      <c r="P15" s="11"/>
      <c r="Q15" s="25" t="s">
        <v>28</v>
      </c>
      <c r="R15" s="26"/>
      <c r="S15" s="30"/>
      <c r="T15" s="31"/>
      <c r="U15" s="2"/>
    </row>
    <row r="16" spans="2:21" ht="26.25" thickBot="1" x14ac:dyDescent="0.3">
      <c r="B16" s="6" t="s">
        <v>29</v>
      </c>
      <c r="C16" s="15">
        <v>725.85</v>
      </c>
      <c r="D16" s="20" t="s">
        <v>127</v>
      </c>
      <c r="E16" s="20" t="s">
        <v>127</v>
      </c>
      <c r="F16" s="20" t="s">
        <v>127</v>
      </c>
      <c r="G16" s="20" t="s">
        <v>127</v>
      </c>
      <c r="H16" s="20" t="s">
        <v>127</v>
      </c>
      <c r="I16" s="20" t="s">
        <v>127</v>
      </c>
      <c r="J16" s="20" t="s">
        <v>127</v>
      </c>
      <c r="K16" s="20" t="s">
        <v>127</v>
      </c>
      <c r="L16" s="20" t="s">
        <v>127</v>
      </c>
      <c r="M16" s="20" t="s">
        <v>127</v>
      </c>
      <c r="N16" s="20" t="s">
        <v>132</v>
      </c>
      <c r="O16" s="20"/>
      <c r="P16" s="20"/>
      <c r="Q16" s="25" t="s">
        <v>28</v>
      </c>
      <c r="R16" s="26"/>
      <c r="S16" s="27"/>
      <c r="T16" s="28"/>
      <c r="U16" s="2"/>
    </row>
    <row r="17" spans="2:21" ht="26.25" thickBot="1" x14ac:dyDescent="0.3">
      <c r="B17" s="6" t="s">
        <v>30</v>
      </c>
      <c r="C17" s="15">
        <v>1723.88</v>
      </c>
      <c r="D17" s="20" t="s">
        <v>128</v>
      </c>
      <c r="E17" s="20" t="s">
        <v>128</v>
      </c>
      <c r="F17" s="20" t="s">
        <v>128</v>
      </c>
      <c r="G17" s="20" t="s">
        <v>128</v>
      </c>
      <c r="H17" s="20" t="s">
        <v>128</v>
      </c>
      <c r="I17" s="20" t="s">
        <v>128</v>
      </c>
      <c r="J17" s="20" t="s">
        <v>128</v>
      </c>
      <c r="K17" s="20" t="s">
        <v>128</v>
      </c>
      <c r="L17" s="20" t="s">
        <v>128</v>
      </c>
      <c r="M17" s="20" t="s">
        <v>128</v>
      </c>
      <c r="N17" s="20" t="s">
        <v>133</v>
      </c>
      <c r="O17" s="20"/>
      <c r="P17" s="20"/>
      <c r="Q17" s="25" t="s">
        <v>28</v>
      </c>
      <c r="R17" s="26"/>
      <c r="S17" s="27"/>
      <c r="T17" s="28"/>
      <c r="U17" s="2"/>
    </row>
    <row r="18" spans="2:21" ht="26.25" thickBot="1" x14ac:dyDescent="0.3">
      <c r="B18" s="6" t="s">
        <v>39</v>
      </c>
      <c r="C18" s="15">
        <v>1633.15</v>
      </c>
      <c r="D18" s="20" t="s">
        <v>129</v>
      </c>
      <c r="E18" s="20" t="s">
        <v>129</v>
      </c>
      <c r="F18" s="20" t="s">
        <v>129</v>
      </c>
      <c r="G18" s="20" t="s">
        <v>129</v>
      </c>
      <c r="H18" s="20" t="s">
        <v>129</v>
      </c>
      <c r="I18" s="20" t="s">
        <v>129</v>
      </c>
      <c r="J18" s="20" t="s">
        <v>129</v>
      </c>
      <c r="K18" s="20" t="s">
        <v>129</v>
      </c>
      <c r="L18" s="20" t="s">
        <v>129</v>
      </c>
      <c r="M18" s="20" t="s">
        <v>129</v>
      </c>
      <c r="N18" s="20" t="s">
        <v>134</v>
      </c>
      <c r="O18" s="20"/>
      <c r="P18" s="20"/>
      <c r="Q18" s="25" t="s">
        <v>28</v>
      </c>
      <c r="R18" s="26"/>
      <c r="S18" s="27"/>
      <c r="T18" s="28"/>
      <c r="U18" s="2"/>
    </row>
    <row r="19" spans="2:21" ht="26.25" thickBot="1" x14ac:dyDescent="0.3">
      <c r="B19" s="6" t="s">
        <v>31</v>
      </c>
      <c r="C19" s="15">
        <v>192.35</v>
      </c>
      <c r="D19" s="20" t="s">
        <v>130</v>
      </c>
      <c r="E19" s="20" t="s">
        <v>130</v>
      </c>
      <c r="F19" s="20" t="s">
        <v>130</v>
      </c>
      <c r="G19" s="20" t="s">
        <v>130</v>
      </c>
      <c r="H19" s="20" t="s">
        <v>130</v>
      </c>
      <c r="I19" s="20" t="s">
        <v>130</v>
      </c>
      <c r="J19" s="20" t="s">
        <v>130</v>
      </c>
      <c r="K19" s="20" t="s">
        <v>130</v>
      </c>
      <c r="L19" s="20" t="s">
        <v>130</v>
      </c>
      <c r="M19" s="20" t="s">
        <v>130</v>
      </c>
      <c r="N19" s="20" t="s">
        <v>135</v>
      </c>
      <c r="O19" s="20"/>
      <c r="P19" s="20"/>
      <c r="Q19" s="25" t="s">
        <v>28</v>
      </c>
      <c r="R19" s="26"/>
      <c r="S19" s="27"/>
      <c r="T19" s="28"/>
      <c r="U19" s="2"/>
    </row>
    <row r="20" spans="2:21" ht="26.25" thickBot="1" x14ac:dyDescent="0.3">
      <c r="B20" s="6" t="s">
        <v>32</v>
      </c>
      <c r="C20" s="15">
        <v>10.89</v>
      </c>
      <c r="D20" s="20" t="s">
        <v>131</v>
      </c>
      <c r="E20" s="20" t="s">
        <v>131</v>
      </c>
      <c r="F20" s="20" t="s">
        <v>131</v>
      </c>
      <c r="G20" s="20" t="s">
        <v>131</v>
      </c>
      <c r="H20" s="20" t="s">
        <v>131</v>
      </c>
      <c r="I20" s="20" t="s">
        <v>131</v>
      </c>
      <c r="J20" s="20" t="s">
        <v>131</v>
      </c>
      <c r="K20" s="20" t="s">
        <v>131</v>
      </c>
      <c r="L20" s="20" t="s">
        <v>131</v>
      </c>
      <c r="M20" s="20" t="s">
        <v>131</v>
      </c>
      <c r="N20" s="20" t="s">
        <v>136</v>
      </c>
      <c r="O20" s="20"/>
      <c r="P20" s="20"/>
      <c r="Q20" s="25" t="s">
        <v>28</v>
      </c>
      <c r="R20" s="26"/>
      <c r="S20" s="27"/>
      <c r="T20" s="28"/>
      <c r="U20" s="2"/>
    </row>
    <row r="21" spans="2:21" ht="26.25" thickBot="1" x14ac:dyDescent="0.3">
      <c r="B21" s="6"/>
      <c r="C21" s="15"/>
      <c r="D21" s="21" t="s">
        <v>33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5"/>
      <c r="R21" s="26"/>
      <c r="S21" s="27"/>
      <c r="T21" s="28"/>
      <c r="U21" s="2"/>
    </row>
    <row r="22" spans="2:21" ht="26.25" thickBot="1" x14ac:dyDescent="0.3">
      <c r="B22" s="6"/>
      <c r="C22" s="15"/>
      <c r="D22" s="21" t="s">
        <v>33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5"/>
      <c r="R22" s="26"/>
      <c r="S22" s="27"/>
      <c r="T22" s="28"/>
      <c r="U22" s="2"/>
    </row>
    <row r="23" spans="2:21" ht="26.25" thickBot="1" x14ac:dyDescent="0.3">
      <c r="B23" s="6"/>
      <c r="C23" s="15"/>
      <c r="D23" s="21" t="s">
        <v>33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5"/>
      <c r="R23" s="26"/>
      <c r="S23" s="27"/>
      <c r="T23" s="28"/>
      <c r="U23" s="2"/>
    </row>
    <row r="24" spans="2:21" ht="26.25" thickBot="1" x14ac:dyDescent="0.3">
      <c r="B24" s="6"/>
      <c r="C24" s="15"/>
      <c r="D24" s="21" t="s">
        <v>33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5"/>
      <c r="R24" s="26"/>
      <c r="S24" s="27"/>
      <c r="T24" s="28"/>
      <c r="U24" s="2"/>
    </row>
    <row r="25" spans="2:21" ht="26.25" thickBot="1" x14ac:dyDescent="0.3">
      <c r="B25" s="6"/>
      <c r="C25" s="15"/>
      <c r="D25" s="21" t="s">
        <v>33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5"/>
      <c r="R25" s="26"/>
      <c r="S25" s="27"/>
      <c r="T25" s="28"/>
      <c r="U25" s="2"/>
    </row>
    <row r="26" spans="2:21" ht="26.25" thickBot="1" x14ac:dyDescent="0.3">
      <c r="B26" s="8"/>
      <c r="C26" s="15"/>
      <c r="D26" s="21" t="s">
        <v>33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5"/>
      <c r="R26" s="26"/>
      <c r="S26" s="27"/>
      <c r="T26" s="28"/>
      <c r="U26" s="2"/>
    </row>
    <row r="27" spans="2:21" ht="26.25" thickBot="1" x14ac:dyDescent="0.3">
      <c r="B27" s="8"/>
      <c r="C27" s="15"/>
      <c r="D27" s="21" t="s">
        <v>33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25"/>
      <c r="R27" s="26"/>
      <c r="S27" s="27"/>
      <c r="T27" s="28"/>
      <c r="U27" s="2"/>
    </row>
    <row r="28" spans="2:21" ht="16.5" thickBot="1" x14ac:dyDescent="0.3">
      <c r="B28" s="9" t="s">
        <v>21</v>
      </c>
      <c r="C28" s="13">
        <f>SUM(C16:C23)</f>
        <v>4286.1200000000008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286.12</v>
      </c>
      <c r="O28" s="13"/>
      <c r="P28" s="13"/>
      <c r="Q28" s="27"/>
      <c r="R28" s="28"/>
      <c r="S28" s="27"/>
      <c r="T28" s="28"/>
      <c r="U28" s="2"/>
    </row>
    <row r="29" spans="2:21" x14ac:dyDescent="0.25">
      <c r="B29" s="29" t="s">
        <v>22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22"/>
      <c r="R31" s="22"/>
      <c r="S31" s="23"/>
      <c r="T31" s="23"/>
      <c r="U31" s="2"/>
    </row>
    <row r="32" spans="2:21" x14ac:dyDescent="0.25">
      <c r="B32" s="1"/>
      <c r="C32" s="24" t="s">
        <v>23</v>
      </c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4" t="s">
        <v>24</v>
      </c>
      <c r="Q32" s="24"/>
      <c r="R32" s="24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7:R7"/>
    <mergeCell ref="S7:T7"/>
    <mergeCell ref="B8:Q8"/>
    <mergeCell ref="R8:S8"/>
    <mergeCell ref="E9:F9"/>
    <mergeCell ref="G9:T10"/>
    <mergeCell ref="B11:B14"/>
    <mergeCell ref="C11:C14"/>
    <mergeCell ref="D11:P13"/>
    <mergeCell ref="Q11:R14"/>
    <mergeCell ref="S11:T12"/>
    <mergeCell ref="S13:T14"/>
    <mergeCell ref="Q15:R15"/>
    <mergeCell ref="S15:T15"/>
    <mergeCell ref="Q16:R16"/>
    <mergeCell ref="S16:T16"/>
    <mergeCell ref="Q17:R17"/>
    <mergeCell ref="S17:T17"/>
    <mergeCell ref="Q18:R18"/>
    <mergeCell ref="S18:T18"/>
    <mergeCell ref="Q19:R19"/>
    <mergeCell ref="S19:T19"/>
    <mergeCell ref="Q20:R20"/>
    <mergeCell ref="S20:T20"/>
    <mergeCell ref="Q21:R21"/>
    <mergeCell ref="S21:T21"/>
    <mergeCell ref="Q22:R22"/>
    <mergeCell ref="S22:T22"/>
    <mergeCell ref="Q23:R23"/>
    <mergeCell ref="S23:T23"/>
    <mergeCell ref="Q24:R24"/>
    <mergeCell ref="S24:T24"/>
    <mergeCell ref="Q25:R25"/>
    <mergeCell ref="S25:T25"/>
    <mergeCell ref="Q26:R26"/>
    <mergeCell ref="S26:T26"/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</mergeCells>
  <pageMargins left="0.25" right="0.25" top="0.75" bottom="0.75" header="0.3" footer="0.3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Olmos 1</vt:lpstr>
      <vt:lpstr>Olmos 2</vt:lpstr>
      <vt:lpstr>Olmos 3</vt:lpstr>
      <vt:lpstr>Sanchez Carrion 1</vt:lpstr>
      <vt:lpstr>Sanchez Carrion 2</vt:lpstr>
      <vt:lpstr>Hualgayoc 1</vt:lpstr>
      <vt:lpstr>Hualgayoc 2</vt:lpstr>
      <vt:lpstr>Hualgayoc 3</vt:lpstr>
      <vt:lpstr>Viru 1</vt:lpstr>
      <vt:lpstr>Viru 2</vt:lpstr>
      <vt:lpstr>Florencia de Mora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Diego Jesús Polo Gonzalez</cp:lastModifiedBy>
  <cp:lastPrinted>2026-06-25T15:09:15Z</cp:lastPrinted>
  <dcterms:created xsi:type="dcterms:W3CDTF">2026-06-22T16:11:07Z</dcterms:created>
  <dcterms:modified xsi:type="dcterms:W3CDTF">2026-06-26T14:58:40Z</dcterms:modified>
</cp:coreProperties>
</file>