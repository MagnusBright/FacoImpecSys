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Validación 2026\"/>
    </mc:Choice>
  </mc:AlternateContent>
  <xr:revisionPtr revIDLastSave="0" documentId="13_ncr:1_{C380EBC4-BCCF-4EED-9734-6156B72C7CB1}" xr6:coauthVersionLast="47" xr6:coauthVersionMax="47" xr10:uidLastSave="{00000000-0000-0000-0000-000000000000}"/>
  <bookViews>
    <workbookView xWindow="-120" yWindow="-120" windowWidth="29040" windowHeight="15720" activeTab="6" xr2:uid="{C4980844-11B2-4780-AA72-88BE51361CDC}"/>
  </bookViews>
  <sheets>
    <sheet name="General" sheetId="1" r:id="rId1"/>
    <sheet name="Mezclado" sheetId="3" r:id="rId2"/>
    <sheet name="Laminado" sheetId="6" r:id="rId3"/>
    <sheet name="Molido" sheetId="7" r:id="rId4"/>
    <sheet name="Tostado" sheetId="8" r:id="rId5"/>
    <sheet name="Materia Prima" sheetId="5" r:id="rId6"/>
    <sheet name="Resumen" sheetId="19" r:id="rId7"/>
    <sheet name="Formula" sheetId="4" r:id="rId8"/>
    <sheet name="Procesos" sheetId="9" r:id="rId9"/>
  </sheets>
  <definedNames>
    <definedName name="_xlnm._FilterDatabase" localSheetId="0" hidden="1">General!$A$1:$J$76</definedName>
    <definedName name="_xlnm._FilterDatabase" localSheetId="2" hidden="1">Laminado!$A$1:$F$64</definedName>
    <definedName name="_xlnm._FilterDatabase" localSheetId="5" hidden="1">'Materia Prima'!$A$1:$AB$74</definedName>
    <definedName name="_xlnm._FilterDatabase" localSheetId="1" hidden="1">Mezclado!$A$1:$AA$13</definedName>
    <definedName name="_xlnm._FilterDatabase" localSheetId="3" hidden="1">Molido!$A$1:$I$28</definedName>
    <definedName name="_xlnm._FilterDatabase" localSheetId="6" hidden="1">Resumen!$A$5:$G$31</definedName>
    <definedName name="_xlnm._FilterDatabase" localSheetId="4" hidden="1">Tostado!$A$1:$H$29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5" l="1" a="1"/>
  <c r="Z2" i="5" s="1"/>
  <c r="AA2" i="5" a="1"/>
  <c r="AA2" i="5" s="1"/>
  <c r="AB2" i="5" a="1"/>
  <c r="AB2" i="5" s="1"/>
  <c r="Y2" i="5" a="1"/>
  <c r="Y2" i="5" s="1"/>
  <c r="X2" i="5" a="1"/>
  <c r="X2" i="5" s="1"/>
  <c r="W2" i="5" a="1"/>
  <c r="W2" i="5" s="1"/>
  <c r="V2" i="5" a="1"/>
  <c r="V2" i="5" s="1"/>
  <c r="U2" i="5" a="1"/>
  <c r="U2" i="5" s="1"/>
  <c r="T2" i="5" a="1"/>
  <c r="T2" i="5" s="1"/>
  <c r="S2" i="5" a="1"/>
  <c r="S2" i="5" s="1"/>
  <c r="R2" i="5" a="1"/>
  <c r="R2" i="5" s="1"/>
  <c r="O2" i="5" a="1"/>
  <c r="O2" i="5" s="1"/>
  <c r="N2" i="5" a="1"/>
  <c r="N2" i="5" s="1"/>
  <c r="G2" i="5" a="1"/>
  <c r="G2" i="5" s="1"/>
  <c r="B2" i="5" a="1"/>
  <c r="B2" i="5" s="1"/>
  <c r="A2" i="5" a="1"/>
  <c r="A2" i="5" s="1"/>
  <c r="B6" i="19" a="1"/>
  <c r="B6" i="19" s="1"/>
  <c r="D1" i="5" a="1"/>
  <c r="D1" i="5" s="1"/>
  <c r="I3" i="8" a="1"/>
  <c r="I3" i="8" s="1"/>
  <c r="I4" i="8" a="1"/>
  <c r="I4" i="8" s="1"/>
  <c r="I5" i="8" a="1"/>
  <c r="I5" i="8" s="1"/>
  <c r="I6" i="8" a="1"/>
  <c r="I6" i="8" s="1"/>
  <c r="I7" i="8" a="1"/>
  <c r="I7" i="8" s="1"/>
  <c r="I9" i="8" a="1"/>
  <c r="I9" i="8" s="1"/>
  <c r="I10" i="8" a="1"/>
  <c r="I10" i="8" s="1"/>
  <c r="I11" i="8" a="1"/>
  <c r="I11" i="8" s="1"/>
  <c r="I12" i="8" a="1"/>
  <c r="I12" i="8" s="1"/>
  <c r="I13" i="8" a="1"/>
  <c r="I13" i="8" s="1"/>
  <c r="I2" i="8" a="1"/>
  <c r="I2" i="8" s="1"/>
  <c r="H3" i="8" a="1"/>
  <c r="H3" i="8" s="1"/>
  <c r="H4" i="8" a="1"/>
  <c r="H4" i="8" s="1"/>
  <c r="H5" i="8" a="1"/>
  <c r="H5" i="8" s="1"/>
  <c r="H6" i="8" a="1"/>
  <c r="H6" i="8" s="1"/>
  <c r="H7" i="8" a="1"/>
  <c r="H7" i="8" s="1"/>
  <c r="H9" i="8" a="1"/>
  <c r="H9" i="8" s="1"/>
  <c r="H10" i="8" a="1"/>
  <c r="H10" i="8" s="1"/>
  <c r="H11" i="8" a="1"/>
  <c r="H11" i="8" s="1"/>
  <c r="H12" i="8" a="1"/>
  <c r="H12" i="8" s="1"/>
  <c r="H13" i="8" a="1"/>
  <c r="H13" i="8" s="1"/>
  <c r="H2" i="8" a="1"/>
  <c r="H2" i="8" s="1"/>
  <c r="G3" i="8" a="1"/>
  <c r="G3" i="8" s="1"/>
  <c r="G4" i="8" a="1"/>
  <c r="G4" i="8" s="1"/>
  <c r="G5" i="8" a="1"/>
  <c r="G5" i="8" s="1"/>
  <c r="G6" i="8" a="1"/>
  <c r="G6" i="8" s="1"/>
  <c r="G7" i="8" a="1"/>
  <c r="G7" i="8" s="1"/>
  <c r="G8" i="8" a="1"/>
  <c r="G8" i="8" s="1"/>
  <c r="G9" i="8" a="1"/>
  <c r="G9" i="8" s="1"/>
  <c r="G10" i="8" a="1"/>
  <c r="G10" i="8" s="1"/>
  <c r="G11" i="8" a="1"/>
  <c r="G11" i="8" s="1"/>
  <c r="G12" i="8" a="1"/>
  <c r="G12" i="8"/>
  <c r="G2" i="8" a="1"/>
  <c r="G2" i="8" s="1"/>
  <c r="F4" i="8" a="1"/>
  <c r="F4" i="8" s="1"/>
  <c r="F5" i="8" a="1"/>
  <c r="F5" i="8" s="1"/>
  <c r="F6" i="8" a="1"/>
  <c r="F6" i="8" s="1"/>
  <c r="F7" i="8" a="1"/>
  <c r="F7" i="8" s="1"/>
  <c r="F9" i="8" a="1"/>
  <c r="F9" i="8" s="1"/>
  <c r="F10" i="8" a="1"/>
  <c r="F10" i="8" s="1"/>
  <c r="F11" i="8" a="1"/>
  <c r="F11" i="8" s="1"/>
  <c r="F12" i="8" a="1"/>
  <c r="F12" i="8" s="1"/>
  <c r="F13" i="8" a="1"/>
  <c r="F13" i="8" s="1"/>
  <c r="E3" i="8" a="1"/>
  <c r="E3" i="8" s="1"/>
  <c r="E4" i="8" a="1"/>
  <c r="E4" i="8" s="1"/>
  <c r="E6" i="8" a="1"/>
  <c r="E6" i="8" s="1"/>
  <c r="E7" i="8" a="1"/>
  <c r="E7" i="8" s="1"/>
  <c r="E8" i="8" a="1"/>
  <c r="E8" i="8" s="1"/>
  <c r="E9" i="8" a="1"/>
  <c r="E9" i="8" s="1"/>
  <c r="E10" i="8" a="1"/>
  <c r="E10" i="8" s="1"/>
  <c r="E12" i="8" a="1"/>
  <c r="E12" i="8" s="1"/>
  <c r="E13" i="8" a="1"/>
  <c r="E13" i="8" s="1"/>
  <c r="E2" i="8" a="1"/>
  <c r="E2" i="8" s="1"/>
  <c r="F2" i="8" a="1"/>
  <c r="F2" i="8" s="1"/>
  <c r="D3" i="8" a="1"/>
  <c r="D3" i="8"/>
  <c r="D4" i="8" a="1"/>
  <c r="D4" i="8" s="1"/>
  <c r="D6" i="8" a="1"/>
  <c r="D6" i="8" s="1"/>
  <c r="D7" i="8" a="1"/>
  <c r="D7" i="8"/>
  <c r="D8" i="8" a="1"/>
  <c r="D8" i="8" s="1"/>
  <c r="D9" i="8" a="1"/>
  <c r="D9" i="8" s="1"/>
  <c r="D10" i="8" a="1"/>
  <c r="D10" i="8" s="1"/>
  <c r="D12" i="8" a="1"/>
  <c r="D12" i="8" s="1"/>
  <c r="D13" i="8" a="1"/>
  <c r="D13" i="8" s="1"/>
  <c r="D2" i="8" a="1"/>
  <c r="D2" i="8" s="1"/>
  <c r="P3" i="7" a="1"/>
  <c r="P3" i="7" s="1"/>
  <c r="P4" i="7" a="1"/>
  <c r="P4" i="7" s="1"/>
  <c r="P5" i="7" a="1"/>
  <c r="P5" i="7" s="1"/>
  <c r="P6" i="7" a="1"/>
  <c r="P6" i="7" s="1"/>
  <c r="P7" i="7" a="1"/>
  <c r="P7" i="7"/>
  <c r="P8" i="7" a="1"/>
  <c r="P8" i="7" s="1"/>
  <c r="P9" i="7" a="1"/>
  <c r="P9" i="7"/>
  <c r="P10" i="7" a="1"/>
  <c r="P10" i="7" s="1"/>
  <c r="P11" i="7" a="1"/>
  <c r="P11" i="7" s="1"/>
  <c r="P12" i="7" a="1"/>
  <c r="P12" i="7" s="1"/>
  <c r="P2" i="7" a="1"/>
  <c r="P2" i="7" s="1"/>
  <c r="O13" i="7" a="1"/>
  <c r="O13" i="7" s="1"/>
  <c r="O12" i="7" a="1"/>
  <c r="O12" i="7" s="1"/>
  <c r="O11" i="7" a="1"/>
  <c r="O11" i="7" s="1"/>
  <c r="O10" i="7" a="1"/>
  <c r="O10" i="7" s="1"/>
  <c r="O9" i="7" a="1"/>
  <c r="O9" i="7" s="1"/>
  <c r="O8" i="7" a="1"/>
  <c r="O8" i="7" s="1"/>
  <c r="O7" i="7" a="1"/>
  <c r="O7" i="7" s="1"/>
  <c r="O6" i="7" a="1"/>
  <c r="O6" i="7" s="1"/>
  <c r="O4" i="7" a="1"/>
  <c r="O4" i="7" s="1"/>
  <c r="O3" i="7" a="1"/>
  <c r="O3" i="7" s="1"/>
  <c r="O2" i="7" a="1"/>
  <c r="O2" i="7" s="1"/>
  <c r="N3" i="7" a="1"/>
  <c r="N3" i="7" s="1"/>
  <c r="N4" i="7" a="1"/>
  <c r="N4" i="7" s="1"/>
  <c r="N6" i="7" a="1"/>
  <c r="N6" i="7" s="1"/>
  <c r="N7" i="7" a="1"/>
  <c r="N7" i="7" s="1"/>
  <c r="N8" i="7" a="1"/>
  <c r="N8" i="7" s="1"/>
  <c r="N9" i="7" a="1"/>
  <c r="N9" i="7" s="1"/>
  <c r="N10" i="7" a="1"/>
  <c r="N10" i="7" s="1"/>
  <c r="N11" i="7" a="1"/>
  <c r="N11" i="7" s="1"/>
  <c r="N12" i="7" a="1"/>
  <c r="N12" i="7" s="1"/>
  <c r="N13" i="7" a="1"/>
  <c r="N13" i="7" s="1"/>
  <c r="N2" i="7" a="1"/>
  <c r="N2" i="7" s="1"/>
  <c r="M3" i="7" a="1"/>
  <c r="M3" i="7"/>
  <c r="M5" i="7" a="1"/>
  <c r="M5" i="7" s="1"/>
  <c r="M6" i="7" a="1"/>
  <c r="M6" i="7" s="1"/>
  <c r="M7" i="7" a="1"/>
  <c r="M7" i="7" s="1"/>
  <c r="M8" i="7" a="1"/>
  <c r="M8" i="7" s="1"/>
  <c r="M9" i="7" a="1"/>
  <c r="M9" i="7" s="1"/>
  <c r="M10" i="7" a="1"/>
  <c r="M10" i="7"/>
  <c r="M11" i="7" a="1"/>
  <c r="M11" i="7" s="1"/>
  <c r="M12" i="7" a="1"/>
  <c r="M12" i="7" s="1"/>
  <c r="M13" i="7" a="1"/>
  <c r="M13" i="7" s="1"/>
  <c r="M2" i="7" a="1"/>
  <c r="M2" i="7" s="1"/>
  <c r="L4" i="7" a="1"/>
  <c r="L4" i="7" s="1"/>
  <c r="L5" i="7" a="1"/>
  <c r="L5" i="7" s="1"/>
  <c r="L6" i="7" a="1"/>
  <c r="L6" i="7" s="1"/>
  <c r="L7" i="7" a="1"/>
  <c r="L7" i="7" s="1"/>
  <c r="L8" i="7" a="1"/>
  <c r="L8" i="7" s="1"/>
  <c r="L9" i="7" a="1"/>
  <c r="L9" i="7" s="1"/>
  <c r="L10" i="7" a="1"/>
  <c r="L10" i="7" s="1"/>
  <c r="L11" i="7" a="1"/>
  <c r="L11" i="7" s="1"/>
  <c r="L13" i="7" a="1"/>
  <c r="L13" i="7" s="1"/>
  <c r="L2" i="7" a="1"/>
  <c r="L2" i="7" s="1"/>
  <c r="J3" i="7" a="1"/>
  <c r="J3" i="7" s="1"/>
  <c r="K3" i="7" a="1"/>
  <c r="K3" i="7" s="1"/>
  <c r="J4" i="7" a="1"/>
  <c r="J4" i="7" s="1"/>
  <c r="K4" i="7" a="1"/>
  <c r="K4" i="7" s="1"/>
  <c r="J5" i="7" a="1"/>
  <c r="J5" i="7" s="1"/>
  <c r="K5" i="7" a="1"/>
  <c r="K5" i="7" s="1"/>
  <c r="J6" i="7" a="1"/>
  <c r="J6" i="7" s="1"/>
  <c r="K6" i="7" a="1"/>
  <c r="K6" i="7" s="1"/>
  <c r="J7" i="7" a="1"/>
  <c r="J7" i="7" s="1"/>
  <c r="K7" i="7" a="1"/>
  <c r="K7" i="7" s="1"/>
  <c r="J8" i="7" a="1"/>
  <c r="J8" i="7"/>
  <c r="K8" i="7" a="1"/>
  <c r="K8" i="7" s="1"/>
  <c r="J9" i="7" a="1"/>
  <c r="J9" i="7" s="1"/>
  <c r="K9" i="7" a="1"/>
  <c r="K9" i="7" s="1"/>
  <c r="J10" i="7" a="1"/>
  <c r="J10" i="7" s="1"/>
  <c r="K10" i="7" a="1"/>
  <c r="K10" i="7" s="1"/>
  <c r="J11" i="7" a="1"/>
  <c r="J11" i="7"/>
  <c r="K11" i="7" a="1"/>
  <c r="K11" i="7" s="1"/>
  <c r="J12" i="7" a="1"/>
  <c r="J12" i="7" s="1"/>
  <c r="K12" i="7" a="1"/>
  <c r="K12" i="7" s="1"/>
  <c r="J13" i="7" a="1"/>
  <c r="J13" i="7" s="1"/>
  <c r="K13" i="7" a="1"/>
  <c r="K13" i="7" s="1"/>
  <c r="H3" i="7" a="1"/>
  <c r="H3" i="7" s="1"/>
  <c r="I3" i="7" a="1"/>
  <c r="I3" i="7" s="1"/>
  <c r="H4" i="7" a="1"/>
  <c r="H4" i="7"/>
  <c r="I4" i="7" a="1"/>
  <c r="I4" i="7" s="1"/>
  <c r="H5" i="7" a="1"/>
  <c r="H5" i="7" s="1"/>
  <c r="I5" i="7" a="1"/>
  <c r="I5" i="7" s="1"/>
  <c r="H6" i="7" a="1"/>
  <c r="H6" i="7" s="1"/>
  <c r="I6" i="7" a="1"/>
  <c r="I6" i="7" s="1"/>
  <c r="H7" i="7" a="1"/>
  <c r="H7" i="7" s="1"/>
  <c r="I7" i="7" a="1"/>
  <c r="I7" i="7"/>
  <c r="I8" i="7" a="1"/>
  <c r="I8" i="7" s="1"/>
  <c r="H9" i="7" a="1"/>
  <c r="H9" i="7" s="1"/>
  <c r="I9" i="7" a="1"/>
  <c r="I9" i="7" s="1"/>
  <c r="H10" i="7" a="1"/>
  <c r="H10" i="7" s="1"/>
  <c r="H11" i="7" a="1"/>
  <c r="H11" i="7" s="1"/>
  <c r="I11" i="7" a="1"/>
  <c r="I11" i="7" s="1"/>
  <c r="H12" i="7" a="1"/>
  <c r="H12" i="7" s="1"/>
  <c r="I12" i="7" a="1"/>
  <c r="I12" i="7" s="1"/>
  <c r="H13" i="7" a="1"/>
  <c r="H13" i="7" s="1"/>
  <c r="I13" i="7" a="1"/>
  <c r="I13" i="7" s="1"/>
  <c r="G2" i="7" a="1"/>
  <c r="G2" i="7" s="1"/>
  <c r="G3" i="7" a="1"/>
  <c r="G3" i="7" s="1"/>
  <c r="G4" i="7" a="1"/>
  <c r="G4" i="7" s="1"/>
  <c r="G6" i="7" a="1"/>
  <c r="G6" i="7" s="1"/>
  <c r="G7" i="7" a="1"/>
  <c r="G7" i="7" s="1"/>
  <c r="G11" i="7" a="1"/>
  <c r="G11" i="7"/>
  <c r="G12" i="7" a="1"/>
  <c r="G12" i="7" s="1"/>
  <c r="G13" i="7" a="1"/>
  <c r="G13" i="7" s="1"/>
  <c r="F4" i="7" a="1"/>
  <c r="F4" i="7" s="1"/>
  <c r="F5" i="7" a="1"/>
  <c r="F5" i="7" s="1"/>
  <c r="F6" i="7" a="1"/>
  <c r="F6" i="7" s="1"/>
  <c r="F7" i="7" a="1"/>
  <c r="F7" i="7" s="1"/>
  <c r="F8" i="7" a="1"/>
  <c r="F8" i="7" s="1"/>
  <c r="F9" i="7" a="1"/>
  <c r="F9" i="7" s="1"/>
  <c r="F10" i="7" a="1"/>
  <c r="F10" i="7" s="1"/>
  <c r="F11" i="7" a="1"/>
  <c r="F11" i="7" s="1"/>
  <c r="F12" i="7" a="1"/>
  <c r="F12" i="7" s="1"/>
  <c r="F2" i="7" a="1"/>
  <c r="F2" i="7" s="1"/>
  <c r="E3" i="7" a="1"/>
  <c r="E3" i="7" s="1"/>
  <c r="E4" i="7" a="1"/>
  <c r="E4" i="7" s="1"/>
  <c r="E5" i="7" a="1"/>
  <c r="E5" i="7" s="1"/>
  <c r="E8" i="7" a="1"/>
  <c r="E8" i="7" s="1"/>
  <c r="E9" i="7" a="1"/>
  <c r="E9" i="7" s="1"/>
  <c r="E10" i="7" a="1"/>
  <c r="E10" i="7" s="1"/>
  <c r="E11" i="7" a="1"/>
  <c r="E11" i="7" s="1"/>
  <c r="E12" i="7" a="1"/>
  <c r="E12" i="7" s="1"/>
  <c r="E13" i="7" a="1"/>
  <c r="E13" i="7" s="1"/>
  <c r="D3" i="7" a="1"/>
  <c r="D3" i="7" s="1"/>
  <c r="D4" i="7" a="1"/>
  <c r="D4" i="7" s="1"/>
  <c r="D5" i="7" a="1"/>
  <c r="D5" i="7" s="1"/>
  <c r="D6" i="7" a="1"/>
  <c r="D6" i="7" s="1"/>
  <c r="D7" i="7" a="1"/>
  <c r="D7" i="7"/>
  <c r="D8" i="7" a="1"/>
  <c r="D8" i="7" s="1"/>
  <c r="D9" i="7" a="1"/>
  <c r="D9" i="7" s="1"/>
  <c r="D10" i="7" a="1"/>
  <c r="D10" i="7" s="1"/>
  <c r="D11" i="7" a="1"/>
  <c r="D11" i="7" s="1"/>
  <c r="D12" i="7" a="1"/>
  <c r="D12" i="7" s="1"/>
  <c r="D13" i="7" a="1"/>
  <c r="D13" i="7"/>
  <c r="H3" i="6" a="1"/>
  <c r="H3" i="6" s="1"/>
  <c r="H4" i="6" a="1"/>
  <c r="H4" i="6"/>
  <c r="H5" i="6" a="1"/>
  <c r="H5" i="6" s="1"/>
  <c r="H6" i="6" a="1"/>
  <c r="H6" i="6" s="1"/>
  <c r="H7" i="6" a="1"/>
  <c r="H7" i="6" s="1"/>
  <c r="H9" i="6" a="1"/>
  <c r="H9" i="6" s="1"/>
  <c r="H10" i="6" a="1"/>
  <c r="H10" i="6" s="1"/>
  <c r="H11" i="6" a="1"/>
  <c r="H11" i="6" s="1"/>
  <c r="H13" i="6" a="1"/>
  <c r="H13" i="6"/>
  <c r="H2" i="6" a="1"/>
  <c r="H2" i="6" s="1"/>
  <c r="G3" i="6" a="1"/>
  <c r="G3" i="6" s="1"/>
  <c r="G4" i="6" a="1"/>
  <c r="G4" i="6" s="1"/>
  <c r="G5" i="6" a="1"/>
  <c r="G5" i="6" s="1"/>
  <c r="G6" i="6" a="1"/>
  <c r="G6" i="6" s="1"/>
  <c r="G7" i="6" a="1"/>
  <c r="G7" i="6" s="1"/>
  <c r="G8" i="6" a="1"/>
  <c r="G8" i="6" s="1"/>
  <c r="G9" i="6" a="1"/>
  <c r="G9" i="6" s="1"/>
  <c r="G10" i="6" a="1"/>
  <c r="G10" i="6" s="1"/>
  <c r="G11" i="6" a="1"/>
  <c r="G11" i="6" s="1"/>
  <c r="G13" i="6" a="1"/>
  <c r="G13" i="6" s="1"/>
  <c r="G2" i="6" a="1"/>
  <c r="G2" i="6" s="1"/>
  <c r="F13" i="6" a="1"/>
  <c r="F13" i="6" s="1"/>
  <c r="F12" i="6" a="1"/>
  <c r="F12" i="6" s="1"/>
  <c r="F11" i="6" a="1"/>
  <c r="F11" i="6" s="1"/>
  <c r="F10" i="6" a="1"/>
  <c r="F10" i="6" s="1"/>
  <c r="F9" i="6" a="1"/>
  <c r="F9" i="6" s="1"/>
  <c r="F7" i="6" a="1"/>
  <c r="F7" i="6" s="1"/>
  <c r="F6" i="6" a="1"/>
  <c r="F6" i="6" s="1"/>
  <c r="F5" i="6" a="1"/>
  <c r="F5" i="6" s="1"/>
  <c r="F2" i="6" a="1"/>
  <c r="F2" i="6" s="1"/>
  <c r="E6" i="6" a="1"/>
  <c r="E6" i="6" s="1"/>
  <c r="E9" i="6" a="1"/>
  <c r="E9" i="6" s="1"/>
  <c r="E10" i="6" a="1"/>
  <c r="E10" i="6" s="1"/>
  <c r="E13" i="6" a="1"/>
  <c r="E13" i="6" s="1"/>
  <c r="E2" i="6" a="1"/>
  <c r="E2" i="6" s="1"/>
  <c r="D9" i="6" a="1"/>
  <c r="D9" i="6" s="1"/>
  <c r="D10" i="6" a="1"/>
  <c r="D10" i="6" s="1"/>
  <c r="D2" i="6" a="1"/>
  <c r="D2" i="6" s="1"/>
  <c r="D1" i="8" l="1" a="1"/>
  <c r="D1" i="8" s="1"/>
  <c r="D1" i="7" a="1"/>
  <c r="D1" i="6" a="1"/>
  <c r="B1" i="9" a="1"/>
  <c r="B1" i="9" s="1"/>
  <c r="B2" i="3" a="1"/>
  <c r="B2" i="3" s="1"/>
  <c r="A2" i="3" a="1"/>
  <c r="A2" i="3" s="1"/>
  <c r="AA11" i="4"/>
  <c r="AA12" i="4"/>
  <c r="AA13" i="4"/>
  <c r="W10" i="4"/>
  <c r="Z4" i="4"/>
  <c r="Y4" i="4"/>
  <c r="O4" i="4"/>
  <c r="E4" i="4"/>
  <c r="D4" i="4"/>
  <c r="C4" i="4"/>
  <c r="B4" i="4"/>
  <c r="E1" i="3" a="1"/>
  <c r="E1" i="3" s="1"/>
  <c r="D1" i="6" l="1"/>
  <c r="F4" i="6" a="1"/>
  <c r="F4" i="6" s="1"/>
  <c r="F3" i="6" a="1"/>
  <c r="F3" i="6" s="1"/>
  <c r="F3" i="8" s="1" a="1"/>
  <c r="F3" i="8" s="1"/>
  <c r="H12" i="6" a="1"/>
  <c r="H12" i="6" s="1"/>
  <c r="E11" i="6" a="1"/>
  <c r="E11" i="6" s="1"/>
  <c r="E11" i="8" s="1" a="1"/>
  <c r="E11" i="8" s="1"/>
  <c r="E12" i="6" a="1"/>
  <c r="E12" i="6" s="1"/>
  <c r="F8" i="6" a="1"/>
  <c r="F8" i="6" s="1"/>
  <c r="F8" i="8" s="1" a="1"/>
  <c r="F8" i="8" s="1"/>
  <c r="E3" i="6" a="1"/>
  <c r="E3" i="6" s="1"/>
  <c r="E5" i="6" a="1"/>
  <c r="E5" i="6" s="1"/>
  <c r="E5" i="8" s="1" a="1"/>
  <c r="E5" i="8" s="1"/>
  <c r="G12" i="6" a="1"/>
  <c r="G12" i="6" s="1"/>
  <c r="E4" i="6" a="1"/>
  <c r="E4" i="6" s="1"/>
  <c r="E8" i="6" a="1"/>
  <c r="E8" i="6" s="1"/>
  <c r="H8" i="6" a="1"/>
  <c r="H8" i="6" s="1"/>
  <c r="E7" i="6" a="1"/>
  <c r="E7" i="6" s="1"/>
  <c r="D1" i="7"/>
  <c r="D2" i="7" s="1" a="1"/>
  <c r="D2" i="7" s="1"/>
  <c r="N5" i="7" a="1"/>
  <c r="N5" i="7" s="1"/>
  <c r="M4" i="7" a="1"/>
  <c r="M4" i="7" s="1"/>
  <c r="Q2" i="5" s="1" a="1"/>
  <c r="Q2" i="5" s="1"/>
  <c r="G9" i="7" a="1"/>
  <c r="G9" i="7" s="1"/>
  <c r="E2" i="7" a="1"/>
  <c r="E2" i="7" s="1"/>
  <c r="I10" i="7" a="1"/>
  <c r="I10" i="7" s="1"/>
  <c r="G10" i="7" a="1"/>
  <c r="G10" i="7" s="1"/>
  <c r="F13" i="7" a="1"/>
  <c r="F13" i="7" s="1"/>
  <c r="G13" i="8" s="1" a="1"/>
  <c r="G13" i="8" s="1"/>
  <c r="K2" i="7" a="1"/>
  <c r="K2" i="7" s="1"/>
  <c r="M2" i="5" s="1" a="1"/>
  <c r="M2" i="5" s="1"/>
  <c r="L3" i="7" a="1"/>
  <c r="L3" i="7" s="1"/>
  <c r="L12" i="7" a="1"/>
  <c r="L12" i="7" s="1"/>
  <c r="H8" i="7" a="1"/>
  <c r="H8" i="7" s="1"/>
  <c r="I8" i="8" s="1" a="1"/>
  <c r="I8" i="8" s="1"/>
  <c r="O5" i="7" a="1"/>
  <c r="O5" i="7" s="1"/>
  <c r="J2" i="7" a="1"/>
  <c r="J2" i="7" s="1"/>
  <c r="L2" i="5" s="1" a="1"/>
  <c r="L2" i="5" s="1"/>
  <c r="H2" i="7" a="1"/>
  <c r="H2" i="7" s="1"/>
  <c r="J2" i="5" s="1" a="1"/>
  <c r="J2" i="5" s="1"/>
  <c r="G5" i="7" a="1"/>
  <c r="G5" i="7" s="1"/>
  <c r="P13" i="7" a="1"/>
  <c r="P13" i="7" s="1"/>
  <c r="F3" i="7" a="1"/>
  <c r="F3" i="7" s="1"/>
  <c r="I2" i="7" a="1"/>
  <c r="I2" i="7" s="1"/>
  <c r="E6" i="7" a="1"/>
  <c r="E6" i="7" s="1"/>
  <c r="G8" i="7" a="1"/>
  <c r="G8" i="7" s="1"/>
  <c r="H8" i="8" s="1" a="1"/>
  <c r="H8" i="8" s="1"/>
  <c r="E7" i="7" a="1"/>
  <c r="E7" i="7" s="1"/>
  <c r="A2" i="7" a="1"/>
  <c r="A2" i="7" s="1"/>
  <c r="H2" i="5" l="1" a="1"/>
  <c r="H2" i="5" s="1"/>
  <c r="I2" i="5" a="1"/>
  <c r="I2" i="5" s="1"/>
  <c r="P2" i="5" a="1"/>
  <c r="P2" i="5" s="1"/>
  <c r="F2" i="5" a="1"/>
  <c r="F2" i="5" s="1"/>
  <c r="E2" i="5" a="1"/>
  <c r="E2" i="5" s="1"/>
  <c r="K2" i="5" a="1"/>
  <c r="K2" i="5" s="1"/>
  <c r="D8" i="6" a="1"/>
  <c r="D8" i="6" s="1"/>
  <c r="D3" i="6" a="1"/>
  <c r="D3" i="6" s="1"/>
  <c r="D7" i="6" a="1"/>
  <c r="D7" i="6" s="1"/>
  <c r="D11" i="6" a="1"/>
  <c r="D11" i="6" s="1"/>
  <c r="D11" i="8" s="1" a="1"/>
  <c r="D11" i="8" s="1"/>
  <c r="D13" i="6" a="1"/>
  <c r="D13" i="6" s="1"/>
  <c r="D4" i="6" a="1"/>
  <c r="D4" i="6" s="1"/>
  <c r="D12" i="6" a="1"/>
  <c r="D12" i="6" s="1"/>
  <c r="D5" i="6" a="1"/>
  <c r="D5" i="6" s="1"/>
  <c r="D5" i="8" s="1" a="1"/>
  <c r="D5" i="8" s="1"/>
  <c r="D6" i="6" a="1"/>
  <c r="D6" i="6" s="1"/>
  <c r="AA2" i="4"/>
  <c r="AA3" i="4"/>
  <c r="AA4" i="4"/>
  <c r="AA6" i="4"/>
  <c r="D2" i="19"/>
  <c r="AA9" i="4"/>
  <c r="AA10" i="4"/>
  <c r="D2" i="5" l="1" a="1"/>
  <c r="D2" i="5" s="1"/>
  <c r="AA7" i="4"/>
  <c r="AA8" i="4"/>
  <c r="AA5" i="4"/>
  <c r="F66" i="6" l="1"/>
  <c r="F67" i="6" s="1"/>
  <c r="A2" i="8" a="1"/>
  <c r="A2" i="8" s="1"/>
  <c r="A2" i="6" a="1"/>
  <c r="A2" i="6" s="1"/>
  <c r="D66" i="6"/>
  <c r="E66" i="6"/>
  <c r="D2" i="3" l="1"/>
  <c r="E2" i="3" s="1" a="1"/>
  <c r="D3" i="3"/>
  <c r="E3" i="3" s="1" a="1"/>
  <c r="E3" i="3" s="1"/>
  <c r="D4" i="3"/>
  <c r="E4" i="3" s="1" a="1"/>
  <c r="D5" i="3"/>
  <c r="E5" i="3" s="1" a="1"/>
  <c r="E5" i="3" s="1"/>
  <c r="D6" i="3"/>
  <c r="E6" i="3" s="1" a="1"/>
  <c r="D7" i="3"/>
  <c r="E7" i="3" s="1" a="1"/>
  <c r="D8" i="3"/>
  <c r="E8" i="3" s="1" a="1"/>
  <c r="D9" i="3"/>
  <c r="E9" i="3" s="1" a="1"/>
  <c r="D10" i="3"/>
  <c r="E10" i="3" s="1" a="1"/>
  <c r="E10" i="3" s="1"/>
  <c r="D11" i="3"/>
  <c r="E11" i="3" s="1" a="1"/>
  <c r="E11" i="3" s="1"/>
  <c r="D12" i="3"/>
  <c r="E12" i="3" s="1" a="1"/>
  <c r="E12" i="3" s="1"/>
  <c r="D13" i="3"/>
  <c r="E13" i="3" s="1" a="1"/>
  <c r="E13" i="3" s="1"/>
  <c r="E2" i="3" l="1"/>
  <c r="E9" i="3"/>
  <c r="E8" i="3"/>
  <c r="E7" i="3"/>
  <c r="E6" i="3"/>
  <c r="E4" i="3"/>
  <c r="C19" i="19" l="1" a="1"/>
  <c r="C19" i="19" s="1"/>
  <c r="G19" i="19" s="1"/>
  <c r="E19" i="19" s="1"/>
  <c r="C31" i="19" a="1"/>
  <c r="C31" i="19" s="1"/>
  <c r="G31" i="19" s="1"/>
  <c r="E31" i="19" s="1"/>
  <c r="C15" i="19" l="1" a="1"/>
  <c r="C15" i="19" s="1"/>
  <c r="G15" i="19" s="1"/>
  <c r="E15" i="19" s="1"/>
  <c r="H76" i="5"/>
  <c r="C18" i="19" a="1"/>
  <c r="C18" i="19" s="1"/>
  <c r="G18" i="19" s="1"/>
  <c r="E18" i="19" s="1"/>
  <c r="C20" i="19" a="1"/>
  <c r="C20" i="19" s="1"/>
  <c r="G20" i="19" s="1"/>
  <c r="E20" i="19" s="1"/>
  <c r="C21" i="19" a="1"/>
  <c r="C21" i="19" s="1"/>
  <c r="G21" i="19" s="1"/>
  <c r="E21" i="19" s="1"/>
  <c r="C23" i="19" a="1"/>
  <c r="C23" i="19" s="1"/>
  <c r="G23" i="19" s="1"/>
  <c r="E23" i="19" s="1"/>
  <c r="C27" i="19" a="1"/>
  <c r="C27" i="19" s="1"/>
  <c r="G27" i="19" s="1"/>
  <c r="E27" i="19" s="1"/>
  <c r="C28" i="19" a="1"/>
  <c r="C28" i="19" s="1"/>
  <c r="G28" i="19" s="1"/>
  <c r="E28" i="19" s="1"/>
  <c r="C29" i="19" a="1"/>
  <c r="C29" i="19" s="1"/>
  <c r="G29" i="19" s="1"/>
  <c r="E29" i="19" s="1"/>
  <c r="C30" i="19" a="1"/>
  <c r="C30" i="19" s="1"/>
  <c r="G30" i="19" s="1"/>
  <c r="E30" i="19" s="1"/>
  <c r="C25" i="19" a="1"/>
  <c r="C25" i="19" s="1"/>
  <c r="G25" i="19" s="1"/>
  <c r="E25" i="19" s="1"/>
  <c r="C26" i="19" a="1"/>
  <c r="C26" i="19" s="1"/>
  <c r="G26" i="19" s="1"/>
  <c r="E26" i="19" s="1"/>
  <c r="C24" i="19" a="1"/>
  <c r="C24" i="19" s="1"/>
  <c r="G24" i="19" s="1"/>
  <c r="E24" i="19" s="1"/>
  <c r="F76" i="5" l="1"/>
  <c r="C6" i="19" a="1"/>
  <c r="C6" i="19" s="1"/>
  <c r="G6" i="19" s="1"/>
  <c r="E6" i="19" s="1"/>
  <c r="D76" i="5"/>
  <c r="C22" i="19" a="1"/>
  <c r="C22" i="19" s="1"/>
  <c r="G22" i="19" s="1"/>
  <c r="E22" i="19" s="1"/>
  <c r="C16" i="19" a="1"/>
  <c r="C16" i="19" s="1"/>
  <c r="G16" i="19" s="1"/>
  <c r="E16" i="19" s="1"/>
  <c r="C10" i="19" a="1"/>
  <c r="C10" i="19" s="1"/>
  <c r="G10" i="19" s="1"/>
  <c r="E10" i="19" s="1"/>
  <c r="C11" i="19" a="1"/>
  <c r="C11" i="19" s="1"/>
  <c r="C13" i="19" a="1"/>
  <c r="C13" i="19" s="1"/>
  <c r="C9" i="19" a="1"/>
  <c r="C9" i="19" s="1"/>
  <c r="C7" i="19" l="1" a="1"/>
  <c r="C7" i="19" s="1"/>
  <c r="G7" i="19" s="1"/>
  <c r="E7" i="19" s="1"/>
  <c r="C8" i="19" a="1"/>
  <c r="C8" i="19" s="1"/>
  <c r="G8" i="19" s="1"/>
  <c r="E8" i="19" s="1"/>
  <c r="C12" i="19" a="1"/>
  <c r="C12" i="19" s="1"/>
  <c r="G12" i="19" s="1"/>
  <c r="E12" i="19" s="1"/>
  <c r="G13" i="19"/>
  <c r="E13" i="19" s="1"/>
  <c r="G9" i="19"/>
  <c r="E9" i="19" s="1"/>
  <c r="G11" i="19"/>
  <c r="E11" i="19" s="1"/>
  <c r="C14" i="19" a="1"/>
  <c r="C14" i="19" s="1"/>
  <c r="G14" i="19" l="1"/>
  <c r="E14" i="19" s="1"/>
  <c r="C17" i="19" l="1" a="1"/>
  <c r="C17" i="19" s="1"/>
  <c r="G17" i="19" l="1"/>
  <c r="E17" i="1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<sst xmlns="http://schemas.openxmlformats.org/spreadsheetml/2006/main" count="179" uniqueCount="75">
  <si>
    <t>Producto</t>
  </si>
  <si>
    <t>F.P.</t>
  </si>
  <si>
    <t>Municipalidad</t>
  </si>
  <si>
    <t>F.V.</t>
  </si>
  <si>
    <t>N° Lote</t>
  </si>
  <si>
    <t>Cantidad (Kg)</t>
  </si>
  <si>
    <t>Fecha</t>
  </si>
  <si>
    <t>Marca</t>
  </si>
  <si>
    <t>FACLAC</t>
  </si>
  <si>
    <t>Kiwicha</t>
  </si>
  <si>
    <t>Avena</t>
  </si>
  <si>
    <t>Quinua</t>
  </si>
  <si>
    <t>Soya</t>
  </si>
  <si>
    <t>Aceite Girasol</t>
  </si>
  <si>
    <t>Fosfato Tricálcio</t>
  </si>
  <si>
    <t>Mix vitaminico</t>
  </si>
  <si>
    <t>Laminado</t>
  </si>
  <si>
    <t>Mezclado</t>
  </si>
  <si>
    <t>Maca</t>
  </si>
  <si>
    <t>Deshidratado</t>
  </si>
  <si>
    <t>Tostado</t>
  </si>
  <si>
    <t>Linaza</t>
  </si>
  <si>
    <t>Ajonjoli</t>
  </si>
  <si>
    <t>MERMA</t>
  </si>
  <si>
    <t>Molido</t>
  </si>
  <si>
    <t>N° Sacos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</si>
  <si>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</si>
  <si>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</si>
  <si>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</si>
  <si>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</si>
  <si>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</si>
  <si>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</si>
  <si>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</si>
  <si>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</si>
  <si>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Total (Kg)</t>
  </si>
  <si>
    <t>Capacida Sacos</t>
  </si>
  <si>
    <t>Materia Prima</t>
  </si>
  <si>
    <t>Redondeo</t>
  </si>
  <si>
    <t>U.M.</t>
  </si>
  <si>
    <t>Kg</t>
  </si>
  <si>
    <t>L</t>
  </si>
  <si>
    <t>Fecha Env.</t>
  </si>
  <si>
    <t>Agosto</t>
  </si>
  <si>
    <t>Septiembre</t>
  </si>
  <si>
    <t>Octubre</t>
  </si>
  <si>
    <t>Noviembre</t>
  </si>
  <si>
    <t>-</t>
  </si>
  <si>
    <t>Bolsa (g)</t>
  </si>
  <si>
    <t>MEZCLA DE HARINAS DE SIETE SEMILLAS (TRIGO, HABAS, ARVEJAS, KIWICHA, CAÑIHUA, CEBADA, QUINUA) CON HARINA DE PLATANO ENRIQUECIDA CON VITAMINAS Y MINERALES</t>
  </si>
  <si>
    <t xml:space="preserve">MEZCLA DE HOJUELAS DE QUINUA, KIWICHA Y AVENA CON HARINAS DE MACA, SOYA Y AJONJOLI ENRIQUECIDOS CON VITAMINAS Y MINERALES </t>
  </si>
  <si>
    <t xml:space="preserve"> MEZCLA DE HOJUELAS PRECOCIDAS DE AVENA, QUINUA Y KIWICHA CON HARINAS DE MACA Y LINAZA ENRIQUECIDA CON VITAMINAS Y MINERALES</t>
  </si>
  <si>
    <t>MEZCLA DE HOJUELAS PRECOCIDAS DE AVENA, QUINUA Y KIWICHA CON HARINAS DE MACA Y LENTEJA, PROTEINA AISLADO DE SOYA, ACEITE VEGETAL SACHA INCHI ENRIQUECIDA CON VITAMINAS Y MINERALES</t>
  </si>
  <si>
    <t xml:space="preserve"> MEZCLA DE HOJUELAS DE AVENA CON HARINA DE KIWICHA Y HARINA DE MACA ENRIQUECIDA CON VITAMINAS Y MINERALES</t>
  </si>
  <si>
    <t>MEZCLA DE HOJUELAS PRECOCIDAS DE AVENA Y QUINUA CON HARINAS DE KIWICHA, MACA Y LUCUMA ENRIQUECIDA CON VITAMINAS Y MINERALES</t>
  </si>
  <si>
    <t>MEZCLA PRECOCIDA DE HOJUELAS DE KIWICHA, QUINUA, AVENA Y CAÑIHUA CON HARINAS DE CEBADA, TRIGO Y MACA FORTIFICADA CON VITAMINAS Y MINERALES</t>
  </si>
  <si>
    <t>TRIGO MOLIDO TOSTADO</t>
  </si>
  <si>
    <t>MEZCLA DE HARINA DE TRIGO Y HARINA DE CAÑIHUA FORTIFICADA CON HIERRO </t>
  </si>
  <si>
    <t>MEZCLA DE HOJUELAS PRECOCIDAS DE AVENA Y QUINUA CON HARINAS DE CEBADA TOSTADA MOLIDA (CHAQUEPA) Y MACA ENRIQUECIDA CON VITAMINAS Y MINERALES.</t>
  </si>
  <si>
    <t> MEZCLA PRECOCIDA DE HOJUELAS DE AVENA, CAÑIHUA, QUINUA, TRIGO CON MAIZENA, AJONJOLI Y MACA FORTIFICADA CON VITAMINAS Y MINERALES</t>
  </si>
  <si>
    <t>MEZCLA DE HOJUELAS DE AVENA CON HARINAS DE CHUFLA, SOYA INTEGRAL TOSTADA Y PLÁTANO FORTIFICADA CON VITAMINAS Y MINERALES</t>
  </si>
  <si>
    <t>Trigo</t>
  </si>
  <si>
    <t>Cebada</t>
  </si>
  <si>
    <t>Cañihua</t>
  </si>
  <si>
    <t>Habas</t>
  </si>
  <si>
    <t>Arveja</t>
  </si>
  <si>
    <t>Harina de plátano</t>
  </si>
  <si>
    <t>Lenteja</t>
  </si>
  <si>
    <t>Arroz</t>
  </si>
  <si>
    <t>Proteina soya</t>
  </si>
  <si>
    <t>Harina de lucuma</t>
  </si>
  <si>
    <t>Sulfato ferroso</t>
  </si>
  <si>
    <t>Maizena</t>
  </si>
  <si>
    <t>Almidon Maca</t>
  </si>
  <si>
    <t>Maiz</t>
  </si>
  <si>
    <t>Aceite Soya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</si>
</sst>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[$-F400]h:mm:ss\ AM/PM"/>
    <numFmt numFmtId="166" formatCode="#,##0.0000"/>
    <numFmt numFmtId="175" formatCode="#,##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" fontId="0" fillId="0" borderId="0" xfId="0" applyNumberFormat="1"/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" fontId="3" fillId="2" borderId="3" xfId="1" applyNumberFormat="1" applyFont="1" applyFill="1" applyBorder="1" applyAlignment="1">
      <alignment horizontal="center" vertical="center" wrapText="1"/>
    </xf>
    <xf numFmtId="4" fontId="0" fillId="2" borderId="5" xfId="1" applyNumberFormat="1" applyFont="1" applyFill="1" applyBorder="1" applyAlignment="1">
      <alignment horizontal="center"/>
    </xf>
    <xf numFmtId="4" fontId="0" fillId="0" borderId="0" xfId="1" applyNumberFormat="1" applyFont="1" applyFill="1" applyAlignment="1">
      <alignment horizontal="center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2" applyNumberFormat="1" applyFont="1" applyAlignment="1">
      <alignment horizontal="center"/>
    </xf>
    <xf numFmtId="10" fontId="3" fillId="0" borderId="2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0" fillId="2" borderId="0" xfId="0" applyFill="1"/>
    <xf numFmtId="165" fontId="0" fillId="0" borderId="0" xfId="0" applyNumberFormat="1"/>
    <xf numFmtId="166" fontId="0" fillId="0" borderId="0" xfId="0" applyNumberForma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4" fontId="0" fillId="4" borderId="0" xfId="0" applyNumberFormat="1" applyFill="1" applyAlignment="1">
      <alignment horizontal="center"/>
    </xf>
    <xf numFmtId="4" fontId="6" fillId="0" borderId="0" xfId="0" applyNumberFormat="1" applyFont="1" applyAlignment="1">
      <alignment horizontal="center"/>
    </xf>
    <xf numFmtId="2" fontId="0" fillId="0" borderId="0" xfId="0" applyNumberForma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5" fontId="0" fillId="0" borderId="0" xfId="0" applyNumberForma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BB5B-4BCA-44DF-A913-9D1A394C70B0}">
  <dimension ref="A1:J76"/>
  <sheetViews>
    <sheetView workbookViewId="0">
      <pane ySplit="1" topLeftCell="A2" activePane="bottomLeft" state="frozen"/>
      <selection pane="bottomLeft" activeCell="G4" sqref="G4"/>
    </sheetView>
  </sheetViews>
  <sheetFormatPr baseColWidth="10" defaultRowHeight="15" x14ac:dyDescent="0.25"/>
  <cols>
    <col min="1" max="1" width="18.42578125" style="4" customWidth="1"/>
    <col min="2" max="3" width="8.85546875" style="4" customWidth="1"/>
    <col min="4" max="4" width="11.42578125" style="4"/>
    <col min="5" max="5" width="11.42578125" style="8"/>
    <col min="6" max="6" width="12.85546875" style="8" bestFit="1" customWidth="1"/>
    <col min="7" max="8" width="11.42578125" style="5"/>
    <col min="9" max="9" width="11.42578125" style="4"/>
    <col min="10" max="10" width="150.85546875" style="4" bestFit="1" customWidth="1"/>
  </cols>
  <sheetData>
    <row r="1" spans="1:10" x14ac:dyDescent="0.25">
      <c r="A1" s="1" t="s">
        <v>2</v>
      </c>
      <c r="B1" s="1" t="s">
        <v>1</v>
      </c>
      <c r="C1" s="1" t="s">
        <v>3</v>
      </c>
      <c r="D1" s="2" t="s">
        <v>4</v>
      </c>
      <c r="E1" s="2" t="s">
        <v>47</v>
      </c>
      <c r="F1" s="2" t="s">
        <v>5</v>
      </c>
      <c r="G1" s="6" t="s">
        <v>6</v>
      </c>
      <c r="H1" s="6" t="s">
        <v>41</v>
      </c>
      <c r="I1" s="2" t="s">
        <v>7</v>
      </c>
      <c r="J1" s="2" t="s">
        <v>0</v>
      </c>
    </row>
    <row r="2" spans="1:10" s="4" customFormat="1" x14ac:dyDescent="0.25">
      <c r="A2" s="4">
        <v>1</v>
      </c>
      <c r="B2" s="3"/>
      <c r="C2" s="3"/>
      <c r="E2" s="8"/>
      <c r="F2" s="8">
        <v>20</v>
      </c>
      <c r="G2" s="5">
        <v>45902</v>
      </c>
      <c r="I2" s="4" t="s">
        <v>8</v>
      </c>
      <c r="J2" t="s">
        <v>48</v>
      </c>
    </row>
    <row r="3" spans="1:10" x14ac:dyDescent="0.25">
      <c r="A3" s="4">
        <v>2</v>
      </c>
      <c r="B3" s="3"/>
      <c r="C3" s="3"/>
      <c r="F3" s="8">
        <v>20</v>
      </c>
      <c r="G3" s="5">
        <v>45903</v>
      </c>
      <c r="H3" s="4"/>
      <c r="I3" s="4" t="s">
        <v>8</v>
      </c>
      <c r="J3" t="s">
        <v>49</v>
      </c>
    </row>
    <row r="4" spans="1:10" x14ac:dyDescent="0.25">
      <c r="A4" s="4">
        <v>3</v>
      </c>
      <c r="B4" s="3"/>
      <c r="C4" s="3"/>
      <c r="F4" s="8">
        <v>20</v>
      </c>
      <c r="G4" s="5">
        <v>45909</v>
      </c>
      <c r="H4" s="4"/>
      <c r="I4" s="4" t="s">
        <v>8</v>
      </c>
      <c r="J4" t="s">
        <v>50</v>
      </c>
    </row>
    <row r="5" spans="1:10" x14ac:dyDescent="0.25">
      <c r="A5" s="4">
        <v>4</v>
      </c>
      <c r="B5" s="3"/>
      <c r="C5" s="3"/>
      <c r="F5" s="8">
        <v>20</v>
      </c>
      <c r="G5" s="5">
        <v>45925</v>
      </c>
      <c r="H5" s="4"/>
      <c r="I5" s="4" t="s">
        <v>8</v>
      </c>
      <c r="J5" t="s">
        <v>51</v>
      </c>
    </row>
    <row r="6" spans="1:10" x14ac:dyDescent="0.25">
      <c r="A6" s="4">
        <v>5</v>
      </c>
      <c r="B6" s="3"/>
      <c r="C6" s="3"/>
      <c r="F6" s="8">
        <v>20</v>
      </c>
      <c r="G6" s="5">
        <v>45926</v>
      </c>
      <c r="H6" s="4"/>
      <c r="I6" s="4" t="s">
        <v>8</v>
      </c>
      <c r="J6" t="s">
        <v>52</v>
      </c>
    </row>
    <row r="7" spans="1:10" x14ac:dyDescent="0.25">
      <c r="A7" s="4">
        <v>6</v>
      </c>
      <c r="B7" s="3"/>
      <c r="C7" s="3"/>
      <c r="F7" s="8">
        <v>20</v>
      </c>
      <c r="G7" s="5">
        <v>45926</v>
      </c>
      <c r="H7" s="4"/>
      <c r="I7" s="4" t="s">
        <v>8</v>
      </c>
      <c r="J7" t="s">
        <v>53</v>
      </c>
    </row>
    <row r="8" spans="1:10" x14ac:dyDescent="0.25">
      <c r="A8" s="4">
        <v>7</v>
      </c>
      <c r="B8" s="3"/>
      <c r="C8" s="3"/>
      <c r="F8" s="8">
        <v>20</v>
      </c>
      <c r="G8" s="5">
        <v>45938</v>
      </c>
      <c r="H8" s="4"/>
      <c r="I8" s="4" t="s">
        <v>8</v>
      </c>
      <c r="J8" t="s">
        <v>54</v>
      </c>
    </row>
    <row r="9" spans="1:10" x14ac:dyDescent="0.25">
      <c r="A9" s="4">
        <v>8</v>
      </c>
      <c r="B9" s="3"/>
      <c r="C9" s="3"/>
      <c r="F9" s="8">
        <v>20</v>
      </c>
      <c r="G9" s="5">
        <v>45938</v>
      </c>
      <c r="H9" s="4"/>
      <c r="I9" s="4" t="s">
        <v>8</v>
      </c>
      <c r="J9" t="s">
        <v>55</v>
      </c>
    </row>
    <row r="10" spans="1:10" x14ac:dyDescent="0.25">
      <c r="A10" s="4">
        <v>9</v>
      </c>
      <c r="B10" s="3"/>
      <c r="C10" s="3"/>
      <c r="F10" s="8">
        <v>20</v>
      </c>
      <c r="G10" s="5">
        <v>45938</v>
      </c>
      <c r="H10" s="4"/>
      <c r="I10" s="4" t="s">
        <v>46</v>
      </c>
      <c r="J10" t="s">
        <v>56</v>
      </c>
    </row>
    <row r="11" spans="1:10" x14ac:dyDescent="0.25">
      <c r="A11" s="4">
        <v>10</v>
      </c>
      <c r="B11" s="3"/>
      <c r="C11" s="3"/>
      <c r="F11" s="8">
        <v>20</v>
      </c>
      <c r="G11" s="5">
        <v>45956</v>
      </c>
      <c r="H11" s="4"/>
      <c r="I11" s="4" t="s">
        <v>8</v>
      </c>
      <c r="J11" t="s">
        <v>57</v>
      </c>
    </row>
    <row r="12" spans="1:10" x14ac:dyDescent="0.25">
      <c r="A12" s="4">
        <v>11</v>
      </c>
      <c r="B12" s="3"/>
      <c r="C12" s="3"/>
      <c r="F12" s="8">
        <v>20</v>
      </c>
      <c r="G12" s="5">
        <v>45987</v>
      </c>
      <c r="H12" s="4"/>
      <c r="I12" s="4" t="s">
        <v>8</v>
      </c>
      <c r="J12" t="s">
        <v>58</v>
      </c>
    </row>
    <row r="13" spans="1:10" x14ac:dyDescent="0.25">
      <c r="A13" s="4">
        <v>12</v>
      </c>
      <c r="B13" s="3"/>
      <c r="C13" s="3"/>
      <c r="F13" s="8">
        <v>20</v>
      </c>
      <c r="G13" s="5">
        <v>46019</v>
      </c>
      <c r="H13" s="4"/>
      <c r="I13" s="4" t="s">
        <v>8</v>
      </c>
      <c r="J13" t="s">
        <v>59</v>
      </c>
    </row>
    <row r="14" spans="1:10" x14ac:dyDescent="0.25">
      <c r="B14" s="3"/>
      <c r="C14" s="3"/>
      <c r="H14" s="4"/>
      <c r="J14"/>
    </row>
    <row r="15" spans="1:10" x14ac:dyDescent="0.25">
      <c r="B15" s="3"/>
      <c r="C15" s="3"/>
      <c r="H15" s="4"/>
      <c r="J15"/>
    </row>
    <row r="16" spans="1:10" x14ac:dyDescent="0.25">
      <c r="B16" s="3"/>
      <c r="C16" s="3"/>
      <c r="F16" s="35"/>
      <c r="H16" s="4"/>
      <c r="J16"/>
    </row>
    <row r="17" spans="2:10" x14ac:dyDescent="0.25">
      <c r="B17" s="3"/>
      <c r="C17" s="3"/>
      <c r="H17" s="4"/>
      <c r="J17"/>
    </row>
    <row r="18" spans="2:10" x14ac:dyDescent="0.25">
      <c r="B18" s="3"/>
      <c r="C18" s="3"/>
      <c r="H18" s="4"/>
      <c r="J18"/>
    </row>
    <row r="19" spans="2:10" x14ac:dyDescent="0.25">
      <c r="B19" s="3"/>
      <c r="C19" s="3"/>
      <c r="H19" s="4"/>
      <c r="J19"/>
    </row>
    <row r="20" spans="2:10" x14ac:dyDescent="0.25">
      <c r="B20" s="3"/>
      <c r="C20" s="3"/>
      <c r="H20" s="4"/>
      <c r="J20"/>
    </row>
    <row r="21" spans="2:10" x14ac:dyDescent="0.25">
      <c r="B21" s="3"/>
      <c r="C21" s="3"/>
      <c r="H21" s="4"/>
      <c r="J21"/>
    </row>
    <row r="22" spans="2:10" x14ac:dyDescent="0.25">
      <c r="B22" s="3"/>
      <c r="C22" s="3"/>
      <c r="H22" s="4"/>
      <c r="J22"/>
    </row>
    <row r="23" spans="2:10" x14ac:dyDescent="0.25">
      <c r="B23" s="3"/>
      <c r="C23" s="3"/>
      <c r="J23"/>
    </row>
    <row r="24" spans="2:10" x14ac:dyDescent="0.25">
      <c r="B24" s="3"/>
      <c r="C24" s="3"/>
      <c r="H24" s="4"/>
      <c r="J24"/>
    </row>
    <row r="25" spans="2:10" x14ac:dyDescent="0.25">
      <c r="B25" s="3"/>
      <c r="C25" s="3"/>
      <c r="H25" s="4"/>
      <c r="J25"/>
    </row>
    <row r="26" spans="2:10" x14ac:dyDescent="0.25">
      <c r="B26" s="3"/>
      <c r="C26" s="3"/>
      <c r="H26" s="4"/>
      <c r="J26"/>
    </row>
    <row r="27" spans="2:10" x14ac:dyDescent="0.25">
      <c r="H27" s="4"/>
      <c r="J27"/>
    </row>
    <row r="28" spans="2:10" x14ac:dyDescent="0.25">
      <c r="H28" s="4"/>
      <c r="J28"/>
    </row>
    <row r="29" spans="2:10" x14ac:dyDescent="0.25">
      <c r="G29" s="4"/>
      <c r="H29" s="4"/>
      <c r="J29"/>
    </row>
    <row r="30" spans="2:10" x14ac:dyDescent="0.25">
      <c r="H30" s="4"/>
      <c r="J30"/>
    </row>
    <row r="31" spans="2:10" x14ac:dyDescent="0.25">
      <c r="H31" s="4"/>
      <c r="J31"/>
    </row>
    <row r="32" spans="2:10" x14ac:dyDescent="0.25">
      <c r="H32" s="4"/>
      <c r="J32"/>
    </row>
    <row r="33" spans="8:10" x14ac:dyDescent="0.25">
      <c r="H33" s="4"/>
      <c r="J33"/>
    </row>
    <row r="34" spans="8:10" x14ac:dyDescent="0.25">
      <c r="H34" s="4"/>
      <c r="J34"/>
    </row>
    <row r="35" spans="8:10" x14ac:dyDescent="0.25">
      <c r="H35" s="4"/>
      <c r="J35"/>
    </row>
    <row r="36" spans="8:10" x14ac:dyDescent="0.25">
      <c r="H36" s="4"/>
      <c r="J36"/>
    </row>
    <row r="37" spans="8:10" x14ac:dyDescent="0.25">
      <c r="H37" s="4"/>
      <c r="J37"/>
    </row>
    <row r="38" spans="8:10" x14ac:dyDescent="0.25">
      <c r="H38" s="4"/>
      <c r="J38"/>
    </row>
    <row r="39" spans="8:10" x14ac:dyDescent="0.25">
      <c r="H39" s="4"/>
      <c r="J39"/>
    </row>
    <row r="40" spans="8:10" x14ac:dyDescent="0.25">
      <c r="H40" s="4"/>
      <c r="J40"/>
    </row>
    <row r="41" spans="8:10" x14ac:dyDescent="0.25">
      <c r="H41" s="4"/>
      <c r="J41"/>
    </row>
    <row r="42" spans="8:10" x14ac:dyDescent="0.25">
      <c r="H42" s="4"/>
      <c r="J42"/>
    </row>
    <row r="43" spans="8:10" x14ac:dyDescent="0.25">
      <c r="H43" s="4"/>
      <c r="J43"/>
    </row>
    <row r="44" spans="8:10" x14ac:dyDescent="0.25">
      <c r="H44" s="4"/>
      <c r="J44"/>
    </row>
    <row r="45" spans="8:10" x14ac:dyDescent="0.25">
      <c r="H45" s="4"/>
      <c r="J45"/>
    </row>
    <row r="46" spans="8:10" x14ac:dyDescent="0.25">
      <c r="H46" s="4"/>
      <c r="J46"/>
    </row>
    <row r="47" spans="8:10" x14ac:dyDescent="0.25">
      <c r="H47" s="4"/>
      <c r="J47"/>
    </row>
    <row r="48" spans="8:10" x14ac:dyDescent="0.25">
      <c r="H48" s="4"/>
      <c r="J48"/>
    </row>
    <row r="49" spans="8:10" x14ac:dyDescent="0.25">
      <c r="H49" s="4"/>
      <c r="J49"/>
    </row>
    <row r="50" spans="8:10" x14ac:dyDescent="0.25">
      <c r="H50" s="4"/>
      <c r="J50"/>
    </row>
    <row r="51" spans="8:10" x14ac:dyDescent="0.25">
      <c r="H51" s="4"/>
      <c r="J51"/>
    </row>
    <row r="52" spans="8:10" x14ac:dyDescent="0.25">
      <c r="H52" s="4"/>
      <c r="J52"/>
    </row>
    <row r="53" spans="8:10" x14ac:dyDescent="0.25">
      <c r="H53" s="4"/>
      <c r="J53"/>
    </row>
    <row r="54" spans="8:10" x14ac:dyDescent="0.25">
      <c r="H54" s="4"/>
      <c r="J54"/>
    </row>
    <row r="55" spans="8:10" x14ac:dyDescent="0.25">
      <c r="H55" s="4"/>
      <c r="J55"/>
    </row>
    <row r="56" spans="8:10" x14ac:dyDescent="0.25">
      <c r="H56" s="4"/>
      <c r="J56"/>
    </row>
    <row r="57" spans="8:10" x14ac:dyDescent="0.25">
      <c r="H57" s="4"/>
      <c r="J57"/>
    </row>
    <row r="58" spans="8:10" x14ac:dyDescent="0.25">
      <c r="H58" s="4"/>
      <c r="J58"/>
    </row>
    <row r="59" spans="8:10" x14ac:dyDescent="0.25">
      <c r="H59" s="4"/>
      <c r="J59"/>
    </row>
    <row r="60" spans="8:10" x14ac:dyDescent="0.25">
      <c r="H60" s="4"/>
      <c r="J60"/>
    </row>
    <row r="61" spans="8:10" x14ac:dyDescent="0.25">
      <c r="H61" s="4"/>
      <c r="J61"/>
    </row>
    <row r="62" spans="8:10" x14ac:dyDescent="0.25">
      <c r="H62" s="4"/>
      <c r="J62"/>
    </row>
    <row r="63" spans="8:10" x14ac:dyDescent="0.25">
      <c r="H63" s="4"/>
      <c r="J63"/>
    </row>
    <row r="64" spans="8:10" x14ac:dyDescent="0.25">
      <c r="H64" s="4"/>
      <c r="J64"/>
    </row>
    <row r="65" spans="8:10" x14ac:dyDescent="0.25">
      <c r="H65" s="4"/>
      <c r="J65"/>
    </row>
    <row r="66" spans="8:10" x14ac:dyDescent="0.25">
      <c r="H66" s="4"/>
      <c r="J66"/>
    </row>
    <row r="67" spans="8:10" x14ac:dyDescent="0.25">
      <c r="H67" s="4"/>
      <c r="J67"/>
    </row>
    <row r="68" spans="8:10" x14ac:dyDescent="0.25">
      <c r="H68" s="4"/>
      <c r="J68"/>
    </row>
    <row r="69" spans="8:10" x14ac:dyDescent="0.25">
      <c r="H69" s="4"/>
      <c r="J69"/>
    </row>
    <row r="70" spans="8:10" x14ac:dyDescent="0.25">
      <c r="H70" s="4"/>
      <c r="J70"/>
    </row>
    <row r="71" spans="8:10" x14ac:dyDescent="0.25">
      <c r="H71" s="4"/>
      <c r="J71"/>
    </row>
    <row r="72" spans="8:10" x14ac:dyDescent="0.25">
      <c r="H72" s="4"/>
      <c r="J72"/>
    </row>
    <row r="73" spans="8:10" x14ac:dyDescent="0.25">
      <c r="H73" s="4"/>
      <c r="J73"/>
    </row>
    <row r="74" spans="8:10" x14ac:dyDescent="0.25">
      <c r="H74" s="4"/>
      <c r="J74"/>
    </row>
    <row r="75" spans="8:10" x14ac:dyDescent="0.25">
      <c r="H75" s="4"/>
      <c r="J75"/>
    </row>
    <row r="76" spans="8:10" x14ac:dyDescent="0.25">
      <c r="H76" s="4"/>
      <c r="J76"/>
    </row>
  </sheetData>
  <autoFilter ref="A1:J76" xr:uid="{DB76BB5B-4BCA-44DF-A913-9D1A394C70B0}">
    <sortState xmlns:xlrd2="http://schemas.microsoft.com/office/spreadsheetml/2017/richdata2" ref="A2:J76">
      <sortCondition ref="G1:G7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C34C-1E94-41EE-AE95-90AF7A1C33B6}">
  <dimension ref="A1:AD34"/>
  <sheetViews>
    <sheetView topLeftCell="D1" workbookViewId="0">
      <pane ySplit="1" topLeftCell="A2" activePane="bottomLeft" state="frozen"/>
      <selection pane="bottomLeft" activeCell="S13" sqref="S13"/>
    </sheetView>
  </sheetViews>
  <sheetFormatPr baseColWidth="10" defaultRowHeight="15" x14ac:dyDescent="0.25"/>
  <cols>
    <col min="1" max="1" width="18" style="4" bestFit="1" customWidth="1"/>
    <col min="2" max="2" width="13.140625" style="8" bestFit="1" customWidth="1"/>
    <col min="3" max="3" width="10.42578125" style="5" bestFit="1" customWidth="1"/>
    <col min="4" max="4" width="10.42578125" style="22" customWidth="1"/>
    <col min="5" max="5" width="9.5703125" style="8" customWidth="1"/>
    <col min="6" max="6" width="10.42578125" style="8" customWidth="1"/>
    <col min="7" max="7" width="9.42578125" style="8" customWidth="1"/>
    <col min="8" max="8" width="9.28515625" style="8" customWidth="1"/>
    <col min="9" max="9" width="10.140625" style="8" customWidth="1"/>
    <col min="10" max="11" width="9.85546875" style="8" customWidth="1"/>
    <col min="12" max="12" width="8.42578125" style="8" customWidth="1"/>
    <col min="13" max="13" width="8.140625" style="8" bestFit="1" customWidth="1"/>
    <col min="14" max="14" width="11.42578125" style="8"/>
    <col min="15" max="17" width="8.85546875" style="8" customWidth="1"/>
    <col min="18" max="18" width="9.7109375" style="8" customWidth="1"/>
    <col min="19" max="19" width="11.42578125" style="8"/>
    <col min="20" max="20" width="10.28515625" style="8" customWidth="1"/>
    <col min="21" max="21" width="9" style="8" customWidth="1"/>
    <col min="22" max="22" width="10" style="8" customWidth="1"/>
    <col min="23" max="23" width="12" style="8" customWidth="1"/>
    <col min="24" max="24" width="9.140625" style="8" customWidth="1"/>
    <col min="25" max="25" width="9.5703125" style="8" customWidth="1"/>
    <col min="26" max="26" width="10" style="8" customWidth="1"/>
    <col min="27" max="27" width="10.85546875" style="8" customWidth="1"/>
    <col min="28" max="29" width="8.5703125" bestFit="1" customWidth="1"/>
    <col min="30" max="30" width="10.42578125" bestFit="1" customWidth="1"/>
  </cols>
  <sheetData>
    <row r="1" spans="1:30" s="19" customFormat="1" ht="54.75" customHeight="1" thickBot="1" x14ac:dyDescent="0.3">
      <c r="A1" s="14" t="s">
        <v>2</v>
      </c>
      <c r="B1" s="15" t="s">
        <v>5</v>
      </c>
      <c r="C1" s="16" t="s">
        <v>6</v>
      </c>
      <c r="D1" s="20" t="s">
        <v>17</v>
      </c>
      <c r="E1" s="15" t="str" cm="1">
        <f t="array" ref="E1:AC1">Formula!B1:Z1</f>
        <v>Avena</v>
      </c>
      <c r="F1" s="15" t="str">
        <v>Quinua</v>
      </c>
      <c r="G1" s="15" t="str">
        <v>Kiwicha</v>
      </c>
      <c r="H1" s="15" t="str">
        <v>Maca</v>
      </c>
      <c r="I1" s="15" t="str">
        <v>Soya</v>
      </c>
      <c r="J1" s="15" t="str">
        <v>Trigo</v>
      </c>
      <c r="K1" s="15" t="str">
        <v>Cebada</v>
      </c>
      <c r="L1" s="15" t="str">
        <v>Cañihua</v>
      </c>
      <c r="M1" s="15" t="str">
        <v>Habas</v>
      </c>
      <c r="N1" s="15" t="str">
        <v>Arveja</v>
      </c>
      <c r="O1" s="15" t="str">
        <v>Harina de plátano</v>
      </c>
      <c r="P1" s="15" t="str">
        <v>Harina de lucuma</v>
      </c>
      <c r="Q1" s="15" t="str">
        <v>Ajonjoli</v>
      </c>
      <c r="R1" s="15" t="str">
        <v>Linaza</v>
      </c>
      <c r="S1" s="15" t="str">
        <v>Aceite Soya</v>
      </c>
      <c r="T1" s="15" t="str">
        <v>Aceite Girasol</v>
      </c>
      <c r="U1" s="15" t="str">
        <v>Lenteja</v>
      </c>
      <c r="V1" s="15" t="str">
        <v>Arroz</v>
      </c>
      <c r="W1" s="15" t="str">
        <v>Maizena</v>
      </c>
      <c r="X1" s="17" t="str">
        <v>Almidon Maca</v>
      </c>
      <c r="Y1" s="17" t="str">
        <v>Maiz</v>
      </c>
      <c r="Z1" s="15" t="str">
        <v>Sulfato ferroso</v>
      </c>
      <c r="AA1" s="18" t="str">
        <v>Proteina soya</v>
      </c>
      <c r="AB1" s="24" t="str">
        <v>Fosfato Tricálcio</v>
      </c>
      <c r="AC1" s="24" t="str">
        <v>Mix vitaminico</v>
      </c>
      <c r="AD1" s="24"/>
    </row>
    <row r="2" spans="1:30" x14ac:dyDescent="0.25">
      <c r="A2" s="13" cm="1">
        <f t="array" ref="A2:A13">General!A2:A13</f>
        <v>1</v>
      </c>
      <c r="B2" s="8" cm="1">
        <f t="array" ref="B2:C13">General!F2:G13</f>
        <v>20</v>
      </c>
      <c r="C2" s="5">
        <v>45902</v>
      </c>
      <c r="D2" s="21">
        <f>B2*1/(1-Formula!$B$21)</f>
        <v>20.02002002002002</v>
      </c>
      <c r="E2" s="8" cm="1">
        <f t="array" ref="E2:AC2">_xlfn._xlws.FILTER(Formula!$B$2:$Z$13,Formula!$A$2:$A$13=A2,0)*D2</f>
        <v>0</v>
      </c>
      <c r="F2" s="8">
        <v>1.1851851851851853</v>
      </c>
      <c r="G2" s="8">
        <v>0.23623623623623624</v>
      </c>
      <c r="H2" s="8">
        <v>0</v>
      </c>
      <c r="I2" s="8">
        <v>0</v>
      </c>
      <c r="J2" s="8">
        <v>11.683683683683684</v>
      </c>
      <c r="K2" s="8">
        <v>0.54454454454454448</v>
      </c>
      <c r="L2" s="8">
        <v>0.71071071071071068</v>
      </c>
      <c r="M2" s="8">
        <v>1.1851851851851853</v>
      </c>
      <c r="N2" s="8">
        <v>1.0430430430430431</v>
      </c>
      <c r="O2" s="8">
        <v>2.3703703703703707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39">
        <v>1.005005005005005</v>
      </c>
      <c r="AC2" s="39">
        <v>5.6056056056056056E-2</v>
      </c>
      <c r="AD2" s="39"/>
    </row>
    <row r="3" spans="1:30" x14ac:dyDescent="0.25">
      <c r="A3" s="13">
        <v>2</v>
      </c>
      <c r="B3" s="8">
        <v>20</v>
      </c>
      <c r="C3" s="5">
        <v>45903</v>
      </c>
      <c r="D3" s="21">
        <f>B3*1/(1-Formula!$B$21)</f>
        <v>20.02002002002002</v>
      </c>
      <c r="E3" s="8" cm="1">
        <f t="array" ref="E3:AC3">_xlfn._xlws.FILTER(Formula!$B$2:$Z$13,Formula!$A$2:$A$13=A3,0)*D3</f>
        <v>3.6596596596596593</v>
      </c>
      <c r="F3" s="8">
        <v>3.6596596596596593</v>
      </c>
      <c r="G3" s="8">
        <v>4.0660660660660657</v>
      </c>
      <c r="H3" s="8">
        <v>6.0980980980980979</v>
      </c>
      <c r="I3" s="8">
        <v>0.61061061061061062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1.015015015015015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39">
        <v>0.86286286286286284</v>
      </c>
      <c r="AC3" s="39">
        <v>4.8048048048048041E-2</v>
      </c>
      <c r="AD3" s="39"/>
    </row>
    <row r="4" spans="1:30" x14ac:dyDescent="0.25">
      <c r="A4" s="13">
        <v>3</v>
      </c>
      <c r="B4" s="8">
        <v>20</v>
      </c>
      <c r="C4" s="5">
        <v>45909</v>
      </c>
      <c r="D4" s="21">
        <f>B4*1/(1-Formula!$B$21)</f>
        <v>20.02002002002002</v>
      </c>
      <c r="E4" s="8" cm="1">
        <f t="array" ref="E4:AC4">_xlfn._xlws.FILTER(Formula!$B$2:$Z$13,Formula!$A$2:$A$13=A4,0)*D4</f>
        <v>13.246800577117321</v>
      </c>
      <c r="F4" s="8">
        <v>2.0835314952962012</v>
      </c>
      <c r="G4" s="8">
        <v>1.8953865107711263</v>
      </c>
      <c r="H4" s="8">
        <v>0.75954827086048815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0.47384662769278157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39">
        <v>1.4772865451598483</v>
      </c>
      <c r="AC4" s="39">
        <v>8.361999312225557E-2</v>
      </c>
      <c r="AD4" s="39"/>
    </row>
    <row r="5" spans="1:30" x14ac:dyDescent="0.25">
      <c r="A5" s="13">
        <v>4</v>
      </c>
      <c r="B5" s="8">
        <v>20</v>
      </c>
      <c r="C5" s="5">
        <v>45925</v>
      </c>
      <c r="D5" s="21">
        <f>B5*1/(1-Formula!$B$21)</f>
        <v>20.02002002002002</v>
      </c>
      <c r="E5" s="8" cm="1">
        <f t="array" ref="E5:AC5">_xlfn._xlws.FILTER(Formula!$B$2:$Z$13,Formula!$A$2:$A$13=A5,0)*D5</f>
        <v>2.8488488488488493</v>
      </c>
      <c r="F5" s="8">
        <v>2.5645645645645643</v>
      </c>
      <c r="G5" s="8">
        <v>0</v>
      </c>
      <c r="H5" s="8">
        <v>0</v>
      </c>
      <c r="I5" s="8">
        <v>0</v>
      </c>
      <c r="J5" s="8">
        <v>5.1271271271271273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1.4334334334334333</v>
      </c>
      <c r="U5" s="8">
        <v>2.5645645645645643</v>
      </c>
      <c r="V5" s="8">
        <v>4.2742742742742745</v>
      </c>
      <c r="W5" s="8">
        <v>0</v>
      </c>
      <c r="X5" s="8">
        <v>0</v>
      </c>
      <c r="Y5" s="8">
        <v>0</v>
      </c>
      <c r="Z5" s="8">
        <v>0</v>
      </c>
      <c r="AA5" s="8">
        <v>0.57057057057057059</v>
      </c>
      <c r="AB5" s="39">
        <v>0.60460460460460463</v>
      </c>
      <c r="AC5" s="39">
        <v>3.2032032032032032E-2</v>
      </c>
      <c r="AD5" s="39"/>
    </row>
    <row r="6" spans="1:30" x14ac:dyDescent="0.25">
      <c r="A6" s="13">
        <v>5</v>
      </c>
      <c r="B6" s="8">
        <v>20</v>
      </c>
      <c r="C6" s="5">
        <v>45926</v>
      </c>
      <c r="D6" s="21">
        <f>B6*1/(1-Formula!$B$21)</f>
        <v>20.02002002002002</v>
      </c>
      <c r="E6" s="8" cm="1">
        <f t="array" ref="E6:AC6">_xlfn._xlws.FILTER(Formula!$B$2:$Z$13,Formula!$A$2:$A$13=A6,0)*D6</f>
        <v>9.4814814814814827</v>
      </c>
      <c r="F6" s="8">
        <v>0</v>
      </c>
      <c r="G6" s="8">
        <v>4.7387387387387383</v>
      </c>
      <c r="H6" s="8">
        <v>4.7387387387387383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39">
        <v>1.005005005005005</v>
      </c>
      <c r="AC6" s="39">
        <v>5.6056056056056056E-2</v>
      </c>
      <c r="AD6" s="39"/>
    </row>
    <row r="7" spans="1:30" x14ac:dyDescent="0.25">
      <c r="A7" s="13">
        <v>6</v>
      </c>
      <c r="B7" s="8">
        <v>20</v>
      </c>
      <c r="C7" s="5">
        <v>45926</v>
      </c>
      <c r="D7" s="21">
        <f>B7*1/(1-Formula!$B$21)</f>
        <v>20.02002002002002</v>
      </c>
      <c r="E7" s="8" cm="1">
        <f t="array" ref="E7:AC7">_xlfn._xlws.FILTER(Formula!$B$2:$Z$13,Formula!$A$2:$A$13=A7,0)*D7</f>
        <v>8.0540540540540544</v>
      </c>
      <c r="F7" s="8">
        <v>5.0850850850850851</v>
      </c>
      <c r="G7" s="8">
        <v>2.5425425425425425</v>
      </c>
      <c r="H7" s="8">
        <v>1.2712712712712713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2.1181181181181183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39">
        <v>0.89689689689689689</v>
      </c>
      <c r="AC7" s="39">
        <v>5.2052052052052052E-2</v>
      </c>
      <c r="AD7" s="39"/>
    </row>
    <row r="8" spans="1:30" x14ac:dyDescent="0.25">
      <c r="A8" s="13">
        <v>7</v>
      </c>
      <c r="B8" s="8">
        <v>20</v>
      </c>
      <c r="C8" s="5">
        <v>45938</v>
      </c>
      <c r="D8" s="21">
        <f>B8*1/(1-Formula!$B$21)</f>
        <v>20.02002002002002</v>
      </c>
      <c r="E8" s="8" cm="1">
        <f t="array" ref="E8:AC8">_xlfn._xlws.FILTER(Formula!$B$2:$Z$13,Formula!$A$2:$A$13=A8,0)*D8</f>
        <v>2.7287287287287287</v>
      </c>
      <c r="F8" s="8">
        <v>3.915915915915916</v>
      </c>
      <c r="G8" s="8">
        <v>4.786786786786787</v>
      </c>
      <c r="H8" s="8">
        <v>1.7397397397397398</v>
      </c>
      <c r="I8" s="8">
        <v>0</v>
      </c>
      <c r="J8" s="8">
        <v>2.1761761761761762</v>
      </c>
      <c r="K8" s="8">
        <v>2.6106106106106104</v>
      </c>
      <c r="L8" s="8">
        <v>1.087087087087087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39">
        <v>0.92292292292292299</v>
      </c>
      <c r="AC8" s="39">
        <v>5.2052052052052052E-2</v>
      </c>
      <c r="AD8" s="39"/>
    </row>
    <row r="9" spans="1:30" x14ac:dyDescent="0.25">
      <c r="A9" s="13">
        <v>8</v>
      </c>
      <c r="B9" s="8">
        <v>20</v>
      </c>
      <c r="C9" s="5">
        <v>45938</v>
      </c>
      <c r="D9" s="21">
        <f>B9*1/(1-Formula!$B$21)</f>
        <v>20.02002002002002</v>
      </c>
      <c r="E9" s="8" cm="1">
        <f t="array" ref="E9:AC9">_xlfn._xlws.FILTER(Formula!$B$2:$Z$13,Formula!$A$2:$A$13=A9,0)*D9</f>
        <v>0</v>
      </c>
      <c r="F9" s="8">
        <v>0</v>
      </c>
      <c r="G9" s="8">
        <v>0</v>
      </c>
      <c r="H9" s="8">
        <v>0</v>
      </c>
      <c r="I9" s="8">
        <v>0</v>
      </c>
      <c r="J9" s="8">
        <v>20.02002002002002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39">
        <v>0</v>
      </c>
      <c r="AC9" s="39">
        <v>0</v>
      </c>
      <c r="AD9" s="39"/>
    </row>
    <row r="10" spans="1:30" x14ac:dyDescent="0.25">
      <c r="A10" s="13">
        <v>9</v>
      </c>
      <c r="B10" s="8">
        <v>20</v>
      </c>
      <c r="C10" s="5">
        <v>45938</v>
      </c>
      <c r="D10" s="21">
        <f>B10*1/(1-Formula!$B$21)</f>
        <v>20.02002002002002</v>
      </c>
      <c r="E10" s="8" cm="1">
        <f t="array" ref="E10:AC10">_xlfn._xlws.FILTER(Formula!$B$2:$Z$13,Formula!$A$2:$A$13=A10,0)*D10</f>
        <v>0</v>
      </c>
      <c r="F10" s="8">
        <v>0</v>
      </c>
      <c r="G10" s="8">
        <v>0</v>
      </c>
      <c r="H10" s="8">
        <v>0</v>
      </c>
      <c r="I10" s="8">
        <v>0</v>
      </c>
      <c r="J10" s="8">
        <v>17.385385385385383</v>
      </c>
      <c r="K10" s="8">
        <v>0</v>
      </c>
      <c r="L10" s="8">
        <v>2.6346346346346343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3.673673673673674E-2</v>
      </c>
      <c r="AA10" s="8">
        <v>0</v>
      </c>
      <c r="AB10" s="39">
        <v>0</v>
      </c>
      <c r="AC10" s="39">
        <v>0</v>
      </c>
      <c r="AD10" s="39"/>
    </row>
    <row r="11" spans="1:30" x14ac:dyDescent="0.25">
      <c r="A11" s="13">
        <v>10</v>
      </c>
      <c r="B11" s="8">
        <v>20</v>
      </c>
      <c r="C11" s="5">
        <v>45956</v>
      </c>
      <c r="D11" s="21">
        <f>B11*1/(1-Formula!$B$21)</f>
        <v>20.02002002002002</v>
      </c>
      <c r="E11" s="8" cm="1">
        <f t="array" ref="E11:AC11">_xlfn._xlws.FILTER(Formula!$B$2:$Z$13,Formula!$A$2:$A$13=A11,0)*D11</f>
        <v>0.77977977977977975</v>
      </c>
      <c r="F11" s="8">
        <v>0.77977977977977975</v>
      </c>
      <c r="G11" s="8">
        <v>0</v>
      </c>
      <c r="H11" s="8">
        <v>1.6956956956956957</v>
      </c>
      <c r="I11" s="8">
        <v>0</v>
      </c>
      <c r="J11" s="8">
        <v>0</v>
      </c>
      <c r="K11" s="8">
        <v>15.5995995995996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39">
        <v>1.1031031031031031</v>
      </c>
      <c r="AC11" s="39">
        <v>6.2062062062062058E-2</v>
      </c>
      <c r="AD11" s="39"/>
    </row>
    <row r="12" spans="1:30" x14ac:dyDescent="0.25">
      <c r="A12" s="13">
        <v>11</v>
      </c>
      <c r="B12" s="8">
        <v>20</v>
      </c>
      <c r="C12" s="5">
        <v>45987</v>
      </c>
      <c r="D12" s="21">
        <f>B12*1/(1-Formula!$B$21)</f>
        <v>20.02002002002002</v>
      </c>
      <c r="E12" s="8" cm="1">
        <f t="array" ref="E12:AC12">_xlfn._xlws.FILTER(Formula!$B$2:$Z$13,Formula!$A$2:$A$13=A12,0)*D12</f>
        <v>5.3393393393393396</v>
      </c>
      <c r="F12" s="8">
        <v>2.2242242242242245</v>
      </c>
      <c r="G12" s="8">
        <v>0</v>
      </c>
      <c r="H12" s="8">
        <v>0</v>
      </c>
      <c r="I12" s="8">
        <v>0</v>
      </c>
      <c r="J12" s="8">
        <v>4.448448448448449</v>
      </c>
      <c r="K12" s="8">
        <v>0</v>
      </c>
      <c r="L12" s="8">
        <v>1.7797797797797799</v>
      </c>
      <c r="M12" s="8">
        <v>0</v>
      </c>
      <c r="N12" s="8">
        <v>0</v>
      </c>
      <c r="O12" s="8">
        <v>0</v>
      </c>
      <c r="P12" s="8">
        <v>0</v>
      </c>
      <c r="Q12" s="8">
        <v>0.78278278278278279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2.2242242242242245</v>
      </c>
      <c r="X12" s="8">
        <v>2.2242242242242245</v>
      </c>
      <c r="Y12" s="8">
        <v>0</v>
      </c>
      <c r="Z12" s="8">
        <v>0</v>
      </c>
      <c r="AA12" s="8">
        <v>0</v>
      </c>
      <c r="AB12" s="39">
        <v>0.94294294294294301</v>
      </c>
      <c r="AC12" s="39">
        <v>5.4054054054054057E-2</v>
      </c>
      <c r="AD12" s="39"/>
    </row>
    <row r="13" spans="1:30" x14ac:dyDescent="0.25">
      <c r="A13" s="13">
        <v>12</v>
      </c>
      <c r="B13" s="8">
        <v>20</v>
      </c>
      <c r="C13" s="5">
        <v>46019</v>
      </c>
      <c r="D13" s="21">
        <f>B13*1/(1-Formula!$B$21)</f>
        <v>20.02002002002002</v>
      </c>
      <c r="E13" s="8" cm="1">
        <f t="array" ref="E13:AC13">_xlfn._xlws.FILTER(Formula!$B$2:$Z$13,Formula!$A$2:$A$13=A13,0)*D13</f>
        <v>2.2882882882882885</v>
      </c>
      <c r="F13" s="8">
        <v>0</v>
      </c>
      <c r="G13" s="8">
        <v>0</v>
      </c>
      <c r="H13" s="8">
        <v>0</v>
      </c>
      <c r="I13" s="8">
        <v>1.6336336336336337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4.9029029029029028</v>
      </c>
      <c r="P13" s="8">
        <v>0</v>
      </c>
      <c r="Q13" s="8">
        <v>0</v>
      </c>
      <c r="R13" s="8">
        <v>0</v>
      </c>
      <c r="S13" s="42">
        <v>2.002002002002002E-3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10.46046046046046</v>
      </c>
      <c r="Z13" s="8">
        <v>0</v>
      </c>
      <c r="AA13" s="8">
        <v>0</v>
      </c>
      <c r="AB13" s="39">
        <v>0.69269269269269262</v>
      </c>
      <c r="AC13" s="39">
        <v>4.004004004004004E-2</v>
      </c>
      <c r="AD13" s="39"/>
    </row>
    <row r="14" spans="1:30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30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30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7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1:27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1:27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1:27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1:27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27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27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27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1:27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27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1:27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27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27" x14ac:dyDescent="0.25">
      <c r="AA31" s="7"/>
    </row>
    <row r="32" spans="1:27" x14ac:dyDescent="0.25">
      <c r="AA32" s="7"/>
    </row>
    <row r="33" spans="27:27" x14ac:dyDescent="0.25">
      <c r="AA33" s="7"/>
    </row>
    <row r="34" spans="27:27" x14ac:dyDescent="0.25">
      <c r="AA34" s="7"/>
    </row>
  </sheetData>
  <autoFilter ref="A1:AA13" xr:uid="{2309C34C-1E94-41EE-AE95-90AF7A1C33B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C508-74F1-47F9-8E97-E2D1FA973DC8}">
  <dimension ref="A1:M87"/>
  <sheetViews>
    <sheetView workbookViewId="0">
      <pane ySplit="1" topLeftCell="A2" activePane="bottomLeft" state="frozen"/>
      <selection pane="bottomLeft" activeCell="D2" sqref="D2"/>
    </sheetView>
  </sheetViews>
  <sheetFormatPr baseColWidth="10" defaultRowHeight="15" x14ac:dyDescent="0.25"/>
  <cols>
    <col min="1" max="1" width="18" style="4" bestFit="1" customWidth="1"/>
    <col min="2" max="2" width="13.140625" style="8" bestFit="1" customWidth="1"/>
    <col min="3" max="3" width="10.42578125" style="5" bestFit="1" customWidth="1"/>
    <col min="4" max="4" width="12.28515625" style="8" bestFit="1" customWidth="1"/>
    <col min="5" max="6" width="11.42578125" style="8"/>
    <col min="7" max="7" width="11.42578125" customWidth="1"/>
  </cols>
  <sheetData>
    <row r="1" spans="1:8" ht="15.75" thickBot="1" x14ac:dyDescent="0.3">
      <c r="A1" s="14" t="s">
        <v>2</v>
      </c>
      <c r="B1" s="15" t="s">
        <v>5</v>
      </c>
      <c r="C1" s="16" t="s">
        <v>6</v>
      </c>
      <c r="D1" s="15" t="str" cm="1">
        <f t="array" ref="D1:H1">_xlfn._xlws.FILTER(Procesos!B1:V1, MMULT(TRANSPOSE(ROW(Procesos!B2:B25)^0), --(Procesos!B2:V25="Laminado")) &gt; 0)</f>
        <v>Avena</v>
      </c>
      <c r="E1" s="15" t="str">
        <v>Quinua</v>
      </c>
      <c r="F1" s="15" t="str">
        <v>Kiwicha</v>
      </c>
      <c r="G1" s="15" t="str">
        <v>Trigo</v>
      </c>
      <c r="H1" s="15" t="str">
        <v>Cañihua</v>
      </c>
    </row>
    <row r="2" spans="1:8" x14ac:dyDescent="0.25">
      <c r="A2" s="4" cm="1">
        <f t="array" ref="A2:C13">Mezclado!A2:C13</f>
        <v>1</v>
      </c>
      <c r="B2" s="8">
        <v>20</v>
      </c>
      <c r="C2" s="5">
        <v>45902</v>
      </c>
      <c r="D2" s="8" cm="1">
        <f t="array" ref="D2">IF(ISNUMBER(MATCH($A2, _xlfn._xlws.FILTER(Procesos!$A$2:$A$25, Procesos!B$2:B$25="Laminado"), 0)), INDEX(Formula!$B$2:$Z$14, MATCH(VALUE($A2), VALUE(Formula!$A$2:$A$14), 0), MATCH(D$1, Formula!$B$1:$Z$1, 0)) * Mezclado!$D2/(1-Formula!$B$20), 0)</f>
        <v>0</v>
      </c>
      <c r="E2" s="8" cm="1">
        <f t="array" ref="E2">IF(ISNUMBER(MATCH($A2, _xlfn._xlws.FILTER(Procesos!$A$2:$A$25, Procesos!C$2:C$25="Laminado"), 0)), INDEX(Formula!$B$2:$Z$14, MATCH(VALUE($A2), VALUE(Formula!$A$2:$A$14), 0), MATCH(E$1, Formula!$B$1:$Z$1, 0)) * Mezclado!$D2/(1-Formula!$B$20), 0)</f>
        <v>0</v>
      </c>
      <c r="F2" s="8" cm="1">
        <f t="array" ref="F2">IF(ISNUMBER(MATCH($A2, _xlfn._xlws.FILTER(Procesos!$A$2:$A$25, Procesos!D$2:D$25="Laminado"), 0)), INDEX(Formula!$B$2:$Z$14, MATCH(VALUE($A2), VALUE(Formula!$A$2:$A$14), 0), MATCH(F$1, Formula!$B$1:$Z$1, 0)) * Mezclado!$D2/(1-Formula!$B$20), 0)</f>
        <v>0</v>
      </c>
      <c r="G2" s="8" cm="1">
        <f t="array" ref="G2">IF(ISNUMBER(MATCH($A2, _xlfn._xlws.FILTER(Procesos!$A$2:$A$25, Procesos!G$2:G$25="Laminado"), 0)), INDEX(Formula!$B$2:$Z$14, MATCH(VALUE($A2), VALUE(Formula!$A$2:$A$14), 0), MATCH(G$1, Formula!$B$1:$Z$1, 0)) * Mezclado!$D2/(1-Formula!$B$20), 0)</f>
        <v>0</v>
      </c>
      <c r="H2" s="8" cm="1">
        <f t="array" ref="H2">IF(ISNUMBER(MATCH($A2, _xlfn._xlws.FILTER(Procesos!$A$2:$A$25, Procesos!I$2:I$25="Laminado"), 0)), INDEX(Formula!$B$2:$Z$14, MATCH(VALUE($A2), VALUE(Formula!$A$2:$A$14), 0), MATCH(H$1, Formula!$B$1:$Z$1, 0)) * Mezclado!$D2/(1-Formula!$B$20), 0)</f>
        <v>0</v>
      </c>
    </row>
    <row r="3" spans="1:8" x14ac:dyDescent="0.25">
      <c r="A3" s="13">
        <v>2</v>
      </c>
      <c r="B3" s="8">
        <v>20</v>
      </c>
      <c r="C3" s="5">
        <v>45903</v>
      </c>
      <c r="D3" s="8" cm="1">
        <f t="array" ref="D3">IF(ISNUMBER(MATCH($A3, _xlfn._xlws.FILTER(Procesos!$A$2:$A$25, Procesos!B$2:B$25="Laminado"), 0)), INDEX(Formula!$B$2:$Z$14, MATCH(VALUE($A3), VALUE(Formula!$A$2:$A$14), 0), MATCH(D$1, Formula!$B$1:$Z$1, 0)) * Mezclado!$D3/(1-Formula!$B$20), 0)</f>
        <v>3.6706716746837107</v>
      </c>
      <c r="E3" s="8" cm="1">
        <f t="array" ref="E3">IF(ISNUMBER(MATCH($A3, _xlfn._xlws.FILTER(Procesos!$A$2:$A$25, Procesos!C$2:C$25="Laminado"), 0)), INDEX(Formula!$B$2:$Z$14, MATCH(VALUE($A3), VALUE(Formula!$A$2:$A$14), 0), MATCH(E$1, Formula!$B$1:$Z$1, 0)) * Mezclado!$D3/(1-Formula!$B$20), 0)</f>
        <v>3.6706716746837107</v>
      </c>
      <c r="F3" s="8" cm="1">
        <f t="array" ref="F3">IF(ISNUMBER(MATCH($A3, _xlfn._xlws.FILTER(Procesos!$A$2:$A$25, Procesos!D$2:D$25="Laminado"), 0)), INDEX(Formula!$B$2:$Z$14, MATCH(VALUE($A3), VALUE(Formula!$A$2:$A$14), 0), MATCH(F$1, Formula!$B$1:$Z$1, 0)) * Mezclado!$D3/(1-Formula!$B$20), 0)</f>
        <v>4.078300968972985</v>
      </c>
      <c r="G3" s="8" cm="1">
        <f t="array" ref="G3">IF(ISNUMBER(MATCH($A3, _xlfn._xlws.FILTER(Procesos!$A$2:$A$25, Procesos!G$2:G$25="Laminado"), 0)), INDEX(Formula!$B$2:$Z$14, MATCH(VALUE($A3), VALUE(Formula!$A$2:$A$14), 0), MATCH(G$1, Formula!$B$1:$Z$1, 0)) * Mezclado!$D3/(1-Formula!$B$20), 0)</f>
        <v>0</v>
      </c>
      <c r="H3" s="8" cm="1">
        <f t="array" ref="H3">IF(ISNUMBER(MATCH($A3, _xlfn._xlws.FILTER(Procesos!$A$2:$A$25, Procesos!I$2:I$25="Laminado"), 0)), INDEX(Formula!$B$2:$Z$14, MATCH(VALUE($A3), VALUE(Formula!$A$2:$A$14), 0), MATCH(H$1, Formula!$B$1:$Z$1, 0)) * Mezclado!$D3/(1-Formula!$B$20), 0)</f>
        <v>0</v>
      </c>
    </row>
    <row r="4" spans="1:8" x14ac:dyDescent="0.25">
      <c r="A4" s="13">
        <v>3</v>
      </c>
      <c r="B4" s="8">
        <v>20</v>
      </c>
      <c r="C4" s="5">
        <v>45909</v>
      </c>
      <c r="D4" s="8" cm="1">
        <f t="array" ref="D4">IF(ISNUMBER(MATCH($A4, _xlfn._xlws.FILTER(Procesos!$A$2:$A$25, Procesos!B$2:B$25="Laminado"), 0)), INDEX(Formula!$B$2:$Z$14, MATCH(VALUE($A4), VALUE(Formula!$A$2:$A$14), 0), MATCH(D$1, Formula!$B$1:$Z$1, 0)) * Mezclado!$D4/(1-Formula!$B$20), 0)</f>
        <v>13.286660558793702</v>
      </c>
      <c r="E4" s="8" cm="1">
        <f t="array" ref="E4">IF(ISNUMBER(MATCH($A4, _xlfn._xlws.FILTER(Procesos!$A$2:$A$25, Procesos!C$2:C$25="Laminado"), 0)), INDEX(Formula!$B$2:$Z$14, MATCH(VALUE($A4), VALUE(Formula!$A$2:$A$14), 0), MATCH(E$1, Formula!$B$1:$Z$1, 0)) * Mezclado!$D4/(1-Formula!$B$20), 0)</f>
        <v>2.0898008979901719</v>
      </c>
      <c r="F4" s="8" cm="1">
        <f t="array" ref="F4">IF(ISNUMBER(MATCH($A4, _xlfn._xlws.FILTER(Procesos!$A$2:$A$25, Procesos!D$2:D$25="Laminado"), 0)), INDEX(Formula!$B$2:$Z$14, MATCH(VALUE($A4), VALUE(Formula!$A$2:$A$14), 0), MATCH(F$1, Formula!$B$1:$Z$1, 0)) * Mezclado!$D4/(1-Formula!$B$20), 0)</f>
        <v>1.9010897801114608</v>
      </c>
      <c r="G4" s="8" cm="1">
        <f t="array" ref="G4">IF(ISNUMBER(MATCH($A4, _xlfn._xlws.FILTER(Procesos!$A$2:$A$25, Procesos!G$2:G$25="Laminado"), 0)), INDEX(Formula!$B$2:$Z$14, MATCH(VALUE($A4), VALUE(Formula!$A$2:$A$14), 0), MATCH(G$1, Formula!$B$1:$Z$1, 0)) * Mezclado!$D4/(1-Formula!$B$20), 0)</f>
        <v>0</v>
      </c>
      <c r="H4" s="8" cm="1">
        <f t="array" ref="H4">IF(ISNUMBER(MATCH($A4, _xlfn._xlws.FILTER(Procesos!$A$2:$A$25, Procesos!I$2:I$25="Laminado"), 0)), INDEX(Formula!$B$2:$Z$14, MATCH(VALUE($A4), VALUE(Formula!$A$2:$A$14), 0), MATCH(H$1, Formula!$B$1:$Z$1, 0)) * Mezclado!$D4/(1-Formula!$B$20), 0)</f>
        <v>0</v>
      </c>
    </row>
    <row r="5" spans="1:8" x14ac:dyDescent="0.25">
      <c r="A5" s="13">
        <v>4</v>
      </c>
      <c r="B5" s="8">
        <v>20</v>
      </c>
      <c r="C5" s="5">
        <v>45925</v>
      </c>
      <c r="D5" s="8" cm="1">
        <f t="array" ref="D5">IF(ISNUMBER(MATCH($A5, _xlfn._xlws.FILTER(Procesos!$A$2:$A$25, Procesos!B$2:B$25="Laminado"), 0)), INDEX(Formula!$B$2:$Z$14, MATCH(VALUE($A5), VALUE(Formula!$A$2:$A$14), 0), MATCH(D$1, Formula!$B$1:$Z$1, 0)) * Mezclado!$D5/(1-Formula!$B$20), 0)</f>
        <v>2.8574211121854054</v>
      </c>
      <c r="E5" s="8" cm="1">
        <f t="array" ref="E5">IF(ISNUMBER(MATCH($A5, _xlfn._xlws.FILTER(Procesos!$A$2:$A$25, Procesos!C$2:C$25="Laminado"), 0)), INDEX(Formula!$B$2:$Z$14, MATCH(VALUE($A5), VALUE(Formula!$A$2:$A$14), 0), MATCH(E$1, Formula!$B$1:$Z$1, 0)) * Mezclado!$D5/(1-Formula!$B$20), 0)</f>
        <v>2.5722814087909369</v>
      </c>
      <c r="F5" s="8" cm="1">
        <f t="array" ref="F5">IF(ISNUMBER(MATCH($A5, _xlfn._xlws.FILTER(Procesos!$A$2:$A$25, Procesos!D$2:D$25="Laminado"), 0)), INDEX(Formula!$B$2:$Z$14, MATCH(VALUE($A5), VALUE(Formula!$A$2:$A$14), 0), MATCH(F$1, Formula!$B$1:$Z$1, 0)) * Mezclado!$D5/(1-Formula!$B$20), 0)</f>
        <v>0</v>
      </c>
      <c r="G5" s="8" cm="1">
        <f t="array" ref="G5">IF(ISNUMBER(MATCH($A5, _xlfn._xlws.FILTER(Procesos!$A$2:$A$25, Procesos!G$2:G$25="Laminado"), 0)), INDEX(Formula!$B$2:$Z$14, MATCH(VALUE($A5), VALUE(Formula!$A$2:$A$14), 0), MATCH(G$1, Formula!$B$1:$Z$1, 0)) * Mezclado!$D5/(1-Formula!$B$20), 0)</f>
        <v>0</v>
      </c>
      <c r="H5" s="8" cm="1">
        <f t="array" ref="H5">IF(ISNUMBER(MATCH($A5, _xlfn._xlws.FILTER(Procesos!$A$2:$A$25, Procesos!I$2:I$25="Laminado"), 0)), INDEX(Formula!$B$2:$Z$14, MATCH(VALUE($A5), VALUE(Formula!$A$2:$A$14), 0), MATCH(H$1, Formula!$B$1:$Z$1, 0)) * Mezclado!$D5/(1-Formula!$B$20), 0)</f>
        <v>0</v>
      </c>
    </row>
    <row r="6" spans="1:8" x14ac:dyDescent="0.25">
      <c r="A6" s="13">
        <v>5</v>
      </c>
      <c r="B6" s="8">
        <v>20</v>
      </c>
      <c r="C6" s="5">
        <v>45926</v>
      </c>
      <c r="D6" s="8" cm="1">
        <f t="array" ref="D6">IF(ISNUMBER(MATCH($A6, _xlfn._xlws.FILTER(Procesos!$A$2:$A$25, Procesos!B$2:B$25="Laminado"), 0)), INDEX(Formula!$B$2:$Z$14, MATCH(VALUE($A6), VALUE(Formula!$A$2:$A$14), 0), MATCH(D$1, Formula!$B$1:$Z$1, 0)) * Mezclado!$D6/(1-Formula!$B$20), 0)</f>
        <v>9.5100115160295715</v>
      </c>
      <c r="E6" s="8" cm="1">
        <f t="array" ref="E6">IF(ISNUMBER(MATCH($A6, _xlfn._xlws.FILTER(Procesos!$A$2:$A$25, Procesos!C$2:C$25="Laminado"), 0)), INDEX(Formula!$B$2:$Z$14, MATCH(VALUE($A6), VALUE(Formula!$A$2:$A$14), 0), MATCH(E$1, Formula!$B$1:$Z$1, 0)) * Mezclado!$D6/(1-Formula!$B$20), 0)</f>
        <v>0</v>
      </c>
      <c r="F6" s="8" cm="1">
        <f t="array" ref="F6">IF(ISNUMBER(MATCH($A6, _xlfn._xlws.FILTER(Procesos!$A$2:$A$25, Procesos!D$2:D$25="Laminado"), 0)), INDEX(Formula!$B$2:$Z$14, MATCH(VALUE($A6), VALUE(Formula!$A$2:$A$14), 0), MATCH(F$1, Formula!$B$1:$Z$1, 0)) * Mezclado!$D6/(1-Formula!$B$20), 0)</f>
        <v>0</v>
      </c>
      <c r="G6" s="8" cm="1">
        <f t="array" ref="G6">IF(ISNUMBER(MATCH($A6, _xlfn._xlws.FILTER(Procesos!$A$2:$A$25, Procesos!G$2:G$25="Laminado"), 0)), INDEX(Formula!$B$2:$Z$14, MATCH(VALUE($A6), VALUE(Formula!$A$2:$A$14), 0), MATCH(G$1, Formula!$B$1:$Z$1, 0)) * Mezclado!$D6/(1-Formula!$B$20), 0)</f>
        <v>0</v>
      </c>
      <c r="H6" s="8" cm="1">
        <f t="array" ref="H6">IF(ISNUMBER(MATCH($A6, _xlfn._xlws.FILTER(Procesos!$A$2:$A$25, Procesos!I$2:I$25="Laminado"), 0)), INDEX(Formula!$B$2:$Z$14, MATCH(VALUE($A6), VALUE(Formula!$A$2:$A$14), 0), MATCH(H$1, Formula!$B$1:$Z$1, 0)) * Mezclado!$D6/(1-Formula!$B$20), 0)</f>
        <v>0</v>
      </c>
    </row>
    <row r="7" spans="1:8" x14ac:dyDescent="0.25">
      <c r="A7" s="13">
        <v>6</v>
      </c>
      <c r="B7" s="8">
        <v>20</v>
      </c>
      <c r="C7" s="5">
        <v>45926</v>
      </c>
      <c r="D7" s="8" cm="1">
        <f t="array" ref="D7">IF(ISNUMBER(MATCH($A7, _xlfn._xlws.FILTER(Procesos!$A$2:$A$25, Procesos!B$2:B$25="Laminado"), 0)), INDEX(Formula!$B$2:$Z$14, MATCH(VALUE($A7), VALUE(Formula!$A$2:$A$14), 0), MATCH(D$1, Formula!$B$1:$Z$1, 0)) * Mezclado!$D7/(1-Formula!$B$20), 0)</f>
        <v>8.0782889208165045</v>
      </c>
      <c r="E7" s="8" cm="1">
        <f t="array" ref="E7">IF(ISNUMBER(MATCH($A7, _xlfn._xlws.FILTER(Procesos!$A$2:$A$25, Procesos!C$2:C$25="Laminado"), 0)), INDEX(Formula!$B$2:$Z$14, MATCH(VALUE($A7), VALUE(Formula!$A$2:$A$14), 0), MATCH(E$1, Formula!$B$1:$Z$1, 0)) * Mezclado!$D7/(1-Formula!$B$20), 0)</f>
        <v>5.1003862438165344</v>
      </c>
      <c r="F7" s="8" cm="1">
        <f t="array" ref="F7">IF(ISNUMBER(MATCH($A7, _xlfn._xlws.FILTER(Procesos!$A$2:$A$25, Procesos!D$2:D$25="Laminado"), 0)), INDEX(Formula!$B$2:$Z$14, MATCH(VALUE($A7), VALUE(Formula!$A$2:$A$14), 0), MATCH(F$1, Formula!$B$1:$Z$1, 0)) * Mezclado!$D7/(1-Formula!$B$20), 0)</f>
        <v>0</v>
      </c>
      <c r="G7" s="8" cm="1">
        <f t="array" ref="G7">IF(ISNUMBER(MATCH($A7, _xlfn._xlws.FILTER(Procesos!$A$2:$A$25, Procesos!G$2:G$25="Laminado"), 0)), INDEX(Formula!$B$2:$Z$14, MATCH(VALUE($A7), VALUE(Formula!$A$2:$A$14), 0), MATCH(G$1, Formula!$B$1:$Z$1, 0)) * Mezclado!$D7/(1-Formula!$B$20), 0)</f>
        <v>0</v>
      </c>
      <c r="H7" s="8" cm="1">
        <f t="array" ref="H7">IF(ISNUMBER(MATCH($A7, _xlfn._xlws.FILTER(Procesos!$A$2:$A$25, Procesos!I$2:I$25="Laminado"), 0)), INDEX(Formula!$B$2:$Z$14, MATCH(VALUE($A7), VALUE(Formula!$A$2:$A$14), 0), MATCH(H$1, Formula!$B$1:$Z$1, 0)) * Mezclado!$D7/(1-Formula!$B$20), 0)</f>
        <v>0</v>
      </c>
    </row>
    <row r="8" spans="1:8" x14ac:dyDescent="0.25">
      <c r="A8" s="13">
        <v>7</v>
      </c>
      <c r="B8" s="8">
        <v>20</v>
      </c>
      <c r="C8" s="5">
        <v>45938</v>
      </c>
      <c r="D8" s="8" cm="1">
        <f t="array" ref="D8">IF(ISNUMBER(MATCH($A8, _xlfn._xlws.FILTER(Procesos!$A$2:$A$25, Procesos!B$2:B$25="Laminado"), 0)), INDEX(Formula!$B$2:$Z$14, MATCH(VALUE($A8), VALUE(Formula!$A$2:$A$14), 0), MATCH(D$1, Formula!$B$1:$Z$1, 0)) * Mezclado!$D8/(1-Formula!$B$20), 0)</f>
        <v>2.7369395473708411</v>
      </c>
      <c r="E8" s="8" cm="1">
        <f t="array" ref="E8">IF(ISNUMBER(MATCH($A8, _xlfn._xlws.FILTER(Procesos!$A$2:$A$25, Procesos!C$2:C$25="Laminado"), 0)), INDEX(Formula!$B$2:$Z$14, MATCH(VALUE($A8), VALUE(Formula!$A$2:$A$14), 0), MATCH(E$1, Formula!$B$1:$Z$1, 0)) * Mezclado!$D8/(1-Formula!$B$20), 0)</f>
        <v>3.9276990129547804</v>
      </c>
      <c r="F8" s="8" cm="1">
        <f t="array" ref="F8">IF(ISNUMBER(MATCH($A8, _xlfn._xlws.FILTER(Procesos!$A$2:$A$25, Procesos!D$2:D$25="Laminado"), 0)), INDEX(Formula!$B$2:$Z$14, MATCH(VALUE($A8), VALUE(Formula!$A$2:$A$14), 0), MATCH(F$1, Formula!$B$1:$Z$1, 0)) * Mezclado!$D8/(1-Formula!$B$20), 0)</f>
        <v>4.8011903578603681</v>
      </c>
      <c r="G8" s="8" cm="1">
        <f t="array" ref="G8">IF(ISNUMBER(MATCH($A8, _xlfn._xlws.FILTER(Procesos!$A$2:$A$25, Procesos!G$2:G$25="Laminado"), 0)), INDEX(Formula!$B$2:$Z$14, MATCH(VALUE($A8), VALUE(Formula!$A$2:$A$14), 0), MATCH(G$1, Formula!$B$1:$Z$1, 0)) * Mezclado!$D8/(1-Formula!$B$20), 0)</f>
        <v>0</v>
      </c>
      <c r="H8" s="8" cm="1">
        <f t="array" ref="H8">IF(ISNUMBER(MATCH($A8, _xlfn._xlws.FILTER(Procesos!$A$2:$A$25, Procesos!I$2:I$25="Laminado"), 0)), INDEX(Formula!$B$2:$Z$14, MATCH(VALUE($A8), VALUE(Formula!$A$2:$A$14), 0), MATCH(H$1, Formula!$B$1:$Z$1, 0)) * Mezclado!$D8/(1-Formula!$B$20), 0)</f>
        <v>1.0903581615718023</v>
      </c>
    </row>
    <row r="9" spans="1:8" x14ac:dyDescent="0.25">
      <c r="A9" s="13">
        <v>8</v>
      </c>
      <c r="B9" s="8">
        <v>20</v>
      </c>
      <c r="C9" s="5">
        <v>45938</v>
      </c>
      <c r="D9" s="8" cm="1">
        <f t="array" ref="D9">IF(ISNUMBER(MATCH($A9, _xlfn._xlws.FILTER(Procesos!$A$2:$A$25, Procesos!B$2:B$25="Laminado"), 0)), INDEX(Formula!$B$2:$Z$14, MATCH(VALUE($A9), VALUE(Formula!$A$2:$A$14), 0), MATCH(D$1, Formula!$B$1:$Z$1, 0)) * Mezclado!$D9/(1-Formula!$B$20), 0)</f>
        <v>0</v>
      </c>
      <c r="E9" s="8" cm="1">
        <f t="array" ref="E9">IF(ISNUMBER(MATCH($A9, _xlfn._xlws.FILTER(Procesos!$A$2:$A$25, Procesos!C$2:C$25="Laminado"), 0)), INDEX(Formula!$B$2:$Z$14, MATCH(VALUE($A9), VALUE(Formula!$A$2:$A$14), 0), MATCH(E$1, Formula!$B$1:$Z$1, 0)) * Mezclado!$D9/(1-Formula!$B$20), 0)</f>
        <v>0</v>
      </c>
      <c r="F9" s="8" cm="1">
        <f t="array" ref="F9">IF(ISNUMBER(MATCH($A9, _xlfn._xlws.FILTER(Procesos!$A$2:$A$25, Procesos!D$2:D$25="Laminado"), 0)), INDEX(Formula!$B$2:$Z$14, MATCH(VALUE($A9), VALUE(Formula!$A$2:$A$14), 0), MATCH(F$1, Formula!$B$1:$Z$1, 0)) * Mezclado!$D9/(1-Formula!$B$20), 0)</f>
        <v>0</v>
      </c>
      <c r="G9" s="8" cm="1">
        <f t="array" ref="G9">IF(ISNUMBER(MATCH($A9, _xlfn._xlws.FILTER(Procesos!$A$2:$A$25, Procesos!G$2:G$25="Laminado"), 0)), INDEX(Formula!$B$2:$Z$14, MATCH(VALUE($A9), VALUE(Formula!$A$2:$A$14), 0), MATCH(G$1, Formula!$B$1:$Z$1, 0)) * Mezclado!$D9/(1-Formula!$B$20), 0)</f>
        <v>0</v>
      </c>
      <c r="H9" s="8" cm="1">
        <f t="array" ref="H9">IF(ISNUMBER(MATCH($A9, _xlfn._xlws.FILTER(Procesos!$A$2:$A$25, Procesos!I$2:I$25="Laminado"), 0)), INDEX(Formula!$B$2:$Z$14, MATCH(VALUE($A9), VALUE(Formula!$A$2:$A$14), 0), MATCH(H$1, Formula!$B$1:$Z$1, 0)) * Mezclado!$D9/(1-Formula!$B$20), 0)</f>
        <v>0</v>
      </c>
    </row>
    <row r="10" spans="1:8" x14ac:dyDescent="0.25">
      <c r="A10" s="13">
        <v>9</v>
      </c>
      <c r="B10" s="8">
        <v>20</v>
      </c>
      <c r="C10" s="5">
        <v>45938</v>
      </c>
      <c r="D10" s="8" cm="1">
        <f t="array" ref="D10">IF(ISNUMBER(MATCH($A10, _xlfn._xlws.FILTER(Procesos!$A$2:$A$25, Procesos!B$2:B$25="Laminado"), 0)), INDEX(Formula!$B$2:$Z$14, MATCH(VALUE($A10), VALUE(Formula!$A$2:$A$14), 0), MATCH(D$1, Formula!$B$1:$Z$1, 0)) * Mezclado!$D10/(1-Formula!$B$20), 0)</f>
        <v>0</v>
      </c>
      <c r="E10" s="8" cm="1">
        <f t="array" ref="E10">IF(ISNUMBER(MATCH($A10, _xlfn._xlws.FILTER(Procesos!$A$2:$A$25, Procesos!C$2:C$25="Laminado"), 0)), INDEX(Formula!$B$2:$Z$14, MATCH(VALUE($A10), VALUE(Formula!$A$2:$A$14), 0), MATCH(E$1, Formula!$B$1:$Z$1, 0)) * Mezclado!$D10/(1-Formula!$B$20), 0)</f>
        <v>0</v>
      </c>
      <c r="F10" s="8" cm="1">
        <f t="array" ref="F10">IF(ISNUMBER(MATCH($A10, _xlfn._xlws.FILTER(Procesos!$A$2:$A$25, Procesos!D$2:D$25="Laminado"), 0)), INDEX(Formula!$B$2:$Z$14, MATCH(VALUE($A10), VALUE(Formula!$A$2:$A$14), 0), MATCH(F$1, Formula!$B$1:$Z$1, 0)) * Mezclado!$D10/(1-Formula!$B$20), 0)</f>
        <v>0</v>
      </c>
      <c r="G10" s="8" cm="1">
        <f t="array" ref="G10">IF(ISNUMBER(MATCH($A10, _xlfn._xlws.FILTER(Procesos!$A$2:$A$25, Procesos!G$2:G$25="Laminado"), 0)), INDEX(Formula!$B$2:$Z$14, MATCH(VALUE($A10), VALUE(Formula!$A$2:$A$14), 0), MATCH(G$1, Formula!$B$1:$Z$1, 0)) * Mezclado!$D10/(1-Formula!$B$20), 0)</f>
        <v>0</v>
      </c>
      <c r="H10" s="8" cm="1">
        <f t="array" ref="H10">IF(ISNUMBER(MATCH($A10, _xlfn._xlws.FILTER(Procesos!$A$2:$A$25, Procesos!I$2:I$25="Laminado"), 0)), INDEX(Formula!$B$2:$Z$14, MATCH(VALUE($A10), VALUE(Formula!$A$2:$A$14), 0), MATCH(H$1, Formula!$B$1:$Z$1, 0)) * Mezclado!$D10/(1-Formula!$B$20), 0)</f>
        <v>0</v>
      </c>
    </row>
    <row r="11" spans="1:8" x14ac:dyDescent="0.25">
      <c r="A11" s="13">
        <v>10</v>
      </c>
      <c r="B11" s="8">
        <v>20</v>
      </c>
      <c r="C11" s="5">
        <v>45956</v>
      </c>
      <c r="D11" s="8" cm="1">
        <f t="array" ref="D11">IF(ISNUMBER(MATCH($A11, _xlfn._xlws.FILTER(Procesos!$A$2:$A$25, Procesos!B$2:B$25="Laminado"), 0)), INDEX(Formula!$B$2:$Z$14, MATCH(VALUE($A11), VALUE(Formula!$A$2:$A$14), 0), MATCH(D$1, Formula!$B$1:$Z$1, 0)) * Mezclado!$D11/(1-Formula!$B$20), 0)</f>
        <v>0.78212615825454335</v>
      </c>
      <c r="E11" s="8" cm="1">
        <f t="array" ref="E11">IF(ISNUMBER(MATCH($A11, _xlfn._xlws.FILTER(Procesos!$A$2:$A$25, Procesos!C$2:C$25="Laminado"), 0)), INDEX(Formula!$B$2:$Z$14, MATCH(VALUE($A11), VALUE(Formula!$A$2:$A$14), 0), MATCH(E$1, Formula!$B$1:$Z$1, 0)) * Mezclado!$D11/(1-Formula!$B$20), 0)</f>
        <v>0.78212615825454335</v>
      </c>
      <c r="F11" s="8" cm="1">
        <f t="array" ref="F11">IF(ISNUMBER(MATCH($A11, _xlfn._xlws.FILTER(Procesos!$A$2:$A$25, Procesos!D$2:D$25="Laminado"), 0)), INDEX(Formula!$B$2:$Z$14, MATCH(VALUE($A11), VALUE(Formula!$A$2:$A$14), 0), MATCH(F$1, Formula!$B$1:$Z$1, 0)) * Mezclado!$D11/(1-Formula!$B$20), 0)</f>
        <v>0</v>
      </c>
      <c r="G11" s="8" cm="1">
        <f t="array" ref="G11">IF(ISNUMBER(MATCH($A11, _xlfn._xlws.FILTER(Procesos!$A$2:$A$25, Procesos!G$2:G$25="Laminado"), 0)), INDEX(Formula!$B$2:$Z$14, MATCH(VALUE($A11), VALUE(Formula!$A$2:$A$14), 0), MATCH(G$1, Formula!$B$1:$Z$1, 0)) * Mezclado!$D11/(1-Formula!$B$20), 0)</f>
        <v>0</v>
      </c>
      <c r="H11" s="8" cm="1">
        <f t="array" ref="H11">IF(ISNUMBER(MATCH($A11, _xlfn._xlws.FILTER(Procesos!$A$2:$A$25, Procesos!I$2:I$25="Laminado"), 0)), INDEX(Formula!$B$2:$Z$14, MATCH(VALUE($A11), VALUE(Formula!$A$2:$A$14), 0), MATCH(H$1, Formula!$B$1:$Z$1, 0)) * Mezclado!$D11/(1-Formula!$B$20), 0)</f>
        <v>0</v>
      </c>
    </row>
    <row r="12" spans="1:8" x14ac:dyDescent="0.25">
      <c r="A12" s="13">
        <v>11</v>
      </c>
      <c r="B12" s="8">
        <v>20</v>
      </c>
      <c r="C12" s="5">
        <v>45987</v>
      </c>
      <c r="D12" s="8" cm="1">
        <f t="array" ref="D12">IF(ISNUMBER(MATCH($A12, _xlfn._xlws.FILTER(Procesos!$A$2:$A$25, Procesos!B$2:B$25="Laminado"), 0)), INDEX(Formula!$B$2:$Z$14, MATCH(VALUE($A12), VALUE(Formula!$A$2:$A$14), 0), MATCH(D$1, Formula!$B$1:$Z$1, 0)) * Mezclado!$D12/(1-Formula!$B$20), 0)</f>
        <v>5.3554055560073612</v>
      </c>
      <c r="E12" s="8" cm="1">
        <f t="array" ref="E12">IF(ISNUMBER(MATCH($A12, _xlfn._xlws.FILTER(Procesos!$A$2:$A$25, Procesos!C$2:C$25="Laminado"), 0)), INDEX(Formula!$B$2:$Z$14, MATCH(VALUE($A12), VALUE(Formula!$A$2:$A$14), 0), MATCH(E$1, Formula!$B$1:$Z$1, 0)) * Mezclado!$D12/(1-Formula!$B$20), 0)</f>
        <v>2.2309169751496736</v>
      </c>
      <c r="F12" s="8" cm="1">
        <f t="array" ref="F12">IF(ISNUMBER(MATCH($A12, _xlfn._xlws.FILTER(Procesos!$A$2:$A$25, Procesos!D$2:D$25="Laminado"), 0)), INDEX(Formula!$B$2:$Z$14, MATCH(VALUE($A12), VALUE(Formula!$A$2:$A$14), 0), MATCH(F$1, Formula!$B$1:$Z$1, 0)) * Mezclado!$D12/(1-Formula!$B$20), 0)</f>
        <v>0</v>
      </c>
      <c r="G12" s="8" cm="1">
        <f t="array" ref="G12">IF(ISNUMBER(MATCH($A12, _xlfn._xlws.FILTER(Procesos!$A$2:$A$25, Procesos!G$2:G$25="Laminado"), 0)), INDEX(Formula!$B$2:$Z$14, MATCH(VALUE($A12), VALUE(Formula!$A$2:$A$14), 0), MATCH(G$1, Formula!$B$1:$Z$1, 0)) * Mezclado!$D12/(1-Formula!$B$20), 0)</f>
        <v>4.4618339502993472</v>
      </c>
      <c r="H12" s="8" cm="1">
        <f t="array" ref="H12">IF(ISNUMBER(MATCH($A12, _xlfn._xlws.FILTER(Procesos!$A$2:$A$25, Procesos!I$2:I$25="Laminado"), 0)), INDEX(Formula!$B$2:$Z$14, MATCH(VALUE($A12), VALUE(Formula!$A$2:$A$14), 0), MATCH(H$1, Formula!$B$1:$Z$1, 0)) * Mezclado!$D12/(1-Formula!$B$20), 0)</f>
        <v>1.7851351853357873</v>
      </c>
    </row>
    <row r="13" spans="1:8" x14ac:dyDescent="0.25">
      <c r="A13" s="13">
        <v>12</v>
      </c>
      <c r="B13" s="8">
        <v>20</v>
      </c>
      <c r="C13" s="5">
        <v>46019</v>
      </c>
      <c r="D13" s="8" cm="1">
        <f t="array" ref="D13">IF(ISNUMBER(MATCH($A13, _xlfn._xlws.FILTER(Procesos!$A$2:$A$25, Procesos!B$2:B$25="Laminado"), 0)), INDEX(Formula!$B$2:$Z$14, MATCH(VALUE($A13), VALUE(Formula!$A$2:$A$14), 0), MATCH(D$1, Formula!$B$1:$Z$1, 0)) * Mezclado!$D13/(1-Formula!$B$20), 0)</f>
        <v>2.2951738097174408</v>
      </c>
      <c r="E13" s="8" cm="1">
        <f t="array" ref="E13">IF(ISNUMBER(MATCH($A13, _xlfn._xlws.FILTER(Procesos!$A$2:$A$25, Procesos!C$2:C$25="Laminado"), 0)), INDEX(Formula!$B$2:$Z$14, MATCH(VALUE($A13), VALUE(Formula!$A$2:$A$14), 0), MATCH(E$1, Formula!$B$1:$Z$1, 0)) * Mezclado!$D13/(1-Formula!$B$20), 0)</f>
        <v>0</v>
      </c>
      <c r="F13" s="8" cm="1">
        <f t="array" ref="F13">IF(ISNUMBER(MATCH($A13, _xlfn._xlws.FILTER(Procesos!$A$2:$A$25, Procesos!D$2:D$25="Laminado"), 0)), INDEX(Formula!$B$2:$Z$14, MATCH(VALUE($A13), VALUE(Formula!$A$2:$A$14), 0), MATCH(F$1, Formula!$B$1:$Z$1, 0)) * Mezclado!$D13/(1-Formula!$B$20), 0)</f>
        <v>0</v>
      </c>
      <c r="G13" s="8" cm="1">
        <f t="array" ref="G13">IF(ISNUMBER(MATCH($A13, _xlfn._xlws.FILTER(Procesos!$A$2:$A$25, Procesos!G$2:G$25="Laminado"), 0)), INDEX(Formula!$B$2:$Z$14, MATCH(VALUE($A13), VALUE(Formula!$A$2:$A$14), 0), MATCH(G$1, Formula!$B$1:$Z$1, 0)) * Mezclado!$D13/(1-Formula!$B$20), 0)</f>
        <v>0</v>
      </c>
      <c r="H13" s="8" cm="1">
        <f t="array" ref="H13">IF(ISNUMBER(MATCH($A13, _xlfn._xlws.FILTER(Procesos!$A$2:$A$25, Procesos!I$2:I$25="Laminado"), 0)), INDEX(Formula!$B$2:$Z$14, MATCH(VALUE($A13), VALUE(Formula!$A$2:$A$14), 0), MATCH(H$1, Formula!$B$1:$Z$1, 0)) * Mezclado!$D13/(1-Formula!$B$20), 0)</f>
        <v>0</v>
      </c>
    </row>
    <row r="14" spans="1:8" x14ac:dyDescent="0.25">
      <c r="A14" s="13"/>
      <c r="H14" s="7"/>
    </row>
    <row r="15" spans="1:8" x14ac:dyDescent="0.25">
      <c r="A15" s="13"/>
      <c r="H15" s="7"/>
    </row>
    <row r="16" spans="1:8" x14ac:dyDescent="0.25">
      <c r="A16" s="13"/>
      <c r="H16" s="7"/>
    </row>
    <row r="17" spans="1:13" x14ac:dyDescent="0.25">
      <c r="A17" s="13"/>
      <c r="H17" s="7"/>
    </row>
    <row r="18" spans="1:13" x14ac:dyDescent="0.25">
      <c r="A18" s="13"/>
      <c r="H18" s="7"/>
    </row>
    <row r="19" spans="1:13" x14ac:dyDescent="0.25">
      <c r="A19" s="13"/>
      <c r="H19" s="7"/>
    </row>
    <row r="20" spans="1:13" x14ac:dyDescent="0.25">
      <c r="A20" s="13"/>
      <c r="H20" s="7"/>
    </row>
    <row r="21" spans="1:13" x14ac:dyDescent="0.25">
      <c r="A21" s="13"/>
      <c r="H21" s="7"/>
    </row>
    <row r="22" spans="1:13" x14ac:dyDescent="0.25">
      <c r="A22" s="13"/>
      <c r="H22" s="7"/>
      <c r="I22" s="39"/>
    </row>
    <row r="23" spans="1:13" x14ac:dyDescent="0.25">
      <c r="A23" s="13"/>
      <c r="H23" s="7"/>
      <c r="I23" s="7"/>
      <c r="J23" s="7"/>
      <c r="L23" s="7"/>
      <c r="M23" s="7"/>
    </row>
    <row r="24" spans="1:13" x14ac:dyDescent="0.25">
      <c r="A24" s="13"/>
      <c r="H24" s="7"/>
      <c r="I24" s="7"/>
      <c r="J24" s="7"/>
      <c r="K24" s="39"/>
    </row>
    <row r="25" spans="1:13" x14ac:dyDescent="0.25">
      <c r="A25" s="13"/>
      <c r="H25" s="7"/>
    </row>
    <row r="26" spans="1:13" x14ac:dyDescent="0.25">
      <c r="A26" s="13"/>
      <c r="H26" s="7"/>
    </row>
    <row r="27" spans="1:13" x14ac:dyDescent="0.25">
      <c r="A27" s="13"/>
      <c r="H27" s="7"/>
    </row>
    <row r="28" spans="1:13" x14ac:dyDescent="0.25">
      <c r="A28" s="13"/>
      <c r="H28" s="7"/>
    </row>
    <row r="29" spans="1:13" x14ac:dyDescent="0.25">
      <c r="A29" s="13"/>
      <c r="H29" s="7"/>
    </row>
    <row r="30" spans="1:13" x14ac:dyDescent="0.25">
      <c r="A30" s="13"/>
      <c r="H30" s="7"/>
    </row>
    <row r="31" spans="1:13" x14ac:dyDescent="0.25">
      <c r="A31" s="13"/>
      <c r="H31" s="7"/>
    </row>
    <row r="32" spans="1:13" x14ac:dyDescent="0.25">
      <c r="A32" s="13"/>
      <c r="H32" s="7"/>
    </row>
    <row r="33" spans="1:8" x14ac:dyDescent="0.25">
      <c r="A33" s="13"/>
      <c r="H33" s="7"/>
    </row>
    <row r="34" spans="1:8" x14ac:dyDescent="0.25">
      <c r="A34" s="13"/>
      <c r="H34" s="7"/>
    </row>
    <row r="35" spans="1:8" x14ac:dyDescent="0.25">
      <c r="A35" s="13"/>
      <c r="H35" s="7"/>
    </row>
    <row r="36" spans="1:8" x14ac:dyDescent="0.25">
      <c r="A36" s="13"/>
      <c r="H36" s="7"/>
    </row>
    <row r="37" spans="1:8" x14ac:dyDescent="0.25">
      <c r="A37" s="13"/>
      <c r="H37" s="7"/>
    </row>
    <row r="38" spans="1:8" x14ac:dyDescent="0.25">
      <c r="A38" s="13"/>
      <c r="H38" s="7"/>
    </row>
    <row r="39" spans="1:8" x14ac:dyDescent="0.25">
      <c r="A39" s="13"/>
      <c r="H39" s="7"/>
    </row>
    <row r="40" spans="1:8" x14ac:dyDescent="0.25">
      <c r="A40" s="13"/>
      <c r="H40" s="7"/>
    </row>
    <row r="41" spans="1:8" x14ac:dyDescent="0.25">
      <c r="A41" s="13"/>
      <c r="H41" s="7"/>
    </row>
    <row r="42" spans="1:8" x14ac:dyDescent="0.25">
      <c r="A42" s="13"/>
      <c r="H42" s="7"/>
    </row>
    <row r="43" spans="1:8" x14ac:dyDescent="0.25">
      <c r="A43" s="13"/>
      <c r="H43" s="7"/>
    </row>
    <row r="44" spans="1:8" x14ac:dyDescent="0.25">
      <c r="A44" s="13"/>
      <c r="H44" s="7"/>
    </row>
    <row r="45" spans="1:8" x14ac:dyDescent="0.25">
      <c r="A45" s="13"/>
      <c r="H45" s="7"/>
    </row>
    <row r="46" spans="1:8" x14ac:dyDescent="0.25">
      <c r="A46" s="13"/>
      <c r="H46" s="7"/>
    </row>
    <row r="47" spans="1:8" x14ac:dyDescent="0.25">
      <c r="A47" s="13"/>
      <c r="H47" s="7"/>
    </row>
    <row r="48" spans="1:8" x14ac:dyDescent="0.25">
      <c r="A48" s="13"/>
      <c r="H48" s="7"/>
    </row>
    <row r="49" spans="1:9" x14ac:dyDescent="0.25">
      <c r="A49" s="13"/>
      <c r="H49" s="7"/>
      <c r="I49" s="7"/>
    </row>
    <row r="50" spans="1:9" x14ac:dyDescent="0.25">
      <c r="A50" s="13"/>
      <c r="H50" s="7"/>
    </row>
    <row r="51" spans="1:9" x14ac:dyDescent="0.25">
      <c r="A51" s="13"/>
      <c r="H51" s="7"/>
    </row>
    <row r="52" spans="1:9" x14ac:dyDescent="0.25">
      <c r="A52" s="13"/>
      <c r="H52" s="7"/>
    </row>
    <row r="53" spans="1:9" x14ac:dyDescent="0.25">
      <c r="A53" s="13"/>
      <c r="H53" s="7"/>
    </row>
    <row r="54" spans="1:9" x14ac:dyDescent="0.25">
      <c r="A54" s="13"/>
      <c r="H54" s="7"/>
    </row>
    <row r="55" spans="1:9" x14ac:dyDescent="0.25">
      <c r="A55" s="13"/>
      <c r="H55" s="7"/>
    </row>
    <row r="66" spans="4:6" x14ac:dyDescent="0.25">
      <c r="D66" s="8">
        <f>D25/500*60</f>
        <v>0</v>
      </c>
      <c r="E66" s="8">
        <f>E25/500*60</f>
        <v>0</v>
      </c>
      <c r="F66" s="8">
        <f>F25-2000</f>
        <v>-2000</v>
      </c>
    </row>
    <row r="67" spans="4:6" x14ac:dyDescent="0.25">
      <c r="F67" s="8">
        <f>F66*0.997</f>
        <v>-1994</v>
      </c>
    </row>
    <row r="87" spans="4:4" x14ac:dyDescent="0.25">
      <c r="D87" s="7"/>
    </row>
  </sheetData>
  <autoFilter ref="A1:F64" xr:uid="{725CC508-74F1-47F9-8E97-E2D1FA973DC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0E8C-4F27-428E-970B-6AA51A1F15CB}">
  <dimension ref="A1:AC29"/>
  <sheetViews>
    <sheetView workbookViewId="0">
      <pane ySplit="1" topLeftCell="A2" activePane="bottomLeft" state="frozen"/>
      <selection pane="bottomLeft" activeCell="L14" sqref="L14"/>
    </sheetView>
  </sheetViews>
  <sheetFormatPr baseColWidth="10" defaultRowHeight="15" x14ac:dyDescent="0.25"/>
  <cols>
    <col min="1" max="1" width="18" style="4" bestFit="1" customWidth="1"/>
    <col min="2" max="2" width="13.140625" style="8" bestFit="1" customWidth="1"/>
    <col min="3" max="3" width="10.42578125" style="5" bestFit="1" customWidth="1"/>
    <col min="4" max="4" width="11.42578125" style="8"/>
    <col min="5" max="5" width="9.85546875" style="4" bestFit="1" customWidth="1"/>
    <col min="6" max="7" width="11.42578125" style="4"/>
    <col min="8" max="8" width="11.140625" style="40" bestFit="1" customWidth="1"/>
    <col min="9" max="9" width="11.42578125" style="4"/>
    <col min="12" max="12" width="12.85546875" customWidth="1"/>
  </cols>
  <sheetData>
    <row r="1" spans="1:29" ht="30" customHeight="1" thickBot="1" x14ac:dyDescent="0.3">
      <c r="A1" s="14" t="s">
        <v>2</v>
      </c>
      <c r="B1" s="15" t="s">
        <v>5</v>
      </c>
      <c r="C1" s="16" t="s">
        <v>6</v>
      </c>
      <c r="D1" s="15" t="str" cm="1">
        <f t="array" ref="D1:P1">_xlfn._xlws.FILTER(Procesos!B1:V1, MMULT(TRANSPOSE(ROW(Procesos!B2:B25)^0), --(Procesos!B2:V25="Molido")) &gt; 0)</f>
        <v>Quinua</v>
      </c>
      <c r="E1" s="15" t="str">
        <v>Kiwicha</v>
      </c>
      <c r="F1" s="28" t="str">
        <v>Soya</v>
      </c>
      <c r="G1" s="28" t="str">
        <v>Trigo</v>
      </c>
      <c r="H1" s="15" t="str">
        <v>Cebada</v>
      </c>
      <c r="I1" s="28" t="str">
        <v>Cañihua</v>
      </c>
      <c r="J1" s="28" t="str">
        <v>Habas</v>
      </c>
      <c r="K1" s="15" t="str">
        <v>Arveja</v>
      </c>
      <c r="L1" s="28" t="str">
        <v>Ajonjoli</v>
      </c>
      <c r="M1" s="15" t="str">
        <v>Linaza</v>
      </c>
      <c r="N1" s="28" t="str">
        <v>Lenteja</v>
      </c>
      <c r="O1" s="15" t="str">
        <v>Arroz</v>
      </c>
      <c r="P1" s="28" t="str">
        <v>Maiz</v>
      </c>
      <c r="Q1" s="28"/>
    </row>
    <row r="2" spans="1:29" x14ac:dyDescent="0.25">
      <c r="A2" s="4" cm="1">
        <f t="array" ref="A2:C13">Mezclado!A2:C13</f>
        <v>1</v>
      </c>
      <c r="B2" s="8">
        <v>20</v>
      </c>
      <c r="C2" s="5">
        <v>45902</v>
      </c>
      <c r="D2" s="8" cm="1">
        <f t="array" ref="D2">IF(ISNUMBER(MATCH($A2, _xlfn._xlws.FILTER(Procesos!$A$2:$A$25, Procesos!C$2:C$25="Molido"), 0)), INDEX(Formula!$B$2:$Z$14, MATCH(VALUE($A2), VALUE(Formula!$A$2:$A$14), 0), MATCH(D$1, Formula!$B$1:$Z$1, 0)) * Mezclado!$D2/(1-Formula!$B$19), 0)</f>
        <v>1.2093726379440668</v>
      </c>
      <c r="E2" s="8" cm="1">
        <f t="array" ref="E2">IF(ISNUMBER(MATCH($A2, _xlfn._xlws.FILTER(Procesos!$A$2:$A$25, Procesos!D$2:D$25="Molido"), 0)), INDEX(Formula!$B$2:$Z$14, MATCH(VALUE($A2), VALUE(Formula!$A$2:$A$14), 0), MATCH(E$1, Formula!$B$1:$Z$1, 0)) * Mezclado!$D2/(1-Formula!$B$19), 0)</f>
        <v>0.24105738391452677</v>
      </c>
      <c r="F2" s="8" cm="1">
        <f t="array" ref="F2">IF(ISNUMBER(MATCH($A2, _xlfn._xlws.FILTER(Procesos!$A$2:$A$25, Procesos!F$2:F$25="Molido"), 0)), INDEX(Formula!$B$2:$Z$14, MATCH(VALUE($A2), VALUE(Formula!$A$2:$A$14), 0), MATCH(F$1, Formula!$B$1:$Z$1, 0)) * Mezclado!$D2/(1-Formula!$B$19), 0)</f>
        <v>0</v>
      </c>
      <c r="G2" s="8" cm="1">
        <f t="array" ref="G2">IF(ISNUMBER(MATCH($A2, _xlfn._xlws.FILTER(Procesos!$A$2:$A$25, Procesos!G$2:G$25="Molido"), 0)), INDEX(Formula!$B$2:$Z$14, MATCH(VALUE($A2), VALUE(Formula!$A$2:$A$14), 0), MATCH(G$1, Formula!$B$1:$Z$1, 0)) * Mezclado!$D2/(1-Formula!$B$19), 0)</f>
        <v>0</v>
      </c>
      <c r="H2" s="8" cm="1">
        <f t="array" ref="H2">IF(ISNUMBER(MATCH($A2, _xlfn._xlws.FILTER(Procesos!$A$2:$A$25, Procesos!H$2:H$25="Molido"), 0)), INDEX(Formula!$B$2:$Z$14, MATCH(VALUE($A2), VALUE(Formula!$A$2:$A$14), 0), MATCH(H$1, Formula!$B$1:$Z$1, 0)) * Mezclado!$D2/(1-Formula!$B$19), 0)</f>
        <v>0.55565769851484137</v>
      </c>
      <c r="I2" s="8" cm="1">
        <f t="array" ref="I2">IF(ISNUMBER(MATCH($A2, _xlfn._xlws.FILTER(Procesos!$A$2:$A$25, Procesos!I$2:I$25="Molido"), 0)), INDEX(Formula!$B$2:$Z$14, MATCH(VALUE($A2), VALUE(Formula!$A$2:$A$14), 0), MATCH(I$1, Formula!$B$1:$Z$1, 0)) * Mezclado!$D2/(1-Formula!$B$19), 0)</f>
        <v>0.72521501092929663</v>
      </c>
      <c r="J2" s="8" cm="1">
        <f t="array" ref="J2">IF(ISNUMBER(MATCH($A2, _xlfn._xlws.FILTER(Procesos!$A$2:$A$25, Procesos!J$2:J$25="Molido"), 0)), INDEX(Formula!$B$2:$Z$14, MATCH(VALUE($A2), VALUE(Formula!$A$2:$A$14), 0), MATCH(J$1, Formula!$B$1:$Z$1, 0)) * Mezclado!$D2/(1-Formula!$B$19), 0)</f>
        <v>1.2093726379440668</v>
      </c>
      <c r="K2" s="8" cm="1">
        <f t="array" ref="K2">IF(ISNUMBER(MATCH($A2, _xlfn._xlws.FILTER(Procesos!$A$2:$A$25, Procesos!K$2:K$25="Molido"), 0)), INDEX(Formula!$B$2:$Z$14, MATCH(VALUE($A2), VALUE(Formula!$A$2:$A$14), 0), MATCH(K$1, Formula!$B$1:$Z$1, 0)) * Mezclado!$D2/(1-Formula!$B$19), 0)</f>
        <v>1.0643296357582073</v>
      </c>
      <c r="L2" s="8" cm="1">
        <f t="array" ref="L2">IF(ISNUMBER(MATCH($A2, _xlfn._xlws.FILTER(Procesos!$A$2:$A$25, Procesos!N$2:N$25="Molido"), 0)), INDEX(Formula!$B$2:$Z$14, MATCH(VALUE($A2), VALUE(Formula!$A$2:$A$14), 0), MATCH(L$1, Formula!$B$1:$Z$1, 0)) * Mezclado!$D2/(1-Formula!$B$19), 0)</f>
        <v>0</v>
      </c>
      <c r="M2" s="8" cm="1">
        <f t="array" ref="M2">IF(ISNUMBER(MATCH($A2, _xlfn._xlws.FILTER(Procesos!$A$2:$A$25, Procesos!O$2:O$25="Molido"), 0)), INDEX(Formula!$B$2:$Z$14, MATCH(VALUE($A2), VALUE(Formula!$A$2:$A$14), 0), MATCH(M$1, Formula!$B$1:$Z$1, 0)) * Mezclado!$D2/(1-Formula!$B$19), 0)</f>
        <v>0</v>
      </c>
      <c r="N2" s="8" cm="1">
        <f t="array" ref="N2">IF(ISNUMBER(MATCH($A2, _xlfn._xlws.FILTER(Procesos!$A$2:$A$25, Procesos!R$2:R$25="Molido"), 0)), INDEX(Formula!$B$2:$Z$14, MATCH(VALUE($A2), VALUE(Formula!$A$2:$A$14), 0), MATCH(N$1, Formula!$B$1:$Z$1, 0)) * Mezclado!$D2/(1-Formula!$B$19), 0)</f>
        <v>0</v>
      </c>
      <c r="O2" s="8" cm="1">
        <f t="array" ref="O2">IF(ISNUMBER(MATCH($A2, _xlfn._xlws.FILTER(Procesos!$A$2:$A$25, Procesos!S$2:S$25="Molido"), 0)), INDEX(Formula!$B$2:$Z$14, MATCH(VALUE($A2), VALUE(Formula!$A$2:$A$14), 0), MATCH(O$1, Formula!$B$1:$Z$1, 0)) * Mezclado!$D2/(1-Formula!$B$19), 0)</f>
        <v>0</v>
      </c>
      <c r="P2" s="8" cm="1">
        <f t="array" ref="P2">IF(ISNUMBER(MATCH($A2, _xlfn._xlws.FILTER(Procesos!$A$2:$A$25, Procesos!V$2:V$25="Molido"), 0)), INDEX(Formula!$B$2:$Z$14, MATCH(VALUE($A2), VALUE(Formula!$A$2:$A$14), 0), MATCH(P$1, Formula!$B$1:$Z$1, 0)) * Mezclado!$D2/(1-Formula!$B$19), 0)</f>
        <v>0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13">
        <v>2</v>
      </c>
      <c r="B3" s="8">
        <v>20</v>
      </c>
      <c r="C3" s="5">
        <v>45903</v>
      </c>
      <c r="D3" s="8" cm="1">
        <f t="array" ref="D3">IF(ISNUMBER(MATCH($A3, _xlfn._xlws.FILTER(Procesos!$A$2:$A$25, Procesos!C$2:C$25="Molido"), 0)), INDEX(Formula!$B$2:$Z$14, MATCH(VALUE($A3), VALUE(Formula!$A$2:$A$14), 0), MATCH(D$1, Formula!$B$1:$Z$1, 0)) * Mezclado!$D3/(1-Formula!$B$19), 0)</f>
        <v>0</v>
      </c>
      <c r="E3" s="8" cm="1">
        <f t="array" ref="E3">IF(ISNUMBER(MATCH($A3, _xlfn._xlws.FILTER(Procesos!$A$2:$A$25, Procesos!D$2:D$25="Molido"), 0)), INDEX(Formula!$B$2:$Z$14, MATCH(VALUE($A3), VALUE(Formula!$A$2:$A$14), 0), MATCH(E$1, Formula!$B$1:$Z$1, 0)) * Mezclado!$D3/(1-Formula!$B$19), 0)</f>
        <v>0</v>
      </c>
      <c r="F3" s="8" cm="1">
        <f t="array" ref="F3">IF(ISNUMBER(MATCH($A3, _xlfn._xlws.FILTER(Procesos!$A$2:$A$25, Procesos!F$2:F$25="Molido"), 0)), INDEX(Formula!$B$2:$Z$14, MATCH(VALUE($A3), VALUE(Formula!$A$2:$A$14), 0), MATCH(F$1, Formula!$B$1:$Z$1, 0)) * Mezclado!$D3/(1-Formula!$B$19), 0)</f>
        <v>0.62307205164348023</v>
      </c>
      <c r="G3" s="8" cm="1">
        <f t="array" ref="G3">IF(ISNUMBER(MATCH($A3, _xlfn._xlws.FILTER(Procesos!$A$2:$A$25, Procesos!G$2:G$25="Molido"), 0)), INDEX(Formula!$B$2:$Z$14, MATCH(VALUE($A3), VALUE(Formula!$A$2:$A$14), 0), MATCH(G$1, Formula!$B$1:$Z$1, 0)) * Mezclado!$D3/(1-Formula!$B$19), 0)</f>
        <v>0</v>
      </c>
      <c r="H3" s="8" cm="1">
        <f t="array" ref="H3">IF(ISNUMBER(MATCH($A3, _xlfn._xlws.FILTER(Procesos!$A$2:$A$25, Procesos!H$2:H$25="Molido"), 0)), INDEX(Formula!$B$2:$Z$14, MATCH(VALUE($A3), VALUE(Formula!$A$2:$A$14), 0), MATCH(H$1, Formula!$B$1:$Z$1, 0)) * Mezclado!$D3/(1-Formula!$B$19), 0)</f>
        <v>0</v>
      </c>
      <c r="I3" s="8" cm="1">
        <f t="array" ref="I3">IF(ISNUMBER(MATCH($A3, _xlfn._xlws.FILTER(Procesos!$A$2:$A$25, Procesos!I$2:I$25="Molido"), 0)), INDEX(Formula!$B$2:$Z$14, MATCH(VALUE($A3), VALUE(Formula!$A$2:$A$14), 0), MATCH(I$1, Formula!$B$1:$Z$1, 0)) * Mezclado!$D3/(1-Formula!$B$19), 0)</f>
        <v>0</v>
      </c>
      <c r="J3" s="8" cm="1">
        <f t="array" ref="J3">IF(ISNUMBER(MATCH($A3, _xlfn._xlws.FILTER(Procesos!$A$2:$A$25, Procesos!J$2:J$25="Molido"), 0)), INDEX(Formula!$B$2:$Z$14, MATCH(VALUE($A3), VALUE(Formula!$A$2:$A$14), 0), MATCH(J$1, Formula!$B$1:$Z$1, 0)) * Mezclado!$D3/(1-Formula!$B$19), 0)</f>
        <v>0</v>
      </c>
      <c r="K3" s="8" cm="1">
        <f t="array" ref="K3">IF(ISNUMBER(MATCH($A3, _xlfn._xlws.FILTER(Procesos!$A$2:$A$25, Procesos!K$2:K$25="Molido"), 0)), INDEX(Formula!$B$2:$Z$14, MATCH(VALUE($A3), VALUE(Formula!$A$2:$A$14), 0), MATCH(K$1, Formula!$B$1:$Z$1, 0)) * Mezclado!$D3/(1-Formula!$B$19), 0)</f>
        <v>0</v>
      </c>
      <c r="L3" s="8" cm="1">
        <f t="array" ref="L3">IF(ISNUMBER(MATCH($A3, _xlfn._xlws.FILTER(Procesos!$A$2:$A$25, Procesos!N$2:N$25="Molido"), 0)), INDEX(Formula!$B$2:$Z$14, MATCH(VALUE($A3), VALUE(Formula!$A$2:$A$14), 0), MATCH(L$1, Formula!$B$1:$Z$1, 0)) * Mezclado!$D3/(1-Formula!$B$19), 0)</f>
        <v>1.0357296071581785</v>
      </c>
      <c r="M3" s="8" cm="1">
        <f t="array" ref="M3">IF(ISNUMBER(MATCH($A3, _xlfn._xlws.FILTER(Procesos!$A$2:$A$25, Procesos!O$2:O$25="Molido"), 0)), INDEX(Formula!$B$2:$Z$14, MATCH(VALUE($A3), VALUE(Formula!$A$2:$A$14), 0), MATCH(M$1, Formula!$B$1:$Z$1, 0)) * Mezclado!$D3/(1-Formula!$B$19), 0)</f>
        <v>0</v>
      </c>
      <c r="N3" s="8" cm="1">
        <f t="array" ref="N3">IF(ISNUMBER(MATCH($A3, _xlfn._xlws.FILTER(Procesos!$A$2:$A$25, Procesos!R$2:R$25="Molido"), 0)), INDEX(Formula!$B$2:$Z$14, MATCH(VALUE($A3), VALUE(Formula!$A$2:$A$14), 0), MATCH(N$1, Formula!$B$1:$Z$1, 0)) * Mezclado!$D3/(1-Formula!$B$19), 0)</f>
        <v>0</v>
      </c>
      <c r="O3" s="8" cm="1">
        <f t="array" ref="O3">IF(ISNUMBER(MATCH($A3, _xlfn._xlws.FILTER(Procesos!$A$2:$A$25, Procesos!S$2:S$25="Molido"), 0)), INDEX(Formula!$B$2:$Z$14, MATCH(VALUE($A3), VALUE(Formula!$A$2:$A$14), 0), MATCH(O$1, Formula!$B$1:$Z$1, 0)) * Mezclado!$D3/(1-Formula!$B$19), 0)</f>
        <v>0</v>
      </c>
      <c r="P3" s="8" cm="1">
        <f t="array" ref="P3">IF(ISNUMBER(MATCH($A3, _xlfn._xlws.FILTER(Procesos!$A$2:$A$25, Procesos!V$2:V$25="Molido"), 0)), INDEX(Formula!$B$2:$Z$14, MATCH(VALUE($A3), VALUE(Formula!$A$2:$A$14), 0), MATCH(P$1, Formula!$B$1:$Z$1, 0)) * Mezclado!$D3/(1-Formula!$B$19), 0)</f>
        <v>0</v>
      </c>
      <c r="Q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5">
      <c r="A4" s="13">
        <v>3</v>
      </c>
      <c r="B4" s="8">
        <v>20</v>
      </c>
      <c r="C4" s="5">
        <v>45909</v>
      </c>
      <c r="D4" s="8" cm="1">
        <f t="array" ref="D4">IF(ISNUMBER(MATCH($A4, _xlfn._xlws.FILTER(Procesos!$A$2:$A$25, Procesos!C$2:C$25="Molido"), 0)), INDEX(Formula!$B$2:$Z$14, MATCH(VALUE($A4), VALUE(Formula!$A$2:$A$14), 0), MATCH(D$1, Formula!$B$1:$Z$1, 0)) * Mezclado!$D4/(1-Formula!$B$19), 0)</f>
        <v>0</v>
      </c>
      <c r="E4" s="8" cm="1">
        <f t="array" ref="E4">IF(ISNUMBER(MATCH($A4, _xlfn._xlws.FILTER(Procesos!$A$2:$A$25, Procesos!D$2:D$25="Molido"), 0)), INDEX(Formula!$B$2:$Z$14, MATCH(VALUE($A4), VALUE(Formula!$A$2:$A$14), 0), MATCH(E$1, Formula!$B$1:$Z$1, 0)) * Mezclado!$D4/(1-Formula!$B$19), 0)</f>
        <v>0</v>
      </c>
      <c r="F4" s="8" cm="1">
        <f t="array" ref="F4">IF(ISNUMBER(MATCH($A4, _xlfn._xlws.FILTER(Procesos!$A$2:$A$25, Procesos!F$2:F$25="Molido"), 0)), INDEX(Formula!$B$2:$Z$14, MATCH(VALUE($A4), VALUE(Formula!$A$2:$A$14), 0), MATCH(F$1, Formula!$B$1:$Z$1, 0)) * Mezclado!$D4/(1-Formula!$B$19), 0)</f>
        <v>0</v>
      </c>
      <c r="G4" s="8" cm="1">
        <f t="array" ref="G4">IF(ISNUMBER(MATCH($A4, _xlfn._xlws.FILTER(Procesos!$A$2:$A$25, Procesos!G$2:G$25="Molido"), 0)), INDEX(Formula!$B$2:$Z$14, MATCH(VALUE($A4), VALUE(Formula!$A$2:$A$14), 0), MATCH(G$1, Formula!$B$1:$Z$1, 0)) * Mezclado!$D4/(1-Formula!$B$19), 0)</f>
        <v>0</v>
      </c>
      <c r="H4" s="8" cm="1">
        <f t="array" ref="H4">IF(ISNUMBER(MATCH($A4, _xlfn._xlws.FILTER(Procesos!$A$2:$A$25, Procesos!H$2:H$25="Molido"), 0)), INDEX(Formula!$B$2:$Z$14, MATCH(VALUE($A4), VALUE(Formula!$A$2:$A$14), 0), MATCH(H$1, Formula!$B$1:$Z$1, 0)) * Mezclado!$D4/(1-Formula!$B$19), 0)</f>
        <v>0</v>
      </c>
      <c r="I4" s="8" cm="1">
        <f t="array" ref="I4">IF(ISNUMBER(MATCH($A4, _xlfn._xlws.FILTER(Procesos!$A$2:$A$25, Procesos!I$2:I$25="Molido"), 0)), INDEX(Formula!$B$2:$Z$14, MATCH(VALUE($A4), VALUE(Formula!$A$2:$A$14), 0), MATCH(I$1, Formula!$B$1:$Z$1, 0)) * Mezclado!$D4/(1-Formula!$B$19), 0)</f>
        <v>0</v>
      </c>
      <c r="J4" s="8" cm="1">
        <f t="array" ref="J4">IF(ISNUMBER(MATCH($A4, _xlfn._xlws.FILTER(Procesos!$A$2:$A$25, Procesos!J$2:J$25="Molido"), 0)), INDEX(Formula!$B$2:$Z$14, MATCH(VALUE($A4), VALUE(Formula!$A$2:$A$14), 0), MATCH(J$1, Formula!$B$1:$Z$1, 0)) * Mezclado!$D4/(1-Formula!$B$19), 0)</f>
        <v>0</v>
      </c>
      <c r="K4" s="8" cm="1">
        <f t="array" ref="K4">IF(ISNUMBER(MATCH($A4, _xlfn._xlws.FILTER(Procesos!$A$2:$A$25, Procesos!K$2:K$25="Molido"), 0)), INDEX(Formula!$B$2:$Z$14, MATCH(VALUE($A4), VALUE(Formula!$A$2:$A$14), 0), MATCH(K$1, Formula!$B$1:$Z$1, 0)) * Mezclado!$D4/(1-Formula!$B$19), 0)</f>
        <v>0</v>
      </c>
      <c r="L4" s="8" cm="1">
        <f t="array" ref="L4">IF(ISNUMBER(MATCH($A4, _xlfn._xlws.FILTER(Procesos!$A$2:$A$25, Procesos!N$2:N$25="Molido"), 0)), INDEX(Formula!$B$2:$Z$14, MATCH(VALUE($A4), VALUE(Formula!$A$2:$A$14), 0), MATCH(L$1, Formula!$B$1:$Z$1, 0)) * Mezclado!$D4/(1-Formula!$B$19), 0)</f>
        <v>0</v>
      </c>
      <c r="M4" s="8" cm="1">
        <f t="array" ref="M4">IF(ISNUMBER(MATCH($A4, _xlfn._xlws.FILTER(Procesos!$A$2:$A$25, Procesos!O$2:O$25="Molido"), 0)), INDEX(Formula!$B$2:$Z$14, MATCH(VALUE($A4), VALUE(Formula!$A$2:$A$14), 0), MATCH(M$1, Formula!$B$1:$Z$1, 0)) * Mezclado!$D4/(1-Formula!$B$19), 0)</f>
        <v>0.4835169670334506</v>
      </c>
      <c r="N4" s="8" cm="1">
        <f t="array" ref="N4">IF(ISNUMBER(MATCH($A4, _xlfn._xlws.FILTER(Procesos!$A$2:$A$25, Procesos!R$2:R$25="Molido"), 0)), INDEX(Formula!$B$2:$Z$14, MATCH(VALUE($A4), VALUE(Formula!$A$2:$A$14), 0), MATCH(N$1, Formula!$B$1:$Z$1, 0)) * Mezclado!$D4/(1-Formula!$B$19), 0)</f>
        <v>0</v>
      </c>
      <c r="O4" s="8" cm="1">
        <f t="array" ref="O4">IF(ISNUMBER(MATCH($A4, _xlfn._xlws.FILTER(Procesos!$A$2:$A$25, Procesos!S$2:S$25="Molido"), 0)), INDEX(Formula!$B$2:$Z$14, MATCH(VALUE($A4), VALUE(Formula!$A$2:$A$14), 0), MATCH(O$1, Formula!$B$1:$Z$1, 0)) * Mezclado!$D4/(1-Formula!$B$19), 0)</f>
        <v>0</v>
      </c>
      <c r="P4" s="8" cm="1">
        <f t="array" ref="P4">IF(ISNUMBER(MATCH($A4, _xlfn._xlws.FILTER(Procesos!$A$2:$A$25, Procesos!V$2:V$25="Molido"), 0)), INDEX(Formula!$B$2:$Z$14, MATCH(VALUE($A4), VALUE(Formula!$A$2:$A$14), 0), MATCH(P$1, Formula!$B$1:$Z$1, 0)) * Mezclado!$D4/(1-Formula!$B$19), 0)</f>
        <v>0</v>
      </c>
      <c r="Q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25">
      <c r="A5" s="13">
        <v>4</v>
      </c>
      <c r="B5" s="8">
        <v>20</v>
      </c>
      <c r="C5" s="5">
        <v>45925</v>
      </c>
      <c r="D5" s="8" cm="1">
        <f t="array" ref="D5">IF(ISNUMBER(MATCH($A5, _xlfn._xlws.FILTER(Procesos!$A$2:$A$25, Procesos!C$2:C$25="Molido"), 0)), INDEX(Formula!$B$2:$Z$14, MATCH(VALUE($A5), VALUE(Formula!$A$2:$A$14), 0), MATCH(D$1, Formula!$B$1:$Z$1, 0)) * Mezclado!$D5/(1-Formula!$B$19), 0)</f>
        <v>0</v>
      </c>
      <c r="E5" s="8" cm="1">
        <f t="array" ref="E5">IF(ISNUMBER(MATCH($A5, _xlfn._xlws.FILTER(Procesos!$A$2:$A$25, Procesos!D$2:D$25="Molido"), 0)), INDEX(Formula!$B$2:$Z$14, MATCH(VALUE($A5), VALUE(Formula!$A$2:$A$14), 0), MATCH(E$1, Formula!$B$1:$Z$1, 0)) * Mezclado!$D5/(1-Formula!$B$19), 0)</f>
        <v>0</v>
      </c>
      <c r="F5" s="8" cm="1">
        <f t="array" ref="F5">IF(ISNUMBER(MATCH($A5, _xlfn._xlws.FILTER(Procesos!$A$2:$A$25, Procesos!F$2:F$25="Molido"), 0)), INDEX(Formula!$B$2:$Z$14, MATCH(VALUE($A5), VALUE(Formula!$A$2:$A$14), 0), MATCH(F$1, Formula!$B$1:$Z$1, 0)) * Mezclado!$D5/(1-Formula!$B$19), 0)</f>
        <v>0</v>
      </c>
      <c r="G5" s="8" cm="1">
        <f t="array" ref="G5">IF(ISNUMBER(MATCH($A5, _xlfn._xlws.FILTER(Procesos!$A$2:$A$25, Procesos!G$2:G$25="Molido"), 0)), INDEX(Formula!$B$2:$Z$14, MATCH(VALUE($A5), VALUE(Formula!$A$2:$A$14), 0), MATCH(G$1, Formula!$B$1:$Z$1, 0)) * Mezclado!$D5/(1-Formula!$B$19), 0)</f>
        <v>5.2317623746195174</v>
      </c>
      <c r="H5" s="8" cm="1">
        <f t="array" ref="H5">IF(ISNUMBER(MATCH($A5, _xlfn._xlws.FILTER(Procesos!$A$2:$A$25, Procesos!H$2:H$25="Molido"), 0)), INDEX(Formula!$B$2:$Z$14, MATCH(VALUE($A5), VALUE(Formula!$A$2:$A$14), 0), MATCH(H$1, Formula!$B$1:$Z$1, 0)) * Mezclado!$D5/(1-Formula!$B$19), 0)</f>
        <v>0</v>
      </c>
      <c r="I5" s="8" cm="1">
        <f t="array" ref="I5">IF(ISNUMBER(MATCH($A5, _xlfn._xlws.FILTER(Procesos!$A$2:$A$25, Procesos!I$2:I$25="Molido"), 0)), INDEX(Formula!$B$2:$Z$14, MATCH(VALUE($A5), VALUE(Formula!$A$2:$A$14), 0), MATCH(I$1, Formula!$B$1:$Z$1, 0)) * Mezclado!$D5/(1-Formula!$B$19), 0)</f>
        <v>0</v>
      </c>
      <c r="J5" s="8" cm="1">
        <f t="array" ref="J5">IF(ISNUMBER(MATCH($A5, _xlfn._xlws.FILTER(Procesos!$A$2:$A$25, Procesos!J$2:J$25="Molido"), 0)), INDEX(Formula!$B$2:$Z$14, MATCH(VALUE($A5), VALUE(Formula!$A$2:$A$14), 0), MATCH(J$1, Formula!$B$1:$Z$1, 0)) * Mezclado!$D5/(1-Formula!$B$19), 0)</f>
        <v>0</v>
      </c>
      <c r="K5" s="8" cm="1">
        <f t="array" ref="K5">IF(ISNUMBER(MATCH($A5, _xlfn._xlws.FILTER(Procesos!$A$2:$A$25, Procesos!K$2:K$25="Molido"), 0)), INDEX(Formula!$B$2:$Z$14, MATCH(VALUE($A5), VALUE(Formula!$A$2:$A$14), 0), MATCH(K$1, Formula!$B$1:$Z$1, 0)) * Mezclado!$D5/(1-Formula!$B$19), 0)</f>
        <v>0</v>
      </c>
      <c r="L5" s="8" cm="1">
        <f t="array" ref="L5">IF(ISNUMBER(MATCH($A5, _xlfn._xlws.FILTER(Procesos!$A$2:$A$25, Procesos!N$2:N$25="Molido"), 0)), INDEX(Formula!$B$2:$Z$14, MATCH(VALUE($A5), VALUE(Formula!$A$2:$A$14), 0), MATCH(L$1, Formula!$B$1:$Z$1, 0)) * Mezclado!$D5/(1-Formula!$B$19), 0)</f>
        <v>0</v>
      </c>
      <c r="M5" s="8" cm="1">
        <f t="array" ref="M5">IF(ISNUMBER(MATCH($A5, _xlfn._xlws.FILTER(Procesos!$A$2:$A$25, Procesos!O$2:O$25="Molido"), 0)), INDEX(Formula!$B$2:$Z$14, MATCH(VALUE($A5), VALUE(Formula!$A$2:$A$14), 0), MATCH(M$1, Formula!$B$1:$Z$1, 0)) * Mezclado!$D5/(1-Formula!$B$19), 0)</f>
        <v>0</v>
      </c>
      <c r="N5" s="8" cm="1">
        <f t="array" ref="N5">IF(ISNUMBER(MATCH($A5, _xlfn._xlws.FILTER(Procesos!$A$2:$A$25, Procesos!R$2:R$25="Molido"), 0)), INDEX(Formula!$B$2:$Z$14, MATCH(VALUE($A5), VALUE(Formula!$A$2:$A$14), 0), MATCH(N$1, Formula!$B$1:$Z$1, 0)) * Mezclado!$D5/(1-Formula!$B$19), 0)</f>
        <v>2.6169026169026166</v>
      </c>
      <c r="O5" s="8" cm="1">
        <f t="array" ref="O5">IF(ISNUMBER(MATCH($A5, _xlfn._xlws.FILTER(Procesos!$A$2:$A$25, Procesos!S$2:S$25="Molido"), 0)), INDEX(Formula!$B$2:$Z$14, MATCH(VALUE($A5), VALUE(Formula!$A$2:$A$14), 0), MATCH(O$1, Formula!$B$1:$Z$1, 0)) * Mezclado!$D5/(1-Formula!$B$19), 0)</f>
        <v>4.3615043615043616</v>
      </c>
      <c r="P5" s="8" cm="1">
        <f t="array" ref="P5">IF(ISNUMBER(MATCH($A5, _xlfn._xlws.FILTER(Procesos!$A$2:$A$25, Procesos!V$2:V$25="Molido"), 0)), INDEX(Formula!$B$2:$Z$14, MATCH(VALUE($A5), VALUE(Formula!$A$2:$A$14), 0), MATCH(P$1, Formula!$B$1:$Z$1, 0)) * Mezclado!$D5/(1-Formula!$B$19), 0)</f>
        <v>0</v>
      </c>
      <c r="Q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s="13">
        <v>5</v>
      </c>
      <c r="B6" s="8">
        <v>20</v>
      </c>
      <c r="C6" s="5">
        <v>45926</v>
      </c>
      <c r="D6" s="8" cm="1">
        <f t="array" ref="D6">IF(ISNUMBER(MATCH($A6, _xlfn._xlws.FILTER(Procesos!$A$2:$A$25, Procesos!C$2:C$25="Molido"), 0)), INDEX(Formula!$B$2:$Z$14, MATCH(VALUE($A6), VALUE(Formula!$A$2:$A$14), 0), MATCH(D$1, Formula!$B$1:$Z$1, 0)) * Mezclado!$D6/(1-Formula!$B$19), 0)</f>
        <v>0</v>
      </c>
      <c r="E6" s="8" cm="1">
        <f t="array" ref="E6">IF(ISNUMBER(MATCH($A6, _xlfn._xlws.FILTER(Procesos!$A$2:$A$25, Procesos!D$2:D$25="Molido"), 0)), INDEX(Formula!$B$2:$Z$14, MATCH(VALUE($A6), VALUE(Formula!$A$2:$A$14), 0), MATCH(E$1, Formula!$B$1:$Z$1, 0)) * Mezclado!$D6/(1-Formula!$B$19), 0)</f>
        <v>4.8354476925905496</v>
      </c>
      <c r="F6" s="8" cm="1">
        <f t="array" ref="F6">IF(ISNUMBER(MATCH($A6, _xlfn._xlws.FILTER(Procesos!$A$2:$A$25, Procesos!F$2:F$25="Molido"), 0)), INDEX(Formula!$B$2:$Z$14, MATCH(VALUE($A6), VALUE(Formula!$A$2:$A$14), 0), MATCH(F$1, Formula!$B$1:$Z$1, 0)) * Mezclado!$D6/(1-Formula!$B$19), 0)</f>
        <v>0</v>
      </c>
      <c r="G6" s="8" cm="1">
        <f t="array" ref="G6">IF(ISNUMBER(MATCH($A6, _xlfn._xlws.FILTER(Procesos!$A$2:$A$25, Procesos!G$2:G$25="Molido"), 0)), INDEX(Formula!$B$2:$Z$14, MATCH(VALUE($A6), VALUE(Formula!$A$2:$A$14), 0), MATCH(G$1, Formula!$B$1:$Z$1, 0)) * Mezclado!$D6/(1-Formula!$B$19), 0)</f>
        <v>0</v>
      </c>
      <c r="H6" s="8" cm="1">
        <f t="array" ref="H6">IF(ISNUMBER(MATCH($A6, _xlfn._xlws.FILTER(Procesos!$A$2:$A$25, Procesos!H$2:H$25="Molido"), 0)), INDEX(Formula!$B$2:$Z$14, MATCH(VALUE($A6), VALUE(Formula!$A$2:$A$14), 0), MATCH(H$1, Formula!$B$1:$Z$1, 0)) * Mezclado!$D6/(1-Formula!$B$19), 0)</f>
        <v>0</v>
      </c>
      <c r="I6" s="8" cm="1">
        <f t="array" ref="I6">IF(ISNUMBER(MATCH($A6, _xlfn._xlws.FILTER(Procesos!$A$2:$A$25, Procesos!I$2:I$25="Molido"), 0)), INDEX(Formula!$B$2:$Z$14, MATCH(VALUE($A6), VALUE(Formula!$A$2:$A$14), 0), MATCH(I$1, Formula!$B$1:$Z$1, 0)) * Mezclado!$D6/(1-Formula!$B$19), 0)</f>
        <v>0</v>
      </c>
      <c r="J6" s="8" cm="1">
        <f t="array" ref="J6">IF(ISNUMBER(MATCH($A6, _xlfn._xlws.FILTER(Procesos!$A$2:$A$25, Procesos!J$2:J$25="Molido"), 0)), INDEX(Formula!$B$2:$Z$14, MATCH(VALUE($A6), VALUE(Formula!$A$2:$A$14), 0), MATCH(J$1, Formula!$B$1:$Z$1, 0)) * Mezclado!$D6/(1-Formula!$B$19), 0)</f>
        <v>0</v>
      </c>
      <c r="K6" s="8" cm="1">
        <f t="array" ref="K6">IF(ISNUMBER(MATCH($A6, _xlfn._xlws.FILTER(Procesos!$A$2:$A$25, Procesos!K$2:K$25="Molido"), 0)), INDEX(Formula!$B$2:$Z$14, MATCH(VALUE($A6), VALUE(Formula!$A$2:$A$14), 0), MATCH(K$1, Formula!$B$1:$Z$1, 0)) * Mezclado!$D6/(1-Formula!$B$19), 0)</f>
        <v>0</v>
      </c>
      <c r="L6" s="8" cm="1">
        <f t="array" ref="L6">IF(ISNUMBER(MATCH($A6, _xlfn._xlws.FILTER(Procesos!$A$2:$A$25, Procesos!N$2:N$25="Molido"), 0)), INDEX(Formula!$B$2:$Z$14, MATCH(VALUE($A6), VALUE(Formula!$A$2:$A$14), 0), MATCH(L$1, Formula!$B$1:$Z$1, 0)) * Mezclado!$D6/(1-Formula!$B$19), 0)</f>
        <v>0</v>
      </c>
      <c r="M6" s="8" cm="1">
        <f t="array" ref="M6">IF(ISNUMBER(MATCH($A6, _xlfn._xlws.FILTER(Procesos!$A$2:$A$25, Procesos!O$2:O$25="Molido"), 0)), INDEX(Formula!$B$2:$Z$14, MATCH(VALUE($A6), VALUE(Formula!$A$2:$A$14), 0), MATCH(M$1, Formula!$B$1:$Z$1, 0)) * Mezclado!$D6/(1-Formula!$B$19), 0)</f>
        <v>0</v>
      </c>
      <c r="N6" s="8" cm="1">
        <f t="array" ref="N6">IF(ISNUMBER(MATCH($A6, _xlfn._xlws.FILTER(Procesos!$A$2:$A$25, Procesos!R$2:R$25="Molido"), 0)), INDEX(Formula!$B$2:$Z$14, MATCH(VALUE($A6), VALUE(Formula!$A$2:$A$14), 0), MATCH(N$1, Formula!$B$1:$Z$1, 0)) * Mezclado!$D6/(1-Formula!$B$19), 0)</f>
        <v>0</v>
      </c>
      <c r="O6" s="8" cm="1">
        <f t="array" ref="O6">IF(ISNUMBER(MATCH($A6, _xlfn._xlws.FILTER(Procesos!$A$2:$A$25, Procesos!S$2:S$25="Molido"), 0)), INDEX(Formula!$B$2:$Z$14, MATCH(VALUE($A6), VALUE(Formula!$A$2:$A$14), 0), MATCH(O$1, Formula!$B$1:$Z$1, 0)) * Mezclado!$D6/(1-Formula!$B$19), 0)</f>
        <v>0</v>
      </c>
      <c r="P6" s="8" cm="1">
        <f t="array" ref="P6">IF(ISNUMBER(MATCH($A6, _xlfn._xlws.FILTER(Procesos!$A$2:$A$25, Procesos!V$2:V$25="Molido"), 0)), INDEX(Formula!$B$2:$Z$14, MATCH(VALUE($A6), VALUE(Formula!$A$2:$A$14), 0), MATCH(P$1, Formula!$B$1:$Z$1, 0)) * Mezclado!$D6/(1-Formula!$B$19), 0)</f>
        <v>0</v>
      </c>
      <c r="Q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5">
      <c r="A7" s="13">
        <v>6</v>
      </c>
      <c r="B7" s="8">
        <v>20</v>
      </c>
      <c r="C7" s="5">
        <v>45926</v>
      </c>
      <c r="D7" s="8" cm="1">
        <f t="array" ref="D7">IF(ISNUMBER(MATCH($A7, _xlfn._xlws.FILTER(Procesos!$A$2:$A$25, Procesos!C$2:C$25="Molido"), 0)), INDEX(Formula!$B$2:$Z$14, MATCH(VALUE($A7), VALUE(Formula!$A$2:$A$14), 0), MATCH(D$1, Formula!$B$1:$Z$1, 0)) * Mezclado!$D7/(1-Formula!$B$19), 0)</f>
        <v>0</v>
      </c>
      <c r="E7" s="8" cm="1">
        <f t="array" ref="E7">IF(ISNUMBER(MATCH($A7, _xlfn._xlws.FILTER(Procesos!$A$2:$A$25, Procesos!D$2:D$25="Molido"), 0)), INDEX(Formula!$B$2:$Z$14, MATCH(VALUE($A7), VALUE(Formula!$A$2:$A$14), 0), MATCH(E$1, Formula!$B$1:$Z$1, 0)) * Mezclado!$D7/(1-Formula!$B$19), 0)</f>
        <v>2.5944311658597372</v>
      </c>
      <c r="F7" s="8" cm="1">
        <f t="array" ref="F7">IF(ISNUMBER(MATCH($A7, _xlfn._xlws.FILTER(Procesos!$A$2:$A$25, Procesos!F$2:F$25="Molido"), 0)), INDEX(Formula!$B$2:$Z$14, MATCH(VALUE($A7), VALUE(Formula!$A$2:$A$14), 0), MATCH(F$1, Formula!$B$1:$Z$1, 0)) * Mezclado!$D7/(1-Formula!$B$19), 0)</f>
        <v>0</v>
      </c>
      <c r="G7" s="8" cm="1">
        <f t="array" ref="G7">IF(ISNUMBER(MATCH($A7, _xlfn._xlws.FILTER(Procesos!$A$2:$A$25, Procesos!G$2:G$25="Molido"), 0)), INDEX(Formula!$B$2:$Z$14, MATCH(VALUE($A7), VALUE(Formula!$A$2:$A$14), 0), MATCH(G$1, Formula!$B$1:$Z$1, 0)) * Mezclado!$D7/(1-Formula!$B$19), 0)</f>
        <v>0</v>
      </c>
      <c r="H7" s="8" cm="1">
        <f t="array" ref="H7">IF(ISNUMBER(MATCH($A7, _xlfn._xlws.FILTER(Procesos!$A$2:$A$25, Procesos!H$2:H$25="Molido"), 0)), INDEX(Formula!$B$2:$Z$14, MATCH(VALUE($A7), VALUE(Formula!$A$2:$A$14), 0), MATCH(H$1, Formula!$B$1:$Z$1, 0)) * Mezclado!$D7/(1-Formula!$B$19), 0)</f>
        <v>0</v>
      </c>
      <c r="I7" s="8" cm="1">
        <f t="array" ref="I7">IF(ISNUMBER(MATCH($A7, _xlfn._xlws.FILTER(Procesos!$A$2:$A$25, Procesos!I$2:I$25="Molido"), 0)), INDEX(Formula!$B$2:$Z$14, MATCH(VALUE($A7), VALUE(Formula!$A$2:$A$14), 0), MATCH(I$1, Formula!$B$1:$Z$1, 0)) * Mezclado!$D7/(1-Formula!$B$19), 0)</f>
        <v>0</v>
      </c>
      <c r="J7" s="8" cm="1">
        <f t="array" ref="J7">IF(ISNUMBER(MATCH($A7, _xlfn._xlws.FILTER(Procesos!$A$2:$A$25, Procesos!J$2:J$25="Molido"), 0)), INDEX(Formula!$B$2:$Z$14, MATCH(VALUE($A7), VALUE(Formula!$A$2:$A$14), 0), MATCH(J$1, Formula!$B$1:$Z$1, 0)) * Mezclado!$D7/(1-Formula!$B$19), 0)</f>
        <v>0</v>
      </c>
      <c r="K7" s="8" cm="1">
        <f t="array" ref="K7">IF(ISNUMBER(MATCH($A7, _xlfn._xlws.FILTER(Procesos!$A$2:$A$25, Procesos!K$2:K$25="Molido"), 0)), INDEX(Formula!$B$2:$Z$14, MATCH(VALUE($A7), VALUE(Formula!$A$2:$A$14), 0), MATCH(K$1, Formula!$B$1:$Z$1, 0)) * Mezclado!$D7/(1-Formula!$B$19), 0)</f>
        <v>0</v>
      </c>
      <c r="L7" s="8" cm="1">
        <f t="array" ref="L7">IF(ISNUMBER(MATCH($A7, _xlfn._xlws.FILTER(Procesos!$A$2:$A$25, Procesos!N$2:N$25="Molido"), 0)), INDEX(Formula!$B$2:$Z$14, MATCH(VALUE($A7), VALUE(Formula!$A$2:$A$14), 0), MATCH(L$1, Formula!$B$1:$Z$1, 0)) * Mezclado!$D7/(1-Formula!$B$19), 0)</f>
        <v>0</v>
      </c>
      <c r="M7" s="8" cm="1">
        <f t="array" ref="M7">IF(ISNUMBER(MATCH($A7, _xlfn._xlws.FILTER(Procesos!$A$2:$A$25, Procesos!O$2:O$25="Molido"), 0)), INDEX(Formula!$B$2:$Z$14, MATCH(VALUE($A7), VALUE(Formula!$A$2:$A$14), 0), MATCH(M$1, Formula!$B$1:$Z$1, 0)) * Mezclado!$D7/(1-Formula!$B$19), 0)</f>
        <v>0</v>
      </c>
      <c r="N7" s="8" cm="1">
        <f t="array" ref="N7">IF(ISNUMBER(MATCH($A7, _xlfn._xlws.FILTER(Procesos!$A$2:$A$25, Procesos!R$2:R$25="Molido"), 0)), INDEX(Formula!$B$2:$Z$14, MATCH(VALUE($A7), VALUE(Formula!$A$2:$A$14), 0), MATCH(N$1, Formula!$B$1:$Z$1, 0)) * Mezclado!$D7/(1-Formula!$B$19), 0)</f>
        <v>0</v>
      </c>
      <c r="O7" s="8" cm="1">
        <f t="array" ref="O7">IF(ISNUMBER(MATCH($A7, _xlfn._xlws.FILTER(Procesos!$A$2:$A$25, Procesos!S$2:S$25="Molido"), 0)), INDEX(Formula!$B$2:$Z$14, MATCH(VALUE($A7), VALUE(Formula!$A$2:$A$14), 0), MATCH(O$1, Formula!$B$1:$Z$1, 0)) * Mezclado!$D7/(1-Formula!$B$19), 0)</f>
        <v>0</v>
      </c>
      <c r="P7" s="8" cm="1">
        <f t="array" ref="P7">IF(ISNUMBER(MATCH($A7, _xlfn._xlws.FILTER(Procesos!$A$2:$A$25, Procesos!V$2:V$25="Molido"), 0)), INDEX(Formula!$B$2:$Z$14, MATCH(VALUE($A7), VALUE(Formula!$A$2:$A$14), 0), MATCH(P$1, Formula!$B$1:$Z$1, 0)) * Mezclado!$D7/(1-Formula!$B$19), 0)</f>
        <v>0</v>
      </c>
      <c r="Q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5">
      <c r="A8" s="13">
        <v>7</v>
      </c>
      <c r="B8" s="8">
        <v>20</v>
      </c>
      <c r="C8" s="5">
        <v>45938</v>
      </c>
      <c r="D8" s="8" cm="1">
        <f t="array" ref="D8">IF(ISNUMBER(MATCH($A8, _xlfn._xlws.FILTER(Procesos!$A$2:$A$25, Procesos!C$2:C$25="Molido"), 0)), INDEX(Formula!$B$2:$Z$14, MATCH(VALUE($A8), VALUE(Formula!$A$2:$A$14), 0), MATCH(D$1, Formula!$B$1:$Z$1, 0)) * Mezclado!$D8/(1-Formula!$B$19), 0)</f>
        <v>0</v>
      </c>
      <c r="E8" s="8" cm="1">
        <f t="array" ref="E8">IF(ISNUMBER(MATCH($A8, _xlfn._xlws.FILTER(Procesos!$A$2:$A$25, Procesos!D$2:D$25="Molido"), 0)), INDEX(Formula!$B$2:$Z$14, MATCH(VALUE($A8), VALUE(Formula!$A$2:$A$14), 0), MATCH(E$1, Formula!$B$1:$Z$1, 0)) * Mezclado!$D8/(1-Formula!$B$19), 0)</f>
        <v>0</v>
      </c>
      <c r="F8" s="8" cm="1">
        <f t="array" ref="F8">IF(ISNUMBER(MATCH($A8, _xlfn._xlws.FILTER(Procesos!$A$2:$A$25, Procesos!F$2:F$25="Molido"), 0)), INDEX(Formula!$B$2:$Z$14, MATCH(VALUE($A8), VALUE(Formula!$A$2:$A$14), 0), MATCH(F$1, Formula!$B$1:$Z$1, 0)) * Mezclado!$D8/(1-Formula!$B$19), 0)</f>
        <v>0</v>
      </c>
      <c r="G8" s="8" cm="1">
        <f t="array" ref="G8">IF(ISNUMBER(MATCH($A8, _xlfn._xlws.FILTER(Procesos!$A$2:$A$25, Procesos!G$2:G$25="Molido"), 0)), INDEX(Formula!$B$2:$Z$14, MATCH(VALUE($A8), VALUE(Formula!$A$2:$A$14), 0), MATCH(G$1, Formula!$B$1:$Z$1, 0)) * Mezclado!$D8/(1-Formula!$B$19), 0)</f>
        <v>2.2205879348736492</v>
      </c>
      <c r="H8" s="8" cm="1">
        <f t="array" ref="H8">IF(ISNUMBER(MATCH($A8, _xlfn._xlws.FILTER(Procesos!$A$2:$A$25, Procesos!H$2:H$25="Molido"), 0)), INDEX(Formula!$B$2:$Z$14, MATCH(VALUE($A8), VALUE(Formula!$A$2:$A$14), 0), MATCH(H$1, Formula!$B$1:$Z$1, 0)) * Mezclado!$D8/(1-Formula!$B$19), 0)</f>
        <v>2.6638883781740921</v>
      </c>
      <c r="I8" s="8" cm="1">
        <f t="array" ref="I8">IF(ISNUMBER(MATCH($A8, _xlfn._xlws.FILTER(Procesos!$A$2:$A$25, Procesos!I$2:I$25="Molido"), 0)), INDEX(Formula!$B$2:$Z$14, MATCH(VALUE($A8), VALUE(Formula!$A$2:$A$14), 0), MATCH(I$1, Formula!$B$1:$Z$1, 0)) * Mezclado!$D8/(1-Formula!$B$19), 0)</f>
        <v>0</v>
      </c>
      <c r="J8" s="8" cm="1">
        <f t="array" ref="J8">IF(ISNUMBER(MATCH($A8, _xlfn._xlws.FILTER(Procesos!$A$2:$A$25, Procesos!J$2:J$25="Molido"), 0)), INDEX(Formula!$B$2:$Z$14, MATCH(VALUE($A8), VALUE(Formula!$A$2:$A$14), 0), MATCH(J$1, Formula!$B$1:$Z$1, 0)) * Mezclado!$D8/(1-Formula!$B$19), 0)</f>
        <v>0</v>
      </c>
      <c r="K8" s="8" cm="1">
        <f t="array" ref="K8">IF(ISNUMBER(MATCH($A8, _xlfn._xlws.FILTER(Procesos!$A$2:$A$25, Procesos!K$2:K$25="Molido"), 0)), INDEX(Formula!$B$2:$Z$14, MATCH(VALUE($A8), VALUE(Formula!$A$2:$A$14), 0), MATCH(K$1, Formula!$B$1:$Z$1, 0)) * Mezclado!$D8/(1-Formula!$B$19), 0)</f>
        <v>0</v>
      </c>
      <c r="L8" s="8" cm="1">
        <f t="array" ref="L8">IF(ISNUMBER(MATCH($A8, _xlfn._xlws.FILTER(Procesos!$A$2:$A$25, Procesos!N$2:N$25="Molido"), 0)), INDEX(Formula!$B$2:$Z$14, MATCH(VALUE($A8), VALUE(Formula!$A$2:$A$14), 0), MATCH(L$1, Formula!$B$1:$Z$1, 0)) * Mezclado!$D8/(1-Formula!$B$19), 0)</f>
        <v>0</v>
      </c>
      <c r="M8" s="8" cm="1">
        <f t="array" ref="M8">IF(ISNUMBER(MATCH($A8, _xlfn._xlws.FILTER(Procesos!$A$2:$A$25, Procesos!O$2:O$25="Molido"), 0)), INDEX(Formula!$B$2:$Z$14, MATCH(VALUE($A8), VALUE(Formula!$A$2:$A$14), 0), MATCH(M$1, Formula!$B$1:$Z$1, 0)) * Mezclado!$D8/(1-Formula!$B$19), 0)</f>
        <v>0</v>
      </c>
      <c r="N8" s="8" cm="1">
        <f t="array" ref="N8">IF(ISNUMBER(MATCH($A8, _xlfn._xlws.FILTER(Procesos!$A$2:$A$25, Procesos!R$2:R$25="Molido"), 0)), INDEX(Formula!$B$2:$Z$14, MATCH(VALUE($A8), VALUE(Formula!$A$2:$A$14), 0), MATCH(N$1, Formula!$B$1:$Z$1, 0)) * Mezclado!$D8/(1-Formula!$B$19), 0)</f>
        <v>0</v>
      </c>
      <c r="O8" s="8" cm="1">
        <f t="array" ref="O8">IF(ISNUMBER(MATCH($A8, _xlfn._xlws.FILTER(Procesos!$A$2:$A$25, Procesos!S$2:S$25="Molido"), 0)), INDEX(Formula!$B$2:$Z$14, MATCH(VALUE($A8), VALUE(Formula!$A$2:$A$14), 0), MATCH(O$1, Formula!$B$1:$Z$1, 0)) * Mezclado!$D8/(1-Formula!$B$19), 0)</f>
        <v>0</v>
      </c>
      <c r="P8" s="8" cm="1">
        <f t="array" ref="P8">IF(ISNUMBER(MATCH($A8, _xlfn._xlws.FILTER(Procesos!$A$2:$A$25, Procesos!V$2:V$25="Molido"), 0)), INDEX(Formula!$B$2:$Z$14, MATCH(VALUE($A8), VALUE(Formula!$A$2:$A$14), 0), MATCH(P$1, Formula!$B$1:$Z$1, 0)) * Mezclado!$D8/(1-Formula!$B$19), 0)</f>
        <v>0</v>
      </c>
      <c r="Q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5">
      <c r="A9" s="13">
        <v>8</v>
      </c>
      <c r="B9" s="8">
        <v>20</v>
      </c>
      <c r="C9" s="5">
        <v>45938</v>
      </c>
      <c r="D9" s="8" cm="1">
        <f t="array" ref="D9">IF(ISNUMBER(MATCH($A9, _xlfn._xlws.FILTER(Procesos!$A$2:$A$25, Procesos!C$2:C$25="Molido"), 0)), INDEX(Formula!$B$2:$Z$14, MATCH(VALUE($A9), VALUE(Formula!$A$2:$A$14), 0), MATCH(D$1, Formula!$B$1:$Z$1, 0)) * Mezclado!$D9/(1-Formula!$B$19), 0)</f>
        <v>0</v>
      </c>
      <c r="E9" s="8" cm="1">
        <f t="array" ref="E9">IF(ISNUMBER(MATCH($A9, _xlfn._xlws.FILTER(Procesos!$A$2:$A$25, Procesos!D$2:D$25="Molido"), 0)), INDEX(Formula!$B$2:$Z$14, MATCH(VALUE($A9), VALUE(Formula!$A$2:$A$14), 0), MATCH(E$1, Formula!$B$1:$Z$1, 0)) * Mezclado!$D9/(1-Formula!$B$19), 0)</f>
        <v>0</v>
      </c>
      <c r="F9" s="8" cm="1">
        <f t="array" ref="F9">IF(ISNUMBER(MATCH($A9, _xlfn._xlws.FILTER(Procesos!$A$2:$A$25, Procesos!F$2:F$25="Molido"), 0)), INDEX(Formula!$B$2:$Z$14, MATCH(VALUE($A9), VALUE(Formula!$A$2:$A$14), 0), MATCH(F$1, Formula!$B$1:$Z$1, 0)) * Mezclado!$D9/(1-Formula!$B$19), 0)</f>
        <v>0</v>
      </c>
      <c r="G9" s="8" cm="1">
        <f t="array" ref="G9">IF(ISNUMBER(MATCH($A9, _xlfn._xlws.FILTER(Procesos!$A$2:$A$25, Procesos!G$2:G$25="Molido"), 0)), INDEX(Formula!$B$2:$Z$14, MATCH(VALUE($A9), VALUE(Formula!$A$2:$A$14), 0), MATCH(G$1, Formula!$B$1:$Z$1, 0)) * Mezclado!$D9/(1-Formula!$B$19), 0)</f>
        <v>20.428591857163287</v>
      </c>
      <c r="H9" s="8" cm="1">
        <f t="array" ref="H9">IF(ISNUMBER(MATCH($A9, _xlfn._xlws.FILTER(Procesos!$A$2:$A$25, Procesos!H$2:H$25="Molido"), 0)), INDEX(Formula!$B$2:$Z$14, MATCH(VALUE($A9), VALUE(Formula!$A$2:$A$14), 0), MATCH(H$1, Formula!$B$1:$Z$1, 0)) * Mezclado!$D9/(1-Formula!$B$19), 0)</f>
        <v>0</v>
      </c>
      <c r="I9" s="8" cm="1">
        <f t="array" ref="I9">IF(ISNUMBER(MATCH($A9, _xlfn._xlws.FILTER(Procesos!$A$2:$A$25, Procesos!I$2:I$25="Molido"), 0)), INDEX(Formula!$B$2:$Z$14, MATCH(VALUE($A9), VALUE(Formula!$A$2:$A$14), 0), MATCH(I$1, Formula!$B$1:$Z$1, 0)) * Mezclado!$D9/(1-Formula!$B$19), 0)</f>
        <v>0</v>
      </c>
      <c r="J9" s="8" cm="1">
        <f t="array" ref="J9">IF(ISNUMBER(MATCH($A9, _xlfn._xlws.FILTER(Procesos!$A$2:$A$25, Procesos!J$2:J$25="Molido"), 0)), INDEX(Formula!$B$2:$Z$14, MATCH(VALUE($A9), VALUE(Formula!$A$2:$A$14), 0), MATCH(J$1, Formula!$B$1:$Z$1, 0)) * Mezclado!$D9/(1-Formula!$B$19), 0)</f>
        <v>0</v>
      </c>
      <c r="K9" s="8" cm="1">
        <f t="array" ref="K9">IF(ISNUMBER(MATCH($A9, _xlfn._xlws.FILTER(Procesos!$A$2:$A$25, Procesos!K$2:K$25="Molido"), 0)), INDEX(Formula!$B$2:$Z$14, MATCH(VALUE($A9), VALUE(Formula!$A$2:$A$14), 0), MATCH(K$1, Formula!$B$1:$Z$1, 0)) * Mezclado!$D9/(1-Formula!$B$19), 0)</f>
        <v>0</v>
      </c>
      <c r="L9" s="8" cm="1">
        <f t="array" ref="L9">IF(ISNUMBER(MATCH($A9, _xlfn._xlws.FILTER(Procesos!$A$2:$A$25, Procesos!N$2:N$25="Molido"), 0)), INDEX(Formula!$B$2:$Z$14, MATCH(VALUE($A9), VALUE(Formula!$A$2:$A$14), 0), MATCH(L$1, Formula!$B$1:$Z$1, 0)) * Mezclado!$D9/(1-Formula!$B$19), 0)</f>
        <v>0</v>
      </c>
      <c r="M9" s="8" cm="1">
        <f t="array" ref="M9">IF(ISNUMBER(MATCH($A9, _xlfn._xlws.FILTER(Procesos!$A$2:$A$25, Procesos!O$2:O$25="Molido"), 0)), INDEX(Formula!$B$2:$Z$14, MATCH(VALUE($A9), VALUE(Formula!$A$2:$A$14), 0), MATCH(M$1, Formula!$B$1:$Z$1, 0)) * Mezclado!$D9/(1-Formula!$B$19), 0)</f>
        <v>0</v>
      </c>
      <c r="N9" s="8" cm="1">
        <f t="array" ref="N9">IF(ISNUMBER(MATCH($A9, _xlfn._xlws.FILTER(Procesos!$A$2:$A$25, Procesos!R$2:R$25="Molido"), 0)), INDEX(Formula!$B$2:$Z$14, MATCH(VALUE($A9), VALUE(Formula!$A$2:$A$14), 0), MATCH(N$1, Formula!$B$1:$Z$1, 0)) * Mezclado!$D9/(1-Formula!$B$19), 0)</f>
        <v>0</v>
      </c>
      <c r="O9" s="8" cm="1">
        <f t="array" ref="O9">IF(ISNUMBER(MATCH($A9, _xlfn._xlws.FILTER(Procesos!$A$2:$A$25, Procesos!S$2:S$25="Molido"), 0)), INDEX(Formula!$B$2:$Z$14, MATCH(VALUE($A9), VALUE(Formula!$A$2:$A$14), 0), MATCH(O$1, Formula!$B$1:$Z$1, 0)) * Mezclado!$D9/(1-Formula!$B$19), 0)</f>
        <v>0</v>
      </c>
      <c r="P9" s="8" cm="1">
        <f t="array" ref="P9">IF(ISNUMBER(MATCH($A9, _xlfn._xlws.FILTER(Procesos!$A$2:$A$25, Procesos!V$2:V$25="Molido"), 0)), INDEX(Formula!$B$2:$Z$14, MATCH(VALUE($A9), VALUE(Formula!$A$2:$A$14), 0), MATCH(P$1, Formula!$B$1:$Z$1, 0)) * Mezclado!$D9/(1-Formula!$B$19), 0)</f>
        <v>0</v>
      </c>
      <c r="Q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5">
      <c r="A10" s="13">
        <v>9</v>
      </c>
      <c r="B10" s="8">
        <v>20</v>
      </c>
      <c r="C10" s="5">
        <v>45938</v>
      </c>
      <c r="D10" s="8" cm="1">
        <f t="array" ref="D10">IF(ISNUMBER(MATCH($A10, _xlfn._xlws.FILTER(Procesos!$A$2:$A$25, Procesos!C$2:C$25="Molido"), 0)), INDEX(Formula!$B$2:$Z$14, MATCH(VALUE($A10), VALUE(Formula!$A$2:$A$14), 0), MATCH(D$1, Formula!$B$1:$Z$1, 0)) * Mezclado!$D10/(1-Formula!$B$19), 0)</f>
        <v>0</v>
      </c>
      <c r="E10" s="8" cm="1">
        <f t="array" ref="E10">IF(ISNUMBER(MATCH($A10, _xlfn._xlws.FILTER(Procesos!$A$2:$A$25, Procesos!D$2:D$25="Molido"), 0)), INDEX(Formula!$B$2:$Z$14, MATCH(VALUE($A10), VALUE(Formula!$A$2:$A$14), 0), MATCH(E$1, Formula!$B$1:$Z$1, 0)) * Mezclado!$D10/(1-Formula!$B$19), 0)</f>
        <v>0</v>
      </c>
      <c r="F10" s="8" cm="1">
        <f t="array" ref="F10">IF(ISNUMBER(MATCH($A10, _xlfn._xlws.FILTER(Procesos!$A$2:$A$25, Procesos!F$2:F$25="Molido"), 0)), INDEX(Formula!$B$2:$Z$14, MATCH(VALUE($A10), VALUE(Formula!$A$2:$A$14), 0), MATCH(F$1, Formula!$B$1:$Z$1, 0)) * Mezclado!$D10/(1-Formula!$B$19), 0)</f>
        <v>0</v>
      </c>
      <c r="G10" s="8" cm="1">
        <f t="array" ref="G10">IF(ISNUMBER(MATCH($A10, _xlfn._xlws.FILTER(Procesos!$A$2:$A$25, Procesos!G$2:G$25="Molido"), 0)), INDEX(Formula!$B$2:$Z$14, MATCH(VALUE($A10), VALUE(Formula!$A$2:$A$14), 0), MATCH(G$1, Formula!$B$1:$Z$1, 0)) * Mezclado!$D10/(1-Formula!$B$19), 0)</f>
        <v>17.740189168760594</v>
      </c>
      <c r="H10" s="8" cm="1">
        <f t="array" ref="H10">IF(ISNUMBER(MATCH($A10, _xlfn._xlws.FILTER(Procesos!$A$2:$A$25, Procesos!H$2:H$25="Molido"), 0)), INDEX(Formula!$B$2:$Z$14, MATCH(VALUE($A10), VALUE(Formula!$A$2:$A$14), 0), MATCH(H$1, Formula!$B$1:$Z$1, 0)) * Mezclado!$D10/(1-Formula!$B$19), 0)</f>
        <v>0</v>
      </c>
      <c r="I10" s="8" cm="1">
        <f t="array" ref="I10">IF(ISNUMBER(MATCH($A10, _xlfn._xlws.FILTER(Procesos!$A$2:$A$25, Procesos!I$2:I$25="Molido"), 0)), INDEX(Formula!$B$2:$Z$14, MATCH(VALUE($A10), VALUE(Formula!$A$2:$A$14), 0), MATCH(I$1, Formula!$B$1:$Z$1, 0)) * Mezclado!$D10/(1-Formula!$B$19), 0)</f>
        <v>2.6884026884026881</v>
      </c>
      <c r="J10" s="8" cm="1">
        <f t="array" ref="J10">IF(ISNUMBER(MATCH($A10, _xlfn._xlws.FILTER(Procesos!$A$2:$A$25, Procesos!J$2:J$25="Molido"), 0)), INDEX(Formula!$B$2:$Z$14, MATCH(VALUE($A10), VALUE(Formula!$A$2:$A$14), 0), MATCH(J$1, Formula!$B$1:$Z$1, 0)) * Mezclado!$D10/(1-Formula!$B$19), 0)</f>
        <v>0</v>
      </c>
      <c r="K10" s="8" cm="1">
        <f t="array" ref="K10">IF(ISNUMBER(MATCH($A10, _xlfn._xlws.FILTER(Procesos!$A$2:$A$25, Procesos!K$2:K$25="Molido"), 0)), INDEX(Formula!$B$2:$Z$14, MATCH(VALUE($A10), VALUE(Formula!$A$2:$A$14), 0), MATCH(K$1, Formula!$B$1:$Z$1, 0)) * Mezclado!$D10/(1-Formula!$B$19), 0)</f>
        <v>0</v>
      </c>
      <c r="L10" s="8" cm="1">
        <f t="array" ref="L10">IF(ISNUMBER(MATCH($A10, _xlfn._xlws.FILTER(Procesos!$A$2:$A$25, Procesos!N$2:N$25="Molido"), 0)), INDEX(Formula!$B$2:$Z$14, MATCH(VALUE($A10), VALUE(Formula!$A$2:$A$14), 0), MATCH(L$1, Formula!$B$1:$Z$1, 0)) * Mezclado!$D10/(1-Formula!$B$19), 0)</f>
        <v>0</v>
      </c>
      <c r="M10" s="8" cm="1">
        <f t="array" ref="M10">IF(ISNUMBER(MATCH($A10, _xlfn._xlws.FILTER(Procesos!$A$2:$A$25, Procesos!O$2:O$25="Molido"), 0)), INDEX(Formula!$B$2:$Z$14, MATCH(VALUE($A10), VALUE(Formula!$A$2:$A$14), 0), MATCH(M$1, Formula!$B$1:$Z$1, 0)) * Mezclado!$D10/(1-Formula!$B$19), 0)</f>
        <v>0</v>
      </c>
      <c r="N10" s="8" cm="1">
        <f t="array" ref="N10">IF(ISNUMBER(MATCH($A10, _xlfn._xlws.FILTER(Procesos!$A$2:$A$25, Procesos!R$2:R$25="Molido"), 0)), INDEX(Formula!$B$2:$Z$14, MATCH(VALUE($A10), VALUE(Formula!$A$2:$A$14), 0), MATCH(N$1, Formula!$B$1:$Z$1, 0)) * Mezclado!$D10/(1-Formula!$B$19), 0)</f>
        <v>0</v>
      </c>
      <c r="O10" s="8" cm="1">
        <f t="array" ref="O10">IF(ISNUMBER(MATCH($A10, _xlfn._xlws.FILTER(Procesos!$A$2:$A$25, Procesos!S$2:S$25="Molido"), 0)), INDEX(Formula!$B$2:$Z$14, MATCH(VALUE($A10), VALUE(Formula!$A$2:$A$14), 0), MATCH(O$1, Formula!$B$1:$Z$1, 0)) * Mezclado!$D10/(1-Formula!$B$19), 0)</f>
        <v>0</v>
      </c>
      <c r="P10" s="8" cm="1">
        <f t="array" ref="P10">IF(ISNUMBER(MATCH($A10, _xlfn._xlws.FILTER(Procesos!$A$2:$A$25, Procesos!V$2:V$25="Molido"), 0)), INDEX(Formula!$B$2:$Z$14, MATCH(VALUE($A10), VALUE(Formula!$A$2:$A$14), 0), MATCH(P$1, Formula!$B$1:$Z$1, 0)) * Mezclado!$D10/(1-Formula!$B$19), 0)</f>
        <v>0</v>
      </c>
      <c r="Q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25">
      <c r="A11" s="13">
        <v>10</v>
      </c>
      <c r="B11" s="8">
        <v>20</v>
      </c>
      <c r="C11" s="5">
        <v>45956</v>
      </c>
      <c r="D11" s="8" cm="1">
        <f t="array" ref="D11">IF(ISNUMBER(MATCH($A11, _xlfn._xlws.FILTER(Procesos!$A$2:$A$25, Procesos!C$2:C$25="Molido"), 0)), INDEX(Formula!$B$2:$Z$14, MATCH(VALUE($A11), VALUE(Formula!$A$2:$A$14), 0), MATCH(D$1, Formula!$B$1:$Z$1, 0)) * Mezclado!$D11/(1-Formula!$B$19), 0)</f>
        <v>0</v>
      </c>
      <c r="E11" s="8" cm="1">
        <f t="array" ref="E11">IF(ISNUMBER(MATCH($A11, _xlfn._xlws.FILTER(Procesos!$A$2:$A$25, Procesos!D$2:D$25="Molido"), 0)), INDEX(Formula!$B$2:$Z$14, MATCH(VALUE($A11), VALUE(Formula!$A$2:$A$14), 0), MATCH(E$1, Formula!$B$1:$Z$1, 0)) * Mezclado!$D11/(1-Formula!$B$19), 0)</f>
        <v>0</v>
      </c>
      <c r="F11" s="8" cm="1">
        <f t="array" ref="F11">IF(ISNUMBER(MATCH($A11, _xlfn._xlws.FILTER(Procesos!$A$2:$A$25, Procesos!F$2:F$25="Molido"), 0)), INDEX(Formula!$B$2:$Z$14, MATCH(VALUE($A11), VALUE(Formula!$A$2:$A$14), 0), MATCH(F$1, Formula!$B$1:$Z$1, 0)) * Mezclado!$D11/(1-Formula!$B$19), 0)</f>
        <v>0</v>
      </c>
      <c r="G11" s="8" cm="1">
        <f t="array" ref="G11">IF(ISNUMBER(MATCH($A11, _xlfn._xlws.FILTER(Procesos!$A$2:$A$25, Procesos!G$2:G$25="Molido"), 0)), INDEX(Formula!$B$2:$Z$14, MATCH(VALUE($A11), VALUE(Formula!$A$2:$A$14), 0), MATCH(G$1, Formula!$B$1:$Z$1, 0)) * Mezclado!$D11/(1-Formula!$B$19), 0)</f>
        <v>0</v>
      </c>
      <c r="H11" s="8" cm="1">
        <f t="array" ref="H11">IF(ISNUMBER(MATCH($A11, _xlfn._xlws.FILTER(Procesos!$A$2:$A$25, Procesos!H$2:H$25="Molido"), 0)), INDEX(Formula!$B$2:$Z$14, MATCH(VALUE($A11), VALUE(Formula!$A$2:$A$14), 0), MATCH(H$1, Formula!$B$1:$Z$1, 0)) * Mezclado!$D11/(1-Formula!$B$19), 0)</f>
        <v>0</v>
      </c>
      <c r="I11" s="8" cm="1">
        <f t="array" ref="I11">IF(ISNUMBER(MATCH($A11, _xlfn._xlws.FILTER(Procesos!$A$2:$A$25, Procesos!I$2:I$25="Molido"), 0)), INDEX(Formula!$B$2:$Z$14, MATCH(VALUE($A11), VALUE(Formula!$A$2:$A$14), 0), MATCH(I$1, Formula!$B$1:$Z$1, 0)) * Mezclado!$D11/(1-Formula!$B$19), 0)</f>
        <v>0</v>
      </c>
      <c r="J11" s="8" cm="1">
        <f t="array" ref="J11">IF(ISNUMBER(MATCH($A11, _xlfn._xlws.FILTER(Procesos!$A$2:$A$25, Procesos!J$2:J$25="Molido"), 0)), INDEX(Formula!$B$2:$Z$14, MATCH(VALUE($A11), VALUE(Formula!$A$2:$A$14), 0), MATCH(J$1, Formula!$B$1:$Z$1, 0)) * Mezclado!$D11/(1-Formula!$B$19), 0)</f>
        <v>0</v>
      </c>
      <c r="K11" s="8" cm="1">
        <f t="array" ref="K11">IF(ISNUMBER(MATCH($A11, _xlfn._xlws.FILTER(Procesos!$A$2:$A$25, Procesos!K$2:K$25="Molido"), 0)), INDEX(Formula!$B$2:$Z$14, MATCH(VALUE($A11), VALUE(Formula!$A$2:$A$14), 0), MATCH(K$1, Formula!$B$1:$Z$1, 0)) * Mezclado!$D11/(1-Formula!$B$19), 0)</f>
        <v>0</v>
      </c>
      <c r="L11" s="8" cm="1">
        <f t="array" ref="L11">IF(ISNUMBER(MATCH($A11, _xlfn._xlws.FILTER(Procesos!$A$2:$A$25, Procesos!N$2:N$25="Molido"), 0)), INDEX(Formula!$B$2:$Z$14, MATCH(VALUE($A11), VALUE(Formula!$A$2:$A$14), 0), MATCH(L$1, Formula!$B$1:$Z$1, 0)) * Mezclado!$D11/(1-Formula!$B$19), 0)</f>
        <v>0</v>
      </c>
      <c r="M11" s="8" cm="1">
        <f t="array" ref="M11">IF(ISNUMBER(MATCH($A11, _xlfn._xlws.FILTER(Procesos!$A$2:$A$25, Procesos!O$2:O$25="Molido"), 0)), INDEX(Formula!$B$2:$Z$14, MATCH(VALUE($A11), VALUE(Formula!$A$2:$A$14), 0), MATCH(M$1, Formula!$B$1:$Z$1, 0)) * Mezclado!$D11/(1-Formula!$B$19), 0)</f>
        <v>0</v>
      </c>
      <c r="N11" s="8" cm="1">
        <f t="array" ref="N11">IF(ISNUMBER(MATCH($A11, _xlfn._xlws.FILTER(Procesos!$A$2:$A$25, Procesos!R$2:R$25="Molido"), 0)), INDEX(Formula!$B$2:$Z$14, MATCH(VALUE($A11), VALUE(Formula!$A$2:$A$14), 0), MATCH(N$1, Formula!$B$1:$Z$1, 0)) * Mezclado!$D11/(1-Formula!$B$19), 0)</f>
        <v>0</v>
      </c>
      <c r="O11" s="8" cm="1">
        <f t="array" ref="O11">IF(ISNUMBER(MATCH($A11, _xlfn._xlws.FILTER(Procesos!$A$2:$A$25, Procesos!S$2:S$25="Molido"), 0)), INDEX(Formula!$B$2:$Z$14, MATCH(VALUE($A11), VALUE(Formula!$A$2:$A$14), 0), MATCH(O$1, Formula!$B$1:$Z$1, 0)) * Mezclado!$D11/(1-Formula!$B$19), 0)</f>
        <v>0</v>
      </c>
      <c r="P11" s="8" cm="1">
        <f t="array" ref="P11">IF(ISNUMBER(MATCH($A11, _xlfn._xlws.FILTER(Procesos!$A$2:$A$25, Procesos!V$2:V$25="Molido"), 0)), INDEX(Formula!$B$2:$Z$14, MATCH(VALUE($A11), VALUE(Formula!$A$2:$A$14), 0), MATCH(P$1, Formula!$B$1:$Z$1, 0)) * Mezclado!$D11/(1-Formula!$B$19), 0)</f>
        <v>0</v>
      </c>
      <c r="Q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25">
      <c r="A12" s="13">
        <v>11</v>
      </c>
      <c r="B12" s="8">
        <v>20</v>
      </c>
      <c r="C12" s="5">
        <v>45987</v>
      </c>
      <c r="D12" s="8" cm="1">
        <f t="array" ref="D12">IF(ISNUMBER(MATCH($A12, _xlfn._xlws.FILTER(Procesos!$A$2:$A$25, Procesos!C$2:C$25="Molido"), 0)), INDEX(Formula!$B$2:$Z$14, MATCH(VALUE($A12), VALUE(Formula!$A$2:$A$14), 0), MATCH(D$1, Formula!$B$1:$Z$1, 0)) * Mezclado!$D12/(1-Formula!$B$19), 0)</f>
        <v>0</v>
      </c>
      <c r="E12" s="8" cm="1">
        <f t="array" ref="E12">IF(ISNUMBER(MATCH($A12, _xlfn._xlws.FILTER(Procesos!$A$2:$A$25, Procesos!D$2:D$25="Molido"), 0)), INDEX(Formula!$B$2:$Z$14, MATCH(VALUE($A12), VALUE(Formula!$A$2:$A$14), 0), MATCH(E$1, Formula!$B$1:$Z$1, 0)) * Mezclado!$D12/(1-Formula!$B$19), 0)</f>
        <v>0</v>
      </c>
      <c r="F12" s="8" cm="1">
        <f t="array" ref="F12">IF(ISNUMBER(MATCH($A12, _xlfn._xlws.FILTER(Procesos!$A$2:$A$25, Procesos!F$2:F$25="Molido"), 0)), INDEX(Formula!$B$2:$Z$14, MATCH(VALUE($A12), VALUE(Formula!$A$2:$A$14), 0), MATCH(F$1, Formula!$B$1:$Z$1, 0)) * Mezclado!$D12/(1-Formula!$B$19), 0)</f>
        <v>0</v>
      </c>
      <c r="G12" s="8" cm="1">
        <f t="array" ref="G12">IF(ISNUMBER(MATCH($A12, _xlfn._xlws.FILTER(Procesos!$A$2:$A$25, Procesos!G$2:G$25="Molido"), 0)), INDEX(Formula!$B$2:$Z$14, MATCH(VALUE($A12), VALUE(Formula!$A$2:$A$14), 0), MATCH(G$1, Formula!$B$1:$Z$1, 0)) * Mezclado!$D12/(1-Formula!$B$19), 0)</f>
        <v>0</v>
      </c>
      <c r="H12" s="8" cm="1">
        <f t="array" ref="H12">IF(ISNUMBER(MATCH($A12, _xlfn._xlws.FILTER(Procesos!$A$2:$A$25, Procesos!H$2:H$25="Molido"), 0)), INDEX(Formula!$B$2:$Z$14, MATCH(VALUE($A12), VALUE(Formula!$A$2:$A$14), 0), MATCH(H$1, Formula!$B$1:$Z$1, 0)) * Mezclado!$D12/(1-Formula!$B$19), 0)</f>
        <v>0</v>
      </c>
      <c r="I12" s="8" cm="1">
        <f t="array" ref="I12">IF(ISNUMBER(MATCH($A12, _xlfn._xlws.FILTER(Procesos!$A$2:$A$25, Procesos!I$2:I$25="Molido"), 0)), INDEX(Formula!$B$2:$Z$14, MATCH(VALUE($A12), VALUE(Formula!$A$2:$A$14), 0), MATCH(I$1, Formula!$B$1:$Z$1, 0)) * Mezclado!$D12/(1-Formula!$B$19), 0)</f>
        <v>0</v>
      </c>
      <c r="J12" s="8" cm="1">
        <f t="array" ref="J12">IF(ISNUMBER(MATCH($A12, _xlfn._xlws.FILTER(Procesos!$A$2:$A$25, Procesos!J$2:J$25="Molido"), 0)), INDEX(Formula!$B$2:$Z$14, MATCH(VALUE($A12), VALUE(Formula!$A$2:$A$14), 0), MATCH(J$1, Formula!$B$1:$Z$1, 0)) * Mezclado!$D12/(1-Formula!$B$19), 0)</f>
        <v>0</v>
      </c>
      <c r="K12" s="8" cm="1">
        <f t="array" ref="K12">IF(ISNUMBER(MATCH($A12, _xlfn._xlws.FILTER(Procesos!$A$2:$A$25, Procesos!K$2:K$25="Molido"), 0)), INDEX(Formula!$B$2:$Z$14, MATCH(VALUE($A12), VALUE(Formula!$A$2:$A$14), 0), MATCH(K$1, Formula!$B$1:$Z$1, 0)) * Mezclado!$D12/(1-Formula!$B$19), 0)</f>
        <v>0</v>
      </c>
      <c r="L12" s="8" cm="1">
        <f t="array" ref="L12">IF(ISNUMBER(MATCH($A12, _xlfn._xlws.FILTER(Procesos!$A$2:$A$25, Procesos!N$2:N$25="Molido"), 0)), INDEX(Formula!$B$2:$Z$14, MATCH(VALUE($A12), VALUE(Formula!$A$2:$A$14), 0), MATCH(L$1, Formula!$B$1:$Z$1, 0)) * Mezclado!$D12/(1-Formula!$B$19), 0)</f>
        <v>0.79875794161508451</v>
      </c>
      <c r="M12" s="8" cm="1">
        <f t="array" ref="M12">IF(ISNUMBER(MATCH($A12, _xlfn._xlws.FILTER(Procesos!$A$2:$A$25, Procesos!O$2:O$25="Molido"), 0)), INDEX(Formula!$B$2:$Z$14, MATCH(VALUE($A12), VALUE(Formula!$A$2:$A$14), 0), MATCH(M$1, Formula!$B$1:$Z$1, 0)) * Mezclado!$D12/(1-Formula!$B$19), 0)</f>
        <v>0</v>
      </c>
      <c r="N12" s="8" cm="1">
        <f t="array" ref="N12">IF(ISNUMBER(MATCH($A12, _xlfn._xlws.FILTER(Procesos!$A$2:$A$25, Procesos!R$2:R$25="Molido"), 0)), INDEX(Formula!$B$2:$Z$14, MATCH(VALUE($A12), VALUE(Formula!$A$2:$A$14), 0), MATCH(N$1, Formula!$B$1:$Z$1, 0)) * Mezclado!$D12/(1-Formula!$B$19), 0)</f>
        <v>0</v>
      </c>
      <c r="O12" s="8" cm="1">
        <f t="array" ref="O12">IF(ISNUMBER(MATCH($A12, _xlfn._xlws.FILTER(Procesos!$A$2:$A$25, Procesos!S$2:S$25="Molido"), 0)), INDEX(Formula!$B$2:$Z$14, MATCH(VALUE($A12), VALUE(Formula!$A$2:$A$14), 0), MATCH(O$1, Formula!$B$1:$Z$1, 0)) * Mezclado!$D12/(1-Formula!$B$19), 0)</f>
        <v>0</v>
      </c>
      <c r="P12" s="8" cm="1">
        <f t="array" ref="P12">IF(ISNUMBER(MATCH($A12, _xlfn._xlws.FILTER(Procesos!$A$2:$A$25, Procesos!V$2:V$25="Molido"), 0)), INDEX(Formula!$B$2:$Z$14, MATCH(VALUE($A12), VALUE(Formula!$A$2:$A$14), 0), MATCH(P$1, Formula!$B$1:$Z$1, 0)) * Mezclado!$D12/(1-Formula!$B$19), 0)</f>
        <v>0</v>
      </c>
      <c r="Q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25">
      <c r="A13" s="13">
        <v>12</v>
      </c>
      <c r="B13" s="8">
        <v>20</v>
      </c>
      <c r="C13" s="5">
        <v>46019</v>
      </c>
      <c r="D13" s="8" cm="1">
        <f t="array" ref="D13">IF(ISNUMBER(MATCH($A13, _xlfn._xlws.FILTER(Procesos!$A$2:$A$25, Procesos!C$2:C$25="Molido"), 0)), INDEX(Formula!$B$2:$Z$14, MATCH(VALUE($A13), VALUE(Formula!$A$2:$A$14), 0), MATCH(D$1, Formula!$B$1:$Z$1, 0)) * Mezclado!$D13/(1-Formula!$B$19), 0)</f>
        <v>0</v>
      </c>
      <c r="E13" s="8" cm="1">
        <f t="array" ref="E13">IF(ISNUMBER(MATCH($A13, _xlfn._xlws.FILTER(Procesos!$A$2:$A$25, Procesos!D$2:D$25="Molido"), 0)), INDEX(Formula!$B$2:$Z$14, MATCH(VALUE($A13), VALUE(Formula!$A$2:$A$14), 0), MATCH(E$1, Formula!$B$1:$Z$1, 0)) * Mezclado!$D13/(1-Formula!$B$19), 0)</f>
        <v>0</v>
      </c>
      <c r="F13" s="8" cm="1">
        <f t="array" ref="F13">IF(ISNUMBER(MATCH($A13, _xlfn._xlws.FILTER(Procesos!$A$2:$A$25, Procesos!F$2:F$25="Molido"), 0)), INDEX(Formula!$B$2:$Z$14, MATCH(VALUE($A13), VALUE(Formula!$A$2:$A$14), 0), MATCH(F$1, Formula!$B$1:$Z$1, 0)) * Mezclado!$D13/(1-Formula!$B$19), 0)</f>
        <v>1.6669730955445241</v>
      </c>
      <c r="G13" s="8" cm="1">
        <f t="array" ref="G13">IF(ISNUMBER(MATCH($A13, _xlfn._xlws.FILTER(Procesos!$A$2:$A$25, Procesos!G$2:G$25="Molido"), 0)), INDEX(Formula!$B$2:$Z$14, MATCH(VALUE($A13), VALUE(Formula!$A$2:$A$14), 0), MATCH(G$1, Formula!$B$1:$Z$1, 0)) * Mezclado!$D13/(1-Formula!$B$19), 0)</f>
        <v>0</v>
      </c>
      <c r="H13" s="8" cm="1">
        <f t="array" ref="H13">IF(ISNUMBER(MATCH($A13, _xlfn._xlws.FILTER(Procesos!$A$2:$A$25, Procesos!H$2:H$25="Molido"), 0)), INDEX(Formula!$B$2:$Z$14, MATCH(VALUE($A13), VALUE(Formula!$A$2:$A$14), 0), MATCH(H$1, Formula!$B$1:$Z$1, 0)) * Mezclado!$D13/(1-Formula!$B$19), 0)</f>
        <v>0</v>
      </c>
      <c r="I13" s="8" cm="1">
        <f t="array" ref="I13">IF(ISNUMBER(MATCH($A13, _xlfn._xlws.FILTER(Procesos!$A$2:$A$25, Procesos!I$2:I$25="Molido"), 0)), INDEX(Formula!$B$2:$Z$14, MATCH(VALUE($A13), VALUE(Formula!$A$2:$A$14), 0), MATCH(I$1, Formula!$B$1:$Z$1, 0)) * Mezclado!$D13/(1-Formula!$B$19), 0)</f>
        <v>0</v>
      </c>
      <c r="J13" s="8" cm="1">
        <f t="array" ref="J13">IF(ISNUMBER(MATCH($A13, _xlfn._xlws.FILTER(Procesos!$A$2:$A$25, Procesos!J$2:J$25="Molido"), 0)), INDEX(Formula!$B$2:$Z$14, MATCH(VALUE($A13), VALUE(Formula!$A$2:$A$14), 0), MATCH(J$1, Formula!$B$1:$Z$1, 0)) * Mezclado!$D13/(1-Formula!$B$19), 0)</f>
        <v>0</v>
      </c>
      <c r="K13" s="8" cm="1">
        <f t="array" ref="K13">IF(ISNUMBER(MATCH($A13, _xlfn._xlws.FILTER(Procesos!$A$2:$A$25, Procesos!K$2:K$25="Molido"), 0)), INDEX(Formula!$B$2:$Z$14, MATCH(VALUE($A13), VALUE(Formula!$A$2:$A$14), 0), MATCH(K$1, Formula!$B$1:$Z$1, 0)) * Mezclado!$D13/(1-Formula!$B$19), 0)</f>
        <v>0</v>
      </c>
      <c r="L13" s="8" cm="1">
        <f t="array" ref="L13">IF(ISNUMBER(MATCH($A13, _xlfn._xlws.FILTER(Procesos!$A$2:$A$25, Procesos!N$2:N$25="Molido"), 0)), INDEX(Formula!$B$2:$Z$14, MATCH(VALUE($A13), VALUE(Formula!$A$2:$A$14), 0), MATCH(L$1, Formula!$B$1:$Z$1, 0)) * Mezclado!$D13/(1-Formula!$B$19), 0)</f>
        <v>0</v>
      </c>
      <c r="M13" s="8" cm="1">
        <f t="array" ref="M13">IF(ISNUMBER(MATCH($A13, _xlfn._xlws.FILTER(Procesos!$A$2:$A$25, Procesos!O$2:O$25="Molido"), 0)), INDEX(Formula!$B$2:$Z$14, MATCH(VALUE($A13), VALUE(Formula!$A$2:$A$14), 0), MATCH(M$1, Formula!$B$1:$Z$1, 0)) * Mezclado!$D13/(1-Formula!$B$19), 0)</f>
        <v>0</v>
      </c>
      <c r="N13" s="8" cm="1">
        <f t="array" ref="N13">IF(ISNUMBER(MATCH($A13, _xlfn._xlws.FILTER(Procesos!$A$2:$A$25, Procesos!R$2:R$25="Molido"), 0)), INDEX(Formula!$B$2:$Z$14, MATCH(VALUE($A13), VALUE(Formula!$A$2:$A$14), 0), MATCH(N$1, Formula!$B$1:$Z$1, 0)) * Mezclado!$D13/(1-Formula!$B$19), 0)</f>
        <v>0</v>
      </c>
      <c r="O13" s="8" cm="1">
        <f t="array" ref="O13">IF(ISNUMBER(MATCH($A13, _xlfn._xlws.FILTER(Procesos!$A$2:$A$25, Procesos!S$2:S$25="Molido"), 0)), INDEX(Formula!$B$2:$Z$14, MATCH(VALUE($A13), VALUE(Formula!$A$2:$A$14), 0), MATCH(O$1, Formula!$B$1:$Z$1, 0)) * Mezclado!$D13/(1-Formula!$B$19), 0)</f>
        <v>0</v>
      </c>
      <c r="P13" s="8" cm="1">
        <f t="array" ref="P13">IF(ISNUMBER(MATCH($A13, _xlfn._xlws.FILTER(Procesos!$A$2:$A$25, Procesos!V$2:V$25="Molido"), 0)), INDEX(Formula!$B$2:$Z$14, MATCH(VALUE($A13), VALUE(Formula!$A$2:$A$14), 0), MATCH(P$1, Formula!$B$1:$Z$1, 0)) * Mezclado!$D13/(1-Formula!$B$19), 0)</f>
        <v>10.673939245367817</v>
      </c>
      <c r="Q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25">
      <c r="A14" s="13"/>
      <c r="E14" s="8"/>
      <c r="F14" s="8"/>
      <c r="G14" s="8"/>
      <c r="H14" s="38"/>
      <c r="I14" s="8"/>
      <c r="J14" s="8"/>
      <c r="K14" s="8"/>
      <c r="L14" s="8"/>
      <c r="P14" s="8"/>
    </row>
    <row r="15" spans="1:29" x14ac:dyDescent="0.25">
      <c r="A15" s="13"/>
      <c r="E15" s="8"/>
      <c r="F15" s="8"/>
      <c r="G15" s="8"/>
      <c r="H15" s="38"/>
      <c r="I15" s="8"/>
      <c r="J15" s="8"/>
      <c r="K15" s="8"/>
      <c r="L15" s="8"/>
      <c r="P15" s="8"/>
    </row>
    <row r="16" spans="1:29" x14ac:dyDescent="0.25">
      <c r="A16" s="13"/>
      <c r="E16" s="8"/>
      <c r="F16" s="8"/>
      <c r="G16" s="8"/>
      <c r="H16" s="38"/>
      <c r="I16" s="8"/>
      <c r="J16" s="8"/>
      <c r="K16" s="8"/>
      <c r="L16" s="8"/>
      <c r="P16" s="8"/>
    </row>
    <row r="17" spans="1:16" x14ac:dyDescent="0.25">
      <c r="A17" s="13"/>
      <c r="E17" s="8"/>
      <c r="F17" s="8"/>
      <c r="G17" s="8"/>
      <c r="H17" s="38"/>
      <c r="I17" s="8"/>
      <c r="J17" s="8"/>
      <c r="K17" s="8"/>
      <c r="L17" s="8"/>
      <c r="P17" s="8"/>
    </row>
    <row r="18" spans="1:16" x14ac:dyDescent="0.25">
      <c r="A18" s="13"/>
      <c r="E18" s="8"/>
      <c r="F18" s="8"/>
      <c r="G18" s="8"/>
      <c r="H18" s="38"/>
      <c r="I18" s="8"/>
      <c r="J18" s="8"/>
      <c r="K18" s="8"/>
      <c r="L18" s="8"/>
      <c r="P18" s="8"/>
    </row>
    <row r="19" spans="1:16" x14ac:dyDescent="0.25">
      <c r="A19" s="13"/>
      <c r="E19" s="8"/>
      <c r="F19" s="8"/>
      <c r="G19" s="8"/>
      <c r="H19" s="38"/>
      <c r="I19" s="8"/>
      <c r="J19" s="8"/>
      <c r="K19" s="8"/>
      <c r="L19" s="8"/>
      <c r="P19" s="8"/>
    </row>
    <row r="20" spans="1:16" x14ac:dyDescent="0.25">
      <c r="A20" s="13"/>
      <c r="E20" s="8"/>
      <c r="F20" s="8"/>
      <c r="G20" s="8"/>
      <c r="H20" s="38"/>
      <c r="I20" s="8"/>
      <c r="J20" s="8"/>
      <c r="K20" s="8"/>
      <c r="L20" s="8"/>
      <c r="P20" s="8"/>
    </row>
    <row r="21" spans="1:16" x14ac:dyDescent="0.25">
      <c r="A21" s="13"/>
      <c r="E21" s="8"/>
      <c r="F21" s="8"/>
      <c r="G21" s="8"/>
      <c r="H21" s="38"/>
      <c r="I21" s="8"/>
      <c r="J21" s="8"/>
      <c r="K21" s="8"/>
      <c r="L21" s="8"/>
      <c r="P21" s="8"/>
    </row>
    <row r="22" spans="1:16" x14ac:dyDescent="0.25">
      <c r="A22" s="13"/>
      <c r="E22" s="8"/>
      <c r="F22" s="8"/>
      <c r="G22" s="8"/>
      <c r="H22" s="38"/>
      <c r="I22" s="8"/>
      <c r="J22" s="8"/>
      <c r="K22" s="8"/>
      <c r="L22" s="8"/>
      <c r="P22" s="8"/>
    </row>
    <row r="23" spans="1:16" x14ac:dyDescent="0.25">
      <c r="A23" s="13"/>
      <c r="E23" s="8"/>
      <c r="F23" s="8"/>
      <c r="G23" s="8"/>
      <c r="H23" s="38"/>
      <c r="I23" s="8"/>
      <c r="J23" s="8"/>
      <c r="K23" s="8"/>
      <c r="L23" s="8"/>
      <c r="P23" s="8"/>
    </row>
    <row r="24" spans="1:16" x14ac:dyDescent="0.25">
      <c r="A24" s="13"/>
      <c r="E24" s="8"/>
      <c r="F24" s="8"/>
      <c r="G24" s="8"/>
      <c r="H24" s="38"/>
      <c r="I24" s="8"/>
      <c r="J24" s="8"/>
      <c r="K24" s="8"/>
      <c r="L24" s="8"/>
      <c r="P24" s="8"/>
    </row>
    <row r="25" spans="1:16" x14ac:dyDescent="0.25">
      <c r="E25" s="8"/>
      <c r="F25" s="8"/>
      <c r="G25" s="8"/>
      <c r="H25" s="38"/>
      <c r="I25" s="8"/>
      <c r="J25" s="8"/>
      <c r="K25" s="8"/>
      <c r="L25" s="8"/>
      <c r="P25" s="8"/>
    </row>
    <row r="26" spans="1:16" x14ac:dyDescent="0.25">
      <c r="E26" s="8"/>
      <c r="F26" s="8"/>
      <c r="G26" s="8"/>
      <c r="H26" s="38"/>
      <c r="I26" s="8"/>
      <c r="J26" s="8"/>
      <c r="K26" s="8"/>
      <c r="L26" s="8"/>
      <c r="P26" s="8"/>
    </row>
    <row r="27" spans="1:16" x14ac:dyDescent="0.25">
      <c r="E27" s="8"/>
      <c r="F27" s="8"/>
      <c r="G27" s="8"/>
      <c r="H27" s="38"/>
      <c r="I27" s="8"/>
      <c r="J27" s="8"/>
      <c r="K27" s="8"/>
      <c r="L27" s="8"/>
      <c r="P27" s="8"/>
    </row>
    <row r="28" spans="1:16" x14ac:dyDescent="0.25">
      <c r="E28" s="8"/>
      <c r="F28" s="8"/>
      <c r="G28" s="8"/>
      <c r="J28" s="8"/>
      <c r="K28" s="8"/>
      <c r="L28" s="8"/>
      <c r="P28" s="8"/>
    </row>
    <row r="29" spans="1:16" x14ac:dyDescent="0.25">
      <c r="E29" s="8"/>
    </row>
  </sheetData>
  <autoFilter ref="A1:I28" xr:uid="{2F4F0E8C-4F27-428E-970B-6AA51A1F15C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FCF5-8BC7-40DC-B94C-6FDFE8A5AC0B}">
  <dimension ref="A1:N34"/>
  <sheetViews>
    <sheetView workbookViewId="0">
      <pane ySplit="1" topLeftCell="A2" activePane="bottomLeft" state="frozen"/>
      <selection pane="bottomLeft" activeCell="E29" sqref="E29"/>
    </sheetView>
  </sheetViews>
  <sheetFormatPr baseColWidth="10" defaultRowHeight="15" x14ac:dyDescent="0.25"/>
  <cols>
    <col min="1" max="1" width="18" style="4" bestFit="1" customWidth="1"/>
    <col min="2" max="2" width="13.140625" style="8" bestFit="1" customWidth="1"/>
    <col min="3" max="3" width="10.42578125" style="5" bestFit="1" customWidth="1"/>
    <col min="4" max="5" width="11.42578125" style="4"/>
    <col min="6" max="8" width="11.42578125" style="8"/>
    <col min="9" max="9" width="11.42578125" style="7"/>
    <col min="12" max="12" width="0" hidden="1" customWidth="1"/>
  </cols>
  <sheetData>
    <row r="1" spans="1:9" ht="15.75" thickBot="1" x14ac:dyDescent="0.3">
      <c r="A1" s="14" t="s">
        <v>2</v>
      </c>
      <c r="B1" s="15" t="s">
        <v>5</v>
      </c>
      <c r="C1" s="16" t="s">
        <v>6</v>
      </c>
      <c r="D1" s="15" t="str" cm="1">
        <f t="array" ref="D1:I1">_xlfn._xlws.FILTER(Procesos!B1:V1, MMULT(TRANSPOSE(ROW(Procesos!B2:B25)^0), --(Procesos!B2:V25="Tostado")) &gt; 0)</f>
        <v>Avena</v>
      </c>
      <c r="E1" s="15" t="str">
        <v>Quinua</v>
      </c>
      <c r="F1" s="15" t="str">
        <v>Kiwicha</v>
      </c>
      <c r="G1" s="15" t="str">
        <v>Soya</v>
      </c>
      <c r="H1" s="15" t="str">
        <v>Trigo</v>
      </c>
      <c r="I1" s="29" t="str">
        <v>Cebada</v>
      </c>
    </row>
    <row r="2" spans="1:9" x14ac:dyDescent="0.25">
      <c r="A2" s="4" cm="1">
        <f t="array" ref="A2:C13">Mezclado!A2:C13</f>
        <v>1</v>
      </c>
      <c r="B2" s="8">
        <v>20</v>
      </c>
      <c r="C2" s="5">
        <v>45902</v>
      </c>
      <c r="D2" s="37" cm="1">
        <f t="array" ref="D2">IF(ISNUMBER(MATCH($A2, _xlfn._xlws.FILTER(Procesos!$A$2:$A$25, Procesos!B$2:B$25="Tostado"), 0)),Laminado!D2/(1-Formula!$B$18), 0)</f>
        <v>0</v>
      </c>
      <c r="E2" s="37" cm="1">
        <f t="array" ref="E2">IF(ISNUMBER(MATCH($A2, _xlfn._xlws.FILTER(Procesos!$A$2:$A$25, Procesos!C$2:C$25="Tostado"), 0)),Laminado!E2/(1-Formula!$B$18), 0)</f>
        <v>0</v>
      </c>
      <c r="F2" s="37" cm="1">
        <f t="array" ref="F2">IF(ISNUMBER(MATCH($A2, _xlfn._xlws.FILTER(Procesos!$A$2:$A$25, Procesos!D$2:D$25="Tostado"), 0)),Laminado!F2/(1-Formula!$B$18), 0)</f>
        <v>0</v>
      </c>
      <c r="G2" s="37" cm="1">
        <f t="array" ref="G2">IF(ISNUMBER(MATCH($A2, _xlfn._xlws.FILTER(Procesos!$A$2:$A$25, Procesos!F$2:F$25="Tostado"), 0)),Molido!F2/(1-Formula!$B$18), 0)</f>
        <v>0</v>
      </c>
      <c r="H2" s="37" cm="1">
        <f t="array" ref="H2">IF(ISNUMBER(MATCH($A2, _xlfn._xlws.FILTER(Procesos!$A$2:$A$25, Procesos!G$2:G$25="Tostado"), 0)),(Molido!G2)/(1-Formula!$B$18), 0)</f>
        <v>0</v>
      </c>
      <c r="I2" s="37" cm="1">
        <f t="array" ref="I2">IF(ISNUMBER(MATCH($A2, _xlfn._xlws.FILTER(Procesos!$A$2:$A$25, Procesos!H$2:H$25="Tostado"), 0)),(Molido!H2)/(1-Formula!$B$18), 0)</f>
        <v>0</v>
      </c>
    </row>
    <row r="3" spans="1:9" x14ac:dyDescent="0.25">
      <c r="A3" s="13">
        <v>2</v>
      </c>
      <c r="B3" s="8">
        <v>20</v>
      </c>
      <c r="C3" s="5">
        <v>45903</v>
      </c>
      <c r="D3" s="37" cm="1">
        <f t="array" ref="D3">IF(ISNUMBER(MATCH($A3, _xlfn._xlws.FILTER(Procesos!$A$2:$A$25, Procesos!B$2:B$25="Tostado"), 0)),Laminado!D3/(1-Formula!$B$18), 0)</f>
        <v>0</v>
      </c>
      <c r="E3" s="37" cm="1">
        <f t="array" ref="E3">IF(ISNUMBER(MATCH($A3, _xlfn._xlws.FILTER(Procesos!$A$2:$A$25, Procesos!C$2:C$25="Tostado"), 0)),Laminado!E3/(1-Formula!$B$18), 0)</f>
        <v>0</v>
      </c>
      <c r="F3" s="37" cm="1">
        <f t="array" ref="F3">IF(ISNUMBER(MATCH($A3, _xlfn._xlws.FILTER(Procesos!$A$2:$A$25, Procesos!D$2:D$25="Tostado"), 0)),Laminado!F3/(1-Formula!$B$18), 0)</f>
        <v>4.2044339886319433</v>
      </c>
      <c r="G3" s="37" cm="1">
        <f t="array" ref="G3">IF(ISNUMBER(MATCH($A3, _xlfn._xlws.FILTER(Procesos!$A$2:$A$25, Procesos!F$2:F$25="Tostado"), 0)),Molido!F3/(1-Formula!$B$18), 0)</f>
        <v>0</v>
      </c>
      <c r="H3" s="37" cm="1">
        <f t="array" ref="H3">IF(ISNUMBER(MATCH($A3, _xlfn._xlws.FILTER(Procesos!$A$2:$A$25, Procesos!G$2:G$25="Tostado"), 0)),(Molido!G3)/(1-Formula!$B$18), 0)</f>
        <v>0</v>
      </c>
      <c r="I3" s="37" cm="1">
        <f t="array" ref="I3">IF(ISNUMBER(MATCH($A3, _xlfn._xlws.FILTER(Procesos!$A$2:$A$25, Procesos!H$2:H$25="Tostado"), 0)),(Molido!H3)/(1-Formula!$B$18), 0)</f>
        <v>0</v>
      </c>
    </row>
    <row r="4" spans="1:9" x14ac:dyDescent="0.25">
      <c r="A4" s="13">
        <v>3</v>
      </c>
      <c r="B4" s="8">
        <v>20</v>
      </c>
      <c r="C4" s="5">
        <v>45909</v>
      </c>
      <c r="D4" s="37" cm="1">
        <f t="array" ref="D4">IF(ISNUMBER(MATCH($A4, _xlfn._xlws.FILTER(Procesos!$A$2:$A$25, Procesos!B$2:B$25="Tostado"), 0)),Laminado!D4/(1-Formula!$B$18), 0)</f>
        <v>0</v>
      </c>
      <c r="E4" s="37" cm="1">
        <f t="array" ref="E4">IF(ISNUMBER(MATCH($A4, _xlfn._xlws.FILTER(Procesos!$A$2:$A$25, Procesos!C$2:C$25="Tostado"), 0)),Laminado!E4/(1-Formula!$B$18), 0)</f>
        <v>0</v>
      </c>
      <c r="F4" s="37" cm="1">
        <f t="array" ref="F4">IF(ISNUMBER(MATCH($A4, _xlfn._xlws.FILTER(Procesos!$A$2:$A$25, Procesos!D$2:D$25="Tostado"), 0)),Laminado!F4/(1-Formula!$B$18), 0)</f>
        <v>0</v>
      </c>
      <c r="G4" s="37" cm="1">
        <f t="array" ref="G4">IF(ISNUMBER(MATCH($A4, _xlfn._xlws.FILTER(Procesos!$A$2:$A$25, Procesos!F$2:F$25="Tostado"), 0)),Molido!F4/(1-Formula!$B$18), 0)</f>
        <v>0</v>
      </c>
      <c r="H4" s="37" cm="1">
        <f t="array" ref="H4">IF(ISNUMBER(MATCH($A4, _xlfn._xlws.FILTER(Procesos!$A$2:$A$25, Procesos!G$2:G$25="Tostado"), 0)),(Molido!G4)/(1-Formula!$B$18), 0)</f>
        <v>0</v>
      </c>
      <c r="I4" s="37" cm="1">
        <f t="array" ref="I4">IF(ISNUMBER(MATCH($A4, _xlfn._xlws.FILTER(Procesos!$A$2:$A$25, Procesos!H$2:H$25="Tostado"), 0)),(Molido!H4)/(1-Formula!$B$18), 0)</f>
        <v>0</v>
      </c>
    </row>
    <row r="5" spans="1:9" x14ac:dyDescent="0.25">
      <c r="A5" s="13">
        <v>4</v>
      </c>
      <c r="B5" s="8">
        <v>20</v>
      </c>
      <c r="C5" s="5">
        <v>45925</v>
      </c>
      <c r="D5" s="37" cm="1">
        <f t="array" ref="D5">IF(ISNUMBER(MATCH($A5, _xlfn._xlws.FILTER(Procesos!$A$2:$A$25, Procesos!B$2:B$25="Tostado"), 0)),Laminado!D5/(1-Formula!$B$18), 0)</f>
        <v>2.9457949610158818</v>
      </c>
      <c r="E5" s="37" cm="1">
        <f t="array" ref="E5">IF(ISNUMBER(MATCH($A5, _xlfn._xlws.FILTER(Procesos!$A$2:$A$25, Procesos!C$2:C$25="Tostado"), 0)),Laminado!E5/(1-Formula!$B$18), 0)</f>
        <v>2.6518365039081826</v>
      </c>
      <c r="F5" s="37" cm="1">
        <f t="array" ref="F5">IF(ISNUMBER(MATCH($A5, _xlfn._xlws.FILTER(Procesos!$A$2:$A$25, Procesos!D$2:D$25="Tostado"), 0)),Laminado!F5/(1-Formula!$B$18), 0)</f>
        <v>0</v>
      </c>
      <c r="G5" s="37" cm="1">
        <f t="array" ref="G5">IF(ISNUMBER(MATCH($A5, _xlfn._xlws.FILTER(Procesos!$A$2:$A$25, Procesos!F$2:F$25="Tostado"), 0)),Molido!F5/(1-Formula!$B$18), 0)</f>
        <v>0</v>
      </c>
      <c r="H5" s="37" cm="1">
        <f t="array" ref="H5">IF(ISNUMBER(MATCH($A5, _xlfn._xlws.FILTER(Procesos!$A$2:$A$25, Procesos!G$2:G$25="Tostado"), 0)),(Molido!G5)/(1-Formula!$B$18), 0)</f>
        <v>0</v>
      </c>
      <c r="I5" s="37" cm="1">
        <f t="array" ref="I5">IF(ISNUMBER(MATCH($A5, _xlfn._xlws.FILTER(Procesos!$A$2:$A$25, Procesos!H$2:H$25="Tostado"), 0)),(Molido!H5)/(1-Formula!$B$18), 0)</f>
        <v>0</v>
      </c>
    </row>
    <row r="6" spans="1:9" x14ac:dyDescent="0.25">
      <c r="A6" s="13">
        <v>5</v>
      </c>
      <c r="B6" s="8">
        <v>20</v>
      </c>
      <c r="C6" s="5">
        <v>45926</v>
      </c>
      <c r="D6" s="37" cm="1">
        <f t="array" ref="D6">IF(ISNUMBER(MATCH($A6, _xlfn._xlws.FILTER(Procesos!$A$2:$A$25, Procesos!B$2:B$25="Tostado"), 0)),Laminado!D6/(1-Formula!$B$18), 0)</f>
        <v>0</v>
      </c>
      <c r="E6" s="37" cm="1">
        <f t="array" ref="E6">IF(ISNUMBER(MATCH($A6, _xlfn._xlws.FILTER(Procesos!$A$2:$A$25, Procesos!C$2:C$25="Tostado"), 0)),Laminado!E6/(1-Formula!$B$18), 0)</f>
        <v>0</v>
      </c>
      <c r="F6" s="37" cm="1">
        <f t="array" ref="F6">IF(ISNUMBER(MATCH($A6, _xlfn._xlws.FILTER(Procesos!$A$2:$A$25, Procesos!D$2:D$25="Tostado"), 0)),Laminado!F6/(1-Formula!$B$18), 0)</f>
        <v>0</v>
      </c>
      <c r="G6" s="37" cm="1">
        <f t="array" ref="G6">IF(ISNUMBER(MATCH($A6, _xlfn._xlws.FILTER(Procesos!$A$2:$A$25, Procesos!F$2:F$25="Tostado"), 0)),Molido!F6/(1-Formula!$B$18), 0)</f>
        <v>0</v>
      </c>
      <c r="H6" s="37" cm="1">
        <f t="array" ref="H6">IF(ISNUMBER(MATCH($A6, _xlfn._xlws.FILTER(Procesos!$A$2:$A$25, Procesos!G$2:G$25="Tostado"), 0)),(Molido!G6)/(1-Formula!$B$18), 0)</f>
        <v>0</v>
      </c>
      <c r="I6" s="37" cm="1">
        <f t="array" ref="I6">IF(ISNUMBER(MATCH($A6, _xlfn._xlws.FILTER(Procesos!$A$2:$A$25, Procesos!H$2:H$25="Tostado"), 0)),(Molido!H6)/(1-Formula!$B$18), 0)</f>
        <v>0</v>
      </c>
    </row>
    <row r="7" spans="1:9" x14ac:dyDescent="0.25">
      <c r="A7" s="13">
        <v>6</v>
      </c>
      <c r="B7" s="8">
        <v>20</v>
      </c>
      <c r="C7" s="5">
        <v>45926</v>
      </c>
      <c r="D7" s="37" cm="1">
        <f t="array" ref="D7">IF(ISNUMBER(MATCH($A7, _xlfn._xlws.FILTER(Procesos!$A$2:$A$25, Procesos!B$2:B$25="Tostado"), 0)),Laminado!D7/(1-Formula!$B$18), 0)</f>
        <v>0</v>
      </c>
      <c r="E7" s="37" cm="1">
        <f t="array" ref="E7">IF(ISNUMBER(MATCH($A7, _xlfn._xlws.FILTER(Procesos!$A$2:$A$25, Procesos!C$2:C$25="Tostado"), 0)),Laminado!E7/(1-Formula!$B$18), 0)</f>
        <v>0</v>
      </c>
      <c r="F7" s="37" cm="1">
        <f t="array" ref="F7">IF(ISNUMBER(MATCH($A7, _xlfn._xlws.FILTER(Procesos!$A$2:$A$25, Procesos!D$2:D$25="Tostado"), 0)),Laminado!F7/(1-Formula!$B$18), 0)</f>
        <v>0</v>
      </c>
      <c r="G7" s="37" cm="1">
        <f t="array" ref="G7">IF(ISNUMBER(MATCH($A7, _xlfn._xlws.FILTER(Procesos!$A$2:$A$25, Procesos!F$2:F$25="Tostado"), 0)),Molido!F7/(1-Formula!$B$18), 0)</f>
        <v>0</v>
      </c>
      <c r="H7" s="37" cm="1">
        <f t="array" ref="H7">IF(ISNUMBER(MATCH($A7, _xlfn._xlws.FILTER(Procesos!$A$2:$A$25, Procesos!G$2:G$25="Tostado"), 0)),(Molido!G7)/(1-Formula!$B$18), 0)</f>
        <v>0</v>
      </c>
      <c r="I7" s="37" cm="1">
        <f t="array" ref="I7">IF(ISNUMBER(MATCH($A7, _xlfn._xlws.FILTER(Procesos!$A$2:$A$25, Procesos!H$2:H$25="Tostado"), 0)),(Molido!H7)/(1-Formula!$B$18), 0)</f>
        <v>0</v>
      </c>
    </row>
    <row r="8" spans="1:9" x14ac:dyDescent="0.25">
      <c r="A8" s="13">
        <v>7</v>
      </c>
      <c r="B8" s="8">
        <v>20</v>
      </c>
      <c r="C8" s="5">
        <v>45938</v>
      </c>
      <c r="D8" s="37" cm="1">
        <f t="array" ref="D8">IF(ISNUMBER(MATCH($A8, _xlfn._xlws.FILTER(Procesos!$A$2:$A$25, Procesos!B$2:B$25="Tostado"), 0)),Laminado!D8/(1-Formula!$B$18), 0)</f>
        <v>0</v>
      </c>
      <c r="E8" s="37" cm="1">
        <f t="array" ref="E8">IF(ISNUMBER(MATCH($A8, _xlfn._xlws.FILTER(Procesos!$A$2:$A$25, Procesos!C$2:C$25="Tostado"), 0)),Laminado!E8/(1-Formula!$B$18), 0)</f>
        <v>0</v>
      </c>
      <c r="F8" s="37" cm="1">
        <f t="array" ref="F8">IF(ISNUMBER(MATCH($A8, _xlfn._xlws.FILTER(Procesos!$A$2:$A$25, Procesos!D$2:D$25="Tostado"), 0)),Laminado!F8/(1-Formula!$B$18), 0)</f>
        <v>4.9496807812993486</v>
      </c>
      <c r="G8" s="37" cm="1">
        <f t="array" ref="G8">IF(ISNUMBER(MATCH($A8, _xlfn._xlws.FILTER(Procesos!$A$2:$A$25, Procesos!F$2:F$25="Tostado"), 0)),Molido!F8/(1-Formula!$B$18), 0)</f>
        <v>0</v>
      </c>
      <c r="H8" s="37" cm="1">
        <f t="array" ref="H8">IF(ISNUMBER(MATCH($A8, _xlfn._xlws.FILTER(Procesos!$A$2:$A$25, Procesos!G$2:G$25="Tostado"), 0)),(Molido!G8)/(1-Formula!$B$18), 0)</f>
        <v>2.2892659122408756</v>
      </c>
      <c r="I8" s="37" cm="1">
        <f t="array" ref="I8">IF(ISNUMBER(MATCH($A8, _xlfn._xlws.FILTER(Procesos!$A$2:$A$25, Procesos!H$2:H$25="Tostado"), 0)),(Molido!H8)/(1-Formula!$B$18), 0)</f>
        <v>2.7462766785299917</v>
      </c>
    </row>
    <row r="9" spans="1:9" x14ac:dyDescent="0.25">
      <c r="A9" s="13">
        <v>8</v>
      </c>
      <c r="B9" s="8">
        <v>20</v>
      </c>
      <c r="C9" s="5">
        <v>45938</v>
      </c>
      <c r="D9" s="37" cm="1">
        <f t="array" ref="D9">IF(ISNUMBER(MATCH($A9, _xlfn._xlws.FILTER(Procesos!$A$2:$A$25, Procesos!B$2:B$25="Tostado"), 0)),Laminado!D9/(1-Formula!$B$18), 0)</f>
        <v>0</v>
      </c>
      <c r="E9" s="37" cm="1">
        <f t="array" ref="E9">IF(ISNUMBER(MATCH($A9, _xlfn._xlws.FILTER(Procesos!$A$2:$A$25, Procesos!C$2:C$25="Tostado"), 0)),Laminado!E9/(1-Formula!$B$18), 0)</f>
        <v>0</v>
      </c>
      <c r="F9" s="37" cm="1">
        <f t="array" ref="F9">IF(ISNUMBER(MATCH($A9, _xlfn._xlws.FILTER(Procesos!$A$2:$A$25, Procesos!D$2:D$25="Tostado"), 0)),Laminado!F9/(1-Formula!$B$18), 0)</f>
        <v>0</v>
      </c>
      <c r="G9" s="37" cm="1">
        <f t="array" ref="G9">IF(ISNUMBER(MATCH($A9, _xlfn._xlws.FILTER(Procesos!$A$2:$A$25, Procesos!F$2:F$25="Tostado"), 0)),Molido!F9/(1-Formula!$B$18), 0)</f>
        <v>0</v>
      </c>
      <c r="H9" s="37" cm="1">
        <f t="array" ref="H9">IF(ISNUMBER(MATCH($A9, _xlfn._xlws.FILTER(Procesos!$A$2:$A$25, Procesos!G$2:G$25="Tostado"), 0)),(Molido!G9)/(1-Formula!$B$18), 0)</f>
        <v>0</v>
      </c>
      <c r="I9" s="37" cm="1">
        <f t="array" ref="I9">IF(ISNUMBER(MATCH($A9, _xlfn._xlws.FILTER(Procesos!$A$2:$A$25, Procesos!H$2:H$25="Tostado"), 0)),(Molido!H9)/(1-Formula!$B$18), 0)</f>
        <v>0</v>
      </c>
    </row>
    <row r="10" spans="1:9" x14ac:dyDescent="0.25">
      <c r="A10" s="13">
        <v>9</v>
      </c>
      <c r="B10" s="8">
        <v>20</v>
      </c>
      <c r="C10" s="5">
        <v>45938</v>
      </c>
      <c r="D10" s="37" cm="1">
        <f t="array" ref="D10">IF(ISNUMBER(MATCH($A10, _xlfn._xlws.FILTER(Procesos!$A$2:$A$25, Procesos!B$2:B$25="Tostado"), 0)),Laminado!D10/(1-Formula!$B$18), 0)</f>
        <v>0</v>
      </c>
      <c r="E10" s="37" cm="1">
        <f t="array" ref="E10">IF(ISNUMBER(MATCH($A10, _xlfn._xlws.FILTER(Procesos!$A$2:$A$25, Procesos!C$2:C$25="Tostado"), 0)),Laminado!E10/(1-Formula!$B$18), 0)</f>
        <v>0</v>
      </c>
      <c r="F10" s="37" cm="1">
        <f t="array" ref="F10">IF(ISNUMBER(MATCH($A10, _xlfn._xlws.FILTER(Procesos!$A$2:$A$25, Procesos!D$2:D$25="Tostado"), 0)),Laminado!F10/(1-Formula!$B$18), 0)</f>
        <v>0</v>
      </c>
      <c r="G10" s="37" cm="1">
        <f t="array" ref="G10">IF(ISNUMBER(MATCH($A10, _xlfn._xlws.FILTER(Procesos!$A$2:$A$25, Procesos!F$2:F$25="Tostado"), 0)),Molido!F10/(1-Formula!$B$18), 0)</f>
        <v>0</v>
      </c>
      <c r="H10" s="37" cm="1">
        <f t="array" ref="H10">IF(ISNUMBER(MATCH($A10, _xlfn._xlws.FILTER(Procesos!$A$2:$A$25, Procesos!G$2:G$25="Tostado"), 0)),(Molido!G10)/(1-Formula!$B$18), 0)</f>
        <v>0</v>
      </c>
      <c r="I10" s="37" cm="1">
        <f t="array" ref="I10">IF(ISNUMBER(MATCH($A10, _xlfn._xlws.FILTER(Procesos!$A$2:$A$25, Procesos!H$2:H$25="Tostado"), 0)),(Molido!H10)/(1-Formula!$B$18), 0)</f>
        <v>0</v>
      </c>
    </row>
    <row r="11" spans="1:9" x14ac:dyDescent="0.25">
      <c r="A11" s="13">
        <v>10</v>
      </c>
      <c r="B11" s="8">
        <v>20</v>
      </c>
      <c r="C11" s="5">
        <v>45956</v>
      </c>
      <c r="D11" s="37" cm="1">
        <f t="array" ref="D11">IF(ISNUMBER(MATCH($A11, _xlfn._xlws.FILTER(Procesos!$A$2:$A$25, Procesos!B$2:B$25="Tostado"), 0)),Laminado!D11/(1-Formula!$B$18), 0)</f>
        <v>0.80631562706653959</v>
      </c>
      <c r="E11" s="37" cm="1">
        <f t="array" ref="E11">IF(ISNUMBER(MATCH($A11, _xlfn._xlws.FILTER(Procesos!$A$2:$A$25, Procesos!C$2:C$25="Tostado"), 0)),Laminado!E11/(1-Formula!$B$18), 0)</f>
        <v>0.80631562706653959</v>
      </c>
      <c r="F11" s="37" cm="1">
        <f t="array" ref="F11">IF(ISNUMBER(MATCH($A11, _xlfn._xlws.FILTER(Procesos!$A$2:$A$25, Procesos!D$2:D$25="Tostado"), 0)),Laminado!F11/(1-Formula!$B$18), 0)</f>
        <v>0</v>
      </c>
      <c r="G11" s="37" cm="1">
        <f t="array" ref="G11">IF(ISNUMBER(MATCH($A11, _xlfn._xlws.FILTER(Procesos!$A$2:$A$25, Procesos!F$2:F$25="Tostado"), 0)),Molido!F11/(1-Formula!$B$18), 0)</f>
        <v>0</v>
      </c>
      <c r="H11" s="37" cm="1">
        <f t="array" ref="H11">IF(ISNUMBER(MATCH($A11, _xlfn._xlws.FILTER(Procesos!$A$2:$A$25, Procesos!G$2:G$25="Tostado"), 0)),(Molido!G11)/(1-Formula!$B$18), 0)</f>
        <v>0</v>
      </c>
      <c r="I11" s="37" cm="1">
        <f t="array" ref="I11">IF(ISNUMBER(MATCH($A11, _xlfn._xlws.FILTER(Procesos!$A$2:$A$25, Procesos!H$2:H$25="Tostado"), 0)),(Molido!H11)/(1-Formula!$B$18), 0)</f>
        <v>0</v>
      </c>
    </row>
    <row r="12" spans="1:9" x14ac:dyDescent="0.25">
      <c r="A12" s="13">
        <v>11</v>
      </c>
      <c r="B12" s="8">
        <v>20</v>
      </c>
      <c r="C12" s="5">
        <v>45987</v>
      </c>
      <c r="D12" s="37" cm="1">
        <f t="array" ref="D12">IF(ISNUMBER(MATCH($A12, _xlfn._xlws.FILTER(Procesos!$A$2:$A$25, Procesos!B$2:B$25="Tostado"), 0)),Laminado!D12/(1-Formula!$B$18), 0)</f>
        <v>0</v>
      </c>
      <c r="E12" s="37" cm="1">
        <f t="array" ref="E12">IF(ISNUMBER(MATCH($A12, _xlfn._xlws.FILTER(Procesos!$A$2:$A$25, Procesos!C$2:C$25="Tostado"), 0)),Laminado!E12/(1-Formula!$B$18), 0)</f>
        <v>0</v>
      </c>
      <c r="F12" s="37" cm="1">
        <f t="array" ref="F12">IF(ISNUMBER(MATCH($A12, _xlfn._xlws.FILTER(Procesos!$A$2:$A$25, Procesos!D$2:D$25="Tostado"), 0)),Laminado!F12/(1-Formula!$B$18), 0)</f>
        <v>0</v>
      </c>
      <c r="G12" s="37" cm="1">
        <f t="array" ref="G12">IF(ISNUMBER(MATCH($A12, _xlfn._xlws.FILTER(Procesos!$A$2:$A$25, Procesos!F$2:F$25="Tostado"), 0)),Molido!F12/(1-Formula!$B$18), 0)</f>
        <v>0</v>
      </c>
      <c r="H12" s="37" cm="1">
        <f t="array" ref="H12">IF(ISNUMBER(MATCH($A12, _xlfn._xlws.FILTER(Procesos!$A$2:$A$25, Procesos!G$2:G$25="Tostado"), 0)),(Molido!G12)/(1-Formula!$B$18), 0)</f>
        <v>0</v>
      </c>
      <c r="I12" s="37" cm="1">
        <f t="array" ref="I12">IF(ISNUMBER(MATCH($A12, _xlfn._xlws.FILTER(Procesos!$A$2:$A$25, Procesos!H$2:H$25="Tostado"), 0)),(Molido!H12)/(1-Formula!$B$18), 0)</f>
        <v>0</v>
      </c>
    </row>
    <row r="13" spans="1:9" x14ac:dyDescent="0.25">
      <c r="A13" s="13">
        <v>12</v>
      </c>
      <c r="B13" s="8">
        <v>20</v>
      </c>
      <c r="C13" s="5">
        <v>46019</v>
      </c>
      <c r="D13" s="37" cm="1">
        <f t="array" ref="D13">IF(ISNUMBER(MATCH($A13, _xlfn._xlws.FILTER(Procesos!$A$2:$A$25, Procesos!B$2:B$25="Tostado"), 0)),Laminado!D13/(1-Formula!$B$18), 0)</f>
        <v>0</v>
      </c>
      <c r="E13" s="37" cm="1">
        <f t="array" ref="E13">IF(ISNUMBER(MATCH($A13, _xlfn._xlws.FILTER(Procesos!$A$2:$A$25, Procesos!C$2:C$25="Tostado"), 0)),Laminado!E13/(1-Formula!$B$18), 0)</f>
        <v>0</v>
      </c>
      <c r="F13" s="37" cm="1">
        <f t="array" ref="F13">IF(ISNUMBER(MATCH($A13, _xlfn._xlws.FILTER(Procesos!$A$2:$A$25, Procesos!D$2:D$25="Tostado"), 0)),Laminado!F13/(1-Formula!$B$18), 0)</f>
        <v>0</v>
      </c>
      <c r="G13" s="37" cm="1">
        <f t="array" ref="G13">IF(ISNUMBER(MATCH($A13, _xlfn._xlws.FILTER(Procesos!$A$2:$A$25, Procesos!F$2:F$25="Tostado"), 0)),Molido!F13/(1-Formula!$B$18), 0)</f>
        <v>1.7185289644788908</v>
      </c>
      <c r="H13" s="37" cm="1">
        <f t="array" ref="H13">IF(ISNUMBER(MATCH($A13, _xlfn._xlws.FILTER(Procesos!$A$2:$A$25, Procesos!G$2:G$25="Tostado"), 0)),(Molido!G13)/(1-Formula!$B$18), 0)</f>
        <v>0</v>
      </c>
      <c r="I13" s="37" cm="1">
        <f t="array" ref="I13">IF(ISNUMBER(MATCH($A13, _xlfn._xlws.FILTER(Procesos!$A$2:$A$25, Procesos!H$2:H$25="Tostado"), 0)),(Molido!H13)/(1-Formula!$B$18), 0)</f>
        <v>0</v>
      </c>
    </row>
    <row r="14" spans="1:9" x14ac:dyDescent="0.25">
      <c r="A14" s="13"/>
      <c r="D14"/>
      <c r="E14"/>
      <c r="F14"/>
    </row>
    <row r="15" spans="1:9" x14ac:dyDescent="0.25">
      <c r="A15" s="13"/>
      <c r="D15"/>
      <c r="E15"/>
      <c r="F15"/>
    </row>
    <row r="16" spans="1:9" x14ac:dyDescent="0.25">
      <c r="A16" s="13"/>
      <c r="D16"/>
      <c r="E16"/>
      <c r="F16"/>
    </row>
    <row r="17" spans="1:14" x14ac:dyDescent="0.25">
      <c r="A17" s="13"/>
      <c r="D17"/>
      <c r="E17"/>
      <c r="F17"/>
    </row>
    <row r="18" spans="1:14" x14ac:dyDescent="0.25">
      <c r="A18" s="13"/>
      <c r="D18"/>
      <c r="E18"/>
      <c r="F18"/>
    </row>
    <row r="19" spans="1:14" x14ac:dyDescent="0.25">
      <c r="A19" s="13"/>
      <c r="D19"/>
      <c r="E19"/>
      <c r="F19"/>
    </row>
    <row r="20" spans="1:14" x14ac:dyDescent="0.25">
      <c r="A20" s="13"/>
      <c r="D20"/>
      <c r="E20"/>
      <c r="F20"/>
    </row>
    <row r="21" spans="1:14" x14ac:dyDescent="0.25">
      <c r="A21" s="13"/>
      <c r="D21"/>
      <c r="E21"/>
      <c r="F21"/>
    </row>
    <row r="22" spans="1:14" x14ac:dyDescent="0.25">
      <c r="A22" s="13"/>
      <c r="D22"/>
      <c r="E22"/>
      <c r="F22"/>
    </row>
    <row r="23" spans="1:14" x14ac:dyDescent="0.25">
      <c r="A23" s="13"/>
      <c r="D23"/>
      <c r="E23"/>
      <c r="F23"/>
    </row>
    <row r="24" spans="1:14" x14ac:dyDescent="0.25">
      <c r="A24" s="13"/>
      <c r="D24"/>
      <c r="E24"/>
      <c r="F24"/>
    </row>
    <row r="25" spans="1:14" x14ac:dyDescent="0.25">
      <c r="D25"/>
      <c r="E25"/>
      <c r="F25"/>
      <c r="M25" s="34"/>
      <c r="N25" s="34"/>
    </row>
    <row r="26" spans="1:14" x14ac:dyDescent="0.25">
      <c r="D26"/>
      <c r="E26"/>
      <c r="F26"/>
    </row>
    <row r="27" spans="1:14" x14ac:dyDescent="0.25">
      <c r="D27"/>
      <c r="E27"/>
      <c r="F27"/>
    </row>
    <row r="28" spans="1:14" x14ac:dyDescent="0.25">
      <c r="D28"/>
      <c r="E28"/>
      <c r="F28"/>
      <c r="I28" s="8"/>
    </row>
    <row r="29" spans="1:14" x14ac:dyDescent="0.25">
      <c r="D29"/>
      <c r="E29"/>
      <c r="F29"/>
    </row>
    <row r="30" spans="1:14" x14ac:dyDescent="0.25">
      <c r="D30"/>
      <c r="E30"/>
      <c r="F30"/>
    </row>
    <row r="32" spans="1:14" x14ac:dyDescent="0.25">
      <c r="I32" s="8"/>
    </row>
    <row r="33" spans="9:9" x14ac:dyDescent="0.25">
      <c r="I33" s="8"/>
    </row>
    <row r="34" spans="9:9" x14ac:dyDescent="0.25">
      <c r="I34" s="8"/>
    </row>
  </sheetData>
  <autoFilter ref="A1:H29" xr:uid="{4471FCF5-8BC7-40DC-B94C-6FDFE8A5AC0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086A-2D07-48C4-9FDC-15B21F2FC4C4}">
  <dimension ref="A1:AC76"/>
  <sheetViews>
    <sheetView workbookViewId="0">
      <pane ySplit="1" topLeftCell="A2" activePane="bottomLeft" state="frozen"/>
      <selection pane="bottomLeft" activeCell="Z23" sqref="Z23"/>
    </sheetView>
  </sheetViews>
  <sheetFormatPr baseColWidth="10" defaultRowHeight="15" x14ac:dyDescent="0.25"/>
  <cols>
    <col min="1" max="1" width="18" style="4" bestFit="1" customWidth="1"/>
    <col min="2" max="2" width="13" style="8" bestFit="1" customWidth="1"/>
    <col min="3" max="3" width="11.42578125" style="5"/>
    <col min="4" max="5" width="11.28515625" style="8" customWidth="1"/>
    <col min="6" max="6" width="14.85546875" style="8" customWidth="1"/>
    <col min="7" max="8" width="10.85546875" style="8" customWidth="1"/>
    <col min="9" max="9" width="12.5703125" style="8" customWidth="1"/>
    <col min="10" max="10" width="9.140625" style="8" customWidth="1"/>
    <col min="11" max="11" width="12.85546875" style="8" customWidth="1"/>
    <col min="12" max="13" width="11.42578125" style="8" bestFit="1" customWidth="1"/>
    <col min="14" max="14" width="10.28515625" style="8" customWidth="1"/>
    <col min="15" max="15" width="9.140625" style="8" bestFit="1" customWidth="1"/>
    <col min="16" max="17" width="9" style="8" customWidth="1"/>
    <col min="18" max="18" width="11.42578125" style="8"/>
    <col min="19" max="19" width="13.140625" style="8" customWidth="1"/>
    <col min="20" max="28" width="11.42578125" style="8"/>
    <col min="29" max="29" width="11" customWidth="1"/>
  </cols>
  <sheetData>
    <row r="1" spans="1:29" ht="30.75" thickBot="1" x14ac:dyDescent="0.3">
      <c r="A1" s="14" t="s">
        <v>2</v>
      </c>
      <c r="B1" s="15" t="s">
        <v>5</v>
      </c>
      <c r="C1" s="16" t="s">
        <v>6</v>
      </c>
      <c r="D1" s="15" t="str" cm="1">
        <f t="array" ref="D1:AB1">Formula!B1:Z1</f>
        <v>Avena</v>
      </c>
      <c r="E1" s="15" t="str">
        <v>Quinua</v>
      </c>
      <c r="F1" s="15" t="str">
        <v>Kiwicha</v>
      </c>
      <c r="G1" s="15" t="str">
        <v>Maca</v>
      </c>
      <c r="H1" s="15" t="str">
        <v>Soya</v>
      </c>
      <c r="I1" s="15" t="str">
        <v>Trigo</v>
      </c>
      <c r="J1" s="15" t="str">
        <v>Cebada</v>
      </c>
      <c r="K1" s="15" t="str">
        <v>Cañihua</v>
      </c>
      <c r="L1" s="15" t="str">
        <v>Habas</v>
      </c>
      <c r="M1" s="15" t="str">
        <v>Arveja</v>
      </c>
      <c r="N1" s="15" t="str">
        <v>Harina de plátano</v>
      </c>
      <c r="O1" s="15" t="str">
        <v>Harina de lucuma</v>
      </c>
      <c r="P1" s="15" t="str">
        <v>Ajonjoli</v>
      </c>
      <c r="Q1" s="15" t="str">
        <v>Linaza</v>
      </c>
      <c r="R1" s="15" t="str">
        <v>Aceite Soya</v>
      </c>
      <c r="S1" s="15" t="str">
        <v>Aceite Girasol</v>
      </c>
      <c r="T1" s="15" t="str">
        <v>Lenteja</v>
      </c>
      <c r="U1" s="15" t="str">
        <v>Arroz</v>
      </c>
      <c r="V1" s="15" t="str">
        <v>Maizena</v>
      </c>
      <c r="W1" s="15" t="str">
        <v>Almidon Maca</v>
      </c>
      <c r="X1" s="15" t="str">
        <v>Maiz</v>
      </c>
      <c r="Y1" s="15" t="str">
        <v>Sulfato ferroso</v>
      </c>
      <c r="Z1" s="15" t="str">
        <v>Proteina soya</v>
      </c>
      <c r="AA1" s="15" t="str">
        <v>Fosfato Tricálcio</v>
      </c>
      <c r="AB1" s="15" t="str">
        <v>Mix vitaminico</v>
      </c>
      <c r="AC1" s="36"/>
    </row>
    <row r="2" spans="1:29" x14ac:dyDescent="0.25">
      <c r="A2" s="13" cm="1">
        <f t="array" ref="A2:A13">General!A2:A13</f>
        <v>1</v>
      </c>
      <c r="B2" s="8" cm="1">
        <f t="array" ref="B2:C13">General!F2:G13</f>
        <v>20</v>
      </c>
      <c r="C2" s="5">
        <v>45902</v>
      </c>
      <c r="D2" s="8" cm="1">
        <f t="array" ref="D2:D13">IF(Tostado!D2:D13=0,Laminado!D2:D13,Tostado!D2:D13)</f>
        <v>0</v>
      </c>
      <c r="E2" s="8" cm="1">
        <f t="array" ref="E2:E13">IF(Tostado!E2:E13=0,Laminado!E2:E13+Molido!D2:D13,Tostado!E2:E13)</f>
        <v>1.2093726379440668</v>
      </c>
      <c r="F2" s="8" cm="1">
        <f t="array" ref="F2:F13">IF(Tostado!F2:F13=0,Laminado!F2:F13+Molido!E2:E13,Tostado!F2:F13)</f>
        <v>0.24105738391452677</v>
      </c>
      <c r="G2" s="8" cm="1">
        <f t="array" ref="G2:G13">Mezclado!H2:H13</f>
        <v>0</v>
      </c>
      <c r="H2" s="8" cm="1">
        <f t="array" ref="H2:H13">IF(Tostado!G2:G13=0,Molido!F2:F13,Tostado!G2:G13)</f>
        <v>0</v>
      </c>
      <c r="I2" s="8" cm="1">
        <f t="array" ref="I2:I13">IF(Tostado!H2:H13=0,Laminado!G2:G13+Molido!G2:G13,Tostado!H2:H13)</f>
        <v>0</v>
      </c>
      <c r="J2" s="8" cm="1">
        <f t="array" ref="J2:J13">IF(Tostado!I2:I13=0,Molido!H2:H13,Tostado!I2:I13)</f>
        <v>0.55565769851484137</v>
      </c>
      <c r="K2" s="8" cm="1">
        <f t="array" ref="K2:K13">Laminado!H2:H13</f>
        <v>0</v>
      </c>
      <c r="L2" s="8" cm="1">
        <f t="array" ref="L2:L13">Molido!J2:J13</f>
        <v>1.2093726379440668</v>
      </c>
      <c r="M2" s="8" cm="1">
        <f t="array" ref="M2:M13">Molido!K2:K13</f>
        <v>1.0643296357582073</v>
      </c>
      <c r="N2" s="8" cm="1">
        <f t="array" ref="N2:N13">Mezclado!O2:O13</f>
        <v>2.3703703703703707</v>
      </c>
      <c r="O2" s="8" cm="1">
        <f t="array" ref="O2:O13">Mezclado!P2:P13</f>
        <v>0</v>
      </c>
      <c r="P2" s="8" cm="1">
        <f t="array" ref="P2:P13">Molido!L2:L13</f>
        <v>0</v>
      </c>
      <c r="Q2" s="8" cm="1">
        <f t="array" ref="Q2:Q13">Molido!M2:M13</f>
        <v>0</v>
      </c>
      <c r="R2" s="8" cm="1">
        <f t="array" ref="R2:R13">Mezclado!S2:S13</f>
        <v>0</v>
      </c>
      <c r="S2" s="8" cm="1">
        <f t="array" ref="S2:S13">Mezclado!T2:T13</f>
        <v>0</v>
      </c>
      <c r="T2" s="8" cm="1">
        <f t="array" ref="T2:T13">Molido!N2:N13</f>
        <v>0</v>
      </c>
      <c r="U2" s="8" cm="1">
        <f t="array" ref="U2:U13">Molido!O2:O13</f>
        <v>0</v>
      </c>
      <c r="V2" s="8" cm="1">
        <f t="array" ref="V2:V13">Mezclado!W2:W13</f>
        <v>0</v>
      </c>
      <c r="W2" s="8" cm="1">
        <f t="array" ref="W2:W13">Mezclado!X2:X13</f>
        <v>0</v>
      </c>
      <c r="X2" s="8" cm="1">
        <f t="array" ref="X2:X13">Molido!P2:P13</f>
        <v>0</v>
      </c>
      <c r="Y2" s="8" cm="1">
        <f t="array" ref="Y2:Y13">Mezclado!Z2:Z13</f>
        <v>0</v>
      </c>
      <c r="Z2" s="8" cm="1">
        <f t="array" ref="Z2:Z13">Mezclado!AA2:AA13</f>
        <v>0</v>
      </c>
      <c r="AA2" s="8" cm="1">
        <f t="array" ref="AA2:AA13">Mezclado!AB2:AB13</f>
        <v>1.005005005005005</v>
      </c>
      <c r="AB2" s="8" cm="1">
        <f t="array" ref="AB2:AB13">Mezclado!AC2:AC13</f>
        <v>5.6056056056056056E-2</v>
      </c>
      <c r="AC2" s="8"/>
    </row>
    <row r="3" spans="1:29" x14ac:dyDescent="0.25">
      <c r="A3" s="13">
        <v>2</v>
      </c>
      <c r="B3" s="8">
        <v>20</v>
      </c>
      <c r="C3" s="5">
        <v>45903</v>
      </c>
      <c r="D3" s="8">
        <v>3.6706716746837107</v>
      </c>
      <c r="E3" s="8">
        <v>3.6706716746837107</v>
      </c>
      <c r="F3" s="8">
        <v>4.2044339886319433</v>
      </c>
      <c r="G3" s="8">
        <v>6.0980980980980979</v>
      </c>
      <c r="H3" s="8">
        <v>0.62307205164348023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1.0357296071581785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0.86286286286286284</v>
      </c>
      <c r="AB3" s="8">
        <v>4.8048048048048041E-2</v>
      </c>
    </row>
    <row r="4" spans="1:29" x14ac:dyDescent="0.25">
      <c r="A4" s="13">
        <v>3</v>
      </c>
      <c r="B4" s="8">
        <v>20</v>
      </c>
      <c r="C4" s="5">
        <v>45909</v>
      </c>
      <c r="D4" s="8">
        <v>13.286660558793702</v>
      </c>
      <c r="E4" s="8">
        <v>2.0898008979901719</v>
      </c>
      <c r="F4" s="8">
        <v>1.9010897801114608</v>
      </c>
      <c r="G4" s="8">
        <v>0.75954827086048815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0.4835169670334506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1.4772865451598483</v>
      </c>
      <c r="AB4" s="8">
        <v>8.361999312225557E-2</v>
      </c>
    </row>
    <row r="5" spans="1:29" x14ac:dyDescent="0.25">
      <c r="A5" s="13">
        <v>4</v>
      </c>
      <c r="B5" s="8">
        <v>20</v>
      </c>
      <c r="C5" s="5">
        <v>45925</v>
      </c>
      <c r="D5" s="8">
        <v>2.9457949610158818</v>
      </c>
      <c r="E5" s="8">
        <v>2.6518365039081826</v>
      </c>
      <c r="F5" s="8">
        <v>0</v>
      </c>
      <c r="G5" s="8">
        <v>0</v>
      </c>
      <c r="H5" s="8">
        <v>0</v>
      </c>
      <c r="I5" s="8">
        <v>5.2317623746195174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1.4334334334334333</v>
      </c>
      <c r="T5" s="8">
        <v>2.6169026169026166</v>
      </c>
      <c r="U5" s="8">
        <v>4.3615043615043616</v>
      </c>
      <c r="V5" s="8">
        <v>0</v>
      </c>
      <c r="W5" s="8">
        <v>0</v>
      </c>
      <c r="X5" s="8">
        <v>0</v>
      </c>
      <c r="Y5" s="8">
        <v>0</v>
      </c>
      <c r="Z5" s="8">
        <v>0.57057057057057059</v>
      </c>
      <c r="AA5" s="8">
        <v>0.60460460460460463</v>
      </c>
      <c r="AB5" s="8">
        <v>3.2032032032032032E-2</v>
      </c>
    </row>
    <row r="6" spans="1:29" x14ac:dyDescent="0.25">
      <c r="A6" s="13">
        <v>5</v>
      </c>
      <c r="B6" s="8">
        <v>20</v>
      </c>
      <c r="C6" s="5">
        <v>45926</v>
      </c>
      <c r="D6" s="8">
        <v>9.5100115160295715</v>
      </c>
      <c r="E6" s="8">
        <v>0</v>
      </c>
      <c r="F6" s="8">
        <v>4.8354476925905496</v>
      </c>
      <c r="G6" s="8">
        <v>4.7387387387387383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1.005005005005005</v>
      </c>
      <c r="AB6" s="8">
        <v>5.6056056056056056E-2</v>
      </c>
    </row>
    <row r="7" spans="1:29" x14ac:dyDescent="0.25">
      <c r="A7" s="13">
        <v>6</v>
      </c>
      <c r="B7" s="8">
        <v>20</v>
      </c>
      <c r="C7" s="5">
        <v>45926</v>
      </c>
      <c r="D7" s="8">
        <v>8.0782889208165045</v>
      </c>
      <c r="E7" s="8">
        <v>5.1003862438165344</v>
      </c>
      <c r="F7" s="8">
        <v>2.5944311658597372</v>
      </c>
      <c r="G7" s="8">
        <v>1.2712712712712713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2.1181181181181183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0.89689689689689689</v>
      </c>
      <c r="AB7" s="8">
        <v>5.2052052052052052E-2</v>
      </c>
    </row>
    <row r="8" spans="1:29" x14ac:dyDescent="0.25">
      <c r="A8" s="13">
        <v>7</v>
      </c>
      <c r="B8" s="8">
        <v>20</v>
      </c>
      <c r="C8" s="5">
        <v>45938</v>
      </c>
      <c r="D8" s="8">
        <v>2.7369395473708411</v>
      </c>
      <c r="E8" s="8">
        <v>3.9276990129547804</v>
      </c>
      <c r="F8" s="8">
        <v>4.9496807812993486</v>
      </c>
      <c r="G8" s="8">
        <v>1.7397397397397398</v>
      </c>
      <c r="H8" s="8">
        <v>0</v>
      </c>
      <c r="I8" s="8">
        <v>2.2892659122408756</v>
      </c>
      <c r="J8" s="8">
        <v>2.7462766785299917</v>
      </c>
      <c r="K8" s="8">
        <v>1.0903581615718023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0.92292292292292299</v>
      </c>
      <c r="AB8" s="8">
        <v>5.2052052052052052E-2</v>
      </c>
    </row>
    <row r="9" spans="1:29" x14ac:dyDescent="0.25">
      <c r="A9" s="13">
        <v>8</v>
      </c>
      <c r="B9" s="8">
        <v>20</v>
      </c>
      <c r="C9" s="5">
        <v>45938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20.428591857163287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</row>
    <row r="10" spans="1:29" x14ac:dyDescent="0.25">
      <c r="A10" s="13">
        <v>9</v>
      </c>
      <c r="B10" s="8">
        <v>20</v>
      </c>
      <c r="C10" s="5">
        <v>45938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17.740189168760594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3.673673673673674E-2</v>
      </c>
      <c r="Z10" s="8">
        <v>0</v>
      </c>
      <c r="AA10" s="8">
        <v>0</v>
      </c>
      <c r="AB10" s="8">
        <v>0</v>
      </c>
    </row>
    <row r="11" spans="1:29" x14ac:dyDescent="0.25">
      <c r="A11" s="13">
        <v>10</v>
      </c>
      <c r="B11" s="8">
        <v>20</v>
      </c>
      <c r="C11" s="5">
        <v>45956</v>
      </c>
      <c r="D11" s="8">
        <v>0.80631562706653959</v>
      </c>
      <c r="E11" s="8">
        <v>0.80631562706653959</v>
      </c>
      <c r="F11" s="8">
        <v>0</v>
      </c>
      <c r="G11" s="8">
        <v>1.6956956956956957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1.1031031031031031</v>
      </c>
      <c r="AB11" s="8">
        <v>6.2062062062062058E-2</v>
      </c>
    </row>
    <row r="12" spans="1:29" x14ac:dyDescent="0.25">
      <c r="A12" s="13">
        <v>11</v>
      </c>
      <c r="B12" s="8">
        <v>20</v>
      </c>
      <c r="C12" s="5">
        <v>45987</v>
      </c>
      <c r="D12" s="8">
        <v>5.3554055560073612</v>
      </c>
      <c r="E12" s="8">
        <v>2.2309169751496736</v>
      </c>
      <c r="F12" s="8">
        <v>0</v>
      </c>
      <c r="G12" s="8">
        <v>0</v>
      </c>
      <c r="H12" s="8">
        <v>0</v>
      </c>
      <c r="I12" s="8">
        <v>4.4618339502993472</v>
      </c>
      <c r="J12" s="8">
        <v>0</v>
      </c>
      <c r="K12" s="8">
        <v>1.7851351853357873</v>
      </c>
      <c r="L12" s="8">
        <v>0</v>
      </c>
      <c r="M12" s="8">
        <v>0</v>
      </c>
      <c r="N12" s="8">
        <v>0</v>
      </c>
      <c r="O12" s="8">
        <v>0</v>
      </c>
      <c r="P12" s="8">
        <v>0.79875794161508451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2.2242242242242245</v>
      </c>
      <c r="W12" s="8">
        <v>2.2242242242242245</v>
      </c>
      <c r="X12" s="8">
        <v>0</v>
      </c>
      <c r="Y12" s="8">
        <v>0</v>
      </c>
      <c r="Z12" s="8">
        <v>0</v>
      </c>
      <c r="AA12" s="8">
        <v>0.94294294294294301</v>
      </c>
      <c r="AB12" s="8">
        <v>5.4054054054054057E-2</v>
      </c>
    </row>
    <row r="13" spans="1:29" x14ac:dyDescent="0.25">
      <c r="A13" s="13">
        <v>12</v>
      </c>
      <c r="B13" s="8">
        <v>20</v>
      </c>
      <c r="C13" s="5">
        <v>46019</v>
      </c>
      <c r="D13" s="8">
        <v>2.2951738097174408</v>
      </c>
      <c r="E13" s="8">
        <v>0</v>
      </c>
      <c r="F13" s="8">
        <v>0</v>
      </c>
      <c r="G13" s="8">
        <v>0</v>
      </c>
      <c r="H13" s="8">
        <v>1.7185289644788908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4.9029029029029028</v>
      </c>
      <c r="O13" s="8">
        <v>0</v>
      </c>
      <c r="P13" s="8">
        <v>0</v>
      </c>
      <c r="Q13" s="8">
        <v>0</v>
      </c>
      <c r="R13" s="42">
        <v>2.002002002002002E-3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10.673939245367817</v>
      </c>
      <c r="Y13" s="8">
        <v>0</v>
      </c>
      <c r="Z13" s="8">
        <v>0</v>
      </c>
      <c r="AA13" s="8">
        <v>0.69269269269269262</v>
      </c>
      <c r="AB13" s="8">
        <v>4.004004004004004E-2</v>
      </c>
    </row>
    <row r="14" spans="1:29" x14ac:dyDescent="0.25">
      <c r="A14" s="13"/>
    </row>
    <row r="15" spans="1:29" x14ac:dyDescent="0.25">
      <c r="A15" s="13"/>
    </row>
    <row r="16" spans="1:29" x14ac:dyDescent="0.25">
      <c r="A16" s="13"/>
    </row>
    <row r="17" spans="1:1" x14ac:dyDescent="0.25">
      <c r="A17" s="13"/>
    </row>
    <row r="18" spans="1:1" x14ac:dyDescent="0.25">
      <c r="A18" s="13"/>
    </row>
    <row r="19" spans="1:1" x14ac:dyDescent="0.25">
      <c r="A19" s="13"/>
    </row>
    <row r="20" spans="1:1" x14ac:dyDescent="0.25">
      <c r="A20" s="13"/>
    </row>
    <row r="21" spans="1:1" x14ac:dyDescent="0.25">
      <c r="A21" s="13"/>
    </row>
    <row r="22" spans="1:1" x14ac:dyDescent="0.25">
      <c r="A22" s="13"/>
    </row>
    <row r="23" spans="1:1" x14ac:dyDescent="0.25">
      <c r="A23" s="13"/>
    </row>
    <row r="24" spans="1:1" x14ac:dyDescent="0.25">
      <c r="A24" s="13"/>
    </row>
    <row r="25" spans="1:1" x14ac:dyDescent="0.25">
      <c r="A25" s="13"/>
    </row>
    <row r="26" spans="1:1" x14ac:dyDescent="0.25">
      <c r="A26" s="13"/>
    </row>
    <row r="27" spans="1:1" x14ac:dyDescent="0.25">
      <c r="A27" s="13"/>
    </row>
    <row r="28" spans="1:1" x14ac:dyDescent="0.25">
      <c r="A28" s="13"/>
    </row>
    <row r="29" spans="1:1" x14ac:dyDescent="0.25">
      <c r="A29" s="13"/>
    </row>
    <row r="30" spans="1:1" x14ac:dyDescent="0.25">
      <c r="A30" s="13"/>
    </row>
    <row r="31" spans="1:1" x14ac:dyDescent="0.25">
      <c r="A31" s="13"/>
    </row>
    <row r="32" spans="1:1" x14ac:dyDescent="0.25">
      <c r="A32" s="13"/>
    </row>
    <row r="33" spans="1:1" x14ac:dyDescent="0.25">
      <c r="A33" s="13"/>
    </row>
    <row r="34" spans="1:1" x14ac:dyDescent="0.25">
      <c r="A34" s="13"/>
    </row>
    <row r="35" spans="1:1" x14ac:dyDescent="0.25">
      <c r="A35" s="13"/>
    </row>
    <row r="36" spans="1:1" x14ac:dyDescent="0.25">
      <c r="A36" s="13"/>
    </row>
    <row r="37" spans="1:1" x14ac:dyDescent="0.25">
      <c r="A37" s="13"/>
    </row>
    <row r="38" spans="1:1" x14ac:dyDescent="0.25">
      <c r="A38" s="13"/>
    </row>
    <row r="39" spans="1:1" x14ac:dyDescent="0.25">
      <c r="A39" s="13"/>
    </row>
    <row r="40" spans="1:1" x14ac:dyDescent="0.25">
      <c r="A40" s="13"/>
    </row>
    <row r="41" spans="1:1" x14ac:dyDescent="0.25">
      <c r="A41" s="13"/>
    </row>
    <row r="42" spans="1:1" x14ac:dyDescent="0.25">
      <c r="A42" s="13"/>
    </row>
    <row r="43" spans="1:1" x14ac:dyDescent="0.25">
      <c r="A43" s="13"/>
    </row>
    <row r="44" spans="1:1" x14ac:dyDescent="0.25">
      <c r="A44" s="13"/>
    </row>
    <row r="45" spans="1:1" x14ac:dyDescent="0.25">
      <c r="A45" s="13"/>
    </row>
    <row r="46" spans="1:1" x14ac:dyDescent="0.25">
      <c r="A46" s="13"/>
    </row>
    <row r="47" spans="1:1" x14ac:dyDescent="0.25">
      <c r="A47" s="13"/>
    </row>
    <row r="48" spans="1:1" x14ac:dyDescent="0.25">
      <c r="A48" s="13"/>
    </row>
    <row r="49" spans="1:28" x14ac:dyDescent="0.25">
      <c r="A49" s="13"/>
    </row>
    <row r="50" spans="1:28" x14ac:dyDescent="0.25">
      <c r="A50" s="13"/>
    </row>
    <row r="51" spans="1:28" x14ac:dyDescent="0.25">
      <c r="A51" s="13"/>
    </row>
    <row r="52" spans="1:28" x14ac:dyDescent="0.25">
      <c r="A52" s="13"/>
    </row>
    <row r="53" spans="1:28" x14ac:dyDescent="0.25">
      <c r="A53" s="13"/>
    </row>
    <row r="54" spans="1:28" x14ac:dyDescent="0.25">
      <c r="A54" s="13"/>
    </row>
    <row r="55" spans="1:28" s="4" customFormat="1" x14ac:dyDescent="0.25">
      <c r="B55" s="8"/>
      <c r="C55" s="5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s="4" customFormat="1" x14ac:dyDescent="0.25">
      <c r="B56" s="8"/>
      <c r="C56" s="5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s="4" customFormat="1" x14ac:dyDescent="0.25">
      <c r="B57" s="8"/>
      <c r="C57" s="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s="4" customFormat="1" x14ac:dyDescent="0.25">
      <c r="B58" s="8"/>
      <c r="C58" s="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s="4" customFormat="1" x14ac:dyDescent="0.25">
      <c r="B59" s="8"/>
      <c r="C59" s="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76" spans="4:29" x14ac:dyDescent="0.25">
      <c r="D76" s="8">
        <f>D7*60/500</f>
        <v>0.96939467049798056</v>
      </c>
      <c r="F76" s="8">
        <f>F7*60/500</f>
        <v>0.31133173990316848</v>
      </c>
      <c r="H76" s="8">
        <f>H7*60/500</f>
        <v>0</v>
      </c>
      <c r="AC76" s="8"/>
    </row>
  </sheetData>
  <autoFilter ref="A1:AB74" xr:uid="{2D09086A-2D07-48C4-9FDC-15B21F2FC4C4}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A497-A85F-478C-8272-1F249A0E72D1}">
  <sheetPr filterMode="1"/>
  <dimension ref="A2:I31"/>
  <sheetViews>
    <sheetView tabSelected="1" workbookViewId="0">
      <selection activeCell="B2" sqref="B2:C2"/>
    </sheetView>
  </sheetViews>
  <sheetFormatPr baseColWidth="10" defaultRowHeight="15" x14ac:dyDescent="0.25"/>
  <cols>
    <col min="2" max="2" width="22.28515625" bestFit="1" customWidth="1"/>
    <col min="3" max="3" width="11.85546875" style="12" customWidth="1"/>
    <col min="4" max="4" width="14.5703125" style="4" customWidth="1"/>
    <col min="5" max="5" width="15.140625" style="8" bestFit="1" customWidth="1"/>
    <col min="6" max="6" width="15.140625" style="8" customWidth="1"/>
    <col min="7" max="7" width="11.42578125" style="4"/>
  </cols>
  <sheetData>
    <row r="2" spans="1:7" ht="31.5" x14ac:dyDescent="0.5">
      <c r="B2" s="41" t="s">
        <v>43</v>
      </c>
      <c r="C2" s="41"/>
      <c r="D2" s="4">
        <f>MONTH(DATE(2025,MATCH(B2,{"enero","febrero","marzo","abril","mayo","junio","julio","agosto","septiembre","octubre","noviembre","diciembre"},0),1))</f>
        <v>9</v>
      </c>
    </row>
    <row r="5" spans="1:7" x14ac:dyDescent="0.25">
      <c r="B5" s="32" t="s">
        <v>36</v>
      </c>
      <c r="C5" s="31" t="s">
        <v>34</v>
      </c>
      <c r="D5" s="30" t="s">
        <v>35</v>
      </c>
      <c r="E5" s="31" t="s">
        <v>37</v>
      </c>
      <c r="F5" s="31" t="s">
        <v>38</v>
      </c>
      <c r="G5" s="30" t="s">
        <v>25</v>
      </c>
    </row>
    <row r="6" spans="1:7" x14ac:dyDescent="0.25">
      <c r="A6">
        <v>1</v>
      </c>
      <c r="B6" s="33" t="str" cm="1">
        <f t="array" ref="B6:B30">TRANSPOSE('Materia Prima'!D1:AB1)</f>
        <v>Avena</v>
      </c>
      <c r="C6" s="8" cm="1">
        <f t="array" ref="C6">SUMPRODUCT((MONTH('Materia Prima'!$C$2:$C$74)=$D$2)*('Materia Prima'!D2:D74))</f>
        <v>37.49142763133937</v>
      </c>
      <c r="D6" s="4">
        <v>25</v>
      </c>
      <c r="E6" s="8">
        <f>G6*D6</f>
        <v>50</v>
      </c>
      <c r="F6" s="8" t="s">
        <v>39</v>
      </c>
      <c r="G6" s="4">
        <f>ROUNDUP(C6/D6,0)</f>
        <v>2</v>
      </c>
    </row>
    <row r="7" spans="1:7" hidden="1" x14ac:dyDescent="0.25">
      <c r="B7" s="33" t="str">
        <v>Quinua</v>
      </c>
      <c r="C7" s="8" cm="1">
        <f t="array" ref="C7">SUMPRODUCT((MONTH('Materia Prima'!$C$2:$C$74)=$D$2)*('Materia Prima'!E2:E74))</f>
        <v>14.722067958342667</v>
      </c>
      <c r="D7" s="4">
        <v>50</v>
      </c>
      <c r="E7" s="8">
        <f t="shared" ref="E7" si="0">G7*D7</f>
        <v>50</v>
      </c>
      <c r="F7" s="8" t="s">
        <v>39</v>
      </c>
      <c r="G7" s="4">
        <f t="shared" ref="G7" si="1">ROUNDUP(C7/D7,0)</f>
        <v>1</v>
      </c>
    </row>
    <row r="8" spans="1:7" x14ac:dyDescent="0.25">
      <c r="A8">
        <v>2</v>
      </c>
      <c r="B8" s="33" t="str">
        <v>Kiwicha</v>
      </c>
      <c r="C8" s="8" cm="1">
        <f t="array" ref="C8">SUMPRODUCT((MONTH('Materia Prima'!$C$2:$C$74)=$D$2)*('Materia Prima'!F2:F74))</f>
        <v>13.776460011108217</v>
      </c>
      <c r="D8" s="4">
        <v>50</v>
      </c>
      <c r="E8" s="8">
        <f t="shared" ref="E8:E9" si="2">G8*D8</f>
        <v>50</v>
      </c>
      <c r="F8" s="8" t="s">
        <v>39</v>
      </c>
      <c r="G8" s="4">
        <f t="shared" ref="G8:G9" si="3">ROUNDUP(C8/D8,0)</f>
        <v>1</v>
      </c>
    </row>
    <row r="9" spans="1:7" hidden="1" x14ac:dyDescent="0.25">
      <c r="B9" s="33" t="str">
        <v>Maca</v>
      </c>
      <c r="C9" s="8" cm="1">
        <f t="array" ref="C9">SUMPRODUCT((MONTH('Materia Prima'!$C$2:$C$74)=$D$2)*('Materia Prima'!G2:G74))</f>
        <v>12.867656378968595</v>
      </c>
      <c r="D9" s="4">
        <v>50</v>
      </c>
      <c r="E9" s="8">
        <f t="shared" si="2"/>
        <v>50</v>
      </c>
      <c r="F9" s="8" t="s">
        <v>39</v>
      </c>
      <c r="G9" s="4">
        <f t="shared" si="3"/>
        <v>1</v>
      </c>
    </row>
    <row r="10" spans="1:7" hidden="1" x14ac:dyDescent="0.25">
      <c r="B10" s="33" t="str">
        <v>Soya</v>
      </c>
      <c r="C10" s="8" cm="1">
        <f t="array" ref="C10">SUMPRODUCT((MONTH('Materia Prima'!$C$2:$C$74)=$D$2)*('Materia Prima'!H2:H74))</f>
        <v>0.62307205164348023</v>
      </c>
      <c r="D10" s="4">
        <v>50</v>
      </c>
      <c r="E10" s="8">
        <f t="shared" ref="E10" si="4">G10*D10</f>
        <v>50</v>
      </c>
      <c r="F10" s="8" t="s">
        <v>39</v>
      </c>
      <c r="G10" s="4">
        <f t="shared" ref="G10" si="5">ROUNDUP(C10/D10,0)</f>
        <v>1</v>
      </c>
    </row>
    <row r="11" spans="1:7" x14ac:dyDescent="0.25">
      <c r="A11">
        <v>3</v>
      </c>
      <c r="B11" s="33" t="str">
        <v>Trigo</v>
      </c>
      <c r="C11" s="8" cm="1">
        <f t="array" ref="C11">SUMPRODUCT((MONTH('Materia Prima'!$C$2:$C$74)=$D$2)*('Materia Prima'!I2:I74))</f>
        <v>5.2317623746195174</v>
      </c>
      <c r="D11" s="4">
        <v>50</v>
      </c>
      <c r="E11" s="8">
        <f t="shared" ref="E11:E30" si="6">G11*D11</f>
        <v>50</v>
      </c>
      <c r="F11" s="8" t="s">
        <v>39</v>
      </c>
      <c r="G11" s="4">
        <f t="shared" ref="G11:G30" si="7">ROUNDUP(C11/D11,0)</f>
        <v>1</v>
      </c>
    </row>
    <row r="12" spans="1:7" x14ac:dyDescent="0.25">
      <c r="A12">
        <v>4</v>
      </c>
      <c r="B12" s="33" t="str">
        <v>Cebada</v>
      </c>
      <c r="C12" s="8" cm="1">
        <f t="array" ref="C12">SUMPRODUCT((MONTH('Materia Prima'!$C$2:$C$74)=$D$2)*('Materia Prima'!J2:J74))</f>
        <v>0.55565769851484137</v>
      </c>
      <c r="D12" s="4">
        <v>50</v>
      </c>
      <c r="E12" s="8">
        <f t="shared" si="6"/>
        <v>50</v>
      </c>
      <c r="F12" s="8" t="s">
        <v>39</v>
      </c>
      <c r="G12" s="4">
        <f t="shared" si="7"/>
        <v>1</v>
      </c>
    </row>
    <row r="13" spans="1:7" x14ac:dyDescent="0.25">
      <c r="A13">
        <v>5</v>
      </c>
      <c r="B13" s="33" t="str">
        <v>Cañihua</v>
      </c>
      <c r="C13" s="8" cm="1">
        <f t="array" ref="C13">SUMPRODUCT((MONTH('Materia Prima'!$C$2:$C$74)=$D$2)*('Materia Prima'!K2:K74))</f>
        <v>0</v>
      </c>
      <c r="D13" s="4">
        <v>50</v>
      </c>
      <c r="E13" s="8">
        <f t="shared" si="6"/>
        <v>0</v>
      </c>
      <c r="F13" s="8" t="s">
        <v>39</v>
      </c>
      <c r="G13" s="4">
        <f t="shared" si="7"/>
        <v>0</v>
      </c>
    </row>
    <row r="14" spans="1:7" x14ac:dyDescent="0.25">
      <c r="A14">
        <v>6</v>
      </c>
      <c r="B14" s="33" t="str">
        <v>Habas</v>
      </c>
      <c r="C14" s="8" cm="1">
        <f t="array" ref="C14">SUMPRODUCT((MONTH('Materia Prima'!$C$2:$C$74)=$D$2)*('Materia Prima'!L2:L74))</f>
        <v>1.2093726379440668</v>
      </c>
      <c r="D14" s="4">
        <v>50</v>
      </c>
      <c r="E14" s="8">
        <f t="shared" si="6"/>
        <v>50</v>
      </c>
      <c r="F14" s="8" t="s">
        <v>39</v>
      </c>
      <c r="G14" s="4">
        <f t="shared" si="7"/>
        <v>1</v>
      </c>
    </row>
    <row r="15" spans="1:7" hidden="1" x14ac:dyDescent="0.25">
      <c r="B15" s="33" t="str">
        <v>Arveja</v>
      </c>
      <c r="C15" s="8" cm="1">
        <f t="array" ref="C15">SUMPRODUCT((MONTH('Materia Prima'!$C$2:$C$74)=$D$2)*('Materia Prima'!M2:M74))</f>
        <v>1.0643296357582073</v>
      </c>
      <c r="D15" s="4">
        <v>50</v>
      </c>
      <c r="E15" s="8">
        <f t="shared" si="6"/>
        <v>50</v>
      </c>
      <c r="F15" s="8" t="s">
        <v>39</v>
      </c>
      <c r="G15" s="4">
        <f t="shared" si="7"/>
        <v>1</v>
      </c>
    </row>
    <row r="16" spans="1:7" x14ac:dyDescent="0.25">
      <c r="A16">
        <v>7</v>
      </c>
      <c r="B16" s="33" t="str">
        <v>Harina de plátano</v>
      </c>
      <c r="C16" s="8" cm="1">
        <f t="array" ref="C16">SUMPRODUCT((MONTH('Materia Prima'!$C$2:$C$74)=$D$2)*('Materia Prima'!N2:N74))</f>
        <v>2.3703703703703707</v>
      </c>
      <c r="D16" s="4">
        <v>25</v>
      </c>
      <c r="E16" s="8">
        <f t="shared" si="6"/>
        <v>25</v>
      </c>
      <c r="F16" s="8" t="s">
        <v>39</v>
      </c>
      <c r="G16" s="4">
        <f t="shared" si="7"/>
        <v>1</v>
      </c>
    </row>
    <row r="17" spans="1:9" x14ac:dyDescent="0.25">
      <c r="A17">
        <v>8</v>
      </c>
      <c r="B17" s="33" t="str">
        <v>Harina de lucuma</v>
      </c>
      <c r="C17" s="8" cm="1">
        <f t="array" ref="C17">SUMPRODUCT((MONTH('Materia Prima'!$C$2:$C$74)=$D$2)*('Materia Prima'!O2:O74))</f>
        <v>2.1181181181181183</v>
      </c>
      <c r="D17" s="4">
        <v>25</v>
      </c>
      <c r="E17" s="8">
        <f t="shared" si="6"/>
        <v>25</v>
      </c>
      <c r="F17" s="8" t="s">
        <v>39</v>
      </c>
      <c r="G17" s="4">
        <f t="shared" si="7"/>
        <v>1</v>
      </c>
    </row>
    <row r="18" spans="1:9" hidden="1" x14ac:dyDescent="0.25">
      <c r="B18" s="33" t="str">
        <v>Ajonjoli</v>
      </c>
      <c r="C18" s="8" cm="1">
        <f t="array" ref="C18">SUMPRODUCT((MONTH('Materia Prima'!$C$2:$C$74)=$D$2)*('Materia Prima'!P2:P74))</f>
        <v>1.0357296071581785</v>
      </c>
      <c r="D18" s="4">
        <v>4</v>
      </c>
      <c r="E18" s="8">
        <f t="shared" si="6"/>
        <v>4</v>
      </c>
      <c r="F18" s="8" t="s">
        <v>40</v>
      </c>
      <c r="G18" s="4">
        <f t="shared" si="7"/>
        <v>1</v>
      </c>
    </row>
    <row r="19" spans="1:9" x14ac:dyDescent="0.25">
      <c r="A19">
        <v>9</v>
      </c>
      <c r="B19" s="33" t="str">
        <v>Linaza</v>
      </c>
      <c r="C19" s="8" cm="1">
        <f t="array" ref="C19">SUMPRODUCT((MONTH('Materia Prima'!$C$2:$C$74)=$D$2)*('Materia Prima'!Q2:Q74))</f>
        <v>0.4835169670334506</v>
      </c>
      <c r="D19" s="4">
        <v>4</v>
      </c>
      <c r="E19" s="8">
        <f t="shared" si="6"/>
        <v>4</v>
      </c>
      <c r="F19" s="8" t="s">
        <v>40</v>
      </c>
      <c r="G19" s="4">
        <f t="shared" si="7"/>
        <v>1</v>
      </c>
    </row>
    <row r="20" spans="1:9" hidden="1" x14ac:dyDescent="0.25">
      <c r="B20" s="33" t="str">
        <v>Aceite Soya</v>
      </c>
      <c r="C20" s="8" cm="1">
        <f t="array" ref="C20">SUMPRODUCT((MONTH('Materia Prima'!$C$2:$C$74)=$D$2)*('Materia Prima'!R2:R74))</f>
        <v>0</v>
      </c>
      <c r="D20" s="4">
        <v>50</v>
      </c>
      <c r="E20" s="8">
        <f t="shared" si="6"/>
        <v>0</v>
      </c>
      <c r="F20" s="8" t="s">
        <v>39</v>
      </c>
      <c r="G20" s="4">
        <f t="shared" si="7"/>
        <v>0</v>
      </c>
    </row>
    <row r="21" spans="1:9" hidden="1" x14ac:dyDescent="0.25">
      <c r="B21" s="33" t="str">
        <v>Aceite Girasol</v>
      </c>
      <c r="C21" s="8" cm="1">
        <f t="array" ref="C21">SUMPRODUCT((MONTH('Materia Prima'!$C$2:$C$74)=$D$2)*('Materia Prima'!S2:S74))/0.92</f>
        <v>1.5580798189493841</v>
      </c>
      <c r="D21" s="4">
        <v>25</v>
      </c>
      <c r="E21" s="8">
        <f t="shared" si="6"/>
        <v>25</v>
      </c>
      <c r="F21" s="8" t="s">
        <v>39</v>
      </c>
      <c r="G21" s="4">
        <f t="shared" si="7"/>
        <v>1</v>
      </c>
    </row>
    <row r="22" spans="1:9" hidden="1" x14ac:dyDescent="0.25">
      <c r="B22" s="33" t="str">
        <v>Lenteja</v>
      </c>
      <c r="C22" s="8" cm="1">
        <f t="array" ref="C22">SUMPRODUCT((MONTH('Materia Prima'!$C$2:$C$74)=$D$2)*('Materia Prima'!T2:T74))</f>
        <v>2.6169026169026166</v>
      </c>
      <c r="D22" s="4">
        <v>25</v>
      </c>
      <c r="E22" s="8">
        <f t="shared" si="6"/>
        <v>25</v>
      </c>
      <c r="F22" s="8" t="s">
        <v>39</v>
      </c>
      <c r="G22" s="4">
        <f t="shared" si="7"/>
        <v>1</v>
      </c>
    </row>
    <row r="23" spans="1:9" hidden="1" x14ac:dyDescent="0.25">
      <c r="B23" s="33" t="str">
        <v>Arroz</v>
      </c>
      <c r="C23" s="8" cm="1">
        <f t="array" ref="C23">SUMPRODUCT((MONTH('Materia Prima'!$C$2:$C$74)=$D$2)*('Materia Prima'!U2:U74))</f>
        <v>4.3615043615043616</v>
      </c>
      <c r="D23" s="4">
        <v>25</v>
      </c>
      <c r="E23" s="8">
        <f t="shared" si="6"/>
        <v>25</v>
      </c>
      <c r="F23" s="8" t="s">
        <v>39</v>
      </c>
      <c r="G23" s="4">
        <f t="shared" si="7"/>
        <v>1</v>
      </c>
      <c r="I23" s="8"/>
    </row>
    <row r="24" spans="1:9" hidden="1" x14ac:dyDescent="0.25">
      <c r="B24" s="33" t="str">
        <v>Maizena</v>
      </c>
      <c r="C24" s="8" cm="1">
        <f t="array" ref="C24">SUMPRODUCT((MONTH('Materia Prima'!$C$2:$C$74)=$D$2)*('Materia Prima'!V2:V74))</f>
        <v>0</v>
      </c>
      <c r="D24" s="4">
        <v>50</v>
      </c>
      <c r="E24" s="8">
        <f t="shared" si="6"/>
        <v>0</v>
      </c>
      <c r="F24" s="8" t="s">
        <v>39</v>
      </c>
      <c r="G24" s="4">
        <f t="shared" si="7"/>
        <v>0</v>
      </c>
    </row>
    <row r="25" spans="1:9" x14ac:dyDescent="0.25">
      <c r="A25">
        <v>10</v>
      </c>
      <c r="B25" s="33" t="str">
        <v>Almidon Maca</v>
      </c>
      <c r="C25" s="8" cm="1">
        <f t="array" ref="C25">SUMPRODUCT((MONTH('Materia Prima'!$C$2:$C$74)=$D$2)*('Materia Prima'!W2:W74))</f>
        <v>0</v>
      </c>
      <c r="D25" s="4">
        <v>50</v>
      </c>
      <c r="E25" s="8">
        <f t="shared" si="6"/>
        <v>0</v>
      </c>
      <c r="F25" s="8" t="s">
        <v>39</v>
      </c>
      <c r="G25" s="4">
        <f t="shared" si="7"/>
        <v>0</v>
      </c>
    </row>
    <row r="26" spans="1:9" x14ac:dyDescent="0.25">
      <c r="A26">
        <v>11</v>
      </c>
      <c r="B26" s="33" t="str">
        <v>Maiz</v>
      </c>
      <c r="C26" s="8" cm="1">
        <f t="array" ref="C26">SUMPRODUCT((MONTH('Materia Prima'!$C$2:$C$74)=$D$2)*('Materia Prima'!X2:X74))</f>
        <v>0</v>
      </c>
      <c r="D26" s="4">
        <v>25</v>
      </c>
      <c r="E26" s="8">
        <f t="shared" si="6"/>
        <v>0</v>
      </c>
      <c r="F26" s="8" t="s">
        <v>39</v>
      </c>
      <c r="G26" s="4">
        <f t="shared" si="7"/>
        <v>0</v>
      </c>
    </row>
    <row r="27" spans="1:9" x14ac:dyDescent="0.25">
      <c r="A27">
        <v>12</v>
      </c>
      <c r="B27" s="33" t="str">
        <v>Sulfato ferroso</v>
      </c>
      <c r="C27" s="8" cm="1">
        <f t="array" ref="C27">SUMPRODUCT((MONTH('Materia Prima'!$C$2:$C$74)=$D$2)*('Materia Prima'!Y2:Y74))</f>
        <v>0</v>
      </c>
      <c r="D27" s="4">
        <v>50</v>
      </c>
      <c r="E27" s="8">
        <f t="shared" si="6"/>
        <v>0</v>
      </c>
      <c r="F27" s="8" t="s">
        <v>39</v>
      </c>
      <c r="G27" s="4">
        <f t="shared" si="7"/>
        <v>0</v>
      </c>
    </row>
    <row r="28" spans="1:9" hidden="1" x14ac:dyDescent="0.25">
      <c r="B28" s="33" t="str">
        <v>Proteina soya</v>
      </c>
      <c r="C28" s="8" cm="1">
        <f t="array" ref="C28">SUMPRODUCT((MONTH('Materia Prima'!$C$2:$C$74)=$D$2)*('Materia Prima'!Z2:Z74))</f>
        <v>0.57057057057057059</v>
      </c>
      <c r="D28" s="4">
        <v>20</v>
      </c>
      <c r="E28" s="8">
        <f t="shared" si="6"/>
        <v>20</v>
      </c>
      <c r="F28" s="8" t="s">
        <v>39</v>
      </c>
      <c r="G28" s="4">
        <f t="shared" si="7"/>
        <v>1</v>
      </c>
    </row>
    <row r="29" spans="1:9" hidden="1" x14ac:dyDescent="0.25">
      <c r="B29" s="33" t="str">
        <v>Fosfato Tricálcio</v>
      </c>
      <c r="C29" s="8" cm="1">
        <f t="array" ref="C29">SUMPRODUCT((MONTH('Materia Prima'!$C$2:$C$74)=$D$2)*('Materia Prima'!AA2:AA74))</f>
        <v>5.8516609195342228</v>
      </c>
      <c r="D29" s="4">
        <v>25</v>
      </c>
      <c r="E29" s="8">
        <f t="shared" si="6"/>
        <v>25</v>
      </c>
      <c r="F29" s="8" t="s">
        <v>39</v>
      </c>
      <c r="G29" s="4">
        <f t="shared" si="7"/>
        <v>1</v>
      </c>
    </row>
    <row r="30" spans="1:9" x14ac:dyDescent="0.25">
      <c r="A30">
        <v>13</v>
      </c>
      <c r="B30" s="33" t="str">
        <v>Mix vitaminico</v>
      </c>
      <c r="C30" s="8" cm="1">
        <f t="array" ref="C30">SUMPRODUCT((MONTH('Materia Prima'!$C$2:$C$74)=$D$2)*('Materia Prima'!AB2:AB74))</f>
        <v>0.32786423736649978</v>
      </c>
      <c r="D30" s="4">
        <v>25</v>
      </c>
      <c r="E30" s="8">
        <f t="shared" si="6"/>
        <v>25</v>
      </c>
      <c r="F30" s="8" t="s">
        <v>39</v>
      </c>
      <c r="G30" s="4">
        <f t="shared" si="7"/>
        <v>1</v>
      </c>
    </row>
    <row r="31" spans="1:9" x14ac:dyDescent="0.25">
      <c r="B31" s="33"/>
      <c r="C31" s="8" cm="1">
        <f t="array" ref="C31">SUMPRODUCT((MONTH('Materia Prima'!$C$2:$C$74)=$D$2)*('Materia Prima'!AC2:AC74))</f>
        <v>0</v>
      </c>
      <c r="D31" s="4">
        <v>25</v>
      </c>
      <c r="E31" s="8">
        <f t="shared" ref="E31" si="8">G31*D31</f>
        <v>0</v>
      </c>
      <c r="F31" s="8" t="s">
        <v>39</v>
      </c>
      <c r="G31" s="4">
        <f t="shared" ref="G31" si="9">ROUNDUP(C31/D31,0)</f>
        <v>0</v>
      </c>
    </row>
  </sheetData>
  <autoFilter ref="A5:G31" xr:uid="{C092A497-A85F-478C-8272-1F249A0E72D1}">
    <filterColumn colId="2">
      <filters>
        <filter val="1,057.32"/>
        <filter val="1,358.18"/>
        <filter val="1,421.93"/>
        <filter val="1,669.38"/>
        <filter val="111.36"/>
        <filter val="2,655.13"/>
        <filter val="4,226.23"/>
        <filter val="51.43"/>
        <filter val="588.74"/>
        <filter val="6,952.82"/>
        <filter val="61.73"/>
        <filter val="918.09"/>
      </filters>
    </filterColumn>
  </autoFilter>
  <mergeCells count="1">
    <mergeCell ref="B2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FE5328-7722-4946-AD6A-F279FF108B8A}">
          <x14:formula1>
            <xm:f>Formula!$A$23:$A$34</xm:f>
          </x14:formula1>
          <xm:sqref>B2:C2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95F9-5421-4AF0-9517-020270F97623}">
  <dimension ref="A1:AA34"/>
  <sheetViews>
    <sheetView workbookViewId="0">
      <pane ySplit="1" topLeftCell="A2" activePane="bottomLeft" state="frozen"/>
      <selection pane="bottomLeft" activeCell="P13" sqref="P13"/>
    </sheetView>
  </sheetViews>
  <sheetFormatPr baseColWidth="10" defaultRowHeight="15" x14ac:dyDescent="0.25"/>
  <cols>
    <col min="1" max="1" width="20" bestFit="1" customWidth="1"/>
    <col min="2" max="2" width="11.140625" style="9" customWidth="1"/>
    <col min="3" max="3" width="11.42578125" style="9"/>
    <col min="4" max="4" width="10.7109375" style="9" customWidth="1"/>
    <col min="5" max="6" width="7.140625" style="9" bestFit="1" customWidth="1"/>
    <col min="7" max="7" width="8.140625" style="9" bestFit="1" customWidth="1"/>
    <col min="8" max="8" width="8.28515625" style="9" customWidth="1"/>
    <col min="9" max="9" width="9" style="9" customWidth="1"/>
    <col min="10" max="10" width="6.7109375" style="9" bestFit="1" customWidth="1"/>
    <col min="11" max="11" width="7.42578125" style="9" bestFit="1" customWidth="1"/>
    <col min="12" max="13" width="11.140625" style="9" customWidth="1"/>
    <col min="14" max="14" width="9.42578125" style="9" customWidth="1"/>
    <col min="15" max="15" width="9.7109375" style="9" customWidth="1"/>
    <col min="16" max="16" width="6.7109375" style="9" bestFit="1" customWidth="1"/>
    <col min="17" max="17" width="7.7109375" style="9" customWidth="1"/>
    <col min="18" max="18" width="8.42578125" style="9" bestFit="1" customWidth="1"/>
    <col min="19" max="19" width="7.140625" style="9" bestFit="1" customWidth="1"/>
    <col min="20" max="20" width="8.5703125" style="9" customWidth="1"/>
    <col min="21" max="21" width="9.28515625" style="9" customWidth="1"/>
    <col min="22" max="22" width="7.140625" style="9" bestFit="1" customWidth="1"/>
    <col min="23" max="23" width="11.42578125" style="9" customWidth="1"/>
    <col min="24" max="24" width="11.42578125" style="4"/>
  </cols>
  <sheetData>
    <row r="1" spans="1:27" s="25" customFormat="1" ht="45.75" customHeight="1" thickBot="1" x14ac:dyDescent="0.3">
      <c r="B1" s="15" t="s">
        <v>10</v>
      </c>
      <c r="C1" s="15" t="s">
        <v>11</v>
      </c>
      <c r="D1" s="15" t="s">
        <v>9</v>
      </c>
      <c r="E1" s="15" t="s">
        <v>18</v>
      </c>
      <c r="F1" s="15" t="s">
        <v>12</v>
      </c>
      <c r="G1" s="15" t="s">
        <v>60</v>
      </c>
      <c r="H1" s="15" t="s">
        <v>61</v>
      </c>
      <c r="I1" s="15" t="s">
        <v>62</v>
      </c>
      <c r="J1" s="15" t="s">
        <v>63</v>
      </c>
      <c r="K1" s="15" t="s">
        <v>64</v>
      </c>
      <c r="L1" s="15" t="s">
        <v>65</v>
      </c>
      <c r="M1" s="15" t="s">
        <v>69</v>
      </c>
      <c r="N1" s="15" t="s">
        <v>22</v>
      </c>
      <c r="O1" s="15" t="s">
        <v>21</v>
      </c>
      <c r="P1" s="15" t="s">
        <v>74</v>
      </c>
      <c r="Q1" s="15" t="s">
        <v>13</v>
      </c>
      <c r="R1" s="15" t="s">
        <v>66</v>
      </c>
      <c r="S1" s="15" t="s">
        <v>67</v>
      </c>
      <c r="T1" s="15" t="s">
        <v>71</v>
      </c>
      <c r="U1" s="15" t="s">
        <v>72</v>
      </c>
      <c r="V1" s="15" t="s">
        <v>73</v>
      </c>
      <c r="W1" s="15" t="s">
        <v>70</v>
      </c>
      <c r="X1" s="15" t="s">
        <v>68</v>
      </c>
      <c r="Y1" s="15" t="s">
        <v>14</v>
      </c>
      <c r="Z1" s="18" t="s">
        <v>15</v>
      </c>
    </row>
    <row r="2" spans="1:27" x14ac:dyDescent="0.25">
      <c r="A2" s="4">
        <v>1</v>
      </c>
      <c r="C2" s="9">
        <v>5.9200000000000003E-2</v>
      </c>
      <c r="D2" s="9">
        <v>1.18E-2</v>
      </c>
      <c r="G2" s="9">
        <v>0.58360000000000001</v>
      </c>
      <c r="H2" s="9">
        <v>2.7199999999999998E-2</v>
      </c>
      <c r="I2" s="9">
        <v>3.5499999999999997E-2</v>
      </c>
      <c r="J2" s="9">
        <v>5.9200000000000003E-2</v>
      </c>
      <c r="K2" s="9">
        <v>5.21E-2</v>
      </c>
      <c r="L2" s="9">
        <v>0.11840000000000001</v>
      </c>
      <c r="X2" s="9"/>
      <c r="Y2" s="9">
        <v>5.0200000000000002E-2</v>
      </c>
      <c r="Z2" s="9">
        <v>2.8E-3</v>
      </c>
      <c r="AA2" s="9">
        <f>SUM(B2:Z2)</f>
        <v>1</v>
      </c>
    </row>
    <row r="3" spans="1:27" x14ac:dyDescent="0.25">
      <c r="A3" s="4">
        <v>2</v>
      </c>
      <c r="B3" s="9">
        <v>0.18279999999999999</v>
      </c>
      <c r="C3" s="9">
        <v>0.18279999999999999</v>
      </c>
      <c r="D3" s="9">
        <v>0.2031</v>
      </c>
      <c r="E3" s="9">
        <v>0.30459999999999998</v>
      </c>
      <c r="F3" s="9">
        <v>3.0499999999999999E-2</v>
      </c>
      <c r="N3" s="9">
        <v>5.0700000000000002E-2</v>
      </c>
      <c r="X3" s="9"/>
      <c r="Y3" s="10">
        <v>4.3099999999999999E-2</v>
      </c>
      <c r="Z3" s="10">
        <v>2.3999999999999998E-3</v>
      </c>
      <c r="AA3" s="9">
        <f>SUM(B3:Z3)</f>
        <v>0.99999999999999989</v>
      </c>
    </row>
    <row r="4" spans="1:27" x14ac:dyDescent="0.25">
      <c r="A4" s="4">
        <v>3</v>
      </c>
      <c r="B4" s="9">
        <f>19.01/28.73</f>
        <v>0.66167768882701017</v>
      </c>
      <c r="C4" s="9">
        <f>2.99/28.73</f>
        <v>0.10407239819004525</v>
      </c>
      <c r="D4" s="9">
        <f>2.72/28.73</f>
        <v>9.4674556213017763E-2</v>
      </c>
      <c r="E4" s="9">
        <f>1.09/28.73</f>
        <v>3.7939436129481384E-2</v>
      </c>
      <c r="O4" s="9">
        <f>0.68/28.73</f>
        <v>2.3668639053254441E-2</v>
      </c>
      <c r="X4" s="9"/>
      <c r="Y4" s="9">
        <f>2.12/28.73</f>
        <v>7.3790462930734421E-2</v>
      </c>
      <c r="Z4" s="9">
        <f>0.12/28.73</f>
        <v>4.1768186564566656E-3</v>
      </c>
      <c r="AA4" s="9">
        <f>SUM(B4:Z4)</f>
        <v>1</v>
      </c>
    </row>
    <row r="5" spans="1:27" x14ac:dyDescent="0.25">
      <c r="A5" s="4">
        <v>4</v>
      </c>
      <c r="B5" s="9">
        <v>0.14230000000000001</v>
      </c>
      <c r="C5" s="9">
        <v>0.12809999999999999</v>
      </c>
      <c r="G5" s="9">
        <v>0.25609999999999999</v>
      </c>
      <c r="Q5" s="9">
        <v>7.1599999999999997E-2</v>
      </c>
      <c r="R5" s="9">
        <v>0.12809999999999999</v>
      </c>
      <c r="S5" s="9">
        <v>0.2135</v>
      </c>
      <c r="X5" s="9">
        <v>2.8500000000000001E-2</v>
      </c>
      <c r="Y5" s="9">
        <v>3.0200000000000001E-2</v>
      </c>
      <c r="Z5" s="9">
        <v>1.6000000000000001E-3</v>
      </c>
      <c r="AA5" s="9">
        <f>SUM(B5:Z5)</f>
        <v>1</v>
      </c>
    </row>
    <row r="6" spans="1:27" x14ac:dyDescent="0.25">
      <c r="A6" s="4">
        <v>5</v>
      </c>
      <c r="B6" s="9">
        <v>0.47360000000000002</v>
      </c>
      <c r="D6" s="9">
        <v>0.23669999999999999</v>
      </c>
      <c r="E6" s="9">
        <v>0.23669999999999999</v>
      </c>
      <c r="X6" s="9"/>
      <c r="Y6" s="9">
        <v>5.0200000000000002E-2</v>
      </c>
      <c r="Z6" s="9">
        <v>2.8E-3</v>
      </c>
      <c r="AA6" s="9">
        <f>SUM(B6:Z6)</f>
        <v>1</v>
      </c>
    </row>
    <row r="7" spans="1:27" x14ac:dyDescent="0.25">
      <c r="A7" s="4">
        <v>6</v>
      </c>
      <c r="B7" s="9">
        <v>0.40229999999999999</v>
      </c>
      <c r="C7" s="9">
        <v>0.254</v>
      </c>
      <c r="D7" s="9">
        <v>0.127</v>
      </c>
      <c r="E7" s="9">
        <v>6.3500000000000001E-2</v>
      </c>
      <c r="M7" s="9">
        <v>0.10580000000000001</v>
      </c>
      <c r="X7" s="9"/>
      <c r="Y7" s="9">
        <v>4.48E-2</v>
      </c>
      <c r="Z7" s="9">
        <v>2.5999999999999999E-3</v>
      </c>
      <c r="AA7" s="9">
        <f>SUM(B7:Z7)</f>
        <v>1</v>
      </c>
    </row>
    <row r="8" spans="1:27" x14ac:dyDescent="0.25">
      <c r="A8" s="4">
        <v>7</v>
      </c>
      <c r="B8" s="9">
        <v>0.1363</v>
      </c>
      <c r="C8" s="9">
        <v>0.1956</v>
      </c>
      <c r="D8" s="9">
        <v>0.23910000000000001</v>
      </c>
      <c r="E8" s="9">
        <v>8.6900000000000005E-2</v>
      </c>
      <c r="G8" s="9">
        <v>0.1087</v>
      </c>
      <c r="H8" s="9">
        <v>0.13039999999999999</v>
      </c>
      <c r="I8" s="9">
        <v>5.4300000000000001E-2</v>
      </c>
      <c r="X8" s="9"/>
      <c r="Y8" s="9">
        <v>4.6100000000000002E-2</v>
      </c>
      <c r="Z8" s="9">
        <v>2.5999999999999999E-3</v>
      </c>
      <c r="AA8" s="9">
        <f>SUM(B8:Z8)</f>
        <v>1</v>
      </c>
    </row>
    <row r="9" spans="1:27" x14ac:dyDescent="0.25">
      <c r="A9" s="4">
        <v>8</v>
      </c>
      <c r="G9" s="9">
        <v>1</v>
      </c>
      <c r="X9" s="9"/>
      <c r="Y9" s="9"/>
      <c r="Z9" s="9"/>
      <c r="AA9" s="9">
        <f>SUM(B9:Z9)</f>
        <v>1</v>
      </c>
    </row>
    <row r="10" spans="1:27" x14ac:dyDescent="0.25">
      <c r="A10" s="4">
        <v>9</v>
      </c>
      <c r="G10" s="9">
        <v>0.86839999999999995</v>
      </c>
      <c r="I10" s="9">
        <v>0.13159999999999999</v>
      </c>
      <c r="W10" s="9">
        <f>0.1835/100</f>
        <v>1.835E-3</v>
      </c>
      <c r="X10" s="9"/>
      <c r="Y10" s="9"/>
      <c r="Z10" s="9"/>
      <c r="AA10" s="9">
        <f>SUM(B10:Z10)</f>
        <v>1.001835</v>
      </c>
    </row>
    <row r="11" spans="1:27" x14ac:dyDescent="0.25">
      <c r="A11" s="4">
        <v>10</v>
      </c>
      <c r="B11" s="9">
        <v>3.8949999999999999E-2</v>
      </c>
      <c r="C11" s="9">
        <v>3.8949999999999999E-2</v>
      </c>
      <c r="E11" s="9">
        <v>8.4699999999999998E-2</v>
      </c>
      <c r="H11" s="9">
        <v>0.7792</v>
      </c>
      <c r="Y11" s="9">
        <v>5.5099999999999996E-2</v>
      </c>
      <c r="Z11" s="9">
        <v>3.0999999999999999E-3</v>
      </c>
      <c r="AA11" s="9">
        <f>SUM(B11:Z11)</f>
        <v>1</v>
      </c>
    </row>
    <row r="12" spans="1:27" x14ac:dyDescent="0.25">
      <c r="A12" s="4">
        <v>11</v>
      </c>
      <c r="B12" s="9">
        <v>0.26669999999999999</v>
      </c>
      <c r="C12" s="9">
        <v>0.1111</v>
      </c>
      <c r="G12" s="9">
        <v>0.22220000000000001</v>
      </c>
      <c r="I12" s="9">
        <v>8.8900000000000007E-2</v>
      </c>
      <c r="N12" s="9">
        <v>3.9100000000000003E-2</v>
      </c>
      <c r="T12" s="9">
        <v>0.1111</v>
      </c>
      <c r="U12" s="9">
        <v>0.1111</v>
      </c>
      <c r="X12" s="9"/>
      <c r="Y12" s="9">
        <v>4.7100000000000003E-2</v>
      </c>
      <c r="Z12" s="10">
        <v>2.7000000000000001E-3</v>
      </c>
      <c r="AA12" s="9">
        <f>SUM(B12:Z12)</f>
        <v>1</v>
      </c>
    </row>
    <row r="13" spans="1:27" x14ac:dyDescent="0.25">
      <c r="A13" s="4">
        <v>12</v>
      </c>
      <c r="B13" s="9">
        <v>0.1143</v>
      </c>
      <c r="F13" s="9">
        <v>8.1600000000000006E-2</v>
      </c>
      <c r="L13" s="9">
        <v>0.24490000000000001</v>
      </c>
      <c r="P13" s="9">
        <v>1E-4</v>
      </c>
      <c r="V13" s="9">
        <v>0.52249999999999996</v>
      </c>
      <c r="X13" s="9"/>
      <c r="Y13" s="9">
        <v>3.4599999999999999E-2</v>
      </c>
      <c r="Z13" s="10">
        <v>2E-3</v>
      </c>
      <c r="AA13" s="9">
        <f>SUM(B13:Z13)</f>
        <v>1</v>
      </c>
    </row>
    <row r="14" spans="1:27" x14ac:dyDescent="0.25">
      <c r="A14" s="4"/>
      <c r="X14" s="9"/>
      <c r="Y14" s="9"/>
      <c r="Z14" s="4"/>
      <c r="AA14" s="9"/>
    </row>
    <row r="15" spans="1:27" x14ac:dyDescent="0.25">
      <c r="C15" s="4"/>
    </row>
    <row r="16" spans="1:27" x14ac:dyDescent="0.25">
      <c r="A16" s="4" t="s">
        <v>23</v>
      </c>
      <c r="C16" s="4"/>
    </row>
    <row r="17" spans="1:3" x14ac:dyDescent="0.25">
      <c r="A17" s="4" t="s">
        <v>19</v>
      </c>
      <c r="B17" s="9">
        <v>0.7</v>
      </c>
      <c r="C17" s="4"/>
    </row>
    <row r="18" spans="1:3" x14ac:dyDescent="0.25">
      <c r="A18" s="4" t="s">
        <v>20</v>
      </c>
      <c r="B18" s="27">
        <v>0.03</v>
      </c>
      <c r="C18" s="4"/>
    </row>
    <row r="19" spans="1:3" x14ac:dyDescent="0.25">
      <c r="A19" s="4" t="s">
        <v>24</v>
      </c>
      <c r="B19" s="27">
        <v>0.02</v>
      </c>
      <c r="C19" s="4"/>
    </row>
    <row r="20" spans="1:3" x14ac:dyDescent="0.25">
      <c r="A20" s="4" t="s">
        <v>16</v>
      </c>
      <c r="B20" s="27">
        <v>3.0000000000000001E-3</v>
      </c>
      <c r="C20" s="4"/>
    </row>
    <row r="21" spans="1:3" x14ac:dyDescent="0.25">
      <c r="A21" s="4" t="s">
        <v>17</v>
      </c>
      <c r="B21" s="27">
        <v>1E-3</v>
      </c>
      <c r="C21" s="4"/>
    </row>
    <row r="22" spans="1:3" x14ac:dyDescent="0.25">
      <c r="A22" s="4"/>
      <c r="B22" s="11"/>
      <c r="C22" s="4"/>
    </row>
    <row r="23" spans="1:3" x14ac:dyDescent="0.25">
      <c r="A23" s="4" t="s">
        <v>26</v>
      </c>
      <c r="C23" s="4"/>
    </row>
    <row r="24" spans="1:3" x14ac:dyDescent="0.25">
      <c r="A24" s="4" t="s">
        <v>27</v>
      </c>
      <c r="C24" s="4"/>
    </row>
    <row r="25" spans="1:3" x14ac:dyDescent="0.25">
      <c r="A25" s="4" t="s">
        <v>28</v>
      </c>
      <c r="C25" s="4"/>
    </row>
    <row r="26" spans="1:3" x14ac:dyDescent="0.25">
      <c r="A26" s="4" t="s">
        <v>29</v>
      </c>
      <c r="C26" s="4"/>
    </row>
    <row r="27" spans="1:3" x14ac:dyDescent="0.25">
      <c r="A27" s="4" t="s">
        <v>30</v>
      </c>
      <c r="C27" s="4"/>
    </row>
    <row r="28" spans="1:3" x14ac:dyDescent="0.25">
      <c r="A28" s="4" t="s">
        <v>31</v>
      </c>
      <c r="C28" s="4"/>
    </row>
    <row r="29" spans="1:3" x14ac:dyDescent="0.25">
      <c r="A29" s="4" t="s">
        <v>32</v>
      </c>
      <c r="C29" s="4"/>
    </row>
    <row r="30" spans="1:3" x14ac:dyDescent="0.25">
      <c r="A30" s="4" t="s">
        <v>33</v>
      </c>
      <c r="C30" s="4"/>
    </row>
    <row r="31" spans="1:3" x14ac:dyDescent="0.25">
      <c r="A31" s="4" t="s">
        <v>42</v>
      </c>
      <c r="C31" s="4"/>
    </row>
    <row r="32" spans="1:3" x14ac:dyDescent="0.25">
      <c r="A32" s="4" t="s">
        <v>43</v>
      </c>
      <c r="C32" s="4"/>
    </row>
    <row r="33" spans="1:1" x14ac:dyDescent="0.25">
      <c r="A33" s="4" t="s">
        <v>44</v>
      </c>
    </row>
    <row r="34" spans="1:1" x14ac:dyDescent="0.25">
      <c r="A34" s="4" t="s">
        <v>45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3B62-91F4-4BD6-9496-120C092E2982}">
  <dimension ref="A1:X25"/>
  <sheetViews>
    <sheetView zoomScaleNormal="100" workbookViewId="0">
      <selection activeCell="P1" sqref="P1"/>
    </sheetView>
  </sheetViews>
  <sheetFormatPr baseColWidth="10" defaultRowHeight="15" x14ac:dyDescent="0.25"/>
  <cols>
    <col min="1" max="1" width="18" bestFit="1" customWidth="1"/>
    <col min="2" max="2" width="11.7109375" bestFit="1" customWidth="1"/>
    <col min="6" max="6" width="12.28515625" customWidth="1"/>
    <col min="14" max="14" width="11.42578125" customWidth="1"/>
    <col min="19" max="19" width="9.42578125" bestFit="1" customWidth="1"/>
  </cols>
  <sheetData>
    <row r="1" spans="1:24" s="25" customFormat="1" ht="39.75" customHeight="1" x14ac:dyDescent="0.25">
      <c r="B1" s="23" t="str" cm="1">
        <f t="array" ref="B1:X1">Mezclado!E1:AA1</f>
        <v>Avena</v>
      </c>
      <c r="C1" s="23" t="str">
        <v>Quinua</v>
      </c>
      <c r="D1" s="23" t="str">
        <v>Kiwicha</v>
      </c>
      <c r="E1" s="23" t="str">
        <v>Maca</v>
      </c>
      <c r="F1" s="23" t="str">
        <v>Soya</v>
      </c>
      <c r="G1" s="23" t="str">
        <v>Trigo</v>
      </c>
      <c r="H1" s="23" t="str">
        <v>Cebada</v>
      </c>
      <c r="I1" s="23" t="str">
        <v>Cañihua</v>
      </c>
      <c r="J1" s="23" t="str">
        <v>Habas</v>
      </c>
      <c r="K1" s="23" t="str">
        <v>Arveja</v>
      </c>
      <c r="L1" s="23" t="str">
        <v>Harina de plátano</v>
      </c>
      <c r="M1" s="23" t="str">
        <v>Harina de lucuma</v>
      </c>
      <c r="N1" s="23" t="str">
        <v>Ajonjoli</v>
      </c>
      <c r="O1" s="24" t="str">
        <v>Linaza</v>
      </c>
      <c r="P1" s="24" t="str">
        <v>Aceite Soya</v>
      </c>
      <c r="Q1" s="24" t="str">
        <v>Aceite Girasol</v>
      </c>
      <c r="R1" s="24" t="str">
        <v>Lenteja</v>
      </c>
      <c r="S1" s="24" t="str">
        <v>Arroz</v>
      </c>
      <c r="T1" s="23" t="str">
        <v>Maizena</v>
      </c>
      <c r="U1" s="23" t="str">
        <v>Almidon Maca</v>
      </c>
      <c r="V1" s="24" t="str">
        <v>Maiz</v>
      </c>
      <c r="W1" s="25" t="str">
        <v>Sulfato ferroso</v>
      </c>
      <c r="X1" s="25" t="str">
        <v>Proteina soya</v>
      </c>
    </row>
    <row r="2" spans="1:24" s="25" customFormat="1" x14ac:dyDescent="0.25">
      <c r="A2" s="4">
        <v>1</v>
      </c>
      <c r="B2" s="23"/>
      <c r="C2" s="23"/>
      <c r="D2" s="23"/>
      <c r="E2" s="26"/>
      <c r="F2" s="23"/>
      <c r="G2" s="23"/>
      <c r="H2" s="23"/>
      <c r="I2" s="23"/>
      <c r="J2" s="23"/>
      <c r="K2" s="23"/>
      <c r="L2" s="23"/>
      <c r="M2" s="23"/>
      <c r="N2" s="23"/>
      <c r="O2" s="24"/>
      <c r="P2" s="24"/>
      <c r="Q2" s="24"/>
      <c r="R2" s="24"/>
      <c r="S2" s="24"/>
      <c r="T2" s="23"/>
      <c r="U2" s="23"/>
    </row>
    <row r="3" spans="1:24" x14ac:dyDescent="0.25">
      <c r="A3" s="4">
        <v>1</v>
      </c>
      <c r="B3" s="9"/>
      <c r="C3" s="9" t="s">
        <v>24</v>
      </c>
      <c r="D3" s="9" t="s">
        <v>24</v>
      </c>
      <c r="E3" s="10"/>
      <c r="F3" s="9"/>
      <c r="G3" s="9"/>
      <c r="H3" s="9" t="s">
        <v>24</v>
      </c>
      <c r="I3" s="9" t="s">
        <v>24</v>
      </c>
      <c r="J3" s="9" t="s">
        <v>24</v>
      </c>
      <c r="K3" s="9" t="s">
        <v>24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4" x14ac:dyDescent="0.25">
      <c r="A4" s="4">
        <v>2</v>
      </c>
      <c r="B4" s="9"/>
      <c r="C4" s="9"/>
      <c r="D4" s="10" t="s">
        <v>20</v>
      </c>
      <c r="E4" s="9"/>
      <c r="F4" s="9"/>
      <c r="G4" s="9"/>
      <c r="H4" s="26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4" x14ac:dyDescent="0.25">
      <c r="A5" s="4">
        <v>2</v>
      </c>
      <c r="B5" s="9" t="s">
        <v>16</v>
      </c>
      <c r="C5" s="9" t="s">
        <v>16</v>
      </c>
      <c r="D5" s="9" t="s">
        <v>16</v>
      </c>
      <c r="E5" s="9"/>
      <c r="F5" s="9" t="s">
        <v>24</v>
      </c>
      <c r="G5" s="9"/>
      <c r="H5" s="10"/>
      <c r="I5" s="9"/>
      <c r="J5" s="9"/>
      <c r="K5" s="9"/>
      <c r="L5" s="9"/>
      <c r="M5" s="9"/>
      <c r="N5" s="9" t="s">
        <v>24</v>
      </c>
      <c r="O5" s="9"/>
      <c r="P5" s="9"/>
      <c r="Q5" s="9"/>
      <c r="R5" s="9"/>
      <c r="S5" s="9"/>
      <c r="T5" s="10"/>
      <c r="U5" s="10"/>
      <c r="V5" s="9"/>
    </row>
    <row r="6" spans="1:24" x14ac:dyDescent="0.25">
      <c r="A6" s="4">
        <v>3</v>
      </c>
      <c r="B6" s="10"/>
      <c r="C6" s="10"/>
      <c r="D6" s="10"/>
      <c r="E6" s="26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9"/>
    </row>
    <row r="7" spans="1:24" x14ac:dyDescent="0.25">
      <c r="A7" s="4">
        <v>3</v>
      </c>
      <c r="B7" s="9" t="s">
        <v>16</v>
      </c>
      <c r="C7" s="9" t="s">
        <v>16</v>
      </c>
      <c r="D7" s="9" t="s">
        <v>16</v>
      </c>
      <c r="E7" s="9"/>
      <c r="F7" s="9"/>
      <c r="G7" s="9"/>
      <c r="H7" s="9"/>
      <c r="I7" s="9"/>
      <c r="J7" s="9"/>
      <c r="K7" s="9"/>
      <c r="L7" s="9"/>
      <c r="M7" s="9"/>
      <c r="N7" s="9"/>
      <c r="O7" s="9" t="s">
        <v>24</v>
      </c>
      <c r="P7" s="9"/>
      <c r="Q7" s="9"/>
      <c r="R7" s="9"/>
      <c r="S7" s="9"/>
      <c r="T7" s="10"/>
      <c r="U7" s="10"/>
      <c r="V7" s="9"/>
    </row>
    <row r="8" spans="1:24" x14ac:dyDescent="0.25">
      <c r="A8" s="4">
        <v>4</v>
      </c>
      <c r="B8" s="10" t="s">
        <v>20</v>
      </c>
      <c r="C8" s="10" t="s">
        <v>20</v>
      </c>
      <c r="D8" s="9"/>
      <c r="E8" s="26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  <c r="U8" s="10"/>
      <c r="V8" s="9"/>
    </row>
    <row r="9" spans="1:24" x14ac:dyDescent="0.25">
      <c r="A9" s="4">
        <v>4</v>
      </c>
      <c r="B9" s="9" t="s">
        <v>16</v>
      </c>
      <c r="C9" s="9" t="s">
        <v>16</v>
      </c>
      <c r="D9" s="9"/>
      <c r="E9" s="9"/>
      <c r="F9" s="9"/>
      <c r="G9" s="9" t="s">
        <v>24</v>
      </c>
      <c r="H9" s="9"/>
      <c r="I9" s="9"/>
      <c r="J9" s="9"/>
      <c r="K9" s="9"/>
      <c r="L9" s="9"/>
      <c r="M9" s="9"/>
      <c r="N9" s="9"/>
      <c r="O9" s="9"/>
      <c r="P9" s="9"/>
      <c r="Q9" s="9"/>
      <c r="R9" s="9" t="s">
        <v>24</v>
      </c>
      <c r="S9" s="9" t="s">
        <v>24</v>
      </c>
      <c r="T9" s="9"/>
      <c r="U9" s="9"/>
      <c r="V9" s="9"/>
    </row>
    <row r="10" spans="1:24" x14ac:dyDescent="0.25">
      <c r="A10" s="4">
        <v>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26"/>
      <c r="N10" s="9"/>
      <c r="O10" s="9"/>
      <c r="P10" s="9"/>
      <c r="Q10" s="9"/>
      <c r="R10" s="9"/>
      <c r="S10" s="9"/>
      <c r="T10" s="9"/>
      <c r="U10" s="9"/>
      <c r="V10" s="9"/>
    </row>
    <row r="11" spans="1:24" x14ac:dyDescent="0.25">
      <c r="A11" s="4">
        <v>5</v>
      </c>
      <c r="B11" s="9" t="s">
        <v>16</v>
      </c>
      <c r="C11" s="9"/>
      <c r="D11" s="9" t="s">
        <v>24</v>
      </c>
      <c r="E11" s="1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4" x14ac:dyDescent="0.25">
      <c r="A12" s="4">
        <v>6</v>
      </c>
      <c r="B12" s="9"/>
      <c r="C12" s="9"/>
      <c r="D12" s="9"/>
      <c r="E12" s="26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4" x14ac:dyDescent="0.25">
      <c r="A13" s="4">
        <v>6</v>
      </c>
      <c r="B13" s="9" t="s">
        <v>16</v>
      </c>
      <c r="C13" s="9" t="s">
        <v>16</v>
      </c>
      <c r="D13" s="9" t="s">
        <v>24</v>
      </c>
      <c r="E13" s="9"/>
      <c r="F13" s="9"/>
      <c r="G13" s="9"/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4" x14ac:dyDescent="0.25">
      <c r="A14" s="4">
        <v>7</v>
      </c>
      <c r="B14" s="9"/>
      <c r="C14" s="9"/>
      <c r="D14" s="10" t="s">
        <v>20</v>
      </c>
      <c r="E14" s="9"/>
      <c r="F14" s="9"/>
      <c r="G14" s="9" t="s">
        <v>20</v>
      </c>
      <c r="H14" s="9" t="s">
        <v>20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4" x14ac:dyDescent="0.25">
      <c r="A15" s="4">
        <v>7</v>
      </c>
      <c r="B15" s="9" t="s">
        <v>16</v>
      </c>
      <c r="C15" s="9" t="s">
        <v>16</v>
      </c>
      <c r="D15" s="9" t="s">
        <v>16</v>
      </c>
      <c r="E15" s="10"/>
      <c r="F15" s="9"/>
      <c r="G15" s="9" t="s">
        <v>24</v>
      </c>
      <c r="H15" s="9" t="s">
        <v>24</v>
      </c>
      <c r="I15" s="9" t="s">
        <v>16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4" x14ac:dyDescent="0.25">
      <c r="A16" s="4">
        <v>8</v>
      </c>
      <c r="B16" s="9"/>
      <c r="C16" s="9"/>
      <c r="D16" s="2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25">
      <c r="A17" s="4">
        <v>8</v>
      </c>
      <c r="B17" s="9"/>
      <c r="C17" s="9"/>
      <c r="D17" s="9"/>
      <c r="E17" s="10"/>
      <c r="F17" s="10"/>
      <c r="G17" s="9" t="s">
        <v>24</v>
      </c>
      <c r="H17" s="9"/>
      <c r="I17" s="10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25">
      <c r="A18" s="4">
        <v>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25">
      <c r="A19" s="4">
        <v>9</v>
      </c>
      <c r="B19" s="9"/>
      <c r="C19" s="9"/>
      <c r="D19" s="9"/>
      <c r="E19" s="9"/>
      <c r="F19" s="10"/>
      <c r="G19" s="9" t="s">
        <v>24</v>
      </c>
      <c r="H19" s="9"/>
      <c r="I19" s="9" t="s">
        <v>24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25">
      <c r="A20" s="4">
        <v>10</v>
      </c>
      <c r="B20" s="10" t="s">
        <v>20</v>
      </c>
      <c r="C20" s="10" t="s">
        <v>20</v>
      </c>
      <c r="D20" s="9"/>
      <c r="E20" s="26"/>
      <c r="F20" s="2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x14ac:dyDescent="0.25">
      <c r="A21" s="4">
        <v>10</v>
      </c>
      <c r="B21" s="9" t="s">
        <v>16</v>
      </c>
      <c r="C21" s="9" t="s">
        <v>16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x14ac:dyDescent="0.25">
      <c r="A22" s="4">
        <v>11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25">
      <c r="A23" s="4">
        <v>11</v>
      </c>
      <c r="B23" s="9" t="s">
        <v>16</v>
      </c>
      <c r="C23" s="9" t="s">
        <v>16</v>
      </c>
      <c r="D23" s="9"/>
      <c r="E23" s="9"/>
      <c r="F23" s="9"/>
      <c r="G23" s="9" t="s">
        <v>16</v>
      </c>
      <c r="H23" s="9"/>
      <c r="I23" s="9" t="s">
        <v>16</v>
      </c>
      <c r="J23" s="9"/>
      <c r="K23" s="9"/>
      <c r="L23" s="9"/>
      <c r="M23" s="9"/>
      <c r="N23" s="9" t="s">
        <v>24</v>
      </c>
      <c r="O23" s="9"/>
      <c r="P23" s="9"/>
      <c r="Q23" s="9"/>
      <c r="R23" s="9"/>
      <c r="S23" s="9"/>
      <c r="T23" s="9"/>
      <c r="U23" s="9"/>
      <c r="V23" s="4"/>
    </row>
    <row r="24" spans="1:22" x14ac:dyDescent="0.25">
      <c r="A24" s="4">
        <v>12</v>
      </c>
      <c r="F24" s="9" t="s">
        <v>20</v>
      </c>
    </row>
    <row r="25" spans="1:22" x14ac:dyDescent="0.25">
      <c r="A25" s="4">
        <v>12</v>
      </c>
      <c r="B25" s="9" t="s">
        <v>16</v>
      </c>
      <c r="F25" s="9" t="s">
        <v>24</v>
      </c>
      <c r="V25" s="4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General</vt:lpstr>
      <vt:lpstr>Mezclado</vt:lpstr>
      <vt:lpstr>Laminado</vt:lpstr>
      <vt:lpstr>Molido</vt:lpstr>
      <vt:lpstr>Tostado</vt:lpstr>
      <vt:lpstr>Materia Prima</vt:lpstr>
      <vt:lpstr>Resumen</vt:lpstr>
      <vt:lpstr>Formula</vt:lpstr>
      <vt:lpstr>Procesos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dcterms:created xsi:type="dcterms:W3CDTF">2025-08-19T17:07:40Z</dcterms:created>
  <dcterms:modified xsi:type="dcterms:W3CDTF">2026-07-15T21:52:40Z</dcterms:modified>
</cp:coreProperties>
</file>