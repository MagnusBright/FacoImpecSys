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COIMPEC\Desktop\FACO\Validación 2026\"/>
    </mc:Choice>
  </mc:AlternateContent>
  <xr:revisionPtr revIDLastSave="0" documentId="13_ncr:1_{132B2CCC-3F8F-44CD-9123-33F460F74FFC}" xr6:coauthVersionLast="47" xr6:coauthVersionMax="47" xr10:uidLastSave="{00000000-0000-0000-0000-000000000000}"/>
  <bookViews>
    <workbookView xWindow="-120" yWindow="-120" windowWidth="29040" windowHeight="15720" xr2:uid="{C10F0249-787B-4661-9F07-586BD78C4D24}"/>
  </bookViews>
  <sheets>
    <sheet name="Hoja1" sheetId="1" r:id="rId1"/>
  </sheets>
  <definedNames>
    <definedName name="_xlnm._FilterDatabase" localSheetId="0" hidden="1">Hoja1!$A$7:$M$153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H86" i="1" l="1"/>
  <c r="E86" i="1"/>
  <c r="F86" i="1" s="1"/>
  <c r="H75" i="1"/>
  <c r="H56" i="1"/>
  <c r="H80" i="1"/>
  <c r="H98" i="1" l="1"/>
  <c r="H60" i="1"/>
  <c r="H39" i="1"/>
  <c r="H38" i="1"/>
  <c r="H58" i="1"/>
  <c r="H97" i="1"/>
  <c r="H92" i="1"/>
  <c r="H47" i="1"/>
  <c r="H34" i="1"/>
  <c r="H14" i="1"/>
  <c r="H100" i="1"/>
  <c r="H99" i="1"/>
  <c r="E100" i="1"/>
  <c r="F100" i="1" s="1"/>
  <c r="E99" i="1"/>
  <c r="F99" i="1" s="1"/>
  <c r="E98" i="1"/>
  <c r="F98" i="1" s="1"/>
  <c r="E97" i="1"/>
  <c r="F97" i="1" s="1"/>
  <c r="H94" i="1"/>
  <c r="E94" i="1"/>
  <c r="F94" i="1" s="1"/>
  <c r="H96" i="1"/>
  <c r="H95" i="1"/>
  <c r="H93" i="1"/>
  <c r="E96" i="1"/>
  <c r="F96" i="1" s="1"/>
  <c r="E95" i="1"/>
  <c r="F95" i="1" s="1"/>
  <c r="E93" i="1"/>
  <c r="F93" i="1" s="1"/>
  <c r="E92" i="1"/>
  <c r="F92" i="1" s="1"/>
  <c r="H91" i="1"/>
  <c r="H90" i="1"/>
  <c r="H89" i="1"/>
  <c r="H88" i="1"/>
  <c r="H87" i="1"/>
  <c r="H85" i="1"/>
  <c r="E91" i="1"/>
  <c r="F91" i="1" s="1"/>
  <c r="E90" i="1"/>
  <c r="F90" i="1" s="1"/>
  <c r="E89" i="1"/>
  <c r="F89" i="1" s="1"/>
  <c r="E88" i="1"/>
  <c r="F88" i="1" s="1"/>
  <c r="E87" i="1"/>
  <c r="F87" i="1" s="1"/>
  <c r="H84" i="1"/>
  <c r="H83" i="1"/>
  <c r="H82" i="1"/>
  <c r="H81" i="1"/>
  <c r="E84" i="1"/>
  <c r="F84" i="1" s="1"/>
  <c r="E83" i="1"/>
  <c r="F83" i="1" s="1"/>
  <c r="E82" i="1"/>
  <c r="F82" i="1" s="1"/>
  <c r="E81" i="1"/>
  <c r="F81" i="1" s="1"/>
  <c r="H79" i="1"/>
  <c r="H78" i="1"/>
  <c r="E80" i="1"/>
  <c r="F80" i="1" s="1"/>
  <c r="E79" i="1"/>
  <c r="F79" i="1" s="1"/>
  <c r="H9" i="1"/>
  <c r="H27" i="1"/>
  <c r="H59" i="1"/>
  <c r="H61" i="1"/>
  <c r="H76" i="1"/>
  <c r="H77" i="1"/>
  <c r="E77" i="1"/>
  <c r="F77" i="1" s="1"/>
  <c r="E76" i="1"/>
  <c r="F76" i="1" s="1"/>
  <c r="E75" i="1"/>
  <c r="F75" i="1" s="1"/>
  <c r="H74" i="1"/>
  <c r="E74" i="1"/>
  <c r="F74" i="1" s="1"/>
  <c r="H73" i="1"/>
  <c r="E73" i="1"/>
  <c r="F73" i="1" s="1"/>
  <c r="H72" i="1"/>
  <c r="E72" i="1"/>
  <c r="F72" i="1" s="1"/>
  <c r="H71" i="1"/>
  <c r="E71" i="1"/>
  <c r="F71" i="1" s="1"/>
  <c r="H70" i="1"/>
  <c r="E70" i="1"/>
  <c r="F70" i="1" s="1"/>
  <c r="H69" i="1"/>
  <c r="E69" i="1"/>
  <c r="F69" i="1" s="1"/>
  <c r="H68" i="1"/>
  <c r="E68" i="1"/>
  <c r="F68" i="1" s="1"/>
  <c r="H67" i="1"/>
  <c r="E67" i="1"/>
  <c r="F67" i="1" s="1"/>
  <c r="H66" i="1"/>
  <c r="H62" i="1"/>
  <c r="E59" i="1"/>
  <c r="F59" i="1" s="1"/>
  <c r="E39" i="1" l="1"/>
  <c r="F39" i="1" s="1"/>
  <c r="E38" i="1"/>
  <c r="F38" i="1" s="1"/>
  <c r="H30" i="1"/>
  <c r="E30" i="1"/>
  <c r="F30" i="1" s="1"/>
  <c r="H21" i="1"/>
  <c r="H26" i="1"/>
  <c r="H25" i="1"/>
  <c r="H24" i="1"/>
  <c r="E26" i="1"/>
  <c r="F26" i="1" s="1"/>
  <c r="E25" i="1"/>
  <c r="F25" i="1" s="1"/>
  <c r="E24" i="1"/>
  <c r="F24" i="1" s="1"/>
  <c r="H23" i="1"/>
  <c r="E23" i="1"/>
  <c r="F23" i="1" s="1"/>
  <c r="E28" i="1"/>
  <c r="F28" i="1" s="1"/>
  <c r="H28" i="1"/>
  <c r="E22" i="1"/>
  <c r="F22" i="1" s="1"/>
  <c r="E21" i="1"/>
  <c r="F21" i="1" s="1"/>
  <c r="H16" i="1"/>
  <c r="E16" i="1"/>
  <c r="F16" i="1" s="1"/>
  <c r="H20" i="1"/>
  <c r="E20" i="1"/>
  <c r="F20" i="1" s="1"/>
  <c r="H65" i="1"/>
  <c r="E65" i="1"/>
  <c r="F65" i="1" s="1"/>
  <c r="H64" i="1"/>
  <c r="E64" i="1"/>
  <c r="F64" i="1" s="1"/>
  <c r="H63" i="1"/>
  <c r="E63" i="1"/>
  <c r="F63" i="1" s="1"/>
  <c r="E62" i="1"/>
  <c r="F62" i="1" s="1"/>
  <c r="E61" i="1"/>
  <c r="F61" i="1" s="1"/>
  <c r="E60" i="1"/>
  <c r="F60" i="1" s="1"/>
  <c r="E58" i="1"/>
  <c r="F58" i="1" s="1"/>
  <c r="H57" i="1"/>
  <c r="E57" i="1"/>
  <c r="F57" i="1" s="1"/>
  <c r="H52" i="1"/>
  <c r="E52" i="1"/>
  <c r="F52" i="1" s="1"/>
  <c r="H51" i="1"/>
  <c r="H43" i="1"/>
  <c r="E51" i="1"/>
  <c r="F51" i="1" s="1"/>
  <c r="E56" i="1"/>
  <c r="F56" i="1" s="1"/>
  <c r="H55" i="1"/>
  <c r="E55" i="1"/>
  <c r="F55" i="1" s="1"/>
  <c r="H54" i="1"/>
  <c r="E54" i="1"/>
  <c r="F54" i="1" s="1"/>
  <c r="H53" i="1"/>
  <c r="E53" i="1"/>
  <c r="F53" i="1" s="1"/>
  <c r="H50" i="1"/>
  <c r="E50" i="1"/>
  <c r="F50" i="1" s="1"/>
  <c r="H49" i="1"/>
  <c r="E49" i="1"/>
  <c r="F49" i="1" s="1"/>
  <c r="H48" i="1"/>
  <c r="E48" i="1"/>
  <c r="F48" i="1" s="1"/>
  <c r="E47" i="1"/>
  <c r="F47" i="1" s="1"/>
  <c r="H46" i="1"/>
  <c r="E46" i="1"/>
  <c r="F46" i="1" s="1"/>
  <c r="H45" i="1"/>
  <c r="E45" i="1"/>
  <c r="F45" i="1" s="1"/>
  <c r="H44" i="1"/>
  <c r="E44" i="1"/>
  <c r="F44" i="1" s="1"/>
  <c r="E43" i="1"/>
  <c r="F43" i="1" s="1"/>
  <c r="H42" i="1"/>
  <c r="E42" i="1"/>
  <c r="F42" i="1" s="1"/>
  <c r="H41" i="1"/>
  <c r="E41" i="1"/>
  <c r="F41" i="1" s="1"/>
  <c r="H31" i="1"/>
  <c r="H32" i="1"/>
  <c r="E32" i="1"/>
  <c r="F32" i="1" s="1"/>
  <c r="E31" i="1"/>
  <c r="F31" i="1" s="1"/>
  <c r="H29" i="1"/>
  <c r="H19" i="1"/>
  <c r="E19" i="1" l="1"/>
  <c r="F19" i="1" s="1"/>
  <c r="H11" i="1"/>
  <c r="H12" i="1"/>
  <c r="E12" i="1"/>
  <c r="F12" i="1" s="1"/>
  <c r="E35" i="1"/>
  <c r="F35" i="1" s="1"/>
  <c r="E15" i="1"/>
  <c r="F15" i="1" s="1"/>
  <c r="E18" i="1"/>
  <c r="F18" i="1" s="1"/>
  <c r="E37" i="1"/>
  <c r="F37" i="1" s="1"/>
  <c r="E17" i="1"/>
  <c r="F17" i="1" s="1"/>
  <c r="E36" i="1"/>
  <c r="F36" i="1" s="1"/>
  <c r="E13" i="1"/>
  <c r="F13" i="1" s="1"/>
  <c r="E33" i="1"/>
  <c r="F33" i="1" s="1"/>
  <c r="E34" i="1"/>
  <c r="F34" i="1" s="1"/>
  <c r="E14" i="1"/>
  <c r="F14" i="1" s="1"/>
  <c r="E29" i="1"/>
  <c r="F29" i="1" s="1"/>
  <c r="E10" i="1"/>
  <c r="F10" i="1" s="1"/>
  <c r="E11" i="1"/>
  <c r="F11" i="1" s="1"/>
  <c r="H13" i="1"/>
  <c r="H33" i="1"/>
  <c r="H10" i="1"/>
  <c r="H37" i="1"/>
  <c r="H18" i="1"/>
  <c r="H35" i="1"/>
  <c r="H15" i="1"/>
  <c r="H36" i="1"/>
  <c r="H17" i="1"/>
  <c r="H40" i="1"/>
</calcChain>
</file>

<file path=xl/sharedStrings.xml><?xml version="1.0" encoding="utf-8"?>
<sst xmlns="http://schemas.openxmlformats.org/spreadsheetml/2006/main" count="688" uniqueCount="150">
  <si>
    <t>FECHA</t>
  </si>
  <si>
    <t>POCEDENCIA: PROVEEDOR</t>
  </si>
  <si>
    <t>M.PRIMA/ INSUMO/ MATERIALES</t>
  </si>
  <si>
    <t>CANTIDAD</t>
  </si>
  <si>
    <t>F. PROD.</t>
  </si>
  <si>
    <t>F. VENC.</t>
  </si>
  <si>
    <t>LOTE</t>
  </si>
  <si>
    <t>CODIGO INTERNO</t>
  </si>
  <si>
    <t>HUMEDAD DEL GRANO</t>
  </si>
  <si>
    <t>ENTREGÓ CERTIF.</t>
  </si>
  <si>
    <t>CALIDAD Y/O FICHA TÉCNICA Y/O REG. SAN. Y/O ANÁLISIS</t>
  </si>
  <si>
    <t>CONDICIONES DE RECEPCIÓN</t>
  </si>
  <si>
    <t>DESTINO</t>
  </si>
  <si>
    <t>INCIDENCIA</t>
  </si>
  <si>
    <t>CONTROL DE RECEPCIÓN Y ALMACENAMIENTO DE MATERIAS PRIMAS, INSUMOS Y MATERIALES (CONTROL DIGITAL)</t>
  </si>
  <si>
    <t>Quinua desaponificada en grano</t>
  </si>
  <si>
    <t>Kiwicha en Grano</t>
  </si>
  <si>
    <t>Soya en Grano</t>
  </si>
  <si>
    <t>Aceite de Girasol</t>
  </si>
  <si>
    <t>Linaza</t>
  </si>
  <si>
    <t>Ajonjoli</t>
  </si>
  <si>
    <t>Proteina Aislada de Soya</t>
  </si>
  <si>
    <t>Fosfato Tricálcico</t>
  </si>
  <si>
    <t>Mix Vitáminico</t>
  </si>
  <si>
    <t>Almidon de Maca</t>
  </si>
  <si>
    <t>1,700 Kg</t>
  </si>
  <si>
    <t>1,025 Kg</t>
  </si>
  <si>
    <t>Almacén 2</t>
  </si>
  <si>
    <t>Almacén 3</t>
  </si>
  <si>
    <t>Azucar Rubia</t>
  </si>
  <si>
    <t>Maiz Chufla en Grano</t>
  </si>
  <si>
    <t>Leche en Polvo</t>
  </si>
  <si>
    <t>Garbanzo</t>
  </si>
  <si>
    <t>100 Kg</t>
  </si>
  <si>
    <t>400 Kg</t>
  </si>
  <si>
    <t>75 Kg</t>
  </si>
  <si>
    <t>3,100 Kg</t>
  </si>
  <si>
    <t>Quinua en Grano</t>
  </si>
  <si>
    <t>3,500 Kg</t>
  </si>
  <si>
    <t>1,200 Kg</t>
  </si>
  <si>
    <t>S/L</t>
  </si>
  <si>
    <t>SINGULAR CEREALS S.A.</t>
  </si>
  <si>
    <t>Sí</t>
  </si>
  <si>
    <t>MUNDO GRANEL E.I.R.L.</t>
  </si>
  <si>
    <t>F.T.</t>
  </si>
  <si>
    <t>Óptima</t>
  </si>
  <si>
    <t>COSECHAS SALJAR SAC</t>
  </si>
  <si>
    <t>CANCHO JUSTA HUAMAN</t>
  </si>
  <si>
    <t>NEGOCIOS E INVERSIONES INTEGRALES DEL PERU EIRL</t>
  </si>
  <si>
    <t>-</t>
  </si>
  <si>
    <t>SYN-0125</t>
  </si>
  <si>
    <t>CAS 3746-39</t>
  </si>
  <si>
    <t>CAS 2953-84</t>
  </si>
  <si>
    <t>CORPORACION FRONTERO SAC</t>
  </si>
  <si>
    <t>WE-22615</t>
  </si>
  <si>
    <t>WE-21124</t>
  </si>
  <si>
    <t>REPRESENTACIONES MORAVI SAC</t>
  </si>
  <si>
    <t>CORPORACION FRONTERO SAC.</t>
  </si>
  <si>
    <t>PW.561</t>
  </si>
  <si>
    <t>PW.625</t>
  </si>
  <si>
    <t>TARWICORP SAC</t>
  </si>
  <si>
    <t>CARTAVIO S.A.A</t>
  </si>
  <si>
    <t>INVERSIONES PUCARA SAC</t>
  </si>
  <si>
    <t>650 Kg</t>
  </si>
  <si>
    <t>600 Kg</t>
  </si>
  <si>
    <t>Avena pelada estabilizada</t>
  </si>
  <si>
    <t>SYN-1225</t>
  </si>
  <si>
    <t>Kiwicha Precocida</t>
  </si>
  <si>
    <t>1,775 Kg</t>
  </si>
  <si>
    <t>Aceite de Soya</t>
  </si>
  <si>
    <t>Quinua Precocida</t>
  </si>
  <si>
    <t>5,600 Kg</t>
  </si>
  <si>
    <t>150 Kg</t>
  </si>
  <si>
    <t>Sacha Inchi</t>
  </si>
  <si>
    <t>Albumina Clara de Huevo</t>
  </si>
  <si>
    <t>SYN-3225</t>
  </si>
  <si>
    <t>4,400 Kg</t>
  </si>
  <si>
    <t>AE.1224</t>
  </si>
  <si>
    <t>PW.125</t>
  </si>
  <si>
    <t>CAS 3728-37</t>
  </si>
  <si>
    <t>WE-22628</t>
  </si>
  <si>
    <t>225 Kg</t>
  </si>
  <si>
    <t>LTEN0126</t>
  </si>
  <si>
    <t>4,200 Kg</t>
  </si>
  <si>
    <t>6,150 Kg</t>
  </si>
  <si>
    <t>13,050 Kg</t>
  </si>
  <si>
    <t>5,650 Kg</t>
  </si>
  <si>
    <t>1,900 Kg</t>
  </si>
  <si>
    <t>2,900 Kg</t>
  </si>
  <si>
    <t>2,575 Kg</t>
  </si>
  <si>
    <t>172 L</t>
  </si>
  <si>
    <t>108 L</t>
  </si>
  <si>
    <t>1,100 Kg</t>
  </si>
  <si>
    <t>LTEN0176</t>
  </si>
  <si>
    <t>7,175 Kg</t>
  </si>
  <si>
    <t>9,500 Kg</t>
  </si>
  <si>
    <t>1,550 Kg</t>
  </si>
  <si>
    <t>1,175 Kg</t>
  </si>
  <si>
    <t>1,275 Kg</t>
  </si>
  <si>
    <t>13,025 Kg</t>
  </si>
  <si>
    <t>15,100 Kg</t>
  </si>
  <si>
    <t>6,300 Kg</t>
  </si>
  <si>
    <t>1,600 Kg</t>
  </si>
  <si>
    <t>320 Kg</t>
  </si>
  <si>
    <t>2,000 Kg</t>
  </si>
  <si>
    <t>112 L</t>
  </si>
  <si>
    <t>2,550 Kg</t>
  </si>
  <si>
    <t>625 Kg</t>
  </si>
  <si>
    <t>2,150 Kg</t>
  </si>
  <si>
    <t>2,250 Kg</t>
  </si>
  <si>
    <t>Harina de Plátano</t>
  </si>
  <si>
    <t>875 Kg</t>
  </si>
  <si>
    <t>Harina de Tarhui</t>
  </si>
  <si>
    <t>4,725 Kg</t>
  </si>
  <si>
    <t>850 Kg</t>
  </si>
  <si>
    <t>3,550 Kg</t>
  </si>
  <si>
    <t>350 Kg</t>
  </si>
  <si>
    <t>325 Kg</t>
  </si>
  <si>
    <t>500 Kg</t>
  </si>
  <si>
    <t>1,050 Kg</t>
  </si>
  <si>
    <t>1,150 Kg</t>
  </si>
  <si>
    <t>2,200 Kg</t>
  </si>
  <si>
    <t>SYN-2426</t>
  </si>
  <si>
    <t>AE.0125</t>
  </si>
  <si>
    <t>PW.225</t>
  </si>
  <si>
    <t>CAS 1726-26</t>
  </si>
  <si>
    <t>WE-32631</t>
  </si>
  <si>
    <t>LTEN0326</t>
  </si>
  <si>
    <t>1,300 Kg</t>
  </si>
  <si>
    <t>1,800 Kg</t>
  </si>
  <si>
    <t>25 Kg</t>
  </si>
  <si>
    <t>SYN-2925</t>
  </si>
  <si>
    <t>PW.325</t>
  </si>
  <si>
    <t>CAS 0225-37</t>
  </si>
  <si>
    <t>WE-42630</t>
  </si>
  <si>
    <t>6,175 Kg</t>
  </si>
  <si>
    <t>13,500 Kg</t>
  </si>
  <si>
    <t>SYN-2826</t>
  </si>
  <si>
    <t>3,000 Kg</t>
  </si>
  <si>
    <t>PW.425</t>
  </si>
  <si>
    <t>WE-52630</t>
  </si>
  <si>
    <t>1,400 Kg</t>
  </si>
  <si>
    <t>1,325 Kg</t>
  </si>
  <si>
    <t>CAS 3026-25</t>
  </si>
  <si>
    <t>2,700 Kg</t>
  </si>
  <si>
    <t>12,200 Kg</t>
  </si>
  <si>
    <t>Chia en Grano</t>
  </si>
  <si>
    <t>Harina de Maca</t>
  </si>
  <si>
    <t>Harina de Cacao</t>
  </si>
  <si>
    <t>2,600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</si>
</sst>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b/>
      <sz val="8"/>
      <color theme="1"/>
      <name val="Arial"/>
      <family val="2"/>
    </font>
    <font>
      <b/>
      <sz val="7"/>
      <color theme="1"/>
      <name val="Arial"/>
      <family val="2"/>
    </font>
    <font>
      <b/>
      <sz val="11"/>
      <color theme="1"/>
      <name val="Arial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5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/>
    <xf numFmtId="3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3" fontId="0" fillId="0" borderId="2" xfId="0" applyNumberForma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1" xfId="0" applyBorder="1"/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3" fontId="0" fillId="2" borderId="2" xfId="0" applyNumberForma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/>
    </xf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17" fontId="0" fillId="0" borderId="1" xfId="0" applyNumberFormat="1" applyBorder="1" applyAlignment="1">
      <alignment horizontal="center" vertical="center"/>
    </xf>
    <xf numFmtId="17" fontId="0" fillId="2" borderId="1" xfId="0" applyNumberFormat="1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2" borderId="1" xfId="0" applyNumberFormat="1" applyFill="1" applyBorder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164" fontId="0" fillId="2" borderId="1" xfId="1" applyNumberFormat="1" applyFont="1" applyFill="1" applyBorder="1" applyAlignment="1">
      <alignment horizontal="center" vertical="center"/>
    </xf>
    <xf numFmtId="10" fontId="0" fillId="2" borderId="1" xfId="1" applyNumberFormat="1" applyFont="1" applyFill="1" applyBorder="1" applyAlignment="1">
      <alignment horizontal="center" vertical="center"/>
    </xf>
    <xf numFmtId="10" fontId="0" fillId="0" borderId="1" xfId="1" applyNumberFormat="1" applyFont="1" applyFill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64" fontId="0" fillId="0" borderId="1" xfId="1" applyNumberFormat="1" applyFont="1" applyFill="1" applyBorder="1" applyAlignment="1">
      <alignment horizontal="center" vertical="center"/>
    </xf>
    <xf numFmtId="17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0" fontId="1" fillId="0" borderId="4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7" fontId="3" fillId="0" borderId="0" xfId="0" applyNumberFormat="1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14" fontId="1" fillId="0" borderId="3" xfId="0" applyNumberFormat="1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 wrapText="1"/>
    </xf>
    <xf numFmtId="3" fontId="1" fillId="0" borderId="4" xfId="0" applyNumberFormat="1" applyFont="1" applyBorder="1" applyAlignment="1">
      <alignment horizontal="center" vertical="center" wrapText="1"/>
    </xf>
    <xf numFmtId="3" fontId="1" fillId="0" borderId="8" xfId="0" applyNumberFormat="1" applyFont="1" applyBorder="1" applyAlignment="1">
      <alignment horizontal="center" vertical="center" wrapText="1"/>
    </xf>
    <xf numFmtId="17" fontId="1" fillId="0" borderId="4" xfId="0" applyNumberFormat="1" applyFont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610449</xdr:colOff>
      <xdr:row>0</xdr:row>
      <xdr:rowOff>38100</xdr:rowOff>
    </xdr:from>
    <xdr:to>
      <xdr:col>8</xdr:col>
      <xdr:colOff>885826</xdr:colOff>
      <xdr:row>3</xdr:row>
      <xdr:rowOff>95250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9CD945A-8336-6253-03AC-5A548EB92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4449" y="38100"/>
          <a:ext cx="6485677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A8DB0-2C2F-428A-ABFB-279F3F6A16DF}">
  <sheetPr>
    <pageSetUpPr fitToPage="1"/>
  </sheetPr>
  <dimension ref="A5:O155"/>
  <sheetViews>
    <sheetView tabSelected="1" topLeftCell="A82" workbookViewId="0">
      <selection activeCell="A101" sqref="A101"/>
    </sheetView>
  </sheetViews>
  <sheetFormatPr baseColWidth="10" defaultRowHeight="15" x14ac:dyDescent="0.25"/>
  <cols>
    <col min="1" max="1" width="11.42578125" style="5"/>
    <col min="2" max="2" width="48.28515625" style="2" bestFit="1" customWidth="1"/>
    <col min="3" max="3" width="34.7109375" style="2" customWidth="1"/>
    <col min="4" max="4" width="11.42578125" style="3"/>
    <col min="5" max="6" width="11.42578125" style="30"/>
    <col min="7" max="7" width="12.7109375" style="2" customWidth="1"/>
    <col min="8" max="8" width="11.42578125" style="2"/>
    <col min="9" max="9" width="14.5703125" style="36" customWidth="1"/>
    <col min="10" max="10" width="12.85546875" style="2" customWidth="1"/>
    <col min="11" max="11" width="13.5703125" style="2" customWidth="1"/>
    <col min="12" max="12" width="12.7109375" style="2" customWidth="1"/>
  </cols>
  <sheetData>
    <row r="5" spans="1:15" ht="21" customHeight="1" x14ac:dyDescent="0.25">
      <c r="A5" s="45" t="s">
        <v>14</v>
      </c>
      <c r="B5" s="45"/>
      <c r="C5" s="45"/>
      <c r="D5" s="45"/>
      <c r="E5" s="46"/>
      <c r="F5" s="46"/>
      <c r="G5" s="45"/>
      <c r="H5" s="45"/>
      <c r="I5" s="47"/>
      <c r="J5" s="45"/>
      <c r="K5" s="45"/>
      <c r="L5" s="45"/>
      <c r="M5" s="45"/>
    </row>
    <row r="6" spans="1:15" ht="15.75" thickBot="1" x14ac:dyDescent="0.3">
      <c r="D6" s="4"/>
      <c r="M6" s="1"/>
    </row>
    <row r="7" spans="1:15" ht="22.5" x14ac:dyDescent="0.25">
      <c r="A7" s="50" t="s">
        <v>0</v>
      </c>
      <c r="B7" s="42" t="s">
        <v>1</v>
      </c>
      <c r="C7" s="42" t="s">
        <v>2</v>
      </c>
      <c r="D7" s="52" t="s">
        <v>3</v>
      </c>
      <c r="E7" s="54" t="s">
        <v>4</v>
      </c>
      <c r="F7" s="54" t="s">
        <v>5</v>
      </c>
      <c r="G7" s="48" t="s">
        <v>6</v>
      </c>
      <c r="H7" s="48" t="s">
        <v>7</v>
      </c>
      <c r="I7" s="40" t="s">
        <v>8</v>
      </c>
      <c r="J7" s="13" t="s">
        <v>9</v>
      </c>
      <c r="K7" s="42" t="s">
        <v>11</v>
      </c>
      <c r="L7" s="42" t="s">
        <v>12</v>
      </c>
      <c r="M7" s="43" t="s">
        <v>13</v>
      </c>
    </row>
    <row r="8" spans="1:15" ht="45.75" thickBot="1" x14ac:dyDescent="0.3">
      <c r="A8" s="51"/>
      <c r="B8" s="41"/>
      <c r="C8" s="41"/>
      <c r="D8" s="53"/>
      <c r="E8" s="41"/>
      <c r="F8" s="41"/>
      <c r="G8" s="49"/>
      <c r="H8" s="49"/>
      <c r="I8" s="41"/>
      <c r="J8" s="14" t="s">
        <v>10</v>
      </c>
      <c r="K8" s="41"/>
      <c r="L8" s="41"/>
      <c r="M8" s="44"/>
    </row>
    <row r="9" spans="1:15" ht="20.100000000000001" customHeight="1" x14ac:dyDescent="0.25">
      <c r="A9" s="6">
        <v>46024</v>
      </c>
      <c r="B9" s="7" t="s">
        <v>41</v>
      </c>
      <c r="C9" s="11" t="s">
        <v>65</v>
      </c>
      <c r="D9" s="12" t="s">
        <v>84</v>
      </c>
      <c r="E9" s="26">
        <v>45992</v>
      </c>
      <c r="F9" s="26">
        <v>46357</v>
      </c>
      <c r="G9" s="7" t="s">
        <v>66</v>
      </c>
      <c r="H9" s="7" t="str">
        <f>_xlfn.CONCAT("AP00",A9 - DATE(YEAR(A9),1,0))</f>
        <v>AP002</v>
      </c>
      <c r="I9" s="28">
        <v>9.6199999999999994E-2</v>
      </c>
      <c r="J9" s="7" t="s">
        <v>42</v>
      </c>
      <c r="K9" s="7" t="s">
        <v>45</v>
      </c>
      <c r="L9" s="10" t="s">
        <v>27</v>
      </c>
      <c r="M9" s="15"/>
      <c r="O9" s="2"/>
    </row>
    <row r="10" spans="1:15" ht="20.100000000000001" customHeight="1" x14ac:dyDescent="0.25">
      <c r="A10" s="6">
        <v>46025</v>
      </c>
      <c r="B10" s="7" t="s">
        <v>43</v>
      </c>
      <c r="C10" s="8" t="s">
        <v>15</v>
      </c>
      <c r="D10" s="9" t="s">
        <v>85</v>
      </c>
      <c r="E10" s="26">
        <f>EDATE(A10,-2)</f>
        <v>45964</v>
      </c>
      <c r="F10" s="26">
        <f>EDATE(E10,18)</f>
        <v>46510</v>
      </c>
      <c r="G10" s="7" t="s">
        <v>40</v>
      </c>
      <c r="H10" s="7" t="str">
        <f>_xlfn.CONCAT("QD00",A10 - DATE(YEAR(A10),1,0))</f>
        <v>QD003</v>
      </c>
      <c r="I10" s="33">
        <v>0.1234</v>
      </c>
      <c r="J10" s="7" t="s">
        <v>44</v>
      </c>
      <c r="K10" s="7" t="s">
        <v>45</v>
      </c>
      <c r="L10" s="7" t="s">
        <v>27</v>
      </c>
      <c r="M10" s="15"/>
      <c r="O10" s="2"/>
    </row>
    <row r="11" spans="1:15" ht="20.100000000000001" customHeight="1" x14ac:dyDescent="0.25">
      <c r="A11" s="6">
        <v>46025</v>
      </c>
      <c r="B11" s="7" t="s">
        <v>43</v>
      </c>
      <c r="C11" s="7" t="s">
        <v>67</v>
      </c>
      <c r="D11" s="9" t="s">
        <v>86</v>
      </c>
      <c r="E11" s="26">
        <f>EDATE(A11,-2)</f>
        <v>45964</v>
      </c>
      <c r="F11" s="26">
        <f>EDATE(E11,18)</f>
        <v>46510</v>
      </c>
      <c r="G11" s="7" t="s">
        <v>40</v>
      </c>
      <c r="H11" s="7" t="str">
        <f>_xlfn.CONCAT("KP00",A11 - DATE(YEAR(A11),1,0))</f>
        <v>KP003</v>
      </c>
      <c r="I11" s="33">
        <v>8.72E-2</v>
      </c>
      <c r="J11" s="7" t="s">
        <v>44</v>
      </c>
      <c r="K11" s="7" t="s">
        <v>45</v>
      </c>
      <c r="L11" s="7" t="s">
        <v>27</v>
      </c>
      <c r="M11" s="15"/>
      <c r="O11" s="2"/>
    </row>
    <row r="12" spans="1:15" ht="20.100000000000001" customHeight="1" x14ac:dyDescent="0.25">
      <c r="A12" s="6">
        <v>46025</v>
      </c>
      <c r="B12" s="7" t="s">
        <v>43</v>
      </c>
      <c r="C12" s="7" t="s">
        <v>16</v>
      </c>
      <c r="D12" s="9" t="s">
        <v>71</v>
      </c>
      <c r="E12" s="26">
        <f>EDATE(A12,-2)</f>
        <v>45964</v>
      </c>
      <c r="F12" s="26">
        <f>EDATE(E12,18)</f>
        <v>46510</v>
      </c>
      <c r="G12" s="7" t="s">
        <v>40</v>
      </c>
      <c r="H12" s="7" t="str">
        <f>_xlfn.CONCAT("KG00",A12 - DATE(YEAR(A12),1,0))</f>
        <v>KG003</v>
      </c>
      <c r="I12" s="33">
        <v>0.14710000000000001</v>
      </c>
      <c r="J12" s="7" t="s">
        <v>44</v>
      </c>
      <c r="K12" s="7" t="s">
        <v>45</v>
      </c>
      <c r="L12" s="7" t="s">
        <v>27</v>
      </c>
      <c r="M12" s="15"/>
      <c r="O12" s="2"/>
    </row>
    <row r="13" spans="1:15" ht="20.100000000000001" customHeight="1" x14ac:dyDescent="0.25">
      <c r="A13" s="6">
        <v>46025</v>
      </c>
      <c r="B13" s="7" t="s">
        <v>47</v>
      </c>
      <c r="C13" s="7" t="s">
        <v>17</v>
      </c>
      <c r="D13" s="9" t="s">
        <v>87</v>
      </c>
      <c r="E13" s="26">
        <f>EDATE(A13,-1)</f>
        <v>45994</v>
      </c>
      <c r="F13" s="26">
        <f>EDATE(E13,12)</f>
        <v>46359</v>
      </c>
      <c r="G13" s="7" t="s">
        <v>40</v>
      </c>
      <c r="H13" s="7" t="str">
        <f>_xlfn.CONCAT("SG00",A13 - DATE(YEAR(A13),1,0))</f>
        <v>SG003</v>
      </c>
      <c r="I13" s="35">
        <v>0.1411</v>
      </c>
      <c r="J13" s="7" t="s">
        <v>44</v>
      </c>
      <c r="K13" s="7" t="s">
        <v>45</v>
      </c>
      <c r="L13" s="7" t="s">
        <v>27</v>
      </c>
      <c r="M13" s="15"/>
      <c r="O13" s="2"/>
    </row>
    <row r="14" spans="1:15" ht="20.100000000000001" customHeight="1" x14ac:dyDescent="0.25">
      <c r="A14" s="6">
        <v>46026</v>
      </c>
      <c r="B14" s="7" t="s">
        <v>46</v>
      </c>
      <c r="C14" s="7" t="s">
        <v>147</v>
      </c>
      <c r="D14" s="9" t="s">
        <v>88</v>
      </c>
      <c r="E14" s="26">
        <f>EDATE(A14,-1)</f>
        <v>45995</v>
      </c>
      <c r="F14" s="26">
        <f>EDATE(E14,8)</f>
        <v>46238</v>
      </c>
      <c r="G14" s="7" t="s">
        <v>40</v>
      </c>
      <c r="H14" s="7" t="str">
        <f>_xlfn.CONCAT("MA00",A14 - DATE(YEAR(A14),1,0))</f>
        <v>MA004</v>
      </c>
      <c r="I14" s="33">
        <v>3.4500000000000003E-2</v>
      </c>
      <c r="J14" s="7" t="s">
        <v>44</v>
      </c>
      <c r="K14" s="7" t="s">
        <v>45</v>
      </c>
      <c r="L14" s="7" t="s">
        <v>27</v>
      </c>
      <c r="M14" s="15"/>
      <c r="O14" s="2"/>
    </row>
    <row r="15" spans="1:15" ht="20.100000000000001" customHeight="1" x14ac:dyDescent="0.25">
      <c r="A15" s="6">
        <v>46026</v>
      </c>
      <c r="B15" s="7" t="s">
        <v>57</v>
      </c>
      <c r="C15" s="7" t="s">
        <v>31</v>
      </c>
      <c r="D15" s="9" t="s">
        <v>89</v>
      </c>
      <c r="E15" s="26">
        <f>EDATE(A15,-13)</f>
        <v>45630</v>
      </c>
      <c r="F15" s="26">
        <f>EDATE(E15,24)</f>
        <v>46360</v>
      </c>
      <c r="G15" s="7" t="s">
        <v>58</v>
      </c>
      <c r="H15" s="7" t="str">
        <f>_xlfn.CONCAT("LP00",A15 - DATE(YEAR(A15),1,0))</f>
        <v>LP004</v>
      </c>
      <c r="I15" s="24" t="s">
        <v>49</v>
      </c>
      <c r="J15" s="7" t="s">
        <v>42</v>
      </c>
      <c r="K15" s="7" t="s">
        <v>45</v>
      </c>
      <c r="L15" s="7" t="s">
        <v>28</v>
      </c>
      <c r="M15" s="15"/>
      <c r="O15" s="2"/>
    </row>
    <row r="16" spans="1:15" ht="20.100000000000001" customHeight="1" x14ac:dyDescent="0.25">
      <c r="A16" s="6">
        <v>46026</v>
      </c>
      <c r="B16" s="7" t="s">
        <v>48</v>
      </c>
      <c r="C16" s="7" t="s">
        <v>21</v>
      </c>
      <c r="D16" s="9" t="s">
        <v>33</v>
      </c>
      <c r="E16" s="26">
        <f>EDATE(A16,-4)</f>
        <v>45904</v>
      </c>
      <c r="F16" s="26">
        <f>EDATE(E16,24)</f>
        <v>46634</v>
      </c>
      <c r="G16" s="7" t="s">
        <v>40</v>
      </c>
      <c r="H16" s="7" t="str">
        <f>_xlfn.CONCAT("SP00",A16 - DATE(YEAR(A16),1,0))</f>
        <v>SP004</v>
      </c>
      <c r="I16" s="7" t="s">
        <v>49</v>
      </c>
      <c r="J16" s="7" t="s">
        <v>44</v>
      </c>
      <c r="K16" s="7" t="s">
        <v>45</v>
      </c>
      <c r="L16" s="7" t="s">
        <v>28</v>
      </c>
      <c r="M16" s="15"/>
      <c r="O16" s="2"/>
    </row>
    <row r="17" spans="1:15" ht="20.100000000000001" customHeight="1" x14ac:dyDescent="0.25">
      <c r="A17" s="6">
        <v>46027</v>
      </c>
      <c r="B17" s="7" t="s">
        <v>48</v>
      </c>
      <c r="C17" s="7" t="s">
        <v>22</v>
      </c>
      <c r="D17" s="9" t="s">
        <v>68</v>
      </c>
      <c r="E17" s="26">
        <f>EDATE(A17,-14)</f>
        <v>45601</v>
      </c>
      <c r="F17" s="26">
        <f>EDATE(E17,24)</f>
        <v>46331</v>
      </c>
      <c r="G17" s="7" t="s">
        <v>52</v>
      </c>
      <c r="H17" s="7" t="str">
        <f>_xlfn.CONCAT("FT00",A17 - DATE(YEAR(A17),1,0))</f>
        <v>FT005</v>
      </c>
      <c r="I17" s="24" t="s">
        <v>49</v>
      </c>
      <c r="J17" s="7" t="s">
        <v>42</v>
      </c>
      <c r="K17" s="7" t="s">
        <v>45</v>
      </c>
      <c r="L17" s="7" t="s">
        <v>28</v>
      </c>
      <c r="M17" s="15"/>
      <c r="O17" s="2"/>
    </row>
    <row r="18" spans="1:15" ht="20.100000000000001" customHeight="1" x14ac:dyDescent="0.25">
      <c r="A18" s="6">
        <v>46027</v>
      </c>
      <c r="B18" s="7" t="s">
        <v>53</v>
      </c>
      <c r="C18" s="7" t="s">
        <v>23</v>
      </c>
      <c r="D18" s="9" t="s">
        <v>33</v>
      </c>
      <c r="E18" s="26">
        <f>EDATE(A18,-3)</f>
        <v>45935</v>
      </c>
      <c r="F18" s="26">
        <f>EDATE(E18,18)</f>
        <v>46482</v>
      </c>
      <c r="G18" s="7" t="s">
        <v>55</v>
      </c>
      <c r="H18" s="7" t="str">
        <f>_xlfn.CONCAT("MV00",A18 - DATE(YEAR(A18),1,0))</f>
        <v>MV005</v>
      </c>
      <c r="I18" s="7" t="s">
        <v>49</v>
      </c>
      <c r="J18" s="7" t="s">
        <v>42</v>
      </c>
      <c r="K18" s="7" t="s">
        <v>45</v>
      </c>
      <c r="L18" s="7" t="s">
        <v>28</v>
      </c>
      <c r="M18" s="15"/>
      <c r="O18" s="2"/>
    </row>
    <row r="19" spans="1:15" ht="20.100000000000001" customHeight="1" x14ac:dyDescent="0.25">
      <c r="A19" s="6">
        <v>46028</v>
      </c>
      <c r="B19" s="7" t="s">
        <v>62</v>
      </c>
      <c r="C19" s="7" t="s">
        <v>69</v>
      </c>
      <c r="D19" s="9" t="s">
        <v>90</v>
      </c>
      <c r="E19" s="38">
        <f>EDATE(A19,-1)</f>
        <v>45997</v>
      </c>
      <c r="F19" s="38">
        <f t="shared" ref="F19:F20" si="0">EDATE(E19,12)</f>
        <v>46362</v>
      </c>
      <c r="G19" s="7" t="s">
        <v>40</v>
      </c>
      <c r="H19" s="39" t="str">
        <f>_xlfn.CONCAT("AS00",A19 - DATE(YEAR(A19),1,0))</f>
        <v>AS006</v>
      </c>
      <c r="I19" s="7" t="s">
        <v>49</v>
      </c>
      <c r="J19" s="7" t="s">
        <v>44</v>
      </c>
      <c r="K19" s="7" t="s">
        <v>45</v>
      </c>
      <c r="L19" s="7" t="s">
        <v>28</v>
      </c>
      <c r="M19" s="15"/>
      <c r="O19" s="2"/>
    </row>
    <row r="20" spans="1:15" ht="20.100000000000001" customHeight="1" x14ac:dyDescent="0.25">
      <c r="A20" s="6">
        <v>46028</v>
      </c>
      <c r="B20" s="7" t="s">
        <v>62</v>
      </c>
      <c r="C20" s="7" t="s">
        <v>18</v>
      </c>
      <c r="D20" s="12" t="s">
        <v>91</v>
      </c>
      <c r="E20" s="38">
        <f>EDATE(A20,-1)</f>
        <v>45997</v>
      </c>
      <c r="F20" s="38">
        <f t="shared" si="0"/>
        <v>46362</v>
      </c>
      <c r="G20" s="7" t="s">
        <v>40</v>
      </c>
      <c r="H20" s="39" t="str">
        <f>_xlfn.CONCAT("AG00",A20 - DATE(YEAR(A20),1,0))</f>
        <v>AG006</v>
      </c>
      <c r="I20" s="7" t="s">
        <v>49</v>
      </c>
      <c r="J20" s="7" t="s">
        <v>44</v>
      </c>
      <c r="K20" s="7" t="s">
        <v>45</v>
      </c>
      <c r="L20" s="7" t="s">
        <v>28</v>
      </c>
      <c r="M20" s="15"/>
      <c r="O20" s="2"/>
    </row>
    <row r="21" spans="1:15" ht="20.100000000000001" customHeight="1" x14ac:dyDescent="0.25">
      <c r="A21" s="6">
        <v>46029</v>
      </c>
      <c r="B21" s="7" t="s">
        <v>61</v>
      </c>
      <c r="C21" s="7" t="s">
        <v>29</v>
      </c>
      <c r="D21" s="9" t="s">
        <v>92</v>
      </c>
      <c r="E21" s="26">
        <f>EDATE(A21,-1)</f>
        <v>45998</v>
      </c>
      <c r="F21" s="26">
        <f>EDATE(E21,24)</f>
        <v>46728</v>
      </c>
      <c r="G21" s="7" t="s">
        <v>93</v>
      </c>
      <c r="H21" s="7" t="str">
        <f>_xlfn.CONCAT("AR00",A21 - DATE(YEAR(A21),1,0))</f>
        <v>AR007</v>
      </c>
      <c r="I21" s="33">
        <v>5.0000000000000001E-4</v>
      </c>
      <c r="J21" s="7" t="s">
        <v>42</v>
      </c>
      <c r="K21" s="7" t="s">
        <v>45</v>
      </c>
      <c r="L21" s="7" t="s">
        <v>27</v>
      </c>
      <c r="M21" s="15"/>
      <c r="O21" s="2"/>
    </row>
    <row r="22" spans="1:15" ht="20.100000000000001" customHeight="1" x14ac:dyDescent="0.25">
      <c r="A22" s="6">
        <v>46029</v>
      </c>
      <c r="B22" s="7" t="s">
        <v>56</v>
      </c>
      <c r="C22" s="7" t="s">
        <v>30</v>
      </c>
      <c r="D22" s="9" t="s">
        <v>25</v>
      </c>
      <c r="E22" s="26">
        <f>EDATE(A22,-1)</f>
        <v>45998</v>
      </c>
      <c r="F22" s="26">
        <f>EDATE(E22,12)</f>
        <v>46363</v>
      </c>
      <c r="G22" s="7" t="s">
        <v>40</v>
      </c>
      <c r="H22" s="7" t="str">
        <f>_xlfn.CONCAT("MG00",A22 - DATE(YEAR(A22),1,0))</f>
        <v>MG007</v>
      </c>
      <c r="I22" s="34">
        <v>0.1159</v>
      </c>
      <c r="J22" s="7" t="s">
        <v>44</v>
      </c>
      <c r="K22" s="7" t="s">
        <v>45</v>
      </c>
      <c r="L22" s="7" t="s">
        <v>27</v>
      </c>
      <c r="M22" s="15"/>
      <c r="O22" s="2"/>
    </row>
    <row r="23" spans="1:15" ht="20.100000000000001" customHeight="1" x14ac:dyDescent="0.25">
      <c r="A23" s="6">
        <v>46028</v>
      </c>
      <c r="B23" s="7" t="s">
        <v>56</v>
      </c>
      <c r="C23" s="7" t="s">
        <v>32</v>
      </c>
      <c r="D23" s="9" t="s">
        <v>33</v>
      </c>
      <c r="E23" s="38">
        <f>EDATE(A23,-2)</f>
        <v>45967</v>
      </c>
      <c r="F23" s="38">
        <f>EDATE(E23,12)</f>
        <v>46332</v>
      </c>
      <c r="G23" s="7" t="s">
        <v>40</v>
      </c>
      <c r="H23" s="7" t="str">
        <f>_xlfn.CONCAT("GZ00",A23 - DATE(YEAR(A23),1,0))</f>
        <v>GZ006</v>
      </c>
      <c r="I23" s="34">
        <v>0.12379999999999999</v>
      </c>
      <c r="J23" s="7" t="s">
        <v>44</v>
      </c>
      <c r="K23" s="7" t="s">
        <v>45</v>
      </c>
      <c r="L23" s="7" t="s">
        <v>27</v>
      </c>
      <c r="M23" s="15"/>
      <c r="O23" s="2"/>
    </row>
    <row r="24" spans="1:15" ht="20.100000000000001" customHeight="1" x14ac:dyDescent="0.25">
      <c r="A24" s="6">
        <v>46028</v>
      </c>
      <c r="B24" s="7" t="s">
        <v>60</v>
      </c>
      <c r="C24" s="7" t="s">
        <v>112</v>
      </c>
      <c r="D24" s="9" t="s">
        <v>33</v>
      </c>
      <c r="E24" s="38">
        <f>EDATE(A24,-2)</f>
        <v>45967</v>
      </c>
      <c r="F24" s="38">
        <f>EDATE(E24,12)</f>
        <v>46332</v>
      </c>
      <c r="G24" s="7" t="s">
        <v>40</v>
      </c>
      <c r="H24" s="7" t="str">
        <f>_xlfn.CONCAT("TH00",A24 - DATE(YEAR(A24),1,0))</f>
        <v>TH006</v>
      </c>
      <c r="I24" s="34">
        <v>6.88E-2</v>
      </c>
      <c r="J24" s="7" t="s">
        <v>44</v>
      </c>
      <c r="K24" s="7" t="s">
        <v>45</v>
      </c>
      <c r="L24" s="10" t="s">
        <v>27</v>
      </c>
      <c r="M24" s="15"/>
      <c r="O24" s="2"/>
    </row>
    <row r="25" spans="1:15" ht="20.100000000000001" customHeight="1" x14ac:dyDescent="0.25">
      <c r="A25" s="6">
        <v>46028</v>
      </c>
      <c r="B25" s="7" t="s">
        <v>56</v>
      </c>
      <c r="C25" s="7" t="s">
        <v>19</v>
      </c>
      <c r="D25" s="9" t="s">
        <v>33</v>
      </c>
      <c r="E25" s="26">
        <f>EDATE(A25,-1)</f>
        <v>45997</v>
      </c>
      <c r="F25" s="26">
        <f>EDATE(E25,12)</f>
        <v>46362</v>
      </c>
      <c r="G25" s="7" t="s">
        <v>40</v>
      </c>
      <c r="H25" s="7" t="str">
        <f>_xlfn.CONCAT("LZ00",A25 - DATE(YEAR(A25),1,0))</f>
        <v>LZ006</v>
      </c>
      <c r="I25" s="33">
        <v>8.3199999999999996E-2</v>
      </c>
      <c r="J25" s="7" t="s">
        <v>44</v>
      </c>
      <c r="K25" s="7" t="s">
        <v>45</v>
      </c>
      <c r="L25" s="10" t="s">
        <v>27</v>
      </c>
      <c r="M25" s="15"/>
      <c r="O25" s="2"/>
    </row>
    <row r="26" spans="1:15" ht="20.100000000000001" customHeight="1" x14ac:dyDescent="0.25">
      <c r="A26" s="6">
        <v>46028</v>
      </c>
      <c r="B26" s="7" t="s">
        <v>56</v>
      </c>
      <c r="C26" s="7" t="s">
        <v>20</v>
      </c>
      <c r="D26" s="9" t="s">
        <v>33</v>
      </c>
      <c r="E26" s="26">
        <f>EDATE(A26,-1)</f>
        <v>45997</v>
      </c>
      <c r="F26" s="26">
        <f>EDATE(E26,12)</f>
        <v>46362</v>
      </c>
      <c r="G26" s="7" t="s">
        <v>40</v>
      </c>
      <c r="H26" s="7" t="str">
        <f>_xlfn.CONCAT("AJ00",A26 - DATE(YEAR(A26),1,0))</f>
        <v>AJ006</v>
      </c>
      <c r="I26" s="33">
        <v>0.41980000000000001</v>
      </c>
      <c r="J26" s="7" t="s">
        <v>44</v>
      </c>
      <c r="K26" s="7" t="s">
        <v>45</v>
      </c>
      <c r="L26" s="10" t="s">
        <v>27</v>
      </c>
      <c r="M26" s="15"/>
      <c r="O26" s="2"/>
    </row>
    <row r="27" spans="1:15" ht="20.100000000000001" customHeight="1" x14ac:dyDescent="0.25">
      <c r="A27" s="19">
        <v>46050</v>
      </c>
      <c r="B27" s="20" t="s">
        <v>41</v>
      </c>
      <c r="C27" s="17" t="s">
        <v>65</v>
      </c>
      <c r="D27" s="18" t="s">
        <v>94</v>
      </c>
      <c r="E27" s="27">
        <v>45658</v>
      </c>
      <c r="F27" s="27">
        <v>46023</v>
      </c>
      <c r="G27" s="20" t="s">
        <v>50</v>
      </c>
      <c r="H27" s="20" t="str">
        <f>_xlfn.CONCAT("AP0",A27 - DATE(YEAR(A27),1,0))</f>
        <v>AP028</v>
      </c>
      <c r="I27" s="29">
        <v>9.3399999999999997E-2</v>
      </c>
      <c r="J27" s="16" t="s">
        <v>42</v>
      </c>
      <c r="K27" s="20" t="s">
        <v>45</v>
      </c>
      <c r="L27" s="16" t="s">
        <v>27</v>
      </c>
      <c r="M27" s="23"/>
      <c r="O27" s="2"/>
    </row>
    <row r="28" spans="1:15" ht="20.100000000000001" customHeight="1" x14ac:dyDescent="0.25">
      <c r="A28" s="19">
        <v>46051</v>
      </c>
      <c r="B28" s="20" t="s">
        <v>43</v>
      </c>
      <c r="C28" s="17" t="s">
        <v>70</v>
      </c>
      <c r="D28" s="18" t="s">
        <v>83</v>
      </c>
      <c r="E28" s="27">
        <f>EDATE(A28,-2)</f>
        <v>45990</v>
      </c>
      <c r="F28" s="27">
        <f>EDATE(E28,18)</f>
        <v>46536</v>
      </c>
      <c r="G28" s="20" t="s">
        <v>40</v>
      </c>
      <c r="H28" s="20" t="str">
        <f>_xlfn.CONCAT("QP0",A28 - DATE(YEAR(A28),1,0))</f>
        <v>QP029</v>
      </c>
      <c r="I28" s="29">
        <v>7.9399999999999998E-2</v>
      </c>
      <c r="J28" s="16" t="s">
        <v>44</v>
      </c>
      <c r="K28" s="20" t="s">
        <v>45</v>
      </c>
      <c r="L28" s="16" t="s">
        <v>28</v>
      </c>
      <c r="M28" s="23"/>
      <c r="O28" s="2"/>
    </row>
    <row r="29" spans="1:15" ht="20.100000000000001" customHeight="1" x14ac:dyDescent="0.25">
      <c r="A29" s="19">
        <v>46051</v>
      </c>
      <c r="B29" s="20" t="s">
        <v>43</v>
      </c>
      <c r="C29" s="17" t="s">
        <v>15</v>
      </c>
      <c r="D29" s="18" t="s">
        <v>38</v>
      </c>
      <c r="E29" s="27">
        <f>EDATE(A29,-2)</f>
        <v>45990</v>
      </c>
      <c r="F29" s="27">
        <f>EDATE(E29,18)</f>
        <v>46536</v>
      </c>
      <c r="G29" s="20" t="s">
        <v>40</v>
      </c>
      <c r="H29" s="20" t="str">
        <f>_xlfn.CONCAT("QD0",A29 - DATE(YEAR(A29),1,0))</f>
        <v>QD029</v>
      </c>
      <c r="I29" s="32">
        <v>4.2299999999999997E-2</v>
      </c>
      <c r="J29" s="20" t="s">
        <v>44</v>
      </c>
      <c r="K29" s="20" t="s">
        <v>45</v>
      </c>
      <c r="L29" s="16" t="s">
        <v>27</v>
      </c>
      <c r="M29" s="23"/>
      <c r="O29" s="2"/>
    </row>
    <row r="30" spans="1:15" ht="20.100000000000001" customHeight="1" x14ac:dyDescent="0.25">
      <c r="A30" s="19">
        <v>46051</v>
      </c>
      <c r="B30" s="20" t="s">
        <v>43</v>
      </c>
      <c r="C30" s="21" t="s">
        <v>37</v>
      </c>
      <c r="D30" s="22" t="s">
        <v>72</v>
      </c>
      <c r="E30" s="27">
        <f>EDATE(A30,-2)</f>
        <v>45990</v>
      </c>
      <c r="F30" s="27">
        <f>EDATE(E30,18)</f>
        <v>46536</v>
      </c>
      <c r="G30" s="20" t="s">
        <v>40</v>
      </c>
      <c r="H30" s="20" t="str">
        <f>_xlfn.CONCAT("QG0",A30 - DATE(YEAR(A30),1,0))</f>
        <v>QG029</v>
      </c>
      <c r="I30" s="32">
        <v>0.1158</v>
      </c>
      <c r="J30" s="20" t="s">
        <v>44</v>
      </c>
      <c r="K30" s="20" t="s">
        <v>45</v>
      </c>
      <c r="L30" s="20" t="s">
        <v>27</v>
      </c>
      <c r="M30" s="23"/>
      <c r="O30" s="2"/>
    </row>
    <row r="31" spans="1:15" ht="20.100000000000001" customHeight="1" x14ac:dyDescent="0.25">
      <c r="A31" s="19">
        <v>46051</v>
      </c>
      <c r="B31" s="20" t="s">
        <v>43</v>
      </c>
      <c r="C31" s="17" t="s">
        <v>67</v>
      </c>
      <c r="D31" s="18" t="s">
        <v>95</v>
      </c>
      <c r="E31" s="27">
        <f>EDATE(A31,-2)</f>
        <v>45990</v>
      </c>
      <c r="F31" s="27">
        <f>EDATE(E31,18)</f>
        <v>46536</v>
      </c>
      <c r="G31" s="20" t="s">
        <v>40</v>
      </c>
      <c r="H31" s="20" t="str">
        <f>_xlfn.CONCAT("KP0",A31 - DATE(YEAR(A31),1,0))</f>
        <v>KP029</v>
      </c>
      <c r="I31" s="32">
        <v>0.14199999999999999</v>
      </c>
      <c r="J31" s="20" t="s">
        <v>44</v>
      </c>
      <c r="K31" s="20" t="s">
        <v>45</v>
      </c>
      <c r="L31" s="16" t="s">
        <v>27</v>
      </c>
      <c r="M31" s="23"/>
      <c r="O31" s="2"/>
    </row>
    <row r="32" spans="1:15" ht="20.100000000000001" customHeight="1" x14ac:dyDescent="0.25">
      <c r="A32" s="19">
        <v>46051</v>
      </c>
      <c r="B32" s="20" t="s">
        <v>43</v>
      </c>
      <c r="C32" s="17" t="s">
        <v>16</v>
      </c>
      <c r="D32" s="18" t="s">
        <v>36</v>
      </c>
      <c r="E32" s="27">
        <f>EDATE(A32,-2)</f>
        <v>45990</v>
      </c>
      <c r="F32" s="27">
        <f>EDATE(E32,18)</f>
        <v>46536</v>
      </c>
      <c r="G32" s="20" t="s">
        <v>40</v>
      </c>
      <c r="H32" s="20" t="str">
        <f>_xlfn.CONCAT("KG0",A32 - DATE(YEAR(A32),1,0))</f>
        <v>KG029</v>
      </c>
      <c r="I32" s="32">
        <v>8.7099999999999997E-2</v>
      </c>
      <c r="J32" s="20" t="s">
        <v>44</v>
      </c>
      <c r="K32" s="20" t="s">
        <v>45</v>
      </c>
      <c r="L32" s="16" t="s">
        <v>27</v>
      </c>
      <c r="M32" s="23"/>
      <c r="O32" s="2"/>
    </row>
    <row r="33" spans="1:15" ht="20.100000000000001" customHeight="1" x14ac:dyDescent="0.25">
      <c r="A33" s="19">
        <v>46051</v>
      </c>
      <c r="B33" s="20" t="s">
        <v>47</v>
      </c>
      <c r="C33" s="20" t="s">
        <v>17</v>
      </c>
      <c r="D33" s="22" t="s">
        <v>63</v>
      </c>
      <c r="E33" s="27">
        <f>EDATE(A33,-1)</f>
        <v>46020</v>
      </c>
      <c r="F33" s="27">
        <f>EDATE(E33,12)</f>
        <v>46385</v>
      </c>
      <c r="G33" s="20" t="s">
        <v>40</v>
      </c>
      <c r="H33" s="20" t="str">
        <f>_xlfn.CONCAT("SG0",A33 - DATE(YEAR(A33),1,0))</f>
        <v>SG029</v>
      </c>
      <c r="I33" s="31">
        <v>0.13519999999999999</v>
      </c>
      <c r="J33" s="20" t="s">
        <v>44</v>
      </c>
      <c r="K33" s="20" t="s">
        <v>45</v>
      </c>
      <c r="L33" s="16" t="s">
        <v>27</v>
      </c>
      <c r="M33" s="23"/>
      <c r="O33" s="2"/>
    </row>
    <row r="34" spans="1:15" ht="20.100000000000001" customHeight="1" x14ac:dyDescent="0.25">
      <c r="A34" s="19">
        <v>46051</v>
      </c>
      <c r="B34" s="20" t="s">
        <v>46</v>
      </c>
      <c r="C34" s="20" t="s">
        <v>147</v>
      </c>
      <c r="D34" s="22" t="s">
        <v>96</v>
      </c>
      <c r="E34" s="27">
        <f>EDATE(A34,-1)</f>
        <v>46020</v>
      </c>
      <c r="F34" s="27">
        <f>EDATE(E34,8)</f>
        <v>46263</v>
      </c>
      <c r="G34" s="20" t="s">
        <v>40</v>
      </c>
      <c r="H34" s="20" t="str">
        <f>_xlfn.CONCAT("MA0",A34 - DATE(YEAR(A34),1,0))</f>
        <v>MA029</v>
      </c>
      <c r="I34" s="32">
        <v>3.61E-2</v>
      </c>
      <c r="J34" s="20" t="s">
        <v>44</v>
      </c>
      <c r="K34" s="20" t="s">
        <v>45</v>
      </c>
      <c r="L34" s="16" t="s">
        <v>27</v>
      </c>
      <c r="M34" s="23"/>
      <c r="O34" s="2"/>
    </row>
    <row r="35" spans="1:15" ht="20.100000000000001" customHeight="1" x14ac:dyDescent="0.25">
      <c r="A35" s="19">
        <v>46052</v>
      </c>
      <c r="B35" s="20" t="s">
        <v>57</v>
      </c>
      <c r="C35" s="20" t="s">
        <v>31</v>
      </c>
      <c r="D35" s="18" t="s">
        <v>97</v>
      </c>
      <c r="E35" s="27">
        <f>EDATE(A35,-13)</f>
        <v>45656</v>
      </c>
      <c r="F35" s="27">
        <f>EDATE(E35,24)</f>
        <v>46386</v>
      </c>
      <c r="G35" s="20" t="s">
        <v>59</v>
      </c>
      <c r="H35" s="20" t="str">
        <f>_xlfn.CONCAT("LP0",A35 - DATE(YEAR(A35),1,0))</f>
        <v>LP030</v>
      </c>
      <c r="I35" s="25" t="s">
        <v>49</v>
      </c>
      <c r="J35" s="16" t="s">
        <v>42</v>
      </c>
      <c r="K35" s="20" t="s">
        <v>45</v>
      </c>
      <c r="L35" s="20" t="s">
        <v>28</v>
      </c>
      <c r="M35" s="23"/>
      <c r="O35" s="2"/>
    </row>
    <row r="36" spans="1:15" ht="20.100000000000001" customHeight="1" x14ac:dyDescent="0.25">
      <c r="A36" s="19">
        <v>46052</v>
      </c>
      <c r="B36" s="20" t="s">
        <v>48</v>
      </c>
      <c r="C36" s="20" t="s">
        <v>22</v>
      </c>
      <c r="D36" s="18" t="s">
        <v>98</v>
      </c>
      <c r="E36" s="27">
        <f>EDATE(A36,-14)</f>
        <v>45626</v>
      </c>
      <c r="F36" s="27">
        <f>EDATE(E36,24)</f>
        <v>46356</v>
      </c>
      <c r="G36" s="20" t="s">
        <v>51</v>
      </c>
      <c r="H36" s="20" t="str">
        <f>_xlfn.CONCAT("FT0",A36 - DATE(YEAR(A36),1,0))</f>
        <v>FT030</v>
      </c>
      <c r="I36" s="25" t="s">
        <v>49</v>
      </c>
      <c r="J36" s="16" t="s">
        <v>42</v>
      </c>
      <c r="K36" s="20" t="s">
        <v>45</v>
      </c>
      <c r="L36" s="20" t="s">
        <v>28</v>
      </c>
      <c r="M36" s="23"/>
      <c r="O36" s="2"/>
    </row>
    <row r="37" spans="1:15" ht="20.100000000000001" customHeight="1" x14ac:dyDescent="0.25">
      <c r="A37" s="19">
        <v>46052</v>
      </c>
      <c r="B37" s="20" t="s">
        <v>53</v>
      </c>
      <c r="C37" s="20" t="s">
        <v>23</v>
      </c>
      <c r="D37" s="22" t="s">
        <v>35</v>
      </c>
      <c r="E37" s="27">
        <f>EDATE(A37,-3)</f>
        <v>45960</v>
      </c>
      <c r="F37" s="27">
        <f>EDATE(E37,18)</f>
        <v>46507</v>
      </c>
      <c r="G37" s="20" t="s">
        <v>54</v>
      </c>
      <c r="H37" s="20" t="str">
        <f>_xlfn.CONCAT("MV0",A37 - DATE(YEAR(A37),1,0))</f>
        <v>MV030</v>
      </c>
      <c r="I37" s="20" t="s">
        <v>49</v>
      </c>
      <c r="J37" s="16" t="s">
        <v>42</v>
      </c>
      <c r="K37" s="20" t="s">
        <v>45</v>
      </c>
      <c r="L37" s="20" t="s">
        <v>28</v>
      </c>
      <c r="M37" s="23"/>
      <c r="O37" s="2"/>
    </row>
    <row r="38" spans="1:15" ht="20.100000000000001" customHeight="1" x14ac:dyDescent="0.25">
      <c r="A38" s="19">
        <v>46053</v>
      </c>
      <c r="B38" s="20" t="s">
        <v>56</v>
      </c>
      <c r="C38" s="20" t="s">
        <v>146</v>
      </c>
      <c r="D38" s="22" t="s">
        <v>34</v>
      </c>
      <c r="E38" s="27">
        <f>EDATE(A38,-2)</f>
        <v>45991</v>
      </c>
      <c r="F38" s="27">
        <f>EDATE(E38,12)</f>
        <v>46356</v>
      </c>
      <c r="G38" s="20" t="s">
        <v>40</v>
      </c>
      <c r="H38" s="20" t="str">
        <f>_xlfn.CONCAT("CG0",A38 - DATE(YEAR(A38),1,0))</f>
        <v>CG031</v>
      </c>
      <c r="I38" s="32">
        <v>0.1125</v>
      </c>
      <c r="J38" s="20" t="s">
        <v>44</v>
      </c>
      <c r="K38" s="20" t="s">
        <v>45</v>
      </c>
      <c r="L38" s="20" t="s">
        <v>27</v>
      </c>
      <c r="M38" s="23"/>
      <c r="O38" s="2"/>
    </row>
    <row r="39" spans="1:15" ht="20.100000000000001" customHeight="1" x14ac:dyDescent="0.25">
      <c r="A39" s="19">
        <v>46053</v>
      </c>
      <c r="B39" s="20" t="s">
        <v>56</v>
      </c>
      <c r="C39" s="20" t="s">
        <v>148</v>
      </c>
      <c r="D39" s="22" t="s">
        <v>26</v>
      </c>
      <c r="E39" s="27">
        <f>EDATE(A39,-2)</f>
        <v>45991</v>
      </c>
      <c r="F39" s="27">
        <f>EDATE(E39,12)</f>
        <v>46356</v>
      </c>
      <c r="G39" s="20" t="s">
        <v>40</v>
      </c>
      <c r="H39" s="20" t="str">
        <f>_xlfn.CONCAT("CC0",A39 - DATE(YEAR(A39),1,0))</f>
        <v>CC031</v>
      </c>
      <c r="I39" s="32">
        <v>0.10589999999999999</v>
      </c>
      <c r="J39" s="20" t="s">
        <v>44</v>
      </c>
      <c r="K39" s="20" t="s">
        <v>45</v>
      </c>
      <c r="L39" s="16" t="s">
        <v>27</v>
      </c>
      <c r="M39" s="23"/>
      <c r="O39" s="2"/>
    </row>
    <row r="40" spans="1:15" ht="20.100000000000001" customHeight="1" x14ac:dyDescent="0.25">
      <c r="A40" s="6">
        <v>46077</v>
      </c>
      <c r="B40" s="7" t="s">
        <v>41</v>
      </c>
      <c r="C40" s="11" t="s">
        <v>65</v>
      </c>
      <c r="D40" s="12" t="s">
        <v>99</v>
      </c>
      <c r="E40" s="26">
        <v>45689</v>
      </c>
      <c r="F40" s="26">
        <v>46054</v>
      </c>
      <c r="G40" s="7" t="s">
        <v>75</v>
      </c>
      <c r="H40" s="7" t="str">
        <f>_xlfn.CONCAT("AP0",A40 - DATE(YEAR(A40),1,0))</f>
        <v>AP055</v>
      </c>
      <c r="I40" s="28">
        <v>9.7199999999999995E-2</v>
      </c>
      <c r="J40" s="7" t="s">
        <v>42</v>
      </c>
      <c r="K40" s="7" t="s">
        <v>45</v>
      </c>
      <c r="L40" s="10" t="s">
        <v>27</v>
      </c>
      <c r="M40" s="15"/>
      <c r="O40" s="2"/>
    </row>
    <row r="41" spans="1:15" ht="20.100000000000001" customHeight="1" x14ac:dyDescent="0.25">
      <c r="A41" s="6">
        <v>46078</v>
      </c>
      <c r="B41" s="7" t="s">
        <v>43</v>
      </c>
      <c r="C41" s="11" t="s">
        <v>70</v>
      </c>
      <c r="D41" s="12" t="s">
        <v>83</v>
      </c>
      <c r="E41" s="26">
        <f>EDATE(A41,-2)</f>
        <v>46016</v>
      </c>
      <c r="F41" s="26">
        <f>EDATE(E41,18)</f>
        <v>46563</v>
      </c>
      <c r="G41" s="7" t="s">
        <v>40</v>
      </c>
      <c r="H41" s="7" t="str">
        <f>_xlfn.CONCAT("QP0",A41 - DATE(YEAR(A41),1,0))</f>
        <v>QP056</v>
      </c>
      <c r="I41" s="28">
        <v>8.1100000000000005E-2</v>
      </c>
      <c r="J41" s="10" t="s">
        <v>44</v>
      </c>
      <c r="K41" s="7" t="s">
        <v>45</v>
      </c>
      <c r="L41" s="10" t="s">
        <v>28</v>
      </c>
      <c r="M41" s="15"/>
      <c r="O41" s="2"/>
    </row>
    <row r="42" spans="1:15" ht="20.100000000000001" customHeight="1" x14ac:dyDescent="0.25">
      <c r="A42" s="6">
        <v>46078</v>
      </c>
      <c r="B42" s="7" t="s">
        <v>43</v>
      </c>
      <c r="C42" s="11" t="s">
        <v>15</v>
      </c>
      <c r="D42" s="12" t="s">
        <v>145</v>
      </c>
      <c r="E42" s="26">
        <f>EDATE(A42,-2)</f>
        <v>46016</v>
      </c>
      <c r="F42" s="26">
        <f>EDATE(E42,18)</f>
        <v>46563</v>
      </c>
      <c r="G42" s="7" t="s">
        <v>40</v>
      </c>
      <c r="H42" s="7" t="str">
        <f>_xlfn.CONCAT("QD0",A42 - DATE(YEAR(A42),1,0))</f>
        <v>QD056</v>
      </c>
      <c r="I42" s="33">
        <v>4.3499999999999997E-2</v>
      </c>
      <c r="J42" s="7" t="s">
        <v>44</v>
      </c>
      <c r="K42" s="7" t="s">
        <v>45</v>
      </c>
      <c r="L42" s="10" t="s">
        <v>27</v>
      </c>
      <c r="M42" s="15"/>
      <c r="O42" s="2"/>
    </row>
    <row r="43" spans="1:15" ht="20.100000000000001" customHeight="1" x14ac:dyDescent="0.25">
      <c r="A43" s="6">
        <v>46078</v>
      </c>
      <c r="B43" s="7" t="s">
        <v>43</v>
      </c>
      <c r="C43" s="8" t="s">
        <v>37</v>
      </c>
      <c r="D43" s="9" t="s">
        <v>72</v>
      </c>
      <c r="E43" s="26">
        <f>EDATE(A43,-2)</f>
        <v>46016</v>
      </c>
      <c r="F43" s="26">
        <f>EDATE(E43,18)</f>
        <v>46563</v>
      </c>
      <c r="G43" s="7" t="s">
        <v>40</v>
      </c>
      <c r="H43" s="7" t="str">
        <f>_xlfn.CONCAT("QG0",A43 - DATE(YEAR(A43),1,0))</f>
        <v>QG056</v>
      </c>
      <c r="I43" s="33">
        <v>0.11700000000000001</v>
      </c>
      <c r="J43" s="7" t="s">
        <v>44</v>
      </c>
      <c r="K43" s="7" t="s">
        <v>45</v>
      </c>
      <c r="L43" s="7" t="s">
        <v>27</v>
      </c>
      <c r="M43" s="15"/>
      <c r="O43" s="2"/>
    </row>
    <row r="44" spans="1:15" ht="20.100000000000001" customHeight="1" x14ac:dyDescent="0.25">
      <c r="A44" s="6">
        <v>46079</v>
      </c>
      <c r="B44" s="7" t="s">
        <v>43</v>
      </c>
      <c r="C44" s="11" t="s">
        <v>67</v>
      </c>
      <c r="D44" s="12" t="s">
        <v>100</v>
      </c>
      <c r="E44" s="26">
        <f>EDATE(A44,-2)</f>
        <v>46017</v>
      </c>
      <c r="F44" s="26">
        <f>EDATE(E44,18)</f>
        <v>46564</v>
      </c>
      <c r="G44" s="7" t="s">
        <v>40</v>
      </c>
      <c r="H44" s="7" t="str">
        <f>_xlfn.CONCAT("KP0",A44 - DATE(YEAR(A44),1,0))</f>
        <v>KP057</v>
      </c>
      <c r="I44" s="33">
        <v>0.14199999999999999</v>
      </c>
      <c r="J44" s="7" t="s">
        <v>44</v>
      </c>
      <c r="K44" s="7" t="s">
        <v>45</v>
      </c>
      <c r="L44" s="10" t="s">
        <v>27</v>
      </c>
      <c r="M44" s="15"/>
      <c r="O44" s="2"/>
    </row>
    <row r="45" spans="1:15" ht="20.100000000000001" customHeight="1" x14ac:dyDescent="0.25">
      <c r="A45" s="6">
        <v>46079</v>
      </c>
      <c r="B45" s="7" t="s">
        <v>43</v>
      </c>
      <c r="C45" s="11" t="s">
        <v>16</v>
      </c>
      <c r="D45" s="12" t="s">
        <v>101</v>
      </c>
      <c r="E45" s="26">
        <f>EDATE(A45,-2)</f>
        <v>46017</v>
      </c>
      <c r="F45" s="26">
        <f>EDATE(E45,18)</f>
        <v>46564</v>
      </c>
      <c r="G45" s="7" t="s">
        <v>40</v>
      </c>
      <c r="H45" s="7" t="str">
        <f>_xlfn.CONCAT("KG0",A45 - DATE(YEAR(A45),1,0))</f>
        <v>KG057</v>
      </c>
      <c r="I45" s="33">
        <v>8.7099999999999997E-2</v>
      </c>
      <c r="J45" s="7" t="s">
        <v>44</v>
      </c>
      <c r="K45" s="7" t="s">
        <v>45</v>
      </c>
      <c r="L45" s="10" t="s">
        <v>27</v>
      </c>
      <c r="M45" s="15"/>
      <c r="O45" s="2"/>
    </row>
    <row r="46" spans="1:15" ht="20.100000000000001" customHeight="1" x14ac:dyDescent="0.25">
      <c r="A46" s="6">
        <v>46079</v>
      </c>
      <c r="B46" s="7" t="s">
        <v>47</v>
      </c>
      <c r="C46" s="7" t="s">
        <v>17</v>
      </c>
      <c r="D46" s="9" t="s">
        <v>102</v>
      </c>
      <c r="E46" s="26">
        <f>EDATE(A46,-1)</f>
        <v>46048</v>
      </c>
      <c r="F46" s="26">
        <f>EDATE(E46,12)</f>
        <v>46413</v>
      </c>
      <c r="G46" s="7" t="s">
        <v>40</v>
      </c>
      <c r="H46" s="7" t="str">
        <f>_xlfn.CONCAT("SG0",A46 - DATE(YEAR(A46),1,0))</f>
        <v>SG057</v>
      </c>
      <c r="I46" s="37">
        <v>0.129</v>
      </c>
      <c r="J46" s="7" t="s">
        <v>44</v>
      </c>
      <c r="K46" s="7" t="s">
        <v>45</v>
      </c>
      <c r="L46" s="10" t="s">
        <v>27</v>
      </c>
      <c r="M46" s="15"/>
      <c r="O46" s="2"/>
    </row>
    <row r="47" spans="1:15" ht="20.100000000000001" customHeight="1" x14ac:dyDescent="0.25">
      <c r="A47" s="6">
        <v>46079</v>
      </c>
      <c r="B47" s="7" t="s">
        <v>46</v>
      </c>
      <c r="C47" s="7" t="s">
        <v>147</v>
      </c>
      <c r="D47" s="9" t="s">
        <v>76</v>
      </c>
      <c r="E47" s="26">
        <f>EDATE(A47,-1)</f>
        <v>46048</v>
      </c>
      <c r="F47" s="26">
        <f>EDATE(E47,8)</f>
        <v>46291</v>
      </c>
      <c r="G47" s="7" t="s">
        <v>40</v>
      </c>
      <c r="H47" s="7" t="str">
        <f>_xlfn.CONCAT("MA0",A47 - DATE(YEAR(A47),1,0))</f>
        <v>MA057</v>
      </c>
      <c r="I47" s="33">
        <v>3.8899999999999997E-2</v>
      </c>
      <c r="J47" s="7" t="s">
        <v>44</v>
      </c>
      <c r="K47" s="7" t="s">
        <v>45</v>
      </c>
      <c r="L47" s="10" t="s">
        <v>27</v>
      </c>
      <c r="M47" s="15"/>
      <c r="O47" s="2"/>
    </row>
    <row r="48" spans="1:15" ht="20.100000000000001" customHeight="1" x14ac:dyDescent="0.25">
      <c r="A48" s="6">
        <v>46080</v>
      </c>
      <c r="B48" s="7" t="s">
        <v>48</v>
      </c>
      <c r="C48" s="7" t="s">
        <v>21</v>
      </c>
      <c r="D48" s="9" t="s">
        <v>33</v>
      </c>
      <c r="E48" s="26">
        <f>EDATE(A48,-4)</f>
        <v>45957</v>
      </c>
      <c r="F48" s="26">
        <f>EDATE(E48,24)</f>
        <v>46687</v>
      </c>
      <c r="G48" s="7" t="s">
        <v>40</v>
      </c>
      <c r="H48" s="7" t="str">
        <f>_xlfn.CONCAT("SP0",A48 - DATE(YEAR(A48),1,0))</f>
        <v>SP058</v>
      </c>
      <c r="I48" s="7" t="s">
        <v>49</v>
      </c>
      <c r="J48" s="7" t="s">
        <v>44</v>
      </c>
      <c r="K48" s="7" t="s">
        <v>45</v>
      </c>
      <c r="L48" s="7" t="s">
        <v>28</v>
      </c>
      <c r="M48" s="15"/>
      <c r="O48" s="2"/>
    </row>
    <row r="49" spans="1:15" ht="20.100000000000001" customHeight="1" x14ac:dyDescent="0.25">
      <c r="A49" s="6">
        <v>46080</v>
      </c>
      <c r="B49" s="7" t="s">
        <v>48</v>
      </c>
      <c r="C49" s="7" t="s">
        <v>74</v>
      </c>
      <c r="D49" s="12" t="s">
        <v>103</v>
      </c>
      <c r="E49" s="26">
        <f>EDATE(A49,-14)</f>
        <v>45653</v>
      </c>
      <c r="F49" s="26">
        <f>EDATE(E49,24)</f>
        <v>46383</v>
      </c>
      <c r="G49" s="7" t="s">
        <v>77</v>
      </c>
      <c r="H49" s="7" t="str">
        <f>_xlfn.CONCAT("HA0",A49 - DATE(YEAR(A49),1,0))</f>
        <v>HA058</v>
      </c>
      <c r="I49" s="33" t="s">
        <v>49</v>
      </c>
      <c r="J49" s="10" t="s">
        <v>42</v>
      </c>
      <c r="K49" s="7" t="s">
        <v>45</v>
      </c>
      <c r="L49" s="7" t="s">
        <v>28</v>
      </c>
      <c r="M49" s="15"/>
      <c r="O49" s="2"/>
    </row>
    <row r="50" spans="1:15" ht="20.100000000000001" customHeight="1" x14ac:dyDescent="0.25">
      <c r="A50" s="6">
        <v>46080</v>
      </c>
      <c r="B50" s="7" t="s">
        <v>57</v>
      </c>
      <c r="C50" s="7" t="s">
        <v>31</v>
      </c>
      <c r="D50" s="12" t="s">
        <v>104</v>
      </c>
      <c r="E50" s="26">
        <f>EDATE(A50,-13)</f>
        <v>45684</v>
      </c>
      <c r="F50" s="26">
        <f>EDATE(E50,24)</f>
        <v>46414</v>
      </c>
      <c r="G50" s="7" t="s">
        <v>78</v>
      </c>
      <c r="H50" s="7" t="str">
        <f>_xlfn.CONCAT("LP0",A50 - DATE(YEAR(A50),1,0))</f>
        <v>LP058</v>
      </c>
      <c r="I50" s="24" t="s">
        <v>49</v>
      </c>
      <c r="J50" s="10" t="s">
        <v>42</v>
      </c>
      <c r="K50" s="7" t="s">
        <v>45</v>
      </c>
      <c r="L50" s="7" t="s">
        <v>28</v>
      </c>
      <c r="M50" s="15"/>
      <c r="O50" s="2"/>
    </row>
    <row r="51" spans="1:15" ht="20.100000000000001" customHeight="1" x14ac:dyDescent="0.25">
      <c r="A51" s="6">
        <v>46080</v>
      </c>
      <c r="B51" s="7" t="s">
        <v>62</v>
      </c>
      <c r="C51" s="7" t="s">
        <v>69</v>
      </c>
      <c r="D51" s="9" t="s">
        <v>90</v>
      </c>
      <c r="E51" s="38">
        <f>EDATE(A51,-1)</f>
        <v>46049</v>
      </c>
      <c r="F51" s="38">
        <f t="shared" ref="F51" si="1">EDATE(E51,12)</f>
        <v>46414</v>
      </c>
      <c r="G51" s="7" t="s">
        <v>40</v>
      </c>
      <c r="H51" s="39" t="str">
        <f>_xlfn.CONCAT("AS0",A51 - DATE(YEAR(A51),1,0))</f>
        <v>AS058</v>
      </c>
      <c r="I51" s="7" t="s">
        <v>49</v>
      </c>
      <c r="J51" s="7" t="s">
        <v>44</v>
      </c>
      <c r="K51" s="7" t="s">
        <v>45</v>
      </c>
      <c r="L51" s="7" t="s">
        <v>28</v>
      </c>
      <c r="M51" s="15"/>
      <c r="O51" s="2"/>
    </row>
    <row r="52" spans="1:15" ht="20.100000000000001" customHeight="1" x14ac:dyDescent="0.25">
      <c r="A52" s="6">
        <v>46080</v>
      </c>
      <c r="B52" s="7" t="s">
        <v>62</v>
      </c>
      <c r="C52" s="7" t="s">
        <v>18</v>
      </c>
      <c r="D52" s="12" t="s">
        <v>105</v>
      </c>
      <c r="E52" s="38">
        <f>EDATE(A52,-1)</f>
        <v>46049</v>
      </c>
      <c r="F52" s="38">
        <f t="shared" ref="F52" si="2">EDATE(E52,12)</f>
        <v>46414</v>
      </c>
      <c r="G52" s="7" t="s">
        <v>40</v>
      </c>
      <c r="H52" s="39" t="str">
        <f>_xlfn.CONCAT("AG0",A52 - DATE(YEAR(A52),1,0))</f>
        <v>AG058</v>
      </c>
      <c r="I52" s="7" t="s">
        <v>49</v>
      </c>
      <c r="J52" s="7" t="s">
        <v>44</v>
      </c>
      <c r="K52" s="7" t="s">
        <v>45</v>
      </c>
      <c r="L52" s="7" t="s">
        <v>28</v>
      </c>
      <c r="M52" s="15"/>
      <c r="O52" s="2"/>
    </row>
    <row r="53" spans="1:15" ht="20.100000000000001" customHeight="1" x14ac:dyDescent="0.25">
      <c r="A53" s="6">
        <v>46080</v>
      </c>
      <c r="B53" s="7" t="s">
        <v>48</v>
      </c>
      <c r="C53" s="7" t="s">
        <v>22</v>
      </c>
      <c r="D53" s="12" t="s">
        <v>106</v>
      </c>
      <c r="E53" s="26">
        <f>EDATE(A53,-14)</f>
        <v>45653</v>
      </c>
      <c r="F53" s="26">
        <f>EDATE(E53,24)</f>
        <v>46383</v>
      </c>
      <c r="G53" s="7" t="s">
        <v>79</v>
      </c>
      <c r="H53" s="7" t="str">
        <f>_xlfn.CONCAT("FT0",A53 - DATE(YEAR(A53),1,0))</f>
        <v>FT058</v>
      </c>
      <c r="I53" s="24" t="s">
        <v>49</v>
      </c>
      <c r="J53" s="10" t="s">
        <v>42</v>
      </c>
      <c r="K53" s="7" t="s">
        <v>45</v>
      </c>
      <c r="L53" s="7" t="s">
        <v>28</v>
      </c>
      <c r="M53" s="15"/>
      <c r="O53" s="2"/>
    </row>
    <row r="54" spans="1:15" ht="20.100000000000001" customHeight="1" x14ac:dyDescent="0.25">
      <c r="A54" s="6">
        <v>46080</v>
      </c>
      <c r="B54" s="7" t="s">
        <v>53</v>
      </c>
      <c r="C54" s="7" t="s">
        <v>23</v>
      </c>
      <c r="D54" s="9" t="s">
        <v>107</v>
      </c>
      <c r="E54" s="26">
        <f>EDATE(A54,-3)</f>
        <v>45988</v>
      </c>
      <c r="F54" s="26">
        <f>EDATE(E54,18)</f>
        <v>46534</v>
      </c>
      <c r="G54" s="7" t="s">
        <v>80</v>
      </c>
      <c r="H54" s="7" t="str">
        <f>_xlfn.CONCAT("MV0",A54 - DATE(YEAR(A54),1,0))</f>
        <v>MV058</v>
      </c>
      <c r="I54" s="7" t="s">
        <v>49</v>
      </c>
      <c r="J54" s="10" t="s">
        <v>42</v>
      </c>
      <c r="K54" s="7" t="s">
        <v>45</v>
      </c>
      <c r="L54" s="7" t="s">
        <v>28</v>
      </c>
      <c r="M54" s="15"/>
      <c r="O54" s="2"/>
    </row>
    <row r="55" spans="1:15" ht="20.100000000000001" customHeight="1" x14ac:dyDescent="0.25">
      <c r="A55" s="6">
        <v>46081</v>
      </c>
      <c r="B55" s="7" t="s">
        <v>61</v>
      </c>
      <c r="C55" s="7" t="s">
        <v>29</v>
      </c>
      <c r="D55" s="9" t="s">
        <v>108</v>
      </c>
      <c r="E55" s="26">
        <f>EDATE(A55,-1)</f>
        <v>46050</v>
      </c>
      <c r="F55" s="26">
        <f>EDATE(E55,24)</f>
        <v>46780</v>
      </c>
      <c r="G55" s="7" t="s">
        <v>82</v>
      </c>
      <c r="H55" s="7" t="str">
        <f>_xlfn.CONCAT("AR0",A55 - DATE(YEAR(A55),1,0))</f>
        <v>AR059</v>
      </c>
      <c r="I55" s="33">
        <v>8.0000000000000004E-4</v>
      </c>
      <c r="J55" s="7" t="s">
        <v>42</v>
      </c>
      <c r="K55" s="7" t="s">
        <v>45</v>
      </c>
      <c r="L55" s="7" t="s">
        <v>27</v>
      </c>
      <c r="M55" s="15"/>
      <c r="O55" s="2"/>
    </row>
    <row r="56" spans="1:15" ht="20.100000000000001" customHeight="1" x14ac:dyDescent="0.25">
      <c r="A56" s="6">
        <v>46081</v>
      </c>
      <c r="B56" s="7" t="s">
        <v>56</v>
      </c>
      <c r="C56" s="7" t="s">
        <v>73</v>
      </c>
      <c r="D56" s="9" t="s">
        <v>39</v>
      </c>
      <c r="E56" s="26">
        <f>EDATE(A56,-2)</f>
        <v>46019</v>
      </c>
      <c r="F56" s="26">
        <f t="shared" ref="F56:F62" si="3">EDATE(E56,12)</f>
        <v>46384</v>
      </c>
      <c r="G56" s="7" t="s">
        <v>40</v>
      </c>
      <c r="H56" s="7" t="str">
        <f>_xlfn.CONCAT("IS0",A56 - DATE(YEAR(A56),1,0))</f>
        <v>IS059</v>
      </c>
      <c r="I56" s="33">
        <v>4.3900000000000002E-2</v>
      </c>
      <c r="J56" s="7" t="s">
        <v>44</v>
      </c>
      <c r="K56" s="7" t="s">
        <v>45</v>
      </c>
      <c r="L56" s="7" t="s">
        <v>27</v>
      </c>
      <c r="M56" s="15"/>
      <c r="O56" s="2"/>
    </row>
    <row r="57" spans="1:15" ht="20.100000000000001" customHeight="1" x14ac:dyDescent="0.25">
      <c r="A57" s="6">
        <v>46081</v>
      </c>
      <c r="B57" s="7" t="s">
        <v>56</v>
      </c>
      <c r="C57" s="7" t="s">
        <v>30</v>
      </c>
      <c r="D57" s="9" t="s">
        <v>25</v>
      </c>
      <c r="E57" s="26">
        <f>EDATE(A57,-1)</f>
        <v>46050</v>
      </c>
      <c r="F57" s="26">
        <f t="shared" si="3"/>
        <v>46415</v>
      </c>
      <c r="G57" s="7" t="s">
        <v>40</v>
      </c>
      <c r="H57" s="7" t="str">
        <f>_xlfn.CONCAT("MG0",A57 - DATE(YEAR(A57),1,0))</f>
        <v>MG059</v>
      </c>
      <c r="I57" s="34">
        <v>0.1152</v>
      </c>
      <c r="J57" s="7" t="s">
        <v>44</v>
      </c>
      <c r="K57" s="7" t="s">
        <v>45</v>
      </c>
      <c r="L57" s="7" t="s">
        <v>27</v>
      </c>
      <c r="M57" s="15"/>
      <c r="O57" s="2"/>
    </row>
    <row r="58" spans="1:15" ht="20.100000000000001" customHeight="1" x14ac:dyDescent="0.25">
      <c r="A58" s="6">
        <v>46081</v>
      </c>
      <c r="B58" s="7" t="s">
        <v>56</v>
      </c>
      <c r="C58" s="7" t="s">
        <v>146</v>
      </c>
      <c r="D58" s="9" t="s">
        <v>34</v>
      </c>
      <c r="E58" s="38">
        <f>EDATE(A58,-2)</f>
        <v>46019</v>
      </c>
      <c r="F58" s="38">
        <f t="shared" si="3"/>
        <v>46384</v>
      </c>
      <c r="G58" s="7" t="s">
        <v>40</v>
      </c>
      <c r="H58" s="7" t="str">
        <f>_xlfn.CONCAT("CG0",A58 - DATE(YEAR(A58),1,0))</f>
        <v>CG059</v>
      </c>
      <c r="I58" s="34">
        <v>0.1125</v>
      </c>
      <c r="J58" s="7" t="s">
        <v>44</v>
      </c>
      <c r="K58" s="7" t="s">
        <v>45</v>
      </c>
      <c r="L58" s="7" t="s">
        <v>27</v>
      </c>
      <c r="M58" s="15"/>
      <c r="O58" s="2"/>
    </row>
    <row r="59" spans="1:15" ht="20.100000000000001" customHeight="1" x14ac:dyDescent="0.25">
      <c r="A59" s="6">
        <v>46081</v>
      </c>
      <c r="B59" s="7" t="s">
        <v>56</v>
      </c>
      <c r="C59" s="7" t="s">
        <v>110</v>
      </c>
      <c r="D59" s="9" t="s">
        <v>111</v>
      </c>
      <c r="E59" s="26">
        <f>EDATE(A59,0)</f>
        <v>46081</v>
      </c>
      <c r="F59" s="26">
        <f>EDATE(E59,6)</f>
        <v>46262</v>
      </c>
      <c r="G59" s="7" t="s">
        <v>40</v>
      </c>
      <c r="H59" s="7" t="str">
        <f>_xlfn.CONCAT("PH0",A59 - DATE(YEAR(A59),1,0))</f>
        <v>PH059</v>
      </c>
      <c r="I59" s="33">
        <v>6.0499999999999998E-2</v>
      </c>
      <c r="J59" s="7" t="s">
        <v>44</v>
      </c>
      <c r="K59" s="7" t="s">
        <v>45</v>
      </c>
      <c r="L59" s="10" t="s">
        <v>27</v>
      </c>
      <c r="M59" s="15"/>
      <c r="O59" s="2"/>
    </row>
    <row r="60" spans="1:15" ht="20.100000000000001" customHeight="1" x14ac:dyDescent="0.25">
      <c r="A60" s="6">
        <v>46081</v>
      </c>
      <c r="B60" s="7" t="s">
        <v>56</v>
      </c>
      <c r="C60" s="39" t="s">
        <v>148</v>
      </c>
      <c r="D60" s="9" t="s">
        <v>26</v>
      </c>
      <c r="E60" s="38">
        <f>EDATE(A60,-2)</f>
        <v>46019</v>
      </c>
      <c r="F60" s="38">
        <f t="shared" si="3"/>
        <v>46384</v>
      </c>
      <c r="G60" s="7" t="s">
        <v>40</v>
      </c>
      <c r="H60" s="7" t="str">
        <f>_xlfn.CONCAT("CC0",A60 - DATE(YEAR(A60),1,0))</f>
        <v>CC059</v>
      </c>
      <c r="I60" s="34">
        <v>0.10589999999999999</v>
      </c>
      <c r="J60" s="7" t="s">
        <v>44</v>
      </c>
      <c r="K60" s="7" t="s">
        <v>45</v>
      </c>
      <c r="L60" s="10" t="s">
        <v>27</v>
      </c>
      <c r="M60" s="15"/>
      <c r="O60" s="2"/>
    </row>
    <row r="61" spans="1:15" ht="20.100000000000001" customHeight="1" x14ac:dyDescent="0.25">
      <c r="A61" s="6">
        <v>46081</v>
      </c>
      <c r="B61" s="7" t="s">
        <v>56</v>
      </c>
      <c r="C61" s="7" t="s">
        <v>32</v>
      </c>
      <c r="D61" s="9" t="s">
        <v>33</v>
      </c>
      <c r="E61" s="38">
        <f>EDATE(A61,-2)</f>
        <v>46019</v>
      </c>
      <c r="F61" s="38">
        <f t="shared" si="3"/>
        <v>46384</v>
      </c>
      <c r="G61" s="7" t="s">
        <v>40</v>
      </c>
      <c r="H61" s="7" t="str">
        <f>_xlfn.CONCAT("GZ0",A61 - DATE(YEAR(A61),1,0))</f>
        <v>GZ059</v>
      </c>
      <c r="I61" s="34">
        <v>0.12379999999999999</v>
      </c>
      <c r="J61" s="7" t="s">
        <v>44</v>
      </c>
      <c r="K61" s="7" t="s">
        <v>45</v>
      </c>
      <c r="L61" s="7" t="s">
        <v>27</v>
      </c>
      <c r="M61" s="15"/>
      <c r="O61" s="2"/>
    </row>
    <row r="62" spans="1:15" ht="20.100000000000001" customHeight="1" x14ac:dyDescent="0.25">
      <c r="A62" s="6">
        <v>46081</v>
      </c>
      <c r="B62" s="7" t="s">
        <v>60</v>
      </c>
      <c r="C62" s="7" t="s">
        <v>112</v>
      </c>
      <c r="D62" s="9" t="s">
        <v>33</v>
      </c>
      <c r="E62" s="38">
        <f>EDATE(A62,-2)</f>
        <v>46019</v>
      </c>
      <c r="F62" s="38">
        <f t="shared" si="3"/>
        <v>46384</v>
      </c>
      <c r="G62" s="7" t="s">
        <v>40</v>
      </c>
      <c r="H62" s="7" t="str">
        <f>_xlfn.CONCAT("TH0",A62 - DATE(YEAR(A62),1,0))</f>
        <v>TH059</v>
      </c>
      <c r="I62" s="34">
        <v>6.88E-2</v>
      </c>
      <c r="J62" s="7" t="s">
        <v>44</v>
      </c>
      <c r="K62" s="7" t="s">
        <v>45</v>
      </c>
      <c r="L62" s="10" t="s">
        <v>27</v>
      </c>
      <c r="M62" s="15"/>
      <c r="O62" s="2"/>
    </row>
    <row r="63" spans="1:15" ht="20.100000000000001" customHeight="1" x14ac:dyDescent="0.25">
      <c r="A63" s="6">
        <v>46081</v>
      </c>
      <c r="B63" s="7" t="s">
        <v>46</v>
      </c>
      <c r="C63" s="7" t="s">
        <v>24</v>
      </c>
      <c r="D63" s="9" t="s">
        <v>109</v>
      </c>
      <c r="E63" s="26">
        <f>EDATE(A63,-2)</f>
        <v>46019</v>
      </c>
      <c r="F63" s="26">
        <f t="shared" ref="F63" si="4">EDATE(E63,12)</f>
        <v>46384</v>
      </c>
      <c r="G63" s="7" t="s">
        <v>40</v>
      </c>
      <c r="H63" s="7" t="str">
        <f>_xlfn.CONCAT("AM0",A63 - DATE(YEAR(A63),1,0))</f>
        <v>AM059</v>
      </c>
      <c r="I63" s="7" t="s">
        <v>49</v>
      </c>
      <c r="J63" s="7" t="s">
        <v>44</v>
      </c>
      <c r="K63" s="7" t="s">
        <v>45</v>
      </c>
      <c r="L63" s="10" t="s">
        <v>27</v>
      </c>
      <c r="M63" s="15"/>
      <c r="O63" s="2"/>
    </row>
    <row r="64" spans="1:15" ht="20.100000000000001" customHeight="1" x14ac:dyDescent="0.25">
      <c r="A64" s="6">
        <v>46081</v>
      </c>
      <c r="B64" s="7" t="s">
        <v>56</v>
      </c>
      <c r="C64" s="7" t="s">
        <v>19</v>
      </c>
      <c r="D64" s="9" t="s">
        <v>33</v>
      </c>
      <c r="E64" s="26">
        <f>EDATE(A64,-1)</f>
        <v>46050</v>
      </c>
      <c r="F64" s="26">
        <f>EDATE(E64,12)</f>
        <v>46415</v>
      </c>
      <c r="G64" s="7" t="s">
        <v>40</v>
      </c>
      <c r="H64" s="7" t="str">
        <f>_xlfn.CONCAT("LZ0",A64 - DATE(YEAR(A64),1,0))</f>
        <v>LZ059</v>
      </c>
      <c r="I64" s="37">
        <v>7.9000000000000001E-2</v>
      </c>
      <c r="J64" s="7" t="s">
        <v>44</v>
      </c>
      <c r="K64" s="7" t="s">
        <v>45</v>
      </c>
      <c r="L64" s="10" t="s">
        <v>27</v>
      </c>
      <c r="M64" s="15"/>
      <c r="O64" s="2"/>
    </row>
    <row r="65" spans="1:15" ht="20.100000000000001" customHeight="1" x14ac:dyDescent="0.25">
      <c r="A65" s="6">
        <v>46081</v>
      </c>
      <c r="B65" s="7" t="s">
        <v>56</v>
      </c>
      <c r="C65" s="7" t="s">
        <v>20</v>
      </c>
      <c r="D65" s="9" t="s">
        <v>35</v>
      </c>
      <c r="E65" s="26">
        <f>EDATE(A65,-1)</f>
        <v>46050</v>
      </c>
      <c r="F65" s="26">
        <f>EDATE(E65,12)</f>
        <v>46415</v>
      </c>
      <c r="G65" s="7" t="s">
        <v>40</v>
      </c>
      <c r="H65" s="7" t="str">
        <f>_xlfn.CONCAT("AJ0",A65 - DATE(YEAR(A65),1,0))</f>
        <v>AJ059</v>
      </c>
      <c r="I65" s="37">
        <v>0.41699999999999998</v>
      </c>
      <c r="J65" s="7" t="s">
        <v>44</v>
      </c>
      <c r="K65" s="7" t="s">
        <v>45</v>
      </c>
      <c r="L65" s="10" t="s">
        <v>27</v>
      </c>
      <c r="M65" s="15"/>
      <c r="O65" s="2"/>
    </row>
    <row r="66" spans="1:15" ht="20.100000000000001" customHeight="1" x14ac:dyDescent="0.25">
      <c r="A66" s="19">
        <v>46109</v>
      </c>
      <c r="B66" s="20" t="s">
        <v>41</v>
      </c>
      <c r="C66" s="17" t="s">
        <v>65</v>
      </c>
      <c r="D66" s="18" t="s">
        <v>113</v>
      </c>
      <c r="E66" s="27">
        <v>45689</v>
      </c>
      <c r="F66" s="27">
        <v>46054</v>
      </c>
      <c r="G66" s="20" t="s">
        <v>122</v>
      </c>
      <c r="H66" s="20" t="str">
        <f>_xlfn.CONCAT("AP0",A66 - DATE(YEAR(A66),1,0))</f>
        <v>AP087</v>
      </c>
      <c r="I66" s="29">
        <v>9.6500000000000002E-2</v>
      </c>
      <c r="J66" s="20" t="s">
        <v>42</v>
      </c>
      <c r="K66" s="20" t="s">
        <v>45</v>
      </c>
      <c r="L66" s="16" t="s">
        <v>27</v>
      </c>
      <c r="M66" s="23"/>
      <c r="O66" s="2"/>
    </row>
    <row r="67" spans="1:15" ht="20.100000000000001" customHeight="1" x14ac:dyDescent="0.25">
      <c r="A67" s="19">
        <v>46110</v>
      </c>
      <c r="B67" s="20" t="s">
        <v>43</v>
      </c>
      <c r="C67" s="17" t="s">
        <v>15</v>
      </c>
      <c r="D67" s="18" t="s">
        <v>144</v>
      </c>
      <c r="E67" s="27">
        <f>EDATE(A67,-2)</f>
        <v>46051</v>
      </c>
      <c r="F67" s="27">
        <f>EDATE(E67,18)</f>
        <v>46597</v>
      </c>
      <c r="G67" s="20" t="s">
        <v>40</v>
      </c>
      <c r="H67" s="20" t="str">
        <f>_xlfn.CONCAT("QD0",A67 - DATE(YEAR(A67),1,0))</f>
        <v>QD088</v>
      </c>
      <c r="I67" s="32">
        <v>4.7500000000000001E-2</v>
      </c>
      <c r="J67" s="20" t="s">
        <v>44</v>
      </c>
      <c r="K67" s="20" t="s">
        <v>45</v>
      </c>
      <c r="L67" s="16" t="s">
        <v>27</v>
      </c>
      <c r="M67" s="23"/>
      <c r="O67" s="2"/>
    </row>
    <row r="68" spans="1:15" ht="20.100000000000001" customHeight="1" x14ac:dyDescent="0.25">
      <c r="A68" s="19">
        <v>46110</v>
      </c>
      <c r="B68" s="20" t="s">
        <v>43</v>
      </c>
      <c r="C68" s="17" t="s">
        <v>16</v>
      </c>
      <c r="D68" s="18" t="s">
        <v>115</v>
      </c>
      <c r="E68" s="27">
        <f>EDATE(A68,-2)</f>
        <v>46051</v>
      </c>
      <c r="F68" s="27">
        <f>EDATE(E68,18)</f>
        <v>46597</v>
      </c>
      <c r="G68" s="20" t="s">
        <v>40</v>
      </c>
      <c r="H68" s="20" t="str">
        <f>_xlfn.CONCAT("KG0",A68 - DATE(YEAR(A68),1,0))</f>
        <v>KG088</v>
      </c>
      <c r="I68" s="32">
        <v>8.2100000000000006E-2</v>
      </c>
      <c r="J68" s="20" t="s">
        <v>44</v>
      </c>
      <c r="K68" s="20" t="s">
        <v>45</v>
      </c>
      <c r="L68" s="16" t="s">
        <v>27</v>
      </c>
      <c r="M68" s="23"/>
      <c r="O68" s="2"/>
    </row>
    <row r="69" spans="1:15" ht="20.100000000000001" customHeight="1" x14ac:dyDescent="0.25">
      <c r="A69" s="19">
        <v>46110</v>
      </c>
      <c r="B69" s="20" t="s">
        <v>47</v>
      </c>
      <c r="C69" s="20" t="s">
        <v>17</v>
      </c>
      <c r="D69" s="22" t="s">
        <v>116</v>
      </c>
      <c r="E69" s="27">
        <f>EDATE(A69,-1)</f>
        <v>46081</v>
      </c>
      <c r="F69" s="27">
        <f>EDATE(E69,12)</f>
        <v>46446</v>
      </c>
      <c r="G69" s="20" t="s">
        <v>40</v>
      </c>
      <c r="H69" s="20" t="str">
        <f>_xlfn.CONCAT("SG0",A69 - DATE(YEAR(A69),1,0))</f>
        <v>SG088</v>
      </c>
      <c r="I69" s="31">
        <v>0.12330000000000001</v>
      </c>
      <c r="J69" s="20" t="s">
        <v>44</v>
      </c>
      <c r="K69" s="20" t="s">
        <v>45</v>
      </c>
      <c r="L69" s="16" t="s">
        <v>27</v>
      </c>
      <c r="M69" s="23"/>
      <c r="O69" s="2"/>
    </row>
    <row r="70" spans="1:15" ht="20.100000000000001" customHeight="1" x14ac:dyDescent="0.25">
      <c r="A70" s="19">
        <v>46111</v>
      </c>
      <c r="B70" s="20" t="s">
        <v>48</v>
      </c>
      <c r="C70" s="20" t="s">
        <v>74</v>
      </c>
      <c r="D70" s="18" t="s">
        <v>103</v>
      </c>
      <c r="E70" s="27">
        <f>EDATE(A70,-14)</f>
        <v>45687</v>
      </c>
      <c r="F70" s="27">
        <f>EDATE(E70,24)</f>
        <v>46417</v>
      </c>
      <c r="G70" s="20" t="s">
        <v>123</v>
      </c>
      <c r="H70" s="20" t="str">
        <f>_xlfn.CONCAT("HA0",A70 - DATE(YEAR(A70),1,0))</f>
        <v>HA089</v>
      </c>
      <c r="I70" s="32" t="s">
        <v>49</v>
      </c>
      <c r="J70" s="16" t="s">
        <v>42</v>
      </c>
      <c r="K70" s="20" t="s">
        <v>45</v>
      </c>
      <c r="L70" s="20" t="s">
        <v>28</v>
      </c>
      <c r="M70" s="23"/>
      <c r="O70" s="2"/>
    </row>
    <row r="71" spans="1:15" ht="20.100000000000001" customHeight="1" x14ac:dyDescent="0.25">
      <c r="A71" s="19">
        <v>46111</v>
      </c>
      <c r="B71" s="20" t="s">
        <v>57</v>
      </c>
      <c r="C71" s="20" t="s">
        <v>31</v>
      </c>
      <c r="D71" s="18" t="s">
        <v>107</v>
      </c>
      <c r="E71" s="27">
        <f>EDATE(A71,-13)</f>
        <v>45716</v>
      </c>
      <c r="F71" s="27">
        <f>EDATE(E71,24)</f>
        <v>46446</v>
      </c>
      <c r="G71" s="20" t="s">
        <v>124</v>
      </c>
      <c r="H71" s="20" t="str">
        <f>_xlfn.CONCAT("LP0",A71 - DATE(YEAR(A71),1,0))</f>
        <v>LP089</v>
      </c>
      <c r="I71" s="25" t="s">
        <v>49</v>
      </c>
      <c r="J71" s="16" t="s">
        <v>42</v>
      </c>
      <c r="K71" s="20" t="s">
        <v>45</v>
      </c>
      <c r="L71" s="20" t="s">
        <v>28</v>
      </c>
      <c r="M71" s="23"/>
      <c r="O71" s="2"/>
    </row>
    <row r="72" spans="1:15" ht="20.100000000000001" customHeight="1" x14ac:dyDescent="0.25">
      <c r="A72" s="19">
        <v>46111</v>
      </c>
      <c r="B72" s="20" t="s">
        <v>48</v>
      </c>
      <c r="C72" s="20" t="s">
        <v>22</v>
      </c>
      <c r="D72" s="18" t="s">
        <v>117</v>
      </c>
      <c r="E72" s="27">
        <f>EDATE(A72,-14)</f>
        <v>45687</v>
      </c>
      <c r="F72" s="27">
        <f>EDATE(E72,24)</f>
        <v>46417</v>
      </c>
      <c r="G72" s="20" t="s">
        <v>125</v>
      </c>
      <c r="H72" s="20" t="str">
        <f>_xlfn.CONCAT("FT0",A72 - DATE(YEAR(A72),1,0))</f>
        <v>FT089</v>
      </c>
      <c r="I72" s="25" t="s">
        <v>49</v>
      </c>
      <c r="J72" s="16" t="s">
        <v>42</v>
      </c>
      <c r="K72" s="20" t="s">
        <v>45</v>
      </c>
      <c r="L72" s="20" t="s">
        <v>28</v>
      </c>
      <c r="M72" s="23"/>
      <c r="O72" s="2"/>
    </row>
    <row r="73" spans="1:15" ht="20.100000000000001" customHeight="1" x14ac:dyDescent="0.25">
      <c r="A73" s="19">
        <v>46111</v>
      </c>
      <c r="B73" s="20" t="s">
        <v>53</v>
      </c>
      <c r="C73" s="20" t="s">
        <v>23</v>
      </c>
      <c r="D73" s="22" t="s">
        <v>118</v>
      </c>
      <c r="E73" s="27">
        <f>EDATE(A73,-3)</f>
        <v>46021</v>
      </c>
      <c r="F73" s="27">
        <f>EDATE(E73,18)</f>
        <v>46568</v>
      </c>
      <c r="G73" s="20" t="s">
        <v>126</v>
      </c>
      <c r="H73" s="20" t="str">
        <f>_xlfn.CONCAT("MV0",A73 - DATE(YEAR(A73),1,0))</f>
        <v>MV089</v>
      </c>
      <c r="I73" s="20" t="s">
        <v>49</v>
      </c>
      <c r="J73" s="16" t="s">
        <v>42</v>
      </c>
      <c r="K73" s="20" t="s">
        <v>45</v>
      </c>
      <c r="L73" s="20" t="s">
        <v>28</v>
      </c>
      <c r="M73" s="23"/>
      <c r="O73" s="2"/>
    </row>
    <row r="74" spans="1:15" ht="20.100000000000001" customHeight="1" x14ac:dyDescent="0.25">
      <c r="A74" s="19">
        <v>46112</v>
      </c>
      <c r="B74" s="20" t="s">
        <v>61</v>
      </c>
      <c r="C74" s="20" t="s">
        <v>29</v>
      </c>
      <c r="D74" s="22" t="s">
        <v>119</v>
      </c>
      <c r="E74" s="27">
        <f>EDATE(A74,-1)</f>
        <v>46081</v>
      </c>
      <c r="F74" s="27">
        <f>EDATE(E74,24)</f>
        <v>46811</v>
      </c>
      <c r="G74" s="20" t="s">
        <v>127</v>
      </c>
      <c r="H74" s="20" t="str">
        <f>_xlfn.CONCAT("AR0",A74 - DATE(YEAR(A74),1,0))</f>
        <v>AR090</v>
      </c>
      <c r="I74" s="32">
        <v>5.0000000000000001E-4</v>
      </c>
      <c r="J74" s="20" t="s">
        <v>42</v>
      </c>
      <c r="K74" s="20" t="s">
        <v>45</v>
      </c>
      <c r="L74" s="20" t="s">
        <v>27</v>
      </c>
      <c r="M74" s="23"/>
      <c r="O74" s="2"/>
    </row>
    <row r="75" spans="1:15" ht="20.100000000000001" customHeight="1" x14ac:dyDescent="0.25">
      <c r="A75" s="19">
        <v>46112</v>
      </c>
      <c r="B75" s="20" t="s">
        <v>56</v>
      </c>
      <c r="C75" s="20" t="s">
        <v>73</v>
      </c>
      <c r="D75" s="22" t="s">
        <v>120</v>
      </c>
      <c r="E75" s="27">
        <f>EDATE(A75,-2)</f>
        <v>46053</v>
      </c>
      <c r="F75" s="27">
        <f t="shared" ref="F75:F77" si="5">EDATE(E75,12)</f>
        <v>46418</v>
      </c>
      <c r="G75" s="20" t="s">
        <v>40</v>
      </c>
      <c r="H75" s="20" t="str">
        <f>_xlfn.CONCAT("IS0",A75 - DATE(YEAR(A75),1,0))</f>
        <v>IS090</v>
      </c>
      <c r="I75" s="32">
        <v>4.7500000000000001E-2</v>
      </c>
      <c r="J75" s="20" t="s">
        <v>44</v>
      </c>
      <c r="K75" s="20" t="s">
        <v>45</v>
      </c>
      <c r="L75" s="20" t="s">
        <v>27</v>
      </c>
      <c r="M75" s="23"/>
      <c r="O75" s="2"/>
    </row>
    <row r="76" spans="1:15" ht="20.100000000000001" customHeight="1" x14ac:dyDescent="0.25">
      <c r="A76" s="19">
        <v>46112</v>
      </c>
      <c r="B76" s="20" t="s">
        <v>56</v>
      </c>
      <c r="C76" s="20" t="s">
        <v>110</v>
      </c>
      <c r="D76" s="22" t="s">
        <v>114</v>
      </c>
      <c r="E76" s="27">
        <f>EDATE(A76,0)</f>
        <v>46112</v>
      </c>
      <c r="F76" s="27">
        <f>EDATE(E76,6)</f>
        <v>46295</v>
      </c>
      <c r="G76" s="20" t="s">
        <v>40</v>
      </c>
      <c r="H76" s="20" t="str">
        <f>_xlfn.CONCAT("PH0",A76 - DATE(YEAR(A76),1,0))</f>
        <v>PH090</v>
      </c>
      <c r="I76" s="32">
        <v>5.8400000000000001E-2</v>
      </c>
      <c r="J76" s="20" t="s">
        <v>44</v>
      </c>
      <c r="K76" s="20" t="s">
        <v>45</v>
      </c>
      <c r="L76" s="16" t="s">
        <v>27</v>
      </c>
      <c r="M76" s="23"/>
      <c r="O76" s="2"/>
    </row>
    <row r="77" spans="1:15" ht="20.100000000000001" customHeight="1" x14ac:dyDescent="0.25">
      <c r="A77" s="19">
        <v>46112</v>
      </c>
      <c r="B77" s="20" t="s">
        <v>46</v>
      </c>
      <c r="C77" s="20" t="s">
        <v>24</v>
      </c>
      <c r="D77" s="22" t="s">
        <v>121</v>
      </c>
      <c r="E77" s="27">
        <f>EDATE(A77,-2)</f>
        <v>46053</v>
      </c>
      <c r="F77" s="27">
        <f t="shared" si="5"/>
        <v>46418</v>
      </c>
      <c r="G77" s="20" t="s">
        <v>40</v>
      </c>
      <c r="H77" s="20" t="str">
        <f>_xlfn.CONCAT("AM0",A77 - DATE(YEAR(A77),1,0))</f>
        <v>AM090</v>
      </c>
      <c r="I77" s="20" t="s">
        <v>49</v>
      </c>
      <c r="J77" s="20" t="s">
        <v>44</v>
      </c>
      <c r="K77" s="20" t="s">
        <v>45</v>
      </c>
      <c r="L77" s="16" t="s">
        <v>27</v>
      </c>
      <c r="M77" s="23"/>
      <c r="O77" s="2"/>
    </row>
    <row r="78" spans="1:15" ht="20.100000000000001" customHeight="1" x14ac:dyDescent="0.25">
      <c r="A78" s="6">
        <v>46141</v>
      </c>
      <c r="B78" s="7" t="s">
        <v>41</v>
      </c>
      <c r="C78" s="11" t="s">
        <v>65</v>
      </c>
      <c r="D78" s="12" t="s">
        <v>128</v>
      </c>
      <c r="E78" s="26">
        <v>45689</v>
      </c>
      <c r="F78" s="26">
        <v>46054</v>
      </c>
      <c r="G78" s="7" t="s">
        <v>131</v>
      </c>
      <c r="H78" s="7" t="str">
        <f>_xlfn.CONCAT("AP",A78 - DATE(YEAR(A78),1,0))</f>
        <v>AP119</v>
      </c>
      <c r="I78" s="28">
        <v>9.1499999999999998E-2</v>
      </c>
      <c r="J78" s="7" t="s">
        <v>42</v>
      </c>
      <c r="K78" s="7" t="s">
        <v>45</v>
      </c>
      <c r="L78" s="10" t="s">
        <v>27</v>
      </c>
      <c r="M78" s="15"/>
      <c r="O78" s="2"/>
    </row>
    <row r="79" spans="1:15" ht="20.100000000000001" customHeight="1" x14ac:dyDescent="0.25">
      <c r="A79" s="6">
        <v>46141</v>
      </c>
      <c r="B79" s="7" t="s">
        <v>43</v>
      </c>
      <c r="C79" s="11" t="s">
        <v>15</v>
      </c>
      <c r="D79" s="12" t="s">
        <v>129</v>
      </c>
      <c r="E79" s="26">
        <f>EDATE(A79,-2)</f>
        <v>46081</v>
      </c>
      <c r="F79" s="26">
        <f>EDATE(E79,18)</f>
        <v>46627</v>
      </c>
      <c r="G79" s="7" t="s">
        <v>40</v>
      </c>
      <c r="H79" s="7" t="str">
        <f>_xlfn.CONCAT("QD",A79 - DATE(YEAR(A79),1,0))</f>
        <v>QD119</v>
      </c>
      <c r="I79" s="33">
        <v>3.8699999999999998E-2</v>
      </c>
      <c r="J79" s="7" t="s">
        <v>44</v>
      </c>
      <c r="K79" s="7" t="s">
        <v>45</v>
      </c>
      <c r="L79" s="10" t="s">
        <v>27</v>
      </c>
      <c r="M79" s="15"/>
      <c r="O79" s="2"/>
    </row>
    <row r="80" spans="1:15" ht="20.100000000000001" customHeight="1" x14ac:dyDescent="0.25">
      <c r="A80" s="6">
        <v>46141</v>
      </c>
      <c r="B80" s="7" t="s">
        <v>43</v>
      </c>
      <c r="C80" s="11" t="s">
        <v>16</v>
      </c>
      <c r="D80" s="12" t="s">
        <v>96</v>
      </c>
      <c r="E80" s="26">
        <f>EDATE(A80,-2)</f>
        <v>46081</v>
      </c>
      <c r="F80" s="26">
        <f>EDATE(E80,18)</f>
        <v>46627</v>
      </c>
      <c r="G80" s="7" t="s">
        <v>40</v>
      </c>
      <c r="H80" s="7" t="str">
        <f>_xlfn.CONCAT("KG",A80 - DATE(YEAR(A80),1,0))</f>
        <v>KG119</v>
      </c>
      <c r="I80" s="33">
        <v>8.5199999999999998E-2</v>
      </c>
      <c r="J80" s="7" t="s">
        <v>44</v>
      </c>
      <c r="K80" s="7" t="s">
        <v>45</v>
      </c>
      <c r="L80" s="10" t="s">
        <v>27</v>
      </c>
      <c r="M80" s="15"/>
      <c r="O80" s="2"/>
    </row>
    <row r="81" spans="1:15" ht="20.100000000000001" customHeight="1" x14ac:dyDescent="0.25">
      <c r="A81" s="6">
        <v>46142</v>
      </c>
      <c r="B81" s="7" t="s">
        <v>47</v>
      </c>
      <c r="C81" s="7" t="s">
        <v>17</v>
      </c>
      <c r="D81" s="9" t="s">
        <v>116</v>
      </c>
      <c r="E81" s="26">
        <f>EDATE(A81,-1)</f>
        <v>46111</v>
      </c>
      <c r="F81" s="26">
        <f>EDATE(E81,12)</f>
        <v>46476</v>
      </c>
      <c r="G81" s="7" t="s">
        <v>40</v>
      </c>
      <c r="H81" s="7" t="str">
        <f>_xlfn.CONCAT("SG",A81 - DATE(YEAR(A81),1,0))</f>
        <v>SG120</v>
      </c>
      <c r="I81" s="33">
        <v>0.12429999999999999</v>
      </c>
      <c r="J81" s="7" t="s">
        <v>44</v>
      </c>
      <c r="K81" s="7" t="s">
        <v>45</v>
      </c>
      <c r="L81" s="10" t="s">
        <v>27</v>
      </c>
      <c r="M81" s="15"/>
      <c r="O81" s="2"/>
    </row>
    <row r="82" spans="1:15" ht="20.100000000000001" customHeight="1" x14ac:dyDescent="0.25">
      <c r="A82" s="6">
        <v>46142</v>
      </c>
      <c r="B82" s="7" t="s">
        <v>57</v>
      </c>
      <c r="C82" s="7" t="s">
        <v>31</v>
      </c>
      <c r="D82" s="12" t="s">
        <v>64</v>
      </c>
      <c r="E82" s="26">
        <f>EDATE(A82,-13)</f>
        <v>45746</v>
      </c>
      <c r="F82" s="26">
        <f>EDATE(E82,24)</f>
        <v>46476</v>
      </c>
      <c r="G82" s="7" t="s">
        <v>132</v>
      </c>
      <c r="H82" s="7" t="str">
        <f>_xlfn.CONCAT("LP",A82 - DATE(YEAR(A82),1,0))</f>
        <v>LP120</v>
      </c>
      <c r="I82" s="24" t="s">
        <v>49</v>
      </c>
      <c r="J82" s="10" t="s">
        <v>42</v>
      </c>
      <c r="K82" s="7" t="s">
        <v>45</v>
      </c>
      <c r="L82" s="7" t="s">
        <v>28</v>
      </c>
      <c r="M82" s="15"/>
      <c r="O82" s="2"/>
    </row>
    <row r="83" spans="1:15" ht="20.100000000000001" customHeight="1" x14ac:dyDescent="0.25">
      <c r="A83" s="6">
        <v>46142</v>
      </c>
      <c r="B83" s="7" t="s">
        <v>48</v>
      </c>
      <c r="C83" s="7" t="s">
        <v>22</v>
      </c>
      <c r="D83" s="12" t="s">
        <v>81</v>
      </c>
      <c r="E83" s="26">
        <f>EDATE(A83,-14)</f>
        <v>45716</v>
      </c>
      <c r="F83" s="26">
        <f>EDATE(E83,24)</f>
        <v>46446</v>
      </c>
      <c r="G83" s="7" t="s">
        <v>133</v>
      </c>
      <c r="H83" s="7" t="str">
        <f>_xlfn.CONCAT("FT",A83 - DATE(YEAR(A83),1,0))</f>
        <v>FT120</v>
      </c>
      <c r="I83" s="24" t="s">
        <v>49</v>
      </c>
      <c r="J83" s="10" t="s">
        <v>42</v>
      </c>
      <c r="K83" s="7" t="s">
        <v>45</v>
      </c>
      <c r="L83" s="7" t="s">
        <v>28</v>
      </c>
      <c r="M83" s="15"/>
      <c r="O83" s="2"/>
    </row>
    <row r="84" spans="1:15" ht="20.100000000000001" customHeight="1" x14ac:dyDescent="0.25">
      <c r="A84" s="6">
        <v>46142</v>
      </c>
      <c r="B84" s="7" t="s">
        <v>53</v>
      </c>
      <c r="C84" s="7" t="s">
        <v>23</v>
      </c>
      <c r="D84" s="9" t="s">
        <v>130</v>
      </c>
      <c r="E84" s="26">
        <f>EDATE(A84,-3)</f>
        <v>46052</v>
      </c>
      <c r="F84" s="26">
        <f>EDATE(E84,18)</f>
        <v>46598</v>
      </c>
      <c r="G84" s="7" t="s">
        <v>134</v>
      </c>
      <c r="H84" s="7" t="str">
        <f>_xlfn.CONCAT("MV",A84 - DATE(YEAR(A84),1,0))</f>
        <v>MV120</v>
      </c>
      <c r="I84" s="7" t="s">
        <v>49</v>
      </c>
      <c r="J84" s="10" t="s">
        <v>42</v>
      </c>
      <c r="K84" s="7" t="s">
        <v>45</v>
      </c>
      <c r="L84" s="7" t="s">
        <v>28</v>
      </c>
      <c r="M84" s="15"/>
      <c r="O84" s="2"/>
    </row>
    <row r="85" spans="1:15" ht="20.100000000000001" customHeight="1" x14ac:dyDescent="0.25">
      <c r="A85" s="19">
        <v>46170</v>
      </c>
      <c r="B85" s="20" t="s">
        <v>41</v>
      </c>
      <c r="C85" s="17" t="s">
        <v>65</v>
      </c>
      <c r="D85" s="18" t="s">
        <v>135</v>
      </c>
      <c r="E85" s="27">
        <v>45689</v>
      </c>
      <c r="F85" s="27">
        <v>46054</v>
      </c>
      <c r="G85" s="20" t="s">
        <v>137</v>
      </c>
      <c r="H85" s="20" t="str">
        <f>_xlfn.CONCAT("AP",A85 - DATE(YEAR(A85),1,0))</f>
        <v>AP148</v>
      </c>
      <c r="I85" s="29">
        <v>9.4399999999999998E-2</v>
      </c>
      <c r="J85" s="20" t="s">
        <v>42</v>
      </c>
      <c r="K85" s="20" t="s">
        <v>45</v>
      </c>
      <c r="L85" s="16" t="s">
        <v>27</v>
      </c>
      <c r="M85" s="23"/>
      <c r="O85" s="2"/>
    </row>
    <row r="86" spans="1:15" ht="20.100000000000001" customHeight="1" x14ac:dyDescent="0.25">
      <c r="A86" s="19">
        <v>46171</v>
      </c>
      <c r="B86" s="20" t="s">
        <v>43</v>
      </c>
      <c r="C86" s="17" t="s">
        <v>70</v>
      </c>
      <c r="D86" s="18" t="s">
        <v>83</v>
      </c>
      <c r="E86" s="27">
        <f>EDATE(A86,-2)</f>
        <v>46110</v>
      </c>
      <c r="F86" s="27">
        <f>EDATE(E86,18)</f>
        <v>46659</v>
      </c>
      <c r="G86" s="20" t="s">
        <v>40</v>
      </c>
      <c r="H86" s="20" t="str">
        <f>_xlfn.CONCAT("QP",A86 - DATE(YEAR(A86),1,0))</f>
        <v>QP149</v>
      </c>
      <c r="I86" s="29">
        <v>7.8799999999999995E-2</v>
      </c>
      <c r="J86" s="16" t="s">
        <v>44</v>
      </c>
      <c r="K86" s="20" t="s">
        <v>45</v>
      </c>
      <c r="L86" s="16" t="s">
        <v>28</v>
      </c>
      <c r="M86" s="23"/>
      <c r="O86" s="2"/>
    </row>
    <row r="87" spans="1:15" ht="20.100000000000001" customHeight="1" x14ac:dyDescent="0.25">
      <c r="A87" s="19">
        <v>46171</v>
      </c>
      <c r="B87" s="20" t="s">
        <v>43</v>
      </c>
      <c r="C87" s="17" t="s">
        <v>15</v>
      </c>
      <c r="D87" s="18" t="s">
        <v>149</v>
      </c>
      <c r="E87" s="27">
        <f>EDATE(A87,-2)</f>
        <v>46110</v>
      </c>
      <c r="F87" s="27">
        <f>EDATE(E87,18)</f>
        <v>46659</v>
      </c>
      <c r="G87" s="20" t="s">
        <v>40</v>
      </c>
      <c r="H87" s="20" t="str">
        <f>_xlfn.CONCAT("QD",A87 - DATE(YEAR(A87),1,0))</f>
        <v>QD149</v>
      </c>
      <c r="I87" s="32">
        <v>4.6199999999999998E-2</v>
      </c>
      <c r="J87" s="20" t="s">
        <v>44</v>
      </c>
      <c r="K87" s="20" t="s">
        <v>45</v>
      </c>
      <c r="L87" s="16" t="s">
        <v>27</v>
      </c>
      <c r="M87" s="23"/>
      <c r="O87" s="2"/>
    </row>
    <row r="88" spans="1:15" ht="20.100000000000001" customHeight="1" x14ac:dyDescent="0.25">
      <c r="A88" s="19">
        <v>46171</v>
      </c>
      <c r="B88" s="20" t="s">
        <v>43</v>
      </c>
      <c r="C88" s="21" t="s">
        <v>37</v>
      </c>
      <c r="D88" s="22" t="s">
        <v>72</v>
      </c>
      <c r="E88" s="27">
        <f>EDATE(A88,-2)</f>
        <v>46110</v>
      </c>
      <c r="F88" s="27">
        <f>EDATE(E88,18)</f>
        <v>46659</v>
      </c>
      <c r="G88" s="20" t="s">
        <v>40</v>
      </c>
      <c r="H88" s="20" t="str">
        <f>_xlfn.CONCAT("QG",A88 - DATE(YEAR(A88),1,0))</f>
        <v>QG149</v>
      </c>
      <c r="I88" s="32">
        <v>0.1111</v>
      </c>
      <c r="J88" s="20" t="s">
        <v>44</v>
      </c>
      <c r="K88" s="20" t="s">
        <v>45</v>
      </c>
      <c r="L88" s="20" t="s">
        <v>27</v>
      </c>
      <c r="M88" s="23"/>
      <c r="O88" s="2"/>
    </row>
    <row r="89" spans="1:15" ht="20.100000000000001" customHeight="1" x14ac:dyDescent="0.25">
      <c r="A89" s="19">
        <v>46171</v>
      </c>
      <c r="B89" s="20" t="s">
        <v>43</v>
      </c>
      <c r="C89" s="17" t="s">
        <v>67</v>
      </c>
      <c r="D89" s="18" t="s">
        <v>136</v>
      </c>
      <c r="E89" s="27">
        <f>EDATE(A89,-2)</f>
        <v>46110</v>
      </c>
      <c r="F89" s="27">
        <f>EDATE(E89,18)</f>
        <v>46659</v>
      </c>
      <c r="G89" s="20" t="s">
        <v>40</v>
      </c>
      <c r="H89" s="20" t="str">
        <f>_xlfn.CONCAT("KP",A89 - DATE(YEAR(A89),1,0))</f>
        <v>KP149</v>
      </c>
      <c r="I89" s="32">
        <v>0.1389</v>
      </c>
      <c r="J89" s="20" t="s">
        <v>44</v>
      </c>
      <c r="K89" s="20" t="s">
        <v>45</v>
      </c>
      <c r="L89" s="16" t="s">
        <v>27</v>
      </c>
      <c r="M89" s="23"/>
      <c r="O89" s="2"/>
    </row>
    <row r="90" spans="1:15" ht="20.100000000000001" customHeight="1" x14ac:dyDescent="0.25">
      <c r="A90" s="19">
        <v>46171</v>
      </c>
      <c r="B90" s="20" t="s">
        <v>43</v>
      </c>
      <c r="C90" s="17" t="s">
        <v>16</v>
      </c>
      <c r="D90" s="18" t="s">
        <v>72</v>
      </c>
      <c r="E90" s="27">
        <f>EDATE(A90,-2)</f>
        <v>46110</v>
      </c>
      <c r="F90" s="27">
        <f>EDATE(E90,18)</f>
        <v>46659</v>
      </c>
      <c r="G90" s="20" t="s">
        <v>40</v>
      </c>
      <c r="H90" s="20" t="str">
        <f>_xlfn.CONCAT("KG",A90 - DATE(YEAR(A90),1,0))</f>
        <v>KG149</v>
      </c>
      <c r="I90" s="32">
        <v>8.5199999999999998E-2</v>
      </c>
      <c r="J90" s="20" t="s">
        <v>44</v>
      </c>
      <c r="K90" s="20" t="s">
        <v>45</v>
      </c>
      <c r="L90" s="16" t="s">
        <v>27</v>
      </c>
      <c r="M90" s="23"/>
      <c r="O90" s="2"/>
    </row>
    <row r="91" spans="1:15" ht="20.100000000000001" customHeight="1" x14ac:dyDescent="0.25">
      <c r="A91" s="19">
        <v>46172</v>
      </c>
      <c r="B91" s="20" t="s">
        <v>47</v>
      </c>
      <c r="C91" s="20" t="s">
        <v>17</v>
      </c>
      <c r="D91" s="22" t="s">
        <v>72</v>
      </c>
      <c r="E91" s="27">
        <f>EDATE(A91,-1)</f>
        <v>46142</v>
      </c>
      <c r="F91" s="27">
        <f>EDATE(E91,12)</f>
        <v>46507</v>
      </c>
      <c r="G91" s="20" t="s">
        <v>40</v>
      </c>
      <c r="H91" s="20" t="str">
        <f>_xlfn.CONCAT("SG",A91 - DATE(YEAR(A91),1,0))</f>
        <v>SG150</v>
      </c>
      <c r="I91" s="32">
        <v>0.126</v>
      </c>
      <c r="J91" s="20" t="s">
        <v>44</v>
      </c>
      <c r="K91" s="20" t="s">
        <v>45</v>
      </c>
      <c r="L91" s="16" t="s">
        <v>27</v>
      </c>
      <c r="M91" s="23"/>
      <c r="O91" s="2"/>
    </row>
    <row r="92" spans="1:15" ht="20.100000000000001" customHeight="1" x14ac:dyDescent="0.25">
      <c r="A92" s="19">
        <v>46172</v>
      </c>
      <c r="B92" s="20" t="s">
        <v>46</v>
      </c>
      <c r="C92" s="20" t="s">
        <v>147</v>
      </c>
      <c r="D92" s="22" t="s">
        <v>138</v>
      </c>
      <c r="E92" s="27">
        <f>EDATE(A92,-1)</f>
        <v>46142</v>
      </c>
      <c r="F92" s="27">
        <f>EDATE(E92,8)</f>
        <v>46386</v>
      </c>
      <c r="G92" s="20" t="s">
        <v>40</v>
      </c>
      <c r="H92" s="20" t="str">
        <f>_xlfn.CONCAT("MA",A92 - DATE(YEAR(A92),1,0))</f>
        <v>MA150</v>
      </c>
      <c r="I92" s="32">
        <v>4.1200000000000001E-2</v>
      </c>
      <c r="J92" s="20" t="s">
        <v>44</v>
      </c>
      <c r="K92" s="20" t="s">
        <v>45</v>
      </c>
      <c r="L92" s="16" t="s">
        <v>27</v>
      </c>
      <c r="M92" s="23"/>
      <c r="O92" s="2"/>
    </row>
    <row r="93" spans="1:15" ht="20.100000000000001" customHeight="1" x14ac:dyDescent="0.25">
      <c r="A93" s="19">
        <v>46172</v>
      </c>
      <c r="B93" s="20" t="s">
        <v>57</v>
      </c>
      <c r="C93" s="20" t="s">
        <v>31</v>
      </c>
      <c r="D93" s="18" t="s">
        <v>141</v>
      </c>
      <c r="E93" s="27">
        <f>EDATE(A93,-13)</f>
        <v>45777</v>
      </c>
      <c r="F93" s="27">
        <f>EDATE(E93,24)</f>
        <v>46507</v>
      </c>
      <c r="G93" s="20" t="s">
        <v>139</v>
      </c>
      <c r="H93" s="20" t="str">
        <f>_xlfn.CONCAT("LP",A93 - DATE(YEAR(A93),1,0))</f>
        <v>LP150</v>
      </c>
      <c r="I93" s="25" t="s">
        <v>49</v>
      </c>
      <c r="J93" s="16" t="s">
        <v>42</v>
      </c>
      <c r="K93" s="20" t="s">
        <v>45</v>
      </c>
      <c r="L93" s="20" t="s">
        <v>28</v>
      </c>
      <c r="M93" s="23"/>
      <c r="O93" s="2"/>
    </row>
    <row r="94" spans="1:15" ht="20.100000000000001" customHeight="1" x14ac:dyDescent="0.25">
      <c r="A94" s="19">
        <v>46172</v>
      </c>
      <c r="B94" s="20" t="s">
        <v>62</v>
      </c>
      <c r="C94" s="20" t="s">
        <v>69</v>
      </c>
      <c r="D94" s="22" t="s">
        <v>90</v>
      </c>
      <c r="E94" s="27">
        <f>EDATE(A94,-1)</f>
        <v>46142</v>
      </c>
      <c r="F94" s="27">
        <f t="shared" ref="F94" si="6">EDATE(E94,12)</f>
        <v>46507</v>
      </c>
      <c r="G94" s="20" t="s">
        <v>40</v>
      </c>
      <c r="H94" s="20" t="str">
        <f>_xlfn.CONCAT("AS",A94 - DATE(YEAR(A94),1,0))</f>
        <v>AS150</v>
      </c>
      <c r="I94" s="20" t="s">
        <v>49</v>
      </c>
      <c r="J94" s="20" t="s">
        <v>44</v>
      </c>
      <c r="K94" s="20" t="s">
        <v>45</v>
      </c>
      <c r="L94" s="20" t="s">
        <v>28</v>
      </c>
      <c r="M94" s="23"/>
      <c r="O94" s="2"/>
    </row>
    <row r="95" spans="1:15" ht="20.100000000000001" customHeight="1" x14ac:dyDescent="0.25">
      <c r="A95" s="19">
        <v>46172</v>
      </c>
      <c r="B95" s="20" t="s">
        <v>48</v>
      </c>
      <c r="C95" s="20" t="s">
        <v>22</v>
      </c>
      <c r="D95" s="18" t="s">
        <v>142</v>
      </c>
      <c r="E95" s="27">
        <f>EDATE(A95,-14)</f>
        <v>45746</v>
      </c>
      <c r="F95" s="27">
        <f>EDATE(E95,24)</f>
        <v>46476</v>
      </c>
      <c r="G95" s="20" t="s">
        <v>143</v>
      </c>
      <c r="H95" s="20" t="str">
        <f>_xlfn.CONCAT("FT",A95 - DATE(YEAR(A95),1,0))</f>
        <v>FT150</v>
      </c>
      <c r="I95" s="25" t="s">
        <v>49</v>
      </c>
      <c r="J95" s="16" t="s">
        <v>42</v>
      </c>
      <c r="K95" s="20" t="s">
        <v>45</v>
      </c>
      <c r="L95" s="20" t="s">
        <v>28</v>
      </c>
      <c r="M95" s="23"/>
      <c r="O95" s="2"/>
    </row>
    <row r="96" spans="1:15" ht="20.100000000000001" customHeight="1" x14ac:dyDescent="0.25">
      <c r="A96" s="19">
        <v>46172</v>
      </c>
      <c r="B96" s="20" t="s">
        <v>53</v>
      </c>
      <c r="C96" s="20" t="s">
        <v>23</v>
      </c>
      <c r="D96" s="22" t="s">
        <v>35</v>
      </c>
      <c r="E96" s="27">
        <f>EDATE(A96,-3)</f>
        <v>46081</v>
      </c>
      <c r="F96" s="27">
        <f>EDATE(E96,18)</f>
        <v>46627</v>
      </c>
      <c r="G96" s="20" t="s">
        <v>140</v>
      </c>
      <c r="H96" s="20" t="str">
        <f>_xlfn.CONCAT("MV",A96 - DATE(YEAR(A96),1,0))</f>
        <v>MV150</v>
      </c>
      <c r="I96" s="20" t="s">
        <v>49</v>
      </c>
      <c r="J96" s="16" t="s">
        <v>42</v>
      </c>
      <c r="K96" s="20" t="s">
        <v>45</v>
      </c>
      <c r="L96" s="20" t="s">
        <v>28</v>
      </c>
      <c r="M96" s="23"/>
      <c r="O96" s="2"/>
    </row>
    <row r="97" spans="1:15" ht="20.100000000000001" customHeight="1" x14ac:dyDescent="0.25">
      <c r="A97" s="19">
        <v>46173</v>
      </c>
      <c r="B97" s="20" t="s">
        <v>56</v>
      </c>
      <c r="C97" s="20" t="s">
        <v>146</v>
      </c>
      <c r="D97" s="22" t="s">
        <v>34</v>
      </c>
      <c r="E97" s="27">
        <f>EDATE(A97,-2)</f>
        <v>46112</v>
      </c>
      <c r="F97" s="27">
        <f t="shared" ref="F97:F100" si="7">EDATE(E97,12)</f>
        <v>46477</v>
      </c>
      <c r="G97" s="20" t="s">
        <v>40</v>
      </c>
      <c r="H97" s="20" t="str">
        <f>_xlfn.CONCAT("CG",A97 - DATE(YEAR(A97),1,0))</f>
        <v>CG151</v>
      </c>
      <c r="I97" s="32">
        <v>0.11119999999999999</v>
      </c>
      <c r="J97" s="20" t="s">
        <v>44</v>
      </c>
      <c r="K97" s="20" t="s">
        <v>45</v>
      </c>
      <c r="L97" s="20" t="s">
        <v>27</v>
      </c>
      <c r="M97" s="23"/>
      <c r="O97" s="2"/>
    </row>
    <row r="98" spans="1:15" ht="20.100000000000001" customHeight="1" x14ac:dyDescent="0.25">
      <c r="A98" s="19">
        <v>46173</v>
      </c>
      <c r="B98" s="20" t="s">
        <v>56</v>
      </c>
      <c r="C98" s="20" t="s">
        <v>148</v>
      </c>
      <c r="D98" s="22" t="s">
        <v>26</v>
      </c>
      <c r="E98" s="27">
        <f>EDATE(A98,-2)</f>
        <v>46112</v>
      </c>
      <c r="F98" s="27">
        <f t="shared" si="7"/>
        <v>46477</v>
      </c>
      <c r="G98" s="20" t="s">
        <v>40</v>
      </c>
      <c r="H98" s="20" t="str">
        <f>_xlfn.CONCAT("CC",A98 - DATE(YEAR(A98),1,0))</f>
        <v>CC151</v>
      </c>
      <c r="I98" s="32">
        <v>0.1086</v>
      </c>
      <c r="J98" s="20" t="s">
        <v>44</v>
      </c>
      <c r="K98" s="20" t="s">
        <v>45</v>
      </c>
      <c r="L98" s="16" t="s">
        <v>27</v>
      </c>
      <c r="M98" s="23"/>
      <c r="O98" s="2"/>
    </row>
    <row r="99" spans="1:15" ht="20.100000000000001" customHeight="1" x14ac:dyDescent="0.25">
      <c r="A99" s="19">
        <v>46173</v>
      </c>
      <c r="B99" s="20" t="s">
        <v>56</v>
      </c>
      <c r="C99" s="20" t="s">
        <v>32</v>
      </c>
      <c r="D99" s="22" t="s">
        <v>33</v>
      </c>
      <c r="E99" s="27">
        <f>EDATE(A99,-2)</f>
        <v>46112</v>
      </c>
      <c r="F99" s="27">
        <f t="shared" si="7"/>
        <v>46477</v>
      </c>
      <c r="G99" s="20" t="s">
        <v>40</v>
      </c>
      <c r="H99" s="20" t="str">
        <f>_xlfn.CONCAT("GZ",A99 - DATE(YEAR(A99),1,0))</f>
        <v>GZ151</v>
      </c>
      <c r="I99" s="32">
        <v>0.1211</v>
      </c>
      <c r="J99" s="20" t="s">
        <v>44</v>
      </c>
      <c r="K99" s="20" t="s">
        <v>45</v>
      </c>
      <c r="L99" s="20" t="s">
        <v>27</v>
      </c>
      <c r="M99" s="23"/>
      <c r="O99" s="2"/>
    </row>
    <row r="100" spans="1:15" ht="20.100000000000001" customHeight="1" x14ac:dyDescent="0.25">
      <c r="A100" s="19">
        <v>46173</v>
      </c>
      <c r="B100" s="20" t="s">
        <v>60</v>
      </c>
      <c r="C100" s="20" t="s">
        <v>112</v>
      </c>
      <c r="D100" s="22" t="s">
        <v>33</v>
      </c>
      <c r="E100" s="27">
        <f>EDATE(A100,-2)</f>
        <v>46112</v>
      </c>
      <c r="F100" s="27">
        <f t="shared" si="7"/>
        <v>46477</v>
      </c>
      <c r="G100" s="20" t="s">
        <v>40</v>
      </c>
      <c r="H100" s="20" t="str">
        <f>_xlfn.CONCAT("TH",A100 - DATE(YEAR(A100),1,0))</f>
        <v>TH151</v>
      </c>
      <c r="I100" s="32">
        <v>6.4299999999999996E-2</v>
      </c>
      <c r="J100" s="20" t="s">
        <v>44</v>
      </c>
      <c r="K100" s="20" t="s">
        <v>45</v>
      </c>
      <c r="L100" s="16" t="s">
        <v>27</v>
      </c>
      <c r="M100" s="23"/>
      <c r="O100" s="2"/>
    </row>
    <row r="101" spans="1:15" ht="20.100000000000001" customHeight="1" x14ac:dyDescent="0.25">
      <c r="A101"/>
      <c r="B101"/>
      <c r="C101"/>
      <c r="D101"/>
      <c r="E101"/>
      <c r="F101"/>
      <c r="G101"/>
      <c r="H101"/>
      <c r="I101"/>
      <c r="J101"/>
      <c r="K101"/>
      <c r="L101"/>
      <c r="O101" s="2"/>
    </row>
    <row r="102" spans="1:15" ht="20.100000000000001" customHeight="1" x14ac:dyDescent="0.25">
      <c r="A102"/>
      <c r="B102"/>
      <c r="C102"/>
      <c r="D102"/>
      <c r="E102"/>
      <c r="F102"/>
      <c r="G102"/>
      <c r="H102"/>
      <c r="I102"/>
      <c r="J102"/>
      <c r="K102"/>
      <c r="L102"/>
      <c r="O102" s="2"/>
    </row>
    <row r="103" spans="1:15" ht="20.100000000000001" customHeight="1" x14ac:dyDescent="0.25">
      <c r="A103"/>
      <c r="B103"/>
      <c r="C103"/>
      <c r="D103"/>
      <c r="E103"/>
      <c r="F103"/>
      <c r="G103"/>
      <c r="H103"/>
      <c r="I103"/>
      <c r="J103"/>
      <c r="K103"/>
      <c r="L103"/>
      <c r="O103" s="2"/>
    </row>
    <row r="104" spans="1:15" ht="20.100000000000001" customHeight="1" x14ac:dyDescent="0.25">
      <c r="A104"/>
      <c r="B104"/>
      <c r="C104"/>
      <c r="D104"/>
      <c r="E104"/>
      <c r="F104"/>
      <c r="G104"/>
      <c r="H104"/>
      <c r="I104"/>
      <c r="J104"/>
      <c r="K104"/>
      <c r="L104"/>
      <c r="O104" s="2"/>
    </row>
    <row r="105" spans="1:15" ht="20.100000000000001" customHeight="1" x14ac:dyDescent="0.25">
      <c r="A105"/>
      <c r="B105"/>
      <c r="C105"/>
      <c r="D105"/>
      <c r="E105"/>
      <c r="F105"/>
      <c r="G105"/>
      <c r="H105"/>
      <c r="I105"/>
      <c r="J105"/>
      <c r="K105"/>
      <c r="L105"/>
      <c r="O105" s="2"/>
    </row>
    <row r="106" spans="1:15" ht="20.100000000000001" customHeight="1" x14ac:dyDescent="0.25">
      <c r="A106"/>
      <c r="B106"/>
      <c r="C106"/>
      <c r="D106"/>
      <c r="E106"/>
      <c r="F106"/>
      <c r="G106"/>
      <c r="H106"/>
      <c r="I106"/>
      <c r="J106"/>
      <c r="K106"/>
      <c r="L106"/>
      <c r="O106" s="2"/>
    </row>
    <row r="107" spans="1:15" ht="20.100000000000001" customHeight="1" x14ac:dyDescent="0.25">
      <c r="A107"/>
      <c r="B107"/>
      <c r="C107"/>
      <c r="D107"/>
      <c r="E107"/>
      <c r="F107"/>
      <c r="G107"/>
      <c r="H107"/>
      <c r="I107"/>
      <c r="J107"/>
      <c r="K107"/>
      <c r="L107"/>
      <c r="O107" s="2"/>
    </row>
    <row r="108" spans="1:15" ht="20.100000000000001" customHeight="1" x14ac:dyDescent="0.25">
      <c r="A108"/>
      <c r="B108"/>
      <c r="C108"/>
      <c r="D108"/>
      <c r="E108"/>
      <c r="F108"/>
      <c r="G108"/>
      <c r="H108"/>
      <c r="I108"/>
      <c r="J108"/>
      <c r="K108"/>
      <c r="L108"/>
      <c r="O108" s="2"/>
    </row>
    <row r="109" spans="1:15" ht="20.100000000000001" customHeight="1" x14ac:dyDescent="0.25">
      <c r="A109"/>
      <c r="B109"/>
      <c r="C109"/>
      <c r="D109"/>
      <c r="E109"/>
      <c r="F109"/>
      <c r="G109"/>
      <c r="H109"/>
      <c r="I109"/>
      <c r="J109"/>
      <c r="K109"/>
      <c r="L109"/>
      <c r="O109" s="2"/>
    </row>
    <row r="110" spans="1:15" ht="20.100000000000001" customHeight="1" x14ac:dyDescent="0.25">
      <c r="A110"/>
      <c r="B110"/>
      <c r="C110"/>
      <c r="D110"/>
      <c r="E110"/>
      <c r="F110"/>
      <c r="G110"/>
      <c r="H110"/>
      <c r="I110"/>
      <c r="J110"/>
      <c r="K110"/>
      <c r="L110"/>
      <c r="O110" s="2"/>
    </row>
    <row r="111" spans="1:15" ht="20.100000000000001" customHeight="1" x14ac:dyDescent="0.25">
      <c r="A111"/>
      <c r="B111"/>
      <c r="C111"/>
      <c r="D111"/>
      <c r="E111"/>
      <c r="F111"/>
      <c r="G111"/>
      <c r="H111"/>
      <c r="I111"/>
      <c r="J111"/>
      <c r="K111"/>
      <c r="L111"/>
      <c r="O111" s="2"/>
    </row>
    <row r="112" spans="1:15" ht="20.100000000000001" customHeight="1" x14ac:dyDescent="0.25">
      <c r="A112"/>
      <c r="B112"/>
      <c r="C112"/>
      <c r="D112"/>
      <c r="E112"/>
      <c r="F112"/>
      <c r="G112"/>
      <c r="H112"/>
      <c r="I112"/>
      <c r="J112"/>
      <c r="K112"/>
      <c r="L112"/>
      <c r="O112" s="2"/>
    </row>
    <row r="113" spans="1:15" ht="20.100000000000001" customHeight="1" x14ac:dyDescent="0.25">
      <c r="A113"/>
      <c r="B113"/>
      <c r="C113"/>
      <c r="D113"/>
      <c r="E113"/>
      <c r="F113"/>
      <c r="G113"/>
      <c r="H113"/>
      <c r="I113"/>
      <c r="J113"/>
      <c r="K113"/>
      <c r="L113"/>
      <c r="O113" s="2"/>
    </row>
    <row r="114" spans="1:15" ht="20.100000000000001" customHeight="1" x14ac:dyDescent="0.25">
      <c r="A114"/>
      <c r="B114"/>
      <c r="C114"/>
      <c r="D114"/>
      <c r="E114"/>
      <c r="F114"/>
      <c r="G114"/>
      <c r="H114"/>
      <c r="I114"/>
      <c r="J114"/>
      <c r="K114"/>
      <c r="L114"/>
      <c r="O114" s="2"/>
    </row>
    <row r="115" spans="1:15" ht="20.100000000000001" customHeight="1" x14ac:dyDescent="0.25">
      <c r="A115"/>
      <c r="B115"/>
      <c r="C115"/>
      <c r="D115"/>
      <c r="E115"/>
      <c r="F115"/>
      <c r="G115"/>
      <c r="H115"/>
      <c r="I115"/>
      <c r="J115"/>
      <c r="K115"/>
      <c r="L115"/>
      <c r="O115" s="2"/>
    </row>
    <row r="116" spans="1:15" ht="20.100000000000001" customHeight="1" x14ac:dyDescent="0.25">
      <c r="A116"/>
      <c r="B116"/>
      <c r="C116"/>
      <c r="D116"/>
      <c r="E116"/>
      <c r="F116"/>
      <c r="G116"/>
      <c r="H116"/>
      <c r="I116"/>
      <c r="J116"/>
      <c r="K116"/>
      <c r="L116"/>
      <c r="O116" s="2"/>
    </row>
    <row r="117" spans="1:15" ht="20.100000000000001" customHeight="1" x14ac:dyDescent="0.25">
      <c r="A117"/>
      <c r="B117"/>
      <c r="C117"/>
      <c r="D117"/>
      <c r="E117"/>
      <c r="F117"/>
      <c r="G117"/>
      <c r="H117"/>
      <c r="I117"/>
      <c r="J117"/>
      <c r="K117"/>
      <c r="L117"/>
      <c r="O117" s="2"/>
    </row>
    <row r="118" spans="1:15" ht="20.100000000000001" customHeight="1" x14ac:dyDescent="0.25">
      <c r="A118"/>
      <c r="B118"/>
      <c r="C118"/>
      <c r="D118"/>
      <c r="E118"/>
      <c r="F118"/>
      <c r="G118"/>
      <c r="H118"/>
      <c r="I118"/>
      <c r="J118"/>
      <c r="K118"/>
      <c r="L118"/>
      <c r="O118" s="2"/>
    </row>
    <row r="119" spans="1:15" ht="20.100000000000001" customHeight="1" x14ac:dyDescent="0.25">
      <c r="A119"/>
      <c r="B119"/>
      <c r="C119"/>
      <c r="D119"/>
      <c r="E119"/>
      <c r="F119"/>
      <c r="G119"/>
      <c r="H119"/>
      <c r="I119"/>
      <c r="J119"/>
      <c r="K119"/>
      <c r="L119"/>
      <c r="O119" s="2"/>
    </row>
    <row r="120" spans="1:15" ht="20.100000000000001" customHeight="1" x14ac:dyDescent="0.25">
      <c r="A120"/>
      <c r="B120"/>
      <c r="C120"/>
      <c r="D120"/>
      <c r="E120"/>
      <c r="F120"/>
      <c r="G120"/>
      <c r="H120"/>
      <c r="I120"/>
      <c r="J120"/>
      <c r="K120"/>
      <c r="L120"/>
      <c r="O120" s="2"/>
    </row>
    <row r="121" spans="1:15" ht="20.100000000000001" customHeight="1" x14ac:dyDescent="0.25">
      <c r="A121"/>
      <c r="B121"/>
      <c r="C121"/>
      <c r="D121"/>
      <c r="E121"/>
      <c r="F121"/>
      <c r="G121"/>
      <c r="H121"/>
      <c r="I121"/>
      <c r="J121"/>
      <c r="K121"/>
      <c r="L121"/>
      <c r="O121" s="2"/>
    </row>
    <row r="122" spans="1:15" ht="20.100000000000001" customHeight="1" x14ac:dyDescent="0.25">
      <c r="A122"/>
      <c r="B122"/>
      <c r="C122"/>
      <c r="D122"/>
      <c r="E122"/>
      <c r="F122"/>
      <c r="G122"/>
      <c r="H122"/>
      <c r="I122"/>
      <c r="J122"/>
      <c r="K122"/>
      <c r="L122"/>
      <c r="O122" s="2"/>
    </row>
    <row r="123" spans="1:15" ht="20.100000000000001" customHeight="1" x14ac:dyDescent="0.25">
      <c r="A123"/>
      <c r="B123"/>
      <c r="C123"/>
      <c r="D123"/>
      <c r="E123"/>
      <c r="F123"/>
      <c r="G123"/>
      <c r="H123"/>
      <c r="I123"/>
      <c r="J123"/>
      <c r="K123"/>
      <c r="L123"/>
      <c r="O123" s="2"/>
    </row>
    <row r="124" spans="1:15" ht="20.100000000000001" customHeight="1" x14ac:dyDescent="0.25">
      <c r="A124"/>
      <c r="B124"/>
      <c r="C124"/>
      <c r="D124"/>
      <c r="E124"/>
      <c r="F124"/>
      <c r="G124"/>
      <c r="H124"/>
      <c r="I124"/>
      <c r="J124"/>
      <c r="K124"/>
      <c r="L124"/>
      <c r="O124" s="2"/>
    </row>
    <row r="125" spans="1:15" ht="20.100000000000001" customHeight="1" x14ac:dyDescent="0.25">
      <c r="A125"/>
      <c r="B125"/>
      <c r="C125"/>
      <c r="D125"/>
      <c r="E125"/>
      <c r="F125"/>
      <c r="G125"/>
      <c r="H125"/>
      <c r="I125"/>
      <c r="J125"/>
      <c r="K125"/>
      <c r="L125"/>
    </row>
    <row r="126" spans="1:15" ht="20.100000000000001" customHeight="1" x14ac:dyDescent="0.25">
      <c r="A126"/>
      <c r="B126"/>
      <c r="C126"/>
      <c r="D126"/>
      <c r="E126"/>
      <c r="F126"/>
      <c r="G126"/>
      <c r="H126"/>
      <c r="I126"/>
      <c r="J126"/>
      <c r="K126"/>
      <c r="L126"/>
    </row>
    <row r="127" spans="1:15" ht="20.100000000000001" customHeight="1" x14ac:dyDescent="0.25">
      <c r="A127"/>
      <c r="B127"/>
      <c r="C127"/>
      <c r="D127"/>
      <c r="E127"/>
      <c r="F127"/>
      <c r="G127"/>
      <c r="H127"/>
      <c r="I127"/>
      <c r="J127"/>
      <c r="K127"/>
      <c r="L127"/>
    </row>
    <row r="128" spans="1:15" ht="20.100000000000001" customHeight="1" x14ac:dyDescent="0.25">
      <c r="A128"/>
      <c r="B128"/>
      <c r="C128"/>
      <c r="D128"/>
      <c r="E128"/>
      <c r="F128"/>
      <c r="G128"/>
      <c r="H128"/>
      <c r="I128"/>
      <c r="J128"/>
      <c r="K128"/>
      <c r="L128"/>
    </row>
    <row r="129" customFormat="1" ht="20.100000000000001" customHeight="1" x14ac:dyDescent="0.25"/>
    <row r="130" customFormat="1" ht="20.100000000000001" customHeight="1" x14ac:dyDescent="0.25"/>
    <row r="131" customFormat="1" ht="20.100000000000001" customHeight="1" x14ac:dyDescent="0.25"/>
    <row r="132" customFormat="1" ht="20.100000000000001" customHeight="1" x14ac:dyDescent="0.25"/>
    <row r="133" customFormat="1" ht="20.100000000000001" customHeight="1" x14ac:dyDescent="0.25"/>
    <row r="134" customFormat="1" ht="20.100000000000001" customHeight="1" x14ac:dyDescent="0.25"/>
    <row r="135" customFormat="1" ht="20.100000000000001" customHeight="1" x14ac:dyDescent="0.25"/>
    <row r="136" customFormat="1" ht="20.100000000000001" customHeight="1" x14ac:dyDescent="0.25"/>
    <row r="137" customFormat="1" ht="20.100000000000001" customHeight="1" x14ac:dyDescent="0.25"/>
    <row r="138" customFormat="1" ht="20.100000000000001" customHeight="1" x14ac:dyDescent="0.25"/>
    <row r="139" customFormat="1" ht="20.100000000000001" customHeight="1" x14ac:dyDescent="0.25"/>
    <row r="140" customFormat="1" ht="20.100000000000001" customHeight="1" x14ac:dyDescent="0.25"/>
    <row r="141" customFormat="1" ht="20.100000000000001" customHeight="1" x14ac:dyDescent="0.25"/>
    <row r="142" customFormat="1" ht="20.100000000000001" customHeight="1" x14ac:dyDescent="0.25"/>
    <row r="143" customFormat="1" ht="20.100000000000001" customHeigh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</sheetData>
  <autoFilter ref="A7:M153" xr:uid="{023A8DB0-2C2F-428A-ABFB-279F3F6A16DF}"/>
  <mergeCells count="13">
    <mergeCell ref="I7:I8"/>
    <mergeCell ref="K7:K8"/>
    <mergeCell ref="L7:L8"/>
    <mergeCell ref="M7:M8"/>
    <mergeCell ref="A5:M5"/>
    <mergeCell ref="G7:G8"/>
    <mergeCell ref="H7:H8"/>
    <mergeCell ref="A7:A8"/>
    <mergeCell ref="B7:B8"/>
    <mergeCell ref="C7:C8"/>
    <mergeCell ref="D7:D8"/>
    <mergeCell ref="E7:E8"/>
    <mergeCell ref="F7:F8"/>
  </mergeCells>
  <phoneticPr fontId="4" type="noConversion"/>
  <pageMargins left="0.25" right="0.25" top="0.75" bottom="0.75" header="0.3" footer="0.3"/>
  <pageSetup paperSize="9" scale="45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Jesús Polo Gonzalez</dc:creator>
  <cp:lastModifiedBy>Cristopher Sal y Rosas Corthon</cp:lastModifiedBy>
  <cp:lastPrinted>2025-10-07T17:26:17Z</cp:lastPrinted>
  <dcterms:created xsi:type="dcterms:W3CDTF">2025-08-26T15:24:00Z</dcterms:created>
  <dcterms:modified xsi:type="dcterms:W3CDTF">2026-09-23T18:52:53Z</dcterms:modified>
</cp:coreProperties>
</file>