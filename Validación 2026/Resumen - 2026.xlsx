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FACOIMPEC\Desktop\FACO\Validación 2026\"/>
    </mc:Choice>
  </mc:AlternateContent>
  <xr:revisionPtr revIDLastSave="0" documentId="13_ncr:1_{FBBF18EB-4146-445B-A02E-58B0D4495917}" xr6:coauthVersionLast="47" xr6:coauthVersionMax="47" xr10:uidLastSave="{00000000-0000-0000-0000-000000000000}"/>
  <bookViews>
    <workbookView xWindow="-120" yWindow="-120" windowWidth="29040" windowHeight="15720" xr2:uid="{C4980844-11B2-4780-AA72-88BE51361CDC}"/>
  </bookViews>
  <sheets>
    <sheet name="General" sheetId="1" r:id="rId1"/>
    <sheet name="Mezclado" sheetId="3" r:id="rId2"/>
    <sheet name="Laminado" sheetId="6" r:id="rId3"/>
    <sheet name="Molido" sheetId="7" r:id="rId4"/>
    <sheet name="Tostado" sheetId="8" r:id="rId5"/>
    <sheet name="Deshidratado" sheetId="16" r:id="rId6"/>
    <sheet name="Materia Prima" sheetId="5" r:id="rId7"/>
    <sheet name="Resumen" sheetId="19" r:id="rId8"/>
    <sheet name="Formula" sheetId="4" r:id="rId9"/>
    <sheet name="Procesos" sheetId="9" r:id="rId10"/>
  </sheets>
  <definedNames>
    <definedName name="_xlnm._FilterDatabase" localSheetId="5" hidden="1">Deshidratado!$A$1:$E$59</definedName>
    <definedName name="_xlnm._FilterDatabase" localSheetId="0" hidden="1">General!$A$1:$J$78</definedName>
    <definedName name="_xlnm._FilterDatabase" localSheetId="2" hidden="1">Laminado!$A$1:$F$64</definedName>
    <definedName name="_xlnm._FilterDatabase" localSheetId="6" hidden="1">'Materia Prima'!$A$1:$AB$74</definedName>
    <definedName name="_xlnm._FilterDatabase" localSheetId="1" hidden="1">Mezclado!$A$1:$AA$33</definedName>
    <definedName name="_xlnm._FilterDatabase" localSheetId="3" hidden="1">Molido!$A$1:$I$28</definedName>
    <definedName name="_xlnm._FilterDatabase" localSheetId="7" hidden="1">Resumen!$A$5:$G$31</definedName>
    <definedName name="_xlnm._FilterDatabase" localSheetId="4" hidden="1">Tostado!$A$1:$H$29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5" l="1" a="1"/>
  <c r="AC2" i="5" s="1"/>
  <c r="AB2" i="5" a="1"/>
  <c r="AB2" i="5" s="1"/>
  <c r="AA2" i="5" a="1"/>
  <c r="AA2" i="5" s="1"/>
  <c r="Z2" i="5" a="1"/>
  <c r="Z2" i="5" s="1"/>
  <c r="Y2" i="5" a="1"/>
  <c r="Y2" i="5" s="1"/>
  <c r="X2" i="5" a="1"/>
  <c r="X2" i="5" s="1"/>
  <c r="W2" i="5" a="1"/>
  <c r="W2" i="5" s="1"/>
  <c r="V2" i="5" a="1"/>
  <c r="V2" i="5" s="1"/>
  <c r="U2" i="5" a="1"/>
  <c r="U2" i="5" s="1"/>
  <c r="S2" i="5" a="1"/>
  <c r="S2" i="5" s="1"/>
  <c r="R2" i="5" a="1"/>
  <c r="R2" i="5" s="1"/>
  <c r="Q2" i="5" a="1"/>
  <c r="Q2" i="5" s="1"/>
  <c r="P2" i="5" a="1"/>
  <c r="P2" i="5" s="1"/>
  <c r="O2" i="5" a="1"/>
  <c r="O2" i="5" s="1"/>
  <c r="L2" i="5" a="1"/>
  <c r="L2" i="5" s="1"/>
  <c r="M2" i="5" a="1"/>
  <c r="M2" i="5" s="1"/>
  <c r="K2" i="5" a="1"/>
  <c r="K2" i="5" s="1"/>
  <c r="I39" i="5"/>
  <c r="I40" i="5"/>
  <c r="I41" i="5"/>
  <c r="I38" i="5"/>
  <c r="I35" i="5"/>
  <c r="I36" i="5"/>
  <c r="I34" i="5"/>
  <c r="H37" i="5"/>
  <c r="G2" i="5" a="1"/>
  <c r="G2" i="5" s="1"/>
  <c r="F35" i="5" a="1"/>
  <c r="F35" i="5" s="1"/>
  <c r="E34" i="5"/>
  <c r="D2" i="5" a="1"/>
  <c r="D2" i="5" s="1"/>
  <c r="B2" i="5" a="1"/>
  <c r="B2" i="5" s="1"/>
  <c r="A2" i="5" a="1"/>
  <c r="A2" i="5" s="1"/>
  <c r="E34" i="8"/>
  <c r="E33" i="8"/>
  <c r="I2" i="8" a="1"/>
  <c r="I2" i="8" s="1"/>
  <c r="H2" i="8" a="1"/>
  <c r="H2" i="8" s="1"/>
  <c r="G2" i="8" a="1"/>
  <c r="G2" i="8" s="1"/>
  <c r="F2" i="8" a="1"/>
  <c r="F2" i="8" s="1"/>
  <c r="D34" i="8"/>
  <c r="A2" i="8" a="1"/>
  <c r="A2" i="8" s="1"/>
  <c r="I2" i="7" a="1"/>
  <c r="I2" i="7" s="1"/>
  <c r="H2" i="7" a="1"/>
  <c r="H2" i="7" s="1"/>
  <c r="G2" i="7" a="1"/>
  <c r="G2" i="7" s="1"/>
  <c r="F2" i="7" a="1"/>
  <c r="F2" i="7" s="1"/>
  <c r="E2" i="7" a="1"/>
  <c r="E2" i="7" s="1"/>
  <c r="D34" i="7" a="1"/>
  <c r="D34" i="7" s="1"/>
  <c r="D35" i="7" a="1"/>
  <c r="D35" i="7"/>
  <c r="D36" i="7" a="1"/>
  <c r="D36" i="7"/>
  <c r="D37" i="7" a="1"/>
  <c r="D37" i="7" s="1"/>
  <c r="D38" i="7" a="1"/>
  <c r="D38" i="7" s="1"/>
  <c r="D39" i="7" a="1"/>
  <c r="D39" i="7" s="1"/>
  <c r="D40" i="7" a="1"/>
  <c r="D40" i="7" s="1"/>
  <c r="D41" i="7" a="1"/>
  <c r="D41" i="7" s="1"/>
  <c r="A2" i="7" a="1"/>
  <c r="A2" i="7" s="1"/>
  <c r="F34" i="6" a="1"/>
  <c r="F34" i="6"/>
  <c r="F35" i="6" a="1"/>
  <c r="F35" i="6" s="1"/>
  <c r="F36" i="6" a="1"/>
  <c r="F36" i="6" s="1"/>
  <c r="F37" i="6" a="1"/>
  <c r="F37" i="6" s="1"/>
  <c r="F38" i="6" a="1"/>
  <c r="F38" i="6" s="1"/>
  <c r="F39" i="6" a="1"/>
  <c r="F39" i="6" s="1"/>
  <c r="F40" i="6" a="1"/>
  <c r="F40" i="6" s="1"/>
  <c r="F41" i="6" a="1"/>
  <c r="F41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/>
  <c r="E41" i="6" a="1"/>
  <c r="E41" i="6" s="1"/>
  <c r="D34" i="6" a="1"/>
  <c r="D34" i="6"/>
  <c r="D35" i="6" a="1"/>
  <c r="D35" i="6" s="1"/>
  <c r="D36" i="6" a="1"/>
  <c r="D36" i="6" s="1"/>
  <c r="D37" i="6" a="1"/>
  <c r="D37" i="6" s="1"/>
  <c r="D38" i="6" a="1"/>
  <c r="D38" i="6" s="1"/>
  <c r="D39" i="6" a="1"/>
  <c r="D39" i="6"/>
  <c r="D40" i="6" a="1"/>
  <c r="D40" i="6" s="1"/>
  <c r="D41" i="6" a="1"/>
  <c r="D41" i="6" s="1"/>
  <c r="A2" i="6" a="1"/>
  <c r="A2" i="6" s="1"/>
  <c r="E34" i="3" a="1"/>
  <c r="E34" i="3" s="1"/>
  <c r="E35" i="3" a="1"/>
  <c r="E35" i="3" s="1"/>
  <c r="E36" i="3" a="1"/>
  <c r="E36" i="3" s="1"/>
  <c r="E37" i="3" a="1"/>
  <c r="E37" i="3" s="1"/>
  <c r="E38" i="3" a="1"/>
  <c r="E38" i="3" s="1"/>
  <c r="E39" i="3" a="1"/>
  <c r="E39" i="3" s="1"/>
  <c r="E40" i="3" a="1"/>
  <c r="E40" i="3" s="1"/>
  <c r="E41" i="3" a="1"/>
  <c r="E41" i="3" s="1"/>
  <c r="D34" i="3"/>
  <c r="D35" i="3"/>
  <c r="D36" i="3"/>
  <c r="D37" i="3"/>
  <c r="D38" i="3"/>
  <c r="D39" i="3"/>
  <c r="D40" i="3"/>
  <c r="D41" i="3"/>
  <c r="B2" i="3" a="1"/>
  <c r="B2" i="3" s="1"/>
  <c r="A2" i="3" a="1"/>
  <c r="A2" i="3" s="1"/>
  <c r="D31" i="7" l="1" a="1"/>
  <c r="D31" i="7" s="1"/>
  <c r="D30" i="7" a="1"/>
  <c r="D30" i="7" s="1"/>
  <c r="F31" i="6" a="1"/>
  <c r="F31" i="6" s="1"/>
  <c r="D29" i="7" a="1"/>
  <c r="D29" i="7" s="1"/>
  <c r="D33" i="7" a="1"/>
  <c r="D33" i="7" s="1"/>
  <c r="D32" i="7" a="1"/>
  <c r="D32" i="7" s="1"/>
  <c r="D33" i="3"/>
  <c r="E33" i="3" s="1" a="1"/>
  <c r="D32" i="3"/>
  <c r="D30" i="3"/>
  <c r="E30" i="3" s="1" a="1"/>
  <c r="D29" i="3"/>
  <c r="E29" i="3" s="1" a="1"/>
  <c r="D31" i="3"/>
  <c r="E31" i="3" s="1" a="1"/>
  <c r="E52" i="3" a="1"/>
  <c r="E52" i="3" s="1"/>
  <c r="E32" i="3" l="1" a="1"/>
  <c r="E32" i="3" s="1"/>
  <c r="D32" i="6" s="1" a="1"/>
  <c r="D32" i="6" s="1"/>
  <c r="E48" i="3" a="1"/>
  <c r="E48" i="3" s="1"/>
  <c r="I31" i="5"/>
  <c r="E29" i="3"/>
  <c r="D29" i="6" s="1" a="1"/>
  <c r="D29" i="6" s="1"/>
  <c r="F29" i="6" a="1"/>
  <c r="F29" i="6" s="1"/>
  <c r="H29" i="5" s="1"/>
  <c r="E29" i="6" a="1"/>
  <c r="E29" i="6" s="1"/>
  <c r="E31" i="3"/>
  <c r="E31" i="6" a="1"/>
  <c r="E31" i="6" s="1"/>
  <c r="E30" i="3"/>
  <c r="D30" i="6" s="1" a="1"/>
  <c r="D30" i="6" s="1"/>
  <c r="F30" i="6" a="1"/>
  <c r="F30" i="6" s="1"/>
  <c r="I30" i="5" s="1"/>
  <c r="E30" i="6" a="1"/>
  <c r="E30" i="6" s="1"/>
  <c r="E33" i="3"/>
  <c r="D33" i="6" s="1" a="1"/>
  <c r="D33" i="6" s="1"/>
  <c r="E33" i="6" a="1"/>
  <c r="E33" i="6" s="1"/>
  <c r="F33" i="6" a="1"/>
  <c r="F33" i="6" s="1"/>
  <c r="E50" i="3" a="1"/>
  <c r="E50" i="3" s="1"/>
  <c r="E49" i="3" a="1"/>
  <c r="E49" i="3" s="1"/>
  <c r="E32" i="6" l="1" a="1"/>
  <c r="E32" i="6" s="1"/>
  <c r="F29" i="5" s="1" a="1"/>
  <c r="F29" i="5" s="1"/>
  <c r="F32" i="6" a="1"/>
  <c r="F32" i="6" s="1"/>
  <c r="I32" i="5" s="1"/>
  <c r="D31" i="6" a="1"/>
  <c r="D31" i="6" s="1"/>
  <c r="H33" i="5"/>
  <c r="E51" i="3" a="1"/>
  <c r="E51" i="3" s="1"/>
  <c r="E53" i="3" a="1"/>
  <c r="E53" i="3" s="1"/>
  <c r="E54" i="3" a="1"/>
  <c r="E54" i="3" s="1"/>
  <c r="E55" i="3" a="1"/>
  <c r="E55" i="3" s="1"/>
  <c r="E56" i="3" a="1"/>
  <c r="E56" i="3" s="1"/>
  <c r="L1" i="5" l="1" a="1"/>
  <c r="L1" i="5" s="1"/>
  <c r="B6" i="19" s="1" a="1"/>
  <c r="B6" i="19" s="1"/>
  <c r="X5" i="4" l="1"/>
  <c r="W5" i="4"/>
  <c r="B5" i="4"/>
  <c r="C5" i="4"/>
  <c r="D5" i="4"/>
  <c r="B1" i="9" a="1"/>
  <c r="B1" i="9" s="1"/>
  <c r="Y2" i="4"/>
  <c r="Y3" i="4"/>
  <c r="Y4" i="4"/>
  <c r="Y6" i="4"/>
  <c r="X7" i="4"/>
  <c r="G7" i="4"/>
  <c r="U7" i="4"/>
  <c r="V7" i="4"/>
  <c r="Q7" i="4"/>
  <c r="H7" i="4"/>
  <c r="B7" i="4"/>
  <c r="Y7" i="4" s="1"/>
  <c r="B1" i="4" a="1"/>
  <c r="B1" i="4" s="1"/>
  <c r="D2" i="19"/>
  <c r="Y9" i="4"/>
  <c r="Y10" i="4"/>
  <c r="X8" i="4"/>
  <c r="W8" i="4"/>
  <c r="E8" i="4"/>
  <c r="J8" i="4"/>
  <c r="D8" i="4"/>
  <c r="C8" i="4"/>
  <c r="B8" i="4"/>
  <c r="Y8" i="4" s="1"/>
  <c r="D28" i="7" l="1" a="1"/>
  <c r="D28" i="7" s="1"/>
  <c r="F27" i="6" a="1"/>
  <c r="F27" i="6" s="1"/>
  <c r="D22" i="3"/>
  <c r="E22" i="3" s="1" a="1"/>
  <c r="E22" i="3" s="1"/>
  <c r="D28" i="3"/>
  <c r="E28" i="3" s="1" a="1"/>
  <c r="E28" i="3" s="1"/>
  <c r="D28" i="6" s="1" a="1"/>
  <c r="D28" i="6" s="1"/>
  <c r="D27" i="3"/>
  <c r="E27" i="3" s="1" a="1"/>
  <c r="D26" i="7" a="1"/>
  <c r="D26" i="7" s="1"/>
  <c r="D25" i="7" a="1"/>
  <c r="D25" i="7" s="1"/>
  <c r="D26" i="3"/>
  <c r="E26" i="3" s="1" a="1"/>
  <c r="D25" i="3"/>
  <c r="E25" i="3" s="1" a="1"/>
  <c r="F25" i="6" s="1" a="1"/>
  <c r="F25" i="6" s="1"/>
  <c r="Y5" i="4"/>
  <c r="H27" i="5" l="1"/>
  <c r="E27" i="3"/>
  <c r="D27" i="6" s="1" a="1"/>
  <c r="D27" i="6" s="1"/>
  <c r="E27" i="6" a="1"/>
  <c r="E27" i="6" s="1"/>
  <c r="F27" i="5" s="1"/>
  <c r="D27" i="7" a="1"/>
  <c r="D27" i="7" s="1"/>
  <c r="I27" i="5" s="1"/>
  <c r="F28" i="6" a="1"/>
  <c r="F28" i="6" s="1"/>
  <c r="E28" i="6" a="1"/>
  <c r="E28" i="6" s="1"/>
  <c r="F66" i="6"/>
  <c r="F67" i="6" s="1"/>
  <c r="I25" i="5"/>
  <c r="A2" i="16" a="1"/>
  <c r="A2" i="16" s="1"/>
  <c r="E26" i="3"/>
  <c r="D26" i="6" s="1" a="1"/>
  <c r="D26" i="6" s="1"/>
  <c r="F26" i="6" a="1"/>
  <c r="F26" i="6" s="1"/>
  <c r="E25" i="3"/>
  <c r="D25" i="6" s="1" a="1"/>
  <c r="D25" i="6" s="1"/>
  <c r="D66" i="6" s="1"/>
  <c r="E25" i="6" a="1"/>
  <c r="E25" i="6" s="1"/>
  <c r="E66" i="6" s="1"/>
  <c r="E26" i="6" a="1"/>
  <c r="E26" i="6" s="1"/>
  <c r="H28" i="5" l="1"/>
  <c r="D28" i="8"/>
  <c r="E28" i="5"/>
  <c r="D24" i="3"/>
  <c r="D59" i="3" s="1"/>
  <c r="E59" i="3" s="1" a="1"/>
  <c r="E59" i="3" s="1"/>
  <c r="D10" i="7" a="1"/>
  <c r="D10" i="7" s="1"/>
  <c r="D11" i="7" a="1"/>
  <c r="D11" i="7" s="1"/>
  <c r="D4" i="7" a="1"/>
  <c r="D4" i="7" s="1"/>
  <c r="D22" i="7" a="1"/>
  <c r="D22" i="7" s="1"/>
  <c r="D7" i="7" a="1"/>
  <c r="D7" i="7" s="1"/>
  <c r="F22" i="6" a="1"/>
  <c r="F22" i="6" s="1"/>
  <c r="D2" i="3"/>
  <c r="E2" i="3" s="1" a="1"/>
  <c r="D3" i="3"/>
  <c r="D4" i="3"/>
  <c r="D5" i="3"/>
  <c r="D6" i="3"/>
  <c r="D7" i="3"/>
  <c r="D8" i="3"/>
  <c r="D9" i="3"/>
  <c r="D10" i="3"/>
  <c r="D11" i="3"/>
  <c r="D23" i="3"/>
  <c r="E23" i="3" s="1" a="1"/>
  <c r="E23" i="3" s="1"/>
  <c r="D12" i="3"/>
  <c r="D13" i="3"/>
  <c r="E13" i="3" s="1" a="1"/>
  <c r="E13" i="3" s="1"/>
  <c r="D14" i="3"/>
  <c r="D15" i="3"/>
  <c r="E15" i="3" s="1" a="1"/>
  <c r="E15" i="3" s="1"/>
  <c r="D16" i="3"/>
  <c r="D17" i="3"/>
  <c r="D18" i="3"/>
  <c r="D19" i="3"/>
  <c r="D20" i="3"/>
  <c r="D21" i="3"/>
  <c r="E21" i="3" s="1" a="1"/>
  <c r="E21" i="3" s="1"/>
  <c r="E18" i="3" l="1" a="1"/>
  <c r="E18" i="3" s="1"/>
  <c r="D18" i="6" s="1" a="1"/>
  <c r="D18" i="6" s="1"/>
  <c r="I22" i="5"/>
  <c r="F21" i="6" a="1"/>
  <c r="F21" i="6" s="1"/>
  <c r="F15" i="6" a="1"/>
  <c r="F15" i="6" s="1"/>
  <c r="E14" i="3" a="1"/>
  <c r="E11" i="3" a="1"/>
  <c r="E11" i="3" s="1"/>
  <c r="D11" i="6" s="1" a="1"/>
  <c r="D11" i="6" s="1"/>
  <c r="E10" i="3" a="1"/>
  <c r="E10" i="3" s="1"/>
  <c r="D10" i="6" s="1" a="1"/>
  <c r="D10" i="6" s="1"/>
  <c r="E17" i="3" a="1"/>
  <c r="E19" i="3" a="1"/>
  <c r="E19" i="3" s="1"/>
  <c r="D19" i="6" s="1" a="1"/>
  <c r="D19" i="6" s="1"/>
  <c r="E16" i="3" a="1"/>
  <c r="E16" i="3" s="1"/>
  <c r="D16" i="6" s="1" a="1"/>
  <c r="D16" i="6" s="1"/>
  <c r="E8" i="3" a="1"/>
  <c r="F20" i="6" a="1"/>
  <c r="F20" i="6" s="1"/>
  <c r="E20" i="3" a="1"/>
  <c r="E20" i="3" s="1"/>
  <c r="D20" i="6" s="1" a="1"/>
  <c r="D20" i="6" s="1"/>
  <c r="E9" i="3" a="1"/>
  <c r="E9" i="6" s="1" a="1"/>
  <c r="E9" i="6" s="1"/>
  <c r="D9" i="8" s="1"/>
  <c r="E3" i="3" a="1"/>
  <c r="E7" i="3" a="1"/>
  <c r="E7" i="3" s="1"/>
  <c r="D7" i="6" s="1" a="1"/>
  <c r="D7" i="6" s="1"/>
  <c r="E12" i="3" a="1"/>
  <c r="D12" i="7" s="1" a="1"/>
  <c r="D12" i="7" s="1"/>
  <c r="D6" i="7" a="1"/>
  <c r="D6" i="7" s="1"/>
  <c r="E6" i="3" a="1"/>
  <c r="F6" i="6" s="1" a="1"/>
  <c r="F6" i="6" s="1"/>
  <c r="E24" i="3" a="1"/>
  <c r="E24" i="3" s="1"/>
  <c r="D24" i="6" s="1" a="1"/>
  <c r="D24" i="6" s="1"/>
  <c r="E5" i="3" a="1"/>
  <c r="E5" i="3" s="1"/>
  <c r="D5" i="6" s="1" a="1"/>
  <c r="D5" i="6" s="1"/>
  <c r="E4" i="3" a="1"/>
  <c r="E4" i="3" s="1"/>
  <c r="D4" i="6" s="1" a="1"/>
  <c r="D4" i="6" s="1"/>
  <c r="E2" i="3"/>
  <c r="D24" i="7" a="1"/>
  <c r="D24" i="7" s="1"/>
  <c r="D5" i="7" a="1"/>
  <c r="D5" i="7" s="1"/>
  <c r="F23" i="6" a="1"/>
  <c r="F23" i="6" s="1"/>
  <c r="D23" i="7" a="1"/>
  <c r="D23" i="7" s="1"/>
  <c r="D21" i="7" a="1"/>
  <c r="D21" i="7" s="1"/>
  <c r="D9" i="7" a="1"/>
  <c r="D9" i="7" s="1"/>
  <c r="D13" i="7" a="1"/>
  <c r="D13" i="7" s="1"/>
  <c r="D2" i="7" a="1"/>
  <c r="D2" i="7" s="1"/>
  <c r="D15" i="7" a="1"/>
  <c r="D15" i="7" s="1"/>
  <c r="D15" i="6" a="1"/>
  <c r="D15" i="6" s="1"/>
  <c r="F16" i="6" a="1"/>
  <c r="F16" i="6" s="1"/>
  <c r="D13" i="6" a="1"/>
  <c r="D13" i="6" s="1"/>
  <c r="F13" i="6" a="1"/>
  <c r="F13" i="6" s="1"/>
  <c r="D21" i="6" a="1"/>
  <c r="D21" i="6" s="1"/>
  <c r="E21" i="6" a="1"/>
  <c r="E21" i="6" s="1"/>
  <c r="D23" i="6" a="1"/>
  <c r="D23" i="6" s="1"/>
  <c r="E23" i="6" a="1"/>
  <c r="E23" i="6" s="1"/>
  <c r="E15" i="6" a="1"/>
  <c r="E15" i="6" s="1"/>
  <c r="E13" i="6" a="1"/>
  <c r="E13" i="6" s="1"/>
  <c r="C31" i="19" l="1" a="1"/>
  <c r="C31" i="19" s="1"/>
  <c r="G31" i="19" s="1"/>
  <c r="E31" i="19" s="1"/>
  <c r="E3" i="3"/>
  <c r="D3" i="6" s="1" a="1"/>
  <c r="D3" i="6" s="1"/>
  <c r="D3" i="7" a="1"/>
  <c r="D3" i="7" s="1"/>
  <c r="I6" i="5"/>
  <c r="I15" i="5"/>
  <c r="E13" i="8"/>
  <c r="I13" i="5"/>
  <c r="I23" i="5"/>
  <c r="I21" i="5"/>
  <c r="C19" i="19" a="1"/>
  <c r="C19" i="19" s="1"/>
  <c r="G19" i="19" s="1"/>
  <c r="E19" i="19" s="1"/>
  <c r="F19" i="6" a="1"/>
  <c r="F19" i="6" s="1"/>
  <c r="D2" i="16" a="1"/>
  <c r="D2" i="16" s="1"/>
  <c r="E2" i="16" a="1"/>
  <c r="E2" i="16" s="1"/>
  <c r="E8" i="6" a="1"/>
  <c r="E8" i="6" s="1"/>
  <c r="D8" i="7" a="1"/>
  <c r="D8" i="7" s="1"/>
  <c r="E17" i="3"/>
  <c r="D17" i="6" s="1" a="1"/>
  <c r="D17" i="6" s="1"/>
  <c r="F17" i="6" a="1"/>
  <c r="F17" i="6" s="1"/>
  <c r="F18" i="6" a="1"/>
  <c r="F18" i="6" s="1"/>
  <c r="E4" i="6" a="1"/>
  <c r="E4" i="6" s="1"/>
  <c r="F4" i="6" a="1"/>
  <c r="F4" i="6" s="1"/>
  <c r="I4" i="5" s="1"/>
  <c r="D20" i="7" a="1"/>
  <c r="D20" i="7" s="1"/>
  <c r="I20" i="5" s="1"/>
  <c r="E14" i="3"/>
  <c r="D14" i="6" s="1" a="1"/>
  <c r="D14" i="6" s="1"/>
  <c r="F14" i="6" a="1"/>
  <c r="F14" i="6" s="1"/>
  <c r="F11" i="6" a="1"/>
  <c r="F11" i="6" s="1"/>
  <c r="E19" i="6" a="1"/>
  <c r="E19" i="6" s="1"/>
  <c r="F5" i="6" a="1"/>
  <c r="F5" i="6" s="1"/>
  <c r="E12" i="3"/>
  <c r="D12" i="6" s="1" a="1"/>
  <c r="D12" i="6" s="1"/>
  <c r="F12" i="6" a="1"/>
  <c r="F12" i="6" s="1"/>
  <c r="D19" i="7" a="1"/>
  <c r="D19" i="7" s="1"/>
  <c r="E5" i="6" a="1"/>
  <c r="E5" i="6" s="1"/>
  <c r="E12" i="6" a="1"/>
  <c r="E12" i="6" s="1"/>
  <c r="F7" i="6" a="1"/>
  <c r="F7" i="6" s="1"/>
  <c r="E7" i="6" a="1"/>
  <c r="E7" i="6" s="1"/>
  <c r="E6" i="6" a="1"/>
  <c r="E6" i="6" s="1"/>
  <c r="E6" i="3"/>
  <c r="D6" i="6" s="1" a="1"/>
  <c r="D6" i="6" s="1"/>
  <c r="E14" i="6" a="1"/>
  <c r="E14" i="6" s="1"/>
  <c r="D14" i="7" a="1"/>
  <c r="D14" i="7" s="1"/>
  <c r="E17" i="6" a="1"/>
  <c r="E17" i="6" s="1"/>
  <c r="E18" i="6" a="1"/>
  <c r="E18" i="6" s="1"/>
  <c r="E20" i="6" a="1"/>
  <c r="E20" i="6" s="1"/>
  <c r="F24" i="6" a="1"/>
  <c r="F24" i="6" s="1"/>
  <c r="I26" i="5" s="1"/>
  <c r="E24" i="6" a="1"/>
  <c r="E24" i="6" s="1"/>
  <c r="E16" i="6" a="1"/>
  <c r="E16" i="6" s="1"/>
  <c r="F10" i="6" a="1"/>
  <c r="F10" i="6" s="1"/>
  <c r="E10" i="6" a="1"/>
  <c r="E10" i="6" s="1"/>
  <c r="E11" i="6" a="1"/>
  <c r="E11" i="6" s="1"/>
  <c r="D16" i="7" a="1"/>
  <c r="D16" i="7" s="1"/>
  <c r="I16" i="5" s="1"/>
  <c r="E9" i="3"/>
  <c r="D9" i="6" s="1" a="1"/>
  <c r="D9" i="6" s="1"/>
  <c r="F9" i="6" a="1"/>
  <c r="F9" i="6" s="1"/>
  <c r="F3" i="6" a="1"/>
  <c r="F3" i="6" s="1"/>
  <c r="D17" i="7" a="1"/>
  <c r="D17" i="7" s="1"/>
  <c r="D18" i="7" a="1"/>
  <c r="D18" i="7" s="1"/>
  <c r="E3" i="6" a="1"/>
  <c r="E3" i="6" s="1"/>
  <c r="E8" i="3"/>
  <c r="D8" i="6" s="1" a="1"/>
  <c r="D8" i="6" s="1"/>
  <c r="F8" i="6" a="1"/>
  <c r="F8" i="6" s="1"/>
  <c r="D22" i="6" a="1"/>
  <c r="D22" i="6" s="1"/>
  <c r="E22" i="6" a="1"/>
  <c r="E22" i="6" s="1"/>
  <c r="F2" i="6" a="1"/>
  <c r="F2" i="6" s="1"/>
  <c r="I2" i="5" s="1"/>
  <c r="D2" i="6" a="1"/>
  <c r="D2" i="6" s="1"/>
  <c r="E2" i="6" a="1"/>
  <c r="E2" i="6" s="1"/>
  <c r="F20" i="5" l="1" a="1"/>
  <c r="F20" i="5" s="1"/>
  <c r="E10" i="5"/>
  <c r="F2" i="16" a="1"/>
  <c r="F2" i="16" s="1"/>
  <c r="C15" i="19" a="1"/>
  <c r="C15" i="19" s="1"/>
  <c r="G15" i="19" s="1"/>
  <c r="E15" i="19" s="1"/>
  <c r="I17" i="5"/>
  <c r="F2" i="5" a="1"/>
  <c r="F11" i="5" a="1"/>
  <c r="F11" i="5" s="1"/>
  <c r="I3" i="5"/>
  <c r="E12" i="8"/>
  <c r="I12" i="5"/>
  <c r="E5" i="8"/>
  <c r="H5" i="5"/>
  <c r="E9" i="8"/>
  <c r="I9" i="5"/>
  <c r="D19" i="8"/>
  <c r="E19" i="5"/>
  <c r="E11" i="8"/>
  <c r="I11" i="5"/>
  <c r="E14" i="8"/>
  <c r="H14" i="5"/>
  <c r="E7" i="8"/>
  <c r="H7" i="5"/>
  <c r="E8" i="8"/>
  <c r="I8" i="5"/>
  <c r="E10" i="8"/>
  <c r="H10" i="5"/>
  <c r="E18" i="8"/>
  <c r="H18" i="5"/>
  <c r="E19" i="8"/>
  <c r="H19" i="5"/>
  <c r="D10" i="8"/>
  <c r="C18" i="19" a="1"/>
  <c r="C18" i="19" s="1"/>
  <c r="G18" i="19" s="1"/>
  <c r="E18" i="19" s="1"/>
  <c r="C20" i="19" a="1"/>
  <c r="C20" i="19" s="1"/>
  <c r="G20" i="19" s="1"/>
  <c r="E20" i="19" s="1"/>
  <c r="C21" i="19" a="1"/>
  <c r="C21" i="19" s="1"/>
  <c r="G21" i="19" s="1"/>
  <c r="E21" i="19" s="1"/>
  <c r="C23" i="19" a="1"/>
  <c r="C23" i="19" s="1"/>
  <c r="G23" i="19" s="1"/>
  <c r="E23" i="19" s="1"/>
  <c r="C27" i="19" a="1"/>
  <c r="C27" i="19" s="1"/>
  <c r="G27" i="19" s="1"/>
  <c r="E27" i="19" s="1"/>
  <c r="C28" i="19" a="1"/>
  <c r="C28" i="19" s="1"/>
  <c r="G28" i="19" s="1"/>
  <c r="E28" i="19" s="1"/>
  <c r="C29" i="19" a="1"/>
  <c r="C29" i="19" s="1"/>
  <c r="G29" i="19" s="1"/>
  <c r="E29" i="19" s="1"/>
  <c r="C30" i="19" a="1"/>
  <c r="C30" i="19" s="1"/>
  <c r="G30" i="19" s="1"/>
  <c r="E30" i="19" s="1"/>
  <c r="C25" i="19" a="1"/>
  <c r="C25" i="19" s="1"/>
  <c r="G25" i="19" s="1"/>
  <c r="E25" i="19" s="1"/>
  <c r="C26" i="19" a="1"/>
  <c r="C26" i="19" s="1"/>
  <c r="G26" i="19" s="1"/>
  <c r="E26" i="19" s="1"/>
  <c r="C24" i="19" a="1"/>
  <c r="C24" i="19" s="1"/>
  <c r="G24" i="19" s="1"/>
  <c r="E24" i="19" s="1"/>
  <c r="N2" i="5" l="1" a="1"/>
  <c r="N2" i="5" s="1"/>
  <c r="C16" i="19" s="1" a="1"/>
  <c r="C16" i="19" s="1"/>
  <c r="G16" i="19" s="1"/>
  <c r="E16" i="19" s="1"/>
  <c r="C6" i="19" a="1"/>
  <c r="C6" i="19" s="1"/>
  <c r="G6" i="19" s="1"/>
  <c r="E6" i="19" s="1"/>
  <c r="F2" i="5"/>
  <c r="T2" i="5" a="1"/>
  <c r="T2" i="5" s="1"/>
  <c r="C22" i="19" s="1" a="1"/>
  <c r="C22" i="19" s="1"/>
  <c r="G22" i="19" s="1"/>
  <c r="E22" i="19" s="1"/>
  <c r="J2" i="5" a="1"/>
  <c r="J2" i="5" s="1"/>
  <c r="C10" i="19" a="1"/>
  <c r="C10" i="19" s="1"/>
  <c r="G10" i="19" s="1"/>
  <c r="E10" i="19" s="1"/>
  <c r="C11" i="19" a="1"/>
  <c r="C11" i="19" s="1"/>
  <c r="E78" i="16"/>
  <c r="E79" i="16" s="1"/>
  <c r="E80" i="16" s="1"/>
  <c r="C13" i="19" a="1"/>
  <c r="C13" i="19" s="1"/>
  <c r="C9" i="19" a="1"/>
  <c r="C9" i="19" s="1"/>
  <c r="C7" i="19" l="1" a="1"/>
  <c r="C7" i="19" s="1"/>
  <c r="G7" i="19" s="1"/>
  <c r="E7" i="19" s="1"/>
  <c r="C8" i="19" a="1"/>
  <c r="C8" i="19" s="1"/>
  <c r="G8" i="19" s="1"/>
  <c r="E8" i="19" s="1"/>
  <c r="C12" i="19" a="1"/>
  <c r="C12" i="19" s="1"/>
  <c r="G12" i="19" s="1"/>
  <c r="E12" i="19" s="1"/>
  <c r="G13" i="19"/>
  <c r="E13" i="19" s="1"/>
  <c r="G9" i="19"/>
  <c r="E9" i="19" s="1"/>
  <c r="G11" i="19"/>
  <c r="E11" i="19" s="1"/>
  <c r="C14" i="19" a="1"/>
  <c r="C14" i="19" s="1"/>
  <c r="G14" i="19" l="1"/>
  <c r="E14" i="19" s="1"/>
  <c r="C17" i="19" l="1" a="1"/>
  <c r="C17" i="19" s="1"/>
  <c r="G17" i="19" l="1"/>
  <c r="E17" i="1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<sst xmlns="http://schemas.openxmlformats.org/spreadsheetml/2006/main" count="343" uniqueCount="99">
  <si>
    <t>Producto</t>
  </si>
  <si>
    <t>Cajatambo</t>
  </si>
  <si>
    <t>F.P.</t>
  </si>
  <si>
    <t>Municipalidad</t>
  </si>
  <si>
    <t>F.V.</t>
  </si>
  <si>
    <t>N° Lote</t>
  </si>
  <si>
    <t>Cantidad (Kg)</t>
  </si>
  <si>
    <t>Fecha</t>
  </si>
  <si>
    <t>Marca</t>
  </si>
  <si>
    <t>FACLAC</t>
  </si>
  <si>
    <t>Olmos</t>
  </si>
  <si>
    <t>Viru</t>
  </si>
  <si>
    <t>Kiwicha</t>
  </si>
  <si>
    <t>Avena</t>
  </si>
  <si>
    <t>Quinua</t>
  </si>
  <si>
    <t>Soya</t>
  </si>
  <si>
    <t>Aceite Girasol</t>
  </si>
  <si>
    <t>Fosfato Tricálcio</t>
  </si>
  <si>
    <t>Mix vitaminico</t>
  </si>
  <si>
    <t>Laminado</t>
  </si>
  <si>
    <t>Mezclado</t>
  </si>
  <si>
    <t>Maca</t>
  </si>
  <si>
    <t>Deshidratado</t>
  </si>
  <si>
    <t>Azucar</t>
  </si>
  <si>
    <t>Tostado</t>
  </si>
  <si>
    <t>Almidon maca</t>
  </si>
  <si>
    <t>Leche Polvo</t>
  </si>
  <si>
    <t>Linaza</t>
  </si>
  <si>
    <t>Ajonjoli</t>
  </si>
  <si>
    <t>Proteina aislada soya</t>
  </si>
  <si>
    <t>Maiz Chufla</t>
  </si>
  <si>
    <t>MERMA</t>
  </si>
  <si>
    <t>Molido</t>
  </si>
  <si>
    <t>Garbanzo</t>
  </si>
  <si>
    <t>N° Sacos</t>
  </si>
  <si>
    <t>Maca Deshidratada</t>
  </si>
  <si>
    <t xml:space="preserve">Quinua </t>
  </si>
  <si>
    <t>Quinua Desaponificada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</si>
  <si>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</si>
  <si>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</si>
  <si>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</si>
  <si>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</si>
  <si>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</si>
  <si>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</si>
  <si>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</si>
  <si>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</si>
  <si>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Total (Kg)</t>
  </si>
  <si>
    <t>Capacida Sacos</t>
  </si>
  <si>
    <t>Materia Prima</t>
  </si>
  <si>
    <t>Redondeo</t>
  </si>
  <si>
    <t>U.M.</t>
  </si>
  <si>
    <t>Kg</t>
  </si>
  <si>
    <t>L</t>
  </si>
  <si>
    <t>Fecha Env.</t>
  </si>
  <si>
    <t>Agosto</t>
  </si>
  <si>
    <t xml:space="preserve"> </t>
  </si>
  <si>
    <t>Septiembre</t>
  </si>
  <si>
    <t>Octubre</t>
  </si>
  <si>
    <t>Noviembre</t>
  </si>
  <si>
    <t>Alto Trujillo</t>
  </si>
  <si>
    <t>MEZCLA DE HOJUELAS DE QUINUA, AVENA Y KIWICHA ENRIQUECIDA CON VITAMINAS Y MINERALES - HOJUELAS CRUDAS</t>
  </si>
  <si>
    <t>HOJUELAS PRECOCIDAS DE AVENA, QUINUA, KIWICHA Y MACA ENRIQUECIDA CON VITAMINAS Y MINERALES</t>
  </si>
  <si>
    <t>Encañada</t>
  </si>
  <si>
    <t>-</t>
  </si>
  <si>
    <t>MEZCLA PRECOCIDA DE HOJUELAS DE QUINUA, AVENA Y KIWICHA CON SEMILLAS DE CHÍA, HARINAS DE MACA Y CACAO FORTIFICADA CON VITAMINAS Y MINERALES</t>
  </si>
  <si>
    <t>Florencia de Mora</t>
  </si>
  <si>
    <t>Bolsa (g)</t>
  </si>
  <si>
    <t>HOJUELAS DE AVENA QUINUA KIWICHA PRECOCIDA FORTIFICADA CON VITAMINAS Y MINERALES</t>
  </si>
  <si>
    <t>Sanchez Carrión</t>
  </si>
  <si>
    <t>HOJUELAS DE AVENA, QUINUA, MACA, HARINA DE SOYA INTEGRAL TOSTADA, ALMIDÓN DE MAÍZ AZUCARADA FORTIFICADA CON VITAMINAS Y MINERALES (HOJUELAS CRUDAS)</t>
  </si>
  <si>
    <t>Hualgayoc</t>
  </si>
  <si>
    <t xml:space="preserve">HOJUELAS PRECOCIDAS LACTEADAS DE KIWICHA, QUINUA Y AVENA, CON MACA, SOYA, TARHUI Y GARBANZO FORTIFICADAS CON VITAMINAS Y MINERALES </t>
  </si>
  <si>
    <t>HOJUELAS PRECOCIDAS AZUCARADAS DE AVENA, SACHA INCHI, HARINA DE MACA DESHIDRATADA, HARINA DE PLÁTANO, ALBUMINA DE HUEVO FORTIFICADA CON VITAMINAS Y MINERALES</t>
  </si>
  <si>
    <t>Moyobamba</t>
  </si>
  <si>
    <t xml:space="preserve">MEZCLA PRECOCIDA DE QUINUA, KIWICHA, AVENA Y HARINA DE SOYA INTEGRAL TOSTADA CON LECHE ENTERA EN POLVO FORTIFICADA CON VITAMINAS Y MINERALES </t>
  </si>
  <si>
    <t>HOJUELAS PRECOCIDAS DE QUINUA, AVENA, KIWICHA, MACA, LINAZA, AJONJOLÍ CON PROTEÍNA AISLADA DE SOYA Y OMEGA 3 FORTIFICADO CON VITAMINAS Y MINERALES</t>
  </si>
  <si>
    <t>Harina de Plátano</t>
  </si>
  <si>
    <t>Albumina clara de huevo</t>
  </si>
  <si>
    <t>Sacha Inchi</t>
  </si>
  <si>
    <t>Tarhui</t>
  </si>
  <si>
    <t>Aceite soya</t>
  </si>
  <si>
    <t>Cacao</t>
  </si>
  <si>
    <t>Chia</t>
  </si>
  <si>
    <t>Cacao Deshidratado</t>
  </si>
  <si>
    <t>Quinua Precocida</t>
  </si>
  <si>
    <t>Kiwicha Precocida</t>
  </si>
  <si>
    <t>Trebol / 593 2026 / 22/7/26</t>
  </si>
  <si>
    <t>Trebol / 555 2026 / 22/6/26</t>
  </si>
  <si>
    <t>Santa Fe / 937 2026 / 22/7/26</t>
  </si>
  <si>
    <t>Trebol/ 537 2026 / 8/6/26</t>
  </si>
  <si>
    <t>Santa Fe/ 0926 2026 / 18/7/26</t>
  </si>
  <si>
    <t>Trebol - 652 2026 - 25/08/2026</t>
  </si>
  <si>
    <t>Rivelab - 650 2026 - 07/08/2026</t>
  </si>
  <si>
    <t>Rivelab - 483 2026 - 26/06/2026</t>
  </si>
  <si>
    <t>Rivelab - 656 2026 - 11/08/2026</t>
  </si>
  <si>
    <t>Santa Fe - 1085 2026 - 15/8/26</t>
  </si>
  <si>
    <t>Santa Fe - 0932 2026 - 13/07/26</t>
  </si>
  <si>
    <t>Santa Fe - 1087 2026 - 21/08/26</t>
  </si>
  <si>
    <t>Santa Fe - 0956 2026 - 1/07/26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</si>
</sst>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%"/>
    <numFmt numFmtId="165" formatCode="[$-F400]h:mm:ss\ AM/PM"/>
    <numFmt numFmtId="166" formatCode="#,##0.0000"/>
    <numFmt numFmtId="167" formatCode="#,##0.000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4" fontId="0" fillId="0" borderId="0" xfId="0" applyNumberFormat="1"/>
    <xf numFmtId="0" fontId="0" fillId="0" borderId="4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" fontId="3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" fontId="3" fillId="3" borderId="3" xfId="1" applyNumberFormat="1" applyFont="1" applyFill="1" applyBorder="1" applyAlignment="1">
      <alignment horizontal="center" vertical="center" wrapText="1"/>
    </xf>
    <xf numFmtId="4" fontId="0" fillId="3" borderId="5" xfId="1" applyNumberFormat="1" applyFont="1" applyFill="1" applyBorder="1" applyAlignment="1">
      <alignment horizontal="center"/>
    </xf>
    <xf numFmtId="4" fontId="0" fillId="0" borderId="0" xfId="1" applyNumberFormat="1" applyFont="1" applyFill="1" applyAlignment="1">
      <alignment horizontal="center"/>
    </xf>
    <xf numFmtId="1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4" fontId="0" fillId="0" borderId="0" xfId="2" applyNumberFormat="1" applyFont="1" applyAlignment="1">
      <alignment horizontal="center"/>
    </xf>
    <xf numFmtId="10" fontId="3" fillId="0" borderId="2" xfId="0" applyNumberFormat="1" applyFont="1" applyBorder="1" applyAlignment="1">
      <alignment horizontal="center" vertical="center" wrapText="1"/>
    </xf>
    <xf numFmtId="10" fontId="3" fillId="0" borderId="3" xfId="0" applyNumberFormat="1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4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0" fillId="3" borderId="0" xfId="0" applyFill="1"/>
    <xf numFmtId="0" fontId="0" fillId="2" borderId="4" xfId="0" applyFill="1" applyBorder="1" applyAlignment="1">
      <alignment horizontal="center"/>
    </xf>
    <xf numFmtId="4" fontId="0" fillId="2" borderId="0" xfId="0" applyNumberFormat="1" applyFill="1" applyAlignment="1">
      <alignment horizontal="center"/>
    </xf>
    <xf numFmtId="14" fontId="0" fillId="2" borderId="0" xfId="0" applyNumberFormat="1" applyFill="1" applyAlignment="1">
      <alignment horizontal="center"/>
    </xf>
    <xf numFmtId="165" fontId="0" fillId="0" borderId="0" xfId="0" applyNumberFormat="1"/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4" fontId="6" fillId="0" borderId="6" xfId="0" applyNumberFormat="1" applyFont="1" applyBorder="1" applyAlignment="1">
      <alignment horizontal="center" vertical="center" wrapText="1"/>
    </xf>
    <xf numFmtId="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4" fontId="0" fillId="5" borderId="0" xfId="0" applyNumberFormat="1" applyFill="1" applyAlignment="1">
      <alignment horizontal="center"/>
    </xf>
    <xf numFmtId="10" fontId="8" fillId="0" borderId="3" xfId="0" applyNumberFormat="1" applyFont="1" applyBorder="1" applyAlignment="1">
      <alignment horizontal="center" vertical="center" wrapText="1"/>
    </xf>
    <xf numFmtId="4" fontId="9" fillId="0" borderId="0" xfId="0" applyNumberFormat="1" applyFont="1" applyAlignment="1">
      <alignment horizontal="center"/>
    </xf>
    <xf numFmtId="2" fontId="0" fillId="0" borderId="0" xfId="0" applyNumberFormat="1"/>
    <xf numFmtId="0" fontId="9" fillId="0" borderId="0" xfId="0" applyFont="1" applyAlignment="1">
      <alignment horizontal="center"/>
    </xf>
    <xf numFmtId="4" fontId="0" fillId="5" borderId="0" xfId="1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7" fontId="0" fillId="2" borderId="0" xfId="0" applyNumberFormat="1" applyFill="1" applyAlignment="1">
      <alignment horizontal="center"/>
    </xf>
    <xf numFmtId="0" fontId="0" fillId="2" borderId="0" xfId="0" applyFill="1"/>
    <xf numFmtId="2" fontId="0" fillId="2" borderId="0" xfId="0" applyNumberFormat="1" applyFill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BB5B-4BCA-44DF-A913-9D1A394C70B0}">
  <dimension ref="A1:L78"/>
  <sheetViews>
    <sheetView tabSelected="1" workbookViewId="0">
      <pane ySplit="1" topLeftCell="A13" activePane="bottomLeft" state="frozen"/>
      <selection pane="bottomLeft" activeCell="H43" sqref="H43"/>
    </sheetView>
  </sheetViews>
  <sheetFormatPr baseColWidth="10" defaultRowHeight="15" x14ac:dyDescent="0.25"/>
  <cols>
    <col min="1" max="1" width="18.42578125" style="4" customWidth="1"/>
    <col min="2" max="3" width="8.85546875" style="4" customWidth="1"/>
    <col min="4" max="4" width="11.42578125" style="4"/>
    <col min="5" max="5" width="11.42578125" style="8"/>
    <col min="6" max="6" width="12.85546875" style="8" bestFit="1" customWidth="1"/>
    <col min="7" max="8" width="11.42578125" style="5"/>
    <col min="9" max="9" width="11.42578125" style="4"/>
    <col min="10" max="10" width="150.85546875" style="4" bestFit="1" customWidth="1"/>
  </cols>
  <sheetData>
    <row r="1" spans="1:10" x14ac:dyDescent="0.25">
      <c r="A1" s="1" t="s">
        <v>3</v>
      </c>
      <c r="B1" s="1" t="s">
        <v>2</v>
      </c>
      <c r="C1" s="1" t="s">
        <v>4</v>
      </c>
      <c r="D1" s="2" t="s">
        <v>5</v>
      </c>
      <c r="E1" s="2" t="s">
        <v>66</v>
      </c>
      <c r="F1" s="2" t="s">
        <v>6</v>
      </c>
      <c r="G1" s="6" t="s">
        <v>7</v>
      </c>
      <c r="H1" s="6" t="s">
        <v>53</v>
      </c>
      <c r="I1" s="2" t="s">
        <v>8</v>
      </c>
      <c r="J1" s="2" t="s">
        <v>0</v>
      </c>
    </row>
    <row r="2" spans="1:10" s="4" customFormat="1" x14ac:dyDescent="0.25">
      <c r="A2" s="4" t="s">
        <v>68</v>
      </c>
      <c r="B2" s="3">
        <v>45962</v>
      </c>
      <c r="C2" s="3">
        <v>46327</v>
      </c>
      <c r="D2" s="4">
        <v>1</v>
      </c>
      <c r="E2" s="8">
        <v>1320</v>
      </c>
      <c r="F2" s="8">
        <v>9298.08</v>
      </c>
      <c r="G2" s="5">
        <v>45987</v>
      </c>
      <c r="I2" s="4" t="s">
        <v>9</v>
      </c>
      <c r="J2" t="s">
        <v>69</v>
      </c>
    </row>
    <row r="3" spans="1:10" x14ac:dyDescent="0.25">
      <c r="A3" s="4" t="s">
        <v>10</v>
      </c>
      <c r="B3" s="3">
        <v>45992</v>
      </c>
      <c r="C3" s="3">
        <v>46357</v>
      </c>
      <c r="D3" s="4">
        <v>1</v>
      </c>
      <c r="E3" s="8">
        <v>1000</v>
      </c>
      <c r="F3" s="8">
        <v>11040</v>
      </c>
      <c r="G3" s="5">
        <v>46036</v>
      </c>
      <c r="H3" s="4"/>
      <c r="I3" s="4" t="s">
        <v>9</v>
      </c>
      <c r="J3" t="s">
        <v>74</v>
      </c>
    </row>
    <row r="4" spans="1:10" x14ac:dyDescent="0.25">
      <c r="A4" s="4" t="s">
        <v>68</v>
      </c>
      <c r="B4" s="3">
        <v>46023</v>
      </c>
      <c r="C4" s="3">
        <v>46388</v>
      </c>
      <c r="D4" s="4">
        <v>2</v>
      </c>
      <c r="E4" s="8">
        <v>1320</v>
      </c>
      <c r="F4" s="8">
        <v>9467.0400000000009</v>
      </c>
      <c r="G4" s="5">
        <v>46036</v>
      </c>
      <c r="H4" s="4"/>
      <c r="I4" s="4" t="s">
        <v>9</v>
      </c>
      <c r="J4" t="s">
        <v>69</v>
      </c>
    </row>
    <row r="5" spans="1:10" x14ac:dyDescent="0.25">
      <c r="A5" s="4" t="s">
        <v>70</v>
      </c>
      <c r="B5" s="3">
        <v>46023</v>
      </c>
      <c r="C5" s="3">
        <v>46388</v>
      </c>
      <c r="D5" s="4">
        <v>1</v>
      </c>
      <c r="E5" s="8">
        <v>1687.06</v>
      </c>
      <c r="F5" s="40">
        <v>11906.241620000001</v>
      </c>
      <c r="G5" s="5">
        <v>46038</v>
      </c>
      <c r="H5" s="4"/>
      <c r="I5" s="4" t="s">
        <v>9</v>
      </c>
      <c r="J5" t="s">
        <v>71</v>
      </c>
    </row>
    <row r="6" spans="1:10" x14ac:dyDescent="0.25">
      <c r="A6" s="4" t="s">
        <v>11</v>
      </c>
      <c r="B6" s="3">
        <v>46023</v>
      </c>
      <c r="C6" s="3">
        <v>46388</v>
      </c>
      <c r="D6" s="4">
        <v>1</v>
      </c>
      <c r="E6" s="8">
        <v>1000</v>
      </c>
      <c r="F6" s="8">
        <v>5850</v>
      </c>
      <c r="G6" s="5">
        <v>46038</v>
      </c>
      <c r="H6" s="4"/>
      <c r="I6" s="4" t="s">
        <v>9</v>
      </c>
      <c r="J6" t="s">
        <v>75</v>
      </c>
    </row>
    <row r="7" spans="1:10" x14ac:dyDescent="0.25">
      <c r="A7" s="4" t="s">
        <v>65</v>
      </c>
      <c r="B7" s="3">
        <v>46023</v>
      </c>
      <c r="C7" s="3">
        <v>46204</v>
      </c>
      <c r="D7" s="4">
        <v>1</v>
      </c>
      <c r="E7" s="8">
        <v>944.8</v>
      </c>
      <c r="F7" s="39">
        <v>4281.8335999999999</v>
      </c>
      <c r="G7" s="5">
        <v>46044</v>
      </c>
      <c r="H7" s="4"/>
      <c r="I7" s="4" t="s">
        <v>9</v>
      </c>
      <c r="J7" t="s">
        <v>67</v>
      </c>
    </row>
    <row r="8" spans="1:10" x14ac:dyDescent="0.25">
      <c r="A8" s="4" t="s">
        <v>10</v>
      </c>
      <c r="B8" s="3">
        <v>46054</v>
      </c>
      <c r="C8" s="3">
        <v>46419</v>
      </c>
      <c r="D8" s="4">
        <v>2</v>
      </c>
      <c r="E8" s="8">
        <v>1000</v>
      </c>
      <c r="F8" s="8">
        <v>11058</v>
      </c>
      <c r="G8" s="5">
        <v>46055</v>
      </c>
      <c r="H8" s="4"/>
      <c r="I8" s="4" t="s">
        <v>9</v>
      </c>
      <c r="J8" t="s">
        <v>74</v>
      </c>
    </row>
    <row r="9" spans="1:10" x14ac:dyDescent="0.25">
      <c r="A9" s="4" t="s">
        <v>1</v>
      </c>
      <c r="B9" s="3">
        <v>46054</v>
      </c>
      <c r="C9" s="3">
        <v>46419</v>
      </c>
      <c r="D9" s="4">
        <v>1</v>
      </c>
      <c r="E9" s="8">
        <v>1000</v>
      </c>
      <c r="F9" s="8">
        <v>1042</v>
      </c>
      <c r="G9" s="5">
        <v>46060</v>
      </c>
      <c r="H9" s="4"/>
      <c r="I9" s="4" t="s">
        <v>9</v>
      </c>
      <c r="J9" t="s">
        <v>61</v>
      </c>
    </row>
    <row r="10" spans="1:10" x14ac:dyDescent="0.25">
      <c r="A10" s="4" t="s">
        <v>62</v>
      </c>
      <c r="B10" s="3">
        <v>46054</v>
      </c>
      <c r="C10" s="3">
        <v>46419</v>
      </c>
      <c r="D10" s="4">
        <v>1</v>
      </c>
      <c r="E10" s="8">
        <v>1680</v>
      </c>
      <c r="F10" s="8">
        <v>21119.279999999999</v>
      </c>
      <c r="G10" s="5">
        <v>46073</v>
      </c>
      <c r="H10" s="4"/>
      <c r="I10" s="4" t="s">
        <v>63</v>
      </c>
      <c r="J10" t="s">
        <v>64</v>
      </c>
    </row>
    <row r="11" spans="1:10" x14ac:dyDescent="0.25">
      <c r="A11" s="4" t="s">
        <v>73</v>
      </c>
      <c r="B11" s="3">
        <v>46082</v>
      </c>
      <c r="C11" s="3">
        <v>46447</v>
      </c>
      <c r="D11" s="4">
        <v>2</v>
      </c>
      <c r="E11" s="8">
        <v>1000</v>
      </c>
      <c r="F11" s="8">
        <v>9322</v>
      </c>
      <c r="G11" s="5">
        <v>46083</v>
      </c>
      <c r="H11" s="4"/>
      <c r="I11" s="4" t="s">
        <v>9</v>
      </c>
      <c r="J11" t="s">
        <v>72</v>
      </c>
    </row>
    <row r="12" spans="1:10" x14ac:dyDescent="0.25">
      <c r="A12" s="4" t="s">
        <v>10</v>
      </c>
      <c r="B12" s="3">
        <v>46082</v>
      </c>
      <c r="C12" s="3">
        <v>46447</v>
      </c>
      <c r="D12" s="4">
        <v>3</v>
      </c>
      <c r="E12" s="8">
        <v>1000</v>
      </c>
      <c r="F12" s="8">
        <v>5611</v>
      </c>
      <c r="G12" s="5">
        <v>46085</v>
      </c>
      <c r="H12" s="4"/>
      <c r="I12" s="4" t="s">
        <v>9</v>
      </c>
      <c r="J12" t="s">
        <v>74</v>
      </c>
    </row>
    <row r="13" spans="1:10" x14ac:dyDescent="0.25">
      <c r="A13" s="4" t="s">
        <v>1</v>
      </c>
      <c r="B13" s="3">
        <v>46082</v>
      </c>
      <c r="C13" s="3">
        <v>46447</v>
      </c>
      <c r="D13" s="4">
        <v>2</v>
      </c>
      <c r="E13" s="8">
        <v>1000</v>
      </c>
      <c r="F13" s="8">
        <v>1042</v>
      </c>
      <c r="G13" s="5">
        <v>46086</v>
      </c>
      <c r="H13" s="4"/>
      <c r="I13" s="4" t="s">
        <v>9</v>
      </c>
      <c r="J13" t="s">
        <v>61</v>
      </c>
    </row>
    <row r="14" spans="1:10" x14ac:dyDescent="0.25">
      <c r="A14" s="4" t="s">
        <v>70</v>
      </c>
      <c r="B14" s="3">
        <v>46082</v>
      </c>
      <c r="C14" s="3">
        <v>46447</v>
      </c>
      <c r="D14" s="4">
        <v>2</v>
      </c>
      <c r="E14" s="8">
        <v>1687.06</v>
      </c>
      <c r="F14" s="40">
        <v>11906.241620000001</v>
      </c>
      <c r="G14" s="5">
        <v>46094</v>
      </c>
      <c r="H14" s="4"/>
      <c r="I14" s="4" t="s">
        <v>9</v>
      </c>
      <c r="J14" t="s">
        <v>71</v>
      </c>
    </row>
    <row r="15" spans="1:10" x14ac:dyDescent="0.25">
      <c r="A15" s="4" t="s">
        <v>59</v>
      </c>
      <c r="B15" s="3">
        <v>46082</v>
      </c>
      <c r="C15" s="3">
        <v>46447</v>
      </c>
      <c r="D15" s="4">
        <v>1</v>
      </c>
      <c r="E15" s="8">
        <v>951.46</v>
      </c>
      <c r="F15" s="8">
        <v>3018.04</v>
      </c>
      <c r="G15" s="5">
        <v>46097</v>
      </c>
      <c r="H15" s="4"/>
      <c r="I15" s="4" t="s">
        <v>9</v>
      </c>
      <c r="J15" t="s">
        <v>60</v>
      </c>
    </row>
    <row r="16" spans="1:10" x14ac:dyDescent="0.25">
      <c r="A16" s="4" t="s">
        <v>68</v>
      </c>
      <c r="B16" s="3">
        <v>46082</v>
      </c>
      <c r="C16" s="3">
        <v>46447</v>
      </c>
      <c r="D16" s="4">
        <v>2</v>
      </c>
      <c r="E16" s="8">
        <v>1320</v>
      </c>
      <c r="F16" s="8">
        <v>9467.0400000000009</v>
      </c>
      <c r="G16" s="5">
        <v>46097</v>
      </c>
      <c r="H16" s="4"/>
      <c r="I16" s="4" t="s">
        <v>9</v>
      </c>
      <c r="J16" t="s">
        <v>69</v>
      </c>
    </row>
    <row r="17" spans="1:11" x14ac:dyDescent="0.25">
      <c r="A17" s="4" t="s">
        <v>11</v>
      </c>
      <c r="B17" s="3">
        <v>46082</v>
      </c>
      <c r="C17" s="3">
        <v>46447</v>
      </c>
      <c r="D17" s="4">
        <v>2</v>
      </c>
      <c r="E17" s="8">
        <v>1000</v>
      </c>
      <c r="F17" s="8">
        <v>6046</v>
      </c>
      <c r="G17" s="5">
        <v>46097</v>
      </c>
      <c r="H17" s="4"/>
      <c r="I17" s="4" t="s">
        <v>9</v>
      </c>
      <c r="J17" t="s">
        <v>75</v>
      </c>
    </row>
    <row r="18" spans="1:11" x14ac:dyDescent="0.25">
      <c r="A18" s="4" t="s">
        <v>65</v>
      </c>
      <c r="B18" s="3">
        <v>46082</v>
      </c>
      <c r="C18" s="3">
        <v>46266</v>
      </c>
      <c r="D18" s="4">
        <v>2</v>
      </c>
      <c r="E18" s="8">
        <v>944.8</v>
      </c>
      <c r="F18" s="39">
        <v>4281.8335999999999</v>
      </c>
      <c r="G18" s="5">
        <v>46100</v>
      </c>
      <c r="H18" s="4"/>
      <c r="I18" s="4" t="s">
        <v>9</v>
      </c>
      <c r="J18" t="s">
        <v>67</v>
      </c>
    </row>
    <row r="19" spans="1:11" x14ac:dyDescent="0.25">
      <c r="A19" s="4" t="s">
        <v>62</v>
      </c>
      <c r="B19" s="3">
        <v>46082</v>
      </c>
      <c r="C19" s="3">
        <v>46447</v>
      </c>
      <c r="D19" s="4">
        <v>2</v>
      </c>
      <c r="E19" s="8">
        <v>1680</v>
      </c>
      <c r="F19" s="8">
        <v>21119.279999999999</v>
      </c>
      <c r="G19" s="5">
        <v>46101</v>
      </c>
      <c r="H19" s="4"/>
      <c r="I19" s="4" t="s">
        <v>63</v>
      </c>
      <c r="J19" t="s">
        <v>64</v>
      </c>
    </row>
    <row r="20" spans="1:11" x14ac:dyDescent="0.25">
      <c r="A20" s="4" t="s">
        <v>10</v>
      </c>
      <c r="B20" s="3">
        <v>46113</v>
      </c>
      <c r="C20" s="3">
        <v>46478</v>
      </c>
      <c r="D20" s="4">
        <v>4</v>
      </c>
      <c r="E20" s="8">
        <v>1000</v>
      </c>
      <c r="F20" s="8">
        <v>5840</v>
      </c>
      <c r="G20" s="5">
        <v>46115</v>
      </c>
      <c r="H20" s="4"/>
      <c r="I20" s="4" t="s">
        <v>9</v>
      </c>
      <c r="J20" t="s">
        <v>74</v>
      </c>
    </row>
    <row r="21" spans="1:11" x14ac:dyDescent="0.25">
      <c r="A21" s="4" t="s">
        <v>59</v>
      </c>
      <c r="B21" s="3">
        <v>46113</v>
      </c>
      <c r="C21" s="3">
        <v>46478</v>
      </c>
      <c r="D21" s="4">
        <v>2</v>
      </c>
      <c r="E21" s="8">
        <v>951.46</v>
      </c>
      <c r="F21" s="8">
        <v>3018.04</v>
      </c>
      <c r="G21" s="5">
        <v>46129</v>
      </c>
      <c r="H21" s="4"/>
      <c r="I21" s="4" t="s">
        <v>9</v>
      </c>
      <c r="J21" t="s">
        <v>60</v>
      </c>
    </row>
    <row r="22" spans="1:11" x14ac:dyDescent="0.25">
      <c r="A22" s="4" t="s">
        <v>73</v>
      </c>
      <c r="B22" s="3">
        <v>46113</v>
      </c>
      <c r="C22" s="3">
        <v>46478</v>
      </c>
      <c r="D22" s="4">
        <v>3</v>
      </c>
      <c r="E22" s="8">
        <v>1000</v>
      </c>
      <c r="F22" s="8">
        <v>9139</v>
      </c>
      <c r="G22" s="5">
        <v>46129</v>
      </c>
      <c r="H22" s="4"/>
      <c r="I22" s="4" t="s">
        <v>9</v>
      </c>
      <c r="J22" t="s">
        <v>72</v>
      </c>
    </row>
    <row r="23" spans="1:11" x14ac:dyDescent="0.25">
      <c r="A23" s="4" t="s">
        <v>10</v>
      </c>
      <c r="B23" s="3">
        <v>46143</v>
      </c>
      <c r="C23" s="3">
        <v>46508</v>
      </c>
      <c r="D23" s="4">
        <v>5</v>
      </c>
      <c r="E23" s="8">
        <v>1000</v>
      </c>
      <c r="F23" s="8">
        <v>5611</v>
      </c>
      <c r="G23" s="5">
        <v>46146</v>
      </c>
      <c r="H23" s="4"/>
      <c r="I23" s="4" t="s">
        <v>9</v>
      </c>
      <c r="J23" t="s">
        <v>74</v>
      </c>
    </row>
    <row r="24" spans="1:11" x14ac:dyDescent="0.25">
      <c r="A24" s="4" t="s">
        <v>68</v>
      </c>
      <c r="B24" s="3">
        <v>46143</v>
      </c>
      <c r="C24" s="3">
        <v>46508</v>
      </c>
      <c r="D24" s="4">
        <v>4</v>
      </c>
      <c r="E24" s="8">
        <v>1320</v>
      </c>
      <c r="F24" s="8">
        <v>9298.08</v>
      </c>
      <c r="G24" s="5">
        <v>46150</v>
      </c>
      <c r="H24" s="4"/>
      <c r="I24" s="4" t="s">
        <v>9</v>
      </c>
      <c r="J24" t="s">
        <v>69</v>
      </c>
    </row>
    <row r="25" spans="1:11" x14ac:dyDescent="0.25">
      <c r="A25" s="4" t="s">
        <v>11</v>
      </c>
      <c r="B25" s="3">
        <v>46143</v>
      </c>
      <c r="C25" s="3">
        <v>46508</v>
      </c>
      <c r="D25" s="4">
        <v>3</v>
      </c>
      <c r="E25" s="8">
        <v>1000</v>
      </c>
      <c r="F25" s="8">
        <v>6046</v>
      </c>
      <c r="G25" s="5">
        <v>46157</v>
      </c>
      <c r="I25" s="4" t="s">
        <v>9</v>
      </c>
      <c r="J25" t="s">
        <v>75</v>
      </c>
    </row>
    <row r="26" spans="1:11" x14ac:dyDescent="0.25">
      <c r="A26" s="4" t="s">
        <v>1</v>
      </c>
      <c r="B26" s="3">
        <v>46174</v>
      </c>
      <c r="C26" s="3">
        <v>46539</v>
      </c>
      <c r="D26" s="4">
        <v>3</v>
      </c>
      <c r="E26" s="8">
        <v>1000</v>
      </c>
      <c r="F26" s="8">
        <v>1016</v>
      </c>
      <c r="G26" s="5">
        <v>46174</v>
      </c>
      <c r="H26" s="4"/>
      <c r="I26" s="4" t="s">
        <v>9</v>
      </c>
      <c r="J26" t="s">
        <v>61</v>
      </c>
    </row>
    <row r="27" spans="1:11" x14ac:dyDescent="0.25">
      <c r="A27" s="4" t="s">
        <v>10</v>
      </c>
      <c r="B27" s="3">
        <v>46174</v>
      </c>
      <c r="C27" s="3">
        <v>46539</v>
      </c>
      <c r="D27" s="4">
        <v>6</v>
      </c>
      <c r="E27" s="8">
        <v>1000</v>
      </c>
      <c r="F27" s="8">
        <v>5840</v>
      </c>
      <c r="G27" s="5">
        <v>46174</v>
      </c>
      <c r="H27" s="4"/>
      <c r="I27" s="4" t="s">
        <v>9</v>
      </c>
      <c r="J27" t="s">
        <v>74</v>
      </c>
    </row>
    <row r="28" spans="1:11" x14ac:dyDescent="0.25">
      <c r="A28" s="4" t="s">
        <v>62</v>
      </c>
      <c r="B28" s="3">
        <v>46174</v>
      </c>
      <c r="C28" s="3">
        <v>46539</v>
      </c>
      <c r="D28" s="4">
        <v>3</v>
      </c>
      <c r="E28" s="8">
        <v>1680</v>
      </c>
      <c r="F28" s="8">
        <v>21119.279999999999</v>
      </c>
      <c r="G28" s="5">
        <v>46175</v>
      </c>
      <c r="H28" s="4"/>
      <c r="I28" s="4" t="s">
        <v>9</v>
      </c>
      <c r="J28" t="s">
        <v>64</v>
      </c>
    </row>
    <row r="29" spans="1:11" x14ac:dyDescent="0.25">
      <c r="A29" s="4" t="s">
        <v>70</v>
      </c>
      <c r="B29" s="3">
        <v>46174</v>
      </c>
      <c r="C29" s="3">
        <v>46539</v>
      </c>
      <c r="D29" s="4">
        <v>3</v>
      </c>
      <c r="E29" s="8">
        <v>1867.06</v>
      </c>
      <c r="F29" s="8">
        <v>11906.24</v>
      </c>
      <c r="G29" s="5">
        <v>46179</v>
      </c>
      <c r="H29" s="4"/>
      <c r="I29" s="4" t="s">
        <v>9</v>
      </c>
      <c r="J29" t="s">
        <v>71</v>
      </c>
      <c r="K29" t="s">
        <v>87</v>
      </c>
    </row>
    <row r="30" spans="1:11" x14ac:dyDescent="0.25">
      <c r="A30" s="4" t="s">
        <v>59</v>
      </c>
      <c r="B30" s="3">
        <v>46174</v>
      </c>
      <c r="C30" s="3">
        <v>46539</v>
      </c>
      <c r="D30" s="4">
        <v>4</v>
      </c>
      <c r="E30" s="8">
        <v>951.46</v>
      </c>
      <c r="F30" s="8">
        <v>3018.9825799999999</v>
      </c>
      <c r="G30" s="5">
        <v>46188</v>
      </c>
      <c r="H30" s="4"/>
      <c r="I30" s="4" t="s">
        <v>9</v>
      </c>
      <c r="J30" t="s">
        <v>60</v>
      </c>
      <c r="K30" t="s">
        <v>86</v>
      </c>
    </row>
    <row r="31" spans="1:11" x14ac:dyDescent="0.25">
      <c r="A31" s="4" t="s">
        <v>68</v>
      </c>
      <c r="B31" s="3">
        <v>46204</v>
      </c>
      <c r="C31" s="3">
        <v>46569</v>
      </c>
      <c r="D31" s="4">
        <v>5</v>
      </c>
      <c r="E31" s="8">
        <v>1320</v>
      </c>
      <c r="F31" s="8">
        <v>9298.08</v>
      </c>
      <c r="G31" s="5">
        <v>46214</v>
      </c>
      <c r="H31" s="4"/>
      <c r="I31" s="4" t="s">
        <v>9</v>
      </c>
      <c r="J31" t="s">
        <v>69</v>
      </c>
      <c r="K31" t="s">
        <v>88</v>
      </c>
    </row>
    <row r="32" spans="1:11" x14ac:dyDescent="0.25">
      <c r="A32" s="4" t="s">
        <v>59</v>
      </c>
      <c r="B32" s="3">
        <v>46204</v>
      </c>
      <c r="C32" s="3">
        <v>46569</v>
      </c>
      <c r="D32" s="4">
        <v>5</v>
      </c>
      <c r="E32" s="8">
        <v>951.46</v>
      </c>
      <c r="F32" s="8">
        <v>3018.9825799999999</v>
      </c>
      <c r="G32" s="5">
        <v>46218</v>
      </c>
      <c r="H32" s="4"/>
      <c r="I32" s="4" t="s">
        <v>9</v>
      </c>
      <c r="J32" t="s">
        <v>60</v>
      </c>
      <c r="K32" t="s">
        <v>89</v>
      </c>
    </row>
    <row r="33" spans="1:12" x14ac:dyDescent="0.25">
      <c r="A33" s="4" t="s">
        <v>65</v>
      </c>
      <c r="B33" s="3">
        <v>46204</v>
      </c>
      <c r="C33" s="3">
        <v>46388</v>
      </c>
      <c r="D33" s="4">
        <v>4</v>
      </c>
      <c r="E33" s="8">
        <v>944.8</v>
      </c>
      <c r="F33" s="8">
        <v>4281.8335999999999</v>
      </c>
      <c r="G33" s="5">
        <v>46218</v>
      </c>
      <c r="H33" s="4"/>
      <c r="I33" s="4" t="s">
        <v>9</v>
      </c>
      <c r="J33" t="s">
        <v>67</v>
      </c>
      <c r="K33" t="s">
        <v>90</v>
      </c>
    </row>
    <row r="34" spans="1:12" s="53" customFormat="1" x14ac:dyDescent="0.25">
      <c r="A34" s="51" t="s">
        <v>62</v>
      </c>
      <c r="B34" s="52">
        <v>46174</v>
      </c>
      <c r="C34" s="52">
        <v>46539</v>
      </c>
      <c r="D34" s="51">
        <v>3</v>
      </c>
      <c r="E34" s="36">
        <v>1680</v>
      </c>
      <c r="F34" s="36">
        <v>21119.279999999999</v>
      </c>
      <c r="G34" s="37">
        <v>46192</v>
      </c>
      <c r="H34" s="51"/>
      <c r="I34" s="51" t="s">
        <v>9</v>
      </c>
      <c r="J34" s="53" t="s">
        <v>64</v>
      </c>
      <c r="K34" s="53" t="s">
        <v>93</v>
      </c>
    </row>
    <row r="35" spans="1:12" s="53" customFormat="1" x14ac:dyDescent="0.25">
      <c r="A35" s="51" t="s">
        <v>73</v>
      </c>
      <c r="B35" s="52">
        <v>46174</v>
      </c>
      <c r="C35" s="52">
        <v>46539</v>
      </c>
      <c r="D35" s="51">
        <v>4</v>
      </c>
      <c r="E35" s="36">
        <v>1000</v>
      </c>
      <c r="F35" s="36">
        <v>9294</v>
      </c>
      <c r="G35" s="37">
        <v>46197</v>
      </c>
      <c r="H35" s="51"/>
      <c r="I35" s="51" t="s">
        <v>9</v>
      </c>
      <c r="J35" s="53" t="s">
        <v>72</v>
      </c>
      <c r="L35" s="53" t="s">
        <v>98</v>
      </c>
    </row>
    <row r="36" spans="1:12" s="53" customFormat="1" x14ac:dyDescent="0.25">
      <c r="A36" s="51" t="s">
        <v>11</v>
      </c>
      <c r="B36" s="52">
        <v>46204</v>
      </c>
      <c r="C36" s="52">
        <v>46569</v>
      </c>
      <c r="D36" s="51">
        <v>4</v>
      </c>
      <c r="E36" s="36">
        <v>1000</v>
      </c>
      <c r="F36" s="36">
        <v>6046</v>
      </c>
      <c r="G36" s="37">
        <v>46216</v>
      </c>
      <c r="H36" s="37"/>
      <c r="I36" s="51" t="s">
        <v>9</v>
      </c>
      <c r="J36" s="53" t="s">
        <v>75</v>
      </c>
      <c r="K36" s="53" t="s">
        <v>96</v>
      </c>
    </row>
    <row r="37" spans="1:12" s="53" customFormat="1" x14ac:dyDescent="0.25">
      <c r="A37" s="51" t="s">
        <v>59</v>
      </c>
      <c r="B37" s="52">
        <v>46235</v>
      </c>
      <c r="C37" s="52">
        <v>46600</v>
      </c>
      <c r="D37" s="51">
        <v>7</v>
      </c>
      <c r="E37" s="36">
        <v>1185.1199999999999</v>
      </c>
      <c r="F37" s="36">
        <v>3759.21</v>
      </c>
      <c r="G37" s="37">
        <v>46235</v>
      </c>
      <c r="H37" s="51"/>
      <c r="I37" s="51" t="s">
        <v>9</v>
      </c>
      <c r="J37" s="53" t="s">
        <v>60</v>
      </c>
      <c r="K37" s="53" t="s">
        <v>92</v>
      </c>
    </row>
    <row r="38" spans="1:12" s="53" customFormat="1" x14ac:dyDescent="0.25">
      <c r="A38" s="51" t="s">
        <v>10</v>
      </c>
      <c r="B38" s="52">
        <v>46235</v>
      </c>
      <c r="C38" s="52">
        <v>46600</v>
      </c>
      <c r="D38" s="51">
        <v>8</v>
      </c>
      <c r="E38" s="36">
        <v>1000</v>
      </c>
      <c r="F38" s="36">
        <v>5611</v>
      </c>
      <c r="G38" s="37">
        <v>46238</v>
      </c>
      <c r="H38" s="51"/>
      <c r="I38" s="51" t="s">
        <v>9</v>
      </c>
      <c r="J38" s="53" t="s">
        <v>74</v>
      </c>
      <c r="K38" s="53" t="s">
        <v>94</v>
      </c>
    </row>
    <row r="39" spans="1:12" s="53" customFormat="1" x14ac:dyDescent="0.25">
      <c r="A39" s="51" t="s">
        <v>11</v>
      </c>
      <c r="B39" s="52">
        <v>46235</v>
      </c>
      <c r="C39" s="52">
        <v>46600</v>
      </c>
      <c r="D39" s="51">
        <v>5</v>
      </c>
      <c r="E39" s="36">
        <v>1000</v>
      </c>
      <c r="F39" s="36">
        <v>13579</v>
      </c>
      <c r="G39" s="37">
        <v>46248</v>
      </c>
      <c r="H39" s="37"/>
      <c r="I39" s="51" t="s">
        <v>9</v>
      </c>
      <c r="J39" s="53" t="s">
        <v>75</v>
      </c>
      <c r="K39" s="53" t="s">
        <v>97</v>
      </c>
    </row>
    <row r="40" spans="1:12" s="53" customFormat="1" x14ac:dyDescent="0.25">
      <c r="A40" s="51" t="s">
        <v>68</v>
      </c>
      <c r="B40" s="52">
        <v>46235</v>
      </c>
      <c r="C40" s="52">
        <v>46600</v>
      </c>
      <c r="D40" s="51">
        <v>6</v>
      </c>
      <c r="E40" s="36">
        <v>1.06</v>
      </c>
      <c r="F40" s="36">
        <v>3743.92</v>
      </c>
      <c r="G40" s="37">
        <v>46249</v>
      </c>
      <c r="H40" s="51"/>
      <c r="I40" s="51" t="s">
        <v>9</v>
      </c>
      <c r="J40" s="53" t="s">
        <v>69</v>
      </c>
      <c r="K40" s="53" t="s">
        <v>95</v>
      </c>
    </row>
    <row r="41" spans="1:12" s="53" customFormat="1" x14ac:dyDescent="0.25">
      <c r="A41" s="51" t="s">
        <v>59</v>
      </c>
      <c r="B41" s="52">
        <v>46235</v>
      </c>
      <c r="C41" s="52">
        <v>46600</v>
      </c>
      <c r="D41" s="51">
        <v>6</v>
      </c>
      <c r="E41" s="36">
        <v>951.46</v>
      </c>
      <c r="F41" s="36">
        <v>3018.9825799999999</v>
      </c>
      <c r="G41" s="37">
        <v>46251</v>
      </c>
      <c r="H41" s="51"/>
      <c r="I41" s="51" t="s">
        <v>9</v>
      </c>
      <c r="J41" s="53" t="s">
        <v>60</v>
      </c>
      <c r="K41" s="53" t="s">
        <v>91</v>
      </c>
    </row>
    <row r="42" spans="1:12" x14ac:dyDescent="0.25">
      <c r="H42" s="4"/>
      <c r="J42"/>
    </row>
    <row r="43" spans="1:12" x14ac:dyDescent="0.25">
      <c r="H43" s="4"/>
      <c r="J43"/>
    </row>
    <row r="44" spans="1:12" x14ac:dyDescent="0.25">
      <c r="H44" s="4"/>
      <c r="J44"/>
    </row>
    <row r="45" spans="1:12" x14ac:dyDescent="0.25">
      <c r="H45" s="4"/>
      <c r="J45"/>
    </row>
    <row r="46" spans="1:12" x14ac:dyDescent="0.25">
      <c r="H46" s="4"/>
      <c r="J46"/>
    </row>
    <row r="47" spans="1:12" x14ac:dyDescent="0.25">
      <c r="H47" s="4"/>
      <c r="J47"/>
    </row>
    <row r="48" spans="1:12" x14ac:dyDescent="0.25">
      <c r="H48" s="4"/>
      <c r="J48"/>
    </row>
    <row r="49" spans="8:10" x14ac:dyDescent="0.25">
      <c r="H49" s="4"/>
      <c r="J49"/>
    </row>
    <row r="50" spans="8:10" x14ac:dyDescent="0.25">
      <c r="H50" s="4"/>
      <c r="J50"/>
    </row>
    <row r="51" spans="8:10" x14ac:dyDescent="0.25">
      <c r="H51" s="4"/>
      <c r="J51"/>
    </row>
    <row r="52" spans="8:10" x14ac:dyDescent="0.25">
      <c r="H52" s="4"/>
      <c r="J52"/>
    </row>
    <row r="53" spans="8:10" x14ac:dyDescent="0.25">
      <c r="H53" s="4"/>
      <c r="J53"/>
    </row>
    <row r="54" spans="8:10" x14ac:dyDescent="0.25">
      <c r="H54" s="4"/>
      <c r="J54"/>
    </row>
    <row r="55" spans="8:10" x14ac:dyDescent="0.25">
      <c r="H55" s="4"/>
      <c r="J55"/>
    </row>
    <row r="56" spans="8:10" x14ac:dyDescent="0.25">
      <c r="H56" s="4"/>
      <c r="J56"/>
    </row>
    <row r="57" spans="8:10" x14ac:dyDescent="0.25">
      <c r="H57" s="4"/>
      <c r="J57"/>
    </row>
    <row r="58" spans="8:10" x14ac:dyDescent="0.25">
      <c r="H58" s="4"/>
      <c r="J58"/>
    </row>
    <row r="59" spans="8:10" x14ac:dyDescent="0.25">
      <c r="H59" s="4"/>
      <c r="J59"/>
    </row>
    <row r="60" spans="8:10" x14ac:dyDescent="0.25">
      <c r="H60" s="4"/>
      <c r="J60"/>
    </row>
    <row r="61" spans="8:10" x14ac:dyDescent="0.25">
      <c r="H61" s="4"/>
      <c r="J61"/>
    </row>
    <row r="62" spans="8:10" x14ac:dyDescent="0.25">
      <c r="H62" s="4"/>
      <c r="J62"/>
    </row>
    <row r="63" spans="8:10" x14ac:dyDescent="0.25">
      <c r="H63" s="4"/>
      <c r="J63"/>
    </row>
    <row r="64" spans="8:10" x14ac:dyDescent="0.25">
      <c r="H64" s="4"/>
      <c r="J64"/>
    </row>
    <row r="65" spans="8:10" x14ac:dyDescent="0.25">
      <c r="H65" s="4"/>
      <c r="J65"/>
    </row>
    <row r="66" spans="8:10" x14ac:dyDescent="0.25">
      <c r="H66" s="4"/>
      <c r="J66"/>
    </row>
    <row r="67" spans="8:10" x14ac:dyDescent="0.25">
      <c r="H67" s="4"/>
      <c r="J67"/>
    </row>
    <row r="68" spans="8:10" x14ac:dyDescent="0.25">
      <c r="H68" s="4"/>
      <c r="J68"/>
    </row>
    <row r="69" spans="8:10" x14ac:dyDescent="0.25">
      <c r="H69" s="4"/>
      <c r="J69"/>
    </row>
    <row r="70" spans="8:10" x14ac:dyDescent="0.25">
      <c r="H70" s="4"/>
      <c r="J70"/>
    </row>
    <row r="71" spans="8:10" x14ac:dyDescent="0.25">
      <c r="H71" s="4"/>
      <c r="J71"/>
    </row>
    <row r="72" spans="8:10" x14ac:dyDescent="0.25">
      <c r="H72" s="4"/>
      <c r="J72"/>
    </row>
    <row r="73" spans="8:10" x14ac:dyDescent="0.25">
      <c r="H73" s="4"/>
      <c r="J73"/>
    </row>
    <row r="74" spans="8:10" x14ac:dyDescent="0.25">
      <c r="H74" s="4"/>
      <c r="J74"/>
    </row>
    <row r="75" spans="8:10" x14ac:dyDescent="0.25">
      <c r="H75" s="4"/>
      <c r="J75"/>
    </row>
    <row r="76" spans="8:10" x14ac:dyDescent="0.25">
      <c r="H76" s="4"/>
      <c r="J76"/>
    </row>
    <row r="77" spans="8:10" x14ac:dyDescent="0.25">
      <c r="H77" s="4"/>
      <c r="J77"/>
    </row>
    <row r="78" spans="8:10" x14ac:dyDescent="0.25">
      <c r="H78" s="4"/>
      <c r="J78"/>
    </row>
  </sheetData>
  <autoFilter ref="A1:J78" xr:uid="{DB76BB5B-4BCA-44DF-A913-9D1A394C70B0}">
    <sortState xmlns:xlrd2="http://schemas.microsoft.com/office/spreadsheetml/2017/richdata2" ref="A2:J78">
      <sortCondition ref="G1:G7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9C34C-1E94-41EE-AE95-90AF7A1C33B6}">
  <dimension ref="A1:AA67"/>
  <sheetViews>
    <sheetView workbookViewId="0">
      <pane ySplit="1" topLeftCell="A26" activePane="bottomLeft" state="frozen"/>
      <selection pane="bottomLeft" activeCell="D45" sqref="D45"/>
    </sheetView>
  </sheetViews>
  <sheetFormatPr baseColWidth="10" defaultRowHeight="15" x14ac:dyDescent="0.25"/>
  <cols>
    <col min="1" max="1" width="18" style="4" bestFit="1" customWidth="1"/>
    <col min="2" max="2" width="13.140625" style="8" bestFit="1" customWidth="1"/>
    <col min="3" max="3" width="10.42578125" style="5" bestFit="1" customWidth="1"/>
    <col min="4" max="4" width="10.42578125" style="22" customWidth="1"/>
    <col min="5" max="5" width="9.5703125" style="8" customWidth="1"/>
    <col min="6" max="6" width="10.42578125" style="8" customWidth="1"/>
    <col min="7" max="7" width="9.42578125" style="8" customWidth="1"/>
    <col min="8" max="8" width="9.85546875" style="8" customWidth="1"/>
    <col min="9" max="9" width="10.140625" style="8" customWidth="1"/>
    <col min="10" max="11" width="9.85546875" style="8" customWidth="1"/>
    <col min="12" max="12" width="8.42578125" style="8" customWidth="1"/>
    <col min="13" max="13" width="8.140625" style="8" bestFit="1" customWidth="1"/>
    <col min="14" max="14" width="11.42578125" style="8"/>
    <col min="15" max="16" width="8.85546875" style="8" customWidth="1"/>
    <col min="17" max="17" width="14" style="8" customWidth="1"/>
    <col min="18" max="18" width="9.7109375" style="8" customWidth="1"/>
    <col min="19" max="19" width="11.42578125" style="8"/>
    <col min="20" max="20" width="10.28515625" style="8" customWidth="1"/>
    <col min="21" max="21" width="9" style="8" customWidth="1"/>
    <col min="22" max="22" width="10" style="8" customWidth="1"/>
    <col min="23" max="23" width="12" style="8" customWidth="1"/>
    <col min="24" max="24" width="9.140625" style="8" customWidth="1"/>
    <col min="25" max="25" width="9.5703125" style="8" customWidth="1"/>
    <col min="26" max="26" width="10" style="8" customWidth="1"/>
    <col min="27" max="27" width="10.85546875" style="8" customWidth="1"/>
  </cols>
  <sheetData>
    <row r="1" spans="1:27" s="19" customFormat="1" ht="54.75" customHeight="1" thickBot="1" x14ac:dyDescent="0.3">
      <c r="A1" s="14" t="s">
        <v>3</v>
      </c>
      <c r="B1" s="15" t="s">
        <v>6</v>
      </c>
      <c r="C1" s="16" t="s">
        <v>7</v>
      </c>
      <c r="D1" s="20" t="s">
        <v>20</v>
      </c>
      <c r="E1" s="15" t="s">
        <v>13</v>
      </c>
      <c r="F1" s="15" t="s">
        <v>14</v>
      </c>
      <c r="G1" s="15" t="s">
        <v>12</v>
      </c>
      <c r="H1" s="15" t="s">
        <v>15</v>
      </c>
      <c r="I1" s="15" t="s">
        <v>21</v>
      </c>
      <c r="J1" s="15" t="s">
        <v>23</v>
      </c>
      <c r="K1" s="15" t="s">
        <v>78</v>
      </c>
      <c r="L1" s="15" t="s">
        <v>30</v>
      </c>
      <c r="M1" s="15" t="s">
        <v>26</v>
      </c>
      <c r="N1" s="15" t="s">
        <v>80</v>
      </c>
      <c r="O1" s="15" t="s">
        <v>16</v>
      </c>
      <c r="P1" s="15" t="s">
        <v>82</v>
      </c>
      <c r="Q1" s="15" t="s">
        <v>83</v>
      </c>
      <c r="R1" s="15" t="s">
        <v>33</v>
      </c>
      <c r="S1" s="15" t="s">
        <v>79</v>
      </c>
      <c r="T1" s="15" t="s">
        <v>25</v>
      </c>
      <c r="U1" s="15" t="s">
        <v>27</v>
      </c>
      <c r="V1" s="15" t="s">
        <v>28</v>
      </c>
      <c r="W1" s="15" t="s">
        <v>29</v>
      </c>
      <c r="X1" s="17" t="s">
        <v>77</v>
      </c>
      <c r="Y1" s="17" t="s">
        <v>76</v>
      </c>
      <c r="Z1" s="15" t="s">
        <v>17</v>
      </c>
      <c r="AA1" s="18" t="s">
        <v>18</v>
      </c>
    </row>
    <row r="2" spans="1:27" x14ac:dyDescent="0.25">
      <c r="A2" s="13" t="str" cm="1">
        <f t="array" ref="A2:A41">General!A2:A41</f>
        <v>Sanchez Carrión</v>
      </c>
      <c r="B2" s="8" cm="1">
        <f t="array" ref="B2:C41">General!F2:G41</f>
        <v>9298.08</v>
      </c>
      <c r="C2" s="5">
        <v>45987</v>
      </c>
      <c r="D2" s="21">
        <f>B2*1/(1-Formula!$B$19)</f>
        <v>9307.3873873873872</v>
      </c>
      <c r="E2" s="8" cm="1">
        <f t="array" ref="E2:AA2">_xlfn._xlws.FILTER(Formula!$B$2:$X$12,Formula!$A$2:$A$12=A2,0)*D2</f>
        <v>583.57318918918918</v>
      </c>
      <c r="F2" s="8">
        <v>3807.6521801801805</v>
      </c>
      <c r="G2" s="8">
        <v>0</v>
      </c>
      <c r="H2" s="8">
        <v>1057.3192072072072</v>
      </c>
      <c r="I2" s="8">
        <v>740.86803603603607</v>
      </c>
      <c r="J2" s="8">
        <v>1057.3192072072072</v>
      </c>
      <c r="K2" s="8">
        <v>0</v>
      </c>
      <c r="L2" s="8">
        <v>1586.9095495495496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448.61607207207209</v>
      </c>
      <c r="AA2" s="8">
        <v>25.129945945945948</v>
      </c>
    </row>
    <row r="3" spans="1:27" x14ac:dyDescent="0.25">
      <c r="A3" s="13" t="str">
        <v>Olmos</v>
      </c>
      <c r="B3" s="8">
        <v>11040</v>
      </c>
      <c r="C3" s="5">
        <v>46036</v>
      </c>
      <c r="D3" s="21">
        <f>B3*1/(1-Formula!$B$19)</f>
        <v>11051.05105105105</v>
      </c>
      <c r="E3" s="8" cm="1">
        <f t="array" ref="E3:AA3">_xlfn._xlws.FILTER(Formula!$B$2:$X$12,Formula!$A$2:$A$12=A3,0)*D3</f>
        <v>2509.8473735790294</v>
      </c>
      <c r="F3" s="8">
        <v>3475.1732864940409</v>
      </c>
      <c r="G3" s="8">
        <v>2895.9777387450345</v>
      </c>
      <c r="H3" s="8">
        <v>579.19554774900678</v>
      </c>
      <c r="I3" s="8">
        <v>0</v>
      </c>
      <c r="J3" s="8">
        <v>0</v>
      </c>
      <c r="K3" s="8">
        <v>0</v>
      </c>
      <c r="L3" s="8">
        <v>0</v>
      </c>
      <c r="M3" s="8">
        <v>1158.3910954980136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409.29818707596479</v>
      </c>
      <c r="AA3" s="8">
        <v>23.167821909960271</v>
      </c>
    </row>
    <row r="4" spans="1:27" x14ac:dyDescent="0.25">
      <c r="A4" s="13" t="str">
        <v>Sanchez Carrión</v>
      </c>
      <c r="B4" s="8">
        <v>9467.0400000000009</v>
      </c>
      <c r="C4" s="5">
        <v>46036</v>
      </c>
      <c r="D4" s="21">
        <f>B4*1/(1-Formula!$B$19)</f>
        <v>9476.5165165165181</v>
      </c>
      <c r="E4" s="8" cm="1">
        <f t="array" ref="E4:AA4">_xlfn._xlws.FILTER(Formula!$B$2:$X$12,Formula!$A$2:$A$12=A4,0)*D4</f>
        <v>594.17758558558569</v>
      </c>
      <c r="F4" s="8">
        <v>3876.842906906908</v>
      </c>
      <c r="G4" s="8">
        <v>0</v>
      </c>
      <c r="H4" s="8">
        <v>1076.5322762762764</v>
      </c>
      <c r="I4" s="8">
        <v>754.33071471471487</v>
      </c>
      <c r="J4" s="8">
        <v>1076.5322762762764</v>
      </c>
      <c r="K4" s="8">
        <v>0</v>
      </c>
      <c r="L4" s="8">
        <v>1615.7460660660665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456.76809609609614</v>
      </c>
      <c r="AA4" s="8">
        <v>25.586594594594601</v>
      </c>
    </row>
    <row r="5" spans="1:27" x14ac:dyDescent="0.25">
      <c r="A5" s="13" t="str">
        <v>Hualgayoc</v>
      </c>
      <c r="B5" s="8">
        <v>11906.241620000001</v>
      </c>
      <c r="C5" s="5">
        <v>46038</v>
      </c>
      <c r="D5" s="21">
        <f>B5*1/(1-Formula!$B$19)</f>
        <v>11918.15977977978</v>
      </c>
      <c r="E5" s="8" cm="1">
        <f t="array" ref="E5:AA5">_xlfn._xlws.FILTER(Formula!$B$2:$X$12,Formula!$A$2:$A$12=A5,0)*D5</f>
        <v>1531.4835317017018</v>
      </c>
      <c r="F5" s="8">
        <v>2579.0897763443445</v>
      </c>
      <c r="G5" s="8">
        <v>3974.7062865565572</v>
      </c>
      <c r="H5" s="8">
        <v>107.26343801801802</v>
      </c>
      <c r="I5" s="8">
        <v>1504.0717642082084</v>
      </c>
      <c r="J5" s="8">
        <v>0</v>
      </c>
      <c r="K5" s="8">
        <v>0</v>
      </c>
      <c r="L5" s="8">
        <v>0</v>
      </c>
      <c r="M5" s="8">
        <v>1396.8083261901902</v>
      </c>
      <c r="N5" s="8">
        <v>171.62150082882883</v>
      </c>
      <c r="O5" s="8">
        <v>0</v>
      </c>
      <c r="P5" s="8">
        <v>0</v>
      </c>
      <c r="Q5" s="8">
        <v>0</v>
      </c>
      <c r="R5" s="8">
        <v>85.810750414414414</v>
      </c>
      <c r="S5" s="8">
        <v>85.810750414414414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455.27370358758759</v>
      </c>
      <c r="AA5" s="8">
        <v>26.219951515515518</v>
      </c>
    </row>
    <row r="6" spans="1:27" x14ac:dyDescent="0.25">
      <c r="A6" s="13" t="str">
        <v>Viru</v>
      </c>
      <c r="B6" s="8">
        <v>5850</v>
      </c>
      <c r="C6" s="5">
        <v>46038</v>
      </c>
      <c r="D6" s="21">
        <f>B6*1/(1-Formula!$B$19)</f>
        <v>5855.8558558558561</v>
      </c>
      <c r="E6" s="8" cm="1">
        <f t="array" ref="E6:AA6">_xlfn._xlws.FILTER(Formula!$B$2:$X$12,Formula!$A$2:$A$12=A6,0)*D6</f>
        <v>762.43243243243251</v>
      </c>
      <c r="F6" s="8">
        <v>1314.0540540540539</v>
      </c>
      <c r="G6" s="8">
        <v>2628.1081081081079</v>
      </c>
      <c r="H6" s="8">
        <v>0</v>
      </c>
      <c r="I6" s="8">
        <v>597.29729729729729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107.74774774774775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59.729729729729733</v>
      </c>
      <c r="V6" s="8">
        <v>59.729729729729733</v>
      </c>
      <c r="W6" s="8">
        <v>59.729729729729733</v>
      </c>
      <c r="X6" s="8">
        <v>0</v>
      </c>
      <c r="Y6" s="8">
        <v>0</v>
      </c>
      <c r="Z6" s="8">
        <v>252.972972972973</v>
      </c>
      <c r="AA6" s="8">
        <v>14.054054054054053</v>
      </c>
    </row>
    <row r="7" spans="1:27" x14ac:dyDescent="0.25">
      <c r="A7" s="13" t="str">
        <v>Florencia de Mora</v>
      </c>
      <c r="B7" s="8">
        <v>4281.8335999999999</v>
      </c>
      <c r="C7" s="5">
        <v>46044</v>
      </c>
      <c r="D7" s="21">
        <f>B7*1/(1-Formula!$B$19)</f>
        <v>4286.1197197197198</v>
      </c>
      <c r="E7" s="8" cm="1">
        <f t="array" ref="E7:AA7">_xlfn._xlws.FILTER(Formula!$B$2:$X$12,Formula!$A$2:$A$12=A7,0)*D7</f>
        <v>725.84584584584582</v>
      </c>
      <c r="F7" s="8">
        <v>1723.8838838838838</v>
      </c>
      <c r="G7" s="8">
        <v>1633.1531531531532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192.34914914914916</v>
      </c>
      <c r="AA7" s="8">
        <v>10.887687687687688</v>
      </c>
    </row>
    <row r="8" spans="1:27" x14ac:dyDescent="0.25">
      <c r="A8" s="13" t="str">
        <v>Olmos</v>
      </c>
      <c r="B8" s="8">
        <v>11058</v>
      </c>
      <c r="C8" s="5">
        <v>46055</v>
      </c>
      <c r="D8" s="21">
        <f>B8*1/(1-Formula!$B$19)</f>
        <v>11069.06906906907</v>
      </c>
      <c r="E8" s="8" cm="1">
        <f t="array" ref="E8:AA8">_xlfn._xlws.FILTER(Formula!$B$2:$X$12,Formula!$A$2:$A$12=A8,0)*D8</f>
        <v>2513.9395160359522</v>
      </c>
      <c r="F8" s="8">
        <v>3480.8393298959336</v>
      </c>
      <c r="G8" s="8">
        <v>2900.699441579945</v>
      </c>
      <c r="H8" s="8">
        <v>580.13988831598897</v>
      </c>
      <c r="I8" s="8">
        <v>0</v>
      </c>
      <c r="J8" s="8">
        <v>0</v>
      </c>
      <c r="K8" s="8">
        <v>0</v>
      </c>
      <c r="L8" s="8">
        <v>0</v>
      </c>
      <c r="M8" s="8">
        <v>1160.2797766319779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409.96552107663217</v>
      </c>
      <c r="AA8" s="8">
        <v>23.205595532639556</v>
      </c>
    </row>
    <row r="9" spans="1:27" x14ac:dyDescent="0.25">
      <c r="A9" s="13" t="str">
        <v>Cajatambo</v>
      </c>
      <c r="B9" s="8">
        <v>1042</v>
      </c>
      <c r="C9" s="5">
        <v>46060</v>
      </c>
      <c r="D9" s="21">
        <f>B9*1/(1-Formula!$B$19)</f>
        <v>1043.0430430430431</v>
      </c>
      <c r="E9" s="8" cm="1">
        <f t="array" ref="E9:AA9">_xlfn._xlws.FILTER(Formula!$B$2:$X$12,Formula!$A$2:$A$12=A9,0)*D9</f>
        <v>370.38458458458462</v>
      </c>
      <c r="F9" s="8">
        <v>123.49629629629631</v>
      </c>
      <c r="G9" s="8">
        <v>123.49629629629631</v>
      </c>
      <c r="H9" s="8">
        <v>0</v>
      </c>
      <c r="I9" s="8">
        <v>370.38458458458462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52.360760760760762</v>
      </c>
      <c r="AA9" s="8">
        <v>2.9205205205205207</v>
      </c>
    </row>
    <row r="10" spans="1:27" x14ac:dyDescent="0.25">
      <c r="A10" s="13" t="str">
        <v>Encañada</v>
      </c>
      <c r="B10" s="8">
        <v>21119.279999999999</v>
      </c>
      <c r="C10" s="5">
        <v>46073</v>
      </c>
      <c r="D10" s="21">
        <f>B10*1/(1-Formula!$B$19)</f>
        <v>21140.420420420418</v>
      </c>
      <c r="E10" s="8" cm="1">
        <f t="array" ref="E10:AA10">_xlfn._xlws.FILTER(Formula!$B$2:$X$12,Formula!$A$2:$A$12=A10,0)*D10</f>
        <v>4251.3385465465462</v>
      </c>
      <c r="F10" s="8">
        <v>4151.9785705705699</v>
      </c>
      <c r="G10" s="8">
        <v>9437.0836756756744</v>
      </c>
      <c r="H10" s="8">
        <v>0</v>
      </c>
      <c r="I10" s="8">
        <v>1133.1265345345344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378.41352552552547</v>
      </c>
      <c r="Q10" s="8">
        <v>942.86275075075071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801.22193393393388</v>
      </c>
      <c r="AA10" s="8">
        <v>44.394882882882875</v>
      </c>
    </row>
    <row r="11" spans="1:27" x14ac:dyDescent="0.25">
      <c r="A11" s="13" t="str">
        <v>Moyobamba</v>
      </c>
      <c r="B11" s="8">
        <v>9322</v>
      </c>
      <c r="C11" s="5">
        <v>46083</v>
      </c>
      <c r="D11" s="21">
        <f>B11*1/(1-Formula!$B$19)</f>
        <v>9331.331331331332</v>
      </c>
      <c r="E11" s="8" cm="1">
        <f t="array" ref="E11:AA11">_xlfn._xlws.FILTER(Formula!$B$2:$X$12,Formula!$A$2:$A$12=A11,0)*D11</f>
        <v>3277.8855497833601</v>
      </c>
      <c r="F11" s="8">
        <v>0</v>
      </c>
      <c r="G11" s="8">
        <v>0</v>
      </c>
      <c r="H11" s="8">
        <v>0</v>
      </c>
      <c r="I11" s="8">
        <v>0</v>
      </c>
      <c r="J11" s="8">
        <v>1064.2485551244674</v>
      </c>
      <c r="K11" s="8">
        <v>1106.8184973294462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2234.9219657613817</v>
      </c>
      <c r="U11" s="8">
        <v>0</v>
      </c>
      <c r="V11" s="8">
        <v>0</v>
      </c>
      <c r="W11" s="8">
        <v>0</v>
      </c>
      <c r="X11" s="8">
        <v>319.27456653734026</v>
      </c>
      <c r="Y11" s="8">
        <v>851.39884409957403</v>
      </c>
      <c r="Z11" s="8">
        <v>0</v>
      </c>
      <c r="AA11" s="8">
        <v>476.78335269576149</v>
      </c>
    </row>
    <row r="12" spans="1:27" x14ac:dyDescent="0.25">
      <c r="A12" s="13" t="str">
        <v>Olmos</v>
      </c>
      <c r="B12" s="8">
        <v>5611</v>
      </c>
      <c r="C12" s="5">
        <v>46085</v>
      </c>
      <c r="D12" s="21">
        <f>B12*1/(1-Formula!$B$19)</f>
        <v>5616.6166166166167</v>
      </c>
      <c r="E12" s="8" cm="1">
        <f t="array" ref="E12:AA12">_xlfn._xlws.FILTER(Formula!$B$2:$X$12,Formula!$A$2:$A$12=A12,0)*D12</f>
        <v>1275.6117403217334</v>
      </c>
      <c r="F12" s="8">
        <v>1766.2316404454768</v>
      </c>
      <c r="G12" s="8">
        <v>1471.8597003712309</v>
      </c>
      <c r="H12" s="8">
        <v>294.37194007424614</v>
      </c>
      <c r="I12" s="8">
        <v>0</v>
      </c>
      <c r="J12" s="8">
        <v>0</v>
      </c>
      <c r="K12" s="8">
        <v>0</v>
      </c>
      <c r="L12" s="8">
        <v>0</v>
      </c>
      <c r="M12" s="8">
        <v>588.74388014849228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208.02283765246727</v>
      </c>
      <c r="AA12" s="8">
        <v>11.774877602969845</v>
      </c>
    </row>
    <row r="13" spans="1:27" x14ac:dyDescent="0.25">
      <c r="A13" s="13" t="str">
        <v>Cajatambo</v>
      </c>
      <c r="B13" s="8">
        <v>1042</v>
      </c>
      <c r="C13" s="5">
        <v>46086</v>
      </c>
      <c r="D13" s="21">
        <f>B13*1/(1-Formula!$B$19)</f>
        <v>1043.0430430430431</v>
      </c>
      <c r="E13" s="8" cm="1">
        <f t="array" ref="E13:AA13">_xlfn._xlws.FILTER(Formula!$B$2:$X$12,Formula!$A$2:$A$12=A13,0)*D13</f>
        <v>370.38458458458462</v>
      </c>
      <c r="F13" s="8">
        <v>123.49629629629631</v>
      </c>
      <c r="G13" s="8">
        <v>123.49629629629631</v>
      </c>
      <c r="H13" s="8">
        <v>0</v>
      </c>
      <c r="I13" s="8">
        <v>370.38458458458462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52.360760760760762</v>
      </c>
      <c r="AA13" s="8">
        <v>2.9205205205205207</v>
      </c>
    </row>
    <row r="14" spans="1:27" x14ac:dyDescent="0.25">
      <c r="A14" s="13" t="str">
        <v>Hualgayoc</v>
      </c>
      <c r="B14" s="8">
        <v>11906.241620000001</v>
      </c>
      <c r="C14" s="5">
        <v>46094</v>
      </c>
      <c r="D14" s="21">
        <f>B14*1/(1-Formula!$B$19)</f>
        <v>11918.15977977978</v>
      </c>
      <c r="E14" s="8" cm="1">
        <f t="array" ref="E14:AA14">_xlfn._xlws.FILTER(Formula!$B$2:$X$12,Formula!$A$2:$A$12=A14,0)*D14</f>
        <v>1531.4835317017018</v>
      </c>
      <c r="F14" s="8">
        <v>2579.0897763443445</v>
      </c>
      <c r="G14" s="8">
        <v>3974.7062865565572</v>
      </c>
      <c r="H14" s="8">
        <v>107.26343801801802</v>
      </c>
      <c r="I14" s="8">
        <v>1504.0717642082084</v>
      </c>
      <c r="J14" s="8">
        <v>0</v>
      </c>
      <c r="K14" s="8">
        <v>0</v>
      </c>
      <c r="L14" s="8">
        <v>0</v>
      </c>
      <c r="M14" s="8">
        <v>1396.8083261901902</v>
      </c>
      <c r="N14" s="8">
        <v>171.62150082882883</v>
      </c>
      <c r="O14" s="8">
        <v>0</v>
      </c>
      <c r="P14" s="8">
        <v>0</v>
      </c>
      <c r="Q14" s="8">
        <v>0</v>
      </c>
      <c r="R14" s="8">
        <v>85.810750414414414</v>
      </c>
      <c r="S14" s="8">
        <v>85.810750414414414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455.27370358758759</v>
      </c>
      <c r="AA14" s="8">
        <v>26.219951515515518</v>
      </c>
    </row>
    <row r="15" spans="1:27" x14ac:dyDescent="0.25">
      <c r="A15" s="13" t="str">
        <v>Alto Trujillo</v>
      </c>
      <c r="B15" s="8">
        <v>3018.04</v>
      </c>
      <c r="C15" s="5">
        <v>46097</v>
      </c>
      <c r="D15" s="21">
        <f>B15*1/(1-Formula!$B$19)</f>
        <v>3021.0610610610611</v>
      </c>
      <c r="E15" s="8" cm="1">
        <f t="array" ref="E15:AA15">_xlfn._xlws.FILTER(Formula!$B$2:$X$12,Formula!$A$2:$A$12=A15,0)*D15</f>
        <v>160.41834234234236</v>
      </c>
      <c r="F15" s="8">
        <v>820.82229029029031</v>
      </c>
      <c r="G15" s="8">
        <v>1931.6664424424423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102.41396996996997</v>
      </c>
      <c r="AA15" s="8">
        <v>5.7400160160160159</v>
      </c>
    </row>
    <row r="16" spans="1:27" x14ac:dyDescent="0.25">
      <c r="A16" s="13" t="str">
        <v>Sanchez Carrión</v>
      </c>
      <c r="B16" s="8">
        <v>9467.0400000000009</v>
      </c>
      <c r="C16" s="5">
        <v>46097</v>
      </c>
      <c r="D16" s="21">
        <f>B16*1/(1-Formula!$B$19)</f>
        <v>9476.5165165165181</v>
      </c>
      <c r="E16" s="8" cm="1">
        <f t="array" ref="E16:AA16">_xlfn._xlws.FILTER(Formula!$B$2:$X$12,Formula!$A$2:$A$12=A16,0)*D16</f>
        <v>594.17758558558569</v>
      </c>
      <c r="F16" s="8">
        <v>3876.842906906908</v>
      </c>
      <c r="G16" s="8">
        <v>0</v>
      </c>
      <c r="H16" s="8">
        <v>1076.5322762762764</v>
      </c>
      <c r="I16" s="8">
        <v>754.33071471471487</v>
      </c>
      <c r="J16" s="8">
        <v>1076.5322762762764</v>
      </c>
      <c r="K16" s="8">
        <v>0</v>
      </c>
      <c r="L16" s="8">
        <v>1615.7460660660665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456.76809609609614</v>
      </c>
      <c r="AA16" s="8">
        <v>25.586594594594601</v>
      </c>
    </row>
    <row r="17" spans="1:27" x14ac:dyDescent="0.25">
      <c r="A17" s="13" t="str">
        <v>Viru</v>
      </c>
      <c r="B17" s="8">
        <v>6046</v>
      </c>
      <c r="C17" s="5">
        <v>46097</v>
      </c>
      <c r="D17" s="21">
        <f>B17*1/(1-Formula!$B$19)</f>
        <v>6052.0520520520522</v>
      </c>
      <c r="E17" s="8" cm="1">
        <f t="array" ref="E17:AA17">_xlfn._xlws.FILTER(Formula!$B$2:$X$12,Formula!$A$2:$A$12=A17,0)*D17</f>
        <v>787.97717717717728</v>
      </c>
      <c r="F17" s="8">
        <v>1358.0804804804804</v>
      </c>
      <c r="G17" s="8">
        <v>2716.1609609609609</v>
      </c>
      <c r="H17" s="8">
        <v>0</v>
      </c>
      <c r="I17" s="8">
        <v>617.30930930930924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111.35775775775775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61.730930930930938</v>
      </c>
      <c r="V17" s="8">
        <v>61.730930930930938</v>
      </c>
      <c r="W17" s="8">
        <v>61.730930930930938</v>
      </c>
      <c r="X17" s="8">
        <v>0</v>
      </c>
      <c r="Y17" s="8">
        <v>0</v>
      </c>
      <c r="Z17" s="8">
        <v>261.44864864864866</v>
      </c>
      <c r="AA17" s="8">
        <v>14.524924924924925</v>
      </c>
    </row>
    <row r="18" spans="1:27" x14ac:dyDescent="0.25">
      <c r="A18" s="13" t="str">
        <v>Florencia de Mora</v>
      </c>
      <c r="B18" s="8">
        <v>4281.8335999999999</v>
      </c>
      <c r="C18" s="5">
        <v>46100</v>
      </c>
      <c r="D18" s="21">
        <f>B18*1/(1-Formula!$B$19)</f>
        <v>4286.1197197197198</v>
      </c>
      <c r="E18" s="8" cm="1">
        <f t="array" ref="E18:AA18">_xlfn._xlws.FILTER(Formula!$B$2:$X$12,Formula!$A$2:$A$12=A18,0)*D18</f>
        <v>725.84584584584582</v>
      </c>
      <c r="F18" s="8">
        <v>1723.8838838838838</v>
      </c>
      <c r="G18" s="8">
        <v>1633.1531531531532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192.34914914914916</v>
      </c>
      <c r="AA18" s="8">
        <v>10.887687687687688</v>
      </c>
    </row>
    <row r="19" spans="1:27" x14ac:dyDescent="0.25">
      <c r="A19" s="13" t="str">
        <v>Encañada</v>
      </c>
      <c r="B19" s="8">
        <v>21119.279999999999</v>
      </c>
      <c r="C19" s="5">
        <v>46101</v>
      </c>
      <c r="D19" s="21">
        <f>B19*1/(1-Formula!$B$19)</f>
        <v>21140.420420420418</v>
      </c>
      <c r="E19" s="8" cm="1">
        <f t="array" ref="E19:AA19">_xlfn._xlws.FILTER(Formula!$B$2:$X$12,Formula!$A$2:$A$12=A19,0)*D19</f>
        <v>4251.3385465465462</v>
      </c>
      <c r="F19" s="8">
        <v>4151.9785705705699</v>
      </c>
      <c r="G19" s="8">
        <v>9437.0836756756744</v>
      </c>
      <c r="H19" s="8">
        <v>0</v>
      </c>
      <c r="I19" s="8">
        <v>1133.1265345345344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378.41352552552547</v>
      </c>
      <c r="Q19" s="8">
        <v>942.86275075075071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801.22193393393388</v>
      </c>
      <c r="AA19" s="8">
        <v>44.394882882882875</v>
      </c>
    </row>
    <row r="20" spans="1:27" x14ac:dyDescent="0.25">
      <c r="A20" s="13" t="str">
        <v>Olmos</v>
      </c>
      <c r="B20" s="8">
        <v>5840</v>
      </c>
      <c r="C20" s="5">
        <v>46115</v>
      </c>
      <c r="D20" s="21">
        <f>B20*1/(1-Formula!$B$19)</f>
        <v>5845.8458458458463</v>
      </c>
      <c r="E20" s="8" cm="1">
        <f t="array" ref="E20:AA20">_xlfn._xlws.FILTER(Formula!$B$2:$X$12,Formula!$A$2:$A$12=A20,0)*D20</f>
        <v>1327.6728860236897</v>
      </c>
      <c r="F20" s="8">
        <v>1838.3163037251088</v>
      </c>
      <c r="G20" s="8">
        <v>1531.9302531042574</v>
      </c>
      <c r="H20" s="8">
        <v>306.38605062085145</v>
      </c>
      <c r="I20" s="8">
        <v>0</v>
      </c>
      <c r="J20" s="8">
        <v>0</v>
      </c>
      <c r="K20" s="8">
        <v>0</v>
      </c>
      <c r="L20" s="8">
        <v>0</v>
      </c>
      <c r="M20" s="8">
        <v>612.7721012417029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216.51280910540171</v>
      </c>
      <c r="AA20" s="8">
        <v>12.255442024834057</v>
      </c>
    </row>
    <row r="21" spans="1:27" x14ac:dyDescent="0.25">
      <c r="A21" s="13" t="str">
        <v>Alto Trujillo</v>
      </c>
      <c r="B21" s="8">
        <v>3018.04</v>
      </c>
      <c r="C21" s="5">
        <v>46129</v>
      </c>
      <c r="D21" s="21">
        <f>B21*1/(1-Formula!$B$19)</f>
        <v>3021.0610610610611</v>
      </c>
      <c r="E21" s="8" cm="1">
        <f t="array" ref="E21:AA21">_xlfn._xlws.FILTER(Formula!$B$2:$X$12,Formula!$A$2:$A$12=A21,0)*D21</f>
        <v>160.41834234234236</v>
      </c>
      <c r="F21" s="8">
        <v>820.82229029029031</v>
      </c>
      <c r="G21" s="8">
        <v>1931.6664424424423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102.41396996996997</v>
      </c>
      <c r="AA21" s="8">
        <v>5.7400160160160159</v>
      </c>
    </row>
    <row r="22" spans="1:27" x14ac:dyDescent="0.25">
      <c r="A22" s="13" t="str">
        <v>Moyobamba</v>
      </c>
      <c r="B22" s="8">
        <v>9139</v>
      </c>
      <c r="C22" s="5">
        <v>46129</v>
      </c>
      <c r="D22" s="21">
        <f>B22*1/(1-Formula!$B$19)</f>
        <v>9148.1481481481478</v>
      </c>
      <c r="E22" s="8" cm="1">
        <f t="array" ref="E22:AA22">_xlfn._xlws.FILTER(Formula!$B$2:$X$12,Formula!$A$2:$A$12=A22,0)*D22</f>
        <v>3213.5374425520408</v>
      </c>
      <c r="F22" s="8">
        <v>0</v>
      </c>
      <c r="G22" s="8">
        <v>0</v>
      </c>
      <c r="H22" s="8">
        <v>0</v>
      </c>
      <c r="I22" s="8">
        <v>0</v>
      </c>
      <c r="J22" s="8">
        <v>1043.3563125168962</v>
      </c>
      <c r="K22" s="8">
        <v>1085.0905650175723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2191.0482562854822</v>
      </c>
      <c r="U22" s="8">
        <v>0</v>
      </c>
      <c r="V22" s="8">
        <v>0</v>
      </c>
      <c r="W22" s="8">
        <v>0</v>
      </c>
      <c r="X22" s="8">
        <v>313.00689375506892</v>
      </c>
      <c r="Y22" s="8">
        <v>834.68505001351718</v>
      </c>
      <c r="Z22" s="8">
        <v>0</v>
      </c>
      <c r="AA22" s="8">
        <v>467.42362800756962</v>
      </c>
    </row>
    <row r="23" spans="1:27" x14ac:dyDescent="0.25">
      <c r="A23" s="13" t="str">
        <v>Olmos</v>
      </c>
      <c r="B23" s="8">
        <v>5611</v>
      </c>
      <c r="C23" s="5">
        <v>46146</v>
      </c>
      <c r="D23" s="21">
        <f>B23*1/(1-Formula!$B$19)</f>
        <v>5616.6166166166167</v>
      </c>
      <c r="E23" s="8" cm="1">
        <f t="array" ref="E23:AA23">_xlfn._xlws.FILTER(Formula!$B$2:$X$12,Formula!$A$2:$A$12=A23,0)*D23</f>
        <v>1275.6117403217334</v>
      </c>
      <c r="F23" s="8">
        <v>1766.2316404454768</v>
      </c>
      <c r="G23" s="8">
        <v>1471.8597003712309</v>
      </c>
      <c r="H23" s="8">
        <v>294.37194007424614</v>
      </c>
      <c r="I23" s="8">
        <v>0</v>
      </c>
      <c r="J23" s="8">
        <v>0</v>
      </c>
      <c r="K23" s="8">
        <v>0</v>
      </c>
      <c r="L23" s="8">
        <v>0</v>
      </c>
      <c r="M23" s="8">
        <v>588.74388014849228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208.02283765246727</v>
      </c>
      <c r="AA23" s="8">
        <v>11.774877602969845</v>
      </c>
    </row>
    <row r="24" spans="1:27" x14ac:dyDescent="0.25">
      <c r="A24" s="13" t="str">
        <v>Sanchez Carrión</v>
      </c>
      <c r="B24" s="8">
        <v>9298.08</v>
      </c>
      <c r="C24" s="5">
        <v>46150</v>
      </c>
      <c r="D24" s="21">
        <f>B24*1/(1-Formula!$B$19)</f>
        <v>9307.3873873873872</v>
      </c>
      <c r="E24" s="8" cm="1">
        <f t="array" ref="E24:AA24">_xlfn._xlws.FILTER(Formula!$B$2:$X$12,Formula!$A$2:$A$12=A24,0)*D24</f>
        <v>583.57318918918918</v>
      </c>
      <c r="F24" s="8">
        <v>3807.6521801801805</v>
      </c>
      <c r="G24" s="8">
        <v>0</v>
      </c>
      <c r="H24" s="8">
        <v>1057.3192072072072</v>
      </c>
      <c r="I24" s="8">
        <v>740.86803603603607</v>
      </c>
      <c r="J24" s="8">
        <v>1057.3192072072072</v>
      </c>
      <c r="K24" s="8">
        <v>0</v>
      </c>
      <c r="L24" s="8">
        <v>1586.9095495495496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448.61607207207209</v>
      </c>
      <c r="AA24" s="8">
        <v>25.129945945945948</v>
      </c>
    </row>
    <row r="25" spans="1:27" x14ac:dyDescent="0.25">
      <c r="A25" s="4" t="str">
        <v>Viru</v>
      </c>
      <c r="B25" s="8">
        <v>6046</v>
      </c>
      <c r="C25" s="5">
        <v>46157</v>
      </c>
      <c r="D25" s="21">
        <f>B25*1/(1-Formula!$B$19)</f>
        <v>6052.0520520520522</v>
      </c>
      <c r="E25" s="8" cm="1">
        <f t="array" ref="E25:AA25">_xlfn._xlws.FILTER(Formula!$B$2:$X$12,Formula!$A$2:$A$12=A25,0)*D25</f>
        <v>787.97717717717728</v>
      </c>
      <c r="F25" s="8">
        <v>1358.0804804804804</v>
      </c>
      <c r="G25" s="8">
        <v>2716.1609609609609</v>
      </c>
      <c r="H25" s="8">
        <v>0</v>
      </c>
      <c r="I25" s="8">
        <v>617.30930930930924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111.35775775775775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61.730930930930938</v>
      </c>
      <c r="V25" s="8">
        <v>61.730930930930938</v>
      </c>
      <c r="W25" s="8">
        <v>61.730930930930938</v>
      </c>
      <c r="X25" s="8">
        <v>0</v>
      </c>
      <c r="Y25" s="8">
        <v>0</v>
      </c>
      <c r="Z25" s="8">
        <v>261.44864864864866</v>
      </c>
      <c r="AA25" s="8">
        <v>14.524924924924925</v>
      </c>
    </row>
    <row r="26" spans="1:27" x14ac:dyDescent="0.25">
      <c r="A26" s="4" t="str">
        <v>Cajatambo</v>
      </c>
      <c r="B26" s="8">
        <v>1016</v>
      </c>
      <c r="C26" s="5">
        <v>46174</v>
      </c>
      <c r="D26" s="21">
        <f>B26*1/(1-Formula!$B$19)</f>
        <v>1017.017017017017</v>
      </c>
      <c r="E26" s="8" cm="1">
        <f t="array" ref="E26:AA26">_xlfn._xlws.FILTER(Formula!$B$2:$X$12,Formula!$A$2:$A$12=A26,0)*D26</f>
        <v>361.14274274274277</v>
      </c>
      <c r="F26" s="8">
        <v>120.41481481481482</v>
      </c>
      <c r="G26" s="8">
        <v>120.41481481481482</v>
      </c>
      <c r="H26" s="8">
        <v>0</v>
      </c>
      <c r="I26" s="8">
        <v>361.14274274274277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51.054254254254253</v>
      </c>
      <c r="AA26" s="8">
        <v>2.8476476476476478</v>
      </c>
    </row>
    <row r="27" spans="1:27" x14ac:dyDescent="0.25">
      <c r="A27" s="4" t="str">
        <v>Olmos</v>
      </c>
      <c r="B27" s="8">
        <v>5840</v>
      </c>
      <c r="C27" s="5">
        <v>46174</v>
      </c>
      <c r="D27" s="21">
        <f>B27*1/(1-Formula!$B$19)</f>
        <v>5845.8458458458463</v>
      </c>
      <c r="E27" s="8" cm="1">
        <f t="array" ref="E27:AA27">_xlfn._xlws.FILTER(Formula!$B$2:$X$12,Formula!$A$2:$A$12=A27,0)*D27</f>
        <v>1327.6728860236897</v>
      </c>
      <c r="F27" s="8">
        <v>1838.3163037251088</v>
      </c>
      <c r="G27" s="8">
        <v>1531.9302531042574</v>
      </c>
      <c r="H27" s="8">
        <v>306.38605062085145</v>
      </c>
      <c r="I27" s="8">
        <v>0</v>
      </c>
      <c r="J27" s="8">
        <v>0</v>
      </c>
      <c r="K27" s="8">
        <v>0</v>
      </c>
      <c r="L27" s="8">
        <v>0</v>
      </c>
      <c r="M27" s="8">
        <v>612.7721012417029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216.51280910540171</v>
      </c>
      <c r="AA27" s="8">
        <v>12.255442024834057</v>
      </c>
    </row>
    <row r="28" spans="1:27" x14ac:dyDescent="0.25">
      <c r="A28" s="4" t="str">
        <v>Encañada</v>
      </c>
      <c r="B28" s="8">
        <v>21119.279999999999</v>
      </c>
      <c r="C28" s="5">
        <v>46175</v>
      </c>
      <c r="D28" s="21">
        <f>B28*1/(1-Formula!$B$19)</f>
        <v>21140.420420420418</v>
      </c>
      <c r="E28" s="8" cm="1">
        <f t="array" ref="E28:AA28">_xlfn._xlws.FILTER(Formula!$B$2:$X$12,Formula!$A$2:$A$12=A28,0)*D28</f>
        <v>4251.3385465465462</v>
      </c>
      <c r="F28" s="8">
        <v>4151.9785705705699</v>
      </c>
      <c r="G28" s="8">
        <v>9437.0836756756744</v>
      </c>
      <c r="H28" s="8">
        <v>0</v>
      </c>
      <c r="I28" s="8">
        <v>1133.1265345345344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378.41352552552547</v>
      </c>
      <c r="Q28" s="8">
        <v>942.86275075075071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801.22193393393388</v>
      </c>
      <c r="AA28" s="8">
        <v>44.394882882882875</v>
      </c>
    </row>
    <row r="29" spans="1:27" x14ac:dyDescent="0.25">
      <c r="A29" s="4" t="str">
        <v>Hualgayoc</v>
      </c>
      <c r="B29" s="8">
        <v>11906.24</v>
      </c>
      <c r="C29" s="5">
        <v>46179</v>
      </c>
      <c r="D29" s="21">
        <f>B29*1/(1-Formula!$B$19)</f>
        <v>11918.158158158158</v>
      </c>
      <c r="E29" s="8" cm="1">
        <f t="array" ref="E29:AA29">_xlfn._xlws.FILTER(Formula!$B$2:$X$12,Formula!$A$2:$A$12=A29,0)*D29</f>
        <v>1531.4833233233232</v>
      </c>
      <c r="F29" s="8">
        <v>2579.0894254254254</v>
      </c>
      <c r="G29" s="8">
        <v>3974.7057457457458</v>
      </c>
      <c r="H29" s="8">
        <v>107.2634234234234</v>
      </c>
      <c r="I29" s="8">
        <v>1504.0715595595595</v>
      </c>
      <c r="J29" s="8">
        <v>0</v>
      </c>
      <c r="K29" s="8">
        <v>0</v>
      </c>
      <c r="L29" s="8">
        <v>0</v>
      </c>
      <c r="M29" s="8">
        <v>1396.808136136136</v>
      </c>
      <c r="N29" s="8">
        <v>171.62147747747747</v>
      </c>
      <c r="O29" s="8">
        <v>0</v>
      </c>
      <c r="P29" s="8">
        <v>0</v>
      </c>
      <c r="Q29" s="8">
        <v>0</v>
      </c>
      <c r="R29" s="8">
        <v>85.810738738738735</v>
      </c>
      <c r="S29" s="8">
        <v>85.810738738738735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455.27364164164158</v>
      </c>
      <c r="AA29" s="8">
        <v>26.219947947947947</v>
      </c>
    </row>
    <row r="30" spans="1:27" x14ac:dyDescent="0.25">
      <c r="A30" s="4" t="str">
        <v>Alto Trujillo</v>
      </c>
      <c r="B30" s="8">
        <v>3018.9825799999999</v>
      </c>
      <c r="C30" s="5">
        <v>46188</v>
      </c>
      <c r="D30" s="21">
        <f>B30*1/(1-Formula!$B$19)</f>
        <v>3022.0045845845843</v>
      </c>
      <c r="E30" s="8" cm="1">
        <f t="array" ref="E30:AA30">_xlfn._xlws.FILTER(Formula!$B$2:$X$12,Formula!$A$2:$A$12=A30,0)*D30</f>
        <v>160.46844344144142</v>
      </c>
      <c r="F30" s="8">
        <v>821.0786456316315</v>
      </c>
      <c r="G30" s="8">
        <v>1932.269731383383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102.44595541741741</v>
      </c>
      <c r="AA30" s="8">
        <v>5.7418087107107105</v>
      </c>
    </row>
    <row r="31" spans="1:27" x14ac:dyDescent="0.25">
      <c r="A31" s="4" t="str">
        <v>Sanchez Carrión</v>
      </c>
      <c r="B31" s="8">
        <v>9298.08</v>
      </c>
      <c r="C31" s="5">
        <v>46214</v>
      </c>
      <c r="D31" s="21">
        <f>B31*1/(1-Formula!$B$19)</f>
        <v>9307.3873873873872</v>
      </c>
      <c r="E31" s="8" cm="1">
        <f t="array" ref="E31:AA31">_xlfn._xlws.FILTER(Formula!$B$2:$X$12,Formula!$A$2:$A$12=A31,0)*D31</f>
        <v>583.57318918918918</v>
      </c>
      <c r="F31" s="8">
        <v>3807.6521801801805</v>
      </c>
      <c r="G31" s="8">
        <v>0</v>
      </c>
      <c r="H31" s="8">
        <v>1057.3192072072072</v>
      </c>
      <c r="I31" s="8">
        <v>740.86803603603607</v>
      </c>
      <c r="J31" s="8">
        <v>1057.3192072072072</v>
      </c>
      <c r="K31" s="8">
        <v>0</v>
      </c>
      <c r="L31" s="8">
        <v>1586.9095495495496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448.61607207207209</v>
      </c>
      <c r="AA31" s="8">
        <v>25.129945945945948</v>
      </c>
    </row>
    <row r="32" spans="1:27" x14ac:dyDescent="0.25">
      <c r="A32" s="4" t="str">
        <v>Alto Trujillo</v>
      </c>
      <c r="B32" s="8">
        <v>3018.9825799999999</v>
      </c>
      <c r="C32" s="5">
        <v>46218</v>
      </c>
      <c r="D32" s="21">
        <f>B32*1/(1-Formula!$B$19)</f>
        <v>3022.0045845845843</v>
      </c>
      <c r="E32" s="8" cm="1">
        <f t="array" ref="E32:AA32">_xlfn._xlws.FILTER(Formula!$B$2:$X$12,Formula!$A$2:$A$12=A32,0)*D32</f>
        <v>160.46844344144142</v>
      </c>
      <c r="F32" s="8">
        <v>821.0786456316315</v>
      </c>
      <c r="G32" s="8">
        <v>1932.269731383383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102.44595541741741</v>
      </c>
      <c r="AA32" s="8">
        <v>5.7418087107107105</v>
      </c>
    </row>
    <row r="33" spans="1:27" x14ac:dyDescent="0.25">
      <c r="A33" s="4" t="str">
        <v>Florencia de Mora</v>
      </c>
      <c r="B33" s="8">
        <v>4281.8335999999999</v>
      </c>
      <c r="C33" s="5">
        <v>46218</v>
      </c>
      <c r="D33" s="21">
        <f>B33*1/(1-Formula!$B$19)</f>
        <v>4286.1197197197198</v>
      </c>
      <c r="E33" s="8" cm="1">
        <f t="array" ref="E33:AA33">_xlfn._xlws.FILTER(Formula!$B$2:$X$12,Formula!$A$2:$A$12=A33,0)*D33</f>
        <v>725.84584584584582</v>
      </c>
      <c r="F33" s="8">
        <v>1723.8838838838838</v>
      </c>
      <c r="G33" s="8">
        <v>1633.1531531531532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192.34914914914916</v>
      </c>
      <c r="AA33" s="8">
        <v>10.887687687687688</v>
      </c>
    </row>
    <row r="34" spans="1:27" s="53" customFormat="1" x14ac:dyDescent="0.25">
      <c r="A34" s="51" t="str">
        <v>Encañada</v>
      </c>
      <c r="B34" s="36">
        <v>21119.279999999999</v>
      </c>
      <c r="C34" s="37">
        <v>46192</v>
      </c>
      <c r="D34" s="21">
        <f>B34*1/(1-Formula!$B$19)</f>
        <v>21140.420420420418</v>
      </c>
      <c r="E34" s="36" cm="1">
        <f t="array" ref="E34:AA34">_xlfn._xlws.FILTER(Formula!$B$2:$X$12,Formula!$A$2:$A$12=A34,0)*D34</f>
        <v>4251.3385465465462</v>
      </c>
      <c r="F34" s="36">
        <v>4151.9785705705699</v>
      </c>
      <c r="G34" s="36">
        <v>9437.0836756756744</v>
      </c>
      <c r="H34" s="36">
        <v>0</v>
      </c>
      <c r="I34" s="36">
        <v>1133.1265345345344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378.41352552552547</v>
      </c>
      <c r="Q34" s="36">
        <v>942.86275075075071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801.22193393393388</v>
      </c>
      <c r="AA34" s="36">
        <v>44.394882882882875</v>
      </c>
    </row>
    <row r="35" spans="1:27" s="53" customFormat="1" x14ac:dyDescent="0.25">
      <c r="A35" s="51" t="str">
        <v>Moyobamba</v>
      </c>
      <c r="B35" s="36">
        <v>9294</v>
      </c>
      <c r="C35" s="37">
        <v>46197</v>
      </c>
      <c r="D35" s="21">
        <f>B35*1/(1-Formula!$B$19)</f>
        <v>9303.3033033033025</v>
      </c>
      <c r="E35" s="36" cm="1">
        <f t="array" ref="E35:AA35">_xlfn._xlws.FILTER(Formula!$B$2:$X$12,Formula!$A$2:$A$12=A35,0)*D35</f>
        <v>3268.0399377479666</v>
      </c>
      <c r="F35" s="36">
        <v>0</v>
      </c>
      <c r="G35" s="36">
        <v>0</v>
      </c>
      <c r="H35" s="36">
        <v>0</v>
      </c>
      <c r="I35" s="36">
        <v>0</v>
      </c>
      <c r="J35" s="36">
        <v>1061.0519278402487</v>
      </c>
      <c r="K35" s="36">
        <v>1103.4940049538588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6">
        <v>2228.2090484645223</v>
      </c>
      <c r="U35" s="36">
        <v>0</v>
      </c>
      <c r="V35" s="36">
        <v>0</v>
      </c>
      <c r="W35" s="36">
        <v>0</v>
      </c>
      <c r="X35" s="36">
        <v>318.31557835207468</v>
      </c>
      <c r="Y35" s="36">
        <v>848.84154227219915</v>
      </c>
      <c r="Z35" s="36">
        <v>0</v>
      </c>
      <c r="AA35" s="36">
        <v>475.35126367243151</v>
      </c>
    </row>
    <row r="36" spans="1:27" s="53" customFormat="1" x14ac:dyDescent="0.25">
      <c r="A36" s="51" t="str">
        <v>Viru</v>
      </c>
      <c r="B36" s="36">
        <v>6046</v>
      </c>
      <c r="C36" s="37">
        <v>46216</v>
      </c>
      <c r="D36" s="21">
        <f>B36*1/(1-Formula!$B$19)</f>
        <v>6052.0520520520522</v>
      </c>
      <c r="E36" s="36" cm="1">
        <f t="array" ref="E36:AA36">_xlfn._xlws.FILTER(Formula!$B$2:$X$12,Formula!$A$2:$A$12=A36,0)*D36</f>
        <v>787.97717717717728</v>
      </c>
      <c r="F36" s="36">
        <v>1358.0804804804804</v>
      </c>
      <c r="G36" s="36">
        <v>2716.1609609609609</v>
      </c>
      <c r="H36" s="36">
        <v>0</v>
      </c>
      <c r="I36" s="36">
        <v>617.30930930930924</v>
      </c>
      <c r="J36" s="36">
        <v>0</v>
      </c>
      <c r="K36" s="36">
        <v>0</v>
      </c>
      <c r="L36" s="36">
        <v>0</v>
      </c>
      <c r="M36" s="36">
        <v>0</v>
      </c>
      <c r="N36" s="36">
        <v>0</v>
      </c>
      <c r="O36" s="36">
        <v>111.35775775775775</v>
      </c>
      <c r="P36" s="36">
        <v>0</v>
      </c>
      <c r="Q36" s="36">
        <v>0</v>
      </c>
      <c r="R36" s="36">
        <v>0</v>
      </c>
      <c r="S36" s="36">
        <v>0</v>
      </c>
      <c r="T36" s="36">
        <v>0</v>
      </c>
      <c r="U36" s="36">
        <v>61.730930930930938</v>
      </c>
      <c r="V36" s="36">
        <v>61.730930930930938</v>
      </c>
      <c r="W36" s="36">
        <v>61.730930930930938</v>
      </c>
      <c r="X36" s="36">
        <v>0</v>
      </c>
      <c r="Y36" s="36">
        <v>0</v>
      </c>
      <c r="Z36" s="36">
        <v>261.44864864864866</v>
      </c>
      <c r="AA36" s="36">
        <v>14.524924924924925</v>
      </c>
    </row>
    <row r="37" spans="1:27" s="53" customFormat="1" x14ac:dyDescent="0.25">
      <c r="A37" s="51" t="str">
        <v>Alto Trujillo</v>
      </c>
      <c r="B37" s="36">
        <v>3759.21</v>
      </c>
      <c r="C37" s="37">
        <v>46235</v>
      </c>
      <c r="D37" s="21">
        <f>B37*1/(1-Formula!$B$19)</f>
        <v>3762.9729729729729</v>
      </c>
      <c r="E37" s="36" cm="1">
        <f t="array" ref="E37:AA37">_xlfn._xlws.FILTER(Formula!$B$2:$X$12,Formula!$A$2:$A$12=A37,0)*D37</f>
        <v>199.81386486486485</v>
      </c>
      <c r="F37" s="36">
        <v>1022.3997567567567</v>
      </c>
      <c r="G37" s="36">
        <v>2406.0449189189189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0</v>
      </c>
      <c r="N37" s="36">
        <v>0</v>
      </c>
      <c r="O37" s="36">
        <v>0</v>
      </c>
      <c r="P37" s="36">
        <v>0</v>
      </c>
      <c r="Q37" s="36">
        <v>0</v>
      </c>
      <c r="R37" s="36">
        <v>0</v>
      </c>
      <c r="S37" s="36">
        <v>0</v>
      </c>
      <c r="T37" s="36">
        <v>0</v>
      </c>
      <c r="U37" s="36">
        <v>0</v>
      </c>
      <c r="V37" s="36">
        <v>0</v>
      </c>
      <c r="W37" s="36">
        <v>0</v>
      </c>
      <c r="X37" s="36">
        <v>0</v>
      </c>
      <c r="Y37" s="36">
        <v>0</v>
      </c>
      <c r="Z37" s="36">
        <v>127.56478378378378</v>
      </c>
      <c r="AA37" s="36">
        <v>7.1496486486486486</v>
      </c>
    </row>
    <row r="38" spans="1:27" s="53" customFormat="1" x14ac:dyDescent="0.25">
      <c r="A38" s="51" t="str">
        <v>Olmos</v>
      </c>
      <c r="B38" s="36">
        <v>5611</v>
      </c>
      <c r="C38" s="37">
        <v>46238</v>
      </c>
      <c r="D38" s="21">
        <f>B38*1/(1-Formula!$B$19)</f>
        <v>5616.6166166166167</v>
      </c>
      <c r="E38" s="36" cm="1">
        <f t="array" ref="E38:AA38">_xlfn._xlws.FILTER(Formula!$B$2:$X$12,Formula!$A$2:$A$12=A38,0)*D38</f>
        <v>1275.6117403217334</v>
      </c>
      <c r="F38" s="36">
        <v>1766.2316404454768</v>
      </c>
      <c r="G38" s="36">
        <v>1471.8597003712309</v>
      </c>
      <c r="H38" s="36">
        <v>294.37194007424614</v>
      </c>
      <c r="I38" s="36">
        <v>0</v>
      </c>
      <c r="J38" s="36">
        <v>0</v>
      </c>
      <c r="K38" s="36">
        <v>0</v>
      </c>
      <c r="L38" s="36">
        <v>0</v>
      </c>
      <c r="M38" s="36">
        <v>588.74388014849228</v>
      </c>
      <c r="N38" s="36">
        <v>0</v>
      </c>
      <c r="O38" s="36">
        <v>0</v>
      </c>
      <c r="P38" s="36">
        <v>0</v>
      </c>
      <c r="Q38" s="36">
        <v>0</v>
      </c>
      <c r="R38" s="36">
        <v>0</v>
      </c>
      <c r="S38" s="36">
        <v>0</v>
      </c>
      <c r="T38" s="36">
        <v>0</v>
      </c>
      <c r="U38" s="36">
        <v>0</v>
      </c>
      <c r="V38" s="36">
        <v>0</v>
      </c>
      <c r="W38" s="36">
        <v>0</v>
      </c>
      <c r="X38" s="36">
        <v>0</v>
      </c>
      <c r="Y38" s="36">
        <v>0</v>
      </c>
      <c r="Z38" s="36">
        <v>208.02283765246727</v>
      </c>
      <c r="AA38" s="36">
        <v>11.774877602969845</v>
      </c>
    </row>
    <row r="39" spans="1:27" s="53" customFormat="1" x14ac:dyDescent="0.25">
      <c r="A39" s="51" t="str">
        <v>Viru</v>
      </c>
      <c r="B39" s="36">
        <v>13579</v>
      </c>
      <c r="C39" s="37">
        <v>46248</v>
      </c>
      <c r="D39" s="21">
        <f>B39*1/(1-Formula!$B$19)</f>
        <v>13592.592592592593</v>
      </c>
      <c r="E39" s="36" cm="1">
        <f t="array" ref="E39:AA39">_xlfn._xlws.FILTER(Formula!$B$2:$X$12,Formula!$A$2:$A$12=A39,0)*D39</f>
        <v>1769.7555555555557</v>
      </c>
      <c r="F39" s="36">
        <v>3050.1777777777779</v>
      </c>
      <c r="G39" s="36">
        <v>6100.3555555555558</v>
      </c>
      <c r="H39" s="36">
        <v>0</v>
      </c>
      <c r="I39" s="36">
        <v>1386.4444444444443</v>
      </c>
      <c r="J39" s="36">
        <v>0</v>
      </c>
      <c r="K39" s="36">
        <v>0</v>
      </c>
      <c r="L39" s="36">
        <v>0</v>
      </c>
      <c r="M39" s="36">
        <v>0</v>
      </c>
      <c r="N39" s="36">
        <v>0</v>
      </c>
      <c r="O39" s="36">
        <v>250.1037037037037</v>
      </c>
      <c r="P39" s="36">
        <v>0</v>
      </c>
      <c r="Q39" s="36">
        <v>0</v>
      </c>
      <c r="R39" s="36">
        <v>0</v>
      </c>
      <c r="S39" s="36">
        <v>0</v>
      </c>
      <c r="T39" s="36">
        <v>0</v>
      </c>
      <c r="U39" s="36">
        <v>138.64444444444445</v>
      </c>
      <c r="V39" s="36">
        <v>138.64444444444445</v>
      </c>
      <c r="W39" s="36">
        <v>138.64444444444445</v>
      </c>
      <c r="X39" s="36">
        <v>0</v>
      </c>
      <c r="Y39" s="36">
        <v>0</v>
      </c>
      <c r="Z39" s="36">
        <v>587.20000000000005</v>
      </c>
      <c r="AA39" s="36">
        <v>32.62222222222222</v>
      </c>
    </row>
    <row r="40" spans="1:27" s="53" customFormat="1" x14ac:dyDescent="0.25">
      <c r="A40" s="51" t="str">
        <v>Sanchez Carrión</v>
      </c>
      <c r="B40" s="36">
        <v>3743.92</v>
      </c>
      <c r="C40" s="37">
        <v>46249</v>
      </c>
      <c r="D40" s="21">
        <f>B40*1/(1-Formula!$B$19)</f>
        <v>3747.667667667668</v>
      </c>
      <c r="E40" s="36" cm="1">
        <f t="array" ref="E40:AA40">_xlfn._xlws.FILTER(Formula!$B$2:$X$12,Formula!$A$2:$A$12=A40,0)*D40</f>
        <v>234.97876276276281</v>
      </c>
      <c r="F40" s="36">
        <v>1533.1708428428431</v>
      </c>
      <c r="G40" s="36">
        <v>0</v>
      </c>
      <c r="H40" s="36">
        <v>425.73504704704709</v>
      </c>
      <c r="I40" s="36">
        <v>298.31434634634638</v>
      </c>
      <c r="J40" s="36">
        <v>425.73504704704709</v>
      </c>
      <c r="K40" s="36">
        <v>0</v>
      </c>
      <c r="L40" s="36">
        <v>638.97733733733742</v>
      </c>
      <c r="M40" s="36">
        <v>0</v>
      </c>
      <c r="N40" s="36">
        <v>0</v>
      </c>
      <c r="O40" s="36">
        <v>0</v>
      </c>
      <c r="P40" s="36">
        <v>0</v>
      </c>
      <c r="Q40" s="36">
        <v>0</v>
      </c>
      <c r="R40" s="36">
        <v>0</v>
      </c>
      <c r="S40" s="36">
        <v>0</v>
      </c>
      <c r="T40" s="36">
        <v>0</v>
      </c>
      <c r="U40" s="36">
        <v>0</v>
      </c>
      <c r="V40" s="36">
        <v>0</v>
      </c>
      <c r="W40" s="36">
        <v>0</v>
      </c>
      <c r="X40" s="36">
        <v>0</v>
      </c>
      <c r="Y40" s="36">
        <v>0</v>
      </c>
      <c r="Z40" s="36">
        <v>180.6375815815816</v>
      </c>
      <c r="AA40" s="36">
        <v>10.118702702702704</v>
      </c>
    </row>
    <row r="41" spans="1:27" s="53" customFormat="1" x14ac:dyDescent="0.25">
      <c r="A41" s="51" t="str">
        <v>Alto Trujillo</v>
      </c>
      <c r="B41" s="36">
        <v>3018.9825799999999</v>
      </c>
      <c r="C41" s="37">
        <v>46251</v>
      </c>
      <c r="D41" s="21">
        <f>B41*1/(1-Formula!$B$19)</f>
        <v>3022.0045845845843</v>
      </c>
      <c r="E41" s="36" cm="1">
        <f t="array" ref="E41:AA41">_xlfn._xlws.FILTER(Formula!$B$2:$X$12,Formula!$A$2:$A$12=A41,0)*D41</f>
        <v>160.46844344144142</v>
      </c>
      <c r="F41" s="36">
        <v>821.0786456316315</v>
      </c>
      <c r="G41" s="36">
        <v>1932.269731383383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36">
        <v>0</v>
      </c>
      <c r="Y41" s="36">
        <v>0</v>
      </c>
      <c r="Z41" s="36">
        <v>102.44595541741741</v>
      </c>
      <c r="AA41" s="36">
        <v>5.7418087107107105</v>
      </c>
    </row>
    <row r="42" spans="1:27" x14ac:dyDescent="0.25">
      <c r="D42" s="50"/>
    </row>
    <row r="43" spans="1:27" x14ac:dyDescent="0.25">
      <c r="D43" s="50"/>
    </row>
    <row r="44" spans="1:27" x14ac:dyDescent="0.25">
      <c r="D44" s="50"/>
    </row>
    <row r="45" spans="1:27" x14ac:dyDescent="0.25">
      <c r="D45" s="50"/>
    </row>
    <row r="46" spans="1:27" x14ac:dyDescent="0.25">
      <c r="D46" s="50"/>
    </row>
    <row r="47" spans="1:27" x14ac:dyDescent="0.25">
      <c r="D47" s="50"/>
    </row>
    <row r="48" spans="1:27" x14ac:dyDescent="0.25">
      <c r="A48" s="4" t="s">
        <v>59</v>
      </c>
      <c r="E48" s="22" cm="1">
        <f t="array" ref="E48:AA48">(D32-2800)*Formula!B2:X2</f>
        <v>11.788443441441428</v>
      </c>
      <c r="F48" s="7">
        <v>60.318645631631561</v>
      </c>
      <c r="G48" s="7">
        <v>141.94973138338321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7.5259554174174088</v>
      </c>
      <c r="AA48" s="8">
        <v>0.42180871071071024</v>
      </c>
    </row>
    <row r="49" spans="1:27" x14ac:dyDescent="0.25">
      <c r="A49" s="4" t="s">
        <v>1</v>
      </c>
      <c r="C49" s="22"/>
      <c r="E49" s="22" cm="1">
        <f t="array" ref="E49:AA49">400*Formula!B3:X3</f>
        <v>142.04000000000002</v>
      </c>
      <c r="F49" s="7">
        <v>47.36</v>
      </c>
      <c r="G49" s="7">
        <v>47.36</v>
      </c>
      <c r="H49" s="7">
        <v>0</v>
      </c>
      <c r="I49" s="7">
        <v>142.04000000000002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20.080000000000002</v>
      </c>
      <c r="AA49" s="8">
        <v>1.1199999999999999</v>
      </c>
    </row>
    <row r="50" spans="1:27" x14ac:dyDescent="0.25">
      <c r="A50" s="4" t="s">
        <v>62</v>
      </c>
      <c r="C50" s="22"/>
      <c r="E50" s="22" cm="1">
        <f t="array" ref="E50:AA50">400*Formula!B4:X4</f>
        <v>80.44</v>
      </c>
      <c r="F50" s="7">
        <v>78.56</v>
      </c>
      <c r="G50" s="7">
        <v>178.56</v>
      </c>
      <c r="H50" s="7">
        <v>0</v>
      </c>
      <c r="I50" s="7">
        <v>21.44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7.16</v>
      </c>
      <c r="Q50" s="7">
        <v>17.84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15.160000000000002</v>
      </c>
      <c r="AA50" s="8">
        <v>0.84</v>
      </c>
    </row>
    <row r="51" spans="1:27" x14ac:dyDescent="0.25">
      <c r="A51" s="4" t="s">
        <v>65</v>
      </c>
      <c r="C51" s="22"/>
      <c r="E51" s="22" cm="1">
        <f t="array" ref="E51:AA51">400*Formula!B5:X5</f>
        <v>67.739204064352236</v>
      </c>
      <c r="F51" s="7">
        <v>160.88060965283657</v>
      </c>
      <c r="G51" s="7">
        <v>152.41320914479255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17.950889077053343</v>
      </c>
      <c r="AA51" s="8">
        <v>1.0160880609652836</v>
      </c>
    </row>
    <row r="52" spans="1:27" x14ac:dyDescent="0.25">
      <c r="A52" s="4" t="s">
        <v>70</v>
      </c>
      <c r="C52" s="22"/>
      <c r="E52" s="22" cm="1">
        <f t="array" ref="E52:AA52">400*Formula!B6:X6</f>
        <v>51.4</v>
      </c>
      <c r="F52" s="7">
        <v>86.56</v>
      </c>
      <c r="G52" s="7">
        <v>133.4</v>
      </c>
      <c r="H52" s="7">
        <v>3.5999999999999996</v>
      </c>
      <c r="I52" s="7">
        <v>50.480000000000004</v>
      </c>
      <c r="J52" s="7">
        <v>0</v>
      </c>
      <c r="K52" s="7">
        <v>0</v>
      </c>
      <c r="L52" s="7">
        <v>0</v>
      </c>
      <c r="M52" s="7">
        <v>46.88</v>
      </c>
      <c r="N52" s="7">
        <v>5.76</v>
      </c>
      <c r="O52" s="7">
        <v>0</v>
      </c>
      <c r="P52" s="7">
        <v>0</v>
      </c>
      <c r="Q52" s="7">
        <v>0</v>
      </c>
      <c r="R52" s="7">
        <v>2.88</v>
      </c>
      <c r="S52" s="7">
        <v>2.88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15.28</v>
      </c>
      <c r="AA52" s="8">
        <v>0.88</v>
      </c>
    </row>
    <row r="53" spans="1:27" x14ac:dyDescent="0.25">
      <c r="A53" s="4" t="s">
        <v>73</v>
      </c>
      <c r="C53" s="22"/>
      <c r="E53" s="22" cm="1">
        <f t="array" ref="E53:AA53">400*Formula!B7:X7</f>
        <v>140.5109489051095</v>
      </c>
      <c r="F53" s="7">
        <v>0</v>
      </c>
      <c r="G53" s="7">
        <v>0</v>
      </c>
      <c r="H53" s="7">
        <v>0</v>
      </c>
      <c r="I53" s="7">
        <v>0</v>
      </c>
      <c r="J53" s="7">
        <v>45.620437956204377</v>
      </c>
      <c r="K53" s="7">
        <v>47.445255474452551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95.802919708029194</v>
      </c>
      <c r="U53" s="7">
        <v>0</v>
      </c>
      <c r="V53" s="7">
        <v>0</v>
      </c>
      <c r="W53" s="7">
        <v>0</v>
      </c>
      <c r="X53" s="7">
        <v>13.686131386861314</v>
      </c>
      <c r="Y53" s="7">
        <v>36.496350364963504</v>
      </c>
      <c r="Z53" s="7">
        <v>0</v>
      </c>
      <c r="AA53" s="8">
        <v>20.437956204379564</v>
      </c>
    </row>
    <row r="54" spans="1:27" x14ac:dyDescent="0.25">
      <c r="A54" s="4" t="s">
        <v>10</v>
      </c>
      <c r="C54" s="22"/>
      <c r="E54" s="22" cm="1">
        <f t="array" ref="E54:AA54">400*Formula!B8:X8</f>
        <v>90.845562543675754</v>
      </c>
      <c r="F54" s="7">
        <v>125.78616352201257</v>
      </c>
      <c r="G54" s="7">
        <v>104.82180293501048</v>
      </c>
      <c r="H54" s="7">
        <v>20.964360587002094</v>
      </c>
      <c r="I54" s="7">
        <v>0</v>
      </c>
      <c r="J54" s="7">
        <v>0</v>
      </c>
      <c r="K54" s="7">
        <v>0</v>
      </c>
      <c r="L54" s="7">
        <v>0</v>
      </c>
      <c r="M54" s="7">
        <v>41.928721174004188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14.814814814814813</v>
      </c>
      <c r="AA54" s="8">
        <v>0.83857442348008371</v>
      </c>
    </row>
    <row r="55" spans="1:27" x14ac:dyDescent="0.25">
      <c r="A55" s="4" t="s">
        <v>68</v>
      </c>
      <c r="C55" s="22"/>
      <c r="E55" s="22" cm="1">
        <f t="array" ref="E55:AA55">400*Formula!B9:X9</f>
        <v>25.080000000000002</v>
      </c>
      <c r="F55" s="7">
        <v>163.64000000000001</v>
      </c>
      <c r="G55" s="7">
        <v>0</v>
      </c>
      <c r="H55" s="7">
        <v>45.440000000000005</v>
      </c>
      <c r="I55" s="7">
        <v>31.840000000000003</v>
      </c>
      <c r="J55" s="7">
        <v>45.440000000000005</v>
      </c>
      <c r="K55" s="7">
        <v>0</v>
      </c>
      <c r="L55" s="7">
        <v>68.2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19.28</v>
      </c>
      <c r="AA55" s="8">
        <v>1.08</v>
      </c>
    </row>
    <row r="56" spans="1:27" x14ac:dyDescent="0.25">
      <c r="A56" s="4" t="s">
        <v>11</v>
      </c>
      <c r="C56" s="22"/>
      <c r="E56" s="22" cm="1">
        <f t="array" ref="E56:AA56">400*Formula!B10:X10</f>
        <v>52.080000000000005</v>
      </c>
      <c r="F56" s="7">
        <v>89.759999999999991</v>
      </c>
      <c r="G56" s="7">
        <v>179.51999999999998</v>
      </c>
      <c r="H56" s="7">
        <v>0</v>
      </c>
      <c r="I56" s="7">
        <v>40.799999999999997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7.3599999999999994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4.08</v>
      </c>
      <c r="V56" s="7">
        <v>4.08</v>
      </c>
      <c r="W56" s="7">
        <v>4.08</v>
      </c>
      <c r="X56" s="7">
        <v>0</v>
      </c>
      <c r="Y56" s="7">
        <v>0</v>
      </c>
      <c r="Z56" s="7">
        <v>17.28</v>
      </c>
      <c r="AA56" s="8">
        <v>0.96</v>
      </c>
    </row>
    <row r="57" spans="1:27" x14ac:dyDescent="0.25">
      <c r="C57" s="22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x14ac:dyDescent="0.25">
      <c r="C58" s="22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x14ac:dyDescent="0.25">
      <c r="D59" s="22">
        <f>D24-4800-4400</f>
        <v>107.38738738738721</v>
      </c>
      <c r="E59" s="8" cm="1">
        <f t="array" ref="E59:AA59">_xlfn.ANCHORARRAY(E55)/400*D59</f>
        <v>6.7331891891891784</v>
      </c>
      <c r="F59" s="8">
        <v>43.932180180180112</v>
      </c>
      <c r="G59" s="8">
        <v>0</v>
      </c>
      <c r="H59" s="8">
        <v>12.199207207207188</v>
      </c>
      <c r="I59" s="8">
        <v>8.5480360360360219</v>
      </c>
      <c r="J59" s="8">
        <v>12.199207207207188</v>
      </c>
      <c r="K59" s="8">
        <v>0</v>
      </c>
      <c r="L59" s="8">
        <v>18.309549549549519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5.1760720720720634</v>
      </c>
      <c r="AA59" s="7">
        <v>0.28994594594594547</v>
      </c>
    </row>
    <row r="60" spans="1:27" x14ac:dyDescent="0.25">
      <c r="AA60" s="7"/>
    </row>
    <row r="61" spans="1:27" x14ac:dyDescent="0.25">
      <c r="AA61" s="7"/>
    </row>
    <row r="62" spans="1:27" x14ac:dyDescent="0.25">
      <c r="AA62" s="7"/>
    </row>
    <row r="63" spans="1:27" x14ac:dyDescent="0.25">
      <c r="AA63" s="7"/>
    </row>
    <row r="64" spans="1:27" x14ac:dyDescent="0.25">
      <c r="AA64" s="7"/>
    </row>
    <row r="65" spans="27:27" x14ac:dyDescent="0.25">
      <c r="AA65" s="7"/>
    </row>
    <row r="66" spans="27:27" x14ac:dyDescent="0.25">
      <c r="AA66" s="7"/>
    </row>
    <row r="67" spans="27:27" x14ac:dyDescent="0.25">
      <c r="AA67" s="7"/>
    </row>
  </sheetData>
  <autoFilter ref="A1:AA33" xr:uid="{2309C34C-1E94-41EE-AE95-90AF7A1C33B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CC508-74F1-47F9-8E97-E2D1FA973DC8}">
  <dimension ref="A1:M87"/>
  <sheetViews>
    <sheetView workbookViewId="0">
      <pane ySplit="1" topLeftCell="A24" activePane="bottomLeft" state="frozen"/>
      <selection pane="bottomLeft" activeCell="E41" sqref="E41"/>
    </sheetView>
  </sheetViews>
  <sheetFormatPr baseColWidth="10" defaultRowHeight="15" x14ac:dyDescent="0.25"/>
  <cols>
    <col min="1" max="1" width="18" style="4" bestFit="1" customWidth="1"/>
    <col min="2" max="2" width="13.140625" style="8" bestFit="1" customWidth="1"/>
    <col min="3" max="3" width="10.42578125" style="5" bestFit="1" customWidth="1"/>
    <col min="4" max="4" width="11.7109375" style="8" bestFit="1" customWidth="1"/>
    <col min="5" max="6" width="11.42578125" style="8"/>
    <col min="7" max="7" width="11.42578125" customWidth="1"/>
  </cols>
  <sheetData>
    <row r="1" spans="1:9" ht="15.75" thickBot="1" x14ac:dyDescent="0.3">
      <c r="A1" s="14" t="s">
        <v>3</v>
      </c>
      <c r="B1" s="15" t="s">
        <v>6</v>
      </c>
      <c r="C1" s="16" t="s">
        <v>7</v>
      </c>
      <c r="D1" s="15" t="s">
        <v>13</v>
      </c>
      <c r="E1" s="15" t="s">
        <v>14</v>
      </c>
      <c r="F1" s="15" t="s">
        <v>12</v>
      </c>
    </row>
    <row r="2" spans="1:9" x14ac:dyDescent="0.25">
      <c r="A2" s="4" t="str" cm="1">
        <f t="array" ref="A2:C41">Mezclado!A2:C41</f>
        <v>Sanchez Carrión</v>
      </c>
      <c r="B2" s="8">
        <v>9298.08</v>
      </c>
      <c r="C2" s="5">
        <v>45987</v>
      </c>
      <c r="D2" s="8" cm="1">
        <f t="array" ref="D2">IF(ISNUMBER(MATCH(Mezclado!$A2, _xlfn._xlws.FILTER(Procesos!$A$2:$A$23, Procesos!B$2:B$23="Laminado"), 0)), Mezclado!E2/(1-Formula!$B$18),0)</f>
        <v>585.32917671934717</v>
      </c>
      <c r="E2" s="8" cm="1">
        <f t="array" ref="E2">IF(ISNUMBER(MATCH(Mezclado!$A2, _xlfn._xlws.FILTER(Procesos!$A$2:$A$23, Procesos!C$2:C$23="Laminado"), 0)), Mezclado!F2/(1-Formula!$B$18),0)</f>
        <v>3819.1095087062995</v>
      </c>
      <c r="F2" s="8" cm="1">
        <f t="array" ref="F2">IF(ISNUMBER(MATCH(Mezclado!$A2, _xlfn._xlws.FILTER(Procesos!$A$2:$A$23, Procesos!D$2:D$23="Laminado"), 0)), Mezclado!G2/(1-Formula!$B$18),0)</f>
        <v>0</v>
      </c>
      <c r="I2" s="12"/>
    </row>
    <row r="3" spans="1:9" x14ac:dyDescent="0.25">
      <c r="A3" s="13" t="str">
        <v>Olmos</v>
      </c>
      <c r="B3" s="8">
        <v>11040</v>
      </c>
      <c r="C3" s="5">
        <v>46036</v>
      </c>
      <c r="D3" s="8" cm="1">
        <f t="array" ref="D3">IF(ISNUMBER(MATCH(Mezclado!$A3, _xlfn._xlws.FILTER(Procesos!$A$2:$A$23, Procesos!B$2:B$23="Laminado"), 0)), Mezclado!E3/(1-Formula!$B$18),0)</f>
        <v>2517.3995722959171</v>
      </c>
      <c r="E3" s="8" cm="1">
        <f t="array" ref="E3">IF(ISNUMBER(MATCH(Mezclado!$A3, _xlfn._xlws.FILTER(Procesos!$A$2:$A$23, Procesos!C$2:C$23="Laminado"), 0)), Mezclado!F3/(1-Formula!$B$18),0)</f>
        <v>3485.6301770251162</v>
      </c>
      <c r="F3" s="8" cm="1">
        <f t="array" ref="F3">IF(ISNUMBER(MATCH(Mezclado!$A3, _xlfn._xlws.FILTER(Procesos!$A$2:$A$23, Procesos!D$2:D$23="Laminado"), 0)), Mezclado!G3/(1-Formula!$B$18),0)</f>
        <v>0</v>
      </c>
      <c r="H3" s="7"/>
    </row>
    <row r="4" spans="1:9" x14ac:dyDescent="0.25">
      <c r="A4" s="13" t="str">
        <v>Sanchez Carrión</v>
      </c>
      <c r="B4" s="8">
        <v>9467.0400000000009</v>
      </c>
      <c r="C4" s="5">
        <v>46036</v>
      </c>
      <c r="D4" s="8" cm="1">
        <f t="array" ref="D4">IF(ISNUMBER(MATCH(Mezclado!$A4, _xlfn._xlws.FILTER(Procesos!$A$2:$A$23, Procesos!B$2:B$23="Laminado"), 0)), Mezclado!E4/(1-Formula!$B$18),0)</f>
        <v>595.96548203168072</v>
      </c>
      <c r="E4" s="8" cm="1">
        <f t="array" ref="E4">IF(ISNUMBER(MATCH(Mezclado!$A4, _xlfn._xlws.FILTER(Procesos!$A$2:$A$23, Procesos!C$2:C$23="Laminado"), 0)), Mezclado!F4/(1-Formula!$B$18),0)</f>
        <v>3888.5084322035186</v>
      </c>
      <c r="F4" s="8" cm="1">
        <f t="array" ref="F4">IF(ISNUMBER(MATCH(Mezclado!$A4, _xlfn._xlws.FILTER(Procesos!$A$2:$A$23, Procesos!D$2:D$23="Laminado"), 0)), Mezclado!G4/(1-Formula!$B$18),0)</f>
        <v>0</v>
      </c>
      <c r="H4" s="7"/>
    </row>
    <row r="5" spans="1:9" x14ac:dyDescent="0.25">
      <c r="A5" s="13" t="str">
        <v>Hualgayoc</v>
      </c>
      <c r="B5" s="8">
        <v>11906.241620000001</v>
      </c>
      <c r="C5" s="5">
        <v>46038</v>
      </c>
      <c r="D5" s="8" cm="1">
        <f t="array" ref="D5">IF(ISNUMBER(MATCH(Mezclado!$A5, _xlfn._xlws.FILTER(Procesos!$A$2:$A$23, Procesos!B$2:B$23="Laminado"), 0)), Mezclado!E5/(1-Formula!$B$18),0)</f>
        <v>1536.091807123071</v>
      </c>
      <c r="E5" s="8" cm="1">
        <f t="array" ref="E5">IF(ISNUMBER(MATCH(Mezclado!$A5, _xlfn._xlws.FILTER(Procesos!$A$2:$A$23, Procesos!C$2:C$23="Laminado"), 0)), Mezclado!F5/(1-Formula!$B$18),0)</f>
        <v>2586.8503273263236</v>
      </c>
      <c r="F5" s="8" cm="1">
        <f t="array" ref="F5">IF(ISNUMBER(MATCH(Mezclado!$A5, _xlfn._xlws.FILTER(Procesos!$A$2:$A$23, Procesos!D$2:D$23="Laminado"), 0)), Mezclado!G5/(1-Formula!$B$18),0)</f>
        <v>3986.6662854127958</v>
      </c>
      <c r="G5" s="12"/>
      <c r="H5" s="7"/>
    </row>
    <row r="6" spans="1:9" x14ac:dyDescent="0.25">
      <c r="A6" s="13" t="str">
        <v>Viru</v>
      </c>
      <c r="B6" s="8">
        <v>5850</v>
      </c>
      <c r="C6" s="5">
        <v>46038</v>
      </c>
      <c r="D6" s="8" cm="1">
        <f t="array" ref="D6">IF(ISNUMBER(MATCH(Mezclado!$A6, _xlfn._xlws.FILTER(Procesos!$A$2:$A$23, Procesos!B$2:B$23="Laminado"), 0)), Mezclado!E6/(1-Formula!$B$18),0)</f>
        <v>764.72661226924026</v>
      </c>
      <c r="E6" s="8" cm="1">
        <f t="array" ref="E6">IF(ISNUMBER(MATCH(Mezclado!$A6, _xlfn._xlws.FILTER(Procesos!$A$2:$A$23, Procesos!C$2:C$23="Laminado"), 0)), Mezclado!F6/(1-Formula!$B$18),0)</f>
        <v>1318.0080782889206</v>
      </c>
      <c r="F6" s="8" cm="1">
        <f t="array" ref="F6">IF(ISNUMBER(MATCH(Mezclado!$A6, _xlfn._xlws.FILTER(Procesos!$A$2:$A$23, Procesos!D$2:D$23="Laminado"), 0)), Mezclado!G6/(1-Formula!$B$18),0)</f>
        <v>2636.0161565778412</v>
      </c>
      <c r="H6" s="7"/>
    </row>
    <row r="7" spans="1:9" x14ac:dyDescent="0.25">
      <c r="A7" s="13" t="str">
        <v>Florencia de Mora</v>
      </c>
      <c r="B7" s="8">
        <v>4281.8335999999999</v>
      </c>
      <c r="C7" s="5">
        <v>46044</v>
      </c>
      <c r="D7" s="8" cm="1">
        <f t="array" ref="D7">IF(ISNUMBER(MATCH(Mezclado!$A7, _xlfn._xlws.FILTER(Procesos!$A$2:$A$23, Procesos!B$2:B$23="Laminado"), 0)), Mezclado!E7/(1-Formula!$B$18),0)</f>
        <v>728.02993565280428</v>
      </c>
      <c r="E7" s="8" cm="1">
        <f t="array" ref="E7">IF(ISNUMBER(MATCH(Mezclado!$A7, _xlfn._xlws.FILTER(Procesos!$A$2:$A$23, Procesos!C$2:C$23="Laminado"), 0)), Mezclado!F7/(1-Formula!$B$18),0)</f>
        <v>1729.0710971754099</v>
      </c>
      <c r="F7" s="8" cm="1">
        <f t="array" ref="F7">IF(ISNUMBER(MATCH(Mezclado!$A7, _xlfn._xlws.FILTER(Procesos!$A$2:$A$23, Procesos!D$2:D$23="Laminado"), 0)), Mezclado!G7/(1-Formula!$B$18),0)</f>
        <v>1638.0673552188096</v>
      </c>
      <c r="H7" s="7"/>
    </row>
    <row r="8" spans="1:9" x14ac:dyDescent="0.25">
      <c r="A8" s="13" t="str">
        <v>Olmos</v>
      </c>
      <c r="B8" s="8">
        <v>11058</v>
      </c>
      <c r="C8" s="5">
        <v>46055</v>
      </c>
      <c r="D8" s="8" cm="1">
        <f t="array" ref="D8">IF(ISNUMBER(MATCH(Mezclado!$A8, _xlfn._xlws.FILTER(Procesos!$A$2:$A$23, Procesos!B$2:B$23="Laminado"), 0)), Mezclado!E8/(1-Formula!$B$18),0)</f>
        <v>2521.5040281203133</v>
      </c>
      <c r="E8" s="8" cm="1">
        <f t="array" ref="E8">IF(ISNUMBER(MATCH(Mezclado!$A8, _xlfn._xlws.FILTER(Procesos!$A$2:$A$23, Procesos!C$2:C$23="Laminado"), 0)), Mezclado!F8/(1-Formula!$B$18),0)</f>
        <v>3491.3132697050487</v>
      </c>
      <c r="F8" s="8" cm="1">
        <f t="array" ref="F8">IF(ISNUMBER(MATCH(Mezclado!$A8, _xlfn._xlws.FILTER(Procesos!$A$2:$A$23, Procesos!D$2:D$23="Laminado"), 0)), Mezclado!G8/(1-Formula!$B$18),0)</f>
        <v>0</v>
      </c>
      <c r="H8" s="7"/>
    </row>
    <row r="9" spans="1:9" x14ac:dyDescent="0.25">
      <c r="A9" s="13" t="str">
        <v>Cajatambo</v>
      </c>
      <c r="B9" s="8">
        <v>1042</v>
      </c>
      <c r="C9" s="5">
        <v>46060</v>
      </c>
      <c r="D9" s="8" cm="1">
        <f t="array" ref="D9">IF(ISNUMBER(MATCH(Mezclado!$A9, _xlfn._xlws.FILTER(Procesos!$A$2:$A$23, Procesos!B$2:B$23="Laminado"), 0)), Mezclado!E9/(1-Formula!$B$18),0)</f>
        <v>371.49908183007483</v>
      </c>
      <c r="E9" s="8" cm="1">
        <f t="array" ref="E9">IF(ISNUMBER(MATCH(Mezclado!$A9, _xlfn._xlws.FILTER(Procesos!$A$2:$A$23, Procesos!C$2:C$23="Laminado"), 0)), Mezclado!F9/(1-Formula!$B$18),0)</f>
        <v>123.86789999628516</v>
      </c>
      <c r="F9" s="8" cm="1">
        <f t="array" ref="F9">IF(ISNUMBER(MATCH(Mezclado!$A9, _xlfn._xlws.FILTER(Procesos!$A$2:$A$23, Procesos!D$2:D$23="Laminado"), 0)), Mezclado!G9/(1-Formula!$B$18),0)</f>
        <v>123.86789999628516</v>
      </c>
      <c r="H9" s="7"/>
    </row>
    <row r="10" spans="1:9" x14ac:dyDescent="0.25">
      <c r="A10" s="13" t="str">
        <v>Encañada</v>
      </c>
      <c r="B10" s="8">
        <v>21119.279999999999</v>
      </c>
      <c r="C10" s="5">
        <v>46073</v>
      </c>
      <c r="D10" s="8" cm="1">
        <f t="array" ref="D10">IF(ISNUMBER(MATCH(Mezclado!$A10, _xlfn._xlws.FILTER(Procesos!$A$2:$A$23, Procesos!B$2:B$23="Laminado"), 0)), Mezclado!E10/(1-Formula!$B$18),0)</f>
        <v>4264.1309393646397</v>
      </c>
      <c r="E10" s="8" cm="1">
        <f t="array" ref="E10">IF(ISNUMBER(MATCH(Mezclado!$A10, _xlfn._xlws.FILTER(Procesos!$A$2:$A$23, Procesos!C$2:C$23="Laminado"), 0)), Mezclado!F10/(1-Formula!$B$18),0)</f>
        <v>4164.4719865301604</v>
      </c>
      <c r="F10" s="8" cm="1">
        <f t="array" ref="F10">IF(ISNUMBER(MATCH(Mezclado!$A10, _xlfn._xlws.FILTER(Procesos!$A$2:$A$23, Procesos!D$2:D$23="Laminado"), 0)), Mezclado!G10/(1-Formula!$B$18),0)</f>
        <v>9465.4801160237457</v>
      </c>
      <c r="H10" s="7"/>
    </row>
    <row r="11" spans="1:9" x14ac:dyDescent="0.25">
      <c r="A11" s="13" t="str">
        <v>Moyobamba</v>
      </c>
      <c r="B11" s="8">
        <v>9322</v>
      </c>
      <c r="C11" s="5">
        <v>46083</v>
      </c>
      <c r="D11" s="8" cm="1">
        <f t="array" ref="D11">IF(ISNUMBER(MATCH(Mezclado!$A11, _xlfn._xlws.FILTER(Procesos!$A$2:$A$23, Procesos!B$2:B$23="Laminado"), 0)), Mezclado!E11/(1-Formula!$B$18),0)</f>
        <v>3287.7487961718757</v>
      </c>
      <c r="E11" s="8" cm="1">
        <f t="array" ref="E11">IF(ISNUMBER(MATCH(Mezclado!$A11, _xlfn._xlws.FILTER(Procesos!$A$2:$A$23, Procesos!C$2:C$23="Laminado"), 0)), Mezclado!F11/(1-Formula!$B$18),0)</f>
        <v>0</v>
      </c>
      <c r="F11" s="8" cm="1">
        <f t="array" ref="F11">IF(ISNUMBER(MATCH(Mezclado!$A11, _xlfn._xlws.FILTER(Procesos!$A$2:$A$23, Procesos!D$2:D$23="Laminado"), 0)), Mezclado!G11/(1-Formula!$B$18),0)</f>
        <v>0</v>
      </c>
      <c r="H11" s="7"/>
    </row>
    <row r="12" spans="1:9" x14ac:dyDescent="0.25">
      <c r="A12" s="13" t="str">
        <v>Olmos</v>
      </c>
      <c r="B12" s="8">
        <v>5611</v>
      </c>
      <c r="C12" s="5">
        <v>46085</v>
      </c>
      <c r="D12" s="8" cm="1">
        <f t="array" ref="D12">IF(ISNUMBER(MATCH(Mezclado!$A12, _xlfn._xlws.FILTER(Procesos!$A$2:$A$23, Procesos!B$2:B$23="Laminado"), 0)), Mezclado!E12/(1-Formula!$B$18),0)</f>
        <v>1279.450090593514</v>
      </c>
      <c r="E12" s="8" cm="1">
        <f t="array" ref="E12">IF(ISNUMBER(MATCH(Mezclado!$A12, _xlfn._xlws.FILTER(Procesos!$A$2:$A$23, Procesos!C$2:C$23="Laminado"), 0)), Mezclado!F12/(1-Formula!$B$18),0)</f>
        <v>1771.5462792833268</v>
      </c>
      <c r="F12" s="8" cm="1">
        <f t="array" ref="F12">IF(ISNUMBER(MATCH(Mezclado!$A12, _xlfn._xlws.FILTER(Procesos!$A$2:$A$23, Procesos!D$2:D$23="Laminado"), 0)), Mezclado!G12/(1-Formula!$B$18),0)</f>
        <v>0</v>
      </c>
      <c r="H12" s="7"/>
    </row>
    <row r="13" spans="1:9" x14ac:dyDescent="0.25">
      <c r="A13" s="13" t="str">
        <v>Cajatambo</v>
      </c>
      <c r="B13" s="8">
        <v>1042</v>
      </c>
      <c r="C13" s="5">
        <v>46086</v>
      </c>
      <c r="D13" s="8" cm="1">
        <f t="array" ref="D13">IF(ISNUMBER(MATCH(Mezclado!$A13, _xlfn._xlws.FILTER(Procesos!$A$2:$A$23, Procesos!B$2:B$23="Laminado"), 0)), Mezclado!E13/(1-Formula!$B$18),0)</f>
        <v>371.49908183007483</v>
      </c>
      <c r="E13" s="8" cm="1">
        <f t="array" ref="E13">IF(ISNUMBER(MATCH(Mezclado!$A13, _xlfn._xlws.FILTER(Procesos!$A$2:$A$23, Procesos!C$2:C$23="Laminado"), 0)), Mezclado!F13/(1-Formula!$B$18),0)</f>
        <v>123.86789999628516</v>
      </c>
      <c r="F13" s="8" cm="1">
        <f t="array" ref="F13">IF(ISNUMBER(MATCH(Mezclado!$A13, _xlfn._xlws.FILTER(Procesos!$A$2:$A$23, Procesos!D$2:D$23="Laminado"), 0)), Mezclado!G13/(1-Formula!$B$18),0)</f>
        <v>123.86789999628516</v>
      </c>
      <c r="H13" s="7"/>
    </row>
    <row r="14" spans="1:9" x14ac:dyDescent="0.25">
      <c r="A14" s="13" t="str">
        <v>Hualgayoc</v>
      </c>
      <c r="B14" s="8">
        <v>11906.241620000001</v>
      </c>
      <c r="C14" s="5">
        <v>46094</v>
      </c>
      <c r="D14" s="8" cm="1">
        <f t="array" ref="D14">IF(ISNUMBER(MATCH(Mezclado!$A14, _xlfn._xlws.FILTER(Procesos!$A$2:$A$23, Procesos!B$2:B$23="Laminado"), 0)), Mezclado!E14/(1-Formula!$B$18),0)</f>
        <v>1536.091807123071</v>
      </c>
      <c r="E14" s="8" cm="1">
        <f t="array" ref="E14">IF(ISNUMBER(MATCH(Mezclado!$A14, _xlfn._xlws.FILTER(Procesos!$A$2:$A$23, Procesos!C$2:C$23="Laminado"), 0)), Mezclado!F14/(1-Formula!$B$18),0)</f>
        <v>2586.8503273263236</v>
      </c>
      <c r="F14" s="8" cm="1">
        <f t="array" ref="F14">IF(ISNUMBER(MATCH(Mezclado!$A14, _xlfn._xlws.FILTER(Procesos!$A$2:$A$23, Procesos!D$2:D$23="Laminado"), 0)), Mezclado!G14/(1-Formula!$B$18),0)</f>
        <v>3986.6662854127958</v>
      </c>
      <c r="H14" s="7"/>
    </row>
    <row r="15" spans="1:9" x14ac:dyDescent="0.25">
      <c r="A15" s="13" t="str">
        <v>Alto Trujillo</v>
      </c>
      <c r="B15" s="8">
        <v>3018.04</v>
      </c>
      <c r="C15" s="5">
        <v>46097</v>
      </c>
      <c r="D15" s="8" cm="1">
        <f t="array" ref="D15">IF(ISNUMBER(MATCH(Mezclado!$A15, _xlfn._xlws.FILTER(Procesos!$A$2:$A$23, Procesos!B$2:B$23="Laminado"), 0)), Mezclado!E15/(1-Formula!$B$18),0)</f>
        <v>160.90104547877868</v>
      </c>
      <c r="E15" s="8" cm="1">
        <f t="array" ref="E15">IF(ISNUMBER(MATCH(Mezclado!$A15, _xlfn._xlws.FILTER(Procesos!$A$2:$A$23, Procesos!C$2:C$23="Laminado"), 0)), Mezclado!F15/(1-Formula!$B$18),0)</f>
        <v>823.29216679066235</v>
      </c>
      <c r="F15" s="8" cm="1">
        <f t="array" ref="F15">IF(ISNUMBER(MATCH(Mezclado!$A15, _xlfn._xlws.FILTER(Procesos!$A$2:$A$23, Procesos!D$2:D$23="Laminado"), 0)), Mezclado!G15/(1-Formula!$B$18),0)</f>
        <v>1937.4788790796813</v>
      </c>
      <c r="H15" s="7"/>
    </row>
    <row r="16" spans="1:9" x14ac:dyDescent="0.25">
      <c r="A16" s="13" t="str">
        <v>Sanchez Carrión</v>
      </c>
      <c r="B16" s="8">
        <v>9467.0400000000009</v>
      </c>
      <c r="C16" s="5">
        <v>46097</v>
      </c>
      <c r="D16" s="8" cm="1">
        <f t="array" ref="D16">IF(ISNUMBER(MATCH(Mezclado!$A16, _xlfn._xlws.FILTER(Procesos!$A$2:$A$23, Procesos!B$2:B$23="Laminado"), 0)), Mezclado!E16/(1-Formula!$B$18),0)</f>
        <v>595.96548203168072</v>
      </c>
      <c r="E16" s="8" cm="1">
        <f t="array" ref="E16">IF(ISNUMBER(MATCH(Mezclado!$A16, _xlfn._xlws.FILTER(Procesos!$A$2:$A$23, Procesos!C$2:C$23="Laminado"), 0)), Mezclado!F16/(1-Formula!$B$18),0)</f>
        <v>3888.5084322035186</v>
      </c>
      <c r="F16" s="8" cm="1">
        <f t="array" ref="F16">IF(ISNUMBER(MATCH(Mezclado!$A16, _xlfn._xlws.FILTER(Procesos!$A$2:$A$23, Procesos!D$2:D$23="Laminado"), 0)), Mezclado!G16/(1-Formula!$B$18),0)</f>
        <v>0</v>
      </c>
      <c r="H16" s="7"/>
    </row>
    <row r="17" spans="1:13" x14ac:dyDescent="0.25">
      <c r="A17" s="13" t="str">
        <v>Viru</v>
      </c>
      <c r="B17" s="8">
        <v>6046</v>
      </c>
      <c r="C17" s="5">
        <v>46097</v>
      </c>
      <c r="D17" s="8" cm="1">
        <f t="array" ref="D17">IF(ISNUMBER(MATCH(Mezclado!$A17, _xlfn._xlws.FILTER(Procesos!$A$2:$A$23, Procesos!B$2:B$23="Laminado"), 0)), Mezclado!E17/(1-Formula!$B$18),0)</f>
        <v>790.34822184270536</v>
      </c>
      <c r="E17" s="8" cm="1">
        <f t="array" ref="E17">IF(ISNUMBER(MATCH(Mezclado!$A17, _xlfn._xlws.FILTER(Procesos!$A$2:$A$23, Procesos!C$2:C$23="Laminado"), 0)), Mezclado!F17/(1-Formula!$B$18),0)</f>
        <v>1362.1669814247548</v>
      </c>
      <c r="F17" s="8" cm="1">
        <f t="array" ref="F17">IF(ISNUMBER(MATCH(Mezclado!$A17, _xlfn._xlws.FILTER(Procesos!$A$2:$A$23, Procesos!D$2:D$23="Laminado"), 0)), Mezclado!G17/(1-Formula!$B$18),0)</f>
        <v>2724.3339628495096</v>
      </c>
      <c r="H17" s="7"/>
    </row>
    <row r="18" spans="1:13" x14ac:dyDescent="0.25">
      <c r="A18" s="13" t="str">
        <v>Florencia de Mora</v>
      </c>
      <c r="B18" s="8">
        <v>4281.8335999999999</v>
      </c>
      <c r="C18" s="5">
        <v>46100</v>
      </c>
      <c r="D18" s="8" cm="1">
        <f t="array" ref="D18">IF(ISNUMBER(MATCH(Mezclado!$A18, _xlfn._xlws.FILTER(Procesos!$A$2:$A$23, Procesos!B$2:B$23="Laminado"), 0)), Mezclado!E18/(1-Formula!$B$18),0)</f>
        <v>728.02993565280428</v>
      </c>
      <c r="E18" s="8" cm="1">
        <f t="array" ref="E18">IF(ISNUMBER(MATCH(Mezclado!$A18, _xlfn._xlws.FILTER(Procesos!$A$2:$A$23, Procesos!C$2:C$23="Laminado"), 0)), Mezclado!F18/(1-Formula!$B$18),0)</f>
        <v>1729.0710971754099</v>
      </c>
      <c r="F18" s="8" cm="1">
        <f t="array" ref="F18">IF(ISNUMBER(MATCH(Mezclado!$A18, _xlfn._xlws.FILTER(Procesos!$A$2:$A$23, Procesos!D$2:D$23="Laminado"), 0)), Mezclado!G18/(1-Formula!$B$18),0)</f>
        <v>1638.0673552188096</v>
      </c>
      <c r="H18" s="7"/>
    </row>
    <row r="19" spans="1:13" x14ac:dyDescent="0.25">
      <c r="A19" s="13" t="str">
        <v>Encañada</v>
      </c>
      <c r="B19" s="8">
        <v>21119.279999999999</v>
      </c>
      <c r="C19" s="5">
        <v>46101</v>
      </c>
      <c r="D19" s="8" cm="1">
        <f t="array" ref="D19">IF(ISNUMBER(MATCH(Mezclado!$A19, _xlfn._xlws.FILTER(Procesos!$A$2:$A$23, Procesos!B$2:B$23="Laminado"), 0)), Mezclado!E19/(1-Formula!$B$18),0)</f>
        <v>4264.1309393646397</v>
      </c>
      <c r="E19" s="8" cm="1">
        <f t="array" ref="E19">IF(ISNUMBER(MATCH(Mezclado!$A19, _xlfn._xlws.FILTER(Procesos!$A$2:$A$23, Procesos!C$2:C$23="Laminado"), 0)), Mezclado!F19/(1-Formula!$B$18),0)</f>
        <v>4164.4719865301604</v>
      </c>
      <c r="F19" s="8" cm="1">
        <f t="array" ref="F19">IF(ISNUMBER(MATCH(Mezclado!$A19, _xlfn._xlws.FILTER(Procesos!$A$2:$A$23, Procesos!D$2:D$23="Laminado"), 0)), Mezclado!G19/(1-Formula!$B$18),0)</f>
        <v>9465.4801160237457</v>
      </c>
      <c r="H19" s="7"/>
    </row>
    <row r="20" spans="1:13" x14ac:dyDescent="0.25">
      <c r="A20" s="13" t="str">
        <v>Olmos</v>
      </c>
      <c r="B20" s="8">
        <v>5840</v>
      </c>
      <c r="C20" s="5">
        <v>46115</v>
      </c>
      <c r="D20" s="8" cm="1">
        <f t="array" ref="D20">IF(ISNUMBER(MATCH(Mezclado!$A20, _xlfn._xlws.FILTER(Procesos!$A$2:$A$23, Procesos!B$2:B$23="Laminado"), 0)), Mezclado!E20/(1-Formula!$B$18),0)</f>
        <v>1331.6678896927681</v>
      </c>
      <c r="E20" s="8" cm="1">
        <f t="array" ref="E20">IF(ISNUMBER(MATCH(Mezclado!$A20, _xlfn._xlws.FILTER(Procesos!$A$2:$A$23, Procesos!C$2:C$23="Laminado"), 0)), Mezclado!F20/(1-Formula!$B$18),0)</f>
        <v>1843.8478472669096</v>
      </c>
      <c r="F20" s="8" cm="1">
        <f t="array" ref="F20">IF(ISNUMBER(MATCH(Mezclado!$A20, _xlfn._xlws.FILTER(Procesos!$A$2:$A$23, Procesos!D$2:D$23="Laminado"), 0)), Mezclado!G20/(1-Formula!$B$18),0)</f>
        <v>0</v>
      </c>
      <c r="H20" s="7"/>
    </row>
    <row r="21" spans="1:13" x14ac:dyDescent="0.25">
      <c r="A21" s="13" t="str">
        <v>Alto Trujillo</v>
      </c>
      <c r="B21" s="8">
        <v>3018.04</v>
      </c>
      <c r="C21" s="5">
        <v>46129</v>
      </c>
      <c r="D21" s="8" cm="1">
        <f t="array" ref="D21">IF(ISNUMBER(MATCH(Mezclado!$A21, _xlfn._xlws.FILTER(Procesos!$A$2:$A$23, Procesos!B$2:B$23="Laminado"), 0)), Mezclado!E21/(1-Formula!$B$18),0)</f>
        <v>160.90104547877868</v>
      </c>
      <c r="E21" s="8" cm="1">
        <f t="array" ref="E21">IF(ISNUMBER(MATCH(Mezclado!$A21, _xlfn._xlws.FILTER(Procesos!$A$2:$A$23, Procesos!C$2:C$23="Laminado"), 0)), Mezclado!F21/(1-Formula!$B$18),0)</f>
        <v>823.29216679066235</v>
      </c>
      <c r="F21" s="8" cm="1">
        <f t="array" ref="F21">IF(ISNUMBER(MATCH(Mezclado!$A21, _xlfn._xlws.FILTER(Procesos!$A$2:$A$23, Procesos!D$2:D$23="Laminado"), 0)), Mezclado!G21/(1-Formula!$B$18),0)</f>
        <v>1937.4788790796813</v>
      </c>
      <c r="H21" s="7"/>
    </row>
    <row r="22" spans="1:13" x14ac:dyDescent="0.25">
      <c r="A22" s="13" t="str">
        <v>Moyobamba</v>
      </c>
      <c r="B22" s="8">
        <v>9139</v>
      </c>
      <c r="C22" s="5">
        <v>46129</v>
      </c>
      <c r="D22" s="8" cm="1">
        <f t="array" ref="D22">IF(ISNUMBER(MATCH(Mezclado!$A22, _xlfn._xlws.FILTER(Procesos!$A$2:$A$23, Procesos!B$2:B$23="Laminado"), 0)), Mezclado!E22/(1-Formula!$B$18),0)</f>
        <v>3223.2070637432707</v>
      </c>
      <c r="E22" s="8" cm="1">
        <f t="array" ref="E22">IF(ISNUMBER(MATCH(Mezclado!$A22, _xlfn._xlws.FILTER(Procesos!$A$2:$A$23, Procesos!C$2:C$23="Laminado"), 0)), Mezclado!F22/(1-Formula!$B$18),0)</f>
        <v>0</v>
      </c>
      <c r="F22" s="8" cm="1">
        <f t="array" ref="F22">IF(ISNUMBER(MATCH(Mezclado!$A22, _xlfn._xlws.FILTER(Procesos!$A$2:$A$23, Procesos!D$2:D$23="Laminado"), 0)), Mezclado!G22/(1-Formula!$B$18),0)</f>
        <v>0</v>
      </c>
      <c r="H22" s="7"/>
      <c r="I22" s="48"/>
    </row>
    <row r="23" spans="1:13" x14ac:dyDescent="0.25">
      <c r="A23" s="13" t="str">
        <v>Olmos</v>
      </c>
      <c r="B23" s="8">
        <v>5611</v>
      </c>
      <c r="C23" s="5">
        <v>46146</v>
      </c>
      <c r="D23" s="8" cm="1">
        <f t="array" ref="D23">IF(ISNUMBER(MATCH(Mezclado!$A23, _xlfn._xlws.FILTER(Procesos!$A$2:$A$23, Procesos!B$2:B$23="Laminado"), 0)), Mezclado!E23/(1-Formula!$B$18),0)</f>
        <v>1279.450090593514</v>
      </c>
      <c r="E23" s="8" cm="1">
        <f t="array" ref="E23">IF(ISNUMBER(MATCH(Mezclado!$A23, _xlfn._xlws.FILTER(Procesos!$A$2:$A$23, Procesos!C$2:C$23="Laminado"), 0)), Mezclado!F23/(1-Formula!$B$18),0)</f>
        <v>1771.5462792833268</v>
      </c>
      <c r="F23" s="8" cm="1">
        <f t="array" ref="F23">IF(ISNUMBER(MATCH(Mezclado!$A23, _xlfn._xlws.FILTER(Procesos!$A$2:$A$23, Procesos!D$2:D$23="Laminado"), 0)), Mezclado!G23/(1-Formula!$B$18),0)</f>
        <v>0</v>
      </c>
      <c r="H23" s="7"/>
      <c r="I23" s="7"/>
      <c r="J23" s="7"/>
      <c r="L23" s="7"/>
      <c r="M23" s="7"/>
    </row>
    <row r="24" spans="1:13" x14ac:dyDescent="0.25">
      <c r="A24" s="13" t="str">
        <v>Sanchez Carrión</v>
      </c>
      <c r="B24" s="8">
        <v>9298.08</v>
      </c>
      <c r="C24" s="5">
        <v>46150</v>
      </c>
      <c r="D24" s="8" cm="1">
        <f t="array" ref="D24">IF(ISNUMBER(MATCH(Mezclado!$A24, _xlfn._xlws.FILTER(Procesos!$A$2:$A$23, Procesos!B$2:B$23="Laminado"), 0)), Mezclado!E24/(1-Formula!$B$18),0)</f>
        <v>585.32917671934717</v>
      </c>
      <c r="E24" s="8" cm="1">
        <f t="array" ref="E24">IF(ISNUMBER(MATCH(Mezclado!$A24, _xlfn._xlws.FILTER(Procesos!$A$2:$A$23, Procesos!C$2:C$23="Laminado"), 0)), Mezclado!F24/(1-Formula!$B$18),0)</f>
        <v>3819.1095087062995</v>
      </c>
      <c r="F24" s="8" cm="1">
        <f t="array" ref="F24">IF(ISNUMBER(MATCH(Mezclado!$A24, _xlfn._xlws.FILTER(Procesos!$A$2:$A$23, Procesos!D$2:D$23="Laminado"), 0)), Mezclado!G24/(1-Formula!$B$18),0)</f>
        <v>0</v>
      </c>
      <c r="H24" s="7"/>
      <c r="I24" s="7"/>
      <c r="J24" s="7"/>
      <c r="K24" s="48"/>
    </row>
    <row r="25" spans="1:13" x14ac:dyDescent="0.25">
      <c r="A25" s="13" t="str">
        <v>Viru</v>
      </c>
      <c r="B25" s="8">
        <v>6046</v>
      </c>
      <c r="C25" s="5">
        <v>46157</v>
      </c>
      <c r="D25" s="8" cm="1">
        <f t="array" ref="D25">IF(ISNUMBER(MATCH(Mezclado!$A25, _xlfn._xlws.FILTER(Procesos!$A$2:$A$23, Procesos!B$2:B$23="Laminado"), 0)), Mezclado!E25/(1-Formula!$B$18),0)</f>
        <v>790.34822184270536</v>
      </c>
      <c r="E25" s="8" cm="1">
        <f t="array" ref="E25">IF(ISNUMBER(MATCH(Mezclado!$A25, _xlfn._xlws.FILTER(Procesos!$A$2:$A$23, Procesos!C$2:C$23="Laminado"), 0)), Mezclado!F25/(1-Formula!$B$18),0)</f>
        <v>1362.1669814247548</v>
      </c>
      <c r="F25" s="8" cm="1">
        <f t="array" ref="F25">IF(ISNUMBER(MATCH(Mezclado!$A25, _xlfn._xlws.FILTER(Procesos!$A$2:$A$23, Procesos!D$2:D$23="Laminado"), 0)), Mezclado!G25/(1-Formula!$B$18),0)</f>
        <v>2724.3339628495096</v>
      </c>
      <c r="H25" s="7"/>
    </row>
    <row r="26" spans="1:13" x14ac:dyDescent="0.25">
      <c r="A26" s="13" t="str">
        <v>Cajatambo</v>
      </c>
      <c r="B26" s="8">
        <v>1016</v>
      </c>
      <c r="C26" s="5">
        <v>46174</v>
      </c>
      <c r="D26" s="8" cm="1">
        <f t="array" ref="D26">IF(ISNUMBER(MATCH(Mezclado!$A26, _xlfn._xlws.FILTER(Procesos!$A$2:$A$23, Procesos!B$2:B$23="Laminado"), 0)), Mezclado!E26/(1-Formula!$B$18),0)</f>
        <v>362.22943103585033</v>
      </c>
      <c r="E26" s="8" cm="1">
        <f t="array" ref="E26">IF(ISNUMBER(MATCH(Mezclado!$A26, _xlfn._xlws.FILTER(Procesos!$A$2:$A$23, Procesos!C$2:C$23="Laminado"), 0)), Mezclado!F26/(1-Formula!$B$18),0)</f>
        <v>120.77714625357555</v>
      </c>
      <c r="F26" s="8" cm="1">
        <f t="array" ref="F26">IF(ISNUMBER(MATCH(Mezclado!$A26, _xlfn._xlws.FILTER(Procesos!$A$2:$A$23, Procesos!D$2:D$23="Laminado"), 0)), Mezclado!G26/(1-Formula!$B$18),0)</f>
        <v>120.77714625357555</v>
      </c>
      <c r="H26" s="7"/>
    </row>
    <row r="27" spans="1:13" x14ac:dyDescent="0.25">
      <c r="A27" s="13" t="str">
        <v>Olmos</v>
      </c>
      <c r="B27" s="8">
        <v>5840</v>
      </c>
      <c r="C27" s="5">
        <v>46174</v>
      </c>
      <c r="D27" s="8" cm="1">
        <f t="array" ref="D27">IF(ISNUMBER(MATCH(Mezclado!$A27, _xlfn._xlws.FILTER(Procesos!$A$2:$A$23, Procesos!B$2:B$23="Laminado"), 0)), Mezclado!E27/(1-Formula!$B$18),0)</f>
        <v>1331.6678896927681</v>
      </c>
      <c r="E27" s="8" cm="1">
        <f t="array" ref="E27">IF(ISNUMBER(MATCH(Mezclado!$A27, _xlfn._xlws.FILTER(Procesos!$A$2:$A$23, Procesos!C$2:C$23="Laminado"), 0)), Mezclado!F27/(1-Formula!$B$18),0)</f>
        <v>1843.8478472669096</v>
      </c>
      <c r="F27" s="8" cm="1">
        <f t="array" ref="F27">IF(ISNUMBER(MATCH(Mezclado!$A27, _xlfn._xlws.FILTER(Procesos!$A$2:$A$23, Procesos!D$2:D$23="Laminado"), 0)), Mezclado!G27/(1-Formula!$B$18),0)</f>
        <v>0</v>
      </c>
      <c r="H27" s="7"/>
    </row>
    <row r="28" spans="1:13" x14ac:dyDescent="0.25">
      <c r="A28" s="13" t="str">
        <v>Encañada</v>
      </c>
      <c r="B28" s="8">
        <v>21119.279999999999</v>
      </c>
      <c r="C28" s="5">
        <v>46175</v>
      </c>
      <c r="D28" s="8" cm="1">
        <f t="array" ref="D28">IF(ISNUMBER(MATCH(Mezclado!$A28, _xlfn._xlws.FILTER(Procesos!$A$2:$A$23, Procesos!B$2:B$23="Laminado"), 0)), Mezclado!E28/(1-Formula!$B$18),0)</f>
        <v>4264.1309393646397</v>
      </c>
      <c r="E28" s="8" cm="1">
        <f t="array" ref="E28">IF(ISNUMBER(MATCH(Mezclado!$A28, _xlfn._xlws.FILTER(Procesos!$A$2:$A$23, Procesos!C$2:C$23="Laminado"), 0)), Mezclado!F28/(1-Formula!$B$18),0)</f>
        <v>4164.4719865301604</v>
      </c>
      <c r="F28" s="8" cm="1">
        <f t="array" ref="F28">IF(ISNUMBER(MATCH(Mezclado!$A28, _xlfn._xlws.FILTER(Procesos!$A$2:$A$23, Procesos!D$2:D$23="Laminado"), 0)), Mezclado!G28/(1-Formula!$B$18),0)</f>
        <v>9465.4801160237457</v>
      </c>
      <c r="H28" s="7"/>
    </row>
    <row r="29" spans="1:13" x14ac:dyDescent="0.25">
      <c r="A29" s="13" t="str">
        <v>Hualgayoc</v>
      </c>
      <c r="B29" s="8">
        <v>11906.24</v>
      </c>
      <c r="C29" s="5">
        <v>46179</v>
      </c>
      <c r="D29" s="8" cm="1">
        <f t="array" ref="D29">IF(ISNUMBER(MATCH(Mezclado!$A29, _xlfn._xlws.FILTER(Procesos!$A$2:$A$23, Procesos!B$2:B$23="Laminado"), 0)), Mezclado!E29/(1-Formula!$B$18),0)</f>
        <v>1536.0915981176763</v>
      </c>
      <c r="E29" s="8" cm="1">
        <f t="array" ref="E29">IF(ISNUMBER(MATCH(Mezclado!$A29, _xlfn._xlws.FILTER(Procesos!$A$2:$A$23, Procesos!C$2:C$23="Laminado"), 0)), Mezclado!F29/(1-Formula!$B$18),0)</f>
        <v>2586.8499753514798</v>
      </c>
      <c r="F29" s="8" cm="1">
        <f t="array" ref="F29">IF(ISNUMBER(MATCH(Mezclado!$A29, _xlfn._xlws.FILTER(Procesos!$A$2:$A$23, Procesos!D$2:D$23="Laminado"), 0)), Mezclado!G29/(1-Formula!$B$18),0)</f>
        <v>3986.6657429746697</v>
      </c>
      <c r="H29" s="7"/>
    </row>
    <row r="30" spans="1:13" x14ac:dyDescent="0.25">
      <c r="A30" s="13" t="str">
        <v>Alto Trujillo</v>
      </c>
      <c r="B30" s="8">
        <v>3018.9825799999999</v>
      </c>
      <c r="C30" s="5">
        <v>46188</v>
      </c>
      <c r="D30" s="8" cm="1">
        <f t="array" ref="D30">IF(ISNUMBER(MATCH(Mezclado!$A30, _xlfn._xlws.FILTER(Procesos!$A$2:$A$23, Procesos!B$2:B$23="Laminado"), 0)), Mezclado!E30/(1-Formula!$B$18),0)</f>
        <v>160.95129733344174</v>
      </c>
      <c r="E30" s="8" cm="1">
        <f t="array" ref="E30">IF(ISNUMBER(MATCH(Mezclado!$A30, _xlfn._xlws.FILTER(Procesos!$A$2:$A$23, Procesos!C$2:C$23="Laminado"), 0)), Mezclado!F30/(1-Formula!$B$18),0)</f>
        <v>823.54929351216799</v>
      </c>
      <c r="F30" s="8" cm="1">
        <f t="array" ref="F30">IF(ISNUMBER(MATCH(Mezclado!$A30, _xlfn._xlws.FILTER(Procesos!$A$2:$A$23, Procesos!D$2:D$23="Laminado"), 0)), Mezclado!G30/(1-Formula!$B$18),0)</f>
        <v>1938.0839833333832</v>
      </c>
      <c r="H30" s="7"/>
    </row>
    <row r="31" spans="1:13" x14ac:dyDescent="0.25">
      <c r="A31" s="13" t="str">
        <v>Sanchez Carrión</v>
      </c>
      <c r="B31" s="8">
        <v>9298.08</v>
      </c>
      <c r="C31" s="5">
        <v>46214</v>
      </c>
      <c r="D31" s="8" cm="1">
        <f t="array" ref="D31">IF(ISNUMBER(MATCH(Mezclado!$A31, _xlfn._xlws.FILTER(Procesos!$A$2:$A$23, Procesos!B$2:B$23="Laminado"), 0)), Mezclado!E31/(1-Formula!$B$18),0)</f>
        <v>585.32917671934717</v>
      </c>
      <c r="E31" s="8" cm="1">
        <f t="array" ref="E31">IF(ISNUMBER(MATCH(Mezclado!$A31, _xlfn._xlws.FILTER(Procesos!$A$2:$A$23, Procesos!C$2:C$23="Laminado"), 0)), Mezclado!F31/(1-Formula!$B$18),0)</f>
        <v>3819.1095087062995</v>
      </c>
      <c r="F31" s="8" cm="1">
        <f t="array" ref="F31">IF(ISNUMBER(MATCH(Mezclado!$A31, _xlfn._xlws.FILTER(Procesos!$A$2:$A$23, Procesos!D$2:D$23="Laminado"), 0)), Mezclado!G31/(1-Formula!$B$18),0)</f>
        <v>0</v>
      </c>
      <c r="H31" s="7"/>
    </row>
    <row r="32" spans="1:13" x14ac:dyDescent="0.25">
      <c r="A32" s="13" t="str">
        <v>Alto Trujillo</v>
      </c>
      <c r="B32" s="8">
        <v>3018.9825799999999</v>
      </c>
      <c r="C32" s="5">
        <v>46218</v>
      </c>
      <c r="D32" s="8" cm="1">
        <f t="array" ref="D32">IF(ISNUMBER(MATCH(Mezclado!$A32, _xlfn._xlws.FILTER(Procesos!$A$2:$A$23, Procesos!B$2:B$23="Laminado"), 0)), Mezclado!E32/(1-Formula!$B$18),0)</f>
        <v>160.95129733344174</v>
      </c>
      <c r="E32" s="8" cm="1">
        <f t="array" ref="E32">IF(ISNUMBER(MATCH(Mezclado!$A32, _xlfn._xlws.FILTER(Procesos!$A$2:$A$23, Procesos!C$2:C$23="Laminado"), 0)), Mezclado!F32/(1-Formula!$B$18),0)</f>
        <v>823.54929351216799</v>
      </c>
      <c r="F32" s="8" cm="1">
        <f t="array" ref="F32">IF(ISNUMBER(MATCH(Mezclado!$A32, _xlfn._xlws.FILTER(Procesos!$A$2:$A$23, Procesos!D$2:D$23="Laminado"), 0)), Mezclado!G32/(1-Formula!$B$18),0)</f>
        <v>1938.0839833333832</v>
      </c>
      <c r="H32" s="7"/>
    </row>
    <row r="33" spans="1:8" x14ac:dyDescent="0.25">
      <c r="A33" s="13" t="str">
        <v>Florencia de Mora</v>
      </c>
      <c r="B33" s="8">
        <v>4281.8335999999999</v>
      </c>
      <c r="C33" s="5">
        <v>46218</v>
      </c>
      <c r="D33" s="8" cm="1">
        <f t="array" ref="D33">IF(ISNUMBER(MATCH(Mezclado!$A33, _xlfn._xlws.FILTER(Procesos!$A$2:$A$23, Procesos!B$2:B$23="Laminado"), 0)), Mezclado!E33/(1-Formula!$B$18),0)</f>
        <v>728.02993565280428</v>
      </c>
      <c r="E33" s="8" cm="1">
        <f t="array" ref="E33">IF(ISNUMBER(MATCH(Mezclado!$A33, _xlfn._xlws.FILTER(Procesos!$A$2:$A$23, Procesos!C$2:C$23="Laminado"), 0)), Mezclado!F33/(1-Formula!$B$18),0)</f>
        <v>1729.0710971754099</v>
      </c>
      <c r="F33" s="8" cm="1">
        <f t="array" ref="F33">IF(ISNUMBER(MATCH(Mezclado!$A33, _xlfn._xlws.FILTER(Procesos!$A$2:$A$23, Procesos!D$2:D$23="Laminado"), 0)), Mezclado!G33/(1-Formula!$B$18),0)</f>
        <v>1638.0673552188096</v>
      </c>
      <c r="H33" s="7"/>
    </row>
    <row r="34" spans="1:8" s="53" customFormat="1" x14ac:dyDescent="0.25">
      <c r="A34" s="35" t="str">
        <v>Encañada</v>
      </c>
      <c r="B34" s="36">
        <v>21119.279999999999</v>
      </c>
      <c r="C34" s="37">
        <v>46192</v>
      </c>
      <c r="D34" s="36" cm="1">
        <f t="array" ref="D34">IF(ISNUMBER(MATCH(Mezclado!$A34, _xlfn._xlws.FILTER(Procesos!$A$2:$A$23, Procesos!B$2:B$23="Laminado"), 0)), Mezclado!E34/(1-Formula!$B$18),0)</f>
        <v>4264.1309393646397</v>
      </c>
      <c r="E34" s="36" cm="1">
        <f t="array" ref="E34">IF(ISNUMBER(MATCH(Mezclado!$A34, _xlfn._xlws.FILTER(Procesos!$A$2:$A$23, Procesos!C$2:C$23="Laminado"), 0)), Mezclado!F34/(1-Formula!$B$18),0)</f>
        <v>4164.4719865301604</v>
      </c>
      <c r="F34" s="36" cm="1">
        <f t="array" ref="F34">IF(ISNUMBER(MATCH(Mezclado!$A34, _xlfn._xlws.FILTER(Procesos!$A$2:$A$23, Procesos!D$2:D$23="Laminado"), 0)), Mezclado!G34/(1-Formula!$B$18),0)</f>
        <v>9465.4801160237457</v>
      </c>
      <c r="H34" s="54"/>
    </row>
    <row r="35" spans="1:8" s="53" customFormat="1" x14ac:dyDescent="0.25">
      <c r="A35" s="35" t="str">
        <v>Moyobamba</v>
      </c>
      <c r="B35" s="36">
        <v>9294</v>
      </c>
      <c r="C35" s="37">
        <v>46197</v>
      </c>
      <c r="D35" s="36" cm="1">
        <f t="array" ref="D35">IF(ISNUMBER(MATCH(Mezclado!$A35, _xlfn._xlws.FILTER(Procesos!$A$2:$A$23, Procesos!B$2:B$23="Laminado"), 0)), Mezclado!E35/(1-Formula!$B$18),0)</f>
        <v>3277.8735584232363</v>
      </c>
      <c r="E35" s="36" cm="1">
        <f t="array" ref="E35">IF(ISNUMBER(MATCH(Mezclado!$A35, _xlfn._xlws.FILTER(Procesos!$A$2:$A$23, Procesos!C$2:C$23="Laminado"), 0)), Mezclado!F35/(1-Formula!$B$18),0)</f>
        <v>0</v>
      </c>
      <c r="F35" s="36" cm="1">
        <f t="array" ref="F35">IF(ISNUMBER(MATCH(Mezclado!$A35, _xlfn._xlws.FILTER(Procesos!$A$2:$A$23, Procesos!D$2:D$23="Laminado"), 0)), Mezclado!G35/(1-Formula!$B$18),0)</f>
        <v>0</v>
      </c>
      <c r="H35" s="54"/>
    </row>
    <row r="36" spans="1:8" s="53" customFormat="1" x14ac:dyDescent="0.25">
      <c r="A36" s="35" t="str">
        <v>Viru</v>
      </c>
      <c r="B36" s="36">
        <v>6046</v>
      </c>
      <c r="C36" s="37">
        <v>46216</v>
      </c>
      <c r="D36" s="36" cm="1">
        <f t="array" ref="D36">IF(ISNUMBER(MATCH(Mezclado!$A36, _xlfn._xlws.FILTER(Procesos!$A$2:$A$23, Procesos!B$2:B$23="Laminado"), 0)), Mezclado!E36/(1-Formula!$B$18),0)</f>
        <v>790.34822184270536</v>
      </c>
      <c r="E36" s="36" cm="1">
        <f t="array" ref="E36">IF(ISNUMBER(MATCH(Mezclado!$A36, _xlfn._xlws.FILTER(Procesos!$A$2:$A$23, Procesos!C$2:C$23="Laminado"), 0)), Mezclado!F36/(1-Formula!$B$18),0)</f>
        <v>1362.1669814247548</v>
      </c>
      <c r="F36" s="36" cm="1">
        <f t="array" ref="F36">IF(ISNUMBER(MATCH(Mezclado!$A36, _xlfn._xlws.FILTER(Procesos!$A$2:$A$23, Procesos!D$2:D$23="Laminado"), 0)), Mezclado!G36/(1-Formula!$B$18),0)</f>
        <v>2724.3339628495096</v>
      </c>
      <c r="H36" s="54"/>
    </row>
    <row r="37" spans="1:8" s="53" customFormat="1" x14ac:dyDescent="0.25">
      <c r="A37" s="35" t="str">
        <v>Alto Trujillo</v>
      </c>
      <c r="B37" s="36">
        <v>3759.21</v>
      </c>
      <c r="C37" s="37">
        <v>46235</v>
      </c>
      <c r="D37" s="36" cm="1">
        <f t="array" ref="D37">IF(ISNUMBER(MATCH(Mezclado!$A37, _xlfn._xlws.FILTER(Procesos!$A$2:$A$23, Procesos!B$2:B$23="Laminado"), 0)), Mezclado!E37/(1-Formula!$B$18),0)</f>
        <v>200.41511019545121</v>
      </c>
      <c r="E37" s="36" cm="1">
        <f t="array" ref="E37">IF(ISNUMBER(MATCH(Mezclado!$A37, _xlfn._xlws.FILTER(Procesos!$A$2:$A$23, Procesos!C$2:C$23="Laminado"), 0)), Mezclado!F37/(1-Formula!$B$18),0)</f>
        <v>1025.4761853126947</v>
      </c>
      <c r="F37" s="36" cm="1">
        <f t="array" ref="F37">IF(ISNUMBER(MATCH(Mezclado!$A37, _xlfn._xlws.FILTER(Procesos!$A$2:$A$23, Procesos!D$2:D$23="Laminado"), 0)), Mezclado!G37/(1-Formula!$B$18),0)</f>
        <v>2413.2847732386349</v>
      </c>
      <c r="H37" s="54"/>
    </row>
    <row r="38" spans="1:8" s="53" customFormat="1" x14ac:dyDescent="0.25">
      <c r="A38" s="35" t="str">
        <v>Olmos</v>
      </c>
      <c r="B38" s="36">
        <v>5611</v>
      </c>
      <c r="C38" s="37">
        <v>46238</v>
      </c>
      <c r="D38" s="36" cm="1">
        <f t="array" ref="D38">IF(ISNUMBER(MATCH(Mezclado!$A38, _xlfn._xlws.FILTER(Procesos!$A$2:$A$23, Procesos!B$2:B$23="Laminado"), 0)), Mezclado!E38/(1-Formula!$B$18),0)</f>
        <v>1279.450090593514</v>
      </c>
      <c r="E38" s="36" cm="1">
        <f t="array" ref="E38">IF(ISNUMBER(MATCH(Mezclado!$A38, _xlfn._xlws.FILTER(Procesos!$A$2:$A$23, Procesos!C$2:C$23="Laminado"), 0)), Mezclado!F38/(1-Formula!$B$18),0)</f>
        <v>1771.5462792833268</v>
      </c>
      <c r="F38" s="36" cm="1">
        <f t="array" ref="F38">IF(ISNUMBER(MATCH(Mezclado!$A38, _xlfn._xlws.FILTER(Procesos!$A$2:$A$23, Procesos!D$2:D$23="Laminado"), 0)), Mezclado!G38/(1-Formula!$B$18),0)</f>
        <v>0</v>
      </c>
      <c r="H38" s="54"/>
    </row>
    <row r="39" spans="1:8" s="53" customFormat="1" x14ac:dyDescent="0.25">
      <c r="A39" s="35" t="str">
        <v>Viru</v>
      </c>
      <c r="B39" s="36">
        <v>13579</v>
      </c>
      <c r="C39" s="37">
        <v>46248</v>
      </c>
      <c r="D39" s="36" cm="1">
        <f t="array" ref="D39">IF(ISNUMBER(MATCH(Mezclado!$A39, _xlfn._xlws.FILTER(Procesos!$A$2:$A$23, Procesos!B$2:B$23="Laminado"), 0)), Mezclado!E39/(1-Formula!$B$18),0)</f>
        <v>1775.0807979494039</v>
      </c>
      <c r="E39" s="36" cm="1">
        <f t="array" ref="E39">IF(ISNUMBER(MATCH(Mezclado!$A39, _xlfn._xlws.FILTER(Procesos!$A$2:$A$23, Procesos!C$2:C$23="Laminado"), 0)), Mezclado!F39/(1-Formula!$B$18),0)</f>
        <v>3059.3558453137189</v>
      </c>
      <c r="F39" s="36" cm="1">
        <f t="array" ref="F39">IF(ISNUMBER(MATCH(Mezclado!$A39, _xlfn._xlws.FILTER(Procesos!$A$2:$A$23, Procesos!D$2:D$23="Laminado"), 0)), Mezclado!G39/(1-Formula!$B$18),0)</f>
        <v>6118.7116906274377</v>
      </c>
      <c r="H39" s="54"/>
    </row>
    <row r="40" spans="1:8" s="53" customFormat="1" x14ac:dyDescent="0.25">
      <c r="A40" s="35" t="str">
        <v>Sanchez Carrión</v>
      </c>
      <c r="B40" s="36">
        <v>3743.92</v>
      </c>
      <c r="C40" s="37">
        <v>46249</v>
      </c>
      <c r="D40" s="36" cm="1">
        <f t="array" ref="D40">IF(ISNUMBER(MATCH(Mezclado!$A40, _xlfn._xlws.FILTER(Procesos!$A$2:$A$23, Procesos!B$2:B$23="Laminado"), 0)), Mezclado!E40/(1-Formula!$B$18),0)</f>
        <v>235.68582022343313</v>
      </c>
      <c r="E40" s="36" cm="1">
        <f t="array" ref="E40">IF(ISNUMBER(MATCH(Mezclado!$A40, _xlfn._xlws.FILTER(Procesos!$A$2:$A$23, Procesos!C$2:C$23="Laminado"), 0)), Mezclado!F40/(1-Formula!$B$18),0)</f>
        <v>1537.7841954291305</v>
      </c>
      <c r="F40" s="36" cm="1">
        <f t="array" ref="F40">IF(ISNUMBER(MATCH(Mezclado!$A40, _xlfn._xlws.FILTER(Procesos!$A$2:$A$23, Procesos!D$2:D$23="Laminado"), 0)), Mezclado!G40/(1-Formula!$B$18),0)</f>
        <v>0</v>
      </c>
      <c r="H40" s="54"/>
    </row>
    <row r="41" spans="1:8" s="53" customFormat="1" x14ac:dyDescent="0.25">
      <c r="A41" s="35" t="str">
        <v>Alto Trujillo</v>
      </c>
      <c r="B41" s="36">
        <v>3018.9825799999999</v>
      </c>
      <c r="C41" s="37">
        <v>46251</v>
      </c>
      <c r="D41" s="36" cm="1">
        <f t="array" ref="D41">IF(ISNUMBER(MATCH(Mezclado!$A41, _xlfn._xlws.FILTER(Procesos!$A$2:$A$23, Procesos!B$2:B$23="Laminado"), 0)), Mezclado!E41/(1-Formula!$B$18),0)</f>
        <v>160.95129733344174</v>
      </c>
      <c r="E41" s="36" cm="1">
        <f t="array" ref="E41">IF(ISNUMBER(MATCH(Mezclado!$A41, _xlfn._xlws.FILTER(Procesos!$A$2:$A$23, Procesos!C$2:C$23="Laminado"), 0)), Mezclado!F41/(1-Formula!$B$18),0)</f>
        <v>823.54929351216799</v>
      </c>
      <c r="F41" s="36" cm="1">
        <f t="array" ref="F41">IF(ISNUMBER(MATCH(Mezclado!$A41, _xlfn._xlws.FILTER(Procesos!$A$2:$A$23, Procesos!D$2:D$23="Laminado"), 0)), Mezclado!G41/(1-Formula!$B$18),0)</f>
        <v>1938.0839833333832</v>
      </c>
      <c r="H41" s="54"/>
    </row>
    <row r="42" spans="1:8" x14ac:dyDescent="0.25">
      <c r="A42" s="13"/>
      <c r="H42" s="7"/>
    </row>
    <row r="43" spans="1:8" x14ac:dyDescent="0.25">
      <c r="A43" s="13"/>
      <c r="H43" s="7"/>
    </row>
    <row r="44" spans="1:8" x14ac:dyDescent="0.25">
      <c r="A44" s="13"/>
      <c r="H44" s="7"/>
    </row>
    <row r="45" spans="1:8" x14ac:dyDescent="0.25">
      <c r="A45" s="13"/>
      <c r="H45" s="7"/>
    </row>
    <row r="46" spans="1:8" x14ac:dyDescent="0.25">
      <c r="A46" s="13"/>
      <c r="H46" s="7"/>
    </row>
    <row r="47" spans="1:8" x14ac:dyDescent="0.25">
      <c r="A47" s="13"/>
      <c r="H47" s="7"/>
    </row>
    <row r="48" spans="1:8" x14ac:dyDescent="0.25">
      <c r="A48" s="13"/>
      <c r="H48" s="7"/>
    </row>
    <row r="49" spans="1:9" x14ac:dyDescent="0.25">
      <c r="A49" s="13"/>
      <c r="H49" s="7"/>
      <c r="I49" s="7"/>
    </row>
    <row r="50" spans="1:9" x14ac:dyDescent="0.25">
      <c r="A50" s="13"/>
      <c r="H50" s="7"/>
    </row>
    <row r="51" spans="1:9" x14ac:dyDescent="0.25">
      <c r="A51" s="13"/>
      <c r="H51" s="7"/>
    </row>
    <row r="52" spans="1:9" x14ac:dyDescent="0.25">
      <c r="A52" s="13"/>
      <c r="H52" s="7"/>
    </row>
    <row r="53" spans="1:9" x14ac:dyDescent="0.25">
      <c r="A53" s="13"/>
      <c r="H53" s="7"/>
    </row>
    <row r="54" spans="1:9" x14ac:dyDescent="0.25">
      <c r="A54" s="13"/>
      <c r="H54" s="7"/>
    </row>
    <row r="55" spans="1:9" x14ac:dyDescent="0.25">
      <c r="A55" s="13"/>
      <c r="H55" s="7"/>
    </row>
    <row r="66" spans="4:6" x14ac:dyDescent="0.25">
      <c r="D66" s="8">
        <f>D25/500*60</f>
        <v>94.841786621124641</v>
      </c>
      <c r="E66" s="8">
        <f>E25/500*60</f>
        <v>163.46003777097059</v>
      </c>
      <c r="F66" s="8">
        <f>F25-2000</f>
        <v>724.33396284950959</v>
      </c>
    </row>
    <row r="67" spans="4:6" x14ac:dyDescent="0.25">
      <c r="F67" s="8">
        <f>F66*0.997</f>
        <v>722.16096096096101</v>
      </c>
    </row>
    <row r="87" spans="4:4" x14ac:dyDescent="0.25">
      <c r="D87" s="7"/>
    </row>
  </sheetData>
  <autoFilter ref="A1:F64" xr:uid="{725CC508-74F1-47F9-8E97-E2D1FA973DC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F0E8C-4F27-428E-970B-6AA51A1F15CB}">
  <dimension ref="A1:I41"/>
  <sheetViews>
    <sheetView workbookViewId="0">
      <pane ySplit="1" topLeftCell="A10" activePane="bottomLeft" state="frozen"/>
      <selection pane="bottomLeft" activeCell="C39" sqref="C39"/>
    </sheetView>
  </sheetViews>
  <sheetFormatPr baseColWidth="10" defaultRowHeight="15" x14ac:dyDescent="0.25"/>
  <cols>
    <col min="1" max="1" width="18" style="4" bestFit="1" customWidth="1"/>
    <col min="2" max="2" width="13.140625" style="8" bestFit="1" customWidth="1"/>
    <col min="3" max="3" width="10.42578125" style="5" bestFit="1" customWidth="1"/>
    <col min="4" max="4" width="11.42578125" style="8"/>
    <col min="5" max="7" width="11.42578125" style="4"/>
    <col min="8" max="8" width="11.140625" style="49" bestFit="1" customWidth="1"/>
    <col min="9" max="9" width="11.42578125" style="4"/>
  </cols>
  <sheetData>
    <row r="1" spans="1:9" ht="15.75" thickBot="1" x14ac:dyDescent="0.3">
      <c r="A1" s="14" t="s">
        <v>3</v>
      </c>
      <c r="B1" s="15" t="s">
        <v>6</v>
      </c>
      <c r="C1" s="16" t="s">
        <v>7</v>
      </c>
      <c r="D1" s="15" t="s">
        <v>12</v>
      </c>
      <c r="E1" s="15" t="s">
        <v>15</v>
      </c>
      <c r="F1" s="28" t="s">
        <v>78</v>
      </c>
      <c r="G1" s="28" t="s">
        <v>30</v>
      </c>
      <c r="H1" s="46" t="s">
        <v>82</v>
      </c>
      <c r="I1" s="29" t="s">
        <v>33</v>
      </c>
    </row>
    <row r="2" spans="1:9" x14ac:dyDescent="0.25">
      <c r="A2" s="4" t="str" cm="1">
        <f t="array" ref="A2:C41">Mezclado!A2:C41</f>
        <v>Sanchez Carrión</v>
      </c>
      <c r="B2" s="8">
        <v>9298.08</v>
      </c>
      <c r="C2" s="5">
        <v>45987</v>
      </c>
      <c r="D2" s="8" cm="1">
        <f t="array" ref="D2">IF(ISNUMBER(MATCH(Mezclado!$A2, _xlfn._xlws.FILTER(Procesos!$A$2:$A$23, Procesos!D$2:D$23="Molido"), 0)), Mezclado!G2/(1-Formula!$B$17),0)</f>
        <v>0</v>
      </c>
      <c r="E2" s="8" cm="1">
        <f t="array" ref="E2:E41">Mezclado!H2:H41/(1-Formula!$B$17)</f>
        <v>1078.8971502114359</v>
      </c>
      <c r="F2" s="8" cm="1">
        <f t="array" ref="F2:F41">Mezclado!K2:K41/(1-Formula!$B$17)</f>
        <v>0</v>
      </c>
      <c r="G2" s="8" cm="1">
        <f t="array" ref="G2:G41">Mezclado!L2:L41/(1-Formula!$B$17)</f>
        <v>1619.2954587240304</v>
      </c>
      <c r="H2" s="47" cm="1">
        <f t="array" ref="H2:H41">Mezclado!P2:P41/(1-Formula!$B$17)</f>
        <v>0</v>
      </c>
      <c r="I2" s="8" cm="1">
        <f t="array" ref="I2:I41">Mezclado!R2:R41/(1-Formula!$B$17)</f>
        <v>0</v>
      </c>
    </row>
    <row r="3" spans="1:9" x14ac:dyDescent="0.25">
      <c r="A3" s="13" t="str">
        <v>Olmos</v>
      </c>
      <c r="B3" s="8">
        <v>11040</v>
      </c>
      <c r="C3" s="5">
        <v>46036</v>
      </c>
      <c r="D3" s="8" cm="1">
        <f t="array" ref="D3">IF(ISNUMBER(MATCH(Mezclado!$A3, _xlfn._xlws.FILTER(Procesos!$A$2:$A$23, Procesos!D$2:D$23="Molido"), 0)), Mezclado!G3/(1-Formula!$B$17),0)</f>
        <v>2955.0793252500353</v>
      </c>
      <c r="E3" s="8">
        <v>591.01586505000694</v>
      </c>
      <c r="F3" s="8">
        <v>0</v>
      </c>
      <c r="G3" s="8">
        <v>0</v>
      </c>
      <c r="H3" s="47">
        <v>0</v>
      </c>
      <c r="I3" s="8">
        <v>0</v>
      </c>
    </row>
    <row r="4" spans="1:9" x14ac:dyDescent="0.25">
      <c r="A4" s="13" t="str">
        <v>Sanchez Carrión</v>
      </c>
      <c r="B4" s="8">
        <v>9467.0400000000009</v>
      </c>
      <c r="C4" s="5">
        <v>46036</v>
      </c>
      <c r="D4" s="8" cm="1">
        <f t="array" ref="D4">IF(ISNUMBER(MATCH(Mezclado!$A4, _xlfn._xlws.FILTER(Procesos!$A$2:$A$23, Procesos!D$2:D$23="Molido"), 0)), Mezclado!G4/(1-Formula!$B$17),0)</f>
        <v>0</v>
      </c>
      <c r="E4" s="8">
        <v>1098.5023227308943</v>
      </c>
      <c r="F4" s="8">
        <v>0</v>
      </c>
      <c r="G4" s="8">
        <v>1648.720475577619</v>
      </c>
      <c r="H4" s="47">
        <v>0</v>
      </c>
      <c r="I4" s="8">
        <v>0</v>
      </c>
    </row>
    <row r="5" spans="1:9" x14ac:dyDescent="0.25">
      <c r="A5" s="13" t="str">
        <v>Hualgayoc</v>
      </c>
      <c r="B5" s="8">
        <v>11906.241620000001</v>
      </c>
      <c r="C5" s="5">
        <v>46038</v>
      </c>
      <c r="D5" s="8" cm="1">
        <f t="array" ref="D5">IF(ISNUMBER(MATCH(Mezclado!$A5, _xlfn._xlws.FILTER(Procesos!$A$2:$A$23, Procesos!D$2:D$23="Molido"), 0)), Mezclado!G5/(1-Formula!$B$17),0)</f>
        <v>0</v>
      </c>
      <c r="E5" s="8">
        <v>109.45248777348777</v>
      </c>
      <c r="F5" s="8">
        <v>0</v>
      </c>
      <c r="G5" s="8">
        <v>0</v>
      </c>
      <c r="H5" s="47">
        <v>0</v>
      </c>
      <c r="I5" s="8">
        <v>87.561990218790214</v>
      </c>
    </row>
    <row r="6" spans="1:9" x14ac:dyDescent="0.25">
      <c r="A6" s="13" t="str">
        <v>Viru</v>
      </c>
      <c r="B6" s="8">
        <v>5850</v>
      </c>
      <c r="C6" s="5">
        <v>46038</v>
      </c>
      <c r="D6" s="8" cm="1">
        <f t="array" ref="D6">IF(ISNUMBER(MATCH(Mezclado!$A6, _xlfn._xlws.FILTER(Procesos!$A$2:$A$23, Procesos!D$2:D$23="Molido"), 0)), Mezclado!G6/(1-Formula!$B$17),0)</f>
        <v>0</v>
      </c>
      <c r="E6" s="8">
        <v>0</v>
      </c>
      <c r="F6" s="8">
        <v>0</v>
      </c>
      <c r="G6" s="8">
        <v>0</v>
      </c>
      <c r="H6" s="47">
        <v>0</v>
      </c>
      <c r="I6" s="8">
        <v>0</v>
      </c>
    </row>
    <row r="7" spans="1:9" x14ac:dyDescent="0.25">
      <c r="A7" s="13" t="str">
        <v>Florencia de Mora</v>
      </c>
      <c r="B7" s="8">
        <v>4281.8335999999999</v>
      </c>
      <c r="C7" s="5">
        <v>46044</v>
      </c>
      <c r="D7" s="8" cm="1">
        <f t="array" ref="D7">IF(ISNUMBER(MATCH(Mezclado!$A7, _xlfn._xlws.FILTER(Procesos!$A$2:$A$23, Procesos!D$2:D$23="Molido"), 0)), Mezclado!G7/(1-Formula!$B$17),0)</f>
        <v>0</v>
      </c>
      <c r="E7" s="8">
        <v>0</v>
      </c>
      <c r="F7" s="8">
        <v>0</v>
      </c>
      <c r="G7" s="8">
        <v>0</v>
      </c>
      <c r="H7" s="47">
        <v>0</v>
      </c>
      <c r="I7" s="8">
        <v>0</v>
      </c>
    </row>
    <row r="8" spans="1:9" x14ac:dyDescent="0.25">
      <c r="A8" s="13" t="str">
        <v>Olmos</v>
      </c>
      <c r="B8" s="8">
        <v>11058</v>
      </c>
      <c r="C8" s="5">
        <v>46055</v>
      </c>
      <c r="D8" s="8" cm="1">
        <f t="array" ref="D8">IF(ISNUMBER(MATCH(Mezclado!$A8, _xlfn._xlws.FILTER(Procesos!$A$2:$A$23, Procesos!D$2:D$23="Molido"), 0)), Mezclado!G8/(1-Formula!$B$17),0)</f>
        <v>2959.897389367291</v>
      </c>
      <c r="E8" s="8">
        <v>591.97947787345811</v>
      </c>
      <c r="F8" s="8">
        <v>0</v>
      </c>
      <c r="G8" s="8">
        <v>0</v>
      </c>
      <c r="H8" s="47">
        <v>0</v>
      </c>
      <c r="I8" s="8">
        <v>0</v>
      </c>
    </row>
    <row r="9" spans="1:9" x14ac:dyDescent="0.25">
      <c r="A9" s="13" t="str">
        <v>Cajatambo</v>
      </c>
      <c r="B9" s="8">
        <v>1042</v>
      </c>
      <c r="C9" s="5">
        <v>46060</v>
      </c>
      <c r="D9" s="8" cm="1">
        <f t="array" ref="D9">IF(ISNUMBER(MATCH(Mezclado!$A9, _xlfn._xlws.FILTER(Procesos!$A$2:$A$23, Procesos!D$2:D$23="Molido"), 0)), Mezclado!G9/(1-Formula!$B$17),0)</f>
        <v>0</v>
      </c>
      <c r="E9" s="8">
        <v>0</v>
      </c>
      <c r="F9" s="8">
        <v>0</v>
      </c>
      <c r="G9" s="8">
        <v>0</v>
      </c>
      <c r="H9" s="47">
        <v>0</v>
      </c>
      <c r="I9" s="8">
        <v>0</v>
      </c>
    </row>
    <row r="10" spans="1:9" x14ac:dyDescent="0.25">
      <c r="A10" s="13" t="str">
        <v>Encañada</v>
      </c>
      <c r="B10" s="8">
        <v>21119.279999999999</v>
      </c>
      <c r="C10" s="5">
        <v>46073</v>
      </c>
      <c r="D10" s="8" cm="1">
        <f t="array" ref="D10">IF(ISNUMBER(MATCH(Mezclado!$A10, _xlfn._xlws.FILTER(Procesos!$A$2:$A$23, Procesos!D$2:D$23="Molido"), 0)), Mezclado!G10/(1-Formula!$B$17),0)</f>
        <v>0</v>
      </c>
      <c r="E10" s="8">
        <v>0</v>
      </c>
      <c r="F10" s="8">
        <v>0</v>
      </c>
      <c r="G10" s="8">
        <v>0</v>
      </c>
      <c r="H10" s="47">
        <v>386.13625053625049</v>
      </c>
      <c r="I10" s="8">
        <v>0</v>
      </c>
    </row>
    <row r="11" spans="1:9" x14ac:dyDescent="0.25">
      <c r="A11" s="13" t="str">
        <v>Moyobamba</v>
      </c>
      <c r="B11" s="8">
        <v>9322</v>
      </c>
      <c r="C11" s="5">
        <v>46083</v>
      </c>
      <c r="D11" s="8" cm="1">
        <f t="array" ref="D11">IF(ISNUMBER(MATCH(Mezclado!$A11, _xlfn._xlws.FILTER(Procesos!$A$2:$A$23, Procesos!D$2:D$23="Molido"), 0)), Mezclado!G11/(1-Formula!$B$17),0)</f>
        <v>0</v>
      </c>
      <c r="E11" s="8">
        <v>0</v>
      </c>
      <c r="F11" s="8">
        <v>1129.4066299280064</v>
      </c>
      <c r="G11" s="8">
        <v>0</v>
      </c>
      <c r="H11" s="47">
        <v>0</v>
      </c>
      <c r="I11" s="8">
        <v>0</v>
      </c>
    </row>
    <row r="12" spans="1:9" x14ac:dyDescent="0.25">
      <c r="A12" s="13" t="str">
        <v>Olmos</v>
      </c>
      <c r="B12" s="8">
        <v>5611</v>
      </c>
      <c r="C12" s="5">
        <v>46085</v>
      </c>
      <c r="D12" s="8" cm="1">
        <f t="array" ref="D12">IF(ISNUMBER(MATCH(Mezclado!$A12, _xlfn._xlws.FILTER(Procesos!$A$2:$A$23, Procesos!D$2:D$23="Molido"), 0)), Mezclado!G12/(1-Formula!$B$17),0)</f>
        <v>1501.8976534400315</v>
      </c>
      <c r="E12" s="8">
        <v>300.3795306880063</v>
      </c>
      <c r="F12" s="8">
        <v>0</v>
      </c>
      <c r="G12" s="8">
        <v>0</v>
      </c>
      <c r="H12" s="47">
        <v>0</v>
      </c>
      <c r="I12" s="8">
        <v>0</v>
      </c>
    </row>
    <row r="13" spans="1:9" x14ac:dyDescent="0.25">
      <c r="A13" s="13" t="str">
        <v>Cajatambo</v>
      </c>
      <c r="B13" s="8">
        <v>1042</v>
      </c>
      <c r="C13" s="5">
        <v>46086</v>
      </c>
      <c r="D13" s="8" cm="1">
        <f t="array" ref="D13">IF(ISNUMBER(MATCH(Mezclado!$A13, _xlfn._xlws.FILTER(Procesos!$A$2:$A$23, Procesos!D$2:D$23="Molido"), 0)), Mezclado!G13/(1-Formula!$B$17),0)</f>
        <v>0</v>
      </c>
      <c r="E13" s="8">
        <v>0</v>
      </c>
      <c r="F13" s="8">
        <v>0</v>
      </c>
      <c r="G13" s="8">
        <v>0</v>
      </c>
      <c r="H13" s="47">
        <v>0</v>
      </c>
      <c r="I13" s="8">
        <v>0</v>
      </c>
    </row>
    <row r="14" spans="1:9" x14ac:dyDescent="0.25">
      <c r="A14" s="13" t="str">
        <v>Hualgayoc</v>
      </c>
      <c r="B14" s="8">
        <v>11906.241620000001</v>
      </c>
      <c r="C14" s="5">
        <v>46094</v>
      </c>
      <c r="D14" s="8" cm="1">
        <f t="array" ref="D14">IF(ISNUMBER(MATCH(Mezclado!$A14, _xlfn._xlws.FILTER(Procesos!$A$2:$A$23, Procesos!D$2:D$23="Molido"), 0)), Mezclado!G14/(1-Formula!$B$17),0)</f>
        <v>0</v>
      </c>
      <c r="E14" s="8">
        <v>109.45248777348777</v>
      </c>
      <c r="F14" s="8">
        <v>0</v>
      </c>
      <c r="G14" s="8">
        <v>0</v>
      </c>
      <c r="H14" s="47">
        <v>0</v>
      </c>
      <c r="I14" s="8">
        <v>87.561990218790214</v>
      </c>
    </row>
    <row r="15" spans="1:9" x14ac:dyDescent="0.25">
      <c r="A15" s="13" t="str">
        <v>Alto Trujillo</v>
      </c>
      <c r="B15" s="8">
        <v>3018.04</v>
      </c>
      <c r="C15" s="5">
        <v>46097</v>
      </c>
      <c r="D15" s="8" cm="1">
        <f t="array" ref="D15">IF(ISNUMBER(MATCH(Mezclado!$A15, _xlfn._xlws.FILTER(Procesos!$A$2:$A$23, Procesos!D$2:D$23="Molido"), 0)), Mezclado!G15/(1-Formula!$B$17),0)</f>
        <v>0</v>
      </c>
      <c r="E15" s="8">
        <v>0</v>
      </c>
      <c r="F15" s="8">
        <v>0</v>
      </c>
      <c r="G15" s="8">
        <v>0</v>
      </c>
      <c r="H15" s="47">
        <v>0</v>
      </c>
      <c r="I15" s="8">
        <v>0</v>
      </c>
    </row>
    <row r="16" spans="1:9" x14ac:dyDescent="0.25">
      <c r="A16" s="13" t="str">
        <v>Sanchez Carrión</v>
      </c>
      <c r="B16" s="8">
        <v>9467.0400000000009</v>
      </c>
      <c r="C16" s="5">
        <v>46097</v>
      </c>
      <c r="D16" s="8" cm="1">
        <f t="array" ref="D16">IF(ISNUMBER(MATCH(Mezclado!$A16, _xlfn._xlws.FILTER(Procesos!$A$2:$A$23, Procesos!D$2:D$23="Molido"), 0)), Mezclado!G16/(1-Formula!$B$17),0)</f>
        <v>0</v>
      </c>
      <c r="E16" s="8">
        <v>1098.5023227308943</v>
      </c>
      <c r="F16" s="8">
        <v>0</v>
      </c>
      <c r="G16" s="8">
        <v>1648.720475577619</v>
      </c>
      <c r="H16" s="47">
        <v>0</v>
      </c>
      <c r="I16" s="8">
        <v>0</v>
      </c>
    </row>
    <row r="17" spans="1:9" x14ac:dyDescent="0.25">
      <c r="A17" s="13" t="str">
        <v>Viru</v>
      </c>
      <c r="B17" s="8">
        <v>6046</v>
      </c>
      <c r="C17" s="5">
        <v>46097</v>
      </c>
      <c r="D17" s="8" cm="1">
        <f t="array" ref="D17">IF(ISNUMBER(MATCH(Mezclado!$A17, _xlfn._xlws.FILTER(Procesos!$A$2:$A$23, Procesos!D$2:D$23="Molido"), 0)), Mezclado!G17/(1-Formula!$B$17),0)</f>
        <v>0</v>
      </c>
      <c r="E17" s="8">
        <v>0</v>
      </c>
      <c r="F17" s="8">
        <v>0</v>
      </c>
      <c r="G17" s="8">
        <v>0</v>
      </c>
      <c r="H17" s="47">
        <v>0</v>
      </c>
      <c r="I17" s="8">
        <v>0</v>
      </c>
    </row>
    <row r="18" spans="1:9" x14ac:dyDescent="0.25">
      <c r="A18" s="13" t="str">
        <v>Florencia de Mora</v>
      </c>
      <c r="B18" s="8">
        <v>4281.8335999999999</v>
      </c>
      <c r="C18" s="5">
        <v>46100</v>
      </c>
      <c r="D18" s="8" cm="1">
        <f t="array" ref="D18">IF(ISNUMBER(MATCH(Mezclado!$A18, _xlfn._xlws.FILTER(Procesos!$A$2:$A$23, Procesos!D$2:D$23="Molido"), 0)), Mezclado!G18/(1-Formula!$B$17),0)</f>
        <v>0</v>
      </c>
      <c r="E18" s="8">
        <v>0</v>
      </c>
      <c r="F18" s="8">
        <v>0</v>
      </c>
      <c r="G18" s="8">
        <v>0</v>
      </c>
      <c r="H18" s="47">
        <v>0</v>
      </c>
      <c r="I18" s="8">
        <v>0</v>
      </c>
    </row>
    <row r="19" spans="1:9" x14ac:dyDescent="0.25">
      <c r="A19" s="13" t="str">
        <v>Encañada</v>
      </c>
      <c r="B19" s="8">
        <v>21119.279999999999</v>
      </c>
      <c r="C19" s="5">
        <v>46101</v>
      </c>
      <c r="D19" s="8" cm="1">
        <f t="array" ref="D19">IF(ISNUMBER(MATCH(Mezclado!$A19, _xlfn._xlws.FILTER(Procesos!$A$2:$A$23, Procesos!D$2:D$23="Molido"), 0)), Mezclado!G19/(1-Formula!$B$17),0)</f>
        <v>0</v>
      </c>
      <c r="E19" s="8">
        <v>0</v>
      </c>
      <c r="F19" s="8">
        <v>0</v>
      </c>
      <c r="G19" s="8">
        <v>0</v>
      </c>
      <c r="H19" s="47">
        <v>386.13625053625049</v>
      </c>
      <c r="I19" s="8">
        <v>0</v>
      </c>
    </row>
    <row r="20" spans="1:9" x14ac:dyDescent="0.25">
      <c r="A20" s="13" t="str">
        <v>Olmos</v>
      </c>
      <c r="B20" s="8">
        <v>5840</v>
      </c>
      <c r="C20" s="5">
        <v>46115</v>
      </c>
      <c r="D20" s="8" cm="1">
        <f t="array" ref="D20">IF(ISNUMBER(MATCH(Mezclado!$A20, _xlfn._xlws.FILTER(Procesos!$A$2:$A$23, Procesos!D$2:D$23="Molido"), 0)), Mezclado!G20/(1-Formula!$B$17),0)</f>
        <v>1563.1941358206709</v>
      </c>
      <c r="E20" s="8">
        <v>312.63882716413411</v>
      </c>
      <c r="F20" s="8">
        <v>0</v>
      </c>
      <c r="G20" s="8">
        <v>0</v>
      </c>
      <c r="H20" s="47">
        <v>0</v>
      </c>
      <c r="I20" s="8">
        <v>0</v>
      </c>
    </row>
    <row r="21" spans="1:9" x14ac:dyDescent="0.25">
      <c r="A21" s="13" t="str">
        <v>Alto Trujillo</v>
      </c>
      <c r="B21" s="8">
        <v>3018.04</v>
      </c>
      <c r="C21" s="5">
        <v>46129</v>
      </c>
      <c r="D21" s="8" cm="1">
        <f t="array" ref="D21">IF(ISNUMBER(MATCH(Mezclado!$A21, _xlfn._xlws.FILTER(Procesos!$A$2:$A$23, Procesos!D$2:D$23="Molido"), 0)), Mezclado!G21/(1-Formula!$B$17),0)</f>
        <v>0</v>
      </c>
      <c r="E21" s="8">
        <v>0</v>
      </c>
      <c r="F21" s="8">
        <v>0</v>
      </c>
      <c r="G21" s="8">
        <v>0</v>
      </c>
      <c r="H21" s="47">
        <v>0</v>
      </c>
      <c r="I21" s="8">
        <v>0</v>
      </c>
    </row>
    <row r="22" spans="1:9" x14ac:dyDescent="0.25">
      <c r="A22" s="13" t="str">
        <v>Moyobamba</v>
      </c>
      <c r="B22" s="8">
        <v>9139</v>
      </c>
      <c r="C22" s="5">
        <v>46129</v>
      </c>
      <c r="D22" s="8" cm="1">
        <f t="array" ref="D22">IF(ISNUMBER(MATCH(Mezclado!$A22, _xlfn._xlws.FILTER(Procesos!$A$2:$A$23, Procesos!D$2:D$23="Molido"), 0)), Mezclado!G22/(1-Formula!$B$17),0)</f>
        <v>0</v>
      </c>
      <c r="E22" s="8">
        <v>0</v>
      </c>
      <c r="F22" s="8">
        <v>1107.2352704260943</v>
      </c>
      <c r="G22" s="8">
        <v>0</v>
      </c>
      <c r="H22" s="47">
        <v>0</v>
      </c>
      <c r="I22" s="8">
        <v>0</v>
      </c>
    </row>
    <row r="23" spans="1:9" x14ac:dyDescent="0.25">
      <c r="A23" s="13" t="str">
        <v>Olmos</v>
      </c>
      <c r="B23" s="8">
        <v>5611</v>
      </c>
      <c r="C23" s="5">
        <v>46146</v>
      </c>
      <c r="D23" s="8" cm="1">
        <f t="array" ref="D23">IF(ISNUMBER(MATCH(Mezclado!$A23, _xlfn._xlws.FILTER(Procesos!$A$2:$A$23, Procesos!D$2:D$23="Molido"), 0)), Mezclado!G23/(1-Formula!$B$17),0)</f>
        <v>1501.8976534400315</v>
      </c>
      <c r="E23" s="8">
        <v>300.3795306880063</v>
      </c>
      <c r="F23" s="8">
        <v>0</v>
      </c>
      <c r="G23" s="8">
        <v>0</v>
      </c>
      <c r="H23" s="47">
        <v>0</v>
      </c>
      <c r="I23" s="8">
        <v>0</v>
      </c>
    </row>
    <row r="24" spans="1:9" x14ac:dyDescent="0.25">
      <c r="A24" s="13" t="str">
        <v>Sanchez Carrión</v>
      </c>
      <c r="B24" s="8">
        <v>9298.08</v>
      </c>
      <c r="C24" s="5">
        <v>46150</v>
      </c>
      <c r="D24" s="8" cm="1">
        <f t="array" ref="D24">IF(ISNUMBER(MATCH(Mezclado!$A24, _xlfn._xlws.FILTER(Procesos!$A$2:$A$23, Procesos!D$2:D$23="Molido"), 0)), Mezclado!G24/(1-Formula!$B$17),0)</f>
        <v>0</v>
      </c>
      <c r="E24" s="8">
        <v>1078.8971502114359</v>
      </c>
      <c r="F24" s="8">
        <v>0</v>
      </c>
      <c r="G24" s="8">
        <v>1619.2954587240304</v>
      </c>
      <c r="H24" s="47">
        <v>0</v>
      </c>
      <c r="I24" s="8">
        <v>0</v>
      </c>
    </row>
    <row r="25" spans="1:9" x14ac:dyDescent="0.25">
      <c r="A25" s="4" t="str">
        <v>Viru</v>
      </c>
      <c r="B25" s="8">
        <v>6046</v>
      </c>
      <c r="C25" s="5">
        <v>46157</v>
      </c>
      <c r="D25" s="8" cm="1">
        <f t="array" ref="D25">IF(ISNUMBER(MATCH(Mezclado!$A25, _xlfn._xlws.FILTER(Procesos!$A$2:$A$23, Procesos!D$2:D$23="Molido"), 0)), Mezclado!G25/(1-Formula!$B$17),0)</f>
        <v>0</v>
      </c>
      <c r="E25" s="8">
        <v>0</v>
      </c>
      <c r="F25" s="8">
        <v>0</v>
      </c>
      <c r="G25" s="8">
        <v>0</v>
      </c>
      <c r="H25" s="47">
        <v>0</v>
      </c>
      <c r="I25" s="8">
        <v>0</v>
      </c>
    </row>
    <row r="26" spans="1:9" x14ac:dyDescent="0.25">
      <c r="A26" s="4" t="str">
        <v>Cajatambo</v>
      </c>
      <c r="B26" s="8">
        <v>1016</v>
      </c>
      <c r="C26" s="5">
        <v>46174</v>
      </c>
      <c r="D26" s="8" cm="1">
        <f t="array" ref="D26">IF(ISNUMBER(MATCH(Mezclado!$A26, _xlfn._xlws.FILTER(Procesos!$A$2:$A$23, Procesos!D$2:D$23="Molido"), 0)), Mezclado!G26/(1-Formula!$B$17),0)</f>
        <v>0</v>
      </c>
      <c r="E26" s="8">
        <v>0</v>
      </c>
      <c r="F26" s="8">
        <v>0</v>
      </c>
      <c r="G26" s="8">
        <v>0</v>
      </c>
      <c r="H26" s="47">
        <v>0</v>
      </c>
      <c r="I26" s="8">
        <v>0</v>
      </c>
    </row>
    <row r="27" spans="1:9" x14ac:dyDescent="0.25">
      <c r="A27" s="4" t="str">
        <v>Olmos</v>
      </c>
      <c r="B27" s="8">
        <v>5840</v>
      </c>
      <c r="C27" s="5">
        <v>46174</v>
      </c>
      <c r="D27" s="8" cm="1">
        <f t="array" ref="D27">IF(ISNUMBER(MATCH(Mezclado!$A27, _xlfn._xlws.FILTER(Procesos!$A$2:$A$23, Procesos!D$2:D$23="Molido"), 0)), Mezclado!G27/(1-Formula!$B$17),0)</f>
        <v>1563.1941358206709</v>
      </c>
      <c r="E27" s="8">
        <v>312.63882716413411</v>
      </c>
      <c r="F27" s="8">
        <v>0</v>
      </c>
      <c r="G27" s="8">
        <v>0</v>
      </c>
      <c r="H27" s="47">
        <v>0</v>
      </c>
      <c r="I27" s="8">
        <v>0</v>
      </c>
    </row>
    <row r="28" spans="1:9" x14ac:dyDescent="0.25">
      <c r="A28" s="4" t="str">
        <v>Encañada</v>
      </c>
      <c r="B28" s="8">
        <v>21119.279999999999</v>
      </c>
      <c r="C28" s="5">
        <v>46175</v>
      </c>
      <c r="D28" s="8" cm="1">
        <f t="array" ref="D28">IF(ISNUMBER(MATCH(Mezclado!$A28, _xlfn._xlws.FILTER(Procesos!$A$2:$A$23, Procesos!D$2:D$23="Molido"), 0)), Mezclado!G28/(1-Formula!$B$17),0)</f>
        <v>0</v>
      </c>
      <c r="E28" s="8">
        <v>0</v>
      </c>
      <c r="F28" s="8">
        <v>0</v>
      </c>
      <c r="G28" s="4">
        <v>0</v>
      </c>
      <c r="H28" s="49">
        <v>386.13625053625049</v>
      </c>
      <c r="I28" s="4">
        <v>0</v>
      </c>
    </row>
    <row r="29" spans="1:9" x14ac:dyDescent="0.25">
      <c r="A29" s="4" t="str">
        <v>Hualgayoc</v>
      </c>
      <c r="B29" s="8">
        <v>11906.24</v>
      </c>
      <c r="C29" s="5">
        <v>46179</v>
      </c>
      <c r="D29" s="8" cm="1">
        <f t="array" ref="D29">IF(ISNUMBER(MATCH(Mezclado!$A29, _xlfn._xlws.FILTER(Procesos!$A$2:$A$23, Procesos!D$2:D$23="Molido"), 0)), Mezclado!G29/(1-Formula!$B$17),0)</f>
        <v>0</v>
      </c>
      <c r="E29" s="8">
        <v>109.45247288104429</v>
      </c>
      <c r="F29" s="4">
        <v>0</v>
      </c>
      <c r="G29" s="4">
        <v>0</v>
      </c>
      <c r="H29" s="49">
        <v>0</v>
      </c>
      <c r="I29" s="4">
        <v>87.561978304835449</v>
      </c>
    </row>
    <row r="30" spans="1:9" x14ac:dyDescent="0.25">
      <c r="A30" s="4" t="str">
        <v>Alto Trujillo</v>
      </c>
      <c r="B30" s="8">
        <v>3018.9825799999999</v>
      </c>
      <c r="C30" s="5">
        <v>46188</v>
      </c>
      <c r="D30" s="8" cm="1">
        <f t="array" ref="D30">IF(ISNUMBER(MATCH(Mezclado!$A30, _xlfn._xlws.FILTER(Procesos!$A$2:$A$23, Procesos!D$2:D$23="Molido"), 0)), Mezclado!G30/(1-Formula!$B$17),0)</f>
        <v>0</v>
      </c>
      <c r="E30" s="4">
        <v>0</v>
      </c>
      <c r="F30" s="4">
        <v>0</v>
      </c>
      <c r="G30" s="4">
        <v>0</v>
      </c>
      <c r="H30" s="49">
        <v>0</v>
      </c>
      <c r="I30" s="4">
        <v>0</v>
      </c>
    </row>
    <row r="31" spans="1:9" x14ac:dyDescent="0.25">
      <c r="A31" s="4" t="str">
        <v>Sanchez Carrión</v>
      </c>
      <c r="B31" s="8">
        <v>9298.08</v>
      </c>
      <c r="C31" s="5">
        <v>46214</v>
      </c>
      <c r="D31" s="8" cm="1">
        <f t="array" ref="D31">IF(ISNUMBER(MATCH(Mezclado!$A31, _xlfn._xlws.FILTER(Procesos!$A$2:$A$23, Procesos!D$2:D$23="Molido"), 0)), Mezclado!G31/(1-Formula!$B$17),0)</f>
        <v>0</v>
      </c>
      <c r="E31" s="4">
        <v>1078.8971502114359</v>
      </c>
      <c r="F31" s="4">
        <v>0</v>
      </c>
      <c r="G31" s="4">
        <v>1619.2954587240304</v>
      </c>
      <c r="H31" s="49">
        <v>0</v>
      </c>
      <c r="I31" s="4">
        <v>0</v>
      </c>
    </row>
    <row r="32" spans="1:9" x14ac:dyDescent="0.25">
      <c r="A32" s="4" t="str">
        <v>Alto Trujillo</v>
      </c>
      <c r="B32" s="8">
        <v>3018.9825799999999</v>
      </c>
      <c r="C32" s="5">
        <v>46218</v>
      </c>
      <c r="D32" s="8" cm="1">
        <f t="array" ref="D32">IF(ISNUMBER(MATCH(Mezclado!$A32, _xlfn._xlws.FILTER(Procesos!$A$2:$A$23, Procesos!D$2:D$23="Molido"), 0)), Mezclado!G32/(1-Formula!$B$17),0)</f>
        <v>0</v>
      </c>
      <c r="E32" s="4">
        <v>0</v>
      </c>
      <c r="F32" s="4">
        <v>0</v>
      </c>
      <c r="G32" s="4">
        <v>0</v>
      </c>
      <c r="H32" s="49">
        <v>0</v>
      </c>
      <c r="I32" s="4">
        <v>0</v>
      </c>
    </row>
    <row r="33" spans="1:9" x14ac:dyDescent="0.25">
      <c r="A33" s="4" t="str">
        <v>Florencia de Mora</v>
      </c>
      <c r="B33" s="8">
        <v>4281.8335999999999</v>
      </c>
      <c r="C33" s="5">
        <v>46218</v>
      </c>
      <c r="D33" s="8" cm="1">
        <f t="array" ref="D33">IF(ISNUMBER(MATCH(Mezclado!$A33, _xlfn._xlws.FILTER(Procesos!$A$2:$A$23, Procesos!D$2:D$23="Molido"), 0)), Mezclado!G33/(1-Formula!$B$17),0)</f>
        <v>0</v>
      </c>
      <c r="E33" s="4">
        <v>0</v>
      </c>
      <c r="F33" s="4">
        <v>0</v>
      </c>
      <c r="G33" s="4">
        <v>0</v>
      </c>
      <c r="H33" s="49">
        <v>0</v>
      </c>
      <c r="I33" s="4">
        <v>0</v>
      </c>
    </row>
    <row r="34" spans="1:9" x14ac:dyDescent="0.25">
      <c r="A34" s="4" t="str">
        <v>Encañada</v>
      </c>
      <c r="B34" s="8">
        <v>21119.279999999999</v>
      </c>
      <c r="C34" s="5">
        <v>46192</v>
      </c>
      <c r="D34" s="8" cm="1">
        <f t="array" ref="D34">IF(ISNUMBER(MATCH(Mezclado!$A34, _xlfn._xlws.FILTER(Procesos!$A$2:$A$23, Procesos!D$2:D$23="Molido"), 0)), Mezclado!G34/(1-Formula!$B$17),0)</f>
        <v>0</v>
      </c>
      <c r="E34" s="4">
        <v>0</v>
      </c>
      <c r="F34" s="4">
        <v>0</v>
      </c>
      <c r="G34" s="4">
        <v>0</v>
      </c>
      <c r="H34" s="49">
        <v>386.13625053625049</v>
      </c>
      <c r="I34" s="4">
        <v>0</v>
      </c>
    </row>
    <row r="35" spans="1:9" x14ac:dyDescent="0.25">
      <c r="A35" s="4" t="str">
        <v>Moyobamba</v>
      </c>
      <c r="B35" s="8">
        <v>9294</v>
      </c>
      <c r="C35" s="5">
        <v>46197</v>
      </c>
      <c r="D35" s="8" cm="1">
        <f t="array" ref="D35">IF(ISNUMBER(MATCH(Mezclado!$A35, _xlfn._xlws.FILTER(Procesos!$A$2:$A$23, Procesos!D$2:D$23="Molido"), 0)), Mezclado!G35/(1-Formula!$B$17),0)</f>
        <v>0</v>
      </c>
      <c r="E35" s="4">
        <v>0</v>
      </c>
      <c r="F35" s="4">
        <v>1126.0142907692436</v>
      </c>
      <c r="G35" s="4">
        <v>0</v>
      </c>
      <c r="H35" s="49">
        <v>0</v>
      </c>
      <c r="I35" s="4">
        <v>0</v>
      </c>
    </row>
    <row r="36" spans="1:9" x14ac:dyDescent="0.25">
      <c r="A36" s="4" t="str">
        <v>Viru</v>
      </c>
      <c r="B36" s="8">
        <v>6046</v>
      </c>
      <c r="C36" s="5">
        <v>46216</v>
      </c>
      <c r="D36" s="8" cm="1">
        <f t="array" ref="D36">IF(ISNUMBER(MATCH(Mezclado!$A36, _xlfn._xlws.FILTER(Procesos!$A$2:$A$23, Procesos!D$2:D$23="Molido"), 0)), Mezclado!G36/(1-Formula!$B$17),0)</f>
        <v>0</v>
      </c>
      <c r="E36" s="4">
        <v>0</v>
      </c>
      <c r="F36" s="4">
        <v>0</v>
      </c>
      <c r="G36" s="4">
        <v>0</v>
      </c>
      <c r="H36" s="49">
        <v>0</v>
      </c>
      <c r="I36" s="4">
        <v>0</v>
      </c>
    </row>
    <row r="37" spans="1:9" x14ac:dyDescent="0.25">
      <c r="A37" s="4" t="str">
        <v>Alto Trujillo</v>
      </c>
      <c r="B37" s="8">
        <v>3759.21</v>
      </c>
      <c r="C37" s="5">
        <v>46235</v>
      </c>
      <c r="D37" s="8" cm="1">
        <f t="array" ref="D37">IF(ISNUMBER(MATCH(Mezclado!$A37, _xlfn._xlws.FILTER(Procesos!$A$2:$A$23, Procesos!D$2:D$23="Molido"), 0)), Mezclado!G37/(1-Formula!$B$17),0)</f>
        <v>0</v>
      </c>
      <c r="E37" s="4">
        <v>0</v>
      </c>
      <c r="F37" s="4">
        <v>0</v>
      </c>
      <c r="G37" s="4">
        <v>0</v>
      </c>
      <c r="H37" s="49">
        <v>0</v>
      </c>
      <c r="I37" s="4">
        <v>0</v>
      </c>
    </row>
    <row r="38" spans="1:9" x14ac:dyDescent="0.25">
      <c r="A38" s="4" t="str">
        <v>Olmos</v>
      </c>
      <c r="B38" s="8">
        <v>5611</v>
      </c>
      <c r="C38" s="5">
        <v>46238</v>
      </c>
      <c r="D38" s="8" cm="1">
        <f t="array" ref="D38">IF(ISNUMBER(MATCH(Mezclado!$A38, _xlfn._xlws.FILTER(Procesos!$A$2:$A$23, Procesos!D$2:D$23="Molido"), 0)), Mezclado!G38/(1-Formula!$B$17),0)</f>
        <v>1501.8976534400315</v>
      </c>
      <c r="E38" s="4">
        <v>300.3795306880063</v>
      </c>
      <c r="F38" s="4">
        <v>0</v>
      </c>
      <c r="G38" s="4">
        <v>0</v>
      </c>
      <c r="H38" s="49">
        <v>0</v>
      </c>
      <c r="I38" s="4">
        <v>0</v>
      </c>
    </row>
    <row r="39" spans="1:9" x14ac:dyDescent="0.25">
      <c r="A39" s="4" t="str">
        <v>Viru</v>
      </c>
      <c r="B39" s="8">
        <v>13579</v>
      </c>
      <c r="C39" s="5">
        <v>46248</v>
      </c>
      <c r="D39" s="8" cm="1">
        <f t="array" ref="D39">IF(ISNUMBER(MATCH(Mezclado!$A39, _xlfn._xlws.FILTER(Procesos!$A$2:$A$23, Procesos!D$2:D$23="Molido"), 0)), Mezclado!G39/(1-Formula!$B$17),0)</f>
        <v>0</v>
      </c>
      <c r="E39" s="4">
        <v>0</v>
      </c>
      <c r="F39" s="4">
        <v>0</v>
      </c>
      <c r="G39" s="4">
        <v>0</v>
      </c>
      <c r="H39" s="49">
        <v>0</v>
      </c>
      <c r="I39" s="4">
        <v>0</v>
      </c>
    </row>
    <row r="40" spans="1:9" x14ac:dyDescent="0.25">
      <c r="A40" s="4" t="str">
        <v>Sanchez Carrión</v>
      </c>
      <c r="B40" s="8">
        <v>3743.92</v>
      </c>
      <c r="C40" s="5">
        <v>46249</v>
      </c>
      <c r="D40" s="8" cm="1">
        <f t="array" ref="D40">IF(ISNUMBER(MATCH(Mezclado!$A40, _xlfn._xlws.FILTER(Procesos!$A$2:$A$23, Procesos!D$2:D$23="Molido"), 0)), Mezclado!G40/(1-Formula!$B$17),0)</f>
        <v>0</v>
      </c>
      <c r="E40" s="4">
        <v>434.42351739494603</v>
      </c>
      <c r="F40" s="4">
        <v>0</v>
      </c>
      <c r="G40" s="4">
        <v>652.01769116054845</v>
      </c>
      <c r="H40" s="49">
        <v>0</v>
      </c>
      <c r="I40" s="4">
        <v>0</v>
      </c>
    </row>
    <row r="41" spans="1:9" x14ac:dyDescent="0.25">
      <c r="A41" s="4" t="str">
        <v>Alto Trujillo</v>
      </c>
      <c r="B41" s="8">
        <v>3018.9825799999999</v>
      </c>
      <c r="C41" s="5">
        <v>46251</v>
      </c>
      <c r="D41" s="8" cm="1">
        <f t="array" ref="D41">IF(ISNUMBER(MATCH(Mezclado!$A41, _xlfn._xlws.FILTER(Procesos!$A$2:$A$23, Procesos!D$2:D$23="Molido"), 0)), Mezclado!G41/(1-Formula!$B$17),0)</f>
        <v>0</v>
      </c>
      <c r="E41" s="4">
        <v>0</v>
      </c>
      <c r="F41" s="4">
        <v>0</v>
      </c>
      <c r="G41" s="4">
        <v>0</v>
      </c>
      <c r="H41" s="49">
        <v>0</v>
      </c>
      <c r="I41" s="4">
        <v>0</v>
      </c>
    </row>
  </sheetData>
  <autoFilter ref="A1:I28" xr:uid="{2F4F0E8C-4F27-428E-970B-6AA51A1F15C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1FCF5-8BC7-40DC-B94C-6FDFE8A5AC0B}">
  <dimension ref="A1:N42"/>
  <sheetViews>
    <sheetView workbookViewId="0">
      <pane ySplit="1" topLeftCell="A11" activePane="bottomLeft" state="frozen"/>
      <selection pane="bottomLeft" activeCell="F31" sqref="F31"/>
    </sheetView>
  </sheetViews>
  <sheetFormatPr baseColWidth="10" defaultRowHeight="15" x14ac:dyDescent="0.25"/>
  <cols>
    <col min="1" max="1" width="18" style="4" bestFit="1" customWidth="1"/>
    <col min="2" max="2" width="13.140625" style="8" bestFit="1" customWidth="1"/>
    <col min="3" max="3" width="10.42578125" style="5" bestFit="1" customWidth="1"/>
    <col min="4" max="5" width="11.42578125" style="4"/>
    <col min="6" max="8" width="11.42578125" style="8"/>
    <col min="9" max="9" width="11.42578125" style="7"/>
    <col min="12" max="12" width="0" hidden="1" customWidth="1"/>
  </cols>
  <sheetData>
    <row r="1" spans="1:9" ht="15.75" thickBot="1" x14ac:dyDescent="0.3">
      <c r="A1" s="14" t="s">
        <v>3</v>
      </c>
      <c r="B1" s="15" t="s">
        <v>6</v>
      </c>
      <c r="C1" s="16" t="s">
        <v>7</v>
      </c>
      <c r="D1" s="15" t="s">
        <v>14</v>
      </c>
      <c r="E1" s="15" t="s">
        <v>12</v>
      </c>
      <c r="F1" s="15" t="s">
        <v>15</v>
      </c>
      <c r="G1" s="15" t="s">
        <v>78</v>
      </c>
      <c r="H1" s="15" t="s">
        <v>30</v>
      </c>
      <c r="I1" s="30" t="s">
        <v>33</v>
      </c>
    </row>
    <row r="2" spans="1:9" x14ac:dyDescent="0.25">
      <c r="A2" s="4" t="str" cm="1">
        <f t="array" ref="A2:C41">Mezclado!A2:C41</f>
        <v>Sanchez Carrión</v>
      </c>
      <c r="B2" s="8">
        <v>9298.08</v>
      </c>
      <c r="C2" s="5">
        <v>45987</v>
      </c>
      <c r="D2" s="45">
        <v>0</v>
      </c>
      <c r="E2" s="45">
        <v>0</v>
      </c>
      <c r="F2" s="8" cm="1">
        <f t="array" ref="F2:F41">Molido!E2:E41/(1-Formula!$B$16)</f>
        <v>1112.2651033107588</v>
      </c>
      <c r="G2" s="8" cm="1">
        <f t="array" ref="G2:G41">Molido!F2:F41/(1-Formula!$B$16)</f>
        <v>0</v>
      </c>
      <c r="H2" s="8" cm="1">
        <f t="array" ref="H2:H41">Molido!G2:G41/(1-Formula!$B$16)</f>
        <v>1669.3767615711654</v>
      </c>
      <c r="I2" s="8" cm="1">
        <f t="array" ref="I2:I41">Molido!I2:I41/(1-Formula!$B$16)</f>
        <v>0</v>
      </c>
    </row>
    <row r="3" spans="1:9" x14ac:dyDescent="0.25">
      <c r="A3" s="13" t="str">
        <v>Olmos</v>
      </c>
      <c r="B3" s="8">
        <v>11040</v>
      </c>
      <c r="C3" s="5">
        <v>46036</v>
      </c>
      <c r="D3" s="45">
        <v>0</v>
      </c>
      <c r="E3" s="45">
        <v>0</v>
      </c>
      <c r="F3" s="8">
        <v>609.29470623712052</v>
      </c>
      <c r="G3" s="8">
        <v>0</v>
      </c>
      <c r="H3" s="8">
        <v>0</v>
      </c>
      <c r="I3" s="7">
        <v>0</v>
      </c>
    </row>
    <row r="4" spans="1:9" x14ac:dyDescent="0.25">
      <c r="A4" s="13" t="str">
        <v>Sanchez Carrión</v>
      </c>
      <c r="B4" s="8">
        <v>9467.0400000000009</v>
      </c>
      <c r="C4" s="5">
        <v>46036</v>
      </c>
      <c r="D4" s="45">
        <v>0</v>
      </c>
      <c r="E4" s="45">
        <v>0</v>
      </c>
      <c r="F4" s="8">
        <v>1132.4766213720561</v>
      </c>
      <c r="G4" s="8">
        <v>0</v>
      </c>
      <c r="H4" s="8">
        <v>1699.7118304923908</v>
      </c>
      <c r="I4" s="7">
        <v>0</v>
      </c>
    </row>
    <row r="5" spans="1:9" x14ac:dyDescent="0.25">
      <c r="A5" s="13" t="str">
        <v>Hualgayoc</v>
      </c>
      <c r="B5" s="8">
        <v>11906.241620000001</v>
      </c>
      <c r="C5" s="5">
        <v>46038</v>
      </c>
      <c r="D5" s="45">
        <v>0</v>
      </c>
      <c r="E5" s="45">
        <f>Laminado!F5/(1-Formula!$B$16)</f>
        <v>4109.9652426936036</v>
      </c>
      <c r="F5" s="8">
        <v>112.83761626132761</v>
      </c>
      <c r="G5" s="8">
        <v>0</v>
      </c>
      <c r="H5" s="8">
        <v>0</v>
      </c>
      <c r="I5" s="7">
        <v>90.27009300906208</v>
      </c>
    </row>
    <row r="6" spans="1:9" x14ac:dyDescent="0.25">
      <c r="A6" s="13" t="str">
        <v>Viru</v>
      </c>
      <c r="B6" s="8">
        <v>5850</v>
      </c>
      <c r="C6" s="5">
        <v>46038</v>
      </c>
      <c r="D6" s="45">
        <v>0</v>
      </c>
      <c r="E6" s="45">
        <v>0</v>
      </c>
      <c r="F6" s="8">
        <v>0</v>
      </c>
      <c r="G6" s="8">
        <v>0</v>
      </c>
      <c r="H6" s="8">
        <v>0</v>
      </c>
      <c r="I6" s="7">
        <v>0</v>
      </c>
    </row>
    <row r="7" spans="1:9" x14ac:dyDescent="0.25">
      <c r="A7" s="13" t="str">
        <v>Florencia de Mora</v>
      </c>
      <c r="B7" s="8">
        <v>4281.8335999999999</v>
      </c>
      <c r="C7" s="5">
        <v>46044</v>
      </c>
      <c r="D7" s="45">
        <v>0</v>
      </c>
      <c r="E7" s="45">
        <f>Laminado!F7/(1-Formula!$B$16)</f>
        <v>1688.7292321843397</v>
      </c>
      <c r="F7" s="8">
        <v>0</v>
      </c>
      <c r="G7" s="8">
        <v>0</v>
      </c>
      <c r="H7" s="8">
        <v>0</v>
      </c>
      <c r="I7" s="7">
        <v>0</v>
      </c>
    </row>
    <row r="8" spans="1:9" x14ac:dyDescent="0.25">
      <c r="A8" s="13" t="str">
        <v>Olmos</v>
      </c>
      <c r="B8" s="8">
        <v>11058</v>
      </c>
      <c r="C8" s="5">
        <v>46055</v>
      </c>
      <c r="D8" s="45">
        <v>0</v>
      </c>
      <c r="E8" s="45">
        <f>Laminado!F8/(1-Formula!$B$16)</f>
        <v>0</v>
      </c>
      <c r="F8" s="8">
        <v>610.288121519029</v>
      </c>
      <c r="G8" s="8">
        <v>0</v>
      </c>
      <c r="H8" s="8">
        <v>0</v>
      </c>
      <c r="I8" s="7">
        <v>0</v>
      </c>
    </row>
    <row r="9" spans="1:9" x14ac:dyDescent="0.25">
      <c r="A9" s="13" t="str">
        <v>Cajatambo</v>
      </c>
      <c r="B9" s="8">
        <v>1042</v>
      </c>
      <c r="C9" s="5">
        <v>46060</v>
      </c>
      <c r="D9" s="45">
        <f>Laminado!E9/(1-Formula!$B$16)</f>
        <v>127.69886597555171</v>
      </c>
      <c r="E9" s="45">
        <f>Laminado!F9/(1-Formula!$B$16)</f>
        <v>127.69886597555171</v>
      </c>
      <c r="F9" s="8">
        <v>0</v>
      </c>
      <c r="G9" s="8">
        <v>0</v>
      </c>
      <c r="H9" s="8">
        <v>0</v>
      </c>
      <c r="I9" s="7">
        <v>0</v>
      </c>
    </row>
    <row r="10" spans="1:9" x14ac:dyDescent="0.25">
      <c r="A10" s="13" t="str">
        <v>Encañada</v>
      </c>
      <c r="B10" s="8">
        <v>21119.279999999999</v>
      </c>
      <c r="C10" s="5">
        <v>46073</v>
      </c>
      <c r="D10" s="45">
        <f>Laminado!E10/(1-Formula!$B$16)</f>
        <v>4293.2700892063513</v>
      </c>
      <c r="E10" s="45">
        <f>Laminado!F10/(1-Formula!$B$16)</f>
        <v>9758.2269237358214</v>
      </c>
      <c r="F10" s="8">
        <v>0</v>
      </c>
      <c r="G10" s="8">
        <v>0</v>
      </c>
      <c r="H10" s="8">
        <v>0</v>
      </c>
      <c r="I10" s="7">
        <v>0</v>
      </c>
    </row>
    <row r="11" spans="1:9" x14ac:dyDescent="0.25">
      <c r="A11" s="13" t="str">
        <v>Moyobamba</v>
      </c>
      <c r="B11" s="8">
        <v>9322</v>
      </c>
      <c r="C11" s="5">
        <v>46083</v>
      </c>
      <c r="D11" s="45">
        <v>0</v>
      </c>
      <c r="E11" s="45">
        <f>Laminado!F11/(1-Formula!$B$16)</f>
        <v>0</v>
      </c>
      <c r="F11" s="8">
        <v>0</v>
      </c>
      <c r="G11" s="8">
        <v>1164.3367318845428</v>
      </c>
      <c r="H11" s="8">
        <v>0</v>
      </c>
      <c r="I11" s="7">
        <v>0</v>
      </c>
    </row>
    <row r="12" spans="1:9" x14ac:dyDescent="0.25">
      <c r="A12" s="13" t="str">
        <v>Olmos</v>
      </c>
      <c r="B12" s="8">
        <v>5611</v>
      </c>
      <c r="C12" s="5">
        <v>46085</v>
      </c>
      <c r="D12" s="45">
        <v>0</v>
      </c>
      <c r="E12" s="45">
        <f>Laminado!F12/(1-Formula!$B$16)</f>
        <v>0</v>
      </c>
      <c r="F12" s="8">
        <v>309.66961926598589</v>
      </c>
      <c r="G12" s="8">
        <v>0</v>
      </c>
      <c r="H12" s="8">
        <v>0</v>
      </c>
      <c r="I12" s="7">
        <v>0</v>
      </c>
    </row>
    <row r="13" spans="1:9" x14ac:dyDescent="0.25">
      <c r="A13" s="13" t="str">
        <v>Cajatambo</v>
      </c>
      <c r="B13" s="8">
        <v>1042</v>
      </c>
      <c r="C13" s="5">
        <v>46086</v>
      </c>
      <c r="D13" s="45">
        <v>0</v>
      </c>
      <c r="E13" s="45">
        <f>Laminado!F13/(1-Formula!$B$16)</f>
        <v>127.69886597555171</v>
      </c>
      <c r="F13" s="8">
        <v>0</v>
      </c>
      <c r="G13" s="8">
        <v>0</v>
      </c>
      <c r="H13" s="8">
        <v>0</v>
      </c>
      <c r="I13" s="7">
        <v>0</v>
      </c>
    </row>
    <row r="14" spans="1:9" x14ac:dyDescent="0.25">
      <c r="A14" s="13" t="str">
        <v>Hualgayoc</v>
      </c>
      <c r="B14" s="8">
        <v>11906.241620000001</v>
      </c>
      <c r="C14" s="5">
        <v>46094</v>
      </c>
      <c r="D14" s="45">
        <v>0</v>
      </c>
      <c r="E14" s="45">
        <f>Laminado!F14/(1-Formula!$B$16)</f>
        <v>4109.9652426936036</v>
      </c>
      <c r="F14" s="8">
        <v>112.83761626132761</v>
      </c>
      <c r="G14" s="8">
        <v>0</v>
      </c>
      <c r="H14" s="8">
        <v>0</v>
      </c>
      <c r="I14" s="7">
        <v>90.27009300906208</v>
      </c>
    </row>
    <row r="15" spans="1:9" x14ac:dyDescent="0.25">
      <c r="A15" s="13" t="str">
        <v>Alto Trujillo</v>
      </c>
      <c r="B15" s="8">
        <v>3018.04</v>
      </c>
      <c r="C15" s="5">
        <v>46097</v>
      </c>
      <c r="D15" s="45">
        <v>0</v>
      </c>
      <c r="E15" s="45">
        <v>0</v>
      </c>
      <c r="F15" s="8">
        <v>0</v>
      </c>
      <c r="G15" s="8">
        <v>0</v>
      </c>
      <c r="H15" s="8">
        <v>0</v>
      </c>
      <c r="I15" s="7">
        <v>0</v>
      </c>
    </row>
    <row r="16" spans="1:9" x14ac:dyDescent="0.25">
      <c r="A16" s="13" t="str">
        <v>Sanchez Carrión</v>
      </c>
      <c r="B16" s="8">
        <v>9467.0400000000009</v>
      </c>
      <c r="C16" s="5">
        <v>46097</v>
      </c>
      <c r="D16" s="45">
        <v>0</v>
      </c>
      <c r="E16" s="45">
        <v>0</v>
      </c>
      <c r="F16" s="8">
        <v>1132.4766213720561</v>
      </c>
      <c r="G16" s="8">
        <v>0</v>
      </c>
      <c r="H16" s="8">
        <v>1699.7118304923908</v>
      </c>
      <c r="I16" s="7">
        <v>0</v>
      </c>
    </row>
    <row r="17" spans="1:14" x14ac:dyDescent="0.25">
      <c r="A17" s="13" t="str">
        <v>Viru</v>
      </c>
      <c r="B17" s="8">
        <v>6046</v>
      </c>
      <c r="C17" s="5">
        <v>46097</v>
      </c>
      <c r="D17" s="45">
        <v>0</v>
      </c>
      <c r="E17" s="45">
        <v>0</v>
      </c>
      <c r="F17" s="8">
        <v>0</v>
      </c>
      <c r="G17" s="8">
        <v>0</v>
      </c>
      <c r="H17" s="8">
        <v>0</v>
      </c>
      <c r="I17" s="7">
        <v>0</v>
      </c>
    </row>
    <row r="18" spans="1:14" x14ac:dyDescent="0.25">
      <c r="A18" s="13" t="str">
        <v>Florencia de Mora</v>
      </c>
      <c r="B18" s="8">
        <v>4281.8335999999999</v>
      </c>
      <c r="C18" s="5">
        <v>46100</v>
      </c>
      <c r="D18" s="45">
        <v>0</v>
      </c>
      <c r="E18" s="45">
        <f>Laminado!F18/(1-Formula!$B$16)</f>
        <v>1688.7292321843397</v>
      </c>
      <c r="F18" s="8">
        <v>0</v>
      </c>
      <c r="G18" s="8">
        <v>0</v>
      </c>
      <c r="H18" s="8">
        <v>0</v>
      </c>
      <c r="I18" s="7">
        <v>0</v>
      </c>
    </row>
    <row r="19" spans="1:14" x14ac:dyDescent="0.25">
      <c r="A19" s="13" t="str">
        <v>Encañada</v>
      </c>
      <c r="B19" s="8">
        <v>21119.279999999999</v>
      </c>
      <c r="C19" s="5">
        <v>46101</v>
      </c>
      <c r="D19" s="45">
        <f>Laminado!E19/(1-Formula!$B$16)</f>
        <v>4293.2700892063513</v>
      </c>
      <c r="E19" s="45">
        <f>Laminado!F19/(1-Formula!$B$16)</f>
        <v>9758.2269237358214</v>
      </c>
      <c r="F19" s="8">
        <v>0</v>
      </c>
      <c r="G19" s="8">
        <v>0</v>
      </c>
      <c r="H19" s="8">
        <v>0</v>
      </c>
      <c r="I19" s="7">
        <v>0</v>
      </c>
    </row>
    <row r="20" spans="1:14" x14ac:dyDescent="0.25">
      <c r="A20" s="13" t="str">
        <v>Olmos</v>
      </c>
      <c r="B20" s="8">
        <v>5840</v>
      </c>
      <c r="C20" s="5">
        <v>46115</v>
      </c>
      <c r="D20" s="45">
        <v>0</v>
      </c>
      <c r="E20" s="45">
        <v>0</v>
      </c>
      <c r="F20" s="8">
        <v>322.30806924137539</v>
      </c>
      <c r="G20" s="8">
        <v>0</v>
      </c>
      <c r="H20" s="8">
        <v>0</v>
      </c>
      <c r="I20" s="7">
        <v>0</v>
      </c>
    </row>
    <row r="21" spans="1:14" x14ac:dyDescent="0.25">
      <c r="A21" s="13" t="str">
        <v>Alto Trujillo</v>
      </c>
      <c r="B21" s="8">
        <v>3018.04</v>
      </c>
      <c r="C21" s="5">
        <v>46129</v>
      </c>
      <c r="D21" s="45">
        <v>0</v>
      </c>
      <c r="E21" s="45">
        <v>0</v>
      </c>
      <c r="F21" s="8">
        <v>0</v>
      </c>
      <c r="G21" s="8">
        <v>0</v>
      </c>
      <c r="H21" s="8">
        <v>0</v>
      </c>
      <c r="I21" s="7">
        <v>0</v>
      </c>
    </row>
    <row r="22" spans="1:14" x14ac:dyDescent="0.25">
      <c r="A22" s="13" t="str">
        <v>Moyobamba</v>
      </c>
      <c r="B22" s="8">
        <v>9139</v>
      </c>
      <c r="C22" s="5">
        <v>46129</v>
      </c>
      <c r="D22" s="45">
        <v>0</v>
      </c>
      <c r="E22" s="45">
        <v>0</v>
      </c>
      <c r="F22" s="8">
        <v>0</v>
      </c>
      <c r="G22" s="8">
        <v>1141.4796602330869</v>
      </c>
      <c r="H22" s="8">
        <v>0</v>
      </c>
      <c r="I22" s="7">
        <v>0</v>
      </c>
    </row>
    <row r="23" spans="1:14" x14ac:dyDescent="0.25">
      <c r="A23" s="13" t="str">
        <v>Olmos</v>
      </c>
      <c r="B23" s="8">
        <v>5611</v>
      </c>
      <c r="C23" s="5">
        <v>46146</v>
      </c>
      <c r="D23" s="45">
        <v>0</v>
      </c>
      <c r="E23" s="45">
        <v>0</v>
      </c>
      <c r="F23" s="8">
        <v>309.66961926598589</v>
      </c>
      <c r="G23" s="8">
        <v>0</v>
      </c>
      <c r="H23" s="8">
        <v>0</v>
      </c>
      <c r="I23" s="7">
        <v>0</v>
      </c>
    </row>
    <row r="24" spans="1:14" x14ac:dyDescent="0.25">
      <c r="A24" s="13" t="str">
        <v>Sanchez Carrión</v>
      </c>
      <c r="B24" s="8">
        <v>9298.08</v>
      </c>
      <c r="C24" s="5">
        <v>46150</v>
      </c>
      <c r="D24" s="45">
        <v>0</v>
      </c>
      <c r="E24" s="45">
        <v>0</v>
      </c>
      <c r="F24" s="8">
        <v>1112.2651033107588</v>
      </c>
      <c r="G24" s="8">
        <v>0</v>
      </c>
      <c r="H24" s="8">
        <v>1669.3767615711654</v>
      </c>
      <c r="I24" s="7">
        <v>0</v>
      </c>
    </row>
    <row r="25" spans="1:14" x14ac:dyDescent="0.25">
      <c r="A25" s="4" t="str">
        <v>Viru</v>
      </c>
      <c r="B25" s="8">
        <v>6046</v>
      </c>
      <c r="C25" s="5">
        <v>46157</v>
      </c>
      <c r="D25" s="45">
        <v>0</v>
      </c>
      <c r="E25" s="45">
        <v>0</v>
      </c>
      <c r="F25" s="8">
        <v>0</v>
      </c>
      <c r="G25" s="8">
        <v>0</v>
      </c>
      <c r="H25" s="8">
        <v>0</v>
      </c>
      <c r="I25" s="7">
        <v>0</v>
      </c>
      <c r="M25" s="38"/>
      <c r="N25" s="38"/>
    </row>
    <row r="26" spans="1:14" x14ac:dyDescent="0.25">
      <c r="A26" s="4" t="str">
        <v>Cajatambo</v>
      </c>
      <c r="B26" s="8">
        <v>1016</v>
      </c>
      <c r="C26" s="5">
        <v>46174</v>
      </c>
      <c r="D26" s="45">
        <v>0</v>
      </c>
      <c r="E26" s="45">
        <v>0</v>
      </c>
      <c r="F26" s="8">
        <v>0</v>
      </c>
      <c r="G26" s="8">
        <v>0</v>
      </c>
      <c r="H26" s="8">
        <v>0</v>
      </c>
      <c r="I26" s="7">
        <v>0</v>
      </c>
    </row>
    <row r="27" spans="1:14" x14ac:dyDescent="0.25">
      <c r="A27" s="4" t="str">
        <v>Olmos</v>
      </c>
      <c r="B27" s="8">
        <v>5840</v>
      </c>
      <c r="C27" s="5">
        <v>46174</v>
      </c>
      <c r="D27" s="45">
        <v>0</v>
      </c>
      <c r="E27" s="45">
        <v>0</v>
      </c>
      <c r="F27" s="8">
        <v>322.30806924137539</v>
      </c>
      <c r="G27" s="8">
        <v>0</v>
      </c>
      <c r="H27" s="8">
        <v>0</v>
      </c>
      <c r="I27" s="7">
        <v>0</v>
      </c>
    </row>
    <row r="28" spans="1:14" x14ac:dyDescent="0.25">
      <c r="A28" s="4" t="str">
        <v>Encañada</v>
      </c>
      <c r="B28" s="8">
        <v>21119.279999999999</v>
      </c>
      <c r="C28" s="5">
        <v>46175</v>
      </c>
      <c r="D28" s="45">
        <f>Laminado!E28/(1-Formula!$B$16)</f>
        <v>4293.2700892063513</v>
      </c>
      <c r="E28" s="45">
        <v>0</v>
      </c>
      <c r="F28" s="8">
        <v>0</v>
      </c>
      <c r="G28" s="8">
        <v>0</v>
      </c>
      <c r="H28" s="8">
        <v>0</v>
      </c>
      <c r="I28" s="8">
        <v>0</v>
      </c>
    </row>
    <row r="29" spans="1:14" x14ac:dyDescent="0.25">
      <c r="A29" s="4" t="str">
        <v>Hualgayoc</v>
      </c>
      <c r="B29" s="8">
        <v>11906.24</v>
      </c>
      <c r="C29" s="5">
        <v>46179</v>
      </c>
      <c r="D29" s="45">
        <v>0</v>
      </c>
      <c r="E29" s="45">
        <v>0</v>
      </c>
      <c r="F29" s="8">
        <v>112.83760090829308</v>
      </c>
      <c r="G29" s="8">
        <v>0</v>
      </c>
      <c r="H29" s="8">
        <v>0</v>
      </c>
      <c r="I29" s="7">
        <v>90.27008072663449</v>
      </c>
    </row>
    <row r="30" spans="1:14" x14ac:dyDescent="0.25">
      <c r="A30" s="4" t="str">
        <v>Alto Trujillo</v>
      </c>
      <c r="B30" s="8">
        <v>3018.9825799999999</v>
      </c>
      <c r="C30" s="5">
        <v>46188</v>
      </c>
      <c r="D30" s="45">
        <v>0</v>
      </c>
      <c r="E30" s="45">
        <v>0</v>
      </c>
      <c r="F30" s="8">
        <v>0</v>
      </c>
      <c r="G30" s="8">
        <v>0</v>
      </c>
      <c r="H30" s="8">
        <v>0</v>
      </c>
      <c r="I30" s="7">
        <v>0</v>
      </c>
    </row>
    <row r="31" spans="1:14" x14ac:dyDescent="0.25">
      <c r="A31" s="4" t="str">
        <v>Sanchez Carrión</v>
      </c>
      <c r="B31" s="8">
        <v>9298.08</v>
      </c>
      <c r="C31" s="5">
        <v>46214</v>
      </c>
      <c r="D31" s="45">
        <v>0</v>
      </c>
      <c r="E31" s="45">
        <v>0</v>
      </c>
      <c r="F31" s="8">
        <v>1112.2651033107588</v>
      </c>
      <c r="G31" s="8">
        <v>0</v>
      </c>
      <c r="H31" s="8">
        <v>1669.3767615711654</v>
      </c>
      <c r="I31" s="7">
        <v>0</v>
      </c>
      <c r="J31" s="12"/>
    </row>
    <row r="32" spans="1:14" x14ac:dyDescent="0.25">
      <c r="A32" s="4" t="str">
        <v>Alto Trujillo</v>
      </c>
      <c r="B32" s="8">
        <v>3018.9825799999999</v>
      </c>
      <c r="C32" s="5">
        <v>46218</v>
      </c>
      <c r="D32" s="45">
        <v>0</v>
      </c>
      <c r="E32" s="45">
        <v>0</v>
      </c>
      <c r="F32" s="8">
        <v>0</v>
      </c>
      <c r="G32" s="8">
        <v>0</v>
      </c>
      <c r="H32" s="8">
        <v>0</v>
      </c>
      <c r="I32" s="8">
        <v>0</v>
      </c>
    </row>
    <row r="33" spans="1:9" x14ac:dyDescent="0.25">
      <c r="A33" s="4" t="str">
        <v>Florencia de Mora</v>
      </c>
      <c r="B33" s="8">
        <v>4281.8335999999999</v>
      </c>
      <c r="C33" s="5">
        <v>46218</v>
      </c>
      <c r="D33" s="45">
        <v>0</v>
      </c>
      <c r="E33" s="45">
        <f>Laminado!F33/(1-Formula!$B$16)</f>
        <v>1688.7292321843397</v>
      </c>
      <c r="F33" s="8">
        <v>0</v>
      </c>
      <c r="G33" s="8">
        <v>0</v>
      </c>
      <c r="H33" s="8">
        <v>0</v>
      </c>
      <c r="I33" s="8">
        <v>0</v>
      </c>
    </row>
    <row r="34" spans="1:9" x14ac:dyDescent="0.25">
      <c r="A34" s="4" t="str">
        <v>Encañada</v>
      </c>
      <c r="B34" s="8">
        <v>21119.279999999999</v>
      </c>
      <c r="C34" s="5">
        <v>46192</v>
      </c>
      <c r="D34" s="45">
        <f>Laminado!E34/(1-Formula!$B$16)</f>
        <v>4293.2700892063513</v>
      </c>
      <c r="E34" s="45">
        <f>Laminado!F34/(1-Formula!$B$16)</f>
        <v>9758.2269237358214</v>
      </c>
      <c r="F34" s="8">
        <v>0</v>
      </c>
      <c r="G34" s="8">
        <v>0</v>
      </c>
      <c r="H34" s="8">
        <v>0</v>
      </c>
      <c r="I34" s="8">
        <v>0</v>
      </c>
    </row>
    <row r="35" spans="1:9" x14ac:dyDescent="0.25">
      <c r="A35" s="4" t="str">
        <v>Moyobamba</v>
      </c>
      <c r="B35" s="8">
        <v>9294</v>
      </c>
      <c r="C35" s="5">
        <v>46197</v>
      </c>
      <c r="D35" s="45">
        <v>0</v>
      </c>
      <c r="E35" s="45">
        <v>0</v>
      </c>
      <c r="F35" s="8">
        <v>0</v>
      </c>
      <c r="G35" s="8">
        <v>1160.8394750198388</v>
      </c>
      <c r="H35" s="8">
        <v>0</v>
      </c>
      <c r="I35" s="7">
        <v>0</v>
      </c>
    </row>
    <row r="36" spans="1:9" x14ac:dyDescent="0.25">
      <c r="A36" s="4" t="str">
        <v>Viru</v>
      </c>
      <c r="B36" s="8">
        <v>6046</v>
      </c>
      <c r="C36" s="5">
        <v>46216</v>
      </c>
      <c r="D36" s="45">
        <v>0</v>
      </c>
      <c r="E36" s="45">
        <v>0</v>
      </c>
      <c r="F36" s="8">
        <v>0</v>
      </c>
      <c r="G36" s="8">
        <v>0</v>
      </c>
      <c r="H36" s="8">
        <v>0</v>
      </c>
      <c r="I36" s="7">
        <v>0</v>
      </c>
    </row>
    <row r="37" spans="1:9" x14ac:dyDescent="0.25">
      <c r="A37" s="4" t="str">
        <v>Alto Trujillo</v>
      </c>
      <c r="B37" s="8">
        <v>3759.21</v>
      </c>
      <c r="C37" s="5">
        <v>46235</v>
      </c>
      <c r="D37" s="45">
        <v>0</v>
      </c>
      <c r="E37" s="45">
        <v>0</v>
      </c>
      <c r="F37" s="8">
        <v>0</v>
      </c>
      <c r="G37" s="8">
        <v>0</v>
      </c>
      <c r="H37" s="8">
        <v>0</v>
      </c>
      <c r="I37" s="7">
        <v>0</v>
      </c>
    </row>
    <row r="38" spans="1:9" x14ac:dyDescent="0.25">
      <c r="A38" s="4" t="str">
        <v>Olmos</v>
      </c>
      <c r="B38" s="8">
        <v>5611</v>
      </c>
      <c r="C38" s="5">
        <v>46238</v>
      </c>
      <c r="D38" s="45">
        <v>0</v>
      </c>
      <c r="E38" s="45">
        <v>0</v>
      </c>
      <c r="F38" s="8">
        <v>309.66961926598589</v>
      </c>
      <c r="G38" s="8">
        <v>0</v>
      </c>
      <c r="H38" s="8">
        <v>0</v>
      </c>
      <c r="I38" s="7">
        <v>0</v>
      </c>
    </row>
    <row r="39" spans="1:9" x14ac:dyDescent="0.25">
      <c r="A39" s="4" t="str">
        <v>Viru</v>
      </c>
      <c r="B39" s="8">
        <v>13579</v>
      </c>
      <c r="C39" s="5">
        <v>46248</v>
      </c>
      <c r="D39" s="45">
        <v>0</v>
      </c>
      <c r="E39" s="45">
        <v>0</v>
      </c>
      <c r="F39" s="8">
        <v>0</v>
      </c>
      <c r="G39" s="8">
        <v>0</v>
      </c>
      <c r="H39" s="8">
        <v>0</v>
      </c>
      <c r="I39" s="7">
        <v>0</v>
      </c>
    </row>
    <row r="40" spans="1:9" x14ac:dyDescent="0.25">
      <c r="A40" s="4" t="str">
        <v>Sanchez Carrión</v>
      </c>
      <c r="B40" s="8">
        <v>3743.92</v>
      </c>
      <c r="C40" s="5">
        <v>46249</v>
      </c>
      <c r="D40" s="45">
        <v>0</v>
      </c>
      <c r="E40" s="45">
        <v>0</v>
      </c>
      <c r="F40" s="8">
        <v>447.85929628344951</v>
      </c>
      <c r="G40" s="8">
        <v>0</v>
      </c>
      <c r="H40" s="8">
        <v>672.183186763452</v>
      </c>
      <c r="I40" s="7">
        <v>0</v>
      </c>
    </row>
    <row r="41" spans="1:9" x14ac:dyDescent="0.25">
      <c r="A41" s="4" t="str">
        <v>Alto Trujillo</v>
      </c>
      <c r="B41" s="8">
        <v>3018.9825799999999</v>
      </c>
      <c r="C41" s="5">
        <v>46251</v>
      </c>
      <c r="D41" s="45">
        <v>0</v>
      </c>
      <c r="E41" s="45">
        <v>0</v>
      </c>
      <c r="F41" s="8">
        <v>0</v>
      </c>
      <c r="G41" s="8">
        <v>0</v>
      </c>
      <c r="H41" s="8">
        <v>0</v>
      </c>
      <c r="I41" s="7">
        <v>0</v>
      </c>
    </row>
    <row r="42" spans="1:9" x14ac:dyDescent="0.25">
      <c r="D42" s="45"/>
    </row>
  </sheetData>
  <autoFilter ref="A1:H29" xr:uid="{4471FCF5-8BC7-40DC-B94C-6FDFE8A5AC0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90DA8-AD9B-4A3D-AEF2-32535658F8D5}">
  <dimension ref="A1:N80"/>
  <sheetViews>
    <sheetView workbookViewId="0">
      <pane ySplit="1" topLeftCell="A2" activePane="bottomLeft" state="frozen"/>
      <selection pane="bottomLeft" activeCell="D23" sqref="D23"/>
    </sheetView>
  </sheetViews>
  <sheetFormatPr baseColWidth="10" defaultRowHeight="15" x14ac:dyDescent="0.25"/>
  <cols>
    <col min="1" max="1" width="18" style="4" bestFit="1" customWidth="1"/>
    <col min="2" max="2" width="13.140625" style="8" bestFit="1" customWidth="1"/>
    <col min="3" max="3" width="10.42578125" style="5" bestFit="1" customWidth="1"/>
    <col min="4" max="4" width="17" style="8" customWidth="1"/>
    <col min="5" max="5" width="11.42578125" style="8"/>
    <col min="6" max="6" width="11.42578125" style="4"/>
  </cols>
  <sheetData>
    <row r="1" spans="1:9" ht="35.25" customHeight="1" thickBot="1" x14ac:dyDescent="0.3">
      <c r="A1" s="14" t="s">
        <v>3</v>
      </c>
      <c r="B1" s="15" t="s">
        <v>6</v>
      </c>
      <c r="C1" s="16" t="s">
        <v>7</v>
      </c>
      <c r="D1" s="15" t="s">
        <v>35</v>
      </c>
      <c r="E1" s="15" t="s">
        <v>21</v>
      </c>
      <c r="F1" s="42" t="s">
        <v>81</v>
      </c>
    </row>
    <row r="2" spans="1:9" x14ac:dyDescent="0.25">
      <c r="A2" s="4" t="str" cm="1">
        <f t="array" ref="A2:C26">Mezclado!A2:C26</f>
        <v>Sanchez Carrión</v>
      </c>
      <c r="B2" s="8">
        <v>9298.08</v>
      </c>
      <c r="C2" s="5">
        <v>45987</v>
      </c>
      <c r="D2" s="8" cm="1">
        <f t="array" ref="D2:D26">IF(Mezclado!I2:I26&gt;300, Mezclado!I2:I26, 0)</f>
        <v>740.86803603603607</v>
      </c>
      <c r="E2" s="8" cm="1">
        <f t="array" ref="E2:E26">IF(Mezclado!I2:I26&gt;300, 0,Mezclado!I2:I26/(1-Formula!$B$15))</f>
        <v>0</v>
      </c>
      <c r="F2" s="43" cm="1">
        <f t="array" ref="F2:F41">_xlfn.ANCHORARRAY(Molido!H2)</f>
        <v>0</v>
      </c>
      <c r="I2" s="12"/>
    </row>
    <row r="3" spans="1:9" x14ac:dyDescent="0.25">
      <c r="A3" s="13" t="str">
        <v>Olmos</v>
      </c>
      <c r="B3" s="8">
        <v>11040</v>
      </c>
      <c r="C3" s="5">
        <v>46036</v>
      </c>
      <c r="D3" s="8">
        <v>0</v>
      </c>
      <c r="E3" s="8">
        <v>0</v>
      </c>
      <c r="F3" s="44">
        <v>0</v>
      </c>
      <c r="H3" s="7"/>
    </row>
    <row r="4" spans="1:9" x14ac:dyDescent="0.25">
      <c r="A4" s="13" t="str">
        <v>Sanchez Carrión</v>
      </c>
      <c r="B4" s="8">
        <v>9467.0400000000009</v>
      </c>
      <c r="C4" s="5">
        <v>46036</v>
      </c>
      <c r="D4" s="8">
        <v>754.33071471471487</v>
      </c>
      <c r="E4" s="8">
        <v>0</v>
      </c>
      <c r="F4" s="44">
        <v>0</v>
      </c>
      <c r="H4" s="7"/>
    </row>
    <row r="5" spans="1:9" x14ac:dyDescent="0.25">
      <c r="A5" s="13" t="str">
        <v>Hualgayoc</v>
      </c>
      <c r="B5" s="8">
        <v>11906.241620000001</v>
      </c>
      <c r="C5" s="5">
        <v>46038</v>
      </c>
      <c r="D5" s="8">
        <v>1504.0717642082084</v>
      </c>
      <c r="E5" s="8">
        <v>0</v>
      </c>
      <c r="F5" s="44">
        <v>0</v>
      </c>
      <c r="H5" s="7"/>
    </row>
    <row r="6" spans="1:9" x14ac:dyDescent="0.25">
      <c r="A6" s="13" t="str">
        <v>Viru</v>
      </c>
      <c r="B6" s="8">
        <v>5850</v>
      </c>
      <c r="C6" s="5">
        <v>46038</v>
      </c>
      <c r="D6" s="8">
        <v>597.29729729729729</v>
      </c>
      <c r="E6" s="8">
        <v>0</v>
      </c>
      <c r="F6" s="44">
        <v>0</v>
      </c>
      <c r="H6" s="7"/>
    </row>
    <row r="7" spans="1:9" x14ac:dyDescent="0.25">
      <c r="A7" s="13" t="str">
        <v>Florencia de Mora</v>
      </c>
      <c r="B7" s="8">
        <v>4281.8335999999999</v>
      </c>
      <c r="C7" s="5">
        <v>46044</v>
      </c>
      <c r="D7" s="8">
        <v>0</v>
      </c>
      <c r="E7" s="8">
        <v>0</v>
      </c>
      <c r="F7" s="44">
        <v>0</v>
      </c>
      <c r="H7" s="7"/>
    </row>
    <row r="8" spans="1:9" x14ac:dyDescent="0.25">
      <c r="A8" s="13" t="str">
        <v>Olmos</v>
      </c>
      <c r="B8" s="8">
        <v>11058</v>
      </c>
      <c r="C8" s="5">
        <v>46055</v>
      </c>
      <c r="D8" s="8">
        <v>0</v>
      </c>
      <c r="E8" s="8">
        <v>0</v>
      </c>
      <c r="F8" s="44">
        <v>0</v>
      </c>
      <c r="H8" s="7"/>
    </row>
    <row r="9" spans="1:9" x14ac:dyDescent="0.25">
      <c r="A9" s="13" t="str">
        <v>Cajatambo</v>
      </c>
      <c r="B9" s="8">
        <v>1042</v>
      </c>
      <c r="C9" s="5">
        <v>46060</v>
      </c>
      <c r="D9" s="8">
        <v>370.38458458458462</v>
      </c>
      <c r="E9" s="8">
        <v>0</v>
      </c>
      <c r="F9" s="44">
        <v>0</v>
      </c>
      <c r="H9" s="7"/>
    </row>
    <row r="10" spans="1:9" x14ac:dyDescent="0.25">
      <c r="A10" s="13" t="str">
        <v>Encañada</v>
      </c>
      <c r="B10" s="8">
        <v>21119.279999999999</v>
      </c>
      <c r="C10" s="5">
        <v>46073</v>
      </c>
      <c r="D10" s="8">
        <v>1133.1265345345344</v>
      </c>
      <c r="E10" s="8">
        <v>0</v>
      </c>
      <c r="F10" s="44">
        <v>386.13625053625049</v>
      </c>
      <c r="H10" s="7"/>
    </row>
    <row r="11" spans="1:9" x14ac:dyDescent="0.25">
      <c r="A11" s="13" t="str">
        <v>Moyobamba</v>
      </c>
      <c r="B11" s="8">
        <v>9322</v>
      </c>
      <c r="C11" s="5">
        <v>46083</v>
      </c>
      <c r="D11" s="8">
        <v>0</v>
      </c>
      <c r="E11" s="8">
        <v>0</v>
      </c>
      <c r="F11" s="44">
        <v>0</v>
      </c>
      <c r="H11" s="7"/>
    </row>
    <row r="12" spans="1:9" x14ac:dyDescent="0.25">
      <c r="A12" s="13" t="str">
        <v>Olmos</v>
      </c>
      <c r="B12" s="8">
        <v>5611</v>
      </c>
      <c r="C12" s="5">
        <v>46085</v>
      </c>
      <c r="D12" s="8">
        <v>0</v>
      </c>
      <c r="E12" s="8">
        <v>0</v>
      </c>
      <c r="F12" s="44">
        <v>0</v>
      </c>
      <c r="H12" s="7"/>
    </row>
    <row r="13" spans="1:9" x14ac:dyDescent="0.25">
      <c r="A13" s="13" t="str">
        <v>Cajatambo</v>
      </c>
      <c r="B13" s="8">
        <v>1042</v>
      </c>
      <c r="C13" s="5">
        <v>46086</v>
      </c>
      <c r="D13" s="8">
        <v>370.38458458458462</v>
      </c>
      <c r="E13" s="8">
        <v>0</v>
      </c>
      <c r="F13" s="44">
        <v>0</v>
      </c>
      <c r="H13" s="7"/>
    </row>
    <row r="14" spans="1:9" x14ac:dyDescent="0.25">
      <c r="A14" s="13" t="str">
        <v>Hualgayoc</v>
      </c>
      <c r="B14" s="8">
        <v>11906.241620000001</v>
      </c>
      <c r="C14" s="5">
        <v>46094</v>
      </c>
      <c r="D14" s="8">
        <v>1504.0717642082084</v>
      </c>
      <c r="E14" s="8">
        <v>0</v>
      </c>
      <c r="F14" s="44">
        <v>0</v>
      </c>
      <c r="H14" s="7"/>
    </row>
    <row r="15" spans="1:9" x14ac:dyDescent="0.25">
      <c r="A15" s="13" t="str">
        <v>Alto Trujillo</v>
      </c>
      <c r="B15" s="8">
        <v>3018.04</v>
      </c>
      <c r="C15" s="5">
        <v>46097</v>
      </c>
      <c r="D15" s="8">
        <v>0</v>
      </c>
      <c r="E15" s="8">
        <v>0</v>
      </c>
      <c r="F15" s="44">
        <v>0</v>
      </c>
      <c r="H15" s="7"/>
    </row>
    <row r="16" spans="1:9" x14ac:dyDescent="0.25">
      <c r="A16" s="13" t="str">
        <v>Sanchez Carrión</v>
      </c>
      <c r="B16" s="8">
        <v>9467.0400000000009</v>
      </c>
      <c r="C16" s="5">
        <v>46097</v>
      </c>
      <c r="D16" s="8">
        <v>754.33071471471487</v>
      </c>
      <c r="E16" s="8">
        <v>0</v>
      </c>
      <c r="F16" s="44">
        <v>0</v>
      </c>
      <c r="H16" s="7"/>
    </row>
    <row r="17" spans="1:8" x14ac:dyDescent="0.25">
      <c r="A17" s="13" t="str">
        <v>Viru</v>
      </c>
      <c r="B17" s="8">
        <v>6046</v>
      </c>
      <c r="C17" s="5">
        <v>46097</v>
      </c>
      <c r="D17" s="8">
        <v>617.30930930930924</v>
      </c>
      <c r="E17" s="8">
        <v>0</v>
      </c>
      <c r="F17" s="44">
        <v>0</v>
      </c>
      <c r="H17" s="7"/>
    </row>
    <row r="18" spans="1:8" x14ac:dyDescent="0.25">
      <c r="A18" s="13" t="str">
        <v>Florencia de Mora</v>
      </c>
      <c r="B18" s="8">
        <v>4281.8335999999999</v>
      </c>
      <c r="C18" s="5">
        <v>46100</v>
      </c>
      <c r="D18" s="8">
        <v>0</v>
      </c>
      <c r="E18" s="8">
        <v>0</v>
      </c>
      <c r="F18" s="44">
        <v>0</v>
      </c>
      <c r="H18" s="7"/>
    </row>
    <row r="19" spans="1:8" x14ac:dyDescent="0.25">
      <c r="A19" s="13" t="str">
        <v>Encañada</v>
      </c>
      <c r="B19" s="8">
        <v>21119.279999999999</v>
      </c>
      <c r="C19" s="5">
        <v>46101</v>
      </c>
      <c r="D19" s="8">
        <v>1133.1265345345344</v>
      </c>
      <c r="E19" s="8">
        <v>0</v>
      </c>
      <c r="F19" s="44">
        <v>386.13625053625049</v>
      </c>
      <c r="H19" s="7"/>
    </row>
    <row r="20" spans="1:8" x14ac:dyDescent="0.25">
      <c r="A20" s="13" t="str">
        <v>Olmos</v>
      </c>
      <c r="B20" s="8">
        <v>5840</v>
      </c>
      <c r="C20" s="5">
        <v>46115</v>
      </c>
      <c r="D20" s="8">
        <v>0</v>
      </c>
      <c r="E20" s="8">
        <v>0</v>
      </c>
      <c r="F20" s="44">
        <v>0</v>
      </c>
      <c r="H20" s="7"/>
    </row>
    <row r="21" spans="1:8" x14ac:dyDescent="0.25">
      <c r="A21" s="13" t="str">
        <v>Alto Trujillo</v>
      </c>
      <c r="B21" s="8">
        <v>3018.04</v>
      </c>
      <c r="C21" s="5">
        <v>46129</v>
      </c>
      <c r="D21" s="8">
        <v>0</v>
      </c>
      <c r="E21" s="8">
        <v>0</v>
      </c>
      <c r="F21" s="44">
        <v>0</v>
      </c>
      <c r="H21" s="7"/>
    </row>
    <row r="22" spans="1:8" x14ac:dyDescent="0.25">
      <c r="A22" s="13" t="str">
        <v>Moyobamba</v>
      </c>
      <c r="B22" s="8">
        <v>9139</v>
      </c>
      <c r="C22" s="5">
        <v>46129</v>
      </c>
      <c r="D22" s="8">
        <v>0</v>
      </c>
      <c r="E22" s="8">
        <v>0</v>
      </c>
      <c r="F22" s="44">
        <v>0</v>
      </c>
      <c r="H22" s="7"/>
    </row>
    <row r="23" spans="1:8" x14ac:dyDescent="0.25">
      <c r="A23" s="13" t="str">
        <v>Olmos</v>
      </c>
      <c r="B23" s="8">
        <v>5611</v>
      </c>
      <c r="C23" s="5">
        <v>46146</v>
      </c>
      <c r="D23" s="8">
        <v>0</v>
      </c>
      <c r="E23" s="8">
        <v>0</v>
      </c>
      <c r="F23" s="44">
        <v>0</v>
      </c>
      <c r="H23" s="7"/>
    </row>
    <row r="24" spans="1:8" x14ac:dyDescent="0.25">
      <c r="A24" s="13" t="str">
        <v>Sanchez Carrión</v>
      </c>
      <c r="B24" s="8">
        <v>9298.08</v>
      </c>
      <c r="C24" s="5">
        <v>46150</v>
      </c>
      <c r="D24" s="8">
        <v>740.86803603603607</v>
      </c>
      <c r="E24" s="8">
        <v>0</v>
      </c>
      <c r="F24" s="44">
        <v>0</v>
      </c>
      <c r="H24" s="7"/>
    </row>
    <row r="25" spans="1:8" x14ac:dyDescent="0.25">
      <c r="A25" s="13" t="str">
        <v>Viru</v>
      </c>
      <c r="B25" s="8">
        <v>6046</v>
      </c>
      <c r="C25" s="5">
        <v>46157</v>
      </c>
      <c r="D25" s="8">
        <v>617.30930930930924</v>
      </c>
      <c r="E25" s="8">
        <v>0</v>
      </c>
      <c r="F25" s="44">
        <v>0</v>
      </c>
      <c r="H25" s="7"/>
    </row>
    <row r="26" spans="1:8" x14ac:dyDescent="0.25">
      <c r="A26" s="13" t="str">
        <v>Cajatambo</v>
      </c>
      <c r="B26" s="8">
        <v>1016</v>
      </c>
      <c r="C26" s="5">
        <v>46174</v>
      </c>
      <c r="D26" s="8">
        <v>361.14274274274277</v>
      </c>
      <c r="E26" s="8">
        <v>0</v>
      </c>
      <c r="F26" s="44">
        <v>0</v>
      </c>
      <c r="H26" s="7"/>
    </row>
    <row r="27" spans="1:8" x14ac:dyDescent="0.25">
      <c r="A27" s="13"/>
      <c r="F27" s="4">
        <v>0</v>
      </c>
      <c r="H27" s="7"/>
    </row>
    <row r="28" spans="1:8" x14ac:dyDescent="0.25">
      <c r="A28" s="13"/>
      <c r="F28" s="4">
        <v>386.13625053625049</v>
      </c>
      <c r="H28" s="7"/>
    </row>
    <row r="29" spans="1:8" x14ac:dyDescent="0.25">
      <c r="A29" s="13"/>
      <c r="F29" s="4">
        <v>0</v>
      </c>
      <c r="H29" s="7"/>
    </row>
    <row r="30" spans="1:8" x14ac:dyDescent="0.25">
      <c r="A30" s="13"/>
      <c r="F30" s="4">
        <v>0</v>
      </c>
      <c r="H30" s="7"/>
    </row>
    <row r="31" spans="1:8" x14ac:dyDescent="0.25">
      <c r="A31" s="13"/>
      <c r="F31" s="4">
        <v>0</v>
      </c>
      <c r="H31" s="7"/>
    </row>
    <row r="32" spans="1:8" x14ac:dyDescent="0.25">
      <c r="A32" s="13"/>
      <c r="F32" s="4">
        <v>0</v>
      </c>
      <c r="H32" s="7"/>
    </row>
    <row r="33" spans="1:8" x14ac:dyDescent="0.25">
      <c r="A33" s="13"/>
      <c r="F33" s="4">
        <v>0</v>
      </c>
      <c r="H33" s="7"/>
    </row>
    <row r="34" spans="1:8" x14ac:dyDescent="0.25">
      <c r="A34" s="13"/>
      <c r="F34" s="4">
        <v>386.13625053625049</v>
      </c>
      <c r="H34" s="7"/>
    </row>
    <row r="35" spans="1:8" x14ac:dyDescent="0.25">
      <c r="A35" s="13"/>
      <c r="F35" s="4">
        <v>0</v>
      </c>
      <c r="H35" s="7"/>
    </row>
    <row r="36" spans="1:8" x14ac:dyDescent="0.25">
      <c r="A36" s="13"/>
      <c r="F36" s="4">
        <v>0</v>
      </c>
      <c r="H36" s="7"/>
    </row>
    <row r="37" spans="1:8" x14ac:dyDescent="0.25">
      <c r="A37" s="13"/>
      <c r="F37" s="4">
        <v>0</v>
      </c>
      <c r="H37" s="7"/>
    </row>
    <row r="38" spans="1:8" x14ac:dyDescent="0.25">
      <c r="A38" s="13"/>
      <c r="F38" s="4">
        <v>0</v>
      </c>
      <c r="H38" s="7"/>
    </row>
    <row r="39" spans="1:8" x14ac:dyDescent="0.25">
      <c r="A39" s="13"/>
      <c r="F39" s="4">
        <v>0</v>
      </c>
      <c r="H39" s="7"/>
    </row>
    <row r="40" spans="1:8" x14ac:dyDescent="0.25">
      <c r="A40" s="13"/>
      <c r="F40" s="4">
        <v>0</v>
      </c>
      <c r="H40" s="7"/>
    </row>
    <row r="41" spans="1:8" x14ac:dyDescent="0.25">
      <c r="A41" s="13"/>
      <c r="F41" s="4">
        <v>0</v>
      </c>
      <c r="H41" s="7"/>
    </row>
    <row r="42" spans="1:8" x14ac:dyDescent="0.25">
      <c r="A42" s="13"/>
      <c r="H42" s="7"/>
    </row>
    <row r="43" spans="1:8" x14ac:dyDescent="0.25">
      <c r="A43" s="13"/>
      <c r="H43" s="7"/>
    </row>
    <row r="44" spans="1:8" x14ac:dyDescent="0.25">
      <c r="A44" s="13"/>
      <c r="H44" s="7"/>
    </row>
    <row r="45" spans="1:8" x14ac:dyDescent="0.25">
      <c r="A45" s="13"/>
      <c r="H45" s="7"/>
    </row>
    <row r="46" spans="1:8" x14ac:dyDescent="0.25">
      <c r="A46" s="13"/>
      <c r="G46" t="s">
        <v>55</v>
      </c>
      <c r="H46" s="7"/>
    </row>
    <row r="47" spans="1:8" x14ac:dyDescent="0.25">
      <c r="A47" s="13"/>
      <c r="H47" s="7"/>
    </row>
    <row r="48" spans="1:8" x14ac:dyDescent="0.25">
      <c r="A48" s="13"/>
      <c r="H48" s="7"/>
    </row>
    <row r="49" spans="1:14" x14ac:dyDescent="0.25">
      <c r="A49" s="13"/>
      <c r="H49" s="7"/>
    </row>
    <row r="50" spans="1:14" x14ac:dyDescent="0.25">
      <c r="A50" s="13"/>
      <c r="H50" s="7"/>
    </row>
    <row r="51" spans="1:14" x14ac:dyDescent="0.25">
      <c r="A51" s="13"/>
      <c r="H51" s="7"/>
    </row>
    <row r="52" spans="1:14" x14ac:dyDescent="0.25">
      <c r="A52" s="13"/>
      <c r="H52" s="7"/>
    </row>
    <row r="53" spans="1:14" x14ac:dyDescent="0.25">
      <c r="A53" s="35"/>
      <c r="B53" s="36"/>
      <c r="C53" s="37"/>
      <c r="D53" s="36"/>
      <c r="E53" s="36"/>
      <c r="H53" s="7"/>
    </row>
    <row r="54" spans="1:14" x14ac:dyDescent="0.25">
      <c r="A54" s="13"/>
      <c r="H54" s="7"/>
    </row>
    <row r="55" spans="1:14" x14ac:dyDescent="0.25">
      <c r="A55" s="13"/>
      <c r="H55" s="7"/>
    </row>
    <row r="64" spans="1:14" x14ac:dyDescent="0.25">
      <c r="N64" t="s">
        <v>55</v>
      </c>
    </row>
    <row r="78" spans="5:5" x14ac:dyDescent="0.25">
      <c r="E78" s="8">
        <f>E35/40</f>
        <v>0</v>
      </c>
    </row>
    <row r="79" spans="5:5" x14ac:dyDescent="0.25">
      <c r="E79" s="8">
        <f>E78-14</f>
        <v>-14</v>
      </c>
    </row>
    <row r="80" spans="5:5" x14ac:dyDescent="0.25">
      <c r="E80" s="8">
        <f>E79*240</f>
        <v>-3360</v>
      </c>
    </row>
  </sheetData>
  <autoFilter ref="A1:E59" xr:uid="{D0890DA8-AD9B-4A3D-AEF2-32535658F8D5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9086A-2D07-48C4-9FDC-15B21F2FC4C4}">
  <dimension ref="A1:AC76"/>
  <sheetViews>
    <sheetView workbookViewId="0">
      <pane ySplit="1" topLeftCell="A26" activePane="bottomLeft" state="frozen"/>
      <selection pane="bottomLeft" activeCell="C42" sqref="C42"/>
    </sheetView>
  </sheetViews>
  <sheetFormatPr baseColWidth="10" defaultRowHeight="15" x14ac:dyDescent="0.25"/>
  <cols>
    <col min="1" max="1" width="18" style="4" bestFit="1" customWidth="1"/>
    <col min="2" max="2" width="13" style="8" bestFit="1" customWidth="1"/>
    <col min="3" max="3" width="11.42578125" style="5"/>
    <col min="4" max="5" width="11.28515625" style="8" customWidth="1"/>
    <col min="6" max="6" width="14.85546875" style="8" customWidth="1"/>
    <col min="7" max="8" width="10.85546875" style="8" customWidth="1"/>
    <col min="9" max="9" width="12.5703125" style="8" customWidth="1"/>
    <col min="10" max="10" width="9.140625" style="8" customWidth="1"/>
    <col min="11" max="11" width="12.85546875" style="8" customWidth="1"/>
    <col min="12" max="13" width="11.42578125" style="8" bestFit="1" customWidth="1"/>
    <col min="14" max="14" width="10.28515625" style="8" customWidth="1"/>
    <col min="15" max="15" width="9.140625" style="8" bestFit="1" customWidth="1"/>
    <col min="16" max="17" width="9" style="8" customWidth="1"/>
    <col min="18" max="18" width="11.42578125" style="8"/>
    <col min="19" max="19" width="13.140625" style="8" customWidth="1"/>
    <col min="20" max="28" width="11.42578125" style="8"/>
    <col min="29" max="29" width="11" customWidth="1"/>
  </cols>
  <sheetData>
    <row r="1" spans="1:29" ht="45.75" thickBot="1" x14ac:dyDescent="0.3">
      <c r="A1" s="14" t="s">
        <v>3</v>
      </c>
      <c r="B1" s="15" t="s">
        <v>6</v>
      </c>
      <c r="C1" s="16" t="s">
        <v>7</v>
      </c>
      <c r="D1" s="15" t="s">
        <v>13</v>
      </c>
      <c r="E1" s="15" t="s">
        <v>84</v>
      </c>
      <c r="F1" s="15" t="s">
        <v>37</v>
      </c>
      <c r="G1" s="15" t="s">
        <v>36</v>
      </c>
      <c r="H1" s="15" t="s">
        <v>85</v>
      </c>
      <c r="I1" s="15" t="s">
        <v>12</v>
      </c>
      <c r="J1" s="15" t="s">
        <v>15</v>
      </c>
      <c r="K1" s="15" t="s">
        <v>35</v>
      </c>
      <c r="L1" s="15" t="str" cm="1">
        <f t="array" ref="L1:AC1">Mezclado!J1:AA1</f>
        <v>Azucar</v>
      </c>
      <c r="M1" s="15" t="str">
        <v>Sacha Inchi</v>
      </c>
      <c r="N1" s="15" t="str">
        <v>Maiz Chufla</v>
      </c>
      <c r="O1" s="15" t="str">
        <v>Leche Polvo</v>
      </c>
      <c r="P1" s="15" t="str">
        <v>Aceite soya</v>
      </c>
      <c r="Q1" s="15" t="str">
        <v>Aceite Girasol</v>
      </c>
      <c r="R1" s="15" t="str">
        <v>Chia</v>
      </c>
      <c r="S1" s="15" t="str">
        <v>Cacao Deshidratado</v>
      </c>
      <c r="T1" s="15" t="str">
        <v>Garbanzo</v>
      </c>
      <c r="U1" s="15" t="str">
        <v>Tarhui</v>
      </c>
      <c r="V1" s="15" t="str">
        <v>Almidon maca</v>
      </c>
      <c r="W1" s="15" t="str">
        <v>Linaza</v>
      </c>
      <c r="X1" s="15" t="str">
        <v>Ajonjoli</v>
      </c>
      <c r="Y1" s="15" t="str">
        <v>Proteina aislada soya</v>
      </c>
      <c r="Z1" s="15" t="str">
        <v>Albumina clara de huevo</v>
      </c>
      <c r="AA1" s="15" t="str">
        <v>Harina de Plátano</v>
      </c>
      <c r="AB1" s="15" t="str">
        <v>Fosfato Tricálcio</v>
      </c>
      <c r="AC1" s="41" t="str">
        <v>Mix vitaminico</v>
      </c>
    </row>
    <row r="2" spans="1:29" x14ac:dyDescent="0.25">
      <c r="A2" s="13" t="str" cm="1">
        <f t="array" ref="A2:A41">General!A2:A41</f>
        <v>Sanchez Carrión</v>
      </c>
      <c r="B2" s="8" cm="1">
        <f t="array" ref="B2:C41">General!F2:G41</f>
        <v>9298.08</v>
      </c>
      <c r="C2" s="5">
        <v>45987</v>
      </c>
      <c r="D2" s="8" cm="1">
        <f t="array" ref="D2:D41">Laminado!D2:D41</f>
        <v>585.32917671934717</v>
      </c>
      <c r="E2" s="8">
        <v>0</v>
      </c>
      <c r="F2" s="8" cm="1">
        <f t="array" ref="F2:F9">IF(Laminado!E2:E9&gt;500, Laminado!E2:E9, 0)</f>
        <v>3819.1095087062995</v>
      </c>
      <c r="G2" s="8" cm="1">
        <f t="array" ref="G2:G41">IF(Laminado!E2:E41&lt;500, Laminado!E2:E41, 0)/0.93</f>
        <v>0</v>
      </c>
      <c r="H2" s="8">
        <v>0</v>
      </c>
      <c r="I2" s="8">
        <f>Laminado!F2+Molido!D2</f>
        <v>0</v>
      </c>
      <c r="J2" s="8" cm="1">
        <f t="array" ref="J2:J41">_xlfn.ANCHORARRAY(Tostado!F2)</f>
        <v>1112.2651033107588</v>
      </c>
      <c r="K2" s="8" cm="1">
        <f t="array" ref="K2:K41">Mezclado!I2:I41</f>
        <v>740.86803603603607</v>
      </c>
      <c r="L2" s="8" cm="1">
        <f t="array" ref="L2:L41">Mezclado!J2:J41</f>
        <v>1057.3192072072072</v>
      </c>
      <c r="M2" s="8" cm="1">
        <f t="array" ref="M2:M41">_xlfn.ANCHORARRAY(Tostado!G2)</f>
        <v>0</v>
      </c>
      <c r="N2" s="8" cm="1">
        <f t="array" ref="N2:N41">_xlfn.ANCHORARRAY(Tostado!H2)</f>
        <v>1669.3767615711654</v>
      </c>
      <c r="O2" s="8" cm="1">
        <f t="array" ref="O2:O41">Mezclado!M2:M41</f>
        <v>0</v>
      </c>
      <c r="P2" s="8" cm="1">
        <f t="array" ref="P2:P41">Mezclado!N2:N41</f>
        <v>0</v>
      </c>
      <c r="Q2" s="8" cm="1">
        <f t="array" ref="Q2:Q41">Mezclado!O2:O41</f>
        <v>0</v>
      </c>
      <c r="R2" s="8" cm="1">
        <f t="array" ref="R2:R41">Mezclado!P2:P41</f>
        <v>0</v>
      </c>
      <c r="S2" s="8" cm="1">
        <f t="array" ref="S2:S41">Mezclado!Q2:Q41</f>
        <v>0</v>
      </c>
      <c r="T2" s="8" cm="1">
        <f t="array" ref="T2:T41">_xlfn.ANCHORARRAY(Tostado!I2)</f>
        <v>0</v>
      </c>
      <c r="U2" s="8" cm="1">
        <f t="array" ref="U2:U41">Mezclado!S2:S41</f>
        <v>0</v>
      </c>
      <c r="V2" s="8" cm="1">
        <f t="array" ref="V2:V41">Mezclado!T2:T41</f>
        <v>0</v>
      </c>
      <c r="W2" s="8" cm="1">
        <f t="array" ref="W2:W41">Mezclado!U2:U41</f>
        <v>0</v>
      </c>
      <c r="X2" s="8" cm="1">
        <f t="array" ref="X2:X41">Mezclado!V2:V41</f>
        <v>0</v>
      </c>
      <c r="Y2" s="8" cm="1">
        <f t="array" ref="Y2:Y41">Mezclado!W2:W41</f>
        <v>0</v>
      </c>
      <c r="Z2" s="8" cm="1">
        <f t="array" ref="Z2:Z41">Mezclado!X2:X41</f>
        <v>0</v>
      </c>
      <c r="AA2" s="8" cm="1">
        <f t="array" ref="AA2:AA41">Mezclado!Y2:Y41</f>
        <v>0</v>
      </c>
      <c r="AB2" s="8" cm="1">
        <f t="array" ref="AB2:AB41">Mezclado!Z2:Z41</f>
        <v>448.61607207207209</v>
      </c>
      <c r="AC2" s="8" cm="1">
        <f t="array" ref="AC2:AC41">Mezclado!AA2:AA41</f>
        <v>25.129945945945948</v>
      </c>
    </row>
    <row r="3" spans="1:29" x14ac:dyDescent="0.25">
      <c r="A3" s="13" t="str">
        <v>Olmos</v>
      </c>
      <c r="B3" s="8">
        <v>11040</v>
      </c>
      <c r="C3" s="5">
        <v>46036</v>
      </c>
      <c r="D3" s="8">
        <v>2517.3995722959171</v>
      </c>
      <c r="E3" s="8">
        <v>0</v>
      </c>
      <c r="F3" s="8">
        <v>3485.6301770251162</v>
      </c>
      <c r="G3" s="8">
        <v>0</v>
      </c>
      <c r="H3" s="8">
        <v>0</v>
      </c>
      <c r="I3" s="8">
        <f>Laminado!F3+Molido!D3</f>
        <v>2955.0793252500353</v>
      </c>
      <c r="J3" s="8">
        <v>609.29470623712052</v>
      </c>
      <c r="K3" s="8">
        <v>0</v>
      </c>
      <c r="L3" s="8">
        <v>0</v>
      </c>
      <c r="M3" s="8">
        <v>0</v>
      </c>
      <c r="N3" s="8">
        <v>0</v>
      </c>
      <c r="O3" s="8">
        <v>1158.3910954980136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409.29818707596479</v>
      </c>
      <c r="AC3">
        <v>23.167821909960271</v>
      </c>
    </row>
    <row r="4" spans="1:29" x14ac:dyDescent="0.25">
      <c r="A4" s="13" t="str">
        <v>Sanchez Carrión</v>
      </c>
      <c r="B4" s="8">
        <v>9467.0400000000009</v>
      </c>
      <c r="C4" s="5">
        <v>46036</v>
      </c>
      <c r="D4" s="8">
        <v>595.96548203168072</v>
      </c>
      <c r="E4" s="8">
        <v>0</v>
      </c>
      <c r="F4" s="8">
        <v>3888.5084322035186</v>
      </c>
      <c r="G4" s="8">
        <v>0</v>
      </c>
      <c r="H4" s="8">
        <v>0</v>
      </c>
      <c r="I4" s="8">
        <f>Laminado!F4+Molido!D4</f>
        <v>0</v>
      </c>
      <c r="J4" s="8">
        <v>1132.4766213720561</v>
      </c>
      <c r="K4" s="8">
        <v>754.33071471471487</v>
      </c>
      <c r="L4" s="8">
        <v>1076.5322762762764</v>
      </c>
      <c r="M4" s="8">
        <v>0</v>
      </c>
      <c r="N4" s="8">
        <v>1699.7118304923908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456.76809609609614</v>
      </c>
      <c r="AC4">
        <v>25.586594594594601</v>
      </c>
    </row>
    <row r="5" spans="1:29" x14ac:dyDescent="0.25">
      <c r="A5" s="13" t="str">
        <v>Hualgayoc</v>
      </c>
      <c r="B5" s="8">
        <v>11906.241620000001</v>
      </c>
      <c r="C5" s="5">
        <v>46038</v>
      </c>
      <c r="D5" s="8">
        <v>1536.091807123071</v>
      </c>
      <c r="E5" s="8">
        <v>0</v>
      </c>
      <c r="F5" s="8">
        <v>2586.8503273263236</v>
      </c>
      <c r="G5" s="8">
        <v>0</v>
      </c>
      <c r="H5" s="8">
        <f>Laminado!F5</f>
        <v>3986.6662854127958</v>
      </c>
      <c r="I5" s="8">
        <v>0</v>
      </c>
      <c r="J5" s="8">
        <v>112.83761626132761</v>
      </c>
      <c r="K5" s="8">
        <v>1504.0717642082084</v>
      </c>
      <c r="L5" s="8">
        <v>0</v>
      </c>
      <c r="M5" s="8">
        <v>0</v>
      </c>
      <c r="N5" s="8">
        <v>0</v>
      </c>
      <c r="O5" s="8">
        <v>1396.8083261901902</v>
      </c>
      <c r="P5" s="8">
        <v>171.62150082882883</v>
      </c>
      <c r="Q5" s="8">
        <v>0</v>
      </c>
      <c r="R5" s="8">
        <v>0</v>
      </c>
      <c r="S5" s="8">
        <v>0</v>
      </c>
      <c r="T5" s="8">
        <v>90.27009300906208</v>
      </c>
      <c r="U5" s="8">
        <v>85.810750414414414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455.27370358758759</v>
      </c>
      <c r="AC5">
        <v>26.219951515515518</v>
      </c>
    </row>
    <row r="6" spans="1:29" x14ac:dyDescent="0.25">
      <c r="A6" s="13" t="str">
        <v>Viru</v>
      </c>
      <c r="B6" s="8">
        <v>5850</v>
      </c>
      <c r="C6" s="5">
        <v>46038</v>
      </c>
      <c r="D6" s="8">
        <v>764.72661226924026</v>
      </c>
      <c r="E6" s="8">
        <v>0</v>
      </c>
      <c r="F6" s="8">
        <v>1318.0080782889206</v>
      </c>
      <c r="G6" s="8">
        <v>0</v>
      </c>
      <c r="H6" s="8">
        <v>0</v>
      </c>
      <c r="I6" s="8">
        <f>Laminado!F6+Molido!D6</f>
        <v>2636.0161565778412</v>
      </c>
      <c r="J6" s="8">
        <v>0</v>
      </c>
      <c r="K6" s="8">
        <v>597.29729729729729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107.74774774774775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59.729729729729733</v>
      </c>
      <c r="X6" s="8">
        <v>59.729729729729733</v>
      </c>
      <c r="Y6" s="8">
        <v>59.729729729729733</v>
      </c>
      <c r="Z6" s="8">
        <v>0</v>
      </c>
      <c r="AA6" s="8">
        <v>0</v>
      </c>
      <c r="AB6" s="8">
        <v>252.972972972973</v>
      </c>
      <c r="AC6">
        <v>14.054054054054053</v>
      </c>
    </row>
    <row r="7" spans="1:29" x14ac:dyDescent="0.25">
      <c r="A7" s="13" t="str">
        <v>Florencia de Mora</v>
      </c>
      <c r="B7" s="8">
        <v>4281.8335999999999</v>
      </c>
      <c r="C7" s="5">
        <v>46044</v>
      </c>
      <c r="D7" s="8">
        <v>728.02993565280428</v>
      </c>
      <c r="E7" s="8">
        <v>0</v>
      </c>
      <c r="F7" s="8">
        <v>1729.0710971754099</v>
      </c>
      <c r="G7" s="8">
        <v>0</v>
      </c>
      <c r="H7" s="8">
        <f>Laminado!F7</f>
        <v>1638.0673552188096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192.34914914914916</v>
      </c>
      <c r="AC7">
        <v>10.887687687687688</v>
      </c>
    </row>
    <row r="8" spans="1:29" x14ac:dyDescent="0.25">
      <c r="A8" s="13" t="str">
        <v>Olmos</v>
      </c>
      <c r="B8" s="8">
        <v>11058</v>
      </c>
      <c r="C8" s="5">
        <v>46055</v>
      </c>
      <c r="D8" s="8">
        <v>2521.5040281203133</v>
      </c>
      <c r="E8" s="8">
        <v>0</v>
      </c>
      <c r="F8" s="8">
        <v>3491.3132697050487</v>
      </c>
      <c r="G8" s="8">
        <v>0</v>
      </c>
      <c r="H8" s="8">
        <v>0</v>
      </c>
      <c r="I8" s="8">
        <f>Laminado!F8+Molido!D8</f>
        <v>2959.897389367291</v>
      </c>
      <c r="J8" s="8">
        <v>610.288121519029</v>
      </c>
      <c r="K8" s="8">
        <v>0</v>
      </c>
      <c r="L8" s="8">
        <v>0</v>
      </c>
      <c r="M8" s="8">
        <v>0</v>
      </c>
      <c r="N8" s="8">
        <v>0</v>
      </c>
      <c r="O8" s="8">
        <v>1160.2797766319779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409.96552107663217</v>
      </c>
      <c r="AC8">
        <v>23.205595532639556</v>
      </c>
    </row>
    <row r="9" spans="1:29" x14ac:dyDescent="0.25">
      <c r="A9" s="13" t="str">
        <v>Cajatambo</v>
      </c>
      <c r="B9" s="8">
        <v>1042</v>
      </c>
      <c r="C9" s="5">
        <v>46060</v>
      </c>
      <c r="D9" s="8">
        <v>371.49908183007483</v>
      </c>
      <c r="E9" s="8">
        <v>0</v>
      </c>
      <c r="F9" s="8">
        <v>0</v>
      </c>
      <c r="G9" s="8">
        <v>133.1912903185862</v>
      </c>
      <c r="H9" s="8">
        <v>0</v>
      </c>
      <c r="I9" s="8">
        <f>Laminado!F9+Molido!D9</f>
        <v>123.86789999628516</v>
      </c>
      <c r="J9" s="8">
        <v>0</v>
      </c>
      <c r="K9" s="8">
        <v>370.38458458458462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52.360760760760762</v>
      </c>
      <c r="AC9">
        <v>2.9205205205205207</v>
      </c>
    </row>
    <row r="10" spans="1:29" x14ac:dyDescent="0.25">
      <c r="A10" s="13" t="str">
        <v>Encañada</v>
      </c>
      <c r="B10" s="8">
        <v>21119.279999999999</v>
      </c>
      <c r="C10" s="5">
        <v>46073</v>
      </c>
      <c r="D10" s="8">
        <v>4264.1309393646397</v>
      </c>
      <c r="E10" s="8">
        <f>Laminado!E10</f>
        <v>4164.4719865301604</v>
      </c>
      <c r="F10" s="8">
        <v>0</v>
      </c>
      <c r="G10" s="8">
        <v>0</v>
      </c>
      <c r="H10" s="8">
        <f>Laminado!F10</f>
        <v>9465.4801160237457</v>
      </c>
      <c r="I10" s="8">
        <v>0</v>
      </c>
      <c r="J10" s="8">
        <v>0</v>
      </c>
      <c r="K10" s="8">
        <v>1133.1265345345344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378.41352552552547</v>
      </c>
      <c r="S10" s="8">
        <v>942.86275075075071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801.22193393393388</v>
      </c>
      <c r="AC10">
        <v>44.394882882882875</v>
      </c>
    </row>
    <row r="11" spans="1:29" x14ac:dyDescent="0.25">
      <c r="A11" s="13" t="str">
        <v>Moyobamba</v>
      </c>
      <c r="B11" s="8">
        <v>9322</v>
      </c>
      <c r="C11" s="5">
        <v>46083</v>
      </c>
      <c r="D11" s="8">
        <v>3287.7487961718757</v>
      </c>
      <c r="E11" s="8">
        <v>0</v>
      </c>
      <c r="F11" s="8" cm="1">
        <f t="array" ref="F11:F18">IF(Laminado!E11:E18&gt;500, Laminado!E11:E18, 0)</f>
        <v>0</v>
      </c>
      <c r="G11" s="8">
        <v>0</v>
      </c>
      <c r="H11" s="8">
        <v>0</v>
      </c>
      <c r="I11" s="8">
        <f>Laminado!F11+Molido!D11</f>
        <v>0</v>
      </c>
      <c r="J11" s="8">
        <v>0</v>
      </c>
      <c r="K11" s="8">
        <v>0</v>
      </c>
      <c r="L11" s="8">
        <v>1064.2485551244674</v>
      </c>
      <c r="M11" s="8">
        <v>1164.3367318845428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2234.9219657613817</v>
      </c>
      <c r="W11" s="8">
        <v>0</v>
      </c>
      <c r="X11" s="8">
        <v>0</v>
      </c>
      <c r="Y11" s="8">
        <v>0</v>
      </c>
      <c r="Z11" s="8">
        <v>319.27456653734026</v>
      </c>
      <c r="AA11" s="8">
        <v>851.39884409957403</v>
      </c>
      <c r="AB11" s="8">
        <v>0</v>
      </c>
      <c r="AC11">
        <v>476.78335269576149</v>
      </c>
    </row>
    <row r="12" spans="1:29" x14ac:dyDescent="0.25">
      <c r="A12" s="13" t="str">
        <v>Olmos</v>
      </c>
      <c r="B12" s="8">
        <v>5611</v>
      </c>
      <c r="C12" s="5">
        <v>46085</v>
      </c>
      <c r="D12" s="8">
        <v>1279.450090593514</v>
      </c>
      <c r="E12" s="8">
        <v>0</v>
      </c>
      <c r="F12" s="8">
        <v>1771.5462792833268</v>
      </c>
      <c r="G12" s="8">
        <v>0</v>
      </c>
      <c r="H12" s="8">
        <v>0</v>
      </c>
      <c r="I12" s="8">
        <f>Laminado!F12+Molido!D12</f>
        <v>1501.8976534400315</v>
      </c>
      <c r="J12" s="8">
        <v>309.66961926598589</v>
      </c>
      <c r="K12" s="8">
        <v>0</v>
      </c>
      <c r="L12" s="8">
        <v>0</v>
      </c>
      <c r="M12" s="8">
        <v>0</v>
      </c>
      <c r="N12" s="8">
        <v>0</v>
      </c>
      <c r="O12" s="8">
        <v>588.74388014849228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208.02283765246727</v>
      </c>
      <c r="AC12">
        <v>11.774877602969845</v>
      </c>
    </row>
    <row r="13" spans="1:29" x14ac:dyDescent="0.25">
      <c r="A13" s="13" t="str">
        <v>Cajatambo</v>
      </c>
      <c r="B13" s="8">
        <v>1042</v>
      </c>
      <c r="C13" s="5">
        <v>46086</v>
      </c>
      <c r="D13" s="8">
        <v>371.49908183007483</v>
      </c>
      <c r="E13" s="8">
        <v>0</v>
      </c>
      <c r="F13" s="8">
        <v>0</v>
      </c>
      <c r="G13" s="8">
        <v>133.1912903185862</v>
      </c>
      <c r="H13" s="8">
        <v>0</v>
      </c>
      <c r="I13" s="8">
        <f>Laminado!F13+Molido!D13</f>
        <v>123.86789999628516</v>
      </c>
      <c r="J13" s="8">
        <v>0</v>
      </c>
      <c r="K13" s="8">
        <v>370.38458458458462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52.360760760760762</v>
      </c>
      <c r="AC13">
        <v>2.9205205205205207</v>
      </c>
    </row>
    <row r="14" spans="1:29" x14ac:dyDescent="0.25">
      <c r="A14" s="13" t="str">
        <v>Hualgayoc</v>
      </c>
      <c r="B14" s="8">
        <v>11906.241620000001</v>
      </c>
      <c r="C14" s="5">
        <v>46094</v>
      </c>
      <c r="D14" s="8">
        <v>1536.091807123071</v>
      </c>
      <c r="E14" s="8">
        <v>0</v>
      </c>
      <c r="F14" s="8">
        <v>2586.8503273263236</v>
      </c>
      <c r="G14" s="8">
        <v>0</v>
      </c>
      <c r="H14" s="8">
        <f>Laminado!F14</f>
        <v>3986.6662854127958</v>
      </c>
      <c r="I14" s="8">
        <v>0</v>
      </c>
      <c r="J14" s="8">
        <v>112.83761626132761</v>
      </c>
      <c r="K14" s="8">
        <v>1504.0717642082084</v>
      </c>
      <c r="L14" s="8">
        <v>0</v>
      </c>
      <c r="M14" s="8">
        <v>0</v>
      </c>
      <c r="N14" s="8">
        <v>0</v>
      </c>
      <c r="O14" s="8">
        <v>1396.8083261901902</v>
      </c>
      <c r="P14" s="8">
        <v>171.62150082882883</v>
      </c>
      <c r="Q14" s="8">
        <v>0</v>
      </c>
      <c r="R14" s="8">
        <v>0</v>
      </c>
      <c r="S14" s="8">
        <v>0</v>
      </c>
      <c r="T14" s="8">
        <v>90.27009300906208</v>
      </c>
      <c r="U14" s="8">
        <v>85.810750414414414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455.27370358758759</v>
      </c>
      <c r="AC14">
        <v>26.219951515515518</v>
      </c>
    </row>
    <row r="15" spans="1:29" x14ac:dyDescent="0.25">
      <c r="A15" s="13" t="str">
        <v>Alto Trujillo</v>
      </c>
      <c r="B15" s="8">
        <v>3018.04</v>
      </c>
      <c r="C15" s="5">
        <v>46097</v>
      </c>
      <c r="D15" s="8">
        <v>160.90104547877868</v>
      </c>
      <c r="E15" s="8">
        <v>0</v>
      </c>
      <c r="F15" s="8">
        <v>823.29216679066235</v>
      </c>
      <c r="G15" s="8">
        <v>0</v>
      </c>
      <c r="H15" s="8">
        <v>0</v>
      </c>
      <c r="I15" s="8">
        <f>Laminado!F15+Molido!D15</f>
        <v>1937.4788790796813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102.41396996996997</v>
      </c>
      <c r="AC15">
        <v>5.7400160160160159</v>
      </c>
    </row>
    <row r="16" spans="1:29" x14ac:dyDescent="0.25">
      <c r="A16" s="13" t="str">
        <v>Sanchez Carrión</v>
      </c>
      <c r="B16" s="8">
        <v>9467.0400000000009</v>
      </c>
      <c r="C16" s="5">
        <v>46097</v>
      </c>
      <c r="D16" s="8">
        <v>595.96548203168072</v>
      </c>
      <c r="E16" s="8">
        <v>0</v>
      </c>
      <c r="F16" s="8">
        <v>3888.5084322035186</v>
      </c>
      <c r="G16" s="8">
        <v>0</v>
      </c>
      <c r="H16" s="8">
        <v>0</v>
      </c>
      <c r="I16" s="8">
        <f>Laminado!F16+Molido!D16</f>
        <v>0</v>
      </c>
      <c r="J16" s="8">
        <v>1132.4766213720561</v>
      </c>
      <c r="K16" s="8">
        <v>754.33071471471487</v>
      </c>
      <c r="L16" s="8">
        <v>1076.5322762762764</v>
      </c>
      <c r="M16" s="8">
        <v>0</v>
      </c>
      <c r="N16" s="8">
        <v>1699.7118304923908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456.76809609609614</v>
      </c>
      <c r="AC16">
        <v>25.586594594594601</v>
      </c>
    </row>
    <row r="17" spans="1:29" x14ac:dyDescent="0.25">
      <c r="A17" s="13" t="str">
        <v>Viru</v>
      </c>
      <c r="B17" s="8">
        <v>6046</v>
      </c>
      <c r="C17" s="5">
        <v>46097</v>
      </c>
      <c r="D17" s="8">
        <v>790.34822184270536</v>
      </c>
      <c r="E17" s="8">
        <v>0</v>
      </c>
      <c r="F17" s="8">
        <v>1362.1669814247548</v>
      </c>
      <c r="G17" s="8">
        <v>0</v>
      </c>
      <c r="H17" s="8">
        <v>0</v>
      </c>
      <c r="I17" s="8">
        <f>Laminado!F17+Molido!D17</f>
        <v>2724.3339628495096</v>
      </c>
      <c r="J17" s="8">
        <v>0</v>
      </c>
      <c r="K17" s="8">
        <v>617.30930930930924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111.35775775775775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61.730930930930938</v>
      </c>
      <c r="X17" s="8">
        <v>61.730930930930938</v>
      </c>
      <c r="Y17" s="8">
        <v>61.730930930930938</v>
      </c>
      <c r="Z17" s="8">
        <v>0</v>
      </c>
      <c r="AA17" s="8">
        <v>0</v>
      </c>
      <c r="AB17" s="8">
        <v>261.44864864864866</v>
      </c>
      <c r="AC17">
        <v>14.524924924924925</v>
      </c>
    </row>
    <row r="18" spans="1:29" x14ac:dyDescent="0.25">
      <c r="A18" s="13" t="str">
        <v>Florencia de Mora</v>
      </c>
      <c r="B18" s="8">
        <v>4281.8335999999999</v>
      </c>
      <c r="C18" s="5">
        <v>46100</v>
      </c>
      <c r="D18" s="8">
        <v>728.02993565280428</v>
      </c>
      <c r="E18" s="8">
        <v>0</v>
      </c>
      <c r="F18" s="8">
        <v>1729.0710971754099</v>
      </c>
      <c r="G18" s="8">
        <v>0</v>
      </c>
      <c r="H18" s="8">
        <f>Laminado!F18</f>
        <v>1638.0673552188096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192.34914914914916</v>
      </c>
      <c r="AC18">
        <v>10.887687687687688</v>
      </c>
    </row>
    <row r="19" spans="1:29" x14ac:dyDescent="0.25">
      <c r="A19" s="13" t="str">
        <v>Encañada</v>
      </c>
      <c r="B19" s="8">
        <v>21119.279999999999</v>
      </c>
      <c r="C19" s="5">
        <v>46101</v>
      </c>
      <c r="D19" s="8">
        <v>4264.1309393646397</v>
      </c>
      <c r="E19" s="8">
        <f>Laminado!E19</f>
        <v>4164.4719865301604</v>
      </c>
      <c r="F19" s="8">
        <v>0</v>
      </c>
      <c r="G19" s="8">
        <v>0</v>
      </c>
      <c r="H19" s="8">
        <f>Laminado!F19</f>
        <v>9465.4801160237457</v>
      </c>
      <c r="I19" s="8">
        <v>0</v>
      </c>
      <c r="J19" s="8">
        <v>0</v>
      </c>
      <c r="K19" s="8">
        <v>1133.1265345345344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378.41352552552547</v>
      </c>
      <c r="S19" s="8">
        <v>942.86275075075071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801.22193393393388</v>
      </c>
      <c r="AC19">
        <v>44.394882882882875</v>
      </c>
    </row>
    <row r="20" spans="1:29" x14ac:dyDescent="0.25">
      <c r="A20" s="13" t="str">
        <v>Olmos</v>
      </c>
      <c r="B20" s="8">
        <v>5840</v>
      </c>
      <c r="C20" s="5">
        <v>46115</v>
      </c>
      <c r="D20" s="8">
        <v>1331.6678896927681</v>
      </c>
      <c r="E20" s="8">
        <v>0</v>
      </c>
      <c r="F20" s="8" cm="1">
        <f t="array" ref="F20:F26">IF(Laminado!E20:E26&gt;500, Laminado!E20:E26, 0)</f>
        <v>1843.8478472669096</v>
      </c>
      <c r="G20" s="8">
        <v>0</v>
      </c>
      <c r="H20" s="8">
        <v>0</v>
      </c>
      <c r="I20" s="8">
        <f>Laminado!F20+Molido!D20</f>
        <v>1563.1941358206709</v>
      </c>
      <c r="J20" s="8">
        <v>322.30806924137539</v>
      </c>
      <c r="K20" s="8">
        <v>0</v>
      </c>
      <c r="L20" s="8">
        <v>0</v>
      </c>
      <c r="M20" s="8">
        <v>0</v>
      </c>
      <c r="N20" s="8">
        <v>0</v>
      </c>
      <c r="O20" s="8">
        <v>612.7721012417029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216.51280910540171</v>
      </c>
      <c r="AC20">
        <v>12.255442024834057</v>
      </c>
    </row>
    <row r="21" spans="1:29" x14ac:dyDescent="0.25">
      <c r="A21" s="13" t="str">
        <v>Alto Trujillo</v>
      </c>
      <c r="B21" s="8">
        <v>3018.04</v>
      </c>
      <c r="C21" s="5">
        <v>46129</v>
      </c>
      <c r="D21" s="8">
        <v>160.90104547877868</v>
      </c>
      <c r="E21" s="8">
        <v>0</v>
      </c>
      <c r="F21" s="8">
        <v>823.29216679066235</v>
      </c>
      <c r="G21" s="8">
        <v>0</v>
      </c>
      <c r="H21" s="8">
        <v>0</v>
      </c>
      <c r="I21" s="8">
        <f>Laminado!F21+Molido!D21</f>
        <v>1937.4788790796813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102.41396996996997</v>
      </c>
      <c r="AC21">
        <v>5.7400160160160159</v>
      </c>
    </row>
    <row r="22" spans="1:29" x14ac:dyDescent="0.25">
      <c r="A22" s="13" t="str">
        <v>Moyobamba</v>
      </c>
      <c r="B22" s="8">
        <v>9139</v>
      </c>
      <c r="C22" s="5">
        <v>46129</v>
      </c>
      <c r="D22" s="8">
        <v>3223.2070637432707</v>
      </c>
      <c r="E22" s="8">
        <v>0</v>
      </c>
      <c r="F22" s="8">
        <v>0</v>
      </c>
      <c r="G22" s="8">
        <v>0</v>
      </c>
      <c r="H22" s="8">
        <v>0</v>
      </c>
      <c r="I22" s="8">
        <f>Laminado!F22+Molido!D22</f>
        <v>0</v>
      </c>
      <c r="J22" s="8">
        <v>0</v>
      </c>
      <c r="K22" s="8">
        <v>0</v>
      </c>
      <c r="L22" s="8">
        <v>1043.3563125168962</v>
      </c>
      <c r="M22" s="8">
        <v>1141.4796602330869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2191.0482562854822</v>
      </c>
      <c r="W22" s="8">
        <v>0</v>
      </c>
      <c r="X22" s="8">
        <v>0</v>
      </c>
      <c r="Y22" s="8">
        <v>0</v>
      </c>
      <c r="Z22" s="8">
        <v>313.00689375506892</v>
      </c>
      <c r="AA22" s="8">
        <v>834.68505001351718</v>
      </c>
      <c r="AB22" s="8">
        <v>0</v>
      </c>
      <c r="AC22">
        <v>467.42362800756962</v>
      </c>
    </row>
    <row r="23" spans="1:29" x14ac:dyDescent="0.25">
      <c r="A23" s="13" t="str">
        <v>Olmos</v>
      </c>
      <c r="B23" s="8">
        <v>5611</v>
      </c>
      <c r="C23" s="5">
        <v>46146</v>
      </c>
      <c r="D23" s="8">
        <v>1279.450090593514</v>
      </c>
      <c r="E23" s="8">
        <v>0</v>
      </c>
      <c r="F23" s="8">
        <v>1771.5462792833268</v>
      </c>
      <c r="G23" s="8">
        <v>0</v>
      </c>
      <c r="H23" s="8">
        <v>0</v>
      </c>
      <c r="I23" s="8">
        <f>Laminado!F23+Molido!D23</f>
        <v>1501.8976534400315</v>
      </c>
      <c r="J23" s="8">
        <v>309.66961926598589</v>
      </c>
      <c r="K23" s="8">
        <v>0</v>
      </c>
      <c r="L23" s="8">
        <v>0</v>
      </c>
      <c r="M23" s="8">
        <v>0</v>
      </c>
      <c r="N23" s="8">
        <v>0</v>
      </c>
      <c r="O23" s="8">
        <v>588.74388014849228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208.02283765246727</v>
      </c>
      <c r="AC23">
        <v>11.774877602969845</v>
      </c>
    </row>
    <row r="24" spans="1:29" x14ac:dyDescent="0.25">
      <c r="A24" s="13" t="str">
        <v>Sanchez Carrión</v>
      </c>
      <c r="B24" s="8">
        <v>9298.08</v>
      </c>
      <c r="C24" s="5">
        <v>46150</v>
      </c>
      <c r="D24" s="8">
        <v>585.32917671934717</v>
      </c>
      <c r="E24" s="8">
        <v>0</v>
      </c>
      <c r="F24" s="8">
        <v>3819.1095087062995</v>
      </c>
      <c r="G24" s="8">
        <v>0</v>
      </c>
      <c r="H24" s="8">
        <v>0</v>
      </c>
      <c r="I24" s="8">
        <v>0</v>
      </c>
      <c r="J24" s="8">
        <v>1112.2651033107588</v>
      </c>
      <c r="K24" s="8">
        <v>740.86803603603607</v>
      </c>
      <c r="L24" s="8">
        <v>1057.3192072072072</v>
      </c>
      <c r="M24" s="8">
        <v>0</v>
      </c>
      <c r="N24" s="8">
        <v>1669.3767615711654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448.61607207207209</v>
      </c>
      <c r="AC24">
        <v>25.129945945945948</v>
      </c>
    </row>
    <row r="25" spans="1:29" x14ac:dyDescent="0.25">
      <c r="A25" s="13" t="str">
        <v>Viru</v>
      </c>
      <c r="B25" s="8">
        <v>6046</v>
      </c>
      <c r="C25" s="5">
        <v>46157</v>
      </c>
      <c r="D25" s="8">
        <v>790.34822184270536</v>
      </c>
      <c r="E25" s="8">
        <v>0</v>
      </c>
      <c r="F25" s="8">
        <v>1362.1669814247548</v>
      </c>
      <c r="G25" s="8">
        <v>0</v>
      </c>
      <c r="H25" s="8">
        <v>0</v>
      </c>
      <c r="I25" s="8">
        <f>Laminado!F25+Molido!D25</f>
        <v>2724.3339628495096</v>
      </c>
      <c r="J25" s="8">
        <v>0</v>
      </c>
      <c r="K25" s="8">
        <v>617.30930930930924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111.35775775775775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61.730930930930938</v>
      </c>
      <c r="X25" s="8">
        <v>61.730930930930938</v>
      </c>
      <c r="Y25" s="8">
        <v>61.730930930930938</v>
      </c>
      <c r="Z25" s="8">
        <v>0</v>
      </c>
      <c r="AA25" s="8">
        <v>0</v>
      </c>
      <c r="AB25" s="8">
        <v>261.44864864864866</v>
      </c>
      <c r="AC25">
        <v>14.524924924924925</v>
      </c>
    </row>
    <row r="26" spans="1:29" x14ac:dyDescent="0.25">
      <c r="A26" s="13" t="str">
        <v>Cajatambo</v>
      </c>
      <c r="B26" s="8">
        <v>1016</v>
      </c>
      <c r="C26" s="5">
        <v>46174</v>
      </c>
      <c r="D26" s="8">
        <v>362.22943103585033</v>
      </c>
      <c r="E26" s="8">
        <v>0</v>
      </c>
      <c r="F26" s="8">
        <v>0</v>
      </c>
      <c r="G26" s="8">
        <v>129.86789919739306</v>
      </c>
      <c r="H26" s="8">
        <v>0</v>
      </c>
      <c r="I26" s="8">
        <f>Laminado!F24+Molido!D24</f>
        <v>0</v>
      </c>
      <c r="J26" s="8">
        <v>0</v>
      </c>
      <c r="K26" s="8">
        <v>361.14274274274277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51.054254254254253</v>
      </c>
      <c r="AC26">
        <v>2.8476476476476478</v>
      </c>
    </row>
    <row r="27" spans="1:29" x14ac:dyDescent="0.25">
      <c r="A27" s="13" t="str">
        <v>Olmos</v>
      </c>
      <c r="B27" s="8">
        <v>5840</v>
      </c>
      <c r="C27" s="5">
        <v>46174</v>
      </c>
      <c r="D27" s="8">
        <v>1331.6678896927681</v>
      </c>
      <c r="E27" s="8">
        <v>0</v>
      </c>
      <c r="F27" s="8">
        <f>IF(Laminado!E27&gt;500, Laminado!E27, 0)</f>
        <v>1843.8478472669096</v>
      </c>
      <c r="G27" s="8">
        <v>0</v>
      </c>
      <c r="H27" s="8">
        <f>Laminado!F27</f>
        <v>0</v>
      </c>
      <c r="I27" s="8">
        <f>Laminado!F27+Molido!D27</f>
        <v>1563.1941358206709</v>
      </c>
      <c r="J27" s="8">
        <v>322.30806924137539</v>
      </c>
      <c r="K27" s="8">
        <v>0</v>
      </c>
      <c r="L27" s="8">
        <v>0</v>
      </c>
      <c r="M27" s="8">
        <v>0</v>
      </c>
      <c r="N27" s="8">
        <v>0</v>
      </c>
      <c r="O27" s="8">
        <v>612.7721012417029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216.51280910540171</v>
      </c>
      <c r="AC27">
        <v>12.255442024834057</v>
      </c>
    </row>
    <row r="28" spans="1:29" x14ac:dyDescent="0.25">
      <c r="A28" s="13" t="str">
        <v>Encañada</v>
      </c>
      <c r="B28" s="8">
        <v>21119.279999999999</v>
      </c>
      <c r="C28" s="5">
        <v>46175</v>
      </c>
      <c r="D28" s="8">
        <v>4264.1309393646397</v>
      </c>
      <c r="E28" s="8">
        <f>Laminado!E28</f>
        <v>4164.4719865301604</v>
      </c>
      <c r="F28" s="8">
        <v>0</v>
      </c>
      <c r="G28" s="8">
        <v>0</v>
      </c>
      <c r="H28" s="8">
        <f>Laminado!F28</f>
        <v>9465.4801160237457</v>
      </c>
      <c r="I28" s="8">
        <v>0</v>
      </c>
      <c r="J28" s="8">
        <v>0</v>
      </c>
      <c r="K28" s="8">
        <v>1133.1265345345344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378.41352552552547</v>
      </c>
      <c r="S28" s="8">
        <v>942.86275075075071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801.22193393393388</v>
      </c>
      <c r="AC28">
        <v>44.394882882882875</v>
      </c>
    </row>
    <row r="29" spans="1:29" x14ac:dyDescent="0.25">
      <c r="A29" s="13" t="str">
        <v>Hualgayoc</v>
      </c>
      <c r="B29" s="8">
        <v>11906.24</v>
      </c>
      <c r="C29" s="5">
        <v>46179</v>
      </c>
      <c r="D29" s="8">
        <v>1536.0915981176763</v>
      </c>
      <c r="E29" s="8">
        <v>0</v>
      </c>
      <c r="F29" s="8" cm="1">
        <f t="array" ref="F29:F33">IF(Laminado!E29:E33&gt;500, Laminado!E29:E33, 0)</f>
        <v>2586.8499753514798</v>
      </c>
      <c r="G29" s="8">
        <v>0</v>
      </c>
      <c r="H29" s="8">
        <f>Laminado!F29</f>
        <v>3986.6657429746697</v>
      </c>
      <c r="I29" s="8">
        <v>0</v>
      </c>
      <c r="J29" s="8">
        <v>112.83760090829308</v>
      </c>
      <c r="K29" s="8">
        <v>1504.0715595595595</v>
      </c>
      <c r="L29" s="8">
        <v>0</v>
      </c>
      <c r="M29" s="8">
        <v>0</v>
      </c>
      <c r="N29" s="8">
        <v>0</v>
      </c>
      <c r="O29" s="8">
        <v>1396.808136136136</v>
      </c>
      <c r="P29" s="8">
        <v>171.62147747747747</v>
      </c>
      <c r="Q29" s="8">
        <v>0</v>
      </c>
      <c r="R29" s="8">
        <v>0</v>
      </c>
      <c r="S29" s="8">
        <v>0</v>
      </c>
      <c r="T29" s="8">
        <v>90.27008072663449</v>
      </c>
      <c r="U29" s="8">
        <v>85.810738738738735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455.27364164164158</v>
      </c>
      <c r="AC29">
        <v>26.219947947947947</v>
      </c>
    </row>
    <row r="30" spans="1:29" x14ac:dyDescent="0.25">
      <c r="A30" s="13" t="str">
        <v>Alto Trujillo</v>
      </c>
      <c r="B30" s="8">
        <v>3018.9825799999999</v>
      </c>
      <c r="C30" s="5">
        <v>46188</v>
      </c>
      <c r="D30" s="8">
        <v>160.95129733344174</v>
      </c>
      <c r="E30" s="8">
        <v>0</v>
      </c>
      <c r="F30" s="8">
        <v>823.54929351216799</v>
      </c>
      <c r="G30" s="8">
        <v>0</v>
      </c>
      <c r="H30" s="8">
        <v>0</v>
      </c>
      <c r="I30" s="8">
        <f>Laminado!F30+Molido!D30</f>
        <v>1938.0839833333832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102.44595541741741</v>
      </c>
      <c r="AC30">
        <v>5.7418087107107105</v>
      </c>
    </row>
    <row r="31" spans="1:29" x14ac:dyDescent="0.25">
      <c r="A31" s="13" t="str">
        <v>Sanchez Carrión</v>
      </c>
      <c r="B31" s="8">
        <v>9298.08</v>
      </c>
      <c r="C31" s="5">
        <v>46214</v>
      </c>
      <c r="D31" s="8">
        <v>585.32917671934717</v>
      </c>
      <c r="E31" s="8">
        <v>0</v>
      </c>
      <c r="F31" s="8">
        <v>3819.1095087062995</v>
      </c>
      <c r="G31" s="8">
        <v>0</v>
      </c>
      <c r="H31" s="8">
        <v>0</v>
      </c>
      <c r="I31" s="8">
        <f>Laminado!F31+Molido!D31</f>
        <v>0</v>
      </c>
      <c r="J31" s="8">
        <v>1112.2651033107588</v>
      </c>
      <c r="K31" s="8">
        <v>740.86803603603607</v>
      </c>
      <c r="L31" s="8">
        <v>1057.3192072072072</v>
      </c>
      <c r="M31" s="8">
        <v>0</v>
      </c>
      <c r="N31" s="8">
        <v>1669.3767615711654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448.61607207207209</v>
      </c>
      <c r="AC31">
        <v>25.129945945945948</v>
      </c>
    </row>
    <row r="32" spans="1:29" x14ac:dyDescent="0.25">
      <c r="A32" s="13" t="str">
        <v>Alto Trujillo</v>
      </c>
      <c r="B32" s="8">
        <v>3018.9825799999999</v>
      </c>
      <c r="C32" s="5">
        <v>46218</v>
      </c>
      <c r="D32" s="8">
        <v>160.95129733344174</v>
      </c>
      <c r="E32" s="8">
        <v>0</v>
      </c>
      <c r="F32" s="8">
        <v>823.54929351216799</v>
      </c>
      <c r="G32" s="8">
        <v>0</v>
      </c>
      <c r="H32" s="8">
        <v>0</v>
      </c>
      <c r="I32" s="8">
        <f>Laminado!F32+Molido!D32</f>
        <v>1938.0839833333832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102.44595541741741</v>
      </c>
      <c r="AC32">
        <v>5.7418087107107105</v>
      </c>
    </row>
    <row r="33" spans="1:29" x14ac:dyDescent="0.25">
      <c r="A33" s="13" t="str">
        <v>Florencia de Mora</v>
      </c>
      <c r="B33" s="8">
        <v>4281.8335999999999</v>
      </c>
      <c r="C33" s="5">
        <v>46218</v>
      </c>
      <c r="D33" s="8">
        <v>728.02993565280428</v>
      </c>
      <c r="E33" s="8">
        <v>0</v>
      </c>
      <c r="F33" s="8">
        <v>1729.0710971754099</v>
      </c>
      <c r="G33" s="8">
        <v>0</v>
      </c>
      <c r="H33" s="8">
        <f>Laminado!F33</f>
        <v>1638.0673552188096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192.34914914914916</v>
      </c>
      <c r="AC33">
        <v>10.887687687687688</v>
      </c>
    </row>
    <row r="34" spans="1:29" x14ac:dyDescent="0.25">
      <c r="A34" s="13" t="str">
        <v>Encañada</v>
      </c>
      <c r="B34" s="8">
        <v>21119.279999999999</v>
      </c>
      <c r="C34" s="5">
        <v>46192</v>
      </c>
      <c r="D34" s="8">
        <v>4264.1309393646397</v>
      </c>
      <c r="E34" s="8">
        <f>Laminado!E34</f>
        <v>4164.4719865301604</v>
      </c>
      <c r="F34" s="8">
        <v>0</v>
      </c>
      <c r="G34" s="8">
        <v>0</v>
      </c>
      <c r="H34" s="8">
        <v>0</v>
      </c>
      <c r="I34" s="8">
        <f>Laminado!F34+Molido!D34</f>
        <v>9465.4801160237457</v>
      </c>
      <c r="J34" s="8">
        <v>0</v>
      </c>
      <c r="K34" s="8">
        <v>1133.1265345345344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378.41352552552547</v>
      </c>
      <c r="S34" s="8">
        <v>942.86275075075071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801.22193393393388</v>
      </c>
      <c r="AC34">
        <v>44.394882882882875</v>
      </c>
    </row>
    <row r="35" spans="1:29" x14ac:dyDescent="0.25">
      <c r="A35" s="13" t="str">
        <v>Moyobamba</v>
      </c>
      <c r="B35" s="8">
        <v>9294</v>
      </c>
      <c r="C35" s="5">
        <v>46197</v>
      </c>
      <c r="D35" s="8">
        <v>3277.8735584232363</v>
      </c>
      <c r="E35" s="8">
        <v>0</v>
      </c>
      <c r="F35" s="8" cm="1">
        <f t="array" ref="F35:F41">IF(Laminado!E35:E41&gt;500, Laminado!E35:E41, 0)</f>
        <v>0</v>
      </c>
      <c r="G35" s="8">
        <v>0</v>
      </c>
      <c r="H35" s="8">
        <v>0</v>
      </c>
      <c r="I35" s="8">
        <f>Laminado!F35+Molido!D35</f>
        <v>0</v>
      </c>
      <c r="J35" s="8">
        <v>0</v>
      </c>
      <c r="K35" s="8">
        <v>0</v>
      </c>
      <c r="L35" s="8">
        <v>1061.0519278402487</v>
      </c>
      <c r="M35" s="8">
        <v>1160.8394750198388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2228.2090484645223</v>
      </c>
      <c r="W35" s="8">
        <v>0</v>
      </c>
      <c r="X35" s="8">
        <v>0</v>
      </c>
      <c r="Y35" s="8">
        <v>0</v>
      </c>
      <c r="Z35" s="8">
        <v>318.31557835207468</v>
      </c>
      <c r="AA35" s="8">
        <v>848.84154227219915</v>
      </c>
      <c r="AB35" s="8">
        <v>0</v>
      </c>
      <c r="AC35">
        <v>475.35126367243151</v>
      </c>
    </row>
    <row r="36" spans="1:29" x14ac:dyDescent="0.25">
      <c r="A36" s="13" t="str">
        <v>Viru</v>
      </c>
      <c r="B36" s="8">
        <v>6046</v>
      </c>
      <c r="C36" s="5">
        <v>46216</v>
      </c>
      <c r="D36" s="8">
        <v>790.34822184270536</v>
      </c>
      <c r="E36" s="8">
        <v>0</v>
      </c>
      <c r="F36" s="8">
        <v>1362.1669814247548</v>
      </c>
      <c r="G36" s="8">
        <v>0</v>
      </c>
      <c r="H36" s="8">
        <v>0</v>
      </c>
      <c r="I36" s="8">
        <f>Laminado!F36+Molido!D36</f>
        <v>2724.3339628495096</v>
      </c>
      <c r="J36" s="8">
        <v>0</v>
      </c>
      <c r="K36" s="8">
        <v>617.30930930930924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111.35775775775775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61.730930930930938</v>
      </c>
      <c r="X36" s="8">
        <v>61.730930930930938</v>
      </c>
      <c r="Y36" s="8">
        <v>61.730930930930938</v>
      </c>
      <c r="Z36" s="8">
        <v>0</v>
      </c>
      <c r="AA36" s="8">
        <v>0</v>
      </c>
      <c r="AB36" s="8">
        <v>261.44864864864866</v>
      </c>
      <c r="AC36">
        <v>14.524924924924925</v>
      </c>
    </row>
    <row r="37" spans="1:29" x14ac:dyDescent="0.25">
      <c r="A37" s="13" t="str">
        <v>Alto Trujillo</v>
      </c>
      <c r="B37" s="8">
        <v>3759.21</v>
      </c>
      <c r="C37" s="5">
        <v>46235</v>
      </c>
      <c r="D37" s="8">
        <v>200.41511019545121</v>
      </c>
      <c r="E37" s="8">
        <v>0</v>
      </c>
      <c r="F37" s="8">
        <v>1025.4761853126947</v>
      </c>
      <c r="G37" s="8">
        <v>0</v>
      </c>
      <c r="H37" s="8">
        <f>Laminado!F37</f>
        <v>2413.2847732386349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127.56478378378378</v>
      </c>
      <c r="AC37">
        <v>7.1496486486486486</v>
      </c>
    </row>
    <row r="38" spans="1:29" x14ac:dyDescent="0.25">
      <c r="A38" s="13" t="str">
        <v>Olmos</v>
      </c>
      <c r="B38" s="8">
        <v>5611</v>
      </c>
      <c r="C38" s="5">
        <v>46238</v>
      </c>
      <c r="D38" s="8">
        <v>1279.450090593514</v>
      </c>
      <c r="E38" s="8">
        <v>0</v>
      </c>
      <c r="F38" s="8">
        <v>1771.5462792833268</v>
      </c>
      <c r="G38" s="8">
        <v>0</v>
      </c>
      <c r="H38" s="8">
        <v>0</v>
      </c>
      <c r="I38" s="8">
        <f>Laminado!F38+Molido!D38</f>
        <v>1501.8976534400315</v>
      </c>
      <c r="J38" s="8">
        <v>309.66961926598589</v>
      </c>
      <c r="K38" s="8">
        <v>0</v>
      </c>
      <c r="L38" s="8">
        <v>0</v>
      </c>
      <c r="M38" s="8">
        <v>0</v>
      </c>
      <c r="N38" s="8">
        <v>0</v>
      </c>
      <c r="O38" s="8">
        <v>588.74388014849228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208.02283765246727</v>
      </c>
      <c r="AC38">
        <v>11.774877602969845</v>
      </c>
    </row>
    <row r="39" spans="1:29" x14ac:dyDescent="0.25">
      <c r="A39" s="13" t="str">
        <v>Viru</v>
      </c>
      <c r="B39" s="8">
        <v>13579</v>
      </c>
      <c r="C39" s="5">
        <v>46248</v>
      </c>
      <c r="D39" s="8">
        <v>1775.0807979494039</v>
      </c>
      <c r="E39" s="8">
        <v>0</v>
      </c>
      <c r="F39" s="8">
        <v>3059.3558453137189</v>
      </c>
      <c r="G39" s="8">
        <v>0</v>
      </c>
      <c r="H39" s="8">
        <v>0</v>
      </c>
      <c r="I39" s="8">
        <f>Laminado!F39+Molido!D39</f>
        <v>6118.7116906274377</v>
      </c>
      <c r="J39" s="8">
        <v>0</v>
      </c>
      <c r="K39" s="8">
        <v>1386.4444444444443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250.1037037037037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138.64444444444445</v>
      </c>
      <c r="X39" s="8">
        <v>138.64444444444445</v>
      </c>
      <c r="Y39" s="8">
        <v>138.64444444444445</v>
      </c>
      <c r="Z39" s="8">
        <v>0</v>
      </c>
      <c r="AA39" s="8">
        <v>0</v>
      </c>
      <c r="AB39" s="8">
        <v>587.20000000000005</v>
      </c>
      <c r="AC39">
        <v>32.62222222222222</v>
      </c>
    </row>
    <row r="40" spans="1:29" x14ac:dyDescent="0.25">
      <c r="A40" s="13" t="str">
        <v>Sanchez Carrión</v>
      </c>
      <c r="B40" s="8">
        <v>3743.92</v>
      </c>
      <c r="C40" s="5">
        <v>46249</v>
      </c>
      <c r="D40" s="8">
        <v>235.68582022343313</v>
      </c>
      <c r="E40" s="8">
        <v>0</v>
      </c>
      <c r="F40" s="8">
        <v>1537.7841954291305</v>
      </c>
      <c r="G40" s="8">
        <v>0</v>
      </c>
      <c r="H40" s="8">
        <v>0</v>
      </c>
      <c r="I40" s="8">
        <f>Laminado!F40+Molido!D40</f>
        <v>0</v>
      </c>
      <c r="J40" s="8">
        <v>447.85929628344951</v>
      </c>
      <c r="K40" s="8">
        <v>298.31434634634638</v>
      </c>
      <c r="L40" s="8">
        <v>425.73504704704709</v>
      </c>
      <c r="M40" s="8">
        <v>0</v>
      </c>
      <c r="N40" s="8">
        <v>672.183186763452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180.6375815815816</v>
      </c>
      <c r="AC40">
        <v>10.118702702702704</v>
      </c>
    </row>
    <row r="41" spans="1:29" x14ac:dyDescent="0.25">
      <c r="A41" s="13" t="str">
        <v>Alto Trujillo</v>
      </c>
      <c r="B41" s="8">
        <v>3018.9825799999999</v>
      </c>
      <c r="C41" s="5">
        <v>46251</v>
      </c>
      <c r="D41" s="8">
        <v>160.95129733344174</v>
      </c>
      <c r="E41" s="8">
        <v>0</v>
      </c>
      <c r="F41" s="8">
        <v>823.54929351216799</v>
      </c>
      <c r="G41" s="8">
        <v>0</v>
      </c>
      <c r="H41" s="8">
        <v>0</v>
      </c>
      <c r="I41" s="8">
        <f>Laminado!F41+Molido!D41</f>
        <v>1938.0839833333832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102.44595541741741</v>
      </c>
      <c r="AC41">
        <v>5.7418087107107105</v>
      </c>
    </row>
    <row r="42" spans="1:29" x14ac:dyDescent="0.25">
      <c r="A42" s="13"/>
    </row>
    <row r="43" spans="1:29" x14ac:dyDescent="0.25">
      <c r="A43" s="13"/>
    </row>
    <row r="44" spans="1:29" x14ac:dyDescent="0.25">
      <c r="A44" s="13"/>
    </row>
    <row r="45" spans="1:29" x14ac:dyDescent="0.25">
      <c r="A45" s="13"/>
    </row>
    <row r="46" spans="1:29" x14ac:dyDescent="0.25">
      <c r="A46" s="13"/>
    </row>
    <row r="47" spans="1:29" x14ac:dyDescent="0.25">
      <c r="A47" s="13"/>
    </row>
    <row r="48" spans="1:29" x14ac:dyDescent="0.25">
      <c r="A48" s="13"/>
    </row>
    <row r="49" spans="1:28" x14ac:dyDescent="0.25">
      <c r="A49" s="13"/>
    </row>
    <row r="50" spans="1:28" x14ac:dyDescent="0.25">
      <c r="A50" s="13"/>
    </row>
    <row r="51" spans="1:28" x14ac:dyDescent="0.25">
      <c r="A51" s="13"/>
    </row>
    <row r="52" spans="1:28" x14ac:dyDescent="0.25">
      <c r="A52" s="13"/>
    </row>
    <row r="53" spans="1:28" x14ac:dyDescent="0.25">
      <c r="A53" s="13"/>
    </row>
    <row r="54" spans="1:28" x14ac:dyDescent="0.25">
      <c r="A54" s="13"/>
    </row>
    <row r="55" spans="1:28" s="4" customFormat="1" x14ac:dyDescent="0.25">
      <c r="B55" s="8"/>
      <c r="C55" s="5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s="4" customFormat="1" x14ac:dyDescent="0.25">
      <c r="B56" s="8"/>
      <c r="C56" s="5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s="4" customFormat="1" x14ac:dyDescent="0.25">
      <c r="B57" s="8"/>
      <c r="C57" s="5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s="4" customFormat="1" x14ac:dyDescent="0.25">
      <c r="B58" s="8"/>
      <c r="C58" s="5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 s="4" customFormat="1" x14ac:dyDescent="0.25">
      <c r="B59" s="8"/>
      <c r="C59" s="5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76" spans="29:29" x14ac:dyDescent="0.25">
      <c r="AC76" s="8"/>
    </row>
  </sheetData>
  <autoFilter ref="A1:AB74" xr:uid="{2D09086A-2D07-48C4-9FDC-15B21F2FC4C4}"/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2A497-A85F-478C-8272-1F249A0E72D1}">
  <dimension ref="B2:I31"/>
  <sheetViews>
    <sheetView workbookViewId="0">
      <selection activeCell="E13" sqref="E13"/>
    </sheetView>
  </sheetViews>
  <sheetFormatPr baseColWidth="10" defaultRowHeight="15" x14ac:dyDescent="0.25"/>
  <cols>
    <col min="2" max="2" width="22.28515625" bestFit="1" customWidth="1"/>
    <col min="3" max="3" width="11.85546875" style="12" customWidth="1"/>
    <col min="4" max="4" width="14.5703125" style="4" customWidth="1"/>
    <col min="5" max="5" width="15.140625" style="8" bestFit="1" customWidth="1"/>
    <col min="6" max="6" width="15.140625" style="8" customWidth="1"/>
    <col min="7" max="7" width="11.42578125" style="4"/>
  </cols>
  <sheetData>
    <row r="2" spans="2:7" ht="31.5" x14ac:dyDescent="0.5">
      <c r="B2" s="55" t="s">
        <v>54</v>
      </c>
      <c r="C2" s="55"/>
      <c r="D2" s="4">
        <f>MONTH(DATE(2025,MATCH(B2,{"enero","febrero","marzo","abril","mayo","junio","julio","agosto","septiembre","octubre","noviembre","diciembre"},0),1))</f>
        <v>8</v>
      </c>
    </row>
    <row r="5" spans="2:7" x14ac:dyDescent="0.25">
      <c r="B5" s="33" t="s">
        <v>48</v>
      </c>
      <c r="C5" s="32" t="s">
        <v>46</v>
      </c>
      <c r="D5" s="31" t="s">
        <v>47</v>
      </c>
      <c r="E5" s="32" t="s">
        <v>49</v>
      </c>
      <c r="F5" s="32" t="s">
        <v>50</v>
      </c>
      <c r="G5" s="31" t="s">
        <v>34</v>
      </c>
    </row>
    <row r="6" spans="2:7" x14ac:dyDescent="0.25">
      <c r="B6" s="34" t="str" cm="1">
        <f t="array" ref="B6:B31">TRANSPOSE('Materia Prima'!D1:AC1)</f>
        <v>Avena</v>
      </c>
      <c r="C6" s="8" cm="1">
        <f t="array" ref="C6">SUMPRODUCT((MONTH('Materia Prima'!$C$2:$C$74)=$D$2)*('Materia Prima'!D2:D74))</f>
        <v>3651.5831162952436</v>
      </c>
      <c r="D6" s="4">
        <v>25</v>
      </c>
      <c r="E6" s="8">
        <f>G6*D6</f>
        <v>3675</v>
      </c>
      <c r="F6" s="8" t="s">
        <v>51</v>
      </c>
      <c r="G6" s="4">
        <f>ROUNDUP(C6/D6,0)</f>
        <v>147</v>
      </c>
    </row>
    <row r="7" spans="2:7" x14ac:dyDescent="0.25">
      <c r="B7" s="34" t="str">
        <v>Quinua Precocida</v>
      </c>
      <c r="C7" s="8" cm="1">
        <f t="array" ref="C7">SUMPRODUCT((MONTH('Materia Prima'!$C$2:$C$74)=$D$2)*('Materia Prima'!E2:E74))</f>
        <v>0</v>
      </c>
      <c r="D7" s="4">
        <v>50</v>
      </c>
      <c r="E7" s="8">
        <f t="shared" ref="E7" si="0">G7*D7</f>
        <v>0</v>
      </c>
      <c r="F7" s="8" t="s">
        <v>51</v>
      </c>
      <c r="G7" s="4">
        <f t="shared" ref="G7" si="1">ROUNDUP(C7/D7,0)</f>
        <v>0</v>
      </c>
    </row>
    <row r="8" spans="2:7" x14ac:dyDescent="0.25">
      <c r="B8" s="34" t="str">
        <v>Quinua Desaponificada</v>
      </c>
      <c r="C8" s="8" cm="1">
        <f t="array" ref="C8">SUMPRODUCT((MONTH('Materia Prima'!$C$2:$C$74)=$D$2)*('Materia Prima'!F2:F74))</f>
        <v>8217.7117988510381</v>
      </c>
      <c r="D8" s="4">
        <v>50</v>
      </c>
      <c r="E8" s="8">
        <f t="shared" ref="E8:E9" si="2">G8*D8</f>
        <v>8250</v>
      </c>
      <c r="F8" s="8" t="s">
        <v>51</v>
      </c>
      <c r="G8" s="4">
        <f t="shared" ref="G8:G9" si="3">ROUNDUP(C8/D8,0)</f>
        <v>165</v>
      </c>
    </row>
    <row r="9" spans="2:7" x14ac:dyDescent="0.25">
      <c r="B9" s="34" t="str">
        <v xml:space="preserve">Quinua </v>
      </c>
      <c r="C9" s="8" cm="1">
        <f t="array" ref="C9">SUMPRODUCT((MONTH('Materia Prima'!$C$2:$C$74)=$D$2)*('Materia Prima'!G2:G74))</f>
        <v>0</v>
      </c>
      <c r="D9" s="4">
        <v>50</v>
      </c>
      <c r="E9" s="8">
        <f t="shared" si="2"/>
        <v>0</v>
      </c>
      <c r="F9" s="8" t="s">
        <v>51</v>
      </c>
      <c r="G9" s="4">
        <f t="shared" si="3"/>
        <v>0</v>
      </c>
    </row>
    <row r="10" spans="2:7" x14ac:dyDescent="0.25">
      <c r="B10" s="34" t="str">
        <v>Kiwicha Precocida</v>
      </c>
      <c r="C10" s="8" cm="1">
        <f t="array" ref="C10">SUMPRODUCT((MONTH('Materia Prima'!$C$2:$C$74)=$D$2)*('Materia Prima'!H2:H74))</f>
        <v>2413.2847732386349</v>
      </c>
      <c r="D10" s="4">
        <v>50</v>
      </c>
      <c r="E10" s="8">
        <f t="shared" ref="E10" si="4">G10*D10</f>
        <v>2450</v>
      </c>
      <c r="F10" s="8" t="s">
        <v>51</v>
      </c>
      <c r="G10" s="4">
        <f t="shared" ref="G10" si="5">ROUNDUP(C10/D10,0)</f>
        <v>49</v>
      </c>
    </row>
    <row r="11" spans="2:7" x14ac:dyDescent="0.25">
      <c r="B11" s="34" t="str">
        <v>Kiwicha</v>
      </c>
      <c r="C11" s="8" cm="1">
        <f t="array" ref="C11">SUMPRODUCT((MONTH('Materia Prima'!$C$2:$C$74)=$D$2)*('Materia Prima'!I2:I74))</f>
        <v>9558.6933274008534</v>
      </c>
      <c r="D11" s="4">
        <v>50</v>
      </c>
      <c r="E11" s="8">
        <f t="shared" ref="E11:E30" si="6">G11*D11</f>
        <v>9600</v>
      </c>
      <c r="F11" s="8" t="s">
        <v>51</v>
      </c>
      <c r="G11" s="4">
        <f t="shared" ref="G11:G30" si="7">ROUNDUP(C11/D11,0)</f>
        <v>192</v>
      </c>
    </row>
    <row r="12" spans="2:7" x14ac:dyDescent="0.25">
      <c r="B12" s="34" t="str">
        <v>Soya</v>
      </c>
      <c r="C12" s="8" cm="1">
        <f t="array" ref="C12">SUMPRODUCT((MONTH('Materia Prima'!$C$2:$C$74)=$D$2)*('Materia Prima'!J2:J74))</f>
        <v>757.5289155494354</v>
      </c>
      <c r="D12" s="4">
        <v>50</v>
      </c>
      <c r="E12" s="8">
        <f t="shared" si="6"/>
        <v>800</v>
      </c>
      <c r="F12" s="8" t="s">
        <v>51</v>
      </c>
      <c r="G12" s="4">
        <f t="shared" si="7"/>
        <v>16</v>
      </c>
    </row>
    <row r="13" spans="2:7" x14ac:dyDescent="0.25">
      <c r="B13" s="34" t="str">
        <v>Maca Deshidratada</v>
      </c>
      <c r="C13" s="8" cm="1">
        <f t="array" ref="C13">SUMPRODUCT((MONTH('Materia Prima'!$C$2:$C$74)=$D$2)*('Materia Prima'!K2:K74))</f>
        <v>1684.7587907907907</v>
      </c>
      <c r="D13" s="4">
        <v>50</v>
      </c>
      <c r="E13" s="8">
        <f t="shared" si="6"/>
        <v>1700</v>
      </c>
      <c r="F13" s="8" t="s">
        <v>51</v>
      </c>
      <c r="G13" s="4">
        <f t="shared" si="7"/>
        <v>34</v>
      </c>
    </row>
    <row r="14" spans="2:7" x14ac:dyDescent="0.25">
      <c r="B14" s="34" t="str">
        <v>Azucar</v>
      </c>
      <c r="C14" s="8" cm="1">
        <f t="array" ref="C14">SUMPRODUCT((MONTH('Materia Prima'!$C$2:$C$74)=$D$2)*('Materia Prima'!L2:L74))</f>
        <v>425.73504704704709</v>
      </c>
      <c r="D14" s="4">
        <v>50</v>
      </c>
      <c r="E14" s="8">
        <f t="shared" si="6"/>
        <v>450</v>
      </c>
      <c r="F14" s="8" t="s">
        <v>51</v>
      </c>
      <c r="G14" s="4">
        <f t="shared" si="7"/>
        <v>9</v>
      </c>
    </row>
    <row r="15" spans="2:7" x14ac:dyDescent="0.25">
      <c r="B15" s="34" t="str">
        <v>Sacha Inchi</v>
      </c>
      <c r="C15" s="8" cm="1">
        <f t="array" ref="C15">SUMPRODUCT((MONTH('Materia Prima'!$C$2:$C$74)=$D$2)*('Materia Prima'!M2:M74))</f>
        <v>0</v>
      </c>
      <c r="D15" s="4">
        <v>50</v>
      </c>
      <c r="E15" s="8">
        <f t="shared" si="6"/>
        <v>0</v>
      </c>
      <c r="F15" s="8" t="s">
        <v>51</v>
      </c>
      <c r="G15" s="4">
        <f t="shared" si="7"/>
        <v>0</v>
      </c>
    </row>
    <row r="16" spans="2:7" x14ac:dyDescent="0.25">
      <c r="B16" s="34" t="str">
        <v>Maiz Chufla</v>
      </c>
      <c r="C16" s="8" cm="1">
        <f t="array" ref="C16">SUMPRODUCT((MONTH('Materia Prima'!$C$2:$C$74)=$D$2)*('Materia Prima'!N2:N74))</f>
        <v>672.183186763452</v>
      </c>
      <c r="D16" s="4">
        <v>25</v>
      </c>
      <c r="E16" s="8">
        <f t="shared" si="6"/>
        <v>675</v>
      </c>
      <c r="F16" s="8" t="s">
        <v>51</v>
      </c>
      <c r="G16" s="4">
        <f t="shared" si="7"/>
        <v>27</v>
      </c>
    </row>
    <row r="17" spans="2:9" x14ac:dyDescent="0.25">
      <c r="B17" s="34" t="str">
        <v>Leche Polvo</v>
      </c>
      <c r="C17" s="8" cm="1">
        <f t="array" ref="C17">SUMPRODUCT((MONTH('Materia Prima'!$C$2:$C$74)=$D$2)*('Materia Prima'!O2:O74))</f>
        <v>588.74388014849228</v>
      </c>
      <c r="D17" s="4">
        <v>25</v>
      </c>
      <c r="E17" s="8">
        <f t="shared" si="6"/>
        <v>600</v>
      </c>
      <c r="F17" s="8" t="s">
        <v>51</v>
      </c>
      <c r="G17" s="4">
        <f t="shared" si="7"/>
        <v>24</v>
      </c>
    </row>
    <row r="18" spans="2:9" x14ac:dyDescent="0.25">
      <c r="B18" s="34" t="str">
        <v>Aceite soya</v>
      </c>
      <c r="C18" s="8" cm="1">
        <f t="array" ref="C18">SUMPRODUCT((MONTH('Materia Prima'!$C$2:$C$74)=$D$2)*('Materia Prima'!P2:P74))</f>
        <v>0</v>
      </c>
      <c r="D18" s="4">
        <v>4</v>
      </c>
      <c r="E18" s="8">
        <f t="shared" si="6"/>
        <v>0</v>
      </c>
      <c r="F18" s="8" t="s">
        <v>52</v>
      </c>
      <c r="G18" s="4">
        <f t="shared" si="7"/>
        <v>0</v>
      </c>
    </row>
    <row r="19" spans="2:9" x14ac:dyDescent="0.25">
      <c r="B19" s="34" t="str">
        <v>Aceite Girasol</v>
      </c>
      <c r="C19" s="8" cm="1">
        <f t="array" ref="C19">SUMPRODUCT((MONTH('Materia Prima'!$C$2:$C$74)=$D$2)*('Materia Prima'!Q2:Q74))</f>
        <v>250.1037037037037</v>
      </c>
      <c r="D19" s="4">
        <v>4</v>
      </c>
      <c r="E19" s="8">
        <f t="shared" si="6"/>
        <v>252</v>
      </c>
      <c r="F19" s="8" t="s">
        <v>52</v>
      </c>
      <c r="G19" s="4">
        <f t="shared" si="7"/>
        <v>63</v>
      </c>
    </row>
    <row r="20" spans="2:9" x14ac:dyDescent="0.25">
      <c r="B20" s="34" t="str">
        <v>Chia</v>
      </c>
      <c r="C20" s="8" cm="1">
        <f t="array" ref="C20">SUMPRODUCT((MONTH('Materia Prima'!$C$2:$C$74)=$D$2)*('Materia Prima'!R2:R74))</f>
        <v>0</v>
      </c>
      <c r="D20" s="4">
        <v>50</v>
      </c>
      <c r="E20" s="8">
        <f t="shared" si="6"/>
        <v>0</v>
      </c>
      <c r="F20" s="8" t="s">
        <v>51</v>
      </c>
      <c r="G20" s="4">
        <f t="shared" si="7"/>
        <v>0</v>
      </c>
    </row>
    <row r="21" spans="2:9" x14ac:dyDescent="0.25">
      <c r="B21" s="34" t="str">
        <v>Cacao Deshidratado</v>
      </c>
      <c r="C21" s="8" cm="1">
        <f t="array" ref="C21">SUMPRODUCT((MONTH('Materia Prima'!$C$2:$C$74)=$D$2)*('Materia Prima'!S2:S74))/0.92</f>
        <v>0</v>
      </c>
      <c r="D21" s="4">
        <v>25</v>
      </c>
      <c r="E21" s="8">
        <f t="shared" si="6"/>
        <v>0</v>
      </c>
      <c r="F21" s="8" t="s">
        <v>51</v>
      </c>
      <c r="G21" s="4">
        <f t="shared" si="7"/>
        <v>0</v>
      </c>
    </row>
    <row r="22" spans="2:9" x14ac:dyDescent="0.25">
      <c r="B22" s="34" t="str">
        <v>Garbanzo</v>
      </c>
      <c r="C22" s="8" cm="1">
        <f t="array" ref="C22">SUMPRODUCT((MONTH('Materia Prima'!$C$2:$C$74)=$D$2)*('Materia Prima'!T2:T74))</f>
        <v>0</v>
      </c>
      <c r="D22" s="4">
        <v>25</v>
      </c>
      <c r="E22" s="8">
        <f t="shared" si="6"/>
        <v>0</v>
      </c>
      <c r="F22" s="8" t="s">
        <v>51</v>
      </c>
      <c r="G22" s="4">
        <f t="shared" si="7"/>
        <v>0</v>
      </c>
    </row>
    <row r="23" spans="2:9" x14ac:dyDescent="0.25">
      <c r="B23" s="34" t="str">
        <v>Tarhui</v>
      </c>
      <c r="C23" s="8" cm="1">
        <f t="array" ref="C23">SUMPRODUCT((MONTH('Materia Prima'!$C$2:$C$74)=$D$2)*('Materia Prima'!U2:U74))</f>
        <v>0</v>
      </c>
      <c r="D23" s="4">
        <v>25</v>
      </c>
      <c r="E23" s="8">
        <f t="shared" si="6"/>
        <v>0</v>
      </c>
      <c r="F23" s="8" t="s">
        <v>51</v>
      </c>
      <c r="G23" s="4">
        <f t="shared" si="7"/>
        <v>0</v>
      </c>
      <c r="I23" s="8"/>
    </row>
    <row r="24" spans="2:9" x14ac:dyDescent="0.25">
      <c r="B24" s="34" t="str">
        <v>Almidon maca</v>
      </c>
      <c r="C24" s="8" cm="1">
        <f t="array" ref="C24">SUMPRODUCT((MONTH('Materia Prima'!$C$2:$C$74)=$D$2)*('Materia Prima'!V2:V74))</f>
        <v>0</v>
      </c>
      <c r="D24" s="4">
        <v>50</v>
      </c>
      <c r="E24" s="8">
        <f t="shared" si="6"/>
        <v>0</v>
      </c>
      <c r="F24" s="8" t="s">
        <v>51</v>
      </c>
      <c r="G24" s="4">
        <f t="shared" si="7"/>
        <v>0</v>
      </c>
    </row>
    <row r="25" spans="2:9" x14ac:dyDescent="0.25">
      <c r="B25" s="34" t="str">
        <v>Linaza</v>
      </c>
      <c r="C25" s="8" cm="1">
        <f t="array" ref="C25">SUMPRODUCT((MONTH('Materia Prima'!$C$2:$C$74)=$D$2)*('Materia Prima'!W2:W74))</f>
        <v>138.64444444444445</v>
      </c>
      <c r="D25" s="4">
        <v>50</v>
      </c>
      <c r="E25" s="8">
        <f t="shared" si="6"/>
        <v>150</v>
      </c>
      <c r="F25" s="8" t="s">
        <v>51</v>
      </c>
      <c r="G25" s="4">
        <f t="shared" si="7"/>
        <v>3</v>
      </c>
    </row>
    <row r="26" spans="2:9" x14ac:dyDescent="0.25">
      <c r="B26" s="34" t="str">
        <v>Ajonjoli</v>
      </c>
      <c r="C26" s="8" cm="1">
        <f t="array" ref="C26">SUMPRODUCT((MONTH('Materia Prima'!$C$2:$C$74)=$D$2)*('Materia Prima'!X2:X74))</f>
        <v>138.64444444444445</v>
      </c>
      <c r="D26" s="4">
        <v>25</v>
      </c>
      <c r="E26" s="8">
        <f t="shared" si="6"/>
        <v>150</v>
      </c>
      <c r="F26" s="8" t="s">
        <v>51</v>
      </c>
      <c r="G26" s="4">
        <f t="shared" si="7"/>
        <v>6</v>
      </c>
    </row>
    <row r="27" spans="2:9" x14ac:dyDescent="0.25">
      <c r="B27" s="34" t="str">
        <v>Proteina aislada soya</v>
      </c>
      <c r="C27" s="8" cm="1">
        <f t="array" ref="C27">SUMPRODUCT((MONTH('Materia Prima'!$C$2:$C$74)=$D$2)*('Materia Prima'!Y2:Y74))</f>
        <v>138.64444444444445</v>
      </c>
      <c r="D27" s="4">
        <v>50</v>
      </c>
      <c r="E27" s="8">
        <f t="shared" si="6"/>
        <v>150</v>
      </c>
      <c r="F27" s="8" t="s">
        <v>51</v>
      </c>
      <c r="G27" s="4">
        <f t="shared" si="7"/>
        <v>3</v>
      </c>
    </row>
    <row r="28" spans="2:9" x14ac:dyDescent="0.25">
      <c r="B28" s="34" t="str">
        <v>Albumina clara de huevo</v>
      </c>
      <c r="C28" s="8" cm="1">
        <f t="array" ref="C28">SUMPRODUCT((MONTH('Materia Prima'!$C$2:$C$74)=$D$2)*('Materia Prima'!Z2:Z74))</f>
        <v>0</v>
      </c>
      <c r="D28" s="4">
        <v>20</v>
      </c>
      <c r="E28" s="8">
        <f t="shared" si="6"/>
        <v>0</v>
      </c>
      <c r="F28" s="8" t="s">
        <v>51</v>
      </c>
      <c r="G28" s="4">
        <f t="shared" si="7"/>
        <v>0</v>
      </c>
    </row>
    <row r="29" spans="2:9" x14ac:dyDescent="0.25">
      <c r="B29" s="34" t="str">
        <v>Harina de Plátano</v>
      </c>
      <c r="C29" s="8" cm="1">
        <f t="array" ref="C29">SUMPRODUCT((MONTH('Materia Prima'!$C$2:$C$74)=$D$2)*('Materia Prima'!AA2:AA74))</f>
        <v>0</v>
      </c>
      <c r="D29" s="4">
        <v>25</v>
      </c>
      <c r="E29" s="8">
        <f t="shared" si="6"/>
        <v>0</v>
      </c>
      <c r="F29" s="8" t="s">
        <v>51</v>
      </c>
      <c r="G29" s="4">
        <f t="shared" si="7"/>
        <v>0</v>
      </c>
    </row>
    <row r="30" spans="2:9" x14ac:dyDescent="0.25">
      <c r="B30" s="34" t="str">
        <v>Fosfato Tricálcio</v>
      </c>
      <c r="C30" s="8" cm="1">
        <f t="array" ref="C30">SUMPRODUCT((MONTH('Materia Prima'!$C$2:$C$74)=$D$2)*('Materia Prima'!AB2:AB74))</f>
        <v>1205.8711584352502</v>
      </c>
      <c r="D30" s="4">
        <v>25</v>
      </c>
      <c r="E30" s="8">
        <f t="shared" si="6"/>
        <v>1225</v>
      </c>
      <c r="F30" s="8" t="s">
        <v>51</v>
      </c>
      <c r="G30" s="4">
        <f t="shared" si="7"/>
        <v>49</v>
      </c>
    </row>
    <row r="31" spans="2:9" x14ac:dyDescent="0.25">
      <c r="B31" s="34" t="str">
        <v>Mix vitaminico</v>
      </c>
      <c r="C31" s="8" cm="1">
        <f t="array" ref="C31">SUMPRODUCT((MONTH('Materia Prima'!$C$2:$C$74)=$D$2)*('Materia Prima'!AC2:AC74))</f>
        <v>67.407259887254128</v>
      </c>
      <c r="D31" s="4">
        <v>25</v>
      </c>
      <c r="E31" s="8">
        <f t="shared" ref="E31" si="8">G31*D31</f>
        <v>75</v>
      </c>
      <c r="F31" s="8" t="s">
        <v>51</v>
      </c>
      <c r="G31" s="4">
        <f t="shared" ref="G31" si="9">ROUNDUP(C31/D31,0)</f>
        <v>3</v>
      </c>
    </row>
  </sheetData>
  <autoFilter ref="A5:G31" xr:uid="{C092A497-A85F-478C-8272-1F249A0E72D1}"/>
  <mergeCells count="1">
    <mergeCell ref="B2:C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FE5328-7722-4946-AD6A-F279FF108B8A}">
          <x14:formula1>
            <xm:f>Formula!$A$21:$A$32</xm:f>
          </x14:formula1>
          <xm:sqref>B2:C2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295F9-5421-4AF0-9517-020270F97623}">
  <dimension ref="A1:Y32"/>
  <sheetViews>
    <sheetView workbookViewId="0">
      <pane ySplit="1" topLeftCell="A2" activePane="bottomLeft" state="frozen"/>
      <selection pane="bottomLeft" activeCell="B16" sqref="B16"/>
    </sheetView>
  </sheetViews>
  <sheetFormatPr baseColWidth="10" defaultRowHeight="15" x14ac:dyDescent="0.25"/>
  <cols>
    <col min="1" max="1" width="20" bestFit="1" customWidth="1"/>
    <col min="2" max="2" width="11.140625" style="9" customWidth="1"/>
    <col min="3" max="3" width="11.42578125" style="9"/>
    <col min="4" max="4" width="10.7109375" style="9" customWidth="1"/>
    <col min="5" max="10" width="7.140625" style="9" bestFit="1" customWidth="1"/>
    <col min="11" max="11" width="6.7109375" style="9" bestFit="1" customWidth="1"/>
    <col min="12" max="12" width="7.42578125" style="9" bestFit="1" customWidth="1"/>
    <col min="13" max="13" width="11.140625" style="9" customWidth="1"/>
    <col min="14" max="14" width="9.42578125" style="9" customWidth="1"/>
    <col min="15" max="15" width="9.7109375" style="9" customWidth="1"/>
    <col min="16" max="16" width="6.5703125" style="9" bestFit="1" customWidth="1"/>
    <col min="17" max="17" width="8.42578125" style="9" bestFit="1" customWidth="1"/>
    <col min="18" max="18" width="6.5703125" style="9" bestFit="1" customWidth="1"/>
    <col min="19" max="19" width="7.85546875" style="9" bestFit="1" customWidth="1"/>
    <col min="20" max="20" width="9.28515625" style="9" customWidth="1"/>
    <col min="21" max="21" width="11.42578125" style="9" customWidth="1"/>
    <col min="22" max="22" width="11.42578125" style="4"/>
  </cols>
  <sheetData>
    <row r="1" spans="1:25" s="25" customFormat="1" ht="45.75" customHeight="1" x14ac:dyDescent="0.25">
      <c r="B1" s="23" t="str" cm="1">
        <f t="array" ref="B1:X1">Mezclado!E1:AA1</f>
        <v>Avena</v>
      </c>
      <c r="C1" s="23" t="str">
        <v>Quinua</v>
      </c>
      <c r="D1" s="23" t="str">
        <v>Kiwicha</v>
      </c>
      <c r="E1" s="23" t="str">
        <v>Soya</v>
      </c>
      <c r="F1" s="23" t="str">
        <v>Maca</v>
      </c>
      <c r="G1" s="23" t="str">
        <v>Azucar</v>
      </c>
      <c r="H1" s="23" t="str">
        <v>Sacha Inchi</v>
      </c>
      <c r="I1" s="23" t="str">
        <v>Maiz Chufla</v>
      </c>
      <c r="J1" s="23" t="str">
        <v>Leche Polvo</v>
      </c>
      <c r="K1" s="23" t="str">
        <v>Aceite soya</v>
      </c>
      <c r="L1" s="23" t="str">
        <v>Aceite Girasol</v>
      </c>
      <c r="M1" s="23" t="str">
        <v>Chia</v>
      </c>
      <c r="N1" s="23" t="str">
        <v>Cacao Deshidratado</v>
      </c>
      <c r="O1" s="24" t="str">
        <v>Garbanzo</v>
      </c>
      <c r="P1" s="24" t="str">
        <v>Tarhui</v>
      </c>
      <c r="Q1" s="24" t="str">
        <v>Almidon maca</v>
      </c>
      <c r="R1" s="24" t="str">
        <v>Linaza</v>
      </c>
      <c r="S1" s="24" t="str">
        <v>Ajonjoli</v>
      </c>
      <c r="T1" s="23" t="str">
        <v>Proteina aislada soya</v>
      </c>
      <c r="U1" s="23" t="str">
        <v>Albumina clara de huevo</v>
      </c>
      <c r="V1" s="24" t="str">
        <v>Harina de Plátano</v>
      </c>
      <c r="W1" s="24" t="str">
        <v>Fosfato Tricálcio</v>
      </c>
      <c r="X1" s="24" t="str">
        <v>Mix vitaminico</v>
      </c>
    </row>
    <row r="2" spans="1:25" x14ac:dyDescent="0.25">
      <c r="A2" s="4" t="s">
        <v>59</v>
      </c>
      <c r="B2" s="9">
        <v>5.3100000000000001E-2</v>
      </c>
      <c r="C2" s="9">
        <v>0.2717</v>
      </c>
      <c r="D2" s="9">
        <v>0.63939999999999997</v>
      </c>
      <c r="V2" s="9"/>
      <c r="W2" s="9">
        <v>3.39E-2</v>
      </c>
      <c r="X2" s="9">
        <v>1.9E-3</v>
      </c>
      <c r="Y2" s="9">
        <f t="shared" ref="Y2:Y10" si="0">SUM(B2:X2)</f>
        <v>1</v>
      </c>
    </row>
    <row r="3" spans="1:25" x14ac:dyDescent="0.25">
      <c r="A3" s="4" t="s">
        <v>1</v>
      </c>
      <c r="B3" s="9">
        <v>0.35510000000000003</v>
      </c>
      <c r="C3" s="9">
        <v>0.11840000000000001</v>
      </c>
      <c r="D3" s="9">
        <v>0.11840000000000001</v>
      </c>
      <c r="F3" s="9">
        <v>0.35510000000000003</v>
      </c>
      <c r="V3" s="9"/>
      <c r="W3" s="10">
        <v>5.0200000000000002E-2</v>
      </c>
      <c r="X3" s="10">
        <v>2.8E-3</v>
      </c>
      <c r="Y3" s="9">
        <f t="shared" si="0"/>
        <v>1</v>
      </c>
    </row>
    <row r="4" spans="1:25" x14ac:dyDescent="0.25">
      <c r="A4" s="4" t="s">
        <v>62</v>
      </c>
      <c r="B4" s="9">
        <v>0.2011</v>
      </c>
      <c r="C4" s="9">
        <v>0.19639999999999999</v>
      </c>
      <c r="D4" s="9">
        <v>0.44640000000000002</v>
      </c>
      <c r="F4" s="9">
        <v>5.3600000000000002E-2</v>
      </c>
      <c r="M4" s="9">
        <v>1.7899999999999999E-2</v>
      </c>
      <c r="N4" s="9">
        <v>4.4600000000000001E-2</v>
      </c>
      <c r="V4" s="9"/>
      <c r="W4" s="10">
        <v>3.7900000000000003E-2</v>
      </c>
      <c r="X4" s="10">
        <v>2.0999999999999999E-3</v>
      </c>
      <c r="Y4" s="9">
        <f t="shared" si="0"/>
        <v>1</v>
      </c>
    </row>
    <row r="5" spans="1:25" x14ac:dyDescent="0.25">
      <c r="A5" s="4" t="s">
        <v>65</v>
      </c>
      <c r="B5" s="9">
        <f>8/47.24</f>
        <v>0.16934801016088061</v>
      </c>
      <c r="C5" s="9">
        <f>19/47.24</f>
        <v>0.40220152413209143</v>
      </c>
      <c r="D5" s="9">
        <f>18/47.24</f>
        <v>0.38103302286198137</v>
      </c>
      <c r="V5" s="9"/>
      <c r="W5" s="9">
        <f>2.12/47.24</f>
        <v>4.4877222692633362E-2</v>
      </c>
      <c r="X5" s="9">
        <f>0.12/47.24</f>
        <v>2.5402201524132089E-3</v>
      </c>
      <c r="Y5" s="9">
        <f t="shared" si="0"/>
        <v>1</v>
      </c>
    </row>
    <row r="6" spans="1:25" x14ac:dyDescent="0.25">
      <c r="A6" s="4" t="s">
        <v>70</v>
      </c>
      <c r="B6" s="9">
        <v>0.1285</v>
      </c>
      <c r="C6" s="9">
        <v>0.21640000000000001</v>
      </c>
      <c r="D6" s="9">
        <v>0.33350000000000002</v>
      </c>
      <c r="E6" s="9">
        <v>8.9999999999999993E-3</v>
      </c>
      <c r="F6" s="9">
        <v>0.12620000000000001</v>
      </c>
      <c r="J6" s="9">
        <v>0.1172</v>
      </c>
      <c r="K6" s="9">
        <v>1.44E-2</v>
      </c>
      <c r="O6" s="9">
        <v>7.1999999999999998E-3</v>
      </c>
      <c r="P6" s="9">
        <v>7.1999999999999998E-3</v>
      </c>
      <c r="V6" s="9"/>
      <c r="W6" s="9">
        <v>3.8199999999999998E-2</v>
      </c>
      <c r="X6" s="9">
        <v>2.2000000000000001E-3</v>
      </c>
      <c r="Y6" s="9">
        <f t="shared" si="0"/>
        <v>0.99999999999999989</v>
      </c>
    </row>
    <row r="7" spans="1:25" x14ac:dyDescent="0.25">
      <c r="A7" s="4" t="s">
        <v>73</v>
      </c>
      <c r="B7" s="9">
        <f>15.4/43.84</f>
        <v>0.35127737226277372</v>
      </c>
      <c r="G7" s="9">
        <f>5/43.84</f>
        <v>0.11405109489051093</v>
      </c>
      <c r="H7" s="9">
        <f>5.2/43.84</f>
        <v>0.11861313868613138</v>
      </c>
      <c r="Q7" s="9">
        <f>10.5/43.84</f>
        <v>0.23950729927007297</v>
      </c>
      <c r="U7" s="9">
        <f>1.5/43.84</f>
        <v>3.4215328467153285E-2</v>
      </c>
      <c r="V7" s="9">
        <f>4/43.84</f>
        <v>9.1240875912408759E-2</v>
      </c>
      <c r="W7" s="9"/>
      <c r="X7" s="9">
        <f>2.24/43.84</f>
        <v>5.1094890510948905E-2</v>
      </c>
      <c r="Y7" s="9">
        <f t="shared" si="0"/>
        <v>1</v>
      </c>
    </row>
    <row r="8" spans="1:25" x14ac:dyDescent="0.25">
      <c r="A8" s="4" t="s">
        <v>10</v>
      </c>
      <c r="B8" s="9">
        <f>13/57.24</f>
        <v>0.22711390635918938</v>
      </c>
      <c r="C8" s="9">
        <f>18/57.24</f>
        <v>0.31446540880503143</v>
      </c>
      <c r="D8" s="9">
        <f>15/57.24</f>
        <v>0.26205450733752622</v>
      </c>
      <c r="E8" s="9">
        <f>3/57.24</f>
        <v>5.2410901467505239E-2</v>
      </c>
      <c r="J8" s="9">
        <f>6/57.24</f>
        <v>0.10482180293501048</v>
      </c>
      <c r="V8" s="9"/>
      <c r="W8" s="9">
        <f>2.12/57.24</f>
        <v>3.7037037037037035E-2</v>
      </c>
      <c r="X8" s="9">
        <f>0.12/57.24</f>
        <v>2.0964360587002093E-3</v>
      </c>
      <c r="Y8" s="9">
        <f t="shared" si="0"/>
        <v>0.99999999999999989</v>
      </c>
    </row>
    <row r="9" spans="1:25" x14ac:dyDescent="0.25">
      <c r="A9" s="4" t="s">
        <v>68</v>
      </c>
      <c r="B9" s="9">
        <v>6.2700000000000006E-2</v>
      </c>
      <c r="C9" s="9">
        <v>0.40910000000000002</v>
      </c>
      <c r="E9" s="9">
        <v>0.11360000000000001</v>
      </c>
      <c r="F9" s="9">
        <v>7.9600000000000004E-2</v>
      </c>
      <c r="G9" s="9">
        <v>0.11360000000000001</v>
      </c>
      <c r="I9" s="9">
        <v>0.17050000000000001</v>
      </c>
      <c r="V9" s="9"/>
      <c r="W9" s="9">
        <v>4.82E-2</v>
      </c>
      <c r="X9" s="9">
        <v>2.7000000000000001E-3</v>
      </c>
      <c r="Y9" s="9">
        <f t="shared" si="0"/>
        <v>1</v>
      </c>
    </row>
    <row r="10" spans="1:25" x14ac:dyDescent="0.25">
      <c r="A10" s="4" t="s">
        <v>11</v>
      </c>
      <c r="B10" s="9">
        <v>0.13020000000000001</v>
      </c>
      <c r="C10" s="9">
        <v>0.22439999999999999</v>
      </c>
      <c r="D10" s="9">
        <v>0.44879999999999998</v>
      </c>
      <c r="F10" s="9">
        <v>0.10199999999999999</v>
      </c>
      <c r="L10" s="9">
        <v>1.84E-2</v>
      </c>
      <c r="R10" s="9">
        <v>1.0200000000000001E-2</v>
      </c>
      <c r="S10" s="9">
        <v>1.0200000000000001E-2</v>
      </c>
      <c r="T10" s="9">
        <v>1.0200000000000001E-2</v>
      </c>
      <c r="V10" s="9"/>
      <c r="W10" s="9">
        <v>4.3200000000000002E-2</v>
      </c>
      <c r="X10" s="9">
        <v>2.3999999999999998E-3</v>
      </c>
      <c r="Y10" s="9">
        <f t="shared" si="0"/>
        <v>0.99999999999999989</v>
      </c>
    </row>
    <row r="11" spans="1:25" x14ac:dyDescent="0.25">
      <c r="A11" s="4"/>
    </row>
    <row r="12" spans="1:25" x14ac:dyDescent="0.25">
      <c r="A12" s="4"/>
      <c r="V12" s="9"/>
      <c r="W12" s="9"/>
      <c r="X12" s="4"/>
    </row>
    <row r="13" spans="1:25" x14ac:dyDescent="0.25">
      <c r="C13" s="4"/>
    </row>
    <row r="14" spans="1:25" x14ac:dyDescent="0.25">
      <c r="A14" s="4" t="s">
        <v>31</v>
      </c>
      <c r="C14" s="4"/>
    </row>
    <row r="15" spans="1:25" x14ac:dyDescent="0.25">
      <c r="A15" s="4" t="s">
        <v>22</v>
      </c>
      <c r="B15" s="9">
        <v>0.7</v>
      </c>
      <c r="C15" s="4"/>
    </row>
    <row r="16" spans="1:25" x14ac:dyDescent="0.25">
      <c r="A16" s="4" t="s">
        <v>24</v>
      </c>
      <c r="B16" s="27">
        <v>0.03</v>
      </c>
      <c r="C16" s="4"/>
    </row>
    <row r="17" spans="1:3" x14ac:dyDescent="0.25">
      <c r="A17" s="4" t="s">
        <v>32</v>
      </c>
      <c r="B17" s="27">
        <v>0.02</v>
      </c>
      <c r="C17" s="4"/>
    </row>
    <row r="18" spans="1:3" x14ac:dyDescent="0.25">
      <c r="A18" s="4" t="s">
        <v>19</v>
      </c>
      <c r="B18" s="27">
        <v>3.0000000000000001E-3</v>
      </c>
      <c r="C18" s="4"/>
    </row>
    <row r="19" spans="1:3" x14ac:dyDescent="0.25">
      <c r="A19" s="4" t="s">
        <v>20</v>
      </c>
      <c r="B19" s="27">
        <v>1E-3</v>
      </c>
      <c r="C19" s="4"/>
    </row>
    <row r="20" spans="1:3" x14ac:dyDescent="0.25">
      <c r="A20" s="4"/>
      <c r="B20" s="11"/>
      <c r="C20" s="4"/>
    </row>
    <row r="21" spans="1:3" x14ac:dyDescent="0.25">
      <c r="A21" s="4" t="s">
        <v>38</v>
      </c>
      <c r="C21" s="4"/>
    </row>
    <row r="22" spans="1:3" x14ac:dyDescent="0.25">
      <c r="A22" s="4" t="s">
        <v>39</v>
      </c>
      <c r="C22" s="4"/>
    </row>
    <row r="23" spans="1:3" x14ac:dyDescent="0.25">
      <c r="A23" s="4" t="s">
        <v>40</v>
      </c>
      <c r="C23" s="4"/>
    </row>
    <row r="24" spans="1:3" x14ac:dyDescent="0.25">
      <c r="A24" s="4" t="s">
        <v>41</v>
      </c>
      <c r="C24" s="4"/>
    </row>
    <row r="25" spans="1:3" x14ac:dyDescent="0.25">
      <c r="A25" s="4" t="s">
        <v>42</v>
      </c>
      <c r="C25" s="4"/>
    </row>
    <row r="26" spans="1:3" x14ac:dyDescent="0.25">
      <c r="A26" s="4" t="s">
        <v>43</v>
      </c>
      <c r="C26" s="4"/>
    </row>
    <row r="27" spans="1:3" x14ac:dyDescent="0.25">
      <c r="A27" s="4" t="s">
        <v>44</v>
      </c>
      <c r="C27" s="4"/>
    </row>
    <row r="28" spans="1:3" x14ac:dyDescent="0.25">
      <c r="A28" s="4" t="s">
        <v>45</v>
      </c>
      <c r="C28" s="4"/>
    </row>
    <row r="29" spans="1:3" x14ac:dyDescent="0.25">
      <c r="A29" s="4" t="s">
        <v>54</v>
      </c>
      <c r="C29" s="4"/>
    </row>
    <row r="30" spans="1:3" x14ac:dyDescent="0.25">
      <c r="A30" s="4" t="s">
        <v>56</v>
      </c>
      <c r="C30" s="4"/>
    </row>
    <row r="31" spans="1:3" x14ac:dyDescent="0.25">
      <c r="A31" s="4" t="s">
        <v>57</v>
      </c>
    </row>
    <row r="32" spans="1:3" x14ac:dyDescent="0.25">
      <c r="A32" s="4" t="s">
        <v>58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3B62-91F4-4BD6-9496-120C092E2982}">
  <dimension ref="A1:X23"/>
  <sheetViews>
    <sheetView zoomScaleNormal="100" workbookViewId="0">
      <selection activeCell="D10" sqref="D10"/>
    </sheetView>
  </sheetViews>
  <sheetFormatPr baseColWidth="10" defaultRowHeight="15" x14ac:dyDescent="0.25"/>
  <cols>
    <col min="1" max="1" width="18" bestFit="1" customWidth="1"/>
    <col min="2" max="2" width="9.85546875" bestFit="1" customWidth="1"/>
    <col min="6" max="6" width="12.28515625" customWidth="1"/>
    <col min="14" max="14" width="11.42578125" customWidth="1"/>
    <col min="19" max="19" width="9.42578125" bestFit="1" customWidth="1"/>
  </cols>
  <sheetData>
    <row r="1" spans="1:24" s="25" customFormat="1" ht="39.75" customHeight="1" x14ac:dyDescent="0.25">
      <c r="B1" s="23" t="str" cm="1">
        <f t="array" ref="B1:X1">Mezclado!E1:AA1</f>
        <v>Avena</v>
      </c>
      <c r="C1" s="23" t="str">
        <v>Quinua</v>
      </c>
      <c r="D1" s="23" t="str">
        <v>Kiwicha</v>
      </c>
      <c r="E1" s="23" t="str">
        <v>Soya</v>
      </c>
      <c r="F1" s="23" t="str">
        <v>Maca</v>
      </c>
      <c r="G1" s="23" t="str">
        <v>Azucar</v>
      </c>
      <c r="H1" s="23" t="str">
        <v>Sacha Inchi</v>
      </c>
      <c r="I1" s="23" t="str">
        <v>Maiz Chufla</v>
      </c>
      <c r="J1" s="23" t="str">
        <v>Leche Polvo</v>
      </c>
      <c r="K1" s="23" t="str">
        <v>Aceite soya</v>
      </c>
      <c r="L1" s="23" t="str">
        <v>Aceite Girasol</v>
      </c>
      <c r="M1" s="23" t="str">
        <v>Chia</v>
      </c>
      <c r="N1" s="23" t="str">
        <v>Cacao Deshidratado</v>
      </c>
      <c r="O1" s="24" t="str">
        <v>Garbanzo</v>
      </c>
      <c r="P1" s="24" t="str">
        <v>Tarhui</v>
      </c>
      <c r="Q1" s="24" t="str">
        <v>Almidon maca</v>
      </c>
      <c r="R1" s="24" t="str">
        <v>Linaza</v>
      </c>
      <c r="S1" s="24" t="str">
        <v>Ajonjoli</v>
      </c>
      <c r="T1" s="23" t="str">
        <v>Proteina aislada soya</v>
      </c>
      <c r="U1" s="23" t="str">
        <v>Albumina clara de huevo</v>
      </c>
      <c r="V1" s="24" t="str">
        <v>Harina de Plátano</v>
      </c>
      <c r="W1" s="25" t="str">
        <v>Fosfato Tricálcio</v>
      </c>
      <c r="X1" s="25" t="str">
        <v>Mix vitaminico</v>
      </c>
    </row>
    <row r="2" spans="1:24" s="25" customFormat="1" x14ac:dyDescent="0.25">
      <c r="A2" s="4" t="s">
        <v>59</v>
      </c>
      <c r="B2" s="23"/>
      <c r="C2" s="23"/>
      <c r="D2" s="23"/>
      <c r="E2" s="26"/>
      <c r="F2" s="23"/>
      <c r="G2" s="23"/>
      <c r="H2" s="23"/>
      <c r="I2" s="23"/>
      <c r="J2" s="23"/>
      <c r="K2" s="23"/>
      <c r="L2" s="23"/>
      <c r="M2" s="23"/>
      <c r="N2" s="23"/>
      <c r="O2" s="24"/>
      <c r="P2" s="24"/>
      <c r="Q2" s="24"/>
      <c r="R2" s="24"/>
      <c r="S2" s="24"/>
      <c r="T2" s="23"/>
      <c r="U2" s="23"/>
    </row>
    <row r="3" spans="1:24" x14ac:dyDescent="0.25">
      <c r="A3" s="4" t="s">
        <v>59</v>
      </c>
      <c r="B3" s="9" t="s">
        <v>19</v>
      </c>
      <c r="C3" s="9" t="s">
        <v>19</v>
      </c>
      <c r="D3" s="9" t="s">
        <v>19</v>
      </c>
      <c r="E3" s="10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24" x14ac:dyDescent="0.25">
      <c r="A4" s="4" t="s">
        <v>1</v>
      </c>
      <c r="B4" s="9"/>
      <c r="C4" s="9"/>
      <c r="D4" s="10"/>
      <c r="E4" s="9"/>
      <c r="F4" s="9"/>
      <c r="G4" s="9"/>
      <c r="H4" s="26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4" x14ac:dyDescent="0.25">
      <c r="A5" s="4" t="s">
        <v>1</v>
      </c>
      <c r="B5" s="9" t="s">
        <v>19</v>
      </c>
      <c r="C5" s="9" t="s">
        <v>19</v>
      </c>
      <c r="D5" s="9" t="s">
        <v>19</v>
      </c>
      <c r="E5" s="9"/>
      <c r="F5" s="9"/>
      <c r="G5" s="9"/>
      <c r="H5" s="10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0"/>
      <c r="V5" s="9"/>
    </row>
    <row r="6" spans="1:24" x14ac:dyDescent="0.25">
      <c r="A6" s="4" t="s">
        <v>62</v>
      </c>
      <c r="B6" s="9"/>
      <c r="C6" s="9" t="s">
        <v>24</v>
      </c>
      <c r="D6" s="9" t="s">
        <v>24</v>
      </c>
      <c r="E6" s="26"/>
      <c r="F6" s="9" t="s">
        <v>22</v>
      </c>
      <c r="G6" s="9"/>
      <c r="H6" s="9"/>
      <c r="I6" s="9"/>
      <c r="J6" s="9"/>
      <c r="K6" s="9"/>
      <c r="L6" s="9"/>
      <c r="M6" s="9"/>
      <c r="N6" s="9" t="s">
        <v>22</v>
      </c>
      <c r="O6" s="9"/>
      <c r="P6" s="9"/>
      <c r="Q6" s="9"/>
      <c r="R6" s="9"/>
      <c r="S6" s="9"/>
      <c r="T6" s="10"/>
      <c r="U6" s="10"/>
      <c r="V6" s="9"/>
    </row>
    <row r="7" spans="1:24" x14ac:dyDescent="0.25">
      <c r="A7" s="4" t="s">
        <v>62</v>
      </c>
      <c r="B7" s="9" t="s">
        <v>19</v>
      </c>
      <c r="C7" s="9" t="s">
        <v>19</v>
      </c>
      <c r="D7" s="9" t="s">
        <v>19</v>
      </c>
      <c r="E7" s="9"/>
      <c r="F7" s="9"/>
      <c r="G7" s="9"/>
      <c r="H7" s="9"/>
      <c r="I7" s="9"/>
      <c r="J7" s="9"/>
      <c r="K7" s="9"/>
      <c r="L7" s="9"/>
      <c r="M7" s="9"/>
      <c r="N7" s="9" t="s">
        <v>32</v>
      </c>
      <c r="O7" s="9" t="s">
        <v>32</v>
      </c>
      <c r="P7" s="9"/>
      <c r="Q7" s="9"/>
      <c r="R7" s="9"/>
      <c r="S7" s="9"/>
      <c r="T7" s="10"/>
      <c r="U7" s="10"/>
      <c r="V7" s="9"/>
    </row>
    <row r="8" spans="1:24" x14ac:dyDescent="0.25">
      <c r="A8" s="4" t="s">
        <v>65</v>
      </c>
      <c r="B8" s="9"/>
      <c r="C8" s="9"/>
      <c r="D8" s="9" t="s">
        <v>24</v>
      </c>
      <c r="E8" s="26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  <c r="U8" s="10"/>
      <c r="V8" s="9"/>
    </row>
    <row r="9" spans="1:24" x14ac:dyDescent="0.25">
      <c r="A9" s="4" t="s">
        <v>65</v>
      </c>
      <c r="B9" s="9" t="s">
        <v>19</v>
      </c>
      <c r="C9" s="9" t="s">
        <v>19</v>
      </c>
      <c r="D9" s="9" t="s">
        <v>19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24" x14ac:dyDescent="0.25">
      <c r="A10" s="4" t="s">
        <v>70</v>
      </c>
      <c r="B10" s="9"/>
      <c r="C10" s="9"/>
      <c r="D10" s="9" t="s">
        <v>24</v>
      </c>
      <c r="E10" s="9" t="s">
        <v>24</v>
      </c>
      <c r="F10" s="9" t="s">
        <v>22</v>
      </c>
      <c r="G10" s="9"/>
      <c r="H10" s="9"/>
      <c r="I10" s="9"/>
      <c r="J10" s="9"/>
      <c r="K10" s="9"/>
      <c r="L10" s="9"/>
      <c r="M10" s="26"/>
      <c r="N10" s="9"/>
      <c r="O10" s="9"/>
      <c r="P10" s="9"/>
      <c r="Q10" s="9"/>
      <c r="R10" s="9"/>
      <c r="S10" s="9"/>
      <c r="T10" s="9"/>
      <c r="U10" s="9"/>
      <c r="V10" s="9"/>
    </row>
    <row r="11" spans="1:24" x14ac:dyDescent="0.25">
      <c r="A11" s="4" t="s">
        <v>70</v>
      </c>
      <c r="B11" s="9" t="s">
        <v>19</v>
      </c>
      <c r="C11" s="9" t="s">
        <v>19</v>
      </c>
      <c r="D11" s="9" t="s">
        <v>19</v>
      </c>
      <c r="E11" s="10" t="s">
        <v>32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24" x14ac:dyDescent="0.25">
      <c r="A12" s="4" t="s">
        <v>73</v>
      </c>
      <c r="B12" s="9"/>
      <c r="C12" s="9"/>
      <c r="D12" s="9"/>
      <c r="E12" s="26"/>
      <c r="F12" s="9"/>
      <c r="G12" s="9"/>
      <c r="H12" s="9" t="s">
        <v>24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4" x14ac:dyDescent="0.25">
      <c r="A13" s="4" t="s">
        <v>73</v>
      </c>
      <c r="B13" s="9" t="s">
        <v>19</v>
      </c>
      <c r="C13" s="9"/>
      <c r="D13" s="9"/>
      <c r="E13" s="9"/>
      <c r="F13" s="9"/>
      <c r="G13" s="9"/>
      <c r="H13" s="10" t="s">
        <v>32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24" x14ac:dyDescent="0.25">
      <c r="A14" s="4" t="s">
        <v>10</v>
      </c>
      <c r="B14" s="9"/>
      <c r="C14" s="9"/>
      <c r="D14" s="9"/>
      <c r="E14" s="9" t="s">
        <v>24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24" x14ac:dyDescent="0.25">
      <c r="A15" s="4" t="s">
        <v>10</v>
      </c>
      <c r="B15" s="9" t="s">
        <v>19</v>
      </c>
      <c r="C15" s="9" t="s">
        <v>19</v>
      </c>
      <c r="D15" s="9" t="s">
        <v>32</v>
      </c>
      <c r="E15" s="10" t="s">
        <v>32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24" x14ac:dyDescent="0.25">
      <c r="A16" s="4" t="s">
        <v>68</v>
      </c>
      <c r="B16" s="9"/>
      <c r="C16" s="9"/>
      <c r="D16" s="26"/>
      <c r="E16" s="9" t="s">
        <v>24</v>
      </c>
      <c r="F16" s="9"/>
      <c r="G16" s="9"/>
      <c r="H16" s="9"/>
      <c r="I16" s="9" t="s">
        <v>24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 x14ac:dyDescent="0.25">
      <c r="A17" s="4" t="s">
        <v>68</v>
      </c>
      <c r="B17" s="9" t="s">
        <v>19</v>
      </c>
      <c r="C17" s="9" t="s">
        <v>19</v>
      </c>
      <c r="D17" s="9"/>
      <c r="E17" s="10" t="s">
        <v>32</v>
      </c>
      <c r="F17" s="10"/>
      <c r="G17" s="9"/>
      <c r="H17" s="9"/>
      <c r="I17" s="10" t="s">
        <v>32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 x14ac:dyDescent="0.25">
      <c r="A18" s="4" t="s">
        <v>11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 x14ac:dyDescent="0.25">
      <c r="A19" s="4" t="s">
        <v>11</v>
      </c>
      <c r="B19" s="9" t="s">
        <v>19</v>
      </c>
      <c r="C19" s="9" t="s">
        <v>19</v>
      </c>
      <c r="D19" s="9" t="s">
        <v>19</v>
      </c>
      <c r="E19" s="9"/>
      <c r="F19" s="10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 x14ac:dyDescent="0.25">
      <c r="A20" s="4"/>
      <c r="B20" s="9"/>
      <c r="C20" s="9"/>
      <c r="D20" s="9"/>
      <c r="E20" s="26"/>
      <c r="F20" s="26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 x14ac:dyDescent="0.25">
      <c r="A21" s="4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 x14ac:dyDescent="0.25">
      <c r="A22" s="4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 x14ac:dyDescent="0.25">
      <c r="A23" s="4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General</vt:lpstr>
      <vt:lpstr>Mezclado</vt:lpstr>
      <vt:lpstr>Laminado</vt:lpstr>
      <vt:lpstr>Molido</vt:lpstr>
      <vt:lpstr>Tostado</vt:lpstr>
      <vt:lpstr>Deshidratado</vt:lpstr>
      <vt:lpstr>Materia Prima</vt:lpstr>
      <vt:lpstr>Resumen</vt:lpstr>
      <vt:lpstr>Formula</vt:lpstr>
      <vt:lpstr>Procesos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Jesús Polo Gonzalez</dc:creator>
  <cp:lastModifiedBy>Cristopher Sal y Rosas Corthon</cp:lastModifiedBy>
  <dcterms:created xsi:type="dcterms:W3CDTF">2025-08-19T17:07:40Z</dcterms:created>
  <dcterms:modified xsi:type="dcterms:W3CDTF">2026-09-23T20:26:49Z</dcterms:modified>
</cp:coreProperties>
</file>